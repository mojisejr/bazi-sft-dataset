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นวนลัคนา" sheetId="1" r:id="rId5"/>
    <sheet state="visible" name="คำนวนวัยจร" sheetId="2" r:id="rId6"/>
    <sheet state="visible" name="ตารางนับอิม" sheetId="3" r:id="rId7"/>
    <sheet state="visible" name="ตารางราศีแฝง" sheetId="4" r:id="rId8"/>
    <sheet state="visible" name="Final " sheetId="5" r:id="rId9"/>
  </sheets>
  <definedNames/>
  <calcPr/>
</workbook>
</file>

<file path=xl/sharedStrings.xml><?xml version="1.0" encoding="utf-8"?>
<sst xmlns="http://schemas.openxmlformats.org/spreadsheetml/2006/main" count="1108" uniqueCount="236">
  <si>
    <t>หาราศีล่าง</t>
  </si>
  <si>
    <t>ราศีล่างหลักยาม+ราศีล่างหลักเดือน</t>
  </si>
  <si>
    <t>เอา (8,20,32)-(ราศีล่างหลักยาม+ราศีล่างหลักเดือน)</t>
  </si>
  <si>
    <t xml:space="preserve">กรณีที่ 1  ผลลัพธ์ ไม่เกิน 8 ให้ เอา ผลลัพธ์ข้อ 2 ลบกับ 8 </t>
  </si>
  <si>
    <t>กรณีที่ 2 ผลลัพธ์เกิน 8 แต่ไม่ถึง 20 ให้ เอาผลลัพธ์ข้อ 2 ลบกับ 20</t>
  </si>
  <si>
    <t>กรณีที่ 3 ผลลัพธ์เกิน 20 ให้ เอาผลลัพธ์ข้อ 2 ลบกับ 32</t>
  </si>
  <si>
    <t>หากวันเกิดอยู่ในช่วงสารทใหญ่ ให้ใช้ผลลัพธ์ข้อ 3 เป็นราศีล่างของหลักลัคนา</t>
  </si>
  <si>
    <t>หากวันเกิดอยู่ในช่วงสารทเล็ก ให้ใช้ผลลัพธ์ข้อ 3 ลบ 1 เพิ่มเข้าไปอีก ถึงเป็น ราศีล่างของลัคนา</t>
  </si>
  <si>
    <t>หลังจากได้ราศีล่างหลักลัคนาแล้ว ค่อยหาราศีบนจากตาราง ตารางเดียวกับ หาราศีบนหลักเดือน</t>
  </si>
  <si>
    <t>****ดูราศีบนหลักปี****</t>
  </si>
  <si>
    <t>ตารางเช็คหลักลัคนา</t>
  </si>
  <si>
    <t>หลักปีบน</t>
  </si>
  <si>
    <t>甲</t>
  </si>
  <si>
    <t>己</t>
  </si>
  <si>
    <t>乙</t>
  </si>
  <si>
    <t>庚</t>
  </si>
  <si>
    <t>丙</t>
  </si>
  <si>
    <t>辛</t>
  </si>
  <si>
    <t>丁</t>
  </si>
  <si>
    <t>壬</t>
  </si>
  <si>
    <t>戊</t>
  </si>
  <si>
    <t>癸</t>
  </si>
  <si>
    <t>เริ่มที่</t>
  </si>
  <si>
    <t>寅</t>
  </si>
  <si>
    <t>卯</t>
  </si>
  <si>
    <t>辰</t>
  </si>
  <si>
    <t>巳</t>
  </si>
  <si>
    <t>午</t>
  </si>
  <si>
    <t>未</t>
  </si>
  <si>
    <t>申</t>
  </si>
  <si>
    <t>酉</t>
  </si>
  <si>
    <t>戌</t>
  </si>
  <si>
    <t>亥</t>
  </si>
  <si>
    <t>子</t>
  </si>
  <si>
    <t>丑</t>
  </si>
  <si>
    <t>ตัวอย่างการหาอายุของวัยจรใหญ่</t>
  </si>
  <si>
    <t>เพศหญิง เกิดวันที่ 15 กันยายน พศ.2520 เวลา 13.50 น.</t>
  </si>
  <si>
    <t xml:space="preserve">เทียบปฏิทินเปลี่ยนสารทเดือนมีนาคม 2524 </t>
  </si>
  <si>
    <t>ลัคนา</t>
  </si>
  <si>
    <t>ยาม</t>
  </si>
  <si>
    <t>วัน</t>
  </si>
  <si>
    <t>เดือน</t>
  </si>
  <si>
    <t>ปี</t>
  </si>
  <si>
    <t>เกิดในช่วงสารทใหญ่</t>
  </si>
  <si>
    <t>ดูตาราง</t>
  </si>
  <si>
    <t>⬅️</t>
  </si>
  <si>
    <t>⬆️</t>
  </si>
  <si>
    <t>20-(8+10)</t>
  </si>
  <si>
    <t>↙️</t>
  </si>
  <si>
    <t>เพศชาย เกิดวันที่ 17 มีนาคม พศ.2524 เวลา 10:222</t>
  </si>
  <si>
    <t>20-(6+4)</t>
  </si>
  <si>
    <t>เพศหญิง เกิดวันที่  27 พฤศจิกายน พ.ศ.2520 เวลา 00:15</t>
  </si>
  <si>
    <t>20-(1+12)-1</t>
  </si>
  <si>
    <t>*ลบ 1 เพิ่มเพราะเปิดในสารทเล็ก</t>
  </si>
  <si>
    <t>*อ้างอิงตารางตัดสารท ปี 2517 เดือน พฤศจิกายน</t>
  </si>
  <si>
    <t>สารทใหญ่</t>
  </si>
  <si>
    <t>สารทเล็ก</t>
  </si>
  <si>
    <t>7-22 พย เวลา 7:22</t>
  </si>
  <si>
    <t xml:space="preserve">22 พย เวลา 7:23-6 ธค </t>
  </si>
  <si>
    <t>เกิด 27 พย อยู่ในสารทเล็ก ลบเพิ่ม อีก -1</t>
  </si>
  <si>
    <t>เพศชาย เกิดวันที่ 5 เมษายน พศ.2523 เวลา 7:30 น</t>
  </si>
  <si>
    <t>20-(5+5)</t>
  </si>
  <si>
    <t>เพศชาย เกิดวันที่ 8 เมษายน พศ.2566 เวลา 1:30 น</t>
  </si>
  <si>
    <t>8-(2+5)</t>
  </si>
  <si>
    <t>เพศหญิง เกิดวันที่ 4 ตค พศ.2524 เวลา 21:30 น</t>
  </si>
  <si>
    <t>32-(12+10)-1</t>
  </si>
  <si>
    <t>8-23 พย เวลา 11:04</t>
  </si>
  <si>
    <t>23 พย เวลา11:05 - 8 ตค 17:08</t>
  </si>
  <si>
    <t>เกิด 4 ตค อยู่ในสารทเล็ก ลบเพิ่ม อีก -1</t>
  </si>
  <si>
    <t xml:space="preserve">เอาเพศชาย เพศหญิง เทียบกับ ราศีบน หลักปี </t>
  </si>
  <si>
    <t>เพศชาย</t>
  </si>
  <si>
    <t>เกิดปี</t>
  </si>
  <si>
    <t>甲 丙 戊 庚 壬</t>
  </si>
  <si>
    <t>วัยจรจะเดินหน้าจากหลักเดือน</t>
  </si>
  <si>
    <t>乙 丁 己 辛 癸</t>
  </si>
  <si>
    <t>วัยจรจะถอยหลังจากหลักเดือน</t>
  </si>
  <si>
    <t>เพศหญิง</t>
  </si>
  <si>
    <t>การเดินวัยจรใหญ่นั้น ให้เริ่มจากหลักเดือนของดวงชะตาจีนเสมอ ไม่ว่าจะเป็นการเดินหน้า หรือ ถอยหลัง</t>
  </si>
  <si>
    <t>การเรียงวัยจร</t>
  </si>
  <si>
    <t>การเดินหน้า</t>
  </si>
  <si>
    <t>91-95 ปี</t>
  </si>
  <si>
    <t>81-85 ปี</t>
  </si>
  <si>
    <t>71-75 ปี</t>
  </si>
  <si>
    <t>61-65 ปี</t>
  </si>
  <si>
    <t>51-55 ปี</t>
  </si>
  <si>
    <t>41-45 ปี</t>
  </si>
  <si>
    <t>31-35 ปี</t>
  </si>
  <si>
    <t>21-25 ปี</t>
  </si>
  <si>
    <t>11-15 ปี</t>
  </si>
  <si>
    <t>1-5 ปี</t>
  </si>
  <si>
    <t>หลักเดือนเกิด</t>
  </si>
  <si>
    <t>96-100 ปี</t>
  </si>
  <si>
    <t>86-90 ปี</t>
  </si>
  <si>
    <t>76-80 ปี</t>
  </si>
  <si>
    <t>66-70 ปี</t>
  </si>
  <si>
    <t>56-60 ปี</t>
  </si>
  <si>
    <t>46-50ปี</t>
  </si>
  <si>
    <t>36-40 ปี</t>
  </si>
  <si>
    <t>26-30 ปี</t>
  </si>
  <si>
    <t>16-20 ปี</t>
  </si>
  <si>
    <t>6-10 ปี</t>
  </si>
  <si>
    <t>การเดินถอยหลัง</t>
  </si>
  <si>
    <t>➡️</t>
  </si>
  <si>
    <t>การหาอายุวัยจร</t>
  </si>
  <si>
    <t>เริ่มจากวันเกิดไปหา วันเปลี่ยนสารทใหญ่ ได้จำนวน กี่วัน</t>
  </si>
  <si>
    <t>*****</t>
  </si>
  <si>
    <t>ให้เอาวันเกิด เดินหน้า ไปหา วันเปลี่ยนสารทใหญ่ (ที่ยังไม่ถึง)ได้จำนวน กี่ วัน เอาไปหาร ด้วย 3</t>
  </si>
  <si>
    <t>ให้เอาวันเกิด ถอยหลัง ไปหา วันเปลี่ยนสารทใหญ่ (ที่ผ่านมา)ได้จำนวน กี่ วัน เอาไปหาร ด้วย 3</t>
  </si>
  <si>
    <t xml:space="preserve">แล้วเอาจำนวนวันดังกล่าว มาหารด้วย 3 </t>
  </si>
  <si>
    <t>จำนวนที่หารได้ จะคือ อายุวัยจรแรก เริ่มต้นที่อายุจริงเท่าไหร่</t>
  </si>
  <si>
    <t>ถ้าเหลือเศษ 1 จะเท่ากับ 120 วัน</t>
  </si>
  <si>
    <t>ถ้าเหลือเศษ 2 จะเท่ากับ 240 วัน</t>
  </si>
  <si>
    <t>เพศหญิง เกิดปี 丁 (ตามข้อ 1) วัยจรเอาหลักเดือนมาเดินหน้า</t>
  </si>
  <si>
    <t>การคำนวณตั้งแต่เกิด 15 กันยายน เดินหน้าไปจนถึงวันเปลี่ยนสาร์ทใหญ่ของเดือนตุลาคม วันที่ 8 ตุลาคม จะเท่ากับ 23 วันแล้วหารด้วย 3</t>
  </si>
  <si>
    <t>จะได้ผลลัพธ์ 7 เศษ 2 ฉะนั้น อายุวัยจรใหญ่เริ่มต้นที่ อายุ 7 ปี 240 วัน</t>
  </si>
  <si>
    <t>97-101</t>
  </si>
  <si>
    <t>87-91</t>
  </si>
  <si>
    <t>77-81</t>
  </si>
  <si>
    <t>67-71</t>
  </si>
  <si>
    <t>57-61</t>
  </si>
  <si>
    <t>47-51</t>
  </si>
  <si>
    <t>37-41</t>
  </si>
  <si>
    <t>27-31</t>
  </si>
  <si>
    <t>17-21</t>
  </si>
  <si>
    <t>7ปี 240วัน</t>
  </si>
  <si>
    <t>102-106</t>
  </si>
  <si>
    <t>92-96</t>
  </si>
  <si>
    <t>82-86</t>
  </si>
  <si>
    <t>72-76</t>
  </si>
  <si>
    <t>62-66</t>
  </si>
  <si>
    <t>52-56</t>
  </si>
  <si>
    <t>42-46</t>
  </si>
  <si>
    <t>32-36</t>
  </si>
  <si>
    <t>22-26</t>
  </si>
  <si>
    <t>วัยจรแรก ที่ เหลือ เศษ 1 เศษ 2 ให้ระบุเป็น 7.120 กับ 7.240</t>
  </si>
  <si>
    <t>(7+5)</t>
  </si>
  <si>
    <t>เพศชาย เกิดวันที่ 17 มีนาคม พศ.2524 เวลา 10:22 น.</t>
  </si>
  <si>
    <t>เพศชาย เกิด ปี 辛 (ตามหัวข้อ 1) วัยจรเอาหลักเดือนมา เดินถอยหลัง</t>
  </si>
  <si>
    <t>การคำนวณตั้งแต่เกิด 17 มีนาคม 2524 ถอยหลังไปจนถึงวันเปลี่ยนสาร์ทใหญ่ของเดือนมีนาคม 2524 คือวันที่ 6 มีค 2524 จะเท่ากับ 11 วัน (17-6)แล้วหารด้วย 3</t>
  </si>
  <si>
    <t>จะได้ผลลัพธ์ 3 เศษ 2 ฉะนั้น อายุวัยจรใหญ่เริ่มต้นที่ อายุ 7 ปี 240 วัน</t>
  </si>
  <si>
    <t>93-97</t>
  </si>
  <si>
    <t>83-87</t>
  </si>
  <si>
    <t>73-77</t>
  </si>
  <si>
    <t>63-67</t>
  </si>
  <si>
    <t>53-57</t>
  </si>
  <si>
    <t>43-47</t>
  </si>
  <si>
    <t>33-37</t>
  </si>
  <si>
    <t>23-27</t>
  </si>
  <si>
    <t>13-17</t>
  </si>
  <si>
    <t>3ปี 240วัน</t>
  </si>
  <si>
    <t>98-102</t>
  </si>
  <si>
    <t>88-92</t>
  </si>
  <si>
    <t>78-82</t>
  </si>
  <si>
    <t>68-72</t>
  </si>
  <si>
    <t>58-62</t>
  </si>
  <si>
    <t>48-52</t>
  </si>
  <si>
    <t>38-42</t>
  </si>
  <si>
    <t>28-32</t>
  </si>
  <si>
    <t>18-22</t>
  </si>
  <si>
    <t>วัยจรแรก ที่ เหลือ เศษ 1 เศษ 2 ให้ระบุเป็น 3.120 กับ 3.240</t>
  </si>
  <si>
    <t>(3+5)</t>
  </si>
  <si>
    <t>เพศชาย เกิดวันที่ 5 เมษายน พศ.2523 เวลา 7:55 น.</t>
  </si>
  <si>
    <t>เพศชาย เกิด ปี 庚 (ตามหัวข้อ 1) วัยจรเอาหลักเดือนมา เดินหน้า</t>
  </si>
  <si>
    <t>การคำนวณตั้งแต่เกิด 5 เมษายน 2523 เดินหน้าไปจนถึงวันเปลี่ยนสาร์ทใหญ่ของเดือน พฤษภาคม คือวันที่ 5 พฤษภาคม 2523จะเท่ากับ 30 วัน แล้วหารด้วย 3</t>
  </si>
  <si>
    <t>จะได้ผลลัพธ์ 10 เศษ 0 ฉะนั้น อายุวัยจรใหญ่เริ่มต้นที่ อายุ 10 ปี</t>
  </si>
  <si>
    <t>100-104</t>
  </si>
  <si>
    <t>90-94</t>
  </si>
  <si>
    <t>80-84</t>
  </si>
  <si>
    <t>70-74</t>
  </si>
  <si>
    <t>60-64</t>
  </si>
  <si>
    <t>50-54</t>
  </si>
  <si>
    <t>40-44</t>
  </si>
  <si>
    <t>30-34</t>
  </si>
  <si>
    <t>20-24</t>
  </si>
  <si>
    <t>105-109</t>
  </si>
  <si>
    <t>95-99</t>
  </si>
  <si>
    <t>85-89</t>
  </si>
  <si>
    <t>75-79</t>
  </si>
  <si>
    <t>65-69</t>
  </si>
  <si>
    <t>55-59</t>
  </si>
  <si>
    <t>45-49</t>
  </si>
  <si>
    <t>35-39</t>
  </si>
  <si>
    <t>25-29</t>
  </si>
  <si>
    <t>15-19</t>
  </si>
  <si>
    <t>เพศหญิง เกิดวันที่ 27 พฤศจิกายน พศ.2520 เวลา 0:30 น.</t>
  </si>
  <si>
    <t>เพศหญิง  เกิด ปี 丁 (ตามหัวข้อ 1) วัยจรเอาหลักเดือนมา เดินหน้า</t>
  </si>
  <si>
    <t>การคำนวณตั้งแต่เกิด 27 พฤศจิกายน 2520เดินหน้าไปจนถึงวันเปลี่ยนสาร์ทใหญ่ของเดือน ธันวาคม คือวันที่ 7 ธันวาคม 2520 จะเท่ากับ  10 วัน แล้วหารด้วย 3</t>
  </si>
  <si>
    <t>จะได้ผลลัพธ์ 3 เศษ 1 ฉะนั้น อายุวัยจรใหญ่เริ่มต้นที่ 3 ปี 120 วัน</t>
  </si>
  <si>
    <t>3 ปี 120 วัน</t>
  </si>
  <si>
    <t>เพศหญิง เกิดวันที่ 4 ตุลาคม พศ.2524 เวลา 21:30 น.</t>
  </si>
  <si>
    <t>เพศหญิง  เกิด ปี 辛 (ตามหัวข้อ 1) วัยจรเอาหลักเดือนมา เดินหน้า</t>
  </si>
  <si>
    <t>การคำนวณตั้งแต่เกิด 4 ตุลาคม 2524 เดินหน้าไปจนถึงวันเปลี่ยนสาร์ทใหญ่ของเดือน ตุลาคม คือวันที่ 8 ตุลาคม  2524  จะเท่ากับ  4 วัน แล้วหารด้วย 3</t>
  </si>
  <si>
    <t>จะได้ผลลัพธ์ 1 เศษ 1 ฉะนั้น อายุวัยจรใหญ่เริ่มต้นที่ 1 ปี 120 วัน</t>
  </si>
  <si>
    <t>91-95</t>
  </si>
  <si>
    <t>81-85</t>
  </si>
  <si>
    <t>71-75</t>
  </si>
  <si>
    <t>61-65</t>
  </si>
  <si>
    <t>51-55</t>
  </si>
  <si>
    <t>41-45</t>
  </si>
  <si>
    <t>31-35</t>
  </si>
  <si>
    <t>21-25</t>
  </si>
  <si>
    <t>1 ปี 120 วัน</t>
  </si>
  <si>
    <t>96-100</t>
  </si>
  <si>
    <t>86-90</t>
  </si>
  <si>
    <t>76-80</t>
  </si>
  <si>
    <t>66-70</t>
  </si>
  <si>
    <t>56-60</t>
  </si>
  <si>
    <t>46-50</t>
  </si>
  <si>
    <t>36-40</t>
  </si>
  <si>
    <t>26-30</t>
  </si>
  <si>
    <t>16-20</t>
  </si>
  <si>
    <t>วัยจรแรก ที่ เหลือ เศษ 1 เศษ 2 ให้ระบุเป็น 1.120 กับ 1.240</t>
  </si>
  <si>
    <t>(1+5)</t>
  </si>
  <si>
    <t>ทอง</t>
  </si>
  <si>
    <t>น้ำ</t>
  </si>
  <si>
    <t>ไฟ</t>
  </si>
  <si>
    <t>ดิน</t>
  </si>
  <si>
    <t>ไม้</t>
  </si>
  <si>
    <t>己 辛 癸</t>
  </si>
  <si>
    <t>甲 丙 戊</t>
  </si>
  <si>
    <t>戊 乙 癸</t>
  </si>
  <si>
    <t>丙 戊 庚</t>
  </si>
  <si>
    <t>丁 己</t>
  </si>
  <si>
    <t>己 乙 丁</t>
  </si>
  <si>
    <t>戊 庚 壬</t>
  </si>
  <si>
    <t>戊 丁 辛</t>
  </si>
  <si>
    <t>壬 甲</t>
  </si>
  <si>
    <t>กันยายน</t>
  </si>
  <si>
    <t>พ.ศ.</t>
  </si>
  <si>
    <t>เวลาเกิด</t>
  </si>
  <si>
    <t>13:50 น.</t>
  </si>
  <si>
    <t>หญิง</t>
  </si>
  <si>
    <t>อายุ(จีน)</t>
  </si>
  <si>
    <t>วัยจร</t>
  </si>
  <si>
    <t>ปีจร</t>
  </si>
  <si>
    <t>*******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</si>
</sst>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1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5.0"/>
      <color theme="1"/>
      <name val="Calibri"/>
    </font>
    <font>
      <b/>
      <sz val="15.0"/>
      <color theme="1"/>
      <name val="UICTFontTextStyleEmphasizedBody"/>
    </font>
    <font>
      <b/>
      <sz val="15.0"/>
      <color theme="1"/>
      <name val="Sarabun"/>
    </font>
    <font/>
    <font>
      <sz val="14.0"/>
      <color theme="1"/>
      <name val="Sarabun"/>
    </font>
    <font>
      <sz val="15.0"/>
      <color theme="1"/>
      <name val="Arial"/>
    </font>
    <font>
      <sz val="15.0"/>
      <color rgb="FFFF0000"/>
      <name val="Arial"/>
      <scheme val="minor"/>
    </font>
    <font>
      <b/>
      <sz val="15.0"/>
      <color rgb="FFFF0000"/>
      <name val="Arial"/>
      <scheme val="minor"/>
    </font>
    <font>
      <b/>
      <sz val="15.0"/>
      <color rgb="FFFF0000"/>
      <name val="Sarabun"/>
    </font>
    <font>
      <color rgb="FFFF0000"/>
      <name val="Arial"/>
      <scheme val="minor"/>
    </font>
    <font>
      <sz val="15.0"/>
      <color theme="1"/>
      <name val="Sarabun"/>
    </font>
    <font>
      <sz val="23.0"/>
      <color rgb="FFFF0000"/>
      <name val="Arial"/>
      <scheme val="minor"/>
    </font>
    <font>
      <sz val="15.0"/>
      <color rgb="FFFF0000"/>
      <name val="Sarabun"/>
    </font>
    <font>
      <sz val="28.0"/>
      <color theme="1"/>
      <name val="Arial"/>
      <scheme val="minor"/>
    </font>
    <font>
      <sz val="30.0"/>
      <color theme="1"/>
      <name val="Arial"/>
      <scheme val="minor"/>
    </font>
    <font>
      <sz val="29.0"/>
      <color theme="1"/>
      <name val="Arial"/>
      <scheme val="minor"/>
    </font>
    <font>
      <sz val="29.0"/>
      <color theme="1"/>
      <name val="Sarabun"/>
    </font>
    <font>
      <color theme="1"/>
      <name val="Arial"/>
      <scheme val="minor"/>
    </font>
    <font>
      <sz val="20.0"/>
      <color theme="1"/>
      <name val="Sarabun"/>
    </font>
    <font>
      <sz val="20.0"/>
      <color theme="1"/>
      <name val="Arial"/>
      <scheme val="minor"/>
    </font>
    <font>
      <sz val="21.0"/>
      <color theme="1"/>
      <name val="Arial"/>
      <scheme val="minor"/>
    </font>
    <font>
      <sz val="25.0"/>
      <color theme="1"/>
      <name val="Arial"/>
      <scheme val="minor"/>
    </font>
    <font>
      <b/>
      <sz val="29.0"/>
      <color theme="1"/>
      <name val="Arial"/>
      <scheme val="minor"/>
    </font>
    <font>
      <b/>
      <sz val="20.0"/>
      <color theme="1"/>
      <name val="Arial"/>
      <scheme val="minor"/>
    </font>
    <font>
      <b/>
      <sz val="30.0"/>
      <color theme="1"/>
      <name val="Arial"/>
      <scheme val="minor"/>
    </font>
    <font>
      <b/>
      <sz val="30.0"/>
      <color rgb="FF3D85C6"/>
      <name val="Arial"/>
      <scheme val="minor"/>
    </font>
    <font>
      <b/>
      <sz val="30.0"/>
      <color rgb="FF6AA84F"/>
      <name val="Arial"/>
      <scheme val="minor"/>
    </font>
    <font>
      <b/>
      <sz val="30.0"/>
      <color rgb="FFF1C232"/>
      <name val="Arial"/>
      <scheme val="minor"/>
    </font>
    <font>
      <b/>
      <sz val="30.0"/>
      <color rgb="FFCC0000"/>
      <name val="Arial"/>
      <scheme val="minor"/>
    </font>
    <font>
      <b/>
      <sz val="30.0"/>
      <color rgb="FF6AA84F"/>
      <name val="Sarabun"/>
    </font>
    <font>
      <b/>
      <sz val="30.0"/>
      <color rgb="FF3D85C6"/>
      <name val="Sarabun"/>
    </font>
    <font>
      <sz val="22.0"/>
      <color rgb="FFFF0000"/>
      <name val="Arial"/>
      <scheme val="minor"/>
    </font>
    <font>
      <sz val="20.0"/>
      <color rgb="FFCC0000"/>
      <name val="Arial"/>
      <scheme val="minor"/>
    </font>
    <font>
      <sz val="20.0"/>
      <color rgb="FF6AA84F"/>
      <name val="Arial"/>
      <scheme val="minor"/>
    </font>
    <font>
      <sz val="20.0"/>
      <color rgb="FF6AA84F"/>
      <name val="Sarabun"/>
    </font>
    <font>
      <sz val="20.0"/>
      <color rgb="FF3D85C6"/>
      <name val="Arial"/>
      <scheme val="minor"/>
    </font>
    <font>
      <sz val="20.0"/>
      <color rgb="FFF1C232"/>
      <name val="Arial"/>
      <scheme val="minor"/>
    </font>
    <font>
      <b/>
      <sz val="20.0"/>
      <color rgb="FFF1C232"/>
      <name val="Arial"/>
      <scheme val="minor"/>
    </font>
    <font>
      <sz val="20.0"/>
      <color rgb="FF3D85C6"/>
      <name val="Sarabun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2" fillId="0" fontId="5" numFmtId="0" xfId="0" applyBorder="1" applyFont="1"/>
    <xf borderId="3" fillId="0" fontId="5" numFmtId="0" xfId="0" applyBorder="1" applyFont="1"/>
    <xf borderId="0" fillId="2" fontId="6" numFmtId="0" xfId="0" applyAlignment="1" applyFill="1" applyFont="1">
      <alignment horizontal="center" vertical="bottom"/>
    </xf>
    <xf borderId="0" fillId="2" fontId="4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3" fontId="4" numFmtId="0" xfId="0" applyAlignment="1" applyFill="1" applyFont="1">
      <alignment horizontal="center"/>
    </xf>
    <xf borderId="0" fillId="3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4" fontId="4" numFmtId="0" xfId="0" applyAlignment="1" applyFill="1" applyFont="1">
      <alignment horizontal="center"/>
    </xf>
    <xf borderId="0" fillId="4" fontId="4" numFmtId="0" xfId="0" applyAlignment="1" applyFont="1">
      <alignment horizontal="center" vertical="bottom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vertical="bottom"/>
    </xf>
    <xf borderId="0" fillId="6" fontId="4" numFmtId="0" xfId="0" applyAlignment="1" applyFill="1" applyFont="1">
      <alignment horizontal="center"/>
    </xf>
    <xf borderId="0" fillId="6" fontId="4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left" readingOrder="0" vertical="center"/>
    </xf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1" numFmtId="0" xfId="0" applyFont="1"/>
    <xf borderId="0" fillId="0" fontId="8" numFmtId="164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4" fillId="0" fontId="15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8" fillId="0" fontId="5" numFmtId="0" xfId="0" applyBorder="1" applyFont="1"/>
    <xf borderId="9" fillId="0" fontId="12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/>
    </xf>
    <xf borderId="4" fillId="7" fontId="16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4" fillId="6" fontId="16" numFmtId="0" xfId="0" applyAlignment="1" applyBorder="1" applyFont="1">
      <alignment horizontal="center" readingOrder="0" vertical="center"/>
    </xf>
    <xf borderId="4" fillId="3" fontId="16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4" fillId="5" fontId="16" numFmtId="0" xfId="0" applyAlignment="1" applyBorder="1" applyFont="1">
      <alignment horizontal="center" readingOrder="0" vertical="center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0" fillId="8" fontId="19" numFmtId="0" xfId="0" applyFill="1" applyFont="1"/>
    <xf borderId="0" fillId="9" fontId="19" numFmtId="0" xfId="0" applyFill="1" applyFont="1"/>
    <xf borderId="0" fillId="10" fontId="19" numFmtId="0" xfId="0" applyFill="1" applyFont="1"/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left"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6" fontId="19" numFmtId="0" xfId="0" applyFont="1"/>
    <xf borderId="0" fillId="0" fontId="33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vertical="center"/>
    </xf>
    <xf borderId="0" fillId="0" fontId="4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63"/>
    <col customWidth="1" min="3" max="3" width="15.13"/>
  </cols>
  <sheetData>
    <row r="1">
      <c r="A1" s="1">
        <v>1.0</v>
      </c>
      <c r="B1" s="1"/>
      <c r="C1" s="1" t="s">
        <v>0</v>
      </c>
      <c r="D1" s="1"/>
      <c r="E1" s="2"/>
      <c r="F1" s="2"/>
      <c r="G1" s="2"/>
    </row>
    <row r="2">
      <c r="A2" s="3">
        <v>2.0</v>
      </c>
      <c r="B2" s="3"/>
      <c r="C2" s="3" t="s">
        <v>1</v>
      </c>
      <c r="D2" s="3"/>
      <c r="E2" s="4"/>
      <c r="F2" s="2"/>
      <c r="G2" s="2"/>
    </row>
    <row r="3">
      <c r="A3" s="3"/>
      <c r="B3" s="3"/>
      <c r="C3" s="3"/>
      <c r="D3" s="3"/>
      <c r="E3" s="4"/>
      <c r="F3" s="2"/>
      <c r="G3" s="2"/>
    </row>
    <row r="4">
      <c r="A4" s="3">
        <v>3.0</v>
      </c>
      <c r="B4" s="3"/>
      <c r="C4" s="3" t="s">
        <v>2</v>
      </c>
      <c r="D4" s="3"/>
      <c r="E4" s="4"/>
      <c r="F4" s="2"/>
      <c r="G4" s="2"/>
    </row>
    <row r="5">
      <c r="A5" s="3">
        <v>3.0</v>
      </c>
      <c r="B5" s="3">
        <v>1.0</v>
      </c>
      <c r="C5" s="3" t="s">
        <v>3</v>
      </c>
      <c r="D5" s="3"/>
      <c r="E5" s="4"/>
      <c r="F5" s="2"/>
      <c r="G5" s="2"/>
    </row>
    <row r="6">
      <c r="A6" s="1">
        <v>3.0</v>
      </c>
      <c r="B6" s="1">
        <v>2.0</v>
      </c>
      <c r="C6" s="1" t="s">
        <v>4</v>
      </c>
      <c r="D6" s="1"/>
      <c r="E6" s="2"/>
      <c r="F6" s="2"/>
      <c r="G6" s="2"/>
    </row>
    <row r="7">
      <c r="A7" s="1">
        <v>3.0</v>
      </c>
      <c r="B7" s="3">
        <v>3.0</v>
      </c>
      <c r="C7" s="3" t="s">
        <v>5</v>
      </c>
      <c r="D7" s="3"/>
      <c r="E7" s="4"/>
      <c r="F7" s="4"/>
      <c r="G7" s="2"/>
    </row>
    <row r="8">
      <c r="A8" s="1"/>
      <c r="B8" s="3"/>
      <c r="C8" s="3"/>
      <c r="D8" s="3"/>
      <c r="E8" s="4"/>
      <c r="F8" s="4"/>
      <c r="G8" s="2"/>
    </row>
    <row r="9">
      <c r="A9" s="1">
        <v>4.0</v>
      </c>
      <c r="B9" s="3">
        <v>1.0</v>
      </c>
      <c r="C9" s="3" t="s">
        <v>6</v>
      </c>
      <c r="D9" s="3"/>
      <c r="E9" s="4"/>
      <c r="F9" s="4"/>
      <c r="G9" s="2"/>
    </row>
    <row r="10">
      <c r="A10" s="2"/>
      <c r="B10" s="1">
        <v>2.0</v>
      </c>
      <c r="C10" s="3" t="s">
        <v>7</v>
      </c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1"/>
      <c r="B12" s="4"/>
      <c r="C12" s="3"/>
      <c r="D12" s="4"/>
      <c r="E12" s="2"/>
      <c r="F12" s="2"/>
      <c r="G12" s="2"/>
    </row>
    <row r="13">
      <c r="A13" s="2"/>
      <c r="B13" s="2"/>
      <c r="C13" s="5"/>
      <c r="D13" s="5"/>
      <c r="E13" s="2"/>
      <c r="F13" s="2"/>
      <c r="G13" s="2"/>
    </row>
    <row r="14">
      <c r="A14" s="1">
        <v>5.0</v>
      </c>
      <c r="B14" s="2"/>
      <c r="C14" s="1" t="s">
        <v>8</v>
      </c>
      <c r="D14" s="2"/>
      <c r="E14" s="2"/>
      <c r="F14" s="2"/>
      <c r="G14" s="2"/>
    </row>
    <row r="15">
      <c r="A15" s="2"/>
      <c r="B15" s="2"/>
      <c r="C15" s="1" t="s">
        <v>9</v>
      </c>
      <c r="D15" s="2"/>
      <c r="E15" s="2"/>
      <c r="F15" s="2"/>
      <c r="G15" s="2"/>
    </row>
    <row r="16">
      <c r="C16" s="6" t="s">
        <v>10</v>
      </c>
      <c r="D16" s="7"/>
      <c r="E16" s="7"/>
      <c r="F16" s="7"/>
      <c r="G16" s="7"/>
      <c r="H16" s="7"/>
      <c r="I16" s="7"/>
      <c r="J16" s="7"/>
      <c r="K16" s="7"/>
      <c r="L16" s="7"/>
      <c r="M16" s="8"/>
    </row>
    <row r="17">
      <c r="C17" s="9" t="s">
        <v>11</v>
      </c>
      <c r="D17" s="10" t="s">
        <v>12</v>
      </c>
      <c r="E17" s="10" t="s">
        <v>13</v>
      </c>
      <c r="F17" s="10" t="s">
        <v>14</v>
      </c>
      <c r="G17" s="10" t="s">
        <v>15</v>
      </c>
      <c r="H17" s="10" t="s">
        <v>16</v>
      </c>
      <c r="I17" s="10" t="s">
        <v>17</v>
      </c>
      <c r="J17" s="10" t="s">
        <v>18</v>
      </c>
      <c r="K17" s="10" t="s">
        <v>19</v>
      </c>
      <c r="L17" s="10" t="s">
        <v>20</v>
      </c>
      <c r="M17" s="10" t="s">
        <v>21</v>
      </c>
    </row>
    <row r="18">
      <c r="C18" s="11" t="s">
        <v>22</v>
      </c>
      <c r="D18" s="10" t="s">
        <v>16</v>
      </c>
      <c r="F18" s="10" t="s">
        <v>20</v>
      </c>
      <c r="H18" s="10" t="s">
        <v>15</v>
      </c>
      <c r="J18" s="10" t="s">
        <v>19</v>
      </c>
      <c r="L18" s="10" t="s">
        <v>12</v>
      </c>
    </row>
    <row r="19">
      <c r="C19" s="12"/>
      <c r="D19" s="13" t="s">
        <v>16</v>
      </c>
      <c r="E19" s="14" t="s">
        <v>23</v>
      </c>
      <c r="F19" s="15" t="s">
        <v>20</v>
      </c>
      <c r="G19" s="16" t="s">
        <v>23</v>
      </c>
      <c r="H19" s="17" t="s">
        <v>15</v>
      </c>
      <c r="I19" s="18" t="s">
        <v>23</v>
      </c>
      <c r="J19" s="19" t="s">
        <v>19</v>
      </c>
      <c r="K19" s="20" t="s">
        <v>23</v>
      </c>
      <c r="L19" s="21" t="s">
        <v>12</v>
      </c>
      <c r="M19" s="22" t="s">
        <v>23</v>
      </c>
    </row>
    <row r="20">
      <c r="C20" s="12"/>
      <c r="D20" s="13" t="s">
        <v>18</v>
      </c>
      <c r="E20" s="14" t="s">
        <v>24</v>
      </c>
      <c r="F20" s="15" t="s">
        <v>13</v>
      </c>
      <c r="G20" s="16" t="s">
        <v>24</v>
      </c>
      <c r="H20" s="17" t="s">
        <v>17</v>
      </c>
      <c r="I20" s="18" t="s">
        <v>24</v>
      </c>
      <c r="J20" s="19" t="s">
        <v>21</v>
      </c>
      <c r="K20" s="20" t="s">
        <v>24</v>
      </c>
      <c r="L20" s="21" t="s">
        <v>14</v>
      </c>
      <c r="M20" s="22" t="s">
        <v>24</v>
      </c>
    </row>
    <row r="21">
      <c r="C21" s="12"/>
      <c r="D21" s="13" t="s">
        <v>20</v>
      </c>
      <c r="E21" s="14" t="s">
        <v>25</v>
      </c>
      <c r="F21" s="15" t="s">
        <v>15</v>
      </c>
      <c r="G21" s="16" t="s">
        <v>25</v>
      </c>
      <c r="H21" s="17" t="s">
        <v>19</v>
      </c>
      <c r="I21" s="18" t="s">
        <v>25</v>
      </c>
      <c r="J21" s="19" t="s">
        <v>12</v>
      </c>
      <c r="K21" s="20" t="s">
        <v>25</v>
      </c>
      <c r="L21" s="21" t="s">
        <v>16</v>
      </c>
      <c r="M21" s="22" t="s">
        <v>25</v>
      </c>
    </row>
    <row r="22">
      <c r="C22" s="12"/>
      <c r="D22" s="13" t="s">
        <v>13</v>
      </c>
      <c r="E22" s="14" t="s">
        <v>26</v>
      </c>
      <c r="F22" s="15" t="s">
        <v>17</v>
      </c>
      <c r="G22" s="16" t="s">
        <v>26</v>
      </c>
      <c r="H22" s="17" t="s">
        <v>21</v>
      </c>
      <c r="I22" s="18" t="s">
        <v>26</v>
      </c>
      <c r="J22" s="19" t="s">
        <v>14</v>
      </c>
      <c r="K22" s="20" t="s">
        <v>26</v>
      </c>
      <c r="L22" s="21" t="s">
        <v>18</v>
      </c>
      <c r="M22" s="22" t="s">
        <v>26</v>
      </c>
    </row>
    <row r="23">
      <c r="C23" s="12"/>
      <c r="D23" s="13" t="s">
        <v>15</v>
      </c>
      <c r="E23" s="14" t="s">
        <v>27</v>
      </c>
      <c r="F23" s="15" t="s">
        <v>19</v>
      </c>
      <c r="G23" s="16" t="s">
        <v>27</v>
      </c>
      <c r="H23" s="17" t="s">
        <v>12</v>
      </c>
      <c r="I23" s="18" t="s">
        <v>27</v>
      </c>
      <c r="J23" s="19" t="s">
        <v>16</v>
      </c>
      <c r="K23" s="20" t="s">
        <v>27</v>
      </c>
      <c r="L23" s="21" t="s">
        <v>20</v>
      </c>
      <c r="M23" s="22" t="s">
        <v>27</v>
      </c>
    </row>
    <row r="24">
      <c r="C24" s="12"/>
      <c r="D24" s="13" t="s">
        <v>17</v>
      </c>
      <c r="E24" s="14" t="s">
        <v>28</v>
      </c>
      <c r="F24" s="15" t="s">
        <v>21</v>
      </c>
      <c r="G24" s="16" t="s">
        <v>28</v>
      </c>
      <c r="H24" s="17" t="s">
        <v>14</v>
      </c>
      <c r="I24" s="18" t="s">
        <v>28</v>
      </c>
      <c r="J24" s="19" t="s">
        <v>18</v>
      </c>
      <c r="K24" s="20" t="s">
        <v>28</v>
      </c>
      <c r="L24" s="21" t="s">
        <v>13</v>
      </c>
      <c r="M24" s="22" t="s">
        <v>28</v>
      </c>
    </row>
    <row r="25">
      <c r="C25" s="12"/>
      <c r="D25" s="13" t="s">
        <v>19</v>
      </c>
      <c r="E25" s="13" t="s">
        <v>29</v>
      </c>
      <c r="F25" s="15" t="s">
        <v>12</v>
      </c>
      <c r="G25" s="15" t="s">
        <v>29</v>
      </c>
      <c r="H25" s="17" t="s">
        <v>16</v>
      </c>
      <c r="I25" s="17" t="s">
        <v>29</v>
      </c>
      <c r="J25" s="19" t="s">
        <v>20</v>
      </c>
      <c r="K25" s="19" t="s">
        <v>29</v>
      </c>
      <c r="L25" s="21" t="s">
        <v>15</v>
      </c>
      <c r="M25" s="21" t="s">
        <v>29</v>
      </c>
    </row>
    <row r="26">
      <c r="C26" s="12"/>
      <c r="D26" s="13" t="s">
        <v>21</v>
      </c>
      <c r="E26" s="13" t="s">
        <v>30</v>
      </c>
      <c r="F26" s="15" t="s">
        <v>14</v>
      </c>
      <c r="G26" s="15" t="s">
        <v>30</v>
      </c>
      <c r="H26" s="17" t="s">
        <v>18</v>
      </c>
      <c r="I26" s="17" t="s">
        <v>30</v>
      </c>
      <c r="J26" s="19" t="s">
        <v>13</v>
      </c>
      <c r="K26" s="19" t="s">
        <v>30</v>
      </c>
      <c r="L26" s="21" t="s">
        <v>17</v>
      </c>
      <c r="M26" s="21" t="s">
        <v>30</v>
      </c>
    </row>
    <row r="27">
      <c r="C27" s="12"/>
      <c r="D27" s="13" t="s">
        <v>12</v>
      </c>
      <c r="E27" s="13" t="s">
        <v>31</v>
      </c>
      <c r="F27" s="15" t="s">
        <v>16</v>
      </c>
      <c r="G27" s="15" t="s">
        <v>31</v>
      </c>
      <c r="H27" s="17" t="s">
        <v>20</v>
      </c>
      <c r="I27" s="17" t="s">
        <v>31</v>
      </c>
      <c r="J27" s="19" t="s">
        <v>15</v>
      </c>
      <c r="K27" s="19" t="s">
        <v>31</v>
      </c>
      <c r="L27" s="21" t="s">
        <v>19</v>
      </c>
      <c r="M27" s="21" t="s">
        <v>31</v>
      </c>
    </row>
    <row r="28">
      <c r="C28" s="12"/>
      <c r="D28" s="13" t="s">
        <v>14</v>
      </c>
      <c r="E28" s="13" t="s">
        <v>32</v>
      </c>
      <c r="F28" s="15" t="s">
        <v>18</v>
      </c>
      <c r="G28" s="15" t="s">
        <v>32</v>
      </c>
      <c r="H28" s="17" t="s">
        <v>13</v>
      </c>
      <c r="I28" s="17" t="s">
        <v>32</v>
      </c>
      <c r="J28" s="19" t="s">
        <v>17</v>
      </c>
      <c r="K28" s="19" t="s">
        <v>32</v>
      </c>
      <c r="L28" s="21" t="s">
        <v>21</v>
      </c>
      <c r="M28" s="21" t="s">
        <v>32</v>
      </c>
    </row>
    <row r="29">
      <c r="C29" s="12"/>
      <c r="D29" s="13" t="s">
        <v>16</v>
      </c>
      <c r="E29" s="14" t="s">
        <v>33</v>
      </c>
      <c r="F29" s="15" t="s">
        <v>20</v>
      </c>
      <c r="G29" s="16" t="s">
        <v>33</v>
      </c>
      <c r="H29" s="17" t="s">
        <v>15</v>
      </c>
      <c r="I29" s="18" t="s">
        <v>33</v>
      </c>
      <c r="J29" s="19" t="s">
        <v>19</v>
      </c>
      <c r="K29" s="20" t="s">
        <v>33</v>
      </c>
      <c r="L29" s="21" t="s">
        <v>12</v>
      </c>
      <c r="M29" s="22" t="s">
        <v>33</v>
      </c>
    </row>
    <row r="30">
      <c r="C30" s="12"/>
      <c r="D30" s="13" t="s">
        <v>18</v>
      </c>
      <c r="E30" s="14" t="s">
        <v>34</v>
      </c>
      <c r="F30" s="15" t="s">
        <v>13</v>
      </c>
      <c r="G30" s="16" t="s">
        <v>34</v>
      </c>
      <c r="H30" s="17" t="s">
        <v>17</v>
      </c>
      <c r="I30" s="18" t="s">
        <v>34</v>
      </c>
      <c r="J30" s="19" t="s">
        <v>21</v>
      </c>
      <c r="K30" s="20" t="s">
        <v>34</v>
      </c>
      <c r="L30" s="21" t="s">
        <v>14</v>
      </c>
      <c r="M30" s="22" t="s">
        <v>34</v>
      </c>
    </row>
    <row r="33">
      <c r="A33" s="1"/>
      <c r="B33" s="2"/>
      <c r="C33" s="1" t="s">
        <v>35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1" t="s">
        <v>36</v>
      </c>
      <c r="D34" s="2"/>
      <c r="E34" s="2"/>
      <c r="F34" s="2"/>
      <c r="G34" s="2"/>
      <c r="H34" s="23" t="s">
        <v>37</v>
      </c>
      <c r="I34" s="2"/>
      <c r="J34" s="2"/>
      <c r="K34" s="2"/>
      <c r="L34" s="2"/>
      <c r="M34" s="2"/>
      <c r="N34" s="2"/>
      <c r="O34" s="2"/>
    </row>
    <row r="35">
      <c r="A35" s="2"/>
      <c r="B35" s="2"/>
      <c r="C35" s="24" t="s">
        <v>38</v>
      </c>
      <c r="D35" s="25" t="s">
        <v>39</v>
      </c>
      <c r="E35" s="25" t="s">
        <v>40</v>
      </c>
      <c r="F35" s="25" t="s">
        <v>41</v>
      </c>
      <c r="G35" s="25" t="s">
        <v>42</v>
      </c>
      <c r="H35" s="23" t="s">
        <v>43</v>
      </c>
      <c r="I35" s="2"/>
      <c r="J35" s="2"/>
      <c r="K35" s="2"/>
      <c r="L35" s="2"/>
      <c r="M35" s="2"/>
      <c r="N35" s="2"/>
      <c r="O35" s="2"/>
    </row>
    <row r="36">
      <c r="A36" s="24" t="s">
        <v>44</v>
      </c>
      <c r="B36" s="1" t="s">
        <v>45</v>
      </c>
      <c r="C36" s="26" t="s">
        <v>21</v>
      </c>
      <c r="D36" s="27" t="s">
        <v>21</v>
      </c>
      <c r="E36" s="27" t="s">
        <v>14</v>
      </c>
      <c r="F36" s="27" t="s">
        <v>13</v>
      </c>
      <c r="G36" s="27" t="s">
        <v>18</v>
      </c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8" t="s">
        <v>34</v>
      </c>
      <c r="D37" s="29" t="s">
        <v>28</v>
      </c>
      <c r="E37" s="15" t="s">
        <v>32</v>
      </c>
      <c r="F37" s="29" t="s">
        <v>30</v>
      </c>
      <c r="G37" s="27" t="s">
        <v>26</v>
      </c>
      <c r="H37" s="2"/>
      <c r="I37" s="2"/>
      <c r="J37" s="2"/>
      <c r="K37" s="2"/>
      <c r="L37" s="2"/>
      <c r="M37" s="2"/>
      <c r="N37" s="2"/>
      <c r="O37" s="2"/>
    </row>
    <row r="38">
      <c r="A38" s="2"/>
      <c r="B38" s="1" t="s">
        <v>46</v>
      </c>
      <c r="C38" s="24">
        <v>2.0</v>
      </c>
      <c r="D38" s="24">
        <v>8.0</v>
      </c>
      <c r="E38" s="2"/>
      <c r="F38" s="24">
        <v>10.0</v>
      </c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1" t="s">
        <v>46</v>
      </c>
      <c r="C39" s="24" t="s">
        <v>47</v>
      </c>
      <c r="D39" s="1" t="s">
        <v>48</v>
      </c>
      <c r="E39" s="2"/>
      <c r="F39" s="1" t="s">
        <v>48</v>
      </c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1" t="s">
        <v>49</v>
      </c>
      <c r="D43" s="2"/>
      <c r="E43" s="2"/>
      <c r="F43" s="2"/>
      <c r="G43" s="2"/>
      <c r="H43" s="23" t="s">
        <v>37</v>
      </c>
      <c r="I43" s="2"/>
      <c r="J43" s="2"/>
      <c r="K43" s="2"/>
      <c r="L43" s="2"/>
      <c r="M43" s="2"/>
      <c r="N43" s="2"/>
      <c r="O43" s="2"/>
    </row>
    <row r="44">
      <c r="A44" s="2"/>
      <c r="B44" s="2"/>
      <c r="C44" s="24" t="s">
        <v>38</v>
      </c>
      <c r="D44" s="25" t="s">
        <v>39</v>
      </c>
      <c r="E44" s="25" t="s">
        <v>40</v>
      </c>
      <c r="F44" s="25" t="s">
        <v>41</v>
      </c>
      <c r="G44" s="25" t="s">
        <v>42</v>
      </c>
      <c r="H44" s="23" t="s">
        <v>43</v>
      </c>
      <c r="I44" s="2"/>
      <c r="J44" s="2"/>
      <c r="K44" s="2"/>
      <c r="L44" s="2"/>
      <c r="M44" s="2"/>
      <c r="N44" s="2"/>
      <c r="O44" s="2"/>
    </row>
    <row r="45">
      <c r="A45" s="24" t="s">
        <v>44</v>
      </c>
      <c r="B45" s="1" t="s">
        <v>45</v>
      </c>
      <c r="C45" s="29" t="s">
        <v>18</v>
      </c>
      <c r="D45" s="15" t="s">
        <v>13</v>
      </c>
      <c r="E45" s="15" t="s">
        <v>12</v>
      </c>
      <c r="F45" s="15" t="s">
        <v>17</v>
      </c>
      <c r="G45" s="15" t="s">
        <v>17</v>
      </c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9" t="s">
        <v>30</v>
      </c>
      <c r="D46" s="28" t="s">
        <v>26</v>
      </c>
      <c r="E46" s="16" t="s">
        <v>27</v>
      </c>
      <c r="F46" s="28" t="s">
        <v>24</v>
      </c>
      <c r="G46" s="15" t="s">
        <v>30</v>
      </c>
      <c r="H46" s="2"/>
      <c r="I46" s="2"/>
      <c r="J46" s="2"/>
      <c r="K46" s="2"/>
      <c r="L46" s="2"/>
      <c r="M46" s="2"/>
      <c r="N46" s="2"/>
      <c r="O46" s="2"/>
    </row>
    <row r="47">
      <c r="A47" s="2"/>
      <c r="B47" s="1" t="s">
        <v>46</v>
      </c>
      <c r="C47" s="24">
        <v>10.0</v>
      </c>
      <c r="D47" s="24">
        <v>6.0</v>
      </c>
      <c r="E47" s="2"/>
      <c r="F47" s="24">
        <v>4.0</v>
      </c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1" t="s">
        <v>46</v>
      </c>
      <c r="C48" s="24" t="s">
        <v>50</v>
      </c>
      <c r="D48" s="1" t="s">
        <v>48</v>
      </c>
      <c r="E48" s="2"/>
      <c r="F48" s="1" t="s">
        <v>48</v>
      </c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1" t="s">
        <v>51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4" t="s">
        <v>38</v>
      </c>
      <c r="D53" s="25" t="s">
        <v>39</v>
      </c>
      <c r="E53" s="25" t="s">
        <v>40</v>
      </c>
      <c r="F53" s="25" t="s">
        <v>41</v>
      </c>
      <c r="G53" s="25" t="s">
        <v>42</v>
      </c>
      <c r="H53" s="2"/>
      <c r="I53" s="2"/>
      <c r="J53" s="2"/>
      <c r="K53" s="2"/>
      <c r="L53" s="2"/>
      <c r="M53" s="2"/>
      <c r="N53" s="2"/>
      <c r="O53" s="2"/>
    </row>
    <row r="54">
      <c r="A54" s="24" t="s">
        <v>44</v>
      </c>
      <c r="B54" s="1" t="s">
        <v>45</v>
      </c>
      <c r="C54" s="29" t="s">
        <v>14</v>
      </c>
      <c r="D54" s="15" t="s">
        <v>19</v>
      </c>
      <c r="E54" s="15" t="s">
        <v>20</v>
      </c>
      <c r="F54" s="15" t="s">
        <v>17</v>
      </c>
      <c r="G54" s="27" t="s">
        <v>18</v>
      </c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8" t="s">
        <v>26</v>
      </c>
      <c r="D55" s="16" t="s">
        <v>33</v>
      </c>
      <c r="E55" s="16" t="s">
        <v>33</v>
      </c>
      <c r="F55" s="15" t="s">
        <v>32</v>
      </c>
      <c r="G55" s="27" t="s">
        <v>26</v>
      </c>
      <c r="H55" s="2"/>
      <c r="I55" s="2"/>
      <c r="J55" s="2"/>
      <c r="K55" s="2"/>
      <c r="L55" s="2"/>
      <c r="M55" s="2"/>
      <c r="N55" s="2"/>
      <c r="O55" s="2"/>
    </row>
    <row r="56">
      <c r="A56" s="2"/>
      <c r="B56" s="1" t="s">
        <v>46</v>
      </c>
      <c r="C56" s="29">
        <v>6.0</v>
      </c>
      <c r="D56" s="29">
        <v>1.0</v>
      </c>
      <c r="E56" s="30"/>
      <c r="F56" s="29">
        <v>12.0</v>
      </c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1" t="s">
        <v>46</v>
      </c>
      <c r="C57" s="1" t="s">
        <v>52</v>
      </c>
      <c r="D57" s="1" t="s">
        <v>48</v>
      </c>
      <c r="E57" s="2"/>
      <c r="F57" s="1" t="s">
        <v>48</v>
      </c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3" t="s">
        <v>53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3" t="s">
        <v>54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9" t="s">
        <v>55</v>
      </c>
      <c r="E60" s="23" t="s">
        <v>56</v>
      </c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9" t="s">
        <v>57</v>
      </c>
      <c r="E61" s="23" t="s">
        <v>58</v>
      </c>
      <c r="G61" s="2"/>
      <c r="H61" s="2"/>
      <c r="I61" s="2"/>
      <c r="J61" s="2"/>
      <c r="K61" s="2"/>
      <c r="L61" s="2"/>
      <c r="M61" s="2"/>
      <c r="N61" s="2"/>
      <c r="O61" s="2"/>
    </row>
    <row r="62">
      <c r="E62" s="31" t="s">
        <v>59</v>
      </c>
    </row>
    <row r="65">
      <c r="A65" s="2"/>
      <c r="B65" s="2"/>
      <c r="C65" s="1" t="s">
        <v>60</v>
      </c>
      <c r="D65" s="2"/>
      <c r="E65" s="2"/>
      <c r="F65" s="2"/>
      <c r="G65" s="2"/>
      <c r="H65" s="23" t="s">
        <v>37</v>
      </c>
    </row>
    <row r="66">
      <c r="A66" s="2"/>
      <c r="B66" s="2"/>
      <c r="C66" s="24" t="s">
        <v>38</v>
      </c>
      <c r="D66" s="25" t="s">
        <v>39</v>
      </c>
      <c r="E66" s="25" t="s">
        <v>40</v>
      </c>
      <c r="F66" s="25" t="s">
        <v>41</v>
      </c>
      <c r="G66" s="25" t="s">
        <v>42</v>
      </c>
      <c r="H66" s="23" t="s">
        <v>43</v>
      </c>
    </row>
    <row r="67">
      <c r="A67" s="24" t="s">
        <v>44</v>
      </c>
      <c r="B67" s="1" t="s">
        <v>45</v>
      </c>
      <c r="C67" s="32" t="s">
        <v>14</v>
      </c>
      <c r="D67" s="15" t="s">
        <v>16</v>
      </c>
      <c r="E67" s="15" t="s">
        <v>20</v>
      </c>
      <c r="F67" s="15" t="s">
        <v>15</v>
      </c>
      <c r="G67" s="15" t="s">
        <v>15</v>
      </c>
    </row>
    <row r="68">
      <c r="A68" s="2"/>
      <c r="B68" s="2"/>
      <c r="C68" s="29" t="s">
        <v>30</v>
      </c>
      <c r="D68" s="16" t="s">
        <v>25</v>
      </c>
      <c r="E68" s="15" t="s">
        <v>29</v>
      </c>
      <c r="F68" s="16" t="s">
        <v>25</v>
      </c>
      <c r="G68" s="15" t="s">
        <v>29</v>
      </c>
    </row>
    <row r="69">
      <c r="A69" s="2"/>
      <c r="B69" s="1" t="s">
        <v>46</v>
      </c>
      <c r="C69" s="24">
        <v>10.0</v>
      </c>
      <c r="D69" s="24">
        <v>5.0</v>
      </c>
      <c r="E69" s="2"/>
      <c r="F69" s="24">
        <v>5.0</v>
      </c>
      <c r="G69" s="2"/>
    </row>
    <row r="70">
      <c r="A70" s="2"/>
      <c r="B70" s="1" t="s">
        <v>46</v>
      </c>
      <c r="C70" s="24" t="s">
        <v>61</v>
      </c>
      <c r="D70" s="1" t="s">
        <v>48</v>
      </c>
      <c r="E70" s="2"/>
      <c r="F70" s="1" t="s">
        <v>48</v>
      </c>
      <c r="G70" s="2"/>
    </row>
    <row r="74">
      <c r="A74" s="2"/>
      <c r="B74" s="2"/>
      <c r="C74" s="1" t="s">
        <v>62</v>
      </c>
      <c r="D74" s="2"/>
      <c r="E74" s="2"/>
      <c r="F74" s="2"/>
      <c r="G74" s="2"/>
      <c r="H74" s="23" t="s">
        <v>37</v>
      </c>
    </row>
    <row r="75">
      <c r="A75" s="2"/>
      <c r="B75" s="2"/>
      <c r="C75" s="24" t="s">
        <v>38</v>
      </c>
      <c r="D75" s="25" t="s">
        <v>39</v>
      </c>
      <c r="E75" s="25" t="s">
        <v>40</v>
      </c>
      <c r="F75" s="25" t="s">
        <v>41</v>
      </c>
      <c r="G75" s="25" t="s">
        <v>42</v>
      </c>
      <c r="H75" s="23" t="s">
        <v>43</v>
      </c>
    </row>
    <row r="76">
      <c r="A76" s="24" t="s">
        <v>44</v>
      </c>
      <c r="B76" s="1" t="s">
        <v>45</v>
      </c>
      <c r="C76" s="32" t="s">
        <v>12</v>
      </c>
      <c r="D76" s="15" t="s">
        <v>13</v>
      </c>
      <c r="E76" s="15" t="s">
        <v>16</v>
      </c>
      <c r="F76" s="15" t="s">
        <v>16</v>
      </c>
      <c r="G76" s="27" t="s">
        <v>21</v>
      </c>
    </row>
    <row r="77">
      <c r="A77" s="2"/>
      <c r="B77" s="2"/>
      <c r="C77" s="28" t="s">
        <v>33</v>
      </c>
      <c r="D77" s="28" t="s">
        <v>34</v>
      </c>
      <c r="E77" s="15" t="s">
        <v>29</v>
      </c>
      <c r="F77" s="28" t="s">
        <v>25</v>
      </c>
      <c r="G77" s="15" t="s">
        <v>29</v>
      </c>
    </row>
    <row r="78">
      <c r="A78" s="2"/>
      <c r="B78" s="1" t="s">
        <v>46</v>
      </c>
      <c r="C78" s="24">
        <v>1.0</v>
      </c>
      <c r="D78" s="24">
        <v>2.0</v>
      </c>
      <c r="E78" s="2"/>
      <c r="F78" s="24">
        <v>5.0</v>
      </c>
      <c r="G78" s="2"/>
    </row>
    <row r="79">
      <c r="A79" s="2"/>
      <c r="B79" s="1" t="s">
        <v>46</v>
      </c>
      <c r="C79" s="24" t="s">
        <v>63</v>
      </c>
      <c r="D79" s="1" t="s">
        <v>48</v>
      </c>
      <c r="E79" s="2"/>
      <c r="F79" s="1" t="s">
        <v>48</v>
      </c>
      <c r="G79" s="2"/>
    </row>
    <row r="82">
      <c r="A82" s="2"/>
      <c r="B82" s="2"/>
      <c r="C82" s="1" t="s">
        <v>64</v>
      </c>
      <c r="D82" s="2"/>
      <c r="E82" s="2"/>
      <c r="F82" s="2"/>
      <c r="G82" s="2"/>
      <c r="H82" s="23" t="s">
        <v>37</v>
      </c>
    </row>
    <row r="83">
      <c r="A83" s="2"/>
      <c r="B83" s="2"/>
      <c r="C83" s="24" t="s">
        <v>38</v>
      </c>
      <c r="D83" s="25" t="s">
        <v>39</v>
      </c>
      <c r="E83" s="25" t="s">
        <v>40</v>
      </c>
      <c r="F83" s="25" t="s">
        <v>41</v>
      </c>
      <c r="G83" s="25" t="s">
        <v>42</v>
      </c>
      <c r="H83" s="23" t="s">
        <v>43</v>
      </c>
    </row>
    <row r="84">
      <c r="A84" s="24" t="s">
        <v>44</v>
      </c>
      <c r="B84" s="1" t="s">
        <v>45</v>
      </c>
      <c r="C84" s="32" t="s">
        <v>16</v>
      </c>
      <c r="D84" s="27" t="s">
        <v>18</v>
      </c>
      <c r="E84" s="15" t="s">
        <v>14</v>
      </c>
      <c r="F84" s="27" t="s">
        <v>18</v>
      </c>
      <c r="G84" s="15" t="s">
        <v>17</v>
      </c>
    </row>
    <row r="85">
      <c r="A85" s="2"/>
      <c r="B85" s="2"/>
      <c r="C85" s="32" t="s">
        <v>29</v>
      </c>
      <c r="D85" s="32" t="s">
        <v>32</v>
      </c>
      <c r="E85" s="16" t="s">
        <v>24</v>
      </c>
      <c r="F85" s="32" t="s">
        <v>30</v>
      </c>
      <c r="G85" s="15" t="s">
        <v>30</v>
      </c>
    </row>
    <row r="86">
      <c r="A86" s="2"/>
      <c r="B86" s="1" t="s">
        <v>46</v>
      </c>
      <c r="C86" s="24">
        <v>1.0</v>
      </c>
      <c r="D86" s="24">
        <v>2.0</v>
      </c>
      <c r="E86" s="2"/>
      <c r="F86" s="24">
        <v>5.0</v>
      </c>
      <c r="G86" s="2"/>
    </row>
    <row r="87">
      <c r="A87" s="2"/>
      <c r="B87" s="1" t="s">
        <v>46</v>
      </c>
      <c r="C87" s="24" t="s">
        <v>65</v>
      </c>
      <c r="D87" s="1" t="s">
        <v>48</v>
      </c>
      <c r="E87" s="2"/>
      <c r="F87" s="1" t="s">
        <v>48</v>
      </c>
      <c r="G87" s="2"/>
    </row>
    <row r="88">
      <c r="C88" s="29" t="s">
        <v>55</v>
      </c>
      <c r="E88" s="23" t="s">
        <v>56</v>
      </c>
    </row>
    <row r="89">
      <c r="C89" s="29" t="s">
        <v>66</v>
      </c>
      <c r="E89" s="23" t="s">
        <v>67</v>
      </c>
    </row>
    <row r="90">
      <c r="E90" s="31" t="s">
        <v>68</v>
      </c>
    </row>
  </sheetData>
  <mergeCells count="14">
    <mergeCell ref="C60:D60"/>
    <mergeCell ref="C61:D61"/>
    <mergeCell ref="E61:F61"/>
    <mergeCell ref="C88:D88"/>
    <mergeCell ref="E88:F88"/>
    <mergeCell ref="C89:D89"/>
    <mergeCell ref="E89:F89"/>
    <mergeCell ref="C16:M16"/>
    <mergeCell ref="D18:E18"/>
    <mergeCell ref="F18:G18"/>
    <mergeCell ref="H18:I18"/>
    <mergeCell ref="J18:K18"/>
    <mergeCell ref="L18:M18"/>
    <mergeCell ref="E60:F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1">
      <c r="A1" s="1">
        <v>1.0</v>
      </c>
      <c r="B1" s="1" t="s">
        <v>69</v>
      </c>
      <c r="C1" s="2"/>
      <c r="D1" s="2"/>
      <c r="E1" s="2"/>
      <c r="F1" s="2"/>
      <c r="G1" s="2"/>
      <c r="H1" s="2"/>
      <c r="I1" s="2"/>
      <c r="J1" s="2"/>
    </row>
    <row r="2">
      <c r="A2" s="2"/>
      <c r="B2" s="1" t="s">
        <v>70</v>
      </c>
      <c r="C2" s="1" t="s">
        <v>71</v>
      </c>
      <c r="D2" s="1" t="s">
        <v>72</v>
      </c>
      <c r="E2" s="1" t="s">
        <v>73</v>
      </c>
      <c r="F2" s="2"/>
      <c r="G2" s="2"/>
      <c r="H2" s="2"/>
      <c r="I2" s="2"/>
      <c r="J2" s="2"/>
    </row>
    <row r="3">
      <c r="A3" s="2"/>
      <c r="B3" s="1" t="s">
        <v>70</v>
      </c>
      <c r="C3" s="1" t="s">
        <v>71</v>
      </c>
      <c r="D3" s="1" t="s">
        <v>74</v>
      </c>
      <c r="E3" s="1" t="s">
        <v>75</v>
      </c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1" t="s">
        <v>76</v>
      </c>
      <c r="C5" s="1" t="s">
        <v>71</v>
      </c>
      <c r="D5" s="1" t="s">
        <v>72</v>
      </c>
      <c r="E5" s="1" t="s">
        <v>75</v>
      </c>
      <c r="F5" s="2"/>
      <c r="G5" s="2"/>
      <c r="H5" s="2"/>
      <c r="I5" s="2"/>
      <c r="J5" s="2"/>
    </row>
    <row r="6">
      <c r="A6" s="2"/>
      <c r="B6" s="1" t="s">
        <v>76</v>
      </c>
      <c r="C6" s="1" t="s">
        <v>71</v>
      </c>
      <c r="D6" s="1" t="s">
        <v>74</v>
      </c>
      <c r="E6" s="1" t="s">
        <v>73</v>
      </c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1">
        <v>2.0</v>
      </c>
      <c r="B8" s="1" t="s">
        <v>77</v>
      </c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1">
        <v>3.0</v>
      </c>
      <c r="B10" s="1" t="s">
        <v>78</v>
      </c>
      <c r="C10" s="2"/>
      <c r="D10" s="2"/>
      <c r="E10" s="2"/>
      <c r="F10" s="2"/>
      <c r="G10" s="2"/>
      <c r="H10" s="2"/>
      <c r="I10" s="2"/>
      <c r="J10" s="2"/>
    </row>
    <row r="11">
      <c r="A11" s="2"/>
      <c r="B11" s="1" t="s">
        <v>79</v>
      </c>
      <c r="C11" s="2"/>
      <c r="D11" s="2"/>
      <c r="E11" s="2"/>
      <c r="F11" s="2"/>
      <c r="G11" s="2"/>
      <c r="H11" s="2"/>
      <c r="I11" s="2"/>
      <c r="J11" s="2"/>
    </row>
    <row r="12">
      <c r="A12" s="2"/>
      <c r="B12" s="27" t="s">
        <v>45</v>
      </c>
      <c r="C12" s="27" t="s">
        <v>45</v>
      </c>
      <c r="D12" s="27" t="s">
        <v>45</v>
      </c>
      <c r="E12" s="27" t="s">
        <v>45</v>
      </c>
      <c r="F12" s="27" t="s">
        <v>45</v>
      </c>
      <c r="G12" s="27" t="s">
        <v>45</v>
      </c>
      <c r="H12" s="27" t="s">
        <v>45</v>
      </c>
      <c r="I12" s="27" t="s">
        <v>45</v>
      </c>
      <c r="J12" s="27" t="s">
        <v>45</v>
      </c>
      <c r="K12" s="27" t="s">
        <v>45</v>
      </c>
    </row>
    <row r="13">
      <c r="A13" s="2"/>
      <c r="B13" s="27" t="s">
        <v>80</v>
      </c>
      <c r="C13" s="27" t="s">
        <v>81</v>
      </c>
      <c r="D13" s="27" t="s">
        <v>82</v>
      </c>
      <c r="E13" s="27" t="s">
        <v>83</v>
      </c>
      <c r="F13" s="27" t="s">
        <v>84</v>
      </c>
      <c r="G13" s="27" t="s">
        <v>85</v>
      </c>
      <c r="H13" s="27" t="s">
        <v>86</v>
      </c>
      <c r="I13" s="27" t="s">
        <v>87</v>
      </c>
      <c r="J13" s="27" t="s">
        <v>88</v>
      </c>
      <c r="K13" s="27" t="s">
        <v>89</v>
      </c>
      <c r="L13" s="33" t="s">
        <v>90</v>
      </c>
    </row>
    <row r="14">
      <c r="A14" s="2"/>
      <c r="B14" s="34" t="s">
        <v>12</v>
      </c>
      <c r="C14" s="27" t="s">
        <v>21</v>
      </c>
      <c r="D14" s="27" t="s">
        <v>19</v>
      </c>
      <c r="E14" s="27" t="s">
        <v>17</v>
      </c>
      <c r="F14" s="27" t="s">
        <v>15</v>
      </c>
      <c r="G14" s="27" t="s">
        <v>13</v>
      </c>
      <c r="H14" s="27" t="s">
        <v>20</v>
      </c>
      <c r="I14" s="27" t="s">
        <v>18</v>
      </c>
      <c r="J14" s="27" t="s">
        <v>16</v>
      </c>
      <c r="K14" s="27" t="s">
        <v>14</v>
      </c>
      <c r="L14" s="34" t="s">
        <v>12</v>
      </c>
    </row>
    <row r="15">
      <c r="A15" s="2"/>
      <c r="B15" s="27" t="s">
        <v>31</v>
      </c>
      <c r="C15" s="27" t="s">
        <v>30</v>
      </c>
      <c r="D15" s="27" t="s">
        <v>29</v>
      </c>
      <c r="E15" s="27" t="s">
        <v>28</v>
      </c>
      <c r="F15" s="27" t="s">
        <v>27</v>
      </c>
      <c r="G15" s="27" t="s">
        <v>26</v>
      </c>
      <c r="H15" s="27" t="s">
        <v>25</v>
      </c>
      <c r="I15" s="27" t="s">
        <v>24</v>
      </c>
      <c r="J15" s="27" t="s">
        <v>23</v>
      </c>
      <c r="K15" s="27" t="s">
        <v>34</v>
      </c>
      <c r="L15" s="34" t="s">
        <v>33</v>
      </c>
    </row>
    <row r="16">
      <c r="A16" s="2"/>
      <c r="B16" s="27" t="s">
        <v>91</v>
      </c>
      <c r="C16" s="27" t="s">
        <v>92</v>
      </c>
      <c r="D16" s="27" t="s">
        <v>93</v>
      </c>
      <c r="E16" s="27" t="s">
        <v>94</v>
      </c>
      <c r="F16" s="27" t="s">
        <v>95</v>
      </c>
      <c r="G16" s="27" t="s">
        <v>96</v>
      </c>
      <c r="H16" s="27" t="s">
        <v>97</v>
      </c>
      <c r="I16" s="27" t="s">
        <v>98</v>
      </c>
      <c r="J16" s="27" t="s">
        <v>99</v>
      </c>
      <c r="K16" s="27" t="s">
        <v>100</v>
      </c>
      <c r="L16" s="35"/>
    </row>
    <row r="17">
      <c r="A17" s="2"/>
      <c r="B17" s="1"/>
      <c r="C17" s="2"/>
      <c r="D17" s="2"/>
      <c r="E17" s="2"/>
      <c r="F17" s="2"/>
      <c r="G17" s="2"/>
      <c r="H17" s="2"/>
      <c r="I17" s="2"/>
      <c r="J17" s="2"/>
    </row>
    <row r="18">
      <c r="A18" s="2"/>
      <c r="B18" s="1" t="s">
        <v>101</v>
      </c>
      <c r="C18" s="2"/>
      <c r="D18" s="2"/>
      <c r="E18" s="2"/>
      <c r="F18" s="2"/>
      <c r="G18" s="2"/>
      <c r="H18" s="2"/>
      <c r="I18" s="2"/>
      <c r="J18" s="2"/>
      <c r="K18" s="27"/>
    </row>
    <row r="19">
      <c r="A19" s="2"/>
      <c r="B19" s="25" t="s">
        <v>102</v>
      </c>
      <c r="C19" s="25" t="s">
        <v>102</v>
      </c>
      <c r="D19" s="25" t="s">
        <v>102</v>
      </c>
      <c r="E19" s="25" t="s">
        <v>102</v>
      </c>
      <c r="F19" s="25" t="s">
        <v>102</v>
      </c>
      <c r="G19" s="25" t="s">
        <v>102</v>
      </c>
      <c r="H19" s="25" t="s">
        <v>102</v>
      </c>
      <c r="I19" s="25" t="s">
        <v>102</v>
      </c>
      <c r="J19" s="25" t="s">
        <v>102</v>
      </c>
      <c r="K19" s="25" t="s">
        <v>102</v>
      </c>
    </row>
    <row r="20">
      <c r="A20" s="2"/>
      <c r="B20" s="27" t="s">
        <v>80</v>
      </c>
      <c r="C20" s="27" t="s">
        <v>81</v>
      </c>
      <c r="D20" s="27" t="s">
        <v>82</v>
      </c>
      <c r="E20" s="27" t="s">
        <v>83</v>
      </c>
      <c r="F20" s="27" t="s">
        <v>84</v>
      </c>
      <c r="G20" s="27" t="s">
        <v>85</v>
      </c>
      <c r="H20" s="27" t="s">
        <v>86</v>
      </c>
      <c r="I20" s="27" t="s">
        <v>87</v>
      </c>
      <c r="J20" s="27" t="s">
        <v>88</v>
      </c>
      <c r="K20" s="27" t="s">
        <v>89</v>
      </c>
      <c r="L20" s="33" t="s">
        <v>90</v>
      </c>
    </row>
    <row r="21">
      <c r="A21" s="2"/>
      <c r="B21" s="34" t="s">
        <v>12</v>
      </c>
      <c r="C21" s="27" t="s">
        <v>14</v>
      </c>
      <c r="D21" s="27" t="s">
        <v>16</v>
      </c>
      <c r="E21" s="27" t="s">
        <v>18</v>
      </c>
      <c r="F21" s="27" t="s">
        <v>20</v>
      </c>
      <c r="G21" s="27" t="s">
        <v>13</v>
      </c>
      <c r="H21" s="27" t="s">
        <v>15</v>
      </c>
      <c r="I21" s="27" t="s">
        <v>17</v>
      </c>
      <c r="J21" s="27" t="s">
        <v>19</v>
      </c>
      <c r="K21" s="27" t="s">
        <v>21</v>
      </c>
      <c r="L21" s="34" t="s">
        <v>12</v>
      </c>
    </row>
    <row r="22">
      <c r="A22" s="2"/>
      <c r="B22" s="27" t="s">
        <v>23</v>
      </c>
      <c r="C22" s="27" t="s">
        <v>24</v>
      </c>
      <c r="D22" s="27" t="s">
        <v>25</v>
      </c>
      <c r="E22" s="27" t="s">
        <v>26</v>
      </c>
      <c r="F22" s="27" t="s">
        <v>27</v>
      </c>
      <c r="G22" s="27" t="s">
        <v>28</v>
      </c>
      <c r="H22" s="27" t="s">
        <v>29</v>
      </c>
      <c r="I22" s="27" t="s">
        <v>30</v>
      </c>
      <c r="J22" s="27" t="s">
        <v>31</v>
      </c>
      <c r="K22" s="36" t="s">
        <v>32</v>
      </c>
      <c r="L22" s="34" t="s">
        <v>33</v>
      </c>
    </row>
    <row r="23">
      <c r="A23" s="2"/>
      <c r="B23" s="27" t="s">
        <v>91</v>
      </c>
      <c r="C23" s="27" t="s">
        <v>92</v>
      </c>
      <c r="D23" s="27" t="s">
        <v>93</v>
      </c>
      <c r="E23" s="27" t="s">
        <v>94</v>
      </c>
      <c r="F23" s="27" t="s">
        <v>95</v>
      </c>
      <c r="G23" s="27" t="s">
        <v>96</v>
      </c>
      <c r="H23" s="27" t="s">
        <v>97</v>
      </c>
      <c r="I23" s="27" t="s">
        <v>98</v>
      </c>
      <c r="J23" s="27" t="s">
        <v>99</v>
      </c>
      <c r="K23" s="27" t="s">
        <v>100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1">
        <v>4.0</v>
      </c>
      <c r="B25" s="1" t="s">
        <v>103</v>
      </c>
      <c r="C25" s="2"/>
      <c r="D25" s="2"/>
      <c r="E25" s="2"/>
      <c r="F25" s="2"/>
      <c r="G25" s="2"/>
      <c r="H25" s="2"/>
      <c r="I25" s="2"/>
      <c r="J25" s="2"/>
    </row>
    <row r="26">
      <c r="B26" s="37" t="s">
        <v>104</v>
      </c>
    </row>
    <row r="27">
      <c r="B27" s="23" t="s">
        <v>105</v>
      </c>
      <c r="C27" s="23" t="s">
        <v>70</v>
      </c>
      <c r="D27" s="23" t="s">
        <v>71</v>
      </c>
      <c r="E27" s="23" t="s">
        <v>72</v>
      </c>
      <c r="F27" s="38"/>
      <c r="G27" s="23" t="s">
        <v>106</v>
      </c>
      <c r="H27" s="38"/>
      <c r="I27" s="38"/>
      <c r="J27" s="38"/>
      <c r="K27" s="38"/>
      <c r="L27" s="38"/>
      <c r="M27" s="38"/>
      <c r="N27" s="38"/>
    </row>
    <row r="28">
      <c r="B28" s="23" t="s">
        <v>105</v>
      </c>
      <c r="C28" s="23" t="s">
        <v>70</v>
      </c>
      <c r="D28" s="23" t="s">
        <v>71</v>
      </c>
      <c r="E28" s="23" t="s">
        <v>74</v>
      </c>
      <c r="F28" s="38"/>
      <c r="G28" s="23" t="s">
        <v>107</v>
      </c>
      <c r="H28" s="38"/>
      <c r="I28" s="38"/>
      <c r="J28" s="38"/>
      <c r="K28" s="38"/>
      <c r="L28" s="38"/>
      <c r="M28" s="38"/>
      <c r="N28" s="38"/>
    </row>
    <row r="29">
      <c r="B29" s="23" t="s">
        <v>105</v>
      </c>
      <c r="C29" s="23" t="s">
        <v>76</v>
      </c>
      <c r="D29" s="23" t="s">
        <v>71</v>
      </c>
      <c r="E29" s="23" t="s">
        <v>72</v>
      </c>
      <c r="F29" s="38"/>
      <c r="G29" s="23" t="s">
        <v>107</v>
      </c>
      <c r="H29" s="38"/>
      <c r="I29" s="38"/>
      <c r="J29" s="38"/>
      <c r="K29" s="38"/>
      <c r="L29" s="38"/>
      <c r="M29" s="38"/>
      <c r="N29" s="38"/>
    </row>
    <row r="30">
      <c r="B30" s="23" t="s">
        <v>105</v>
      </c>
      <c r="C30" s="23" t="s">
        <v>76</v>
      </c>
      <c r="D30" s="23" t="s">
        <v>71</v>
      </c>
      <c r="E30" s="23" t="s">
        <v>74</v>
      </c>
      <c r="F30" s="38"/>
      <c r="G30" s="23" t="s">
        <v>106</v>
      </c>
      <c r="H30" s="38"/>
      <c r="I30" s="38"/>
      <c r="J30" s="38"/>
      <c r="K30" s="38"/>
      <c r="L30" s="38"/>
      <c r="M30" s="38"/>
      <c r="N30" s="38"/>
    </row>
    <row r="31">
      <c r="B31" s="1" t="s">
        <v>108</v>
      </c>
    </row>
    <row r="32">
      <c r="B32" s="1" t="s">
        <v>109</v>
      </c>
    </row>
    <row r="33">
      <c r="B33" s="1" t="s">
        <v>110</v>
      </c>
      <c r="C33" s="2"/>
    </row>
    <row r="34">
      <c r="B34" s="1" t="s">
        <v>111</v>
      </c>
      <c r="C34" s="2"/>
    </row>
    <row r="36">
      <c r="A36" s="1">
        <v>5.0</v>
      </c>
      <c r="B36" s="1" t="s">
        <v>35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1" t="s">
        <v>36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7" t="s">
        <v>38</v>
      </c>
      <c r="C38" s="25" t="s">
        <v>39</v>
      </c>
      <c r="D38" s="25" t="s">
        <v>40</v>
      </c>
      <c r="E38" s="25" t="s">
        <v>41</v>
      </c>
      <c r="F38" s="25" t="s">
        <v>42</v>
      </c>
      <c r="G38" s="2"/>
      <c r="H38" s="2"/>
      <c r="I38" s="2"/>
      <c r="J38" s="2"/>
      <c r="K38" s="2"/>
    </row>
    <row r="39">
      <c r="A39" s="2"/>
      <c r="B39" s="27" t="s">
        <v>21</v>
      </c>
      <c r="C39" s="27" t="s">
        <v>21</v>
      </c>
      <c r="D39" s="27" t="s">
        <v>14</v>
      </c>
      <c r="E39" s="29" t="s">
        <v>13</v>
      </c>
      <c r="F39" s="27" t="s">
        <v>18</v>
      </c>
      <c r="G39" s="2"/>
      <c r="H39" s="2"/>
      <c r="I39" s="2"/>
      <c r="J39" s="2"/>
      <c r="K39" s="2"/>
    </row>
    <row r="40">
      <c r="A40" s="2"/>
      <c r="B40" s="27" t="s">
        <v>34</v>
      </c>
      <c r="C40" s="27" t="s">
        <v>28</v>
      </c>
      <c r="D40" s="15" t="s">
        <v>32</v>
      </c>
      <c r="E40" s="29" t="s">
        <v>30</v>
      </c>
      <c r="F40" s="27" t="s">
        <v>26</v>
      </c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1" t="s">
        <v>112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1" t="s">
        <v>113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1" t="s">
        <v>114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4" t="s">
        <v>115</v>
      </c>
      <c r="C47" s="24" t="s">
        <v>116</v>
      </c>
      <c r="D47" s="24" t="s">
        <v>117</v>
      </c>
      <c r="E47" s="24" t="s">
        <v>118</v>
      </c>
      <c r="F47" s="24" t="s">
        <v>119</v>
      </c>
      <c r="G47" s="24" t="s">
        <v>120</v>
      </c>
      <c r="H47" s="24" t="s">
        <v>121</v>
      </c>
      <c r="I47" s="24" t="s">
        <v>122</v>
      </c>
      <c r="J47" s="24" t="s">
        <v>123</v>
      </c>
      <c r="K47" s="24" t="s">
        <v>124</v>
      </c>
      <c r="L47" s="37" t="s">
        <v>90</v>
      </c>
    </row>
    <row r="48">
      <c r="A48" s="2"/>
      <c r="B48" s="27" t="s">
        <v>13</v>
      </c>
      <c r="C48" s="27" t="s">
        <v>20</v>
      </c>
      <c r="D48" s="27" t="s">
        <v>18</v>
      </c>
      <c r="E48" s="27" t="s">
        <v>16</v>
      </c>
      <c r="F48" s="27" t="s">
        <v>14</v>
      </c>
      <c r="G48" s="34" t="s">
        <v>12</v>
      </c>
      <c r="H48" s="27" t="s">
        <v>21</v>
      </c>
      <c r="I48" s="27" t="s">
        <v>19</v>
      </c>
      <c r="J48" s="27" t="s">
        <v>17</v>
      </c>
      <c r="K48" s="27" t="s">
        <v>15</v>
      </c>
      <c r="L48" s="29" t="s">
        <v>13</v>
      </c>
    </row>
    <row r="49">
      <c r="A49" s="2"/>
      <c r="B49" s="27" t="s">
        <v>28</v>
      </c>
      <c r="C49" s="27" t="s">
        <v>27</v>
      </c>
      <c r="D49" s="27" t="s">
        <v>26</v>
      </c>
      <c r="E49" s="27" t="s">
        <v>25</v>
      </c>
      <c r="F49" s="27" t="s">
        <v>24</v>
      </c>
      <c r="G49" s="27" t="s">
        <v>23</v>
      </c>
      <c r="H49" s="27" t="s">
        <v>34</v>
      </c>
      <c r="I49" s="34" t="s">
        <v>33</v>
      </c>
      <c r="J49" s="36" t="s">
        <v>32</v>
      </c>
      <c r="K49" s="27" t="s">
        <v>31</v>
      </c>
      <c r="L49" s="29" t="s">
        <v>30</v>
      </c>
    </row>
    <row r="50">
      <c r="A50" s="2"/>
      <c r="B50" s="24" t="s">
        <v>125</v>
      </c>
      <c r="C50" s="24" t="s">
        <v>126</v>
      </c>
      <c r="D50" s="24" t="s">
        <v>127</v>
      </c>
      <c r="E50" s="24" t="s">
        <v>128</v>
      </c>
      <c r="F50" s="24" t="s">
        <v>129</v>
      </c>
      <c r="G50" s="24" t="s">
        <v>130</v>
      </c>
      <c r="H50" s="24" t="s">
        <v>131</v>
      </c>
      <c r="I50" s="24" t="s">
        <v>132</v>
      </c>
      <c r="J50" s="24" t="s">
        <v>133</v>
      </c>
      <c r="K50" s="39">
        <v>46007.0</v>
      </c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40" t="s">
        <v>134</v>
      </c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4">
        <f t="shared" ref="B56:I56" si="1">C56+10</f>
        <v>97</v>
      </c>
      <c r="C56" s="24">
        <f t="shared" si="1"/>
        <v>87</v>
      </c>
      <c r="D56" s="24">
        <f t="shared" si="1"/>
        <v>77</v>
      </c>
      <c r="E56" s="24">
        <f t="shared" si="1"/>
        <v>67</v>
      </c>
      <c r="F56" s="24">
        <f t="shared" si="1"/>
        <v>57</v>
      </c>
      <c r="G56" s="24">
        <f t="shared" si="1"/>
        <v>47</v>
      </c>
      <c r="H56" s="24">
        <f t="shared" si="1"/>
        <v>37</v>
      </c>
      <c r="I56" s="24">
        <f t="shared" si="1"/>
        <v>27</v>
      </c>
      <c r="J56" s="24">
        <f>K59+5</f>
        <v>17</v>
      </c>
      <c r="K56" s="24">
        <v>7.24</v>
      </c>
      <c r="L56" s="37" t="s">
        <v>90</v>
      </c>
    </row>
    <row r="57">
      <c r="A57" s="2"/>
      <c r="B57" s="27" t="s">
        <v>13</v>
      </c>
      <c r="C57" s="27" t="s">
        <v>20</v>
      </c>
      <c r="D57" s="27" t="s">
        <v>18</v>
      </c>
      <c r="E57" s="27" t="s">
        <v>16</v>
      </c>
      <c r="F57" s="27" t="s">
        <v>14</v>
      </c>
      <c r="G57" s="34" t="s">
        <v>12</v>
      </c>
      <c r="H57" s="27" t="s">
        <v>21</v>
      </c>
      <c r="I57" s="27" t="s">
        <v>19</v>
      </c>
      <c r="J57" s="27" t="s">
        <v>17</v>
      </c>
      <c r="K57" s="27" t="s">
        <v>15</v>
      </c>
      <c r="L57" s="29" t="s">
        <v>13</v>
      </c>
    </row>
    <row r="58">
      <c r="A58" s="2"/>
      <c r="B58" s="27" t="s">
        <v>28</v>
      </c>
      <c r="C58" s="27" t="s">
        <v>27</v>
      </c>
      <c r="D58" s="27" t="s">
        <v>26</v>
      </c>
      <c r="E58" s="27" t="s">
        <v>25</v>
      </c>
      <c r="F58" s="27" t="s">
        <v>24</v>
      </c>
      <c r="G58" s="27" t="s">
        <v>23</v>
      </c>
      <c r="H58" s="27" t="s">
        <v>34</v>
      </c>
      <c r="I58" s="34" t="s">
        <v>33</v>
      </c>
      <c r="J58" s="36" t="s">
        <v>32</v>
      </c>
      <c r="K58" s="27" t="s">
        <v>31</v>
      </c>
      <c r="L58" s="29" t="s">
        <v>30</v>
      </c>
    </row>
    <row r="59">
      <c r="A59" s="2"/>
      <c r="B59" s="24">
        <f t="shared" ref="B59:J59" si="2">C59+10</f>
        <v>102</v>
      </c>
      <c r="C59" s="24">
        <f t="shared" si="2"/>
        <v>92</v>
      </c>
      <c r="D59" s="24">
        <f t="shared" si="2"/>
        <v>82</v>
      </c>
      <c r="E59" s="24">
        <f t="shared" si="2"/>
        <v>72</v>
      </c>
      <c r="F59" s="24">
        <f t="shared" si="2"/>
        <v>62</v>
      </c>
      <c r="G59" s="24">
        <f t="shared" si="2"/>
        <v>52</v>
      </c>
      <c r="H59" s="24">
        <f t="shared" si="2"/>
        <v>42</v>
      </c>
      <c r="I59" s="24">
        <f t="shared" si="2"/>
        <v>32</v>
      </c>
      <c r="J59" s="24">
        <f t="shared" si="2"/>
        <v>22</v>
      </c>
      <c r="K59" s="24">
        <v>12.0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9" t="s">
        <v>135</v>
      </c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1">
        <v>6.0</v>
      </c>
      <c r="B63" s="1" t="s">
        <v>35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1" t="s">
        <v>136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7" t="s">
        <v>38</v>
      </c>
      <c r="C65" s="25" t="s">
        <v>39</v>
      </c>
      <c r="D65" s="25" t="s">
        <v>40</v>
      </c>
      <c r="E65" s="25" t="s">
        <v>41</v>
      </c>
      <c r="F65" s="25" t="s">
        <v>42</v>
      </c>
      <c r="G65" s="2"/>
      <c r="H65" s="2"/>
      <c r="I65" s="2"/>
      <c r="J65" s="2"/>
      <c r="K65" s="2"/>
    </row>
    <row r="66">
      <c r="A66" s="2"/>
      <c r="B66" s="27" t="s">
        <v>18</v>
      </c>
      <c r="C66" s="27" t="s">
        <v>13</v>
      </c>
      <c r="D66" s="34" t="s">
        <v>12</v>
      </c>
      <c r="E66" s="29" t="s">
        <v>17</v>
      </c>
      <c r="F66" s="27" t="s">
        <v>17</v>
      </c>
      <c r="G66" s="2"/>
      <c r="H66" s="2"/>
      <c r="I66" s="2"/>
      <c r="J66" s="2"/>
      <c r="K66" s="2"/>
    </row>
    <row r="67">
      <c r="A67" s="2"/>
      <c r="B67" s="27" t="s">
        <v>30</v>
      </c>
      <c r="C67" s="27" t="s">
        <v>26</v>
      </c>
      <c r="D67" s="27" t="s">
        <v>27</v>
      </c>
      <c r="E67" s="29" t="s">
        <v>24</v>
      </c>
      <c r="F67" s="27" t="s">
        <v>30</v>
      </c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1" t="s">
        <v>137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1" t="s">
        <v>138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1" t="s">
        <v>139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4" t="s">
        <v>140</v>
      </c>
      <c r="C74" s="24" t="s">
        <v>141</v>
      </c>
      <c r="D74" s="24" t="s">
        <v>142</v>
      </c>
      <c r="E74" s="24" t="s">
        <v>143</v>
      </c>
      <c r="F74" s="24" t="s">
        <v>144</v>
      </c>
      <c r="G74" s="24" t="s">
        <v>145</v>
      </c>
      <c r="H74" s="24" t="s">
        <v>146</v>
      </c>
      <c r="I74" s="24" t="s">
        <v>147</v>
      </c>
      <c r="J74" s="24" t="s">
        <v>148</v>
      </c>
      <c r="K74" s="24" t="s">
        <v>149</v>
      </c>
      <c r="L74" s="37" t="s">
        <v>90</v>
      </c>
    </row>
    <row r="75">
      <c r="A75" s="2"/>
      <c r="B75" s="27" t="s">
        <v>17</v>
      </c>
      <c r="C75" s="27" t="s">
        <v>19</v>
      </c>
      <c r="D75" s="27" t="s">
        <v>21</v>
      </c>
      <c r="E75" s="34" t="s">
        <v>12</v>
      </c>
      <c r="F75" s="27" t="s">
        <v>14</v>
      </c>
      <c r="G75" s="27" t="s">
        <v>16</v>
      </c>
      <c r="H75" s="27" t="s">
        <v>18</v>
      </c>
      <c r="I75" s="27" t="s">
        <v>20</v>
      </c>
      <c r="J75" s="27" t="s">
        <v>13</v>
      </c>
      <c r="K75" s="27" t="s">
        <v>15</v>
      </c>
      <c r="L75" s="29" t="s">
        <v>17</v>
      </c>
    </row>
    <row r="76">
      <c r="A76" s="2"/>
      <c r="B76" s="27" t="s">
        <v>26</v>
      </c>
      <c r="C76" s="27" t="s">
        <v>27</v>
      </c>
      <c r="D76" s="27" t="s">
        <v>28</v>
      </c>
      <c r="E76" s="27" t="s">
        <v>29</v>
      </c>
      <c r="F76" s="27" t="s">
        <v>30</v>
      </c>
      <c r="G76" s="27" t="s">
        <v>31</v>
      </c>
      <c r="H76" s="36" t="s">
        <v>32</v>
      </c>
      <c r="I76" s="34" t="s">
        <v>33</v>
      </c>
      <c r="J76" s="27" t="s">
        <v>34</v>
      </c>
      <c r="K76" s="27" t="s">
        <v>23</v>
      </c>
      <c r="L76" s="29" t="s">
        <v>24</v>
      </c>
    </row>
    <row r="77">
      <c r="A77" s="2"/>
      <c r="B77" s="24" t="s">
        <v>150</v>
      </c>
      <c r="C77" s="24" t="s">
        <v>151</v>
      </c>
      <c r="D77" s="24" t="s">
        <v>152</v>
      </c>
      <c r="E77" s="24" t="s">
        <v>153</v>
      </c>
      <c r="F77" s="24" t="s">
        <v>154</v>
      </c>
      <c r="G77" s="24" t="s">
        <v>155</v>
      </c>
      <c r="H77" s="24" t="s">
        <v>156</v>
      </c>
      <c r="I77" s="24" t="s">
        <v>157</v>
      </c>
      <c r="J77" s="24" t="s">
        <v>158</v>
      </c>
      <c r="K77" s="39">
        <v>45881.0</v>
      </c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40" t="s">
        <v>159</v>
      </c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4">
        <f t="shared" ref="B83:I83" si="3">C83+10</f>
        <v>93</v>
      </c>
      <c r="C83" s="24">
        <f t="shared" si="3"/>
        <v>83</v>
      </c>
      <c r="D83" s="24">
        <f t="shared" si="3"/>
        <v>73</v>
      </c>
      <c r="E83" s="24">
        <f t="shared" si="3"/>
        <v>63</v>
      </c>
      <c r="F83" s="24">
        <f t="shared" si="3"/>
        <v>53</v>
      </c>
      <c r="G83" s="24">
        <f t="shared" si="3"/>
        <v>43</v>
      </c>
      <c r="H83" s="24">
        <f t="shared" si="3"/>
        <v>33</v>
      </c>
      <c r="I83" s="24">
        <f t="shared" si="3"/>
        <v>23</v>
      </c>
      <c r="J83" s="24">
        <f>K86+5</f>
        <v>13</v>
      </c>
      <c r="K83" s="24">
        <v>3.24</v>
      </c>
      <c r="L83" s="37" t="s">
        <v>90</v>
      </c>
    </row>
    <row r="84">
      <c r="A84" s="2"/>
      <c r="B84" s="27" t="s">
        <v>17</v>
      </c>
      <c r="C84" s="27" t="s">
        <v>19</v>
      </c>
      <c r="D84" s="27" t="s">
        <v>21</v>
      </c>
      <c r="E84" s="34" t="s">
        <v>12</v>
      </c>
      <c r="F84" s="27" t="s">
        <v>14</v>
      </c>
      <c r="G84" s="27" t="s">
        <v>16</v>
      </c>
      <c r="H84" s="27" t="s">
        <v>18</v>
      </c>
      <c r="I84" s="27" t="s">
        <v>20</v>
      </c>
      <c r="J84" s="27" t="s">
        <v>13</v>
      </c>
      <c r="K84" s="27" t="s">
        <v>15</v>
      </c>
      <c r="L84" s="29" t="s">
        <v>17</v>
      </c>
    </row>
    <row r="85">
      <c r="A85" s="2"/>
      <c r="B85" s="27" t="s">
        <v>26</v>
      </c>
      <c r="C85" s="27" t="s">
        <v>27</v>
      </c>
      <c r="D85" s="27" t="s">
        <v>28</v>
      </c>
      <c r="E85" s="27" t="s">
        <v>29</v>
      </c>
      <c r="F85" s="27" t="s">
        <v>30</v>
      </c>
      <c r="G85" s="27" t="s">
        <v>31</v>
      </c>
      <c r="H85" s="36" t="s">
        <v>32</v>
      </c>
      <c r="I85" s="34" t="s">
        <v>33</v>
      </c>
      <c r="J85" s="27" t="s">
        <v>34</v>
      </c>
      <c r="K85" s="27" t="s">
        <v>23</v>
      </c>
      <c r="L85" s="29" t="s">
        <v>24</v>
      </c>
    </row>
    <row r="86">
      <c r="A86" s="2"/>
      <c r="B86" s="24">
        <f t="shared" ref="B86:J86" si="4">C86+10</f>
        <v>98</v>
      </c>
      <c r="C86" s="24">
        <f t="shared" si="4"/>
        <v>88</v>
      </c>
      <c r="D86" s="24">
        <f t="shared" si="4"/>
        <v>78</v>
      </c>
      <c r="E86" s="24">
        <f t="shared" si="4"/>
        <v>68</v>
      </c>
      <c r="F86" s="24">
        <f t="shared" si="4"/>
        <v>58</v>
      </c>
      <c r="G86" s="24">
        <f t="shared" si="4"/>
        <v>48</v>
      </c>
      <c r="H86" s="24">
        <f t="shared" si="4"/>
        <v>38</v>
      </c>
      <c r="I86" s="24">
        <f t="shared" si="4"/>
        <v>28</v>
      </c>
      <c r="J86" s="24">
        <f t="shared" si="4"/>
        <v>18</v>
      </c>
      <c r="K86" s="24">
        <v>8.0</v>
      </c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9" t="s">
        <v>160</v>
      </c>
    </row>
    <row r="89">
      <c r="A89" s="1">
        <v>7.0</v>
      </c>
      <c r="B89" s="1" t="s">
        <v>35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1" t="s">
        <v>161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7" t="s">
        <v>38</v>
      </c>
      <c r="C91" s="25" t="s">
        <v>39</v>
      </c>
      <c r="D91" s="25" t="s">
        <v>40</v>
      </c>
      <c r="E91" s="25" t="s">
        <v>41</v>
      </c>
      <c r="F91" s="25" t="s">
        <v>42</v>
      </c>
      <c r="G91" s="2"/>
      <c r="H91" s="2"/>
      <c r="I91" s="2"/>
      <c r="J91" s="2"/>
      <c r="K91" s="2"/>
    </row>
    <row r="92">
      <c r="A92" s="2"/>
      <c r="B92" s="27" t="s">
        <v>14</v>
      </c>
      <c r="C92" s="27" t="s">
        <v>16</v>
      </c>
      <c r="D92" s="27" t="s">
        <v>20</v>
      </c>
      <c r="E92" s="29" t="s">
        <v>15</v>
      </c>
      <c r="F92" s="27" t="s">
        <v>15</v>
      </c>
      <c r="G92" s="2"/>
      <c r="H92" s="2"/>
      <c r="I92" s="2"/>
      <c r="J92" s="2"/>
      <c r="K92" s="2"/>
    </row>
    <row r="93">
      <c r="A93" s="2"/>
      <c r="B93" s="27" t="s">
        <v>30</v>
      </c>
      <c r="C93" s="27" t="s">
        <v>25</v>
      </c>
      <c r="D93" s="27" t="s">
        <v>29</v>
      </c>
      <c r="E93" s="29" t="s">
        <v>25</v>
      </c>
      <c r="F93" s="27" t="s">
        <v>29</v>
      </c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1" t="s">
        <v>162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1" t="s">
        <v>163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1" t="s">
        <v>164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4" t="s">
        <v>165</v>
      </c>
      <c r="C100" s="24" t="s">
        <v>166</v>
      </c>
      <c r="D100" s="24" t="s">
        <v>167</v>
      </c>
      <c r="E100" s="24" t="s">
        <v>168</v>
      </c>
      <c r="F100" s="24" t="s">
        <v>169</v>
      </c>
      <c r="G100" s="24" t="s">
        <v>170</v>
      </c>
      <c r="H100" s="24" t="s">
        <v>171</v>
      </c>
      <c r="I100" s="24" t="s">
        <v>172</v>
      </c>
      <c r="J100" s="24" t="s">
        <v>173</v>
      </c>
      <c r="K100" s="24">
        <v>10.0</v>
      </c>
      <c r="L100" s="37" t="s">
        <v>90</v>
      </c>
    </row>
    <row r="101">
      <c r="A101" s="2"/>
      <c r="B101" s="27" t="s">
        <v>15</v>
      </c>
      <c r="C101" s="27" t="s">
        <v>13</v>
      </c>
      <c r="D101" s="27" t="s">
        <v>20</v>
      </c>
      <c r="E101" s="27" t="s">
        <v>18</v>
      </c>
      <c r="F101" s="27" t="s">
        <v>16</v>
      </c>
      <c r="G101" s="27" t="s">
        <v>14</v>
      </c>
      <c r="H101" s="34" t="s">
        <v>12</v>
      </c>
      <c r="I101" s="27" t="s">
        <v>21</v>
      </c>
      <c r="J101" s="27" t="s">
        <v>19</v>
      </c>
      <c r="K101" s="27" t="s">
        <v>17</v>
      </c>
      <c r="L101" s="29" t="s">
        <v>15</v>
      </c>
    </row>
    <row r="102">
      <c r="A102" s="2"/>
      <c r="B102" s="27" t="s">
        <v>23</v>
      </c>
      <c r="C102" s="27" t="s">
        <v>34</v>
      </c>
      <c r="D102" s="34" t="s">
        <v>33</v>
      </c>
      <c r="E102" s="36" t="s">
        <v>32</v>
      </c>
      <c r="F102" s="27" t="s">
        <v>31</v>
      </c>
      <c r="G102" s="27" t="s">
        <v>30</v>
      </c>
      <c r="H102" s="27" t="s">
        <v>29</v>
      </c>
      <c r="I102" s="27" t="s">
        <v>28</v>
      </c>
      <c r="J102" s="27" t="s">
        <v>27</v>
      </c>
      <c r="K102" s="27" t="s">
        <v>26</v>
      </c>
      <c r="L102" s="29" t="s">
        <v>25</v>
      </c>
    </row>
    <row r="103">
      <c r="A103" s="2"/>
      <c r="B103" s="24" t="s">
        <v>174</v>
      </c>
      <c r="C103" s="24" t="s">
        <v>175</v>
      </c>
      <c r="D103" s="24" t="s">
        <v>176</v>
      </c>
      <c r="E103" s="24" t="s">
        <v>177</v>
      </c>
      <c r="F103" s="24" t="s">
        <v>178</v>
      </c>
      <c r="G103" s="24" t="s">
        <v>179</v>
      </c>
      <c r="H103" s="24" t="s">
        <v>180</v>
      </c>
      <c r="I103" s="24" t="s">
        <v>181</v>
      </c>
      <c r="J103" s="24" t="s">
        <v>182</v>
      </c>
      <c r="K103" s="24" t="s">
        <v>183</v>
      </c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40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4">
        <f t="shared" ref="B109:I109" si="5">C109+10</f>
        <v>100</v>
      </c>
      <c r="C109" s="24">
        <f t="shared" si="5"/>
        <v>90</v>
      </c>
      <c r="D109" s="24">
        <f t="shared" si="5"/>
        <v>80</v>
      </c>
      <c r="E109" s="24">
        <f t="shared" si="5"/>
        <v>70</v>
      </c>
      <c r="F109" s="24">
        <f t="shared" si="5"/>
        <v>60</v>
      </c>
      <c r="G109" s="24">
        <f t="shared" si="5"/>
        <v>50</v>
      </c>
      <c r="H109" s="24">
        <f t="shared" si="5"/>
        <v>40</v>
      </c>
      <c r="I109" s="24">
        <f t="shared" si="5"/>
        <v>30</v>
      </c>
      <c r="J109" s="24">
        <f>K112+5</f>
        <v>20</v>
      </c>
      <c r="K109" s="24">
        <v>10.0</v>
      </c>
      <c r="L109" s="37" t="s">
        <v>90</v>
      </c>
    </row>
    <row r="110">
      <c r="A110" s="2"/>
      <c r="B110" s="27" t="s">
        <v>15</v>
      </c>
      <c r="C110" s="27" t="s">
        <v>13</v>
      </c>
      <c r="D110" s="27" t="s">
        <v>20</v>
      </c>
      <c r="E110" s="27" t="s">
        <v>18</v>
      </c>
      <c r="F110" s="27" t="s">
        <v>16</v>
      </c>
      <c r="G110" s="27" t="s">
        <v>14</v>
      </c>
      <c r="H110" s="34" t="s">
        <v>12</v>
      </c>
      <c r="I110" s="27" t="s">
        <v>21</v>
      </c>
      <c r="J110" s="27" t="s">
        <v>19</v>
      </c>
      <c r="K110" s="27" t="s">
        <v>17</v>
      </c>
      <c r="L110" s="29" t="s">
        <v>15</v>
      </c>
    </row>
    <row r="111">
      <c r="A111" s="2"/>
      <c r="B111" s="27" t="s">
        <v>23</v>
      </c>
      <c r="C111" s="27" t="s">
        <v>34</v>
      </c>
      <c r="D111" s="34" t="s">
        <v>33</v>
      </c>
      <c r="E111" s="36" t="s">
        <v>32</v>
      </c>
      <c r="F111" s="27" t="s">
        <v>31</v>
      </c>
      <c r="G111" s="27" t="s">
        <v>30</v>
      </c>
      <c r="H111" s="27" t="s">
        <v>29</v>
      </c>
      <c r="I111" s="27" t="s">
        <v>28</v>
      </c>
      <c r="J111" s="27" t="s">
        <v>27</v>
      </c>
      <c r="K111" s="27" t="s">
        <v>26</v>
      </c>
      <c r="L111" s="29" t="s">
        <v>25</v>
      </c>
    </row>
    <row r="112">
      <c r="A112" s="2"/>
      <c r="B112" s="24">
        <f t="shared" ref="B112:J112" si="6">C112+10</f>
        <v>105</v>
      </c>
      <c r="C112" s="24">
        <f t="shared" si="6"/>
        <v>95</v>
      </c>
      <c r="D112" s="24">
        <f t="shared" si="6"/>
        <v>85</v>
      </c>
      <c r="E112" s="24">
        <f t="shared" si="6"/>
        <v>75</v>
      </c>
      <c r="F112" s="24">
        <f t="shared" si="6"/>
        <v>65</v>
      </c>
      <c r="G112" s="24">
        <f t="shared" si="6"/>
        <v>55</v>
      </c>
      <c r="H112" s="24">
        <f t="shared" si="6"/>
        <v>45</v>
      </c>
      <c r="I112" s="24">
        <f t="shared" si="6"/>
        <v>35</v>
      </c>
      <c r="J112" s="24">
        <f t="shared" si="6"/>
        <v>25</v>
      </c>
      <c r="K112" s="24">
        <v>15.0</v>
      </c>
    </row>
    <row r="115">
      <c r="A115" s="1">
        <v>8.0</v>
      </c>
      <c r="B115" s="1" t="s">
        <v>35</v>
      </c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1" t="s">
        <v>184</v>
      </c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7" t="s">
        <v>38</v>
      </c>
      <c r="C117" s="25" t="s">
        <v>39</v>
      </c>
      <c r="D117" s="25" t="s">
        <v>40</v>
      </c>
      <c r="E117" s="25" t="s">
        <v>41</v>
      </c>
      <c r="F117" s="25" t="s">
        <v>42</v>
      </c>
      <c r="G117" s="2"/>
      <c r="H117" s="2"/>
      <c r="I117" s="2"/>
      <c r="J117" s="2"/>
      <c r="K117" s="2"/>
    </row>
    <row r="118">
      <c r="A118" s="2"/>
      <c r="B118" s="27" t="s">
        <v>14</v>
      </c>
      <c r="C118" s="27" t="s">
        <v>19</v>
      </c>
      <c r="D118" s="27" t="s">
        <v>20</v>
      </c>
      <c r="E118" s="29" t="s">
        <v>17</v>
      </c>
      <c r="F118" s="27" t="s">
        <v>18</v>
      </c>
      <c r="G118" s="2"/>
      <c r="H118" s="2"/>
      <c r="I118" s="2"/>
      <c r="J118" s="2"/>
      <c r="K118" s="2"/>
    </row>
    <row r="119">
      <c r="A119" s="2"/>
      <c r="B119" s="27" t="s">
        <v>26</v>
      </c>
      <c r="C119" s="34" t="s">
        <v>33</v>
      </c>
      <c r="D119" s="34" t="s">
        <v>33</v>
      </c>
      <c r="E119" s="41" t="s">
        <v>32</v>
      </c>
      <c r="F119" s="27" t="s">
        <v>26</v>
      </c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1" t="s">
        <v>185</v>
      </c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1" t="s">
        <v>186</v>
      </c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1" t="s">
        <v>187</v>
      </c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4" t="s">
        <v>140</v>
      </c>
      <c r="C126" s="24" t="s">
        <v>141</v>
      </c>
      <c r="D126" s="24" t="s">
        <v>142</v>
      </c>
      <c r="E126" s="24" t="s">
        <v>143</v>
      </c>
      <c r="F126" s="24" t="s">
        <v>144</v>
      </c>
      <c r="G126" s="24" t="s">
        <v>145</v>
      </c>
      <c r="H126" s="24" t="s">
        <v>146</v>
      </c>
      <c r="I126" s="24" t="s">
        <v>147</v>
      </c>
      <c r="J126" s="24" t="s">
        <v>148</v>
      </c>
      <c r="K126" s="24" t="s">
        <v>188</v>
      </c>
      <c r="L126" s="37" t="s">
        <v>90</v>
      </c>
    </row>
    <row r="127">
      <c r="A127" s="2"/>
      <c r="B127" s="27" t="s">
        <v>17</v>
      </c>
      <c r="C127" s="27" t="s">
        <v>15</v>
      </c>
      <c r="D127" s="27" t="s">
        <v>13</v>
      </c>
      <c r="E127" s="27" t="s">
        <v>20</v>
      </c>
      <c r="F127" s="27" t="s">
        <v>18</v>
      </c>
      <c r="G127" s="27" t="s">
        <v>16</v>
      </c>
      <c r="H127" s="27" t="s">
        <v>14</v>
      </c>
      <c r="I127" s="34" t="s">
        <v>12</v>
      </c>
      <c r="J127" s="27" t="s">
        <v>21</v>
      </c>
      <c r="K127" s="27" t="s">
        <v>19</v>
      </c>
      <c r="L127" s="29" t="s">
        <v>17</v>
      </c>
    </row>
    <row r="128">
      <c r="A128" s="2"/>
      <c r="B128" s="27" t="s">
        <v>30</v>
      </c>
      <c r="C128" s="27" t="s">
        <v>29</v>
      </c>
      <c r="D128" s="27" t="s">
        <v>28</v>
      </c>
      <c r="E128" s="27" t="s">
        <v>27</v>
      </c>
      <c r="F128" s="27" t="s">
        <v>26</v>
      </c>
      <c r="G128" s="27" t="s">
        <v>25</v>
      </c>
      <c r="H128" s="27" t="s">
        <v>24</v>
      </c>
      <c r="I128" s="27" t="s">
        <v>23</v>
      </c>
      <c r="J128" s="27" t="s">
        <v>34</v>
      </c>
      <c r="K128" s="34" t="s">
        <v>33</v>
      </c>
      <c r="L128" s="41" t="s">
        <v>32</v>
      </c>
    </row>
    <row r="129">
      <c r="A129" s="2"/>
      <c r="B129" s="24" t="s">
        <v>150</v>
      </c>
      <c r="C129" s="24" t="s">
        <v>151</v>
      </c>
      <c r="D129" s="24" t="s">
        <v>152</v>
      </c>
      <c r="E129" s="24" t="s">
        <v>153</v>
      </c>
      <c r="F129" s="24" t="s">
        <v>154</v>
      </c>
      <c r="G129" s="24" t="s">
        <v>155</v>
      </c>
      <c r="H129" s="24" t="s">
        <v>156</v>
      </c>
      <c r="I129" s="24" t="s">
        <v>157</v>
      </c>
      <c r="J129" s="24" t="s">
        <v>158</v>
      </c>
      <c r="K129" s="39">
        <v>45881.0</v>
      </c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40" t="s">
        <v>159</v>
      </c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4">
        <f t="shared" ref="B135:I135" si="7">C135+10</f>
        <v>93</v>
      </c>
      <c r="C135" s="24">
        <f t="shared" si="7"/>
        <v>83</v>
      </c>
      <c r="D135" s="24">
        <f t="shared" si="7"/>
        <v>73</v>
      </c>
      <c r="E135" s="24">
        <f t="shared" si="7"/>
        <v>63</v>
      </c>
      <c r="F135" s="24">
        <f t="shared" si="7"/>
        <v>53</v>
      </c>
      <c r="G135" s="24">
        <f t="shared" si="7"/>
        <v>43</v>
      </c>
      <c r="H135" s="24">
        <f t="shared" si="7"/>
        <v>33</v>
      </c>
      <c r="I135" s="24">
        <f t="shared" si="7"/>
        <v>23</v>
      </c>
      <c r="J135" s="24">
        <f>K138+5</f>
        <v>13</v>
      </c>
      <c r="K135" s="24">
        <v>3.12</v>
      </c>
      <c r="L135" s="37" t="s">
        <v>90</v>
      </c>
    </row>
    <row r="136">
      <c r="A136" s="2"/>
      <c r="B136" s="27" t="s">
        <v>17</v>
      </c>
      <c r="C136" s="27" t="s">
        <v>15</v>
      </c>
      <c r="D136" s="27" t="s">
        <v>13</v>
      </c>
      <c r="E136" s="27" t="s">
        <v>20</v>
      </c>
      <c r="F136" s="27" t="s">
        <v>18</v>
      </c>
      <c r="G136" s="27" t="s">
        <v>16</v>
      </c>
      <c r="H136" s="27" t="s">
        <v>14</v>
      </c>
      <c r="I136" s="34" t="s">
        <v>12</v>
      </c>
      <c r="J136" s="27" t="s">
        <v>21</v>
      </c>
      <c r="K136" s="27" t="s">
        <v>19</v>
      </c>
      <c r="L136" s="29" t="s">
        <v>17</v>
      </c>
    </row>
    <row r="137">
      <c r="A137" s="2"/>
      <c r="B137" s="27" t="s">
        <v>30</v>
      </c>
      <c r="C137" s="27" t="s">
        <v>29</v>
      </c>
      <c r="D137" s="27" t="s">
        <v>28</v>
      </c>
      <c r="E137" s="27" t="s">
        <v>27</v>
      </c>
      <c r="F137" s="27" t="s">
        <v>26</v>
      </c>
      <c r="G137" s="27" t="s">
        <v>25</v>
      </c>
      <c r="H137" s="27" t="s">
        <v>24</v>
      </c>
      <c r="I137" s="27" t="s">
        <v>23</v>
      </c>
      <c r="J137" s="27" t="s">
        <v>34</v>
      </c>
      <c r="K137" s="34" t="s">
        <v>33</v>
      </c>
      <c r="L137" s="41" t="s">
        <v>32</v>
      </c>
    </row>
    <row r="138">
      <c r="A138" s="2"/>
      <c r="B138" s="24">
        <f t="shared" ref="B138:J138" si="8">C138+10</f>
        <v>98</v>
      </c>
      <c r="C138" s="24">
        <f t="shared" si="8"/>
        <v>88</v>
      </c>
      <c r="D138" s="24">
        <f t="shared" si="8"/>
        <v>78</v>
      </c>
      <c r="E138" s="24">
        <f t="shared" si="8"/>
        <v>68</v>
      </c>
      <c r="F138" s="24">
        <f t="shared" si="8"/>
        <v>58</v>
      </c>
      <c r="G138" s="24">
        <f t="shared" si="8"/>
        <v>48</v>
      </c>
      <c r="H138" s="24">
        <f t="shared" si="8"/>
        <v>38</v>
      </c>
      <c r="I138" s="24">
        <f t="shared" si="8"/>
        <v>28</v>
      </c>
      <c r="J138" s="24">
        <f t="shared" si="8"/>
        <v>18</v>
      </c>
      <c r="K138" s="24">
        <v>8.0</v>
      </c>
    </row>
    <row r="141">
      <c r="A141" s="1">
        <v>9.0</v>
      </c>
      <c r="B141" s="1" t="s">
        <v>35</v>
      </c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1" t="s">
        <v>189</v>
      </c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7" t="s">
        <v>38</v>
      </c>
      <c r="C143" s="25" t="s">
        <v>39</v>
      </c>
      <c r="D143" s="25" t="s">
        <v>40</v>
      </c>
      <c r="E143" s="25" t="s">
        <v>41</v>
      </c>
      <c r="F143" s="25" t="s">
        <v>42</v>
      </c>
      <c r="G143" s="2"/>
      <c r="H143" s="2"/>
      <c r="I143" s="2"/>
      <c r="J143" s="2"/>
      <c r="K143" s="2"/>
    </row>
    <row r="144">
      <c r="A144" s="2"/>
      <c r="B144" s="27" t="s">
        <v>16</v>
      </c>
      <c r="C144" s="27" t="s">
        <v>18</v>
      </c>
      <c r="D144" s="27" t="s">
        <v>14</v>
      </c>
      <c r="E144" s="29" t="s">
        <v>18</v>
      </c>
      <c r="F144" s="27" t="s">
        <v>17</v>
      </c>
      <c r="G144" s="2"/>
      <c r="H144" s="2"/>
      <c r="I144" s="2"/>
      <c r="J144" s="2"/>
      <c r="K144" s="2"/>
    </row>
    <row r="145">
      <c r="A145" s="2"/>
      <c r="B145" s="27" t="s">
        <v>29</v>
      </c>
      <c r="C145" s="36" t="s">
        <v>32</v>
      </c>
      <c r="D145" s="27" t="s">
        <v>24</v>
      </c>
      <c r="E145" s="29" t="s">
        <v>30</v>
      </c>
      <c r="F145" s="27" t="s">
        <v>30</v>
      </c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1" t="s">
        <v>190</v>
      </c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1" t="s">
        <v>191</v>
      </c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1" t="s">
        <v>192</v>
      </c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4" t="s">
        <v>193</v>
      </c>
      <c r="C152" s="24" t="s">
        <v>194</v>
      </c>
      <c r="D152" s="24" t="s">
        <v>195</v>
      </c>
      <c r="E152" s="24" t="s">
        <v>196</v>
      </c>
      <c r="F152" s="24" t="s">
        <v>197</v>
      </c>
      <c r="G152" s="24" t="s">
        <v>198</v>
      </c>
      <c r="H152" s="24" t="s">
        <v>199</v>
      </c>
      <c r="I152" s="24" t="s">
        <v>200</v>
      </c>
      <c r="J152" s="39">
        <v>45976.0</v>
      </c>
      <c r="K152" s="24" t="s">
        <v>201</v>
      </c>
      <c r="L152" s="37" t="s">
        <v>90</v>
      </c>
    </row>
    <row r="153">
      <c r="A153" s="2"/>
      <c r="B153" s="27" t="s">
        <v>18</v>
      </c>
      <c r="C153" s="27" t="s">
        <v>16</v>
      </c>
      <c r="D153" s="27" t="s">
        <v>14</v>
      </c>
      <c r="E153" s="34" t="s">
        <v>12</v>
      </c>
      <c r="F153" s="27" t="s">
        <v>21</v>
      </c>
      <c r="G153" s="27" t="s">
        <v>19</v>
      </c>
      <c r="H153" s="27" t="s">
        <v>17</v>
      </c>
      <c r="I153" s="27" t="s">
        <v>15</v>
      </c>
      <c r="J153" s="27" t="s">
        <v>13</v>
      </c>
      <c r="K153" s="27" t="s">
        <v>20</v>
      </c>
      <c r="L153" s="29" t="s">
        <v>18</v>
      </c>
    </row>
    <row r="154">
      <c r="A154" s="2"/>
      <c r="B154" s="27" t="s">
        <v>28</v>
      </c>
      <c r="C154" s="27" t="s">
        <v>27</v>
      </c>
      <c r="D154" s="27" t="s">
        <v>26</v>
      </c>
      <c r="E154" s="27" t="s">
        <v>25</v>
      </c>
      <c r="F154" s="27" t="s">
        <v>24</v>
      </c>
      <c r="G154" s="27" t="s">
        <v>23</v>
      </c>
      <c r="H154" s="27" t="s">
        <v>34</v>
      </c>
      <c r="I154" s="34" t="s">
        <v>33</v>
      </c>
      <c r="J154" s="36" t="s">
        <v>32</v>
      </c>
      <c r="K154" s="27" t="s">
        <v>31</v>
      </c>
      <c r="L154" s="29" t="s">
        <v>30</v>
      </c>
    </row>
    <row r="155">
      <c r="A155" s="2"/>
      <c r="B155" s="24" t="s">
        <v>202</v>
      </c>
      <c r="C155" s="24" t="s">
        <v>203</v>
      </c>
      <c r="D155" s="24" t="s">
        <v>204</v>
      </c>
      <c r="E155" s="24" t="s">
        <v>205</v>
      </c>
      <c r="F155" s="24" t="s">
        <v>206</v>
      </c>
      <c r="G155" s="24" t="s">
        <v>207</v>
      </c>
      <c r="H155" s="24" t="s">
        <v>208</v>
      </c>
      <c r="I155" s="24" t="s">
        <v>209</v>
      </c>
      <c r="J155" s="24" t="s">
        <v>210</v>
      </c>
      <c r="K155" s="39">
        <v>45818.0</v>
      </c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40" t="s">
        <v>211</v>
      </c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4">
        <f t="shared" ref="B161:I161" si="9">C161+10</f>
        <v>91</v>
      </c>
      <c r="C161" s="24">
        <f t="shared" si="9"/>
        <v>81</v>
      </c>
      <c r="D161" s="24">
        <f t="shared" si="9"/>
        <v>71</v>
      </c>
      <c r="E161" s="24">
        <f t="shared" si="9"/>
        <v>61</v>
      </c>
      <c r="F161" s="24">
        <f t="shared" si="9"/>
        <v>51</v>
      </c>
      <c r="G161" s="24">
        <f t="shared" si="9"/>
        <v>41</v>
      </c>
      <c r="H161" s="24">
        <f t="shared" si="9"/>
        <v>31</v>
      </c>
      <c r="I161" s="24">
        <f t="shared" si="9"/>
        <v>21</v>
      </c>
      <c r="J161" s="24">
        <f>K164+5</f>
        <v>11</v>
      </c>
      <c r="K161" s="24">
        <v>1.12</v>
      </c>
      <c r="L161" s="37" t="s">
        <v>90</v>
      </c>
    </row>
    <row r="162">
      <c r="A162" s="2"/>
      <c r="B162" s="27" t="s">
        <v>18</v>
      </c>
      <c r="C162" s="27" t="s">
        <v>16</v>
      </c>
      <c r="D162" s="27" t="s">
        <v>14</v>
      </c>
      <c r="E162" s="34" t="s">
        <v>12</v>
      </c>
      <c r="F162" s="27" t="s">
        <v>21</v>
      </c>
      <c r="G162" s="27" t="s">
        <v>19</v>
      </c>
      <c r="H162" s="27" t="s">
        <v>17</v>
      </c>
      <c r="I162" s="27" t="s">
        <v>15</v>
      </c>
      <c r="J162" s="27" t="s">
        <v>13</v>
      </c>
      <c r="K162" s="27" t="s">
        <v>20</v>
      </c>
      <c r="L162" s="29" t="s">
        <v>18</v>
      </c>
    </row>
    <row r="163">
      <c r="A163" s="2"/>
      <c r="B163" s="27" t="s">
        <v>28</v>
      </c>
      <c r="C163" s="27" t="s">
        <v>27</v>
      </c>
      <c r="D163" s="27" t="s">
        <v>26</v>
      </c>
      <c r="E163" s="27" t="s">
        <v>25</v>
      </c>
      <c r="F163" s="27" t="s">
        <v>24</v>
      </c>
      <c r="G163" s="27" t="s">
        <v>23</v>
      </c>
      <c r="H163" s="27" t="s">
        <v>34</v>
      </c>
      <c r="I163" s="34" t="s">
        <v>33</v>
      </c>
      <c r="J163" s="36" t="s">
        <v>32</v>
      </c>
      <c r="K163" s="27" t="s">
        <v>31</v>
      </c>
      <c r="L163" s="29" t="s">
        <v>30</v>
      </c>
    </row>
    <row r="164">
      <c r="A164" s="2"/>
      <c r="B164" s="24">
        <f t="shared" ref="B164:J164" si="10">C164+10</f>
        <v>96</v>
      </c>
      <c r="C164" s="24">
        <f t="shared" si="10"/>
        <v>86</v>
      </c>
      <c r="D164" s="24">
        <f t="shared" si="10"/>
        <v>76</v>
      </c>
      <c r="E164" s="24">
        <f t="shared" si="10"/>
        <v>66</v>
      </c>
      <c r="F164" s="24">
        <f t="shared" si="10"/>
        <v>56</v>
      </c>
      <c r="G164" s="24">
        <f t="shared" si="10"/>
        <v>46</v>
      </c>
      <c r="H164" s="24">
        <f t="shared" si="10"/>
        <v>36</v>
      </c>
      <c r="I164" s="24">
        <f t="shared" si="10"/>
        <v>26</v>
      </c>
      <c r="J164" s="24">
        <f t="shared" si="10"/>
        <v>16</v>
      </c>
      <c r="K164" s="24">
        <v>6.0</v>
      </c>
    </row>
    <row r="165">
      <c r="K165" s="42" t="s">
        <v>212</v>
      </c>
    </row>
  </sheetData>
  <mergeCells count="5">
    <mergeCell ref="B54:K54"/>
    <mergeCell ref="B81:K81"/>
    <mergeCell ref="B107:K107"/>
    <mergeCell ref="B133:K133"/>
    <mergeCell ref="B159:K1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3" t="s">
        <v>213</v>
      </c>
      <c r="B2" s="44" t="s">
        <v>12</v>
      </c>
      <c r="C2" s="45" t="s">
        <v>14</v>
      </c>
      <c r="D2" s="45" t="s">
        <v>19</v>
      </c>
      <c r="E2" s="45" t="s">
        <v>21</v>
      </c>
      <c r="F2" s="45" t="s">
        <v>15</v>
      </c>
      <c r="G2" s="45" t="s">
        <v>17</v>
      </c>
      <c r="H2" s="46" t="s">
        <v>12</v>
      </c>
      <c r="I2" s="45" t="s">
        <v>14</v>
      </c>
      <c r="J2" s="45" t="s">
        <v>19</v>
      </c>
      <c r="K2" s="45" t="s">
        <v>21</v>
      </c>
      <c r="L2" s="45" t="s">
        <v>15</v>
      </c>
      <c r="M2" s="47" t="s">
        <v>17</v>
      </c>
    </row>
    <row r="3">
      <c r="A3" s="48"/>
      <c r="B3" s="49" t="s">
        <v>33</v>
      </c>
      <c r="C3" s="50" t="s">
        <v>34</v>
      </c>
      <c r="D3" s="50" t="s">
        <v>23</v>
      </c>
      <c r="E3" s="50" t="s">
        <v>24</v>
      </c>
      <c r="F3" s="50" t="s">
        <v>25</v>
      </c>
      <c r="G3" s="50" t="s">
        <v>26</v>
      </c>
      <c r="H3" s="50" t="s">
        <v>27</v>
      </c>
      <c r="I3" s="50" t="s">
        <v>28</v>
      </c>
      <c r="J3" s="50" t="s">
        <v>29</v>
      </c>
      <c r="K3" s="50" t="s">
        <v>30</v>
      </c>
      <c r="L3" s="50" t="s">
        <v>31</v>
      </c>
      <c r="M3" s="51" t="s">
        <v>32</v>
      </c>
    </row>
    <row r="4">
      <c r="A4" s="52" t="s">
        <v>214</v>
      </c>
      <c r="B4" s="53" t="s">
        <v>16</v>
      </c>
      <c r="C4" s="45" t="s">
        <v>18</v>
      </c>
      <c r="D4" s="46" t="s">
        <v>12</v>
      </c>
      <c r="E4" s="45" t="s">
        <v>14</v>
      </c>
      <c r="F4" s="45" t="s">
        <v>19</v>
      </c>
      <c r="G4" s="45" t="s">
        <v>21</v>
      </c>
      <c r="H4" s="45" t="s">
        <v>16</v>
      </c>
      <c r="I4" s="45" t="s">
        <v>18</v>
      </c>
      <c r="J4" s="46" t="s">
        <v>12</v>
      </c>
      <c r="K4" s="45" t="s">
        <v>14</v>
      </c>
      <c r="L4" s="45" t="s">
        <v>19</v>
      </c>
      <c r="M4" s="47" t="s">
        <v>21</v>
      </c>
    </row>
    <row r="5">
      <c r="A5" s="48"/>
      <c r="B5" s="49" t="s">
        <v>33</v>
      </c>
      <c r="C5" s="50" t="s">
        <v>34</v>
      </c>
      <c r="D5" s="50" t="s">
        <v>23</v>
      </c>
      <c r="E5" s="50" t="s">
        <v>24</v>
      </c>
      <c r="F5" s="50" t="s">
        <v>25</v>
      </c>
      <c r="G5" s="50" t="s">
        <v>26</v>
      </c>
      <c r="H5" s="50" t="s">
        <v>27</v>
      </c>
      <c r="I5" s="50" t="s">
        <v>28</v>
      </c>
      <c r="J5" s="50" t="s">
        <v>29</v>
      </c>
      <c r="K5" s="50" t="s">
        <v>30</v>
      </c>
      <c r="L5" s="50" t="s">
        <v>31</v>
      </c>
      <c r="M5" s="51" t="s">
        <v>32</v>
      </c>
    </row>
    <row r="6">
      <c r="A6" s="54" t="s">
        <v>215</v>
      </c>
      <c r="B6" s="53" t="s">
        <v>20</v>
      </c>
      <c r="C6" s="45" t="s">
        <v>13</v>
      </c>
      <c r="D6" s="45" t="s">
        <v>16</v>
      </c>
      <c r="E6" s="45" t="s">
        <v>18</v>
      </c>
      <c r="F6" s="46" t="s">
        <v>12</v>
      </c>
      <c r="G6" s="45" t="s">
        <v>14</v>
      </c>
      <c r="H6" s="45" t="s">
        <v>20</v>
      </c>
      <c r="I6" s="45" t="s">
        <v>13</v>
      </c>
      <c r="J6" s="45" t="s">
        <v>16</v>
      </c>
      <c r="K6" s="45" t="s">
        <v>18</v>
      </c>
      <c r="L6" s="46" t="s">
        <v>12</v>
      </c>
      <c r="M6" s="47" t="s">
        <v>14</v>
      </c>
    </row>
    <row r="7">
      <c r="A7" s="48"/>
      <c r="B7" s="49" t="s">
        <v>33</v>
      </c>
      <c r="C7" s="50" t="s">
        <v>34</v>
      </c>
      <c r="D7" s="50" t="s">
        <v>23</v>
      </c>
      <c r="E7" s="50" t="s">
        <v>24</v>
      </c>
      <c r="F7" s="50" t="s">
        <v>25</v>
      </c>
      <c r="G7" s="50" t="s">
        <v>26</v>
      </c>
      <c r="H7" s="50" t="s">
        <v>27</v>
      </c>
      <c r="I7" s="50" t="s">
        <v>28</v>
      </c>
      <c r="J7" s="50" t="s">
        <v>29</v>
      </c>
      <c r="K7" s="50" t="s">
        <v>30</v>
      </c>
      <c r="L7" s="50" t="s">
        <v>31</v>
      </c>
      <c r="M7" s="51" t="s">
        <v>32</v>
      </c>
    </row>
    <row r="8">
      <c r="A8" s="55" t="s">
        <v>216</v>
      </c>
      <c r="B8" s="53" t="s">
        <v>15</v>
      </c>
      <c r="C8" s="45" t="s">
        <v>17</v>
      </c>
      <c r="D8" s="45" t="s">
        <v>20</v>
      </c>
      <c r="E8" s="45" t="s">
        <v>13</v>
      </c>
      <c r="F8" s="45" t="s">
        <v>16</v>
      </c>
      <c r="G8" s="45" t="s">
        <v>18</v>
      </c>
      <c r="H8" s="45" t="s">
        <v>15</v>
      </c>
      <c r="I8" s="45" t="s">
        <v>17</v>
      </c>
      <c r="J8" s="45" t="s">
        <v>20</v>
      </c>
      <c r="K8" s="45" t="s">
        <v>13</v>
      </c>
      <c r="L8" s="45" t="s">
        <v>16</v>
      </c>
      <c r="M8" s="56" t="s">
        <v>18</v>
      </c>
    </row>
    <row r="9">
      <c r="A9" s="48"/>
      <c r="B9" s="49" t="s">
        <v>33</v>
      </c>
      <c r="C9" s="50" t="s">
        <v>34</v>
      </c>
      <c r="D9" s="50" t="s">
        <v>23</v>
      </c>
      <c r="E9" s="50" t="s">
        <v>24</v>
      </c>
      <c r="F9" s="50" t="s">
        <v>25</v>
      </c>
      <c r="G9" s="50" t="s">
        <v>26</v>
      </c>
      <c r="H9" s="50" t="s">
        <v>27</v>
      </c>
      <c r="I9" s="50" t="s">
        <v>28</v>
      </c>
      <c r="J9" s="50" t="s">
        <v>29</v>
      </c>
      <c r="K9" s="50" t="s">
        <v>30</v>
      </c>
      <c r="L9" s="50" t="s">
        <v>31</v>
      </c>
      <c r="M9" s="51" t="s">
        <v>32</v>
      </c>
    </row>
    <row r="10">
      <c r="A10" s="57" t="s">
        <v>217</v>
      </c>
      <c r="B10" s="53" t="s">
        <v>19</v>
      </c>
      <c r="C10" s="45" t="s">
        <v>21</v>
      </c>
      <c r="D10" s="45" t="s">
        <v>15</v>
      </c>
      <c r="E10" s="45" t="s">
        <v>17</v>
      </c>
      <c r="F10" s="45" t="s">
        <v>20</v>
      </c>
      <c r="G10" s="45" t="s">
        <v>13</v>
      </c>
      <c r="H10" s="45" t="s">
        <v>19</v>
      </c>
      <c r="I10" s="45" t="s">
        <v>21</v>
      </c>
      <c r="J10" s="45" t="s">
        <v>15</v>
      </c>
      <c r="K10" s="45" t="s">
        <v>17</v>
      </c>
      <c r="L10" s="45" t="s">
        <v>20</v>
      </c>
      <c r="M10" s="47" t="s">
        <v>13</v>
      </c>
    </row>
    <row r="11">
      <c r="A11" s="48"/>
      <c r="B11" s="49" t="s">
        <v>33</v>
      </c>
      <c r="C11" s="50" t="s">
        <v>34</v>
      </c>
      <c r="D11" s="50" t="s">
        <v>23</v>
      </c>
      <c r="E11" s="50" t="s">
        <v>24</v>
      </c>
      <c r="F11" s="50" t="s">
        <v>25</v>
      </c>
      <c r="G11" s="50" t="s">
        <v>26</v>
      </c>
      <c r="H11" s="50" t="s">
        <v>27</v>
      </c>
      <c r="I11" s="50" t="s">
        <v>28</v>
      </c>
      <c r="J11" s="50" t="s">
        <v>29</v>
      </c>
      <c r="K11" s="50" t="s">
        <v>30</v>
      </c>
      <c r="L11" s="50" t="s">
        <v>31</v>
      </c>
      <c r="M11" s="51" t="s">
        <v>32</v>
      </c>
    </row>
    <row r="16">
      <c r="B16" s="58" t="s">
        <v>36</v>
      </c>
      <c r="C16" s="59"/>
      <c r="D16" s="59"/>
      <c r="E16" s="59"/>
      <c r="F16" s="59"/>
    </row>
    <row r="17">
      <c r="B17" s="60" t="s">
        <v>38</v>
      </c>
      <c r="C17" s="61" t="s">
        <v>39</v>
      </c>
      <c r="D17" s="61" t="s">
        <v>40</v>
      </c>
      <c r="E17" s="61" t="s">
        <v>41</v>
      </c>
      <c r="F17" s="61" t="s">
        <v>42</v>
      </c>
    </row>
    <row r="18">
      <c r="B18" s="60" t="s">
        <v>21</v>
      </c>
      <c r="C18" s="60" t="s">
        <v>21</v>
      </c>
      <c r="D18" s="60" t="s">
        <v>14</v>
      </c>
      <c r="E18" s="60" t="s">
        <v>13</v>
      </c>
      <c r="F18" s="60" t="s">
        <v>18</v>
      </c>
    </row>
    <row r="19">
      <c r="B19" s="60" t="s">
        <v>34</v>
      </c>
      <c r="C19" s="60" t="s">
        <v>28</v>
      </c>
      <c r="D19" s="62" t="s">
        <v>32</v>
      </c>
      <c r="E19" s="60" t="s">
        <v>30</v>
      </c>
      <c r="F19" s="60" t="s">
        <v>26</v>
      </c>
    </row>
    <row r="20">
      <c r="B20" s="63"/>
      <c r="C20" s="63"/>
      <c r="D20" s="64"/>
      <c r="E20" s="65"/>
      <c r="F20" s="65"/>
    </row>
  </sheetData>
  <mergeCells count="5">
    <mergeCell ref="A2:A3"/>
    <mergeCell ref="A4:A5"/>
    <mergeCell ref="A6:A7"/>
    <mergeCell ref="A8:A9"/>
    <mergeCell ref="A10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33</v>
      </c>
      <c r="B1" s="67" t="s">
        <v>34</v>
      </c>
      <c r="C1" s="67" t="s">
        <v>23</v>
      </c>
      <c r="D1" s="67" t="s">
        <v>24</v>
      </c>
      <c r="E1" s="67" t="s">
        <v>25</v>
      </c>
      <c r="F1" s="67" t="s">
        <v>26</v>
      </c>
      <c r="G1" s="67" t="s">
        <v>27</v>
      </c>
      <c r="H1" s="67" t="s">
        <v>28</v>
      </c>
      <c r="I1" s="67" t="s">
        <v>29</v>
      </c>
      <c r="J1" s="67" t="s">
        <v>30</v>
      </c>
      <c r="K1" s="67" t="s">
        <v>31</v>
      </c>
      <c r="L1" s="68" t="s">
        <v>32</v>
      </c>
    </row>
    <row r="2">
      <c r="A2" s="27" t="s">
        <v>21</v>
      </c>
      <c r="B2" s="27" t="s">
        <v>218</v>
      </c>
      <c r="C2" s="27" t="s">
        <v>219</v>
      </c>
      <c r="D2" s="27" t="s">
        <v>14</v>
      </c>
      <c r="E2" s="27" t="s">
        <v>220</v>
      </c>
      <c r="F2" s="27" t="s">
        <v>221</v>
      </c>
      <c r="G2" s="27" t="s">
        <v>222</v>
      </c>
      <c r="H2" s="27" t="s">
        <v>223</v>
      </c>
      <c r="I2" s="27" t="s">
        <v>224</v>
      </c>
      <c r="J2" s="27" t="s">
        <v>17</v>
      </c>
      <c r="K2" s="27" t="s">
        <v>225</v>
      </c>
      <c r="L2" s="27" t="s">
        <v>226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9"/>
    </row>
    <row r="2">
      <c r="B2" s="70">
        <v>15.0</v>
      </c>
      <c r="D2" s="71" t="s">
        <v>227</v>
      </c>
      <c r="F2" s="70" t="s">
        <v>228</v>
      </c>
      <c r="G2" s="70">
        <v>2520.0</v>
      </c>
      <c r="H2" s="72" t="s">
        <v>229</v>
      </c>
      <c r="I2" s="72" t="s">
        <v>230</v>
      </c>
    </row>
    <row r="4">
      <c r="B4" s="58"/>
      <c r="C4" s="59"/>
      <c r="D4" s="69" t="s">
        <v>231</v>
      </c>
      <c r="E4" s="59"/>
      <c r="F4" s="59"/>
      <c r="I4" s="73">
        <v>2567.0</v>
      </c>
    </row>
    <row r="5">
      <c r="B5" s="74" t="s">
        <v>38</v>
      </c>
      <c r="C5" s="74" t="s">
        <v>39</v>
      </c>
      <c r="D5" s="74" t="s">
        <v>40</v>
      </c>
      <c r="E5" s="74" t="s">
        <v>41</v>
      </c>
      <c r="F5" s="74" t="s">
        <v>42</v>
      </c>
      <c r="G5" s="75" t="s">
        <v>232</v>
      </c>
      <c r="H5" s="76" t="s">
        <v>233</v>
      </c>
      <c r="I5" s="74" t="s">
        <v>234</v>
      </c>
      <c r="J5" s="77"/>
      <c r="K5" s="77"/>
    </row>
    <row r="6">
      <c r="B6" s="78" t="s">
        <v>21</v>
      </c>
      <c r="C6" s="78" t="s">
        <v>21</v>
      </c>
      <c r="D6" s="79" t="s">
        <v>14</v>
      </c>
      <c r="E6" s="80" t="s">
        <v>13</v>
      </c>
      <c r="F6" s="81" t="s">
        <v>18</v>
      </c>
      <c r="G6" s="76">
        <f>I4-G2+1</f>
        <v>48</v>
      </c>
      <c r="H6" s="82" t="s">
        <v>12</v>
      </c>
      <c r="I6" s="82" t="s">
        <v>12</v>
      </c>
    </row>
    <row r="7">
      <c r="B7" s="80" t="s">
        <v>34</v>
      </c>
      <c r="C7" s="80" t="s">
        <v>28</v>
      </c>
      <c r="D7" s="83" t="s">
        <v>32</v>
      </c>
      <c r="E7" s="76" t="s">
        <v>30</v>
      </c>
      <c r="F7" s="81" t="s">
        <v>26</v>
      </c>
      <c r="I7" s="80" t="s">
        <v>25</v>
      </c>
    </row>
    <row r="8">
      <c r="B8" s="84"/>
      <c r="C8" s="84"/>
      <c r="D8" s="85"/>
      <c r="E8" s="86"/>
      <c r="F8" s="86"/>
      <c r="I8" s="87"/>
    </row>
    <row r="9">
      <c r="B9" s="27" t="s">
        <v>218</v>
      </c>
      <c r="C9" s="27" t="s">
        <v>223</v>
      </c>
      <c r="D9" s="27" t="s">
        <v>226</v>
      </c>
      <c r="E9" s="27" t="s">
        <v>17</v>
      </c>
      <c r="F9" s="27" t="s">
        <v>221</v>
      </c>
    </row>
    <row r="10">
      <c r="J10" s="88" t="s">
        <v>235</v>
      </c>
    </row>
    <row r="11">
      <c r="B11" s="89">
        <v>88.0</v>
      </c>
      <c r="C11" s="89">
        <v>78.0</v>
      </c>
      <c r="D11" s="89">
        <v>68.0</v>
      </c>
      <c r="E11" s="89">
        <v>58.0</v>
      </c>
      <c r="F11" s="89">
        <v>48.0</v>
      </c>
      <c r="G11" s="89">
        <v>38.0</v>
      </c>
      <c r="H11" s="89">
        <v>28.0</v>
      </c>
      <c r="I11" s="89">
        <v>18.0</v>
      </c>
      <c r="J11" s="89">
        <f>7.24</f>
        <v>7.24</v>
      </c>
      <c r="K11" s="24"/>
    </row>
    <row r="12">
      <c r="B12" s="67" t="s">
        <v>20</v>
      </c>
      <c r="C12" s="90" t="s">
        <v>18</v>
      </c>
      <c r="D12" s="90" t="s">
        <v>16</v>
      </c>
      <c r="E12" s="91" t="s">
        <v>14</v>
      </c>
      <c r="F12" s="92" t="s">
        <v>12</v>
      </c>
      <c r="G12" s="93" t="s">
        <v>21</v>
      </c>
      <c r="H12" s="93" t="s">
        <v>19</v>
      </c>
      <c r="I12" s="67" t="s">
        <v>17</v>
      </c>
      <c r="J12" s="67" t="s">
        <v>15</v>
      </c>
      <c r="K12" s="27"/>
    </row>
    <row r="13">
      <c r="B13" s="90" t="s">
        <v>27</v>
      </c>
      <c r="C13" s="90" t="s">
        <v>26</v>
      </c>
      <c r="D13" s="94" t="s">
        <v>25</v>
      </c>
      <c r="E13" s="91" t="s">
        <v>24</v>
      </c>
      <c r="F13" s="91" t="s">
        <v>23</v>
      </c>
      <c r="G13" s="95" t="s">
        <v>34</v>
      </c>
      <c r="H13" s="96" t="s">
        <v>33</v>
      </c>
      <c r="I13" s="97" t="s">
        <v>32</v>
      </c>
      <c r="J13" s="94" t="s">
        <v>31</v>
      </c>
      <c r="K13" s="27"/>
    </row>
    <row r="14">
      <c r="A14" s="24"/>
      <c r="B14" s="89">
        <v>93.0</v>
      </c>
      <c r="C14" s="89">
        <v>83.0</v>
      </c>
      <c r="D14" s="89">
        <v>73.0</v>
      </c>
      <c r="E14" s="89">
        <v>63.0</v>
      </c>
      <c r="F14" s="89">
        <v>53.0</v>
      </c>
      <c r="G14" s="89">
        <v>43.0</v>
      </c>
      <c r="H14" s="89">
        <v>33.0</v>
      </c>
      <c r="I14" s="89">
        <v>23.0</v>
      </c>
      <c r="J14" s="89">
        <v>13.0</v>
      </c>
      <c r="K14" s="24"/>
    </row>
    <row r="18">
      <c r="B18" s="58"/>
      <c r="C18" s="59"/>
      <c r="D18" s="59"/>
      <c r="E18" s="59"/>
      <c r="F18" s="59"/>
    </row>
  </sheetData>
  <drawing r:id="rId1"/>
</worksheet>
</file>