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569-jan-己丑" sheetId="1" r:id="rId5"/>
    <sheet state="visible" name="2569-feb-庚寅" sheetId="2" r:id="rId6"/>
    <sheet state="visible" name="2569-mar-辛卯" sheetId="3" r:id="rId7"/>
    <sheet state="visible" name="2569-apirl壬辰" sheetId="4" r:id="rId8"/>
    <sheet state="visible" name="2569-may癸巳" sheetId="5" r:id="rId9"/>
    <sheet state="visible" name="2569-june甲午" sheetId="6" r:id="rId10"/>
    <sheet state="visible" name="2569-july乙未" sheetId="7" r:id="rId11"/>
  </sheets>
  <definedNames/>
  <calcPr/>
</workbook>
</file>

<file path=xl/sharedStrings.xml><?xml version="1.0" encoding="utf-8"?>
<sst xmlns="http://schemas.openxmlformats.org/spreadsheetml/2006/main" count="21236" uniqueCount="352">
  <si>
    <t>開</t>
  </si>
  <si>
    <t>เปิด</t>
  </si>
  <si>
    <t>休</t>
  </si>
  <si>
    <t>พักผ่อน</t>
  </si>
  <si>
    <t>生</t>
  </si>
  <si>
    <t>เกิด</t>
  </si>
  <si>
    <t>傷</t>
  </si>
  <si>
    <t>บาดเจ็บ</t>
  </si>
  <si>
    <t>杜</t>
  </si>
  <si>
    <t>อุดตัน</t>
  </si>
  <si>
    <t>景</t>
  </si>
  <si>
    <t>เสน่ห์</t>
  </si>
  <si>
    <t>死</t>
  </si>
  <si>
    <t>ตาย</t>
  </si>
  <si>
    <t>驚</t>
  </si>
  <si>
    <t>กลัว</t>
  </si>
  <si>
    <t>มกราคม</t>
  </si>
  <si>
    <t>2569</t>
  </si>
  <si>
    <t>เทพประจำเดือน</t>
  </si>
  <si>
    <t>ทิศไฉ่ซิ้ง</t>
  </si>
  <si>
    <t>ทิศลาภเดือน</t>
  </si>
  <si>
    <t>ทิศอสูรเดือน</t>
  </si>
  <si>
    <t>โอกาสใหม่</t>
  </si>
  <si>
    <t>อบรม</t>
  </si>
  <si>
    <t>การเงิน</t>
  </si>
  <si>
    <t>แข่งขัน</t>
  </si>
  <si>
    <t>กลยุทธ์</t>
  </si>
  <si>
    <t>ภาพลักษณ์</t>
  </si>
  <si>
    <t>เฉพาะทาง</t>
  </si>
  <si>
    <t>สื่อสาร</t>
  </si>
  <si>
    <t>己</t>
  </si>
  <si>
    <t>乙</t>
  </si>
  <si>
    <t>酉</t>
  </si>
  <si>
    <t>พระสังกัจจายน์</t>
  </si>
  <si>
    <t>ทิศ N</t>
  </si>
  <si>
    <t>ทิศ SE</t>
  </si>
  <si>
    <t>ทิศ E</t>
  </si>
  <si>
    <t>陰</t>
  </si>
  <si>
    <t>NW</t>
  </si>
  <si>
    <t>蛇</t>
  </si>
  <si>
    <t>N</t>
  </si>
  <si>
    <t>符</t>
  </si>
  <si>
    <t>NE</t>
  </si>
  <si>
    <t>天</t>
  </si>
  <si>
    <t>E</t>
  </si>
  <si>
    <t>地</t>
  </si>
  <si>
    <t>SE</t>
  </si>
  <si>
    <t>玄</t>
  </si>
  <si>
    <t>S</t>
  </si>
  <si>
    <t>虎</t>
  </si>
  <si>
    <t>SW</t>
  </si>
  <si>
    <t>合</t>
  </si>
  <si>
    <t>W</t>
  </si>
  <si>
    <t>丑</t>
  </si>
  <si>
    <t>巳</t>
  </si>
  <si>
    <t>อสูรเดือน E</t>
  </si>
  <si>
    <t>อสูรปี E</t>
  </si>
  <si>
    <t>เวลามงคล</t>
  </si>
  <si>
    <t>เทพประจำวัน</t>
  </si>
  <si>
    <t>สีมงคล</t>
  </si>
  <si>
    <t>ทิศโชคลาภ</t>
  </si>
  <si>
    <t>ทิศอสูรวัน</t>
  </si>
  <si>
    <t>เทพอุปถัมป์</t>
  </si>
  <si>
    <t>พฤหัสบดี</t>
  </si>
  <si>
    <t>T</t>
  </si>
  <si>
    <t>D</t>
  </si>
  <si>
    <t>DM</t>
  </si>
  <si>
    <t>M</t>
  </si>
  <si>
    <t>Y</t>
  </si>
  <si>
    <t>B8</t>
  </si>
  <si>
    <t>1:00-2:59</t>
  </si>
  <si>
    <t>未</t>
  </si>
  <si>
    <t>ไท้เสียงเล่ากุง</t>
  </si>
  <si>
    <t>ดิน</t>
  </si>
  <si>
    <t>ครีม เหลือง น้ำตาล</t>
  </si>
  <si>
    <t>ทิศ W</t>
  </si>
  <si>
    <t>申</t>
  </si>
  <si>
    <t>คนเกิดปีวอก</t>
  </si>
  <si>
    <t>สูญเสีย</t>
  </si>
  <si>
    <t>戊</t>
  </si>
  <si>
    <t>B1</t>
  </si>
  <si>
    <t>11:00-12:59</t>
  </si>
  <si>
    <t>ไฟ</t>
  </si>
  <si>
    <t>แดง ชมพู ส้ม ม่วง</t>
  </si>
  <si>
    <t>子</t>
  </si>
  <si>
    <t>คนเกิดปีชวด</t>
  </si>
  <si>
    <t>陳</t>
  </si>
  <si>
    <t>ลิขสิทธิ</t>
  </si>
  <si>
    <t>雀</t>
  </si>
  <si>
    <t>โฆษณา</t>
  </si>
  <si>
    <t>วางโครงสร้าง</t>
  </si>
  <si>
    <t>วิสัยทัศน์</t>
  </si>
  <si>
    <t>เพิ่มขวัญกำลังใจ</t>
  </si>
  <si>
    <t>เหนือธรรมชาติ</t>
  </si>
  <si>
    <t>กลยุทธ</t>
  </si>
  <si>
    <t>เยียวยา</t>
  </si>
  <si>
    <t>มีปากเสียง ทะเลาะ วิวาท</t>
  </si>
  <si>
    <t>亥</t>
  </si>
  <si>
    <t>B2</t>
  </si>
  <si>
    <t>13:00-14:59</t>
  </si>
  <si>
    <t>ฟ้องร้องคดีความ</t>
  </si>
  <si>
    <t>การตลาด</t>
  </si>
  <si>
    <t>มั่นคงในธุรกิจ</t>
  </si>
  <si>
    <t>ดำเนินการตามแผน</t>
  </si>
  <si>
    <t>ประสบความสำเร็จ</t>
  </si>
  <si>
    <t>จัดฉาก</t>
  </si>
  <si>
    <t>เคล็ดลับ</t>
  </si>
  <si>
    <t>เครือข่าย</t>
  </si>
  <si>
    <t>A8</t>
  </si>
  <si>
    <t>B4</t>
  </si>
  <si>
    <t>A11</t>
  </si>
  <si>
    <t>B7</t>
  </si>
  <si>
    <t>A2</t>
  </si>
  <si>
    <t>B12</t>
  </si>
  <si>
    <t>A10</t>
  </si>
  <si>
    <t>A7</t>
  </si>
  <si>
    <t>B5</t>
  </si>
  <si>
    <t>19:00-20:59</t>
  </si>
  <si>
    <t>ทวงหนี้</t>
  </si>
  <si>
    <t>เจรจา</t>
  </si>
  <si>
    <t>ลงทุนเน้นคุณค่า</t>
  </si>
  <si>
    <t>สร้างเครือข่ายใหม่</t>
  </si>
  <si>
    <t>ฝันเป็นจริง</t>
  </si>
  <si>
    <t>สร้างเสน่ห์</t>
  </si>
  <si>
    <t>ความในใจ</t>
  </si>
  <si>
    <t>ปรองดอง</t>
  </si>
  <si>
    <t>B6</t>
  </si>
  <si>
    <t>C12</t>
  </si>
  <si>
    <t>21:00-22:59</t>
  </si>
  <si>
    <t>การเชื่อมโยงกับอดีต</t>
  </si>
  <si>
    <t>โน้มน้าว</t>
  </si>
  <si>
    <t>รายได้เสริม</t>
  </si>
  <si>
    <t>ติดต่อธุรกิจรายใหม่</t>
  </si>
  <si>
    <t>สร้างปาฏิหารย์</t>
  </si>
  <si>
    <t>เวทมนต์</t>
  </si>
  <si>
    <t>ข้อมูลสำคัญ</t>
  </si>
  <si>
    <t>ทำงานร่วมกัน</t>
  </si>
  <si>
    <t>อสูรวัน W</t>
  </si>
  <si>
    <t>อสูรเดือน S</t>
  </si>
  <si>
    <t>ศุกร์</t>
  </si>
  <si>
    <t>23:00-0:59</t>
  </si>
  <si>
    <t>เจ้าแม่กวนอิมพันมือ</t>
  </si>
  <si>
    <t>ไม้</t>
  </si>
  <si>
    <t>เขียว</t>
  </si>
  <si>
    <t>ทิศ S</t>
  </si>
  <si>
    <t>คนเกิดปีระกา</t>
  </si>
  <si>
    <t>ก่อเกิด</t>
  </si>
  <si>
    <t>丙</t>
  </si>
  <si>
    <t>น้ำ</t>
  </si>
  <si>
    <t xml:space="preserve">ฟ้า น้ำเงิน เทา ดำ </t>
  </si>
  <si>
    <t>คนเกิดปีกุน</t>
  </si>
  <si>
    <t>ลาภผล โชคลาภ ตำแหน่งดี</t>
  </si>
  <si>
    <t>5:00-6:59</t>
  </si>
  <si>
    <t>15:00-16:59</t>
  </si>
  <si>
    <t>C1</t>
  </si>
  <si>
    <t>17:00-18:59</t>
  </si>
  <si>
    <t>มงคล</t>
  </si>
  <si>
    <t>อสูรวัน S</t>
  </si>
  <si>
    <t>เสาร์</t>
  </si>
  <si>
    <t>3:00-4:59</t>
  </si>
  <si>
    <t>ขุมทรัพย์</t>
  </si>
  <si>
    <t>丁</t>
  </si>
  <si>
    <t>ฟ้าประทาน เทพเจ้าคุ้มครอง</t>
  </si>
  <si>
    <t>9:00-10:59</t>
  </si>
  <si>
    <t>A9</t>
  </si>
  <si>
    <t>A12</t>
  </si>
  <si>
    <t>วันพระ</t>
  </si>
  <si>
    <t>C2</t>
  </si>
  <si>
    <t>อสูรวัน E</t>
  </si>
  <si>
    <t>อาทิตย์</t>
  </si>
  <si>
    <t>23:00-00:59</t>
  </si>
  <si>
    <t>癸</t>
  </si>
  <si>
    <t>ท้าวเวสสุวรรณ</t>
  </si>
  <si>
    <t>ทอง</t>
  </si>
  <si>
    <t>ขาว</t>
  </si>
  <si>
    <t>คนเกิดปีมะแม</t>
  </si>
  <si>
    <t>พัฒนา</t>
  </si>
  <si>
    <t>เทียนโห่วเสี่ยบ้อ</t>
  </si>
  <si>
    <t>คนเกิดปีฉลู</t>
  </si>
  <si>
    <t>พลัดพลาก ดุร้าย บาดเจ็บ</t>
  </si>
  <si>
    <t>寅</t>
  </si>
  <si>
    <t>7:00-8:59</t>
  </si>
  <si>
    <t>A1</t>
  </si>
  <si>
    <t>B3</t>
  </si>
  <si>
    <t>C3</t>
  </si>
  <si>
    <t>อสูรวัน N</t>
  </si>
  <si>
    <t>จันทร์</t>
  </si>
  <si>
    <t>ห่างไกล</t>
  </si>
  <si>
    <t>มีลาภผล ทรัพย์สิน เงินทอง ยศศักดิ์</t>
  </si>
  <si>
    <t>卯</t>
  </si>
  <si>
    <t>C4</t>
  </si>
  <si>
    <t>อังคาร</t>
  </si>
  <si>
    <t>เจ้าแม่กวนอิมองค์ยืน</t>
  </si>
  <si>
    <t xml:space="preserve">ขาว </t>
  </si>
  <si>
    <t>ดูแลใส่ใจ</t>
  </si>
  <si>
    <t>庚</t>
  </si>
  <si>
    <t xml:space="preserve">น้ำ </t>
  </si>
  <si>
    <t>辰</t>
  </si>
  <si>
    <t>A6</t>
  </si>
  <si>
    <t>พุธ</t>
  </si>
  <si>
    <t>คนเกิดปีขาล</t>
  </si>
  <si>
    <t>辛</t>
  </si>
  <si>
    <t>午</t>
  </si>
  <si>
    <t>คนเกิดปีมะเมีย</t>
  </si>
  <si>
    <t>A5</t>
  </si>
  <si>
    <t>C5</t>
  </si>
  <si>
    <t>戌</t>
  </si>
  <si>
    <t>เทพ 3 ตา สุนัขสวรรค์</t>
  </si>
  <si>
    <t>คนเกิดปีเถาะ</t>
  </si>
  <si>
    <t>壬</t>
  </si>
  <si>
    <t>คนเกิดปีมะเส็ง</t>
  </si>
  <si>
    <t>มีโทษภัย ถูกกักขัง จำกัดขอบเขต</t>
  </si>
  <si>
    <t>B9</t>
  </si>
  <si>
    <t>A4</t>
  </si>
  <si>
    <t>B11</t>
  </si>
  <si>
    <t>C6</t>
  </si>
  <si>
    <t>สะสม</t>
  </si>
  <si>
    <t>มีของหาย เกิดโจรภัย มีคดีความ</t>
  </si>
  <si>
    <t>B10</t>
  </si>
  <si>
    <t>A3</t>
  </si>
  <si>
    <t>C7</t>
  </si>
  <si>
    <t>สูญสิ้น</t>
  </si>
  <si>
    <t>甲</t>
  </si>
  <si>
    <t>ตามชะตา ตามสถานการณ์</t>
  </si>
  <si>
    <t>วันเด็ก</t>
  </si>
  <si>
    <t>C8</t>
  </si>
  <si>
    <t>เจ้าพ่อพระเพลิง</t>
  </si>
  <si>
    <t>เจ้ากวนอูทรงม้า</t>
  </si>
  <si>
    <t>อับโชค เสียหาย เดียวดาย ทุกข์โศก</t>
  </si>
  <si>
    <t>C9</t>
  </si>
  <si>
    <t>วันหมอเทพ</t>
  </si>
  <si>
    <t>ก้าวหน้ารุ่งเรือง</t>
  </si>
  <si>
    <t>C10</t>
  </si>
  <si>
    <t>พระสังกัจจาย์</t>
  </si>
  <si>
    <t>ปู่กุ่ยฮุด</t>
  </si>
  <si>
    <t>ลาภผล อนาคตดี</t>
  </si>
  <si>
    <t>C11</t>
  </si>
  <si>
    <t>วันมงคล</t>
  </si>
  <si>
    <t>เจ้าแม่ทับทิม</t>
  </si>
  <si>
    <t>แปรผัน โทษทัณฐ์</t>
  </si>
  <si>
    <t>ฮั่วท้อเซียงสือกง</t>
  </si>
  <si>
    <t>วันครู</t>
  </si>
  <si>
    <t>เทียนไช้</t>
  </si>
  <si>
    <t>เจ้าพ่อเห้งเจีย</t>
  </si>
  <si>
    <t>เจ้าพ่อเตาไฟ</t>
  </si>
  <si>
    <t>ไท้เสียงเล่ากุงนั่งวัว</t>
  </si>
  <si>
    <t xml:space="preserve">อาทิตย์ </t>
  </si>
  <si>
    <t>เทพเจ้าบุ้งเชียง</t>
  </si>
  <si>
    <t>ของเก่า</t>
  </si>
  <si>
    <t>สะสาง</t>
  </si>
  <si>
    <t>เชี่ยงแซ</t>
  </si>
  <si>
    <t>แชเล้ง</t>
  </si>
  <si>
    <t>เกี๋ยง</t>
  </si>
  <si>
    <t>การเริ่มต้น</t>
  </si>
  <si>
    <t>หมกยก</t>
  </si>
  <si>
    <t>เหม่งตึ๊ง</t>
  </si>
  <si>
    <t>30/70</t>
  </si>
  <si>
    <t>ตือ</t>
  </si>
  <si>
    <t>ขจัดทิ้ง รื้อถอน</t>
  </si>
  <si>
    <t>กวงตั่ว</t>
  </si>
  <si>
    <t>ความรู้</t>
  </si>
  <si>
    <t>เทียนเฮ้ง</t>
  </si>
  <si>
    <t>มั่ว</t>
  </si>
  <si>
    <t>เพิ่มพูน มากล้น</t>
  </si>
  <si>
    <t>ลิ่มกัว</t>
  </si>
  <si>
    <t>ยศศักดิ์</t>
  </si>
  <si>
    <t>จูเฉียก</t>
  </si>
  <si>
    <t>เพัง</t>
  </si>
  <si>
    <t>ธรรมดา ปกติ</t>
  </si>
  <si>
    <t>ตี้อ๋วง</t>
  </si>
  <si>
    <t>อำนาจ</t>
  </si>
  <si>
    <t>กิมกุ่ย</t>
  </si>
  <si>
    <t>เตีย</t>
  </si>
  <si>
    <t>มัดจำ จับจอง</t>
  </si>
  <si>
    <t>ซวย</t>
  </si>
  <si>
    <t>เทียนเต็ก</t>
  </si>
  <si>
    <t>จิป</t>
  </si>
  <si>
    <t>รวบรวม</t>
  </si>
  <si>
    <t>แป่</t>
  </si>
  <si>
    <t>แป่โฮ้ว</t>
  </si>
  <si>
    <t>ผั่ว</t>
  </si>
  <si>
    <t>แตกหัก</t>
  </si>
  <si>
    <t>ซี่</t>
  </si>
  <si>
    <t>เหง็กอ๋วง</t>
  </si>
  <si>
    <t>งุ้ย</t>
  </si>
  <si>
    <t>อันตราย</t>
  </si>
  <si>
    <t>หมอ</t>
  </si>
  <si>
    <t>เทียนล้อ</t>
  </si>
  <si>
    <t>เซ้ง</t>
  </si>
  <si>
    <t>เจ๊าะ</t>
  </si>
  <si>
    <t>เหี่ยงบู้</t>
  </si>
  <si>
    <t>ซิว</t>
  </si>
  <si>
    <t>เก็บ เก็บสิ้น</t>
  </si>
  <si>
    <t>ทอ</t>
  </si>
  <si>
    <t>เริ่มต้น</t>
  </si>
  <si>
    <t>ซีเหม็ง</t>
  </si>
  <si>
    <t>ไค</t>
  </si>
  <si>
    <t>เอี๊ยง</t>
  </si>
  <si>
    <t>ดูแลเอาใจใส่</t>
  </si>
  <si>
    <t>กาวทิ้ง</t>
  </si>
  <si>
    <t>ปี่</t>
  </si>
  <si>
    <t>ปิด หลบซ่อน</t>
  </si>
  <si>
    <t>กุมภาพันธ์</t>
  </si>
  <si>
    <t>ทิศ SW</t>
  </si>
  <si>
    <t>อสูรเดือน N</t>
  </si>
  <si>
    <t>อสูรปี N</t>
  </si>
  <si>
    <t>อุปถัมป์</t>
  </si>
  <si>
    <t>มีนาคม</t>
  </si>
  <si>
    <t xml:space="preserve">มีโทษภัย ถูกกักขัง จำกัดขอบเขต	
	</t>
  </si>
  <si>
    <t>ท้าววิรูปักษ์</t>
  </si>
  <si>
    <t xml:space="preserve">มีลาภผล ทรัพย์สิน เงินทอง ยศศักดิ์	
	</t>
  </si>
  <si>
    <t>เจ้าพ่อมังกรเขียว</t>
  </si>
  <si>
    <t>เจ้าพ่อเสือ</t>
  </si>
  <si>
    <t>วันส่งเจ้า</t>
  </si>
  <si>
    <t>วันเทียนไช้</t>
  </si>
  <si>
    <t>วันตรุษจีน</t>
  </si>
  <si>
    <t>เทพบุ้งเชียง</t>
  </si>
  <si>
    <t>เจ้าแม่กวนอิมนั่งบัว</t>
  </si>
  <si>
    <t>วันรับเจ้า</t>
  </si>
  <si>
    <t>ฟ้าส่งเสริม</t>
  </si>
  <si>
    <t>ทีกงแช</t>
  </si>
  <si>
    <t>อสูรเดือน W</t>
  </si>
  <si>
    <t>มาฆบูชา</t>
  </si>
  <si>
    <t>ปู้กุ่ยฮุด</t>
  </si>
  <si>
    <t>ฟ้าอภัย</t>
  </si>
  <si>
    <t>จุ้ยบ๊วยเนี้ย</t>
  </si>
  <si>
    <t>เทพบุ่นเชียง</t>
  </si>
  <si>
    <t>เมษายน</t>
  </si>
  <si>
    <t>แรงงาน</t>
  </si>
  <si>
    <t>เช้งเม้ง</t>
  </si>
  <si>
    <t>จักรี</t>
  </si>
  <si>
    <t>หมอเทพ</t>
  </si>
  <si>
    <t>สงกรานต์</t>
  </si>
  <si>
    <t>พฤษภาคม</t>
  </si>
  <si>
    <t>ทิศ NE</t>
  </si>
  <si>
    <t>วันพระไทย</t>
  </si>
  <si>
    <t>วันพระจีน</t>
  </si>
  <si>
    <t>ฉัตรมงคล</t>
  </si>
  <si>
    <t xml:space="preserve"> </t>
  </si>
  <si>
    <t>วันวิสาขบูชา</t>
  </si>
  <si>
    <t>มิถุนายน</t>
  </si>
  <si>
    <t>เฉลิมราชินี</t>
  </si>
  <si>
    <t xml:space="preserve">แปรผัน โทษทัณฐ์	
	</t>
  </si>
  <si>
    <t>เเชเล้ง</t>
  </si>
  <si>
    <t>อำานาจ</t>
  </si>
  <si>
    <t xml:space="preserve">มีของหาย เกิดโจรภัย มีคดีความ	
	</t>
  </si>
  <si>
    <t>ดูแลเอาใส่ใจ</t>
  </si>
  <si>
    <t>กรกฎาคม</t>
  </si>
  <si>
    <t>MY</t>
  </si>
  <si>
    <t>เฉลิม ร.10</t>
  </si>
  <si>
    <t>อาสาฬหบูชา</t>
  </si>
  <si>
    <t>เข้าพรรษา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</si>
</sst>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3">
    <font>
      <sz val="10.0"/>
      <color rgb="FF000000"/>
      <name val="Arial"/>
      <scheme val="minor"/>
    </font>
    <font>
      <sz val="15.0"/>
      <color theme="1"/>
      <name val="Arial"/>
      <scheme val="minor"/>
    </font>
    <font>
      <b/>
      <sz val="15.0"/>
      <color rgb="FF999999"/>
      <name val="Arial"/>
    </font>
    <font>
      <b/>
      <sz val="15.0"/>
      <color rgb="FFFF0000"/>
      <name val="Arial"/>
    </font>
    <font>
      <b/>
      <sz val="20.0"/>
      <color rgb="FF999999"/>
      <name val="Arial"/>
    </font>
    <font>
      <color theme="1"/>
      <name val="Arial"/>
      <scheme val="minor"/>
    </font>
    <font>
      <sz val="15.0"/>
      <color rgb="FF0000FF"/>
      <name val="Arial"/>
      <scheme val="minor"/>
    </font>
    <font>
      <sz val="15.0"/>
      <color rgb="FFFF0000"/>
      <name val="Arial"/>
      <scheme val="minor"/>
    </font>
    <font>
      <b/>
      <sz val="30.0"/>
      <color rgb="FFFFFFFF"/>
      <name val="Arial"/>
      <scheme val="minor"/>
    </font>
    <font>
      <b/>
      <sz val="15.0"/>
      <color theme="1"/>
      <name val="Arial"/>
      <scheme val="minor"/>
    </font>
    <font>
      <b/>
      <sz val="25.0"/>
      <color rgb="FFFFFFFF"/>
      <name val="Arial"/>
      <scheme val="minor"/>
    </font>
    <font>
      <b/>
      <sz val="20.0"/>
      <color rgb="FFBF9000"/>
      <name val="UICTFontTextStyleEmphasizedBody"/>
    </font>
    <font>
      <b/>
      <sz val="20.0"/>
      <color rgb="FF6AA84F"/>
      <name val="UICTFontTextStyleEmphasizedBody"/>
    </font>
    <font>
      <b/>
      <sz val="20.0"/>
      <color rgb="FFBF9000"/>
      <name val="Sarabun"/>
    </font>
    <font>
      <b/>
      <sz val="20.0"/>
      <color rgb="FFFF0000"/>
      <name val="Sarabun"/>
    </font>
    <font>
      <b/>
      <color theme="1"/>
      <name val="Arial"/>
    </font>
    <font>
      <b/>
      <sz val="15.0"/>
      <color rgb="FF0000FF"/>
      <name val="Arial"/>
      <scheme val="minor"/>
    </font>
    <font/>
    <font>
      <b/>
      <sz val="15.0"/>
      <color rgb="FFFF0000"/>
      <name val="Arial"/>
      <scheme val="minor"/>
    </font>
    <font>
      <b/>
      <sz val="30.0"/>
      <color theme="1"/>
      <name val="Arial"/>
      <scheme val="minor"/>
    </font>
    <font>
      <sz val="30.0"/>
      <color theme="1"/>
      <name val="Arial"/>
      <scheme val="minor"/>
    </font>
    <font>
      <b/>
      <sz val="25.0"/>
      <color theme="1"/>
      <name val="Arial"/>
      <scheme val="minor"/>
    </font>
    <font>
      <b/>
      <sz val="15.0"/>
      <color rgb="FF0000FF"/>
      <name val="Arial"/>
    </font>
    <font>
      <b/>
      <sz val="20.0"/>
      <color rgb="FFFF0000"/>
      <name val="UICTFontTextStyleEmphasizedBody"/>
    </font>
    <font>
      <sz val="15.0"/>
      <color rgb="FFFF0000"/>
      <name val="Sarabun"/>
    </font>
    <font>
      <sz val="15.0"/>
      <color theme="1"/>
      <name val="Sarabun"/>
    </font>
    <font>
      <b/>
      <sz val="25.0"/>
      <color rgb="FF0000FF"/>
      <name val="Arial"/>
      <scheme val="minor"/>
    </font>
    <font>
      <sz val="20.0"/>
      <color theme="1"/>
      <name val="Arial"/>
      <scheme val="minor"/>
    </font>
    <font>
      <b/>
      <sz val="20.0"/>
      <color rgb="FF38761D"/>
      <name val="Arial"/>
    </font>
    <font>
      <b/>
      <sz val="20.0"/>
      <color rgb="FFBF9000"/>
      <name val="Arial"/>
    </font>
    <font>
      <color rgb="FFFF0000"/>
      <name val="Arial"/>
      <scheme val="minor"/>
    </font>
    <font>
      <b/>
      <sz val="25.0"/>
      <color rgb="FFFF0000"/>
      <name val="Arial"/>
      <scheme val="minor"/>
    </font>
    <font>
      <sz val="14.0"/>
      <color rgb="FF0000FF"/>
      <name val="Arial"/>
      <scheme val="minor"/>
    </font>
    <font>
      <b/>
      <sz val="20.0"/>
      <color rgb="FF0000FF"/>
      <name val="Sarabun"/>
    </font>
    <font>
      <sz val="14.0"/>
      <color theme="1"/>
      <name val="Arial"/>
      <scheme val="minor"/>
    </font>
    <font>
      <b/>
      <sz val="20.0"/>
      <color rgb="FFFF0000"/>
      <name val="Arial"/>
    </font>
    <font>
      <sz val="20.0"/>
      <color rgb="FFFFFFFF"/>
      <name val="Arial"/>
      <scheme val="minor"/>
    </font>
    <font>
      <b/>
      <color theme="1"/>
      <name val="UICTFontTextStyleEmphasizedBody"/>
    </font>
    <font>
      <sz val="13.0"/>
      <color rgb="FF0000FF"/>
      <name val="Arial"/>
      <scheme val="minor"/>
    </font>
    <font>
      <b/>
      <color theme="1"/>
      <name val="Arial"/>
      <scheme val="minor"/>
    </font>
    <font>
      <b/>
      <sz val="20.0"/>
      <color rgb="FF38761D"/>
      <name val="Sarabun"/>
    </font>
    <font>
      <b/>
      <sz val="15.0"/>
      <color rgb="FFFFFFFF"/>
      <name val="Arial"/>
      <scheme val="minor"/>
    </font>
    <font>
      <sz val="12.0"/>
      <color rgb="FF0000FF"/>
      <name val="Arial"/>
      <scheme val="minor"/>
    </font>
    <font>
      <b/>
      <sz val="15.0"/>
      <color rgb="FFFF0000"/>
      <name val="Sarabun"/>
    </font>
    <font>
      <b/>
      <sz val="20.0"/>
      <color rgb="FF999999"/>
      <name val="UICTFontTextStyleEmphasizedBody"/>
    </font>
    <font>
      <b/>
      <sz val="20.0"/>
      <color rgb="FF0000FF"/>
      <name val="Arial"/>
    </font>
    <font>
      <b/>
      <sz val="20.0"/>
      <color rgb="FF999999"/>
      <name val="Sarabun"/>
    </font>
    <font>
      <sz val="11.0"/>
      <color rgb="FF0000FF"/>
      <name val="Arial"/>
      <scheme val="minor"/>
    </font>
    <font>
      <sz val="15.0"/>
      <color rgb="FFFFFFFF"/>
      <name val="Arial"/>
      <scheme val="minor"/>
    </font>
    <font>
      <color rgb="FFFFFFFF"/>
      <name val="Arial"/>
      <scheme val="minor"/>
    </font>
    <font>
      <sz val="12.0"/>
      <color theme="1"/>
      <name val="Arial"/>
      <scheme val="minor"/>
    </font>
    <font>
      <sz val="12.0"/>
      <color theme="1"/>
      <name val="Arial"/>
    </font>
    <font>
      <sz val="14.0"/>
      <color rgb="FF0000FF"/>
      <name val="Arial"/>
    </font>
    <font>
      <sz val="14.0"/>
      <color rgb="FF93C47D"/>
      <name val="Arial"/>
    </font>
    <font>
      <sz val="14.0"/>
      <color rgb="FF93C47D"/>
      <name val="Arial"/>
      <scheme val="minor"/>
    </font>
    <font>
      <sz val="14.0"/>
      <color rgb="FF6AA84F"/>
      <name val="Arial"/>
      <scheme val="minor"/>
    </font>
    <font>
      <sz val="14.0"/>
      <color rgb="FFFF0000"/>
      <name val="Arial"/>
      <scheme val="minor"/>
    </font>
    <font>
      <sz val="14.0"/>
      <color rgb="FFFF0000"/>
      <name val="Arial"/>
    </font>
    <font>
      <sz val="14.0"/>
      <color rgb="FF1155CC"/>
      <name val="Arial"/>
      <scheme val="minor"/>
    </font>
    <font>
      <b/>
      <sz val="20.0"/>
      <color rgb="FF6AA84F"/>
      <name val="Sarabun"/>
    </font>
    <font>
      <b/>
      <sz val="20.0"/>
      <color rgb="FF666666"/>
      <name val="Arial"/>
    </font>
    <font>
      <sz val="15.0"/>
      <color rgb="FF6AA84F"/>
      <name val="Arial"/>
      <scheme val="minor"/>
    </font>
    <font>
      <sz val="18.0"/>
      <color rgb="FFFFFFFF"/>
      <name val="Arial"/>
      <scheme val="minor"/>
    </font>
    <font>
      <b/>
      <sz val="17.0"/>
      <color rgb="FF000000"/>
      <name val="Arial"/>
      <scheme val="minor"/>
    </font>
    <font>
      <b/>
      <sz val="18.0"/>
      <color rgb="FFFFFFFF"/>
      <name val="Arial"/>
      <scheme val="minor"/>
    </font>
    <font>
      <sz val="17.0"/>
      <color rgb="FFFFFFFF"/>
      <name val="Arial"/>
      <scheme val="minor"/>
    </font>
    <font>
      <sz val="12.0"/>
      <color rgb="FFFF0000"/>
      <name val="Arial"/>
      <scheme val="minor"/>
    </font>
    <font>
      <b/>
      <sz val="13.0"/>
      <color rgb="FF999999"/>
      <name val="Arial"/>
    </font>
    <font>
      <sz val="13.0"/>
      <color theme="1"/>
      <name val="Arial"/>
      <scheme val="minor"/>
    </font>
    <font>
      <sz val="15.0"/>
      <color rgb="FF38761D"/>
      <name val="Arial"/>
      <scheme val="minor"/>
    </font>
    <font>
      <b/>
      <sz val="20.0"/>
      <color rgb="FFFFFFFF"/>
      <name val="Arial"/>
      <scheme val="minor"/>
    </font>
    <font>
      <sz val="11.0"/>
      <color rgb="FFFF0000"/>
      <name val="Arial"/>
      <scheme val="minor"/>
    </font>
    <font>
      <sz val="16.0"/>
      <color rgb="FF0000FF"/>
      <name val="Arial"/>
      <scheme val="minor"/>
    </font>
    <font>
      <sz val="19.0"/>
      <color rgb="FFFFFFFF"/>
      <name val="Arial"/>
      <scheme val="minor"/>
    </font>
    <font>
      <b/>
      <sz val="20.0"/>
      <color rgb="FF6AA84F"/>
      <name val="Arial"/>
    </font>
    <font>
      <sz val="17.0"/>
      <color rgb="FF0000FF"/>
      <name val="Arial"/>
      <scheme val="minor"/>
    </font>
    <font>
      <sz val="14.0"/>
      <color rgb="FF38761D"/>
      <name val="Arial"/>
      <scheme val="minor"/>
    </font>
    <font>
      <sz val="13.0"/>
      <color rgb="FF93C47D"/>
      <name val="Arial"/>
      <scheme val="minor"/>
    </font>
    <font>
      <sz val="12.0"/>
      <color rgb="FFFF0000"/>
      <name val="Arial"/>
    </font>
    <font>
      <sz val="13.0"/>
      <color rgb="FFFF0000"/>
      <name val="Arial"/>
      <scheme val="minor"/>
    </font>
    <font>
      <sz val="15.0"/>
      <color rgb="FF38761D"/>
      <name val="Arial"/>
    </font>
    <font>
      <b/>
      <sz val="20.0"/>
      <color rgb="FFF1C232"/>
      <name val="Sarabun"/>
    </font>
    <font>
      <b/>
      <sz val="15.0"/>
      <color rgb="FF6AA84F"/>
      <name val="Arial"/>
      <scheme val="minor"/>
    </font>
  </fonts>
  <fills count="2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999999"/>
        <bgColor rgb="FF999999"/>
      </patternFill>
    </fill>
    <fill>
      <patternFill patternType="solid">
        <fgColor rgb="FF0000FF"/>
        <bgColor rgb="FF0000FF"/>
      </patternFill>
    </fill>
    <fill>
      <patternFill patternType="solid">
        <fgColor rgb="FFBF9000"/>
        <bgColor rgb="FFBF9000"/>
      </patternFill>
    </fill>
    <fill>
      <patternFill patternType="solid">
        <fgColor rgb="FF6AA84F"/>
        <bgColor rgb="FF6AA84F"/>
      </patternFill>
    </fill>
    <fill>
      <patternFill patternType="solid">
        <fgColor rgb="FF38761D"/>
        <bgColor rgb="FF38761D"/>
      </patternFill>
    </fill>
    <fill>
      <patternFill patternType="solid">
        <fgColor rgb="FFFF0000"/>
        <bgColor rgb="FFFF0000"/>
      </patternFill>
    </fill>
    <fill>
      <patternFill patternType="solid">
        <fgColor rgb="FF666666"/>
        <bgColor rgb="FF666666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00FF"/>
        <bgColor rgb="FFFF00FF"/>
      </patternFill>
    </fill>
    <fill>
      <patternFill patternType="solid">
        <fgColor rgb="FFFFFFFF"/>
        <bgColor rgb="FFFFFFFF"/>
      </patternFill>
    </fill>
    <fill>
      <patternFill patternType="solid">
        <fgColor rgb="FF9900FF"/>
        <bgColor rgb="FF9900FF"/>
      </patternFill>
    </fill>
    <fill>
      <patternFill patternType="solid">
        <fgColor rgb="FF4A86E8"/>
        <bgColor rgb="FF4A86E8"/>
      </patternFill>
    </fill>
    <fill>
      <patternFill patternType="solid">
        <fgColor rgb="FFF1C232"/>
        <bgColor rgb="FFF1C232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3C78D8"/>
        <bgColor rgb="FF3C78D8"/>
      </patternFill>
    </fill>
    <fill>
      <patternFill patternType="solid">
        <fgColor rgb="FF674EA7"/>
        <bgColor rgb="FF674EA7"/>
      </patternFill>
    </fill>
    <fill>
      <patternFill patternType="solid">
        <fgColor rgb="FFFFD966"/>
        <bgColor rgb="FFFFD966"/>
      </patternFill>
    </fill>
    <fill>
      <patternFill patternType="solid">
        <fgColor rgb="FFA64D79"/>
        <bgColor rgb="FFA64D79"/>
      </patternFill>
    </fill>
    <fill>
      <patternFill patternType="solid">
        <fgColor rgb="FF6FA8DC"/>
        <bgColor rgb="FF6FA8DC"/>
      </patternFill>
    </fill>
  </fills>
  <borders count="25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top style="thick">
        <color rgb="FF000000"/>
      </top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top style="thick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</border>
    <border>
      <right style="thick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4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2" fontId="1" numFmtId="0" xfId="0" applyAlignment="1" applyFill="1" applyFont="1">
      <alignment horizontal="center" readingOrder="0" vertical="center"/>
    </xf>
    <xf borderId="0" fillId="0" fontId="2" numFmtId="49" xfId="0" applyAlignment="1" applyFont="1" applyNumberFormat="1">
      <alignment horizontal="center" readingOrder="0" vertical="center"/>
    </xf>
    <xf borderId="0" fillId="0" fontId="2" numFmtId="49" xfId="0" applyAlignment="1" applyFont="1" applyNumberFormat="1">
      <alignment horizontal="left" readingOrder="0"/>
    </xf>
    <xf borderId="0" fillId="0" fontId="2" numFmtId="49" xfId="0" applyAlignment="1" applyFont="1" applyNumberFormat="1">
      <alignment horizontal="center" readingOrder="0"/>
    </xf>
    <xf borderId="0" fillId="0" fontId="3" numFmtId="49" xfId="0" applyAlignment="1" applyFont="1" applyNumberFormat="1">
      <alignment horizontal="center" vertical="center"/>
    </xf>
    <xf borderId="0" fillId="0" fontId="4" numFmtId="49" xfId="0" applyAlignment="1" applyFont="1" applyNumberFormat="1">
      <alignment horizontal="center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center" readingOrder="0" vertical="center"/>
    </xf>
    <xf borderId="0" fillId="0" fontId="6" numFmtId="0" xfId="0" applyFont="1"/>
    <xf borderId="0" fillId="0" fontId="6" numFmtId="0" xfId="0" applyAlignment="1" applyFont="1">
      <alignment horizontal="center"/>
    </xf>
    <xf borderId="0" fillId="0" fontId="7" numFmtId="0" xfId="0" applyAlignment="1" applyFont="1">
      <alignment horizontal="center" readingOrder="0" vertical="center"/>
    </xf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3" fontId="8" numFmtId="0" xfId="0" applyAlignment="1" applyFill="1" applyFont="1">
      <alignment horizontal="center" readingOrder="0" vertical="center"/>
    </xf>
    <xf borderId="0" fillId="0" fontId="9" numFmtId="0" xfId="0" applyAlignment="1" applyFont="1">
      <alignment horizontal="center" readingOrder="0" vertical="center"/>
    </xf>
    <xf borderId="0" fillId="4" fontId="8" numFmtId="0" xfId="0" applyAlignment="1" applyFill="1" applyFont="1">
      <alignment horizontal="center" readingOrder="0" vertical="center"/>
    </xf>
    <xf borderId="0" fillId="5" fontId="8" numFmtId="0" xfId="0" applyAlignment="1" applyFill="1" applyFont="1">
      <alignment horizontal="center" readingOrder="0" vertical="center"/>
    </xf>
    <xf borderId="0" fillId="6" fontId="8" numFmtId="0" xfId="0" applyAlignment="1" applyFill="1" applyFont="1">
      <alignment horizontal="center" readingOrder="0" vertical="center"/>
    </xf>
    <xf borderId="0" fillId="7" fontId="8" numFmtId="0" xfId="0" applyAlignment="1" applyFill="1" applyFont="1">
      <alignment horizontal="center" readingOrder="0" vertical="center"/>
    </xf>
    <xf borderId="0" fillId="8" fontId="8" numFmtId="0" xfId="0" applyAlignment="1" applyFill="1" applyFont="1">
      <alignment horizontal="center" readingOrder="0" vertical="center"/>
    </xf>
    <xf borderId="0" fillId="5" fontId="10" numFmtId="0" xfId="0" applyAlignment="1" applyFont="1">
      <alignment horizontal="center" readingOrder="0" vertical="center"/>
    </xf>
    <xf borderId="0" fillId="9" fontId="10" numFmtId="0" xfId="0" applyAlignment="1" applyFill="1" applyFont="1">
      <alignment horizontal="center" readingOrder="0" vertical="center"/>
    </xf>
    <xf borderId="0" fillId="2" fontId="5" numFmtId="0" xfId="0" applyFont="1"/>
    <xf borderId="0" fillId="0" fontId="6" numFmtId="0" xfId="0" applyAlignment="1" applyFont="1">
      <alignment horizontal="center" readingOrder="0" vertical="center"/>
    </xf>
    <xf borderId="0" fillId="0" fontId="4" numFmtId="49" xfId="0" applyAlignment="1" applyFont="1" applyNumberFormat="1">
      <alignment horizontal="center" readingOrder="0"/>
    </xf>
    <xf borderId="0" fillId="0" fontId="11" numFmtId="49" xfId="0" applyAlignment="1" applyFont="1" applyNumberFormat="1">
      <alignment horizontal="center" readingOrder="0"/>
    </xf>
    <xf borderId="0" fillId="0" fontId="12" numFmtId="49" xfId="0" applyAlignment="1" applyFont="1" applyNumberFormat="1">
      <alignment horizontal="center" readingOrder="0"/>
    </xf>
    <xf borderId="0" fillId="0" fontId="7" numFmtId="0" xfId="0" applyAlignment="1" applyFont="1">
      <alignment readingOrder="0" vertical="center"/>
    </xf>
    <xf borderId="0" fillId="3" fontId="10" numFmtId="0" xfId="0" applyAlignment="1" applyFont="1">
      <alignment horizontal="center" readingOrder="0" vertical="center"/>
    </xf>
    <xf borderId="0" fillId="8" fontId="10" numFmtId="0" xfId="0" applyAlignment="1" applyFont="1">
      <alignment horizontal="center" readingOrder="0" vertical="center"/>
    </xf>
    <xf borderId="0" fillId="4" fontId="10" numFmtId="0" xfId="0" applyAlignment="1" applyFont="1">
      <alignment horizontal="center" readingOrder="0" vertical="center"/>
    </xf>
    <xf borderId="0" fillId="6" fontId="10" numFmtId="0" xfId="0" applyAlignment="1" applyFont="1">
      <alignment horizontal="center" readingOrder="0" vertical="center"/>
    </xf>
    <xf borderId="0" fillId="0" fontId="13" numFmtId="49" xfId="0" applyAlignment="1" applyFont="1" applyNumberFormat="1">
      <alignment horizontal="center" readingOrder="0"/>
    </xf>
    <xf borderId="0" fillId="0" fontId="14" numFmtId="49" xfId="0" applyAlignment="1" applyFont="1" applyNumberFormat="1">
      <alignment horizontal="center" readingOrder="0"/>
    </xf>
    <xf borderId="0" fillId="0" fontId="7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15" numFmtId="49" xfId="0" applyAlignment="1" applyFont="1" applyNumberFormat="1">
      <alignment horizontal="right" readingOrder="0" vertical="center"/>
    </xf>
    <xf borderId="0" fillId="0" fontId="15" numFmtId="49" xfId="0" applyAlignment="1" applyFont="1" applyNumberFormat="1">
      <alignment horizontal="center" readingOrder="0" vertical="center"/>
    </xf>
    <xf borderId="1" fillId="0" fontId="16" numFmtId="0" xfId="0" applyAlignment="1" applyBorder="1" applyFont="1">
      <alignment horizontal="center" readingOrder="0" vertical="center"/>
    </xf>
    <xf borderId="2" fillId="0" fontId="17" numFmtId="0" xfId="0" applyBorder="1" applyFont="1"/>
    <xf borderId="1" fillId="0" fontId="18" numFmtId="0" xfId="0" applyAlignment="1" applyBorder="1" applyFont="1">
      <alignment horizontal="center" readingOrder="0" vertical="center"/>
    </xf>
    <xf borderId="3" fillId="0" fontId="9" numFmtId="0" xfId="0" applyAlignment="1" applyBorder="1" applyFont="1">
      <alignment horizontal="center" readingOrder="0" vertical="center"/>
    </xf>
    <xf borderId="4" fillId="0" fontId="17" numFmtId="0" xfId="0" applyBorder="1" applyFont="1"/>
    <xf borderId="0" fillId="0" fontId="19" numFmtId="0" xfId="0" applyAlignment="1" applyFont="1">
      <alignment horizontal="center" readingOrder="0" vertical="center"/>
    </xf>
    <xf borderId="0" fillId="0" fontId="20" numFmtId="0" xfId="0" applyAlignment="1" applyFont="1">
      <alignment horizontal="center" readingOrder="0" vertical="center"/>
    </xf>
    <xf borderId="0" fillId="0" fontId="21" numFmtId="0" xfId="0" applyAlignment="1" applyFont="1">
      <alignment horizontal="center" readingOrder="0" vertical="center"/>
    </xf>
    <xf borderId="0" fillId="2" fontId="9" numFmtId="0" xfId="0" applyAlignment="1" applyFont="1">
      <alignment horizontal="center" readingOrder="0" vertical="center"/>
    </xf>
    <xf borderId="0" fillId="2" fontId="4" numFmtId="49" xfId="0" applyAlignment="1" applyFont="1" applyNumberFormat="1">
      <alignment horizontal="center" readingOrder="0"/>
    </xf>
    <xf borderId="0" fillId="2" fontId="3" numFmtId="49" xfId="0" applyAlignment="1" applyFont="1" applyNumberFormat="1">
      <alignment horizontal="center" vertical="center"/>
    </xf>
    <xf borderId="0" fillId="2" fontId="4" numFmtId="49" xfId="0" applyAlignment="1" applyFont="1" applyNumberFormat="1">
      <alignment horizontal="center"/>
    </xf>
    <xf borderId="0" fillId="2" fontId="5" numFmtId="0" xfId="0" applyAlignment="1" applyFont="1">
      <alignment horizontal="center" readingOrder="0"/>
    </xf>
    <xf borderId="0" fillId="2" fontId="5" numFmtId="0" xfId="0" applyAlignment="1" applyFont="1">
      <alignment horizontal="center" readingOrder="0" vertical="center"/>
    </xf>
    <xf borderId="0" fillId="2" fontId="6" numFmtId="0" xfId="0" applyFont="1"/>
    <xf borderId="0" fillId="2" fontId="6" numFmtId="0" xfId="0" applyAlignment="1" applyFont="1">
      <alignment horizontal="center"/>
    </xf>
    <xf borderId="0" fillId="2" fontId="7" numFmtId="0" xfId="0" applyAlignment="1" applyFont="1">
      <alignment horizontal="center" readingOrder="0" vertical="center"/>
    </xf>
    <xf borderId="0" fillId="2" fontId="6" numFmtId="0" xfId="0" applyAlignment="1" applyFont="1">
      <alignment horizontal="center" readingOrder="0" vertical="center"/>
    </xf>
    <xf borderId="0" fillId="2" fontId="1" numFmtId="0" xfId="0" applyAlignment="1" applyFont="1">
      <alignment horizontal="center" vertical="center"/>
    </xf>
    <xf borderId="0" fillId="2" fontId="7" numFmtId="0" xfId="0" applyAlignment="1" applyFont="1">
      <alignment horizontal="center" vertical="center"/>
    </xf>
    <xf borderId="0" fillId="2" fontId="21" numFmtId="0" xfId="0" applyAlignment="1" applyFont="1">
      <alignment horizontal="center" readingOrder="0" vertical="center"/>
    </xf>
    <xf borderId="5" fillId="0" fontId="1" numFmtId="0" xfId="0" applyAlignment="1" applyBorder="1" applyFont="1">
      <alignment horizontal="center" readingOrder="0" vertical="center"/>
    </xf>
    <xf borderId="6" fillId="2" fontId="1" numFmtId="0" xfId="0" applyAlignment="1" applyBorder="1" applyFont="1">
      <alignment horizontal="center" readingOrder="0" vertical="center"/>
    </xf>
    <xf borderId="6" fillId="0" fontId="1" numFmtId="0" xfId="0" applyAlignment="1" applyBorder="1" applyFont="1">
      <alignment horizontal="center" readingOrder="0" vertical="center"/>
    </xf>
    <xf borderId="7" fillId="0" fontId="22" numFmtId="10" xfId="0" applyAlignment="1" applyBorder="1" applyFont="1" applyNumberFormat="1">
      <alignment horizontal="center"/>
    </xf>
    <xf borderId="8" fillId="0" fontId="17" numFmtId="0" xfId="0" applyBorder="1" applyFont="1"/>
    <xf borderId="6" fillId="0" fontId="4" numFmtId="49" xfId="0" applyAlignment="1" applyBorder="1" applyFont="1" applyNumberFormat="1">
      <alignment horizontal="center"/>
    </xf>
    <xf borderId="6" fillId="0" fontId="23" numFmtId="49" xfId="0" applyAlignment="1" applyBorder="1" applyFont="1" applyNumberFormat="1">
      <alignment horizontal="center"/>
    </xf>
    <xf borderId="6" fillId="0" fontId="24" numFmtId="10" xfId="0" applyAlignment="1" applyBorder="1" applyFont="1" applyNumberFormat="1">
      <alignment horizontal="center" vertical="center"/>
    </xf>
    <xf borderId="9" fillId="0" fontId="25" numFmtId="49" xfId="0" applyAlignment="1" applyBorder="1" applyFont="1" applyNumberFormat="1">
      <alignment horizontal="center"/>
    </xf>
    <xf borderId="9" fillId="0" fontId="17" numFmtId="0" xfId="0" applyBorder="1" applyFont="1"/>
    <xf borderId="10" fillId="0" fontId="1" numFmtId="0" xfId="0" applyAlignment="1" applyBorder="1" applyFont="1">
      <alignment horizontal="center" readingOrder="0" vertical="center"/>
    </xf>
    <xf borderId="6" fillId="0" fontId="17" numFmtId="0" xfId="0" applyBorder="1" applyFont="1"/>
    <xf borderId="11" fillId="0" fontId="6" numFmtId="0" xfId="0" applyAlignment="1" applyBorder="1" applyFont="1">
      <alignment horizontal="center" readingOrder="0" vertical="center"/>
    </xf>
    <xf borderId="9" fillId="0" fontId="6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readingOrder="0" vertical="center"/>
    </xf>
    <xf borderId="10" fillId="10" fontId="6" numFmtId="0" xfId="0" applyAlignment="1" applyBorder="1" applyFill="1" applyFont="1">
      <alignment horizontal="center" readingOrder="0" vertical="center"/>
    </xf>
    <xf borderId="9" fillId="0" fontId="6" numFmtId="0" xfId="0" applyAlignment="1" applyBorder="1" applyFont="1">
      <alignment horizontal="center" readingOrder="0" shrinkToFit="0" vertical="center" wrapText="1"/>
    </xf>
    <xf borderId="12" fillId="0" fontId="1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7" fillId="0" fontId="26" numFmtId="0" xfId="0" applyAlignment="1" applyBorder="1" applyFont="1">
      <alignment horizontal="center" readingOrder="0" vertical="center"/>
    </xf>
    <xf borderId="6" fillId="0" fontId="16" numFmtId="0" xfId="0" applyAlignment="1" applyBorder="1" applyFont="1">
      <alignment horizontal="center" readingOrder="0" vertical="center"/>
    </xf>
    <xf borderId="6" fillId="0" fontId="26" numFmtId="0" xfId="0" applyAlignment="1" applyBorder="1" applyFont="1">
      <alignment horizontal="center" readingOrder="0" vertical="center"/>
    </xf>
    <xf borderId="6" fillId="2" fontId="5" numFmtId="0" xfId="0" applyBorder="1" applyFont="1"/>
    <xf borderId="6" fillId="0" fontId="5" numFmtId="0" xfId="0" applyBorder="1" applyFont="1"/>
    <xf borderId="13" fillId="0" fontId="27" numFmtId="0" xfId="0" applyAlignment="1" applyBorder="1" applyFont="1">
      <alignment horizontal="center" readingOrder="0" vertical="center"/>
    </xf>
    <xf borderId="0" fillId="2" fontId="27" numFmtId="0" xfId="0" applyAlignment="1" applyFont="1">
      <alignment horizontal="center" readingOrder="0" vertical="center"/>
    </xf>
    <xf borderId="14" fillId="0" fontId="28" numFmtId="49" xfId="0" applyAlignment="1" applyBorder="1" applyFont="1" applyNumberFormat="1">
      <alignment horizontal="center" readingOrder="0"/>
    </xf>
    <xf borderId="15" fillId="0" fontId="17" numFmtId="0" xfId="0" applyBorder="1" applyFont="1"/>
    <xf borderId="0" fillId="0" fontId="29" numFmtId="49" xfId="0" applyAlignment="1" applyFont="1" applyNumberFormat="1">
      <alignment horizontal="center" readingOrder="0"/>
    </xf>
    <xf borderId="0" fillId="0" fontId="24" numFmtId="10" xfId="0" applyAlignment="1" applyFont="1" applyNumberFormat="1">
      <alignment horizontal="center" vertical="center"/>
    </xf>
    <xf borderId="16" fillId="0" fontId="25" numFmtId="49" xfId="0" applyAlignment="1" applyBorder="1" applyFont="1" applyNumberFormat="1">
      <alignment horizontal="center" vertical="center"/>
    </xf>
    <xf borderId="0" fillId="0" fontId="30" numFmtId="0" xfId="0" applyAlignment="1" applyFont="1">
      <alignment horizontal="center" readingOrder="0" vertical="center"/>
    </xf>
    <xf borderId="16" fillId="0" fontId="30" numFmtId="0" xfId="0" applyAlignment="1" applyBorder="1" applyFont="1">
      <alignment horizontal="center" readingOrder="0" vertical="center"/>
    </xf>
    <xf borderId="16" fillId="0" fontId="6" numFmtId="0" xfId="0" applyAlignment="1" applyBorder="1" applyFont="1">
      <alignment horizontal="center" readingOrder="0" vertical="center"/>
    </xf>
    <xf borderId="11" fillId="10" fontId="6" numFmtId="0" xfId="0" applyAlignment="1" applyBorder="1" applyFont="1">
      <alignment horizontal="center" readingOrder="0" vertical="center"/>
    </xf>
    <xf borderId="16" fillId="0" fontId="6" numFmtId="0" xfId="0" applyAlignment="1" applyBorder="1" applyFont="1">
      <alignment horizontal="center" readingOrder="0" shrinkToFit="0" vertical="center" wrapText="1"/>
    </xf>
    <xf borderId="17" fillId="0" fontId="1" numFmtId="0" xfId="0" applyAlignment="1" applyBorder="1" applyFont="1">
      <alignment horizontal="center" vertical="center"/>
    </xf>
    <xf borderId="14" fillId="0" fontId="31" numFmtId="0" xfId="0" applyAlignment="1" applyBorder="1" applyFont="1">
      <alignment horizontal="center" readingOrder="0" vertical="center"/>
    </xf>
    <xf borderId="0" fillId="0" fontId="30" numFmtId="0" xfId="0" applyAlignment="1" applyFont="1">
      <alignment readingOrder="0" vertical="center"/>
    </xf>
    <xf borderId="0" fillId="0" fontId="31" numFmtId="0" xfId="0" applyAlignment="1" applyFont="1">
      <alignment horizontal="center" readingOrder="0" vertical="center"/>
    </xf>
    <xf borderId="0" fillId="0" fontId="30" numFmtId="0" xfId="0" applyAlignment="1" applyFont="1">
      <alignment horizontal="left" readingOrder="0" vertical="center"/>
    </xf>
    <xf borderId="0" fillId="0" fontId="30" numFmtId="0" xfId="0" applyAlignment="1" applyFont="1">
      <alignment horizontal="left" readingOrder="0" shrinkToFit="0" vertical="center" wrapText="1"/>
    </xf>
    <xf borderId="0" fillId="0" fontId="30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vertical="center"/>
    </xf>
    <xf borderId="0" fillId="0" fontId="5" numFmtId="0" xfId="0" applyAlignment="1" applyFont="1">
      <alignment horizontal="left" readingOrder="0" vertical="center"/>
    </xf>
    <xf borderId="0" fillId="0" fontId="32" numFmtId="0" xfId="0" applyAlignment="1" applyFont="1">
      <alignment horizontal="center" readingOrder="0" shrinkToFit="0" vertical="center" wrapText="1"/>
    </xf>
    <xf borderId="14" fillId="0" fontId="33" numFmtId="49" xfId="0" applyAlignment="1" applyBorder="1" applyFont="1" applyNumberFormat="1">
      <alignment horizontal="center" readingOrder="0"/>
    </xf>
    <xf borderId="0" fillId="0" fontId="33" numFmtId="49" xfId="0" applyAlignment="1" applyFont="1" applyNumberFormat="1">
      <alignment horizontal="center" readingOrder="0"/>
    </xf>
    <xf borderId="16" fillId="0" fontId="1" numFmtId="0" xfId="0" applyAlignment="1" applyBorder="1" applyFont="1">
      <alignment horizontal="center" vertical="center"/>
    </xf>
    <xf borderId="16" fillId="0" fontId="5" numFmtId="0" xfId="0" applyAlignment="1" applyBorder="1" applyFont="1">
      <alignment horizontal="center" readingOrder="0" vertical="center"/>
    </xf>
    <xf borderId="11" fillId="0" fontId="6" numFmtId="0" xfId="0" applyAlignment="1" applyBorder="1" applyFont="1">
      <alignment horizontal="center" vertical="center"/>
    </xf>
    <xf borderId="16" fillId="0" fontId="6" numFmtId="0" xfId="0" applyAlignment="1" applyBorder="1" applyFont="1">
      <alignment horizontal="center" vertical="center"/>
    </xf>
    <xf borderId="14" fillId="0" fontId="5" numFmtId="0" xfId="0" applyBorder="1" applyFont="1"/>
    <xf borderId="0" fillId="0" fontId="5" numFmtId="0" xfId="0" applyAlignment="1" applyFont="1">
      <alignment horizontal="left" readingOrder="0"/>
    </xf>
    <xf borderId="14" fillId="0" fontId="5" numFmtId="0" xfId="0" applyAlignment="1" applyBorder="1" applyFont="1">
      <alignment horizontal="center" readingOrder="0" vertical="center"/>
    </xf>
    <xf borderId="15" fillId="0" fontId="5" numFmtId="0" xfId="0" applyAlignment="1" applyBorder="1" applyFont="1">
      <alignment horizontal="center" readingOrder="0" vertical="center"/>
    </xf>
    <xf borderId="16" fillId="0" fontId="5" numFmtId="0" xfId="0" applyBorder="1" applyFont="1"/>
    <xf borderId="0" fillId="0" fontId="5" numFmtId="0" xfId="0" applyAlignment="1" applyFont="1">
      <alignment horizontal="center" vertical="center"/>
    </xf>
    <xf borderId="16" fillId="0" fontId="5" numFmtId="0" xfId="0" applyAlignment="1" applyBorder="1" applyFont="1">
      <alignment horizontal="center" vertical="center"/>
    </xf>
    <xf borderId="16" fillId="0" fontId="5" numFmtId="0" xfId="0" applyAlignment="1" applyBorder="1" applyFont="1">
      <alignment vertical="center"/>
    </xf>
    <xf borderId="16" fillId="0" fontId="5" numFmtId="0" xfId="0" applyAlignment="1" applyBorder="1" applyFont="1">
      <alignment horizontal="center" readingOrder="0"/>
    </xf>
    <xf borderId="13" fillId="0" fontId="1" numFmtId="0" xfId="0" applyAlignment="1" applyBorder="1" applyFont="1">
      <alignment horizontal="center" readingOrder="0" vertical="center"/>
    </xf>
    <xf borderId="0" fillId="0" fontId="34" numFmtId="0" xfId="0" applyAlignment="1" applyFont="1">
      <alignment horizontal="center" readingOrder="0" vertical="center"/>
    </xf>
    <xf borderId="18" fillId="0" fontId="15" numFmtId="49" xfId="0" applyAlignment="1" applyBorder="1" applyFont="1" applyNumberFormat="1">
      <alignment horizontal="center" readingOrder="0" vertical="center"/>
    </xf>
    <xf borderId="19" fillId="0" fontId="17" numFmtId="0" xfId="0" applyBorder="1" applyFont="1"/>
    <xf borderId="16" fillId="0" fontId="25" numFmtId="49" xfId="0" applyAlignment="1" applyBorder="1" applyFont="1" applyNumberFormat="1">
      <alignment horizontal="center"/>
    </xf>
    <xf borderId="11" fillId="0" fontId="6" numFmtId="0" xfId="0" applyBorder="1" applyFont="1"/>
    <xf borderId="0" fillId="0" fontId="5" numFmtId="0" xfId="0" applyAlignment="1" applyFont="1">
      <alignment horizontal="left"/>
    </xf>
    <xf borderId="0" fillId="0" fontId="5" numFmtId="0" xfId="0" applyAlignment="1" applyFont="1">
      <alignment vertical="center"/>
    </xf>
    <xf borderId="0" fillId="0" fontId="5" numFmtId="0" xfId="0" applyAlignment="1" applyFont="1">
      <alignment horizontal="left" vertical="center"/>
    </xf>
    <xf borderId="0" fillId="0" fontId="1" numFmtId="0" xfId="0" applyAlignment="1" applyFont="1">
      <alignment vertical="center"/>
    </xf>
    <xf borderId="14" fillId="10" fontId="22" numFmtId="10" xfId="0" applyAlignment="1" applyBorder="1" applyFont="1" applyNumberFormat="1">
      <alignment horizontal="center"/>
    </xf>
    <xf borderId="7" fillId="0" fontId="4" numFmtId="49" xfId="0" applyAlignment="1" applyBorder="1" applyFont="1" applyNumberFormat="1">
      <alignment horizontal="center"/>
    </xf>
    <xf borderId="10" fillId="0" fontId="6" numFmtId="0" xfId="0" applyAlignment="1" applyBorder="1" applyFont="1">
      <alignment horizontal="center" readingOrder="0" vertical="center"/>
    </xf>
    <xf borderId="10" fillId="11" fontId="6" numFmtId="0" xfId="0" applyAlignment="1" applyBorder="1" applyFill="1" applyFont="1">
      <alignment horizontal="center" readingOrder="0" vertical="center"/>
    </xf>
    <xf borderId="14" fillId="0" fontId="35" numFmtId="49" xfId="0" applyAlignment="1" applyBorder="1" applyFont="1" applyNumberFormat="1">
      <alignment horizontal="center" readingOrder="0"/>
    </xf>
    <xf borderId="14" fillId="0" fontId="29" numFmtId="49" xfId="0" applyAlignment="1" applyBorder="1" applyFont="1" applyNumberFormat="1">
      <alignment horizontal="center"/>
    </xf>
    <xf borderId="0" fillId="0" fontId="12" numFmtId="49" xfId="0" applyAlignment="1" applyFont="1" applyNumberFormat="1">
      <alignment horizontal="center"/>
    </xf>
    <xf borderId="11" fillId="11" fontId="6" numFmtId="0" xfId="0" applyAlignment="1" applyBorder="1" applyFont="1">
      <alignment horizontal="center" readingOrder="0" vertical="center"/>
    </xf>
    <xf borderId="0" fillId="0" fontId="6" numFmtId="0" xfId="0" applyAlignment="1" applyFont="1">
      <alignment horizontal="center" readingOrder="0" shrinkToFit="0" vertical="center" wrapText="1"/>
    </xf>
    <xf borderId="14" fillId="0" fontId="33" numFmtId="49" xfId="0" applyAlignment="1" applyBorder="1" applyFont="1" applyNumberFormat="1">
      <alignment horizontal="center"/>
    </xf>
    <xf borderId="0" fillId="0" fontId="14" numFmtId="49" xfId="0" applyAlignment="1" applyFont="1" applyNumberFormat="1">
      <alignment horizontal="center"/>
    </xf>
    <xf borderId="13" fillId="8" fontId="36" numFmtId="0" xfId="0" applyAlignment="1" applyBorder="1" applyFont="1">
      <alignment horizontal="center" readingOrder="0" vertical="center"/>
    </xf>
    <xf borderId="20" fillId="2" fontId="1" numFmtId="0" xfId="0" applyAlignment="1" applyBorder="1" applyFont="1">
      <alignment horizontal="center" readingOrder="0" vertical="center"/>
    </xf>
    <xf borderId="14" fillId="0" fontId="15" numFmtId="49" xfId="0" applyAlignment="1" applyBorder="1" applyFont="1" applyNumberFormat="1">
      <alignment horizontal="center" readingOrder="0" shrinkToFit="0" vertical="center" wrapText="1"/>
    </xf>
    <xf borderId="18" fillId="0" fontId="15" numFmtId="49" xfId="0" applyAlignment="1" applyBorder="1" applyFont="1" applyNumberFormat="1">
      <alignment horizontal="center" vertical="center"/>
    </xf>
    <xf borderId="20" fillId="0" fontId="17" numFmtId="0" xfId="0" applyBorder="1" applyFont="1"/>
    <xf borderId="20" fillId="0" fontId="37" numFmtId="49" xfId="0" applyAlignment="1" applyBorder="1" applyFont="1" applyNumberFormat="1">
      <alignment horizontal="center" vertical="center"/>
    </xf>
    <xf borderId="20" fillId="0" fontId="24" numFmtId="10" xfId="0" applyAlignment="1" applyBorder="1" applyFont="1" applyNumberFormat="1">
      <alignment horizontal="center" vertical="center"/>
    </xf>
    <xf borderId="21" fillId="0" fontId="25" numFmtId="49" xfId="0" applyAlignment="1" applyBorder="1" applyFont="1" applyNumberFormat="1">
      <alignment horizontal="center"/>
    </xf>
    <xf borderId="20" fillId="0" fontId="5" numFmtId="0" xfId="0" applyAlignment="1" applyBorder="1" applyFont="1">
      <alignment horizontal="center" readingOrder="0"/>
    </xf>
    <xf borderId="21" fillId="0" fontId="5" numFmtId="0" xfId="0" applyAlignment="1" applyBorder="1" applyFont="1">
      <alignment horizontal="center" readingOrder="0"/>
    </xf>
    <xf borderId="20" fillId="0" fontId="5" numFmtId="0" xfId="0" applyAlignment="1" applyBorder="1" applyFont="1">
      <alignment horizontal="center" readingOrder="0" vertical="center"/>
    </xf>
    <xf borderId="21" fillId="0" fontId="5" numFmtId="0" xfId="0" applyAlignment="1" applyBorder="1" applyFont="1">
      <alignment horizontal="center" readingOrder="0" vertical="center"/>
    </xf>
    <xf borderId="16" fillId="0" fontId="6" numFmtId="0" xfId="0" applyAlignment="1" applyBorder="1" applyFont="1">
      <alignment horizontal="center"/>
    </xf>
    <xf borderId="20" fillId="0" fontId="7" numFmtId="0" xfId="0" applyAlignment="1" applyBorder="1" applyFont="1">
      <alignment vertical="center"/>
    </xf>
    <xf borderId="18" fillId="0" fontId="5" numFmtId="0" xfId="0" applyBorder="1" applyFont="1"/>
    <xf borderId="20" fillId="0" fontId="5" numFmtId="0" xfId="0" applyBorder="1" applyFont="1"/>
    <xf borderId="20" fillId="2" fontId="5" numFmtId="0" xfId="0" applyBorder="1" applyFont="1"/>
    <xf borderId="14" fillId="0" fontId="23" numFmtId="49" xfId="0" applyAlignment="1" applyBorder="1" applyFont="1" applyNumberFormat="1">
      <alignment horizontal="center" readingOrder="0"/>
    </xf>
    <xf borderId="0" fillId="0" fontId="38" numFmtId="0" xfId="0" applyAlignment="1" applyFont="1">
      <alignment horizontal="center" readingOrder="0" shrinkToFit="0" vertical="center" wrapText="1"/>
    </xf>
    <xf borderId="14" fillId="0" fontId="13" numFmtId="49" xfId="0" applyAlignment="1" applyBorder="1" applyFont="1" applyNumberFormat="1">
      <alignment horizontal="center" readingOrder="0"/>
    </xf>
    <xf borderId="0" fillId="0" fontId="7" numFmtId="0" xfId="0" applyAlignment="1" applyFont="1">
      <alignment horizontal="center" readingOrder="0"/>
    </xf>
    <xf borderId="14" fillId="0" fontId="39" numFmtId="0" xfId="0" applyAlignment="1" applyBorder="1" applyFont="1">
      <alignment horizontal="center" readingOrder="0" vertical="center"/>
    </xf>
    <xf borderId="14" fillId="0" fontId="15" numFmtId="49" xfId="0" applyAlignment="1" applyBorder="1" applyFont="1" applyNumberFormat="1">
      <alignment horizontal="center" vertical="center"/>
    </xf>
    <xf borderId="0" fillId="0" fontId="37" numFmtId="49" xfId="0" applyAlignment="1" applyFont="1" applyNumberFormat="1">
      <alignment horizontal="center" vertical="center"/>
    </xf>
    <xf borderId="10" fillId="12" fontId="6" numFmtId="0" xfId="0" applyAlignment="1" applyBorder="1" applyFill="1" applyFont="1">
      <alignment horizontal="center" readingOrder="0" vertical="center"/>
    </xf>
    <xf borderId="14" fillId="0" fontId="11" numFmtId="49" xfId="0" applyAlignment="1" applyBorder="1" applyFont="1" applyNumberFormat="1">
      <alignment horizontal="center" readingOrder="0"/>
    </xf>
    <xf borderId="0" fillId="0" fontId="7" numFmtId="0" xfId="0" applyAlignment="1" applyFont="1">
      <alignment horizontal="left" readingOrder="0" vertical="center"/>
    </xf>
    <xf borderId="11" fillId="12" fontId="6" numFmtId="0" xfId="0" applyAlignment="1" applyBorder="1" applyFont="1">
      <alignment horizontal="center" readingOrder="0" vertical="center"/>
    </xf>
    <xf borderId="14" fillId="0" fontId="40" numFmtId="49" xfId="0" applyAlignment="1" applyBorder="1" applyFont="1" applyNumberFormat="1">
      <alignment horizontal="center" readingOrder="0"/>
    </xf>
    <xf borderId="22" fillId="0" fontId="41" numFmtId="0" xfId="0" applyAlignment="1" applyBorder="1" applyFont="1">
      <alignment horizontal="center" readingOrder="0" vertical="center"/>
    </xf>
    <xf borderId="18" fillId="0" fontId="15" numFmtId="49" xfId="0" applyAlignment="1" applyBorder="1" applyFont="1" applyNumberFormat="1">
      <alignment horizontal="center" shrinkToFit="0" vertical="center" wrapText="1"/>
    </xf>
    <xf borderId="20" fillId="0" fontId="37" numFmtId="49" xfId="0" applyAlignment="1" applyBorder="1" applyFont="1" applyNumberFormat="1">
      <alignment horizontal="center" shrinkToFit="0" vertical="center" wrapText="1"/>
    </xf>
    <xf borderId="0" fillId="0" fontId="42" numFmtId="0" xfId="0" applyAlignment="1" applyFont="1">
      <alignment horizontal="center" readingOrder="0" shrinkToFit="0" vertical="center" wrapText="1"/>
    </xf>
    <xf borderId="14" fillId="0" fontId="15" numFmtId="49" xfId="0" applyAlignment="1" applyBorder="1" applyFont="1" applyNumberFormat="1">
      <alignment horizontal="center" readingOrder="0" vertical="center"/>
    </xf>
    <xf borderId="6" fillId="0" fontId="43" numFmtId="49" xfId="0" applyAlignment="1" applyBorder="1" applyFont="1" applyNumberFormat="1">
      <alignment horizontal="center" vertical="center"/>
    </xf>
    <xf borderId="9" fillId="0" fontId="14" numFmtId="49" xfId="0" applyAlignment="1" applyBorder="1" applyFont="1" applyNumberFormat="1">
      <alignment horizontal="center"/>
    </xf>
    <xf borderId="13" fillId="12" fontId="27" numFmtId="0" xfId="0" applyAlignment="1" applyBorder="1" applyFont="1">
      <alignment horizontal="center" readingOrder="0" vertical="center"/>
    </xf>
    <xf borderId="14" fillId="0" fontId="13" numFmtId="49" xfId="0" applyAlignment="1" applyBorder="1" applyFont="1" applyNumberFormat="1">
      <alignment horizontal="center"/>
    </xf>
    <xf borderId="0" fillId="0" fontId="18" numFmtId="0" xfId="0" applyAlignment="1" applyFont="1">
      <alignment horizontal="center" readingOrder="0" vertical="center"/>
    </xf>
    <xf borderId="0" fillId="0" fontId="43" numFmtId="49" xfId="0" applyAlignment="1" applyFont="1" applyNumberFormat="1">
      <alignment horizontal="center" vertical="center"/>
    </xf>
    <xf borderId="16" fillId="0" fontId="14" numFmtId="49" xfId="0" applyAlignment="1" applyBorder="1" applyFont="1" applyNumberFormat="1">
      <alignment horizontal="center"/>
    </xf>
    <xf borderId="22" fillId="0" fontId="18" numFmtId="20" xfId="0" applyAlignment="1" applyBorder="1" applyFont="1" applyNumberFormat="1">
      <alignment horizontal="center" readingOrder="0" vertical="center"/>
    </xf>
    <xf borderId="20" fillId="0" fontId="1" numFmtId="0" xfId="0" applyAlignment="1" applyBorder="1" applyFont="1">
      <alignment horizontal="center" readingOrder="0" vertical="center"/>
    </xf>
    <xf borderId="20" fillId="0" fontId="34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left" vertical="center"/>
    </xf>
    <xf borderId="7" fillId="0" fontId="1" numFmtId="0" xfId="0" applyAlignment="1" applyBorder="1" applyFont="1">
      <alignment horizontal="center" readingOrder="0" vertical="center"/>
    </xf>
    <xf borderId="8" fillId="2" fontId="1" numFmtId="0" xfId="0" applyAlignment="1" applyBorder="1" applyFont="1">
      <alignment horizontal="center" readingOrder="0" vertical="center"/>
    </xf>
    <xf borderId="10" fillId="0" fontId="6" numFmtId="0" xfId="0" applyAlignment="1" applyBorder="1" applyFont="1">
      <alignment horizontal="center" readingOrder="0" shrinkToFit="0" vertical="center" wrapText="1"/>
    </xf>
    <xf borderId="6" fillId="2" fontId="9" numFmtId="0" xfId="0" applyAlignment="1" applyBorder="1" applyFont="1">
      <alignment horizontal="center" readingOrder="0" vertical="center"/>
    </xf>
    <xf borderId="14" fillId="0" fontId="27" numFmtId="0" xfId="0" applyAlignment="1" applyBorder="1" applyFont="1">
      <alignment horizontal="center" readingOrder="0" vertical="center"/>
    </xf>
    <xf borderId="15" fillId="2" fontId="27" numFmtId="0" xfId="0" applyAlignment="1" applyBorder="1" applyFont="1">
      <alignment horizontal="center" readingOrder="0" vertical="center"/>
    </xf>
    <xf borderId="14" fillId="0" fontId="4" numFmtId="49" xfId="0" applyAlignment="1" applyBorder="1" applyFont="1" applyNumberFormat="1">
      <alignment horizontal="center"/>
    </xf>
    <xf borderId="11" fillId="0" fontId="6" numFmtId="0" xfId="0" applyAlignment="1" applyBorder="1" applyFont="1">
      <alignment horizontal="center" readingOrder="0" shrinkToFit="0" vertical="center" wrapText="1"/>
    </xf>
    <xf borderId="14" fillId="0" fontId="1" numFmtId="0" xfId="0" applyAlignment="1" applyBorder="1" applyFont="1">
      <alignment horizontal="center" readingOrder="0" vertical="center"/>
    </xf>
    <xf borderId="15" fillId="2" fontId="1" numFmtId="0" xfId="0" applyAlignment="1" applyBorder="1" applyFont="1">
      <alignment horizontal="center" readingOrder="0" vertical="center"/>
    </xf>
    <xf borderId="14" fillId="0" fontId="15" numFmtId="49" xfId="0" applyAlignment="1" applyBorder="1" applyFont="1" applyNumberFormat="1">
      <alignment horizontal="center" readingOrder="0"/>
    </xf>
    <xf borderId="14" fillId="0" fontId="44" numFmtId="49" xfId="0" applyAlignment="1" applyBorder="1" applyFont="1" applyNumberFormat="1">
      <alignment horizontal="center" readingOrder="0"/>
    </xf>
    <xf borderId="14" fillId="0" fontId="1" numFmtId="49" xfId="0" applyAlignment="1" applyBorder="1" applyFont="1" applyNumberFormat="1">
      <alignment horizontal="center" readingOrder="0" vertical="center"/>
    </xf>
    <xf borderId="14" fillId="0" fontId="14" numFmtId="49" xfId="0" applyAlignment="1" applyBorder="1" applyFont="1" applyNumberFormat="1">
      <alignment horizontal="center" readingOrder="0"/>
    </xf>
    <xf borderId="10" fillId="13" fontId="6" numFmtId="0" xfId="0" applyAlignment="1" applyBorder="1" applyFill="1" applyFont="1">
      <alignment horizontal="center" readingOrder="0" vertical="center"/>
    </xf>
    <xf borderId="14" fillId="0" fontId="45" numFmtId="49" xfId="0" applyAlignment="1" applyBorder="1" applyFont="1" applyNumberFormat="1">
      <alignment horizontal="center" readingOrder="0"/>
    </xf>
    <xf borderId="11" fillId="13" fontId="6" numFmtId="0" xfId="0" applyAlignment="1" applyBorder="1" applyFont="1">
      <alignment horizontal="center" readingOrder="0" vertical="center"/>
    </xf>
    <xf borderId="14" fillId="0" fontId="41" numFmtId="0" xfId="0" applyAlignment="1" applyBorder="1" applyFont="1">
      <alignment horizontal="center" readingOrder="0" vertical="center"/>
    </xf>
    <xf borderId="15" fillId="2" fontId="5" numFmtId="0" xfId="0" applyBorder="1" applyFont="1"/>
    <xf borderId="14" fillId="0" fontId="39" numFmtId="49" xfId="0" applyAlignment="1" applyBorder="1" applyFont="1" applyNumberFormat="1">
      <alignment horizontal="center" vertical="center"/>
    </xf>
    <xf borderId="0" fillId="0" fontId="39" numFmtId="49" xfId="0" applyAlignment="1" applyFont="1" applyNumberFormat="1">
      <alignment horizontal="center" vertical="center"/>
    </xf>
    <xf borderId="14" fillId="0" fontId="46" numFmtId="49" xfId="0" applyAlignment="1" applyBorder="1" applyFont="1" applyNumberFormat="1">
      <alignment horizontal="center" readingOrder="0"/>
    </xf>
    <xf borderId="14" fillId="0" fontId="39" numFmtId="49" xfId="0" applyAlignment="1" applyBorder="1" applyFont="1" applyNumberFormat="1">
      <alignment vertical="center"/>
    </xf>
    <xf borderId="0" fillId="0" fontId="39" numFmtId="49" xfId="0" applyAlignment="1" applyFont="1" applyNumberFormat="1">
      <alignment vertical="center"/>
    </xf>
    <xf borderId="0" fillId="0" fontId="47" numFmtId="0" xfId="0" applyAlignment="1" applyFont="1">
      <alignment horizontal="center" readingOrder="0" shrinkToFit="0" vertical="center" wrapText="1"/>
    </xf>
    <xf borderId="14" fillId="14" fontId="48" numFmtId="0" xfId="0" applyAlignment="1" applyBorder="1" applyFill="1" applyFont="1">
      <alignment horizontal="center" readingOrder="0" vertical="center"/>
    </xf>
    <xf borderId="14" fillId="0" fontId="23" numFmtId="49" xfId="0" applyAlignment="1" applyBorder="1" applyFont="1" applyNumberFormat="1">
      <alignment horizontal="center"/>
    </xf>
    <xf borderId="14" fillId="0" fontId="27" numFmtId="49" xfId="0" applyAlignment="1" applyBorder="1" applyFont="1" applyNumberFormat="1">
      <alignment horizontal="center" readingOrder="0" vertical="center"/>
    </xf>
    <xf borderId="7" fillId="10" fontId="22" numFmtId="10" xfId="0" applyAlignment="1" applyBorder="1" applyFont="1" applyNumberFormat="1">
      <alignment horizontal="center"/>
    </xf>
    <xf borderId="14" fillId="8" fontId="48" numFmtId="0" xfId="0" applyAlignment="1" applyBorder="1" applyFont="1">
      <alignment horizontal="center" readingOrder="0"/>
    </xf>
    <xf borderId="14" fillId="0" fontId="40" numFmtId="49" xfId="0" applyAlignment="1" applyBorder="1" applyFont="1" applyNumberFormat="1">
      <alignment horizontal="center"/>
    </xf>
    <xf borderId="14" fillId="4" fontId="48" numFmtId="0" xfId="0" applyAlignment="1" applyBorder="1" applyFont="1">
      <alignment horizontal="center" readingOrder="0" vertical="center"/>
    </xf>
    <xf borderId="0" fillId="0" fontId="49" numFmtId="0" xfId="0" applyFont="1"/>
    <xf borderId="6" fillId="0" fontId="7" numFmtId="0" xfId="0" applyAlignment="1" applyBorder="1" applyFont="1">
      <alignment horizontal="left" readingOrder="0" vertical="center"/>
    </xf>
    <xf borderId="14" fillId="12" fontId="27" numFmtId="0" xfId="0" applyAlignment="1" applyBorder="1" applyFont="1">
      <alignment horizontal="center" readingOrder="0" vertical="center"/>
    </xf>
    <xf borderId="14" fillId="0" fontId="14" numFmtId="49" xfId="0" applyAlignment="1" applyBorder="1" applyFont="1" applyNumberFormat="1">
      <alignment horizontal="center"/>
    </xf>
    <xf borderId="14" fillId="0" fontId="1" numFmtId="20" xfId="0" applyAlignment="1" applyBorder="1" applyFont="1" applyNumberFormat="1">
      <alignment horizontal="center" readingOrder="0"/>
    </xf>
    <xf borderId="7" fillId="0" fontId="22" numFmtId="10" xfId="0" applyAlignment="1" applyBorder="1" applyFont="1" applyNumberFormat="1">
      <alignment horizontal="center" readingOrder="0"/>
    </xf>
    <xf borderId="0" fillId="0" fontId="27" numFmtId="0" xfId="0" applyAlignment="1" applyFont="1">
      <alignment readingOrder="0" vertical="center"/>
    </xf>
    <xf borderId="14" fillId="4" fontId="41" numFmtId="0" xfId="0" applyAlignment="1" applyBorder="1" applyFont="1">
      <alignment horizontal="center" readingOrder="0" vertical="center"/>
    </xf>
    <xf borderId="7" fillId="10" fontId="22" numFmtId="10" xfId="0" applyAlignment="1" applyBorder="1" applyFont="1" applyNumberFormat="1">
      <alignment horizontal="center" readingOrder="0"/>
    </xf>
    <xf borderId="14" fillId="0" fontId="27" numFmtId="49" xfId="0" applyAlignment="1" applyBorder="1" applyFont="1" applyNumberFormat="1">
      <alignment horizontal="center" readingOrder="0" shrinkToFit="0" vertical="center" wrapText="1"/>
    </xf>
    <xf borderId="18" fillId="0" fontId="1" numFmtId="0" xfId="0" applyAlignment="1" applyBorder="1" applyFont="1">
      <alignment horizontal="center" readingOrder="0" vertical="center"/>
    </xf>
    <xf borderId="19" fillId="2" fontId="1" numFmtId="0" xfId="0" applyAlignment="1" applyBorder="1" applyFont="1">
      <alignment horizontal="center" readingOrder="0" vertical="center"/>
    </xf>
    <xf borderId="18" fillId="0" fontId="39" numFmtId="0" xfId="0" applyAlignment="1" applyBorder="1" applyFont="1">
      <alignment horizontal="center" readingOrder="0" vertical="center"/>
    </xf>
    <xf borderId="23" fillId="0" fontId="6" numFmtId="0" xfId="0" applyBorder="1" applyFont="1"/>
    <xf borderId="21" fillId="0" fontId="6" numFmtId="0" xfId="0" applyAlignment="1" applyBorder="1" applyFont="1">
      <alignment horizontal="center"/>
    </xf>
    <xf borderId="23" fillId="0" fontId="6" numFmtId="0" xfId="0" applyAlignment="1" applyBorder="1" applyFont="1">
      <alignment horizontal="center" vertical="center"/>
    </xf>
    <xf borderId="21" fillId="0" fontId="6" numFmtId="0" xfId="0" applyAlignment="1" applyBorder="1" applyFont="1">
      <alignment horizontal="center" vertical="center"/>
    </xf>
    <xf borderId="20" fillId="0" fontId="1" numFmtId="0" xfId="0" applyAlignment="1" applyBorder="1" applyFont="1">
      <alignment horizontal="center" vertical="center"/>
    </xf>
    <xf borderId="24" fillId="0" fontId="1" numFmtId="0" xfId="0" applyAlignment="1" applyBorder="1" applyFont="1">
      <alignment horizontal="center" vertical="center"/>
    </xf>
    <xf borderId="20" fillId="0" fontId="7" numFmtId="0" xfId="0" applyAlignment="1" applyBorder="1" applyFont="1">
      <alignment horizontal="center" vertical="center"/>
    </xf>
    <xf borderId="20" fillId="0" fontId="5" numFmtId="0" xfId="0" applyAlignment="1" applyBorder="1" applyFont="1">
      <alignment horizontal="left"/>
    </xf>
    <xf borderId="19" fillId="0" fontId="5" numFmtId="0" xfId="0" applyBorder="1" applyFont="1"/>
    <xf borderId="0" fillId="0" fontId="50" numFmtId="0" xfId="0" applyAlignment="1" applyFont="1">
      <alignment horizontal="right" readingOrder="0"/>
    </xf>
    <xf borderId="0" fillId="2" fontId="50" numFmtId="0" xfId="0" applyFont="1"/>
    <xf borderId="0" fillId="0" fontId="51" numFmtId="0" xfId="0" applyAlignment="1" applyFont="1">
      <alignment horizontal="center" vertical="center"/>
    </xf>
    <xf borderId="0" fillId="0" fontId="50" numFmtId="0" xfId="0" applyAlignment="1" applyFont="1">
      <alignment readingOrder="0"/>
    </xf>
    <xf borderId="0" fillId="0" fontId="50" numFmtId="0" xfId="0" applyFont="1"/>
    <xf borderId="0" fillId="0" fontId="50" numFmtId="0" xfId="0" applyAlignment="1" applyFont="1">
      <alignment horizontal="center" readingOrder="0" vertical="center"/>
    </xf>
    <xf borderId="0" fillId="0" fontId="50" numFmtId="0" xfId="0" applyAlignment="1" applyFont="1">
      <alignment horizontal="right"/>
    </xf>
    <xf borderId="0" fillId="0" fontId="52" numFmtId="0" xfId="0" applyAlignment="1" applyFont="1">
      <alignment horizontal="left" vertical="center"/>
    </xf>
    <xf borderId="0" fillId="0" fontId="6" numFmtId="0" xfId="0" applyAlignment="1" applyFont="1">
      <alignment horizontal="left" readingOrder="0"/>
    </xf>
    <xf borderId="0" fillId="0" fontId="53" numFmtId="0" xfId="0" applyAlignment="1" applyFont="1">
      <alignment horizontal="center" vertical="center"/>
    </xf>
    <xf borderId="0" fillId="0" fontId="54" numFmtId="0" xfId="0" applyAlignment="1" applyFont="1">
      <alignment horizontal="left" readingOrder="0"/>
    </xf>
    <xf borderId="0" fillId="0" fontId="52" numFmtId="0" xfId="0" applyAlignment="1" applyFont="1">
      <alignment horizontal="center" vertical="center"/>
    </xf>
    <xf borderId="0" fillId="0" fontId="55" numFmtId="0" xfId="0" applyAlignment="1" applyFont="1">
      <alignment readingOrder="0"/>
    </xf>
    <xf borderId="0" fillId="0" fontId="55" numFmtId="0" xfId="0" applyFont="1"/>
    <xf borderId="0" fillId="0" fontId="55" numFmtId="0" xfId="0" applyAlignment="1" applyFont="1">
      <alignment horizontal="center" readingOrder="0" vertical="center"/>
    </xf>
    <xf borderId="0" fillId="0" fontId="32" numFmtId="0" xfId="0" applyAlignment="1" applyFont="1">
      <alignment horizontal="left" readingOrder="0"/>
    </xf>
    <xf borderId="0" fillId="0" fontId="56" numFmtId="0" xfId="0" applyAlignment="1" applyFont="1">
      <alignment vertical="center"/>
    </xf>
    <xf borderId="0" fillId="0" fontId="34" numFmtId="0" xfId="0" applyFont="1"/>
    <xf borderId="0" fillId="0" fontId="34" numFmtId="0" xfId="0" applyAlignment="1" applyFont="1">
      <alignment horizontal="right" readingOrder="0"/>
    </xf>
    <xf borderId="0" fillId="0" fontId="57" numFmtId="0" xfId="0" applyAlignment="1" applyFont="1">
      <alignment horizontal="center" vertical="center"/>
    </xf>
    <xf borderId="0" fillId="0" fontId="56" numFmtId="0" xfId="0" applyAlignment="1" applyFont="1">
      <alignment horizontal="center" readingOrder="0" vertical="center"/>
    </xf>
    <xf borderId="0" fillId="0" fontId="56" numFmtId="0" xfId="0" applyAlignment="1" applyFont="1">
      <alignment readingOrder="0" vertical="center"/>
    </xf>
    <xf borderId="0" fillId="0" fontId="58" numFmtId="0" xfId="0" applyAlignment="1" applyFont="1">
      <alignment horizontal="left" readingOrder="0"/>
    </xf>
    <xf borderId="0" fillId="0" fontId="7" numFmtId="0" xfId="0" applyAlignment="1" applyFont="1">
      <alignment horizontal="left" vertical="center"/>
    </xf>
    <xf borderId="15" fillId="0" fontId="5" numFmtId="0" xfId="0" applyBorder="1" applyFont="1"/>
    <xf borderId="0" fillId="0" fontId="44" numFmtId="49" xfId="0" applyAlignment="1" applyFont="1" applyNumberFormat="1">
      <alignment horizontal="center" readingOrder="0"/>
    </xf>
    <xf borderId="0" fillId="0" fontId="23" numFmtId="49" xfId="0" applyAlignment="1" applyFont="1" applyNumberFormat="1">
      <alignment horizontal="center" readingOrder="0"/>
    </xf>
    <xf borderId="0" fillId="0" fontId="59" numFmtId="49" xfId="0" applyAlignment="1" applyFont="1" applyNumberFormat="1">
      <alignment horizontal="center" readingOrder="0"/>
    </xf>
    <xf borderId="14" fillId="0" fontId="29" numFmtId="49" xfId="0" applyAlignment="1" applyBorder="1" applyFont="1" applyNumberFormat="1">
      <alignment horizontal="center" readingOrder="0"/>
    </xf>
    <xf borderId="14" fillId="0" fontId="22" numFmtId="10" xfId="0" applyAlignment="1" applyBorder="1" applyFont="1" applyNumberFormat="1">
      <alignment horizontal="center"/>
    </xf>
    <xf borderId="13" fillId="0" fontId="36" numFmtId="0" xfId="0" applyAlignment="1" applyBorder="1" applyFont="1">
      <alignment horizontal="center" readingOrder="0" vertical="center"/>
    </xf>
    <xf borderId="14" fillId="0" fontId="60" numFmtId="49" xfId="0" applyAlignment="1" applyBorder="1" applyFont="1" applyNumberFormat="1">
      <alignment horizontal="center"/>
    </xf>
    <xf borderId="14" fillId="0" fontId="59" numFmtId="49" xfId="0" applyAlignment="1" applyBorder="1" applyFont="1" applyNumberFormat="1">
      <alignment horizontal="center"/>
    </xf>
    <xf borderId="0" fillId="0" fontId="23" numFmtId="49" xfId="0" applyAlignment="1" applyFont="1" applyNumberFormat="1">
      <alignment horizontal="center"/>
    </xf>
    <xf borderId="11" fillId="0" fontId="7" numFmtId="0" xfId="0" applyAlignment="1" applyBorder="1" applyFont="1">
      <alignment readingOrder="0" vertical="center"/>
    </xf>
    <xf borderId="16" fillId="0" fontId="7" numFmtId="0" xfId="0" applyAlignment="1" applyBorder="1" applyFont="1">
      <alignment readingOrder="0" vertical="center"/>
    </xf>
    <xf borderId="0" fillId="11" fontId="6" numFmtId="0" xfId="0" applyAlignment="1" applyFont="1">
      <alignment horizontal="center" readingOrder="0" vertical="center"/>
    </xf>
    <xf borderId="14" fillId="0" fontId="48" numFmtId="0" xfId="0" applyAlignment="1" applyBorder="1" applyFont="1">
      <alignment horizontal="center" readingOrder="0" vertical="center"/>
    </xf>
    <xf borderId="17" fillId="0" fontId="1" numFmtId="0" xfId="0" applyAlignment="1" applyBorder="1" applyFont="1">
      <alignment horizontal="center" readingOrder="0" vertical="center"/>
    </xf>
    <xf borderId="14" fillId="4" fontId="48" numFmtId="0" xfId="0" applyAlignment="1" applyBorder="1" applyFont="1">
      <alignment horizontal="center" readingOrder="0"/>
    </xf>
    <xf borderId="15" fillId="0" fontId="39" numFmtId="0" xfId="0" applyAlignment="1" applyBorder="1" applyFont="1">
      <alignment horizontal="center" readingOrder="0" vertical="center"/>
    </xf>
    <xf borderId="14" fillId="0" fontId="39" numFmtId="0" xfId="0" applyAlignment="1" applyBorder="1" applyFont="1">
      <alignment horizontal="center" vertical="center"/>
    </xf>
    <xf borderId="0" fillId="0" fontId="39" numFmtId="0" xfId="0" applyAlignment="1" applyFont="1">
      <alignment horizontal="center" vertical="center"/>
    </xf>
    <xf borderId="14" fillId="15" fontId="27" numFmtId="0" xfId="0" applyAlignment="1" applyBorder="1" applyFill="1" applyFont="1">
      <alignment horizontal="center" readingOrder="0" vertical="center"/>
    </xf>
    <xf borderId="0" fillId="0" fontId="5" numFmtId="0" xfId="0" applyAlignment="1" applyFont="1">
      <alignment readingOrder="0"/>
    </xf>
    <xf borderId="18" fillId="0" fontId="48" numFmtId="0" xfId="0" applyAlignment="1" applyBorder="1" applyFont="1">
      <alignment horizontal="center" readingOrder="0"/>
    </xf>
    <xf borderId="15" fillId="0" fontId="4" numFmtId="49" xfId="0" applyAlignment="1" applyBorder="1" applyFont="1" applyNumberFormat="1">
      <alignment horizontal="center"/>
    </xf>
    <xf borderId="14" fillId="0" fontId="5" numFmtId="0" xfId="0" applyAlignment="1" applyBorder="1" applyFont="1">
      <alignment horizontal="left"/>
    </xf>
    <xf borderId="0" fillId="0" fontId="4" numFmtId="49" xfId="0" applyAlignment="1" applyFont="1" applyNumberFormat="1">
      <alignment horizontal="center" readingOrder="0" vertical="center"/>
    </xf>
    <xf borderId="0" fillId="0" fontId="23" numFmtId="49" xfId="0" applyAlignment="1" applyFont="1" applyNumberFormat="1">
      <alignment horizontal="center" readingOrder="0" vertical="center"/>
    </xf>
    <xf borderId="0" fillId="0" fontId="40" numFmtId="49" xfId="0" applyAlignment="1" applyFont="1" applyNumberFormat="1">
      <alignment horizontal="center" readingOrder="0" vertical="center"/>
    </xf>
    <xf borderId="0" fillId="0" fontId="14" numFmtId="49" xfId="0" applyAlignment="1" applyFont="1" applyNumberFormat="1">
      <alignment horizontal="center" readingOrder="0" vertical="center"/>
    </xf>
    <xf borderId="0" fillId="2" fontId="5" numFmtId="0" xfId="0" applyAlignment="1" applyFont="1">
      <alignment horizontal="left" readingOrder="0"/>
    </xf>
    <xf borderId="6" fillId="0" fontId="1" numFmtId="0" xfId="0" applyAlignment="1" applyBorder="1" applyFont="1">
      <alignment horizontal="left" readingOrder="0" vertical="center"/>
    </xf>
    <xf borderId="10" fillId="0" fontId="7" numFmtId="0" xfId="0" applyAlignment="1" applyBorder="1" applyFont="1">
      <alignment horizontal="center" readingOrder="0" vertical="center"/>
    </xf>
    <xf borderId="11" fillId="0" fontId="1" numFmtId="0" xfId="0" applyAlignment="1" applyBorder="1" applyFont="1">
      <alignment horizontal="center" vertical="center"/>
    </xf>
    <xf borderId="11" fillId="0" fontId="7" numFmtId="0" xfId="0" applyAlignment="1" applyBorder="1" applyFont="1">
      <alignment horizontal="center" readingOrder="0" vertical="center"/>
    </xf>
    <xf borderId="16" fillId="0" fontId="7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vertical="center"/>
    </xf>
    <xf borderId="16" fillId="0" fontId="7" numFmtId="0" xfId="0" applyAlignment="1" applyBorder="1" applyFont="1">
      <alignment horizontal="center" vertical="center"/>
    </xf>
    <xf borderId="20" fillId="0" fontId="5" numFmtId="0" xfId="0" applyAlignment="1" applyBorder="1" applyFont="1">
      <alignment horizontal="left" readingOrder="0"/>
    </xf>
    <xf borderId="13" fillId="8" fontId="48" numFmtId="0" xfId="0" applyAlignment="1" applyBorder="1" applyFont="1">
      <alignment horizontal="center" readingOrder="0" vertical="center"/>
    </xf>
    <xf borderId="0" fillId="0" fontId="61" numFmtId="0" xfId="0" applyAlignment="1" applyFont="1">
      <alignment horizontal="center" readingOrder="0" vertical="center"/>
    </xf>
    <xf borderId="22" fillId="6" fontId="41" numFmtId="0" xfId="0" applyAlignment="1" applyBorder="1" applyFont="1">
      <alignment horizontal="center" readingOrder="0" vertical="center"/>
    </xf>
    <xf borderId="14" fillId="0" fontId="4" numFmtId="49" xfId="0" applyAlignment="1" applyBorder="1" applyFont="1" applyNumberFormat="1">
      <alignment horizontal="center" readingOrder="0"/>
    </xf>
    <xf borderId="14" fillId="16" fontId="48" numFmtId="0" xfId="0" applyAlignment="1" applyBorder="1" applyFill="1" applyFont="1">
      <alignment horizontal="center" readingOrder="0" vertical="center"/>
    </xf>
    <xf borderId="0" fillId="0" fontId="6" numFmtId="0" xfId="0" applyAlignment="1" applyFont="1">
      <alignment readingOrder="0" shrinkToFit="0" vertical="center" wrapText="1"/>
    </xf>
    <xf borderId="9" fillId="0" fontId="7" numFmtId="0" xfId="0" applyAlignment="1" applyBorder="1" applyFont="1">
      <alignment horizontal="center" readingOrder="0" vertical="center"/>
    </xf>
    <xf borderId="14" fillId="0" fontId="48" numFmtId="0" xfId="0" applyAlignment="1" applyBorder="1" applyFont="1">
      <alignment horizontal="center" readingOrder="0"/>
    </xf>
    <xf borderId="14" fillId="17" fontId="48" numFmtId="0" xfId="0" applyAlignment="1" applyBorder="1" applyFill="1" applyFont="1">
      <alignment horizontal="center" readingOrder="0"/>
    </xf>
    <xf borderId="0" fillId="0" fontId="6" numFmtId="0" xfId="0" applyAlignment="1" applyFont="1">
      <alignment readingOrder="0" vertical="center"/>
    </xf>
    <xf borderId="14" fillId="0" fontId="60" numFmtId="49" xfId="0" applyAlignment="1" applyBorder="1" applyFont="1" applyNumberFormat="1">
      <alignment horizontal="center" readingOrder="0"/>
    </xf>
    <xf borderId="11" fillId="0" fontId="6" numFmtId="0" xfId="0" applyAlignment="1" applyBorder="1" applyFont="1">
      <alignment horizontal="left"/>
    </xf>
    <xf borderId="0" fillId="0" fontId="6" numFmtId="0" xfId="0" applyAlignment="1" applyFont="1">
      <alignment horizontal="left"/>
    </xf>
    <xf borderId="0" fillId="0" fontId="45" numFmtId="49" xfId="0" applyAlignment="1" applyFont="1" applyNumberFormat="1">
      <alignment horizontal="center" readingOrder="0" vertical="center"/>
    </xf>
    <xf borderId="0" fillId="0" fontId="13" numFmtId="49" xfId="0" applyAlignment="1" applyFont="1" applyNumberFormat="1">
      <alignment horizontal="center" readingOrder="0" vertical="center"/>
    </xf>
    <xf borderId="14" fillId="15" fontId="62" numFmtId="0" xfId="0" applyAlignment="1" applyBorder="1" applyFont="1">
      <alignment horizontal="center" readingOrder="0" vertical="center"/>
    </xf>
    <xf borderId="13" fillId="4" fontId="36" numFmtId="0" xfId="0" applyAlignment="1" applyBorder="1" applyFont="1">
      <alignment horizontal="center" readingOrder="0" vertical="center"/>
    </xf>
    <xf borderId="15" fillId="0" fontId="15" numFmtId="49" xfId="0" applyAlignment="1" applyBorder="1" applyFont="1" applyNumberFormat="1">
      <alignment horizontal="center" readingOrder="0" vertical="center"/>
    </xf>
    <xf borderId="0" fillId="0" fontId="15" numFmtId="49" xfId="0" applyAlignment="1" applyFont="1" applyNumberFormat="1">
      <alignment horizontal="center" vertical="center"/>
    </xf>
    <xf borderId="22" fillId="15" fontId="63" numFmtId="0" xfId="0" applyAlignment="1" applyBorder="1" applyFont="1">
      <alignment horizontal="center" readingOrder="0" vertical="center"/>
    </xf>
    <xf borderId="22" fillId="18" fontId="64" numFmtId="0" xfId="0" applyAlignment="1" applyBorder="1" applyFill="1" applyFont="1">
      <alignment horizontal="center" readingOrder="0" vertical="center"/>
    </xf>
    <xf borderId="14" fillId="0" fontId="45" numFmtId="49" xfId="0" applyAlignment="1" applyBorder="1" applyFont="1" applyNumberFormat="1">
      <alignment horizontal="center"/>
    </xf>
    <xf borderId="14" fillId="18" fontId="62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/>
    </xf>
    <xf borderId="16" fillId="0" fontId="5" numFmtId="0" xfId="0" applyAlignment="1" applyBorder="1" applyFont="1">
      <alignment horizontal="center"/>
    </xf>
    <xf borderId="13" fillId="16" fontId="36" numFmtId="0" xfId="0" applyAlignment="1" applyBorder="1" applyFont="1">
      <alignment horizontal="center" readingOrder="0" vertical="center"/>
    </xf>
    <xf borderId="13" fillId="15" fontId="48" numFmtId="0" xfId="0" applyAlignment="1" applyBorder="1" applyFont="1">
      <alignment horizontal="center" readingOrder="0" vertical="center"/>
    </xf>
    <xf borderId="14" fillId="15" fontId="48" numFmtId="0" xfId="0" applyAlignment="1" applyBorder="1" applyFont="1">
      <alignment horizontal="center" readingOrder="0" vertical="center"/>
    </xf>
    <xf borderId="0" fillId="0" fontId="55" numFmtId="0" xfId="0" applyAlignment="1" applyFont="1">
      <alignment horizontal="center" readingOrder="0" shrinkToFit="0" vertical="center" wrapText="1"/>
    </xf>
    <xf borderId="0" fillId="0" fontId="47" numFmtId="0" xfId="0" applyAlignment="1" applyFont="1">
      <alignment readingOrder="0" shrinkToFit="0" vertical="center" wrapText="1"/>
    </xf>
    <xf borderId="14" fillId="18" fontId="65" numFmtId="0" xfId="0" applyAlignment="1" applyBorder="1" applyFont="1">
      <alignment horizontal="center" readingOrder="0"/>
    </xf>
    <xf borderId="0" fillId="0" fontId="39" numFmtId="0" xfId="0" applyAlignment="1" applyFont="1">
      <alignment vertical="center"/>
    </xf>
    <xf borderId="14" fillId="7" fontId="64" numFmtId="0" xfId="0" applyAlignment="1" applyBorder="1" applyFont="1">
      <alignment horizontal="center" readingOrder="0" vertical="center"/>
    </xf>
    <xf borderId="14" fillId="14" fontId="62" numFmtId="0" xfId="0" applyAlignment="1" applyBorder="1" applyFont="1">
      <alignment horizontal="center" readingOrder="0" vertical="center"/>
    </xf>
    <xf borderId="8" fillId="0" fontId="16" numFmtId="0" xfId="0" applyAlignment="1" applyBorder="1" applyFont="1">
      <alignment horizontal="center" readingOrder="0" vertical="center"/>
    </xf>
    <xf borderId="0" fillId="0" fontId="66" numFmtId="0" xfId="0" applyAlignment="1" applyFont="1">
      <alignment horizontal="center" readingOrder="0" vertical="center"/>
    </xf>
    <xf borderId="15" fillId="0" fontId="30" numFmtId="0" xfId="0" applyAlignment="1" applyBorder="1" applyFont="1">
      <alignment horizontal="left" readingOrder="0" vertical="center"/>
    </xf>
    <xf borderId="15" fillId="0" fontId="5" numFmtId="0" xfId="0" applyAlignment="1" applyBorder="1" applyFont="1">
      <alignment horizontal="left" readingOrder="0" vertical="center"/>
    </xf>
    <xf borderId="0" fillId="0" fontId="67" numFmtId="49" xfId="0" applyAlignment="1" applyFont="1" applyNumberFormat="1">
      <alignment horizontal="left" readingOrder="0"/>
    </xf>
    <xf borderId="0" fillId="0" fontId="67" numFmtId="49" xfId="0" applyAlignment="1" applyFont="1" applyNumberFormat="1">
      <alignment horizontal="center" readingOrder="0"/>
    </xf>
    <xf borderId="0" fillId="0" fontId="68" numFmtId="0" xfId="0" applyAlignment="1" applyFont="1">
      <alignment horizontal="center" readingOrder="0" vertical="center"/>
    </xf>
    <xf borderId="13" fillId="0" fontId="27" numFmtId="49" xfId="0" applyAlignment="1" applyBorder="1" applyFont="1" applyNumberFormat="1">
      <alignment horizontal="center" readingOrder="0" vertical="center"/>
    </xf>
    <xf borderId="14" fillId="13" fontId="5" numFmtId="0" xfId="0" applyAlignment="1" applyBorder="1" applyFont="1">
      <alignment horizontal="center" readingOrder="0" vertical="center"/>
    </xf>
    <xf borderId="15" fillId="19" fontId="5" numFmtId="0" xfId="0" applyAlignment="1" applyBorder="1" applyFill="1" applyFont="1">
      <alignment horizontal="center" readingOrder="0" vertical="center"/>
    </xf>
    <xf borderId="0" fillId="0" fontId="69" numFmtId="0" xfId="0" applyAlignment="1" applyFont="1">
      <alignment horizontal="center" readingOrder="0"/>
    </xf>
    <xf borderId="15" fillId="10" fontId="5" numFmtId="0" xfId="0" applyAlignment="1" applyBorder="1" applyFont="1">
      <alignment horizontal="center" readingOrder="0" vertical="center"/>
    </xf>
    <xf borderId="15" fillId="20" fontId="5" numFmtId="0" xfId="0" applyAlignment="1" applyBorder="1" applyFill="1" applyFont="1">
      <alignment horizontal="center" readingOrder="0" vertical="center"/>
    </xf>
    <xf borderId="13" fillId="14" fontId="36" numFmtId="0" xfId="0" applyAlignment="1" applyBorder="1" applyFont="1">
      <alignment horizontal="center" readingOrder="0" vertical="center"/>
    </xf>
    <xf borderId="13" fillId="15" fontId="36" numFmtId="0" xfId="0" applyAlignment="1" applyBorder="1" applyFont="1">
      <alignment horizontal="center" readingOrder="0" vertical="center"/>
    </xf>
    <xf borderId="13" fillId="18" fontId="70" numFmtId="0" xfId="0" applyAlignment="1" applyBorder="1" applyFont="1">
      <alignment horizontal="center" readingOrder="0" vertical="center"/>
    </xf>
    <xf borderId="14" fillId="0" fontId="15" numFmtId="49" xfId="0" applyAlignment="1" applyBorder="1" applyFont="1" applyNumberFormat="1">
      <alignment horizontal="center" shrinkToFit="0" vertical="center" wrapText="1"/>
    </xf>
    <xf borderId="0" fillId="0" fontId="15" numFmtId="49" xfId="0" applyAlignment="1" applyFont="1" applyNumberFormat="1">
      <alignment horizontal="center" shrinkToFit="0" vertical="center" wrapText="1"/>
    </xf>
    <xf borderId="0" fillId="0" fontId="37" numFmtId="49" xfId="0" applyAlignment="1" applyFont="1" applyNumberFormat="1">
      <alignment horizontal="center" shrinkToFit="0" vertical="center" wrapText="1"/>
    </xf>
    <xf borderId="22" fillId="6" fontId="70" numFmtId="0" xfId="0" applyAlignment="1" applyBorder="1" applyFont="1">
      <alignment horizontal="center" readingOrder="0" vertical="center"/>
    </xf>
    <xf borderId="22" fillId="15" fontId="64" numFmtId="0" xfId="0" applyAlignment="1" applyBorder="1" applyFont="1">
      <alignment horizontal="center" readingOrder="0" vertical="center"/>
    </xf>
    <xf borderId="7" fillId="15" fontId="22" numFmtId="10" xfId="0" applyAlignment="1" applyBorder="1" applyFont="1" applyNumberFormat="1">
      <alignment horizontal="center"/>
    </xf>
    <xf borderId="0" fillId="0" fontId="71" numFmtId="0" xfId="0" applyAlignment="1" applyFont="1">
      <alignment horizontal="center" readingOrder="0" vertical="center"/>
    </xf>
    <xf borderId="0" fillId="0" fontId="72" numFmtId="0" xfId="0" applyAlignment="1" applyFont="1">
      <alignment horizontal="center" readingOrder="0" shrinkToFit="0" vertical="center" wrapText="1"/>
    </xf>
    <xf borderId="15" fillId="0" fontId="15" numFmtId="49" xfId="0" applyAlignment="1" applyBorder="1" applyFont="1" applyNumberFormat="1">
      <alignment horizontal="center" readingOrder="0"/>
    </xf>
    <xf borderId="14" fillId="21" fontId="36" numFmtId="0" xfId="0" applyAlignment="1" applyBorder="1" applyFill="1" applyFont="1">
      <alignment horizontal="center" readingOrder="0" vertical="center"/>
    </xf>
    <xf borderId="14" fillId="15" fontId="65" numFmtId="0" xfId="0" applyAlignment="1" applyBorder="1" applyFont="1">
      <alignment horizontal="center" readingOrder="0"/>
    </xf>
    <xf borderId="14" fillId="22" fontId="36" numFmtId="0" xfId="0" applyAlignment="1" applyBorder="1" applyFill="1" applyFont="1">
      <alignment horizontal="center" readingOrder="0"/>
    </xf>
    <xf borderId="14" fillId="8" fontId="36" numFmtId="0" xfId="0" applyAlignment="1" applyBorder="1" applyFont="1">
      <alignment horizontal="center" readingOrder="0"/>
    </xf>
    <xf borderId="14" fillId="22" fontId="70" numFmtId="0" xfId="0" applyAlignment="1" applyBorder="1" applyFont="1">
      <alignment horizontal="center" readingOrder="0" vertical="center"/>
    </xf>
    <xf borderId="14" fillId="8" fontId="70" numFmtId="0" xfId="0" applyAlignment="1" applyBorder="1" applyFont="1">
      <alignment horizontal="center" readingOrder="0" vertical="center"/>
    </xf>
    <xf borderId="18" fillId="18" fontId="73" numFmtId="0" xfId="0" applyAlignment="1" applyBorder="1" applyFont="1">
      <alignment horizontal="center" readingOrder="0" vertical="center"/>
    </xf>
    <xf borderId="0" fillId="0" fontId="74" numFmtId="49" xfId="0" applyAlignment="1" applyFont="1" applyNumberFormat="1">
      <alignment horizontal="center" readingOrder="0" vertical="center"/>
    </xf>
    <xf borderId="14" fillId="15" fontId="36" numFmtId="0" xfId="0" applyAlignment="1" applyBorder="1" applyFont="1">
      <alignment horizontal="center" readingOrder="0"/>
    </xf>
    <xf borderId="0" fillId="0" fontId="75" numFmtId="0" xfId="0" applyAlignment="1" applyFont="1">
      <alignment horizontal="center" readingOrder="0" shrinkToFit="0" vertical="center" wrapText="1"/>
    </xf>
    <xf borderId="13" fillId="23" fontId="36" numFmtId="0" xfId="0" applyAlignment="1" applyBorder="1" applyFill="1" applyFont="1">
      <alignment horizontal="center" readingOrder="0" vertical="center"/>
    </xf>
    <xf borderId="22" fillId="15" fontId="70" numFmtId="0" xfId="0" applyAlignment="1" applyBorder="1" applyFont="1">
      <alignment horizontal="center" readingOrder="0" vertical="center"/>
    </xf>
    <xf borderId="14" fillId="0" fontId="74" numFmtId="49" xfId="0" applyAlignment="1" applyBorder="1" applyFont="1" applyNumberFormat="1">
      <alignment horizontal="center"/>
    </xf>
    <xf borderId="0" fillId="0" fontId="76" numFmtId="0" xfId="0" applyAlignment="1" applyFont="1">
      <alignment horizontal="center" readingOrder="0" shrinkToFit="0" vertical="center" wrapText="1"/>
    </xf>
    <xf borderId="13" fillId="24" fontId="48" numFmtId="0" xfId="0" applyAlignment="1" applyBorder="1" applyFill="1" applyFont="1">
      <alignment horizontal="center" readingOrder="0" vertical="center"/>
    </xf>
    <xf borderId="0" fillId="0" fontId="5" numFmtId="0" xfId="0" applyAlignment="1" applyFont="1">
      <alignment readingOrder="0" shrinkToFit="0" wrapText="1"/>
    </xf>
    <xf borderId="16" fillId="0" fontId="5" numFmtId="0" xfId="0" applyAlignment="1" applyBorder="1" applyFont="1">
      <alignment readingOrder="0"/>
    </xf>
    <xf borderId="0" fillId="0" fontId="69" numFmtId="0" xfId="0" applyAlignment="1" applyFont="1">
      <alignment horizontal="center" readingOrder="0" vertical="center"/>
    </xf>
    <xf borderId="14" fillId="15" fontId="64" numFmtId="0" xfId="0" applyAlignment="1" applyBorder="1" applyFont="1">
      <alignment horizontal="center" readingOrder="0" vertical="center"/>
    </xf>
    <xf borderId="13" fillId="24" fontId="36" numFmtId="0" xfId="0" applyAlignment="1" applyBorder="1" applyFont="1">
      <alignment horizontal="center" readingOrder="0" vertical="center"/>
    </xf>
    <xf borderId="14" fillId="0" fontId="74" numFmtId="49" xfId="0" applyAlignment="1" applyBorder="1" applyFont="1" applyNumberFormat="1">
      <alignment horizontal="center" readingOrder="0"/>
    </xf>
    <xf borderId="0" fillId="0" fontId="77" numFmtId="0" xfId="0" applyAlignment="1" applyFont="1">
      <alignment horizontal="right" readingOrder="0"/>
    </xf>
    <xf borderId="0" fillId="2" fontId="77" numFmtId="0" xfId="0" applyFont="1"/>
    <xf borderId="0" fillId="0" fontId="78" numFmtId="0" xfId="0" applyAlignment="1" applyFont="1">
      <alignment horizontal="center" vertical="center"/>
    </xf>
    <xf borderId="0" fillId="0" fontId="79" numFmtId="0" xfId="0" applyAlignment="1" applyFont="1">
      <alignment readingOrder="0" vertical="center"/>
    </xf>
    <xf borderId="0" fillId="0" fontId="79" numFmtId="0" xfId="0" applyAlignment="1" applyFont="1">
      <alignment vertical="center"/>
    </xf>
    <xf borderId="14" fillId="25" fontId="62" numFmtId="0" xfId="0" applyAlignment="1" applyBorder="1" applyFill="1" applyFont="1">
      <alignment horizontal="center" readingOrder="0" vertical="center"/>
    </xf>
    <xf borderId="18" fillId="0" fontId="15" numFmtId="49" xfId="0" applyAlignment="1" applyBorder="1" applyFont="1" applyNumberFormat="1">
      <alignment horizontal="center" readingOrder="0" shrinkToFit="0" vertical="center" wrapText="1"/>
    </xf>
    <xf borderId="8" fillId="0" fontId="7" numFmtId="0" xfId="0" applyAlignment="1" applyBorder="1" applyFont="1">
      <alignment horizontal="center" readingOrder="0" vertical="center"/>
    </xf>
    <xf borderId="15" fillId="0" fontId="7" numFmtId="0" xfId="0" applyAlignment="1" applyBorder="1" applyFont="1">
      <alignment horizontal="center" readingOrder="0" vertical="center"/>
    </xf>
    <xf borderId="15" fillId="0" fontId="7" numFmtId="0" xfId="0" applyAlignment="1" applyBorder="1" applyFont="1">
      <alignment horizontal="center" vertical="center"/>
    </xf>
    <xf borderId="18" fillId="0" fontId="15" numFmtId="49" xfId="0" applyAlignment="1" applyBorder="1" applyFont="1" applyNumberFormat="1">
      <alignment horizontal="center" readingOrder="0"/>
    </xf>
    <xf borderId="20" fillId="0" fontId="15" numFmtId="49" xfId="0" applyAlignment="1" applyBorder="1" applyFont="1" applyNumberFormat="1">
      <alignment horizontal="center" readingOrder="0" vertical="center"/>
    </xf>
    <xf borderId="19" fillId="0" fontId="7" numFmtId="0" xfId="0" applyAlignment="1" applyBorder="1" applyFont="1">
      <alignment horizontal="center" vertical="center"/>
    </xf>
    <xf borderId="0" fillId="0" fontId="80" numFmtId="0" xfId="0" applyAlignment="1" applyFont="1">
      <alignment horizontal="center" vertical="bottom"/>
    </xf>
    <xf borderId="14" fillId="0" fontId="81" numFmtId="49" xfId="0" applyAlignment="1" applyBorder="1" applyFont="1" applyNumberFormat="1">
      <alignment horizontal="center"/>
    </xf>
    <xf borderId="14" fillId="8" fontId="62" numFmtId="0" xfId="0" applyAlignment="1" applyBorder="1" applyFont="1">
      <alignment horizontal="center" readingOrder="0"/>
    </xf>
    <xf borderId="13" fillId="6" fontId="36" numFmtId="0" xfId="0" applyAlignment="1" applyBorder="1" applyFont="1">
      <alignment horizontal="center" readingOrder="0" vertical="center"/>
    </xf>
    <xf borderId="0" fillId="0" fontId="7" numFmtId="0" xfId="0" applyAlignment="1" applyFont="1">
      <alignment horizontal="center" readingOrder="0" shrinkToFit="0" vertical="center" wrapText="1"/>
    </xf>
    <xf borderId="0" fillId="0" fontId="82" numFmtId="0" xfId="0" applyAlignment="1" applyFont="1">
      <alignment horizontal="center" readingOrder="0" vertical="center"/>
    </xf>
    <xf borderId="0" fillId="0" fontId="5" numFmtId="49" xfId="0" applyAlignment="1" applyFont="1" applyNumberFormat="1">
      <alignment horizontal="center" vertical="center"/>
    </xf>
    <xf borderId="14" fillId="18" fontId="36" numFmtId="0" xfId="0" applyAlignment="1" applyBorder="1" applyFont="1">
      <alignment horizontal="center" readingOrder="0" vertical="center"/>
    </xf>
    <xf borderId="0" fillId="0" fontId="80" numFmtId="0" xfId="0" applyAlignment="1" applyFont="1">
      <alignment horizontal="center" vertical="bottom"/>
    </xf>
    <xf borderId="14" fillId="18" fontId="70" numFmtId="0" xfId="0" applyAlignment="1" applyBorder="1" applyFont="1">
      <alignment horizontal="center" readingOrder="0" vertical="center"/>
    </xf>
    <xf borderId="13" fillId="18" fontId="36" numFmtId="0" xfId="0" applyAlignment="1" applyBorder="1" applyFont="1">
      <alignment horizontal="center" readingOrder="0" vertical="center"/>
    </xf>
    <xf borderId="0" fillId="0" fontId="28" numFmtId="49" xfId="0" applyAlignment="1" applyFont="1" applyNumberFormat="1">
      <alignment horizontal="center" readingOrder="0"/>
    </xf>
    <xf borderId="0" fillId="0" fontId="32" numFmtId="0" xfId="0" applyAlignment="1" applyFont="1">
      <alignment vertical="center"/>
    </xf>
    <xf borderId="0" fillId="0" fontId="3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topLeftCell="G1" activePane="topRight" state="frozen"/>
      <selection activeCell="H2" sqref="H2" pane="topRight"/>
    </sheetView>
  </sheetViews>
  <sheetFormatPr customHeight="1" defaultColWidth="12.63" defaultRowHeight="15.75"/>
  <cols>
    <col customWidth="1" min="1" max="1" width="18.88"/>
    <col customWidth="1" min="2" max="2" width="0.88"/>
    <col customWidth="1" min="3" max="3" width="6.25"/>
    <col customWidth="1" min="4" max="4" width="5.5"/>
    <col customWidth="1" min="5" max="5" width="5.0"/>
    <col customWidth="1" min="6" max="6" width="4.88"/>
    <col customWidth="1" min="7" max="7" width="4.0"/>
    <col customWidth="1" min="8" max="8" width="5.13"/>
    <col customWidth="1" min="9" max="9" width="4.13"/>
    <col customWidth="1" min="10" max="10" width="3.75"/>
    <col customWidth="1" min="11" max="11" width="9.38"/>
    <col customWidth="1" min="12" max="12" width="6.75"/>
    <col customWidth="1" min="13" max="15" width="3.63"/>
    <col customWidth="1" min="16" max="16" width="3.75"/>
    <col customWidth="1" min="17" max="17" width="3.63"/>
    <col customWidth="1" min="18" max="20" width="4.5"/>
    <col customWidth="1" min="21" max="21" width="3.25"/>
    <col customWidth="1" min="22" max="22" width="4.25"/>
    <col customWidth="1" min="23" max="23" width="3.88"/>
    <col customWidth="1" min="24" max="24" width="3.75"/>
    <col customWidth="1" min="25" max="25" width="4.0"/>
    <col customWidth="1" min="26" max="26" width="16.38"/>
    <col customWidth="1" min="27" max="27" width="4.38"/>
    <col customWidth="1" min="28" max="28" width="23.0"/>
    <col customWidth="1" min="29" max="29" width="5.63"/>
    <col customWidth="1" min="30" max="30" width="20.38"/>
    <col customWidth="1" min="33" max="33" width="6.38"/>
    <col customWidth="1" min="34" max="34" width="5.13"/>
    <col customWidth="1" min="35" max="35" width="16.13"/>
    <col customWidth="1" min="36" max="36" width="6.88"/>
    <col customWidth="1" min="38" max="38" width="5.88"/>
    <col customWidth="1" min="40" max="40" width="5.38"/>
    <col customWidth="1" min="42" max="42" width="5.63"/>
    <col customWidth="1" min="44" max="44" width="6.63"/>
    <col customWidth="1" min="46" max="46" width="5.13"/>
    <col customWidth="1" min="48" max="48" width="4.63"/>
    <col customWidth="1" min="50" max="50" width="4.75"/>
    <col customWidth="1" min="52" max="52" width="1.25"/>
  </cols>
  <sheetData>
    <row r="1">
      <c r="A1" s="1"/>
      <c r="B1" s="2"/>
      <c r="C1" s="1"/>
      <c r="D1" s="1"/>
      <c r="E1" s="3"/>
      <c r="F1" s="3"/>
      <c r="G1" s="4"/>
      <c r="H1" s="4"/>
      <c r="I1" s="5"/>
      <c r="J1" s="5"/>
      <c r="K1" s="6"/>
      <c r="L1" s="7"/>
      <c r="M1" s="8"/>
      <c r="N1" s="8"/>
      <c r="O1" s="8"/>
      <c r="P1" s="8"/>
      <c r="Q1" s="8"/>
      <c r="R1" s="8"/>
      <c r="S1" s="8"/>
      <c r="T1" s="8"/>
      <c r="U1" s="9"/>
      <c r="V1" s="9"/>
      <c r="W1" s="9"/>
      <c r="X1" s="9"/>
      <c r="Y1" s="10"/>
      <c r="Z1" s="11"/>
      <c r="AA1" s="12"/>
      <c r="AB1" s="12"/>
      <c r="AC1" s="13"/>
      <c r="AD1" s="13"/>
      <c r="AE1" s="1"/>
      <c r="AF1" s="1"/>
      <c r="AG1" s="14"/>
      <c r="AH1" s="14"/>
      <c r="AI1" s="14"/>
      <c r="AJ1" s="15" t="s">
        <v>0</v>
      </c>
      <c r="AK1" s="16" t="s">
        <v>1</v>
      </c>
      <c r="AL1" s="17" t="s">
        <v>2</v>
      </c>
      <c r="AM1" s="16" t="s">
        <v>3</v>
      </c>
      <c r="AN1" s="18" t="s">
        <v>4</v>
      </c>
      <c r="AO1" s="16" t="s">
        <v>5</v>
      </c>
      <c r="AP1" s="19" t="s">
        <v>6</v>
      </c>
      <c r="AQ1" s="16" t="s">
        <v>7</v>
      </c>
      <c r="AR1" s="20" t="s">
        <v>8</v>
      </c>
      <c r="AS1" s="16" t="s">
        <v>9</v>
      </c>
      <c r="AT1" s="21" t="s">
        <v>10</v>
      </c>
      <c r="AU1" s="16" t="s">
        <v>11</v>
      </c>
      <c r="AV1" s="22" t="s">
        <v>12</v>
      </c>
      <c r="AW1" s="16" t="s">
        <v>13</v>
      </c>
      <c r="AX1" s="23" t="s">
        <v>14</v>
      </c>
      <c r="AY1" s="16" t="s">
        <v>15</v>
      </c>
      <c r="AZ1" s="24"/>
    </row>
    <row r="2">
      <c r="A2" s="1"/>
      <c r="B2" s="2"/>
      <c r="C2" s="1"/>
      <c r="D2" s="1"/>
      <c r="E2" s="3"/>
      <c r="G2" s="4" t="s">
        <v>16</v>
      </c>
      <c r="H2" s="4"/>
      <c r="I2" s="5" t="s">
        <v>17</v>
      </c>
      <c r="K2" s="6"/>
      <c r="L2" s="7"/>
      <c r="M2" s="8"/>
      <c r="N2" s="8"/>
      <c r="O2" s="8"/>
      <c r="P2" s="8"/>
      <c r="Q2" s="8"/>
      <c r="R2" s="8"/>
      <c r="S2" s="8"/>
      <c r="T2" s="8"/>
      <c r="U2" s="9"/>
      <c r="V2" s="9"/>
      <c r="W2" s="9"/>
      <c r="X2" s="9"/>
      <c r="Y2" s="10"/>
      <c r="Z2" s="11"/>
      <c r="AA2" s="12" t="s">
        <v>18</v>
      </c>
      <c r="AC2" s="13"/>
      <c r="AD2" s="25" t="s">
        <v>19</v>
      </c>
      <c r="AE2" s="1" t="s">
        <v>20</v>
      </c>
      <c r="AF2" s="1" t="s">
        <v>21</v>
      </c>
      <c r="AG2" s="14"/>
      <c r="AH2" s="14"/>
      <c r="AI2" s="14"/>
      <c r="AK2" s="16" t="s">
        <v>22</v>
      </c>
      <c r="AM2" s="16" t="s">
        <v>23</v>
      </c>
      <c r="AO2" s="16" t="s">
        <v>24</v>
      </c>
      <c r="AQ2" s="16" t="s">
        <v>25</v>
      </c>
      <c r="AS2" s="16" t="s">
        <v>26</v>
      </c>
      <c r="AU2" s="16" t="s">
        <v>27</v>
      </c>
      <c r="AW2" s="16" t="s">
        <v>28</v>
      </c>
      <c r="AY2" s="16" t="s">
        <v>29</v>
      </c>
      <c r="AZ2" s="24"/>
    </row>
    <row r="3">
      <c r="A3" s="1"/>
      <c r="B3" s="2"/>
      <c r="C3" s="1"/>
      <c r="D3" s="1"/>
      <c r="E3" s="26"/>
      <c r="F3" s="26"/>
      <c r="G3" s="27" t="s">
        <v>30</v>
      </c>
      <c r="I3" s="28" t="s">
        <v>31</v>
      </c>
      <c r="K3" s="6"/>
      <c r="L3" s="7"/>
      <c r="M3" s="8"/>
      <c r="N3" s="8"/>
      <c r="O3" s="8"/>
      <c r="P3" s="8"/>
      <c r="Q3" s="8"/>
      <c r="R3" s="8"/>
      <c r="S3" s="8"/>
      <c r="T3" s="8"/>
      <c r="U3" s="9"/>
      <c r="V3" s="9"/>
      <c r="W3" s="9"/>
      <c r="X3" s="9"/>
      <c r="Y3" s="10"/>
      <c r="Z3" s="11"/>
      <c r="AA3" s="29" t="s">
        <v>32</v>
      </c>
      <c r="AB3" s="29" t="s">
        <v>33</v>
      </c>
      <c r="AC3" s="13"/>
      <c r="AD3" s="1" t="s">
        <v>34</v>
      </c>
      <c r="AE3" s="1" t="s">
        <v>35</v>
      </c>
      <c r="AF3" s="1" t="s">
        <v>36</v>
      </c>
      <c r="AG3" s="14"/>
      <c r="AH3" s="14"/>
      <c r="AI3" s="14"/>
      <c r="AJ3" s="30" t="s">
        <v>37</v>
      </c>
      <c r="AK3" s="16" t="s">
        <v>38</v>
      </c>
      <c r="AL3" s="31" t="s">
        <v>39</v>
      </c>
      <c r="AM3" s="16" t="s">
        <v>40</v>
      </c>
      <c r="AN3" s="22" t="s">
        <v>41</v>
      </c>
      <c r="AO3" s="16" t="s">
        <v>42</v>
      </c>
      <c r="AP3" s="30" t="s">
        <v>43</v>
      </c>
      <c r="AQ3" s="16" t="s">
        <v>44</v>
      </c>
      <c r="AR3" s="31" t="s">
        <v>45</v>
      </c>
      <c r="AS3" s="16" t="s">
        <v>46</v>
      </c>
      <c r="AT3" s="32" t="s">
        <v>47</v>
      </c>
      <c r="AU3" s="16" t="s">
        <v>48</v>
      </c>
      <c r="AV3" s="30" t="s">
        <v>49</v>
      </c>
      <c r="AW3" s="16" t="s">
        <v>50</v>
      </c>
      <c r="AX3" s="33" t="s">
        <v>51</v>
      </c>
      <c r="AY3" s="16" t="s">
        <v>52</v>
      </c>
      <c r="AZ3" s="24"/>
    </row>
    <row r="4">
      <c r="A4" s="1"/>
      <c r="B4" s="2"/>
      <c r="C4" s="1"/>
      <c r="D4" s="1"/>
      <c r="E4" s="26"/>
      <c r="F4" s="26"/>
      <c r="G4" s="34" t="s">
        <v>53</v>
      </c>
      <c r="I4" s="35" t="s">
        <v>54</v>
      </c>
      <c r="K4" s="6"/>
      <c r="L4" s="7"/>
      <c r="M4" s="8"/>
      <c r="N4" s="8"/>
      <c r="O4" s="8"/>
      <c r="P4" s="8"/>
      <c r="Q4" s="8"/>
      <c r="R4" s="8"/>
      <c r="S4" s="8"/>
      <c r="T4" s="8"/>
      <c r="U4" s="9"/>
      <c r="V4" s="9"/>
      <c r="W4" s="9"/>
      <c r="X4" s="9"/>
      <c r="Y4" s="10"/>
      <c r="Z4" s="11"/>
      <c r="AA4" s="36"/>
      <c r="AB4" s="36"/>
      <c r="AC4" s="13"/>
      <c r="AD4" s="13"/>
      <c r="AE4" s="37"/>
      <c r="AF4" s="37"/>
      <c r="AG4" s="14"/>
      <c r="AH4" s="14"/>
      <c r="AI4" s="14"/>
      <c r="AJ4" s="30" t="s">
        <v>49</v>
      </c>
      <c r="AK4" s="16" t="s">
        <v>44</v>
      </c>
      <c r="AL4" s="33" t="s">
        <v>51</v>
      </c>
      <c r="AM4" s="16" t="s">
        <v>46</v>
      </c>
      <c r="AN4" s="30" t="s">
        <v>37</v>
      </c>
      <c r="AO4" s="16" t="s">
        <v>48</v>
      </c>
      <c r="AP4" s="31" t="s">
        <v>39</v>
      </c>
      <c r="AQ4" s="16" t="s">
        <v>50</v>
      </c>
      <c r="AR4" s="22" t="s">
        <v>41</v>
      </c>
      <c r="AS4" s="16" t="s">
        <v>52</v>
      </c>
      <c r="AT4" s="30" t="s">
        <v>43</v>
      </c>
      <c r="AU4" s="16" t="s">
        <v>38</v>
      </c>
      <c r="AV4" s="31" t="s">
        <v>45</v>
      </c>
      <c r="AW4" s="16" t="s">
        <v>40</v>
      </c>
      <c r="AX4" s="32" t="s">
        <v>47</v>
      </c>
      <c r="AY4" s="16" t="s">
        <v>42</v>
      </c>
      <c r="AZ4" s="24"/>
    </row>
    <row r="5">
      <c r="A5" s="1"/>
      <c r="B5" s="2"/>
      <c r="C5" s="1"/>
      <c r="D5" s="1"/>
      <c r="E5" s="26"/>
      <c r="F5" s="26"/>
      <c r="G5" s="38" t="s">
        <v>55</v>
      </c>
      <c r="I5" s="39" t="s">
        <v>56</v>
      </c>
      <c r="K5" s="6"/>
      <c r="L5" s="7"/>
      <c r="M5" s="8"/>
      <c r="N5" s="8"/>
      <c r="O5" s="8"/>
      <c r="P5" s="8"/>
      <c r="Q5" s="8"/>
      <c r="R5" s="8"/>
      <c r="S5" s="8"/>
      <c r="T5" s="8"/>
      <c r="U5" s="9"/>
      <c r="V5" s="9"/>
      <c r="W5" s="9"/>
      <c r="X5" s="9"/>
      <c r="Y5" s="40" t="s">
        <v>57</v>
      </c>
      <c r="Z5" s="41"/>
      <c r="AA5" s="42" t="s">
        <v>58</v>
      </c>
      <c r="AB5" s="41"/>
      <c r="AC5" s="40" t="s">
        <v>59</v>
      </c>
      <c r="AD5" s="41"/>
      <c r="AE5" s="43" t="s">
        <v>60</v>
      </c>
      <c r="AF5" s="43" t="s">
        <v>61</v>
      </c>
      <c r="AG5" s="42" t="s">
        <v>62</v>
      </c>
      <c r="AH5" s="44"/>
      <c r="AI5" s="41"/>
      <c r="AJ5" s="45"/>
      <c r="AK5" s="16"/>
      <c r="AL5" s="45"/>
      <c r="AM5" s="16"/>
      <c r="AN5" s="45"/>
      <c r="AO5" s="16"/>
      <c r="AP5" s="45"/>
      <c r="AQ5" s="16"/>
      <c r="AR5" s="46"/>
      <c r="AS5" s="16"/>
      <c r="AT5" s="46"/>
      <c r="AU5" s="16"/>
      <c r="AV5" s="47"/>
      <c r="AW5" s="16"/>
      <c r="AX5" s="47"/>
      <c r="AY5" s="16"/>
      <c r="AZ5" s="48"/>
      <c r="BA5" s="16"/>
      <c r="BB5" s="16"/>
    </row>
    <row r="6" ht="3.75" customHeight="1">
      <c r="A6" s="2"/>
      <c r="B6" s="2"/>
      <c r="C6" s="2"/>
      <c r="D6" s="2"/>
      <c r="E6" s="49"/>
      <c r="F6" s="49"/>
      <c r="G6" s="49"/>
      <c r="H6" s="49"/>
      <c r="I6" s="49"/>
      <c r="J6" s="49"/>
      <c r="K6" s="50"/>
      <c r="L6" s="51"/>
      <c r="M6" s="52"/>
      <c r="N6" s="52"/>
      <c r="O6" s="52"/>
      <c r="P6" s="52"/>
      <c r="Q6" s="52"/>
      <c r="R6" s="52"/>
      <c r="S6" s="52"/>
      <c r="T6" s="52"/>
      <c r="U6" s="53"/>
      <c r="V6" s="53"/>
      <c r="W6" s="53"/>
      <c r="X6" s="53"/>
      <c r="Y6" s="54"/>
      <c r="Z6" s="55"/>
      <c r="AA6" s="56"/>
      <c r="AB6" s="56"/>
      <c r="AC6" s="57"/>
      <c r="AD6" s="57"/>
      <c r="AE6" s="58"/>
      <c r="AF6" s="58"/>
      <c r="AG6" s="59"/>
      <c r="AH6" s="59"/>
      <c r="AI6" s="59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60"/>
      <c r="AY6" s="24"/>
      <c r="AZ6" s="24"/>
      <c r="BA6" s="24"/>
      <c r="BB6" s="24"/>
      <c r="BC6" s="24"/>
      <c r="BD6" s="24"/>
      <c r="BE6" s="24"/>
    </row>
    <row r="7">
      <c r="A7" s="61" t="s">
        <v>63</v>
      </c>
      <c r="B7" s="62"/>
      <c r="C7" s="63"/>
      <c r="D7" s="63"/>
      <c r="E7" s="64">
        <f>(O8+P8+Q8+R8)/(O9+P9+Q9+R9)</f>
        <v>0.4</v>
      </c>
      <c r="F7" s="65"/>
      <c r="G7" s="66"/>
      <c r="H7" s="66"/>
      <c r="I7" s="67"/>
      <c r="J7" s="67"/>
      <c r="K7" s="68"/>
      <c r="L7" s="69"/>
      <c r="M7" s="63" t="s">
        <v>64</v>
      </c>
      <c r="N7" s="70"/>
      <c r="O7" s="71" t="s">
        <v>65</v>
      </c>
      <c r="P7" s="72"/>
      <c r="Q7" s="72"/>
      <c r="R7" s="70"/>
      <c r="S7" s="71" t="s">
        <v>66</v>
      </c>
      <c r="T7" s="70"/>
      <c r="U7" s="71" t="s">
        <v>67</v>
      </c>
      <c r="V7" s="70"/>
      <c r="W7" s="71" t="s">
        <v>68</v>
      </c>
      <c r="X7" s="70"/>
      <c r="Y7" s="73" t="s">
        <v>69</v>
      </c>
      <c r="Z7" s="74" t="s">
        <v>70</v>
      </c>
      <c r="AA7" s="75" t="s">
        <v>71</v>
      </c>
      <c r="AB7" s="75" t="s">
        <v>72</v>
      </c>
      <c r="AC7" s="76" t="s">
        <v>73</v>
      </c>
      <c r="AD7" s="77" t="s">
        <v>74</v>
      </c>
      <c r="AE7" s="63" t="s">
        <v>35</v>
      </c>
      <c r="AF7" s="78" t="s">
        <v>75</v>
      </c>
      <c r="AG7" s="79" t="s">
        <v>76</v>
      </c>
      <c r="AH7" s="79">
        <v>240.0</v>
      </c>
      <c r="AI7" s="79" t="s">
        <v>77</v>
      </c>
      <c r="AJ7" s="80" t="s">
        <v>0</v>
      </c>
      <c r="AK7" s="81" t="s">
        <v>42</v>
      </c>
      <c r="AL7" s="82" t="s">
        <v>2</v>
      </c>
      <c r="AM7" s="81" t="s">
        <v>44</v>
      </c>
      <c r="AN7" s="82" t="s">
        <v>4</v>
      </c>
      <c r="AO7" s="81" t="s">
        <v>46</v>
      </c>
      <c r="AP7" s="82" t="s">
        <v>6</v>
      </c>
      <c r="AQ7" s="81" t="s">
        <v>48</v>
      </c>
      <c r="AR7" s="82" t="s">
        <v>8</v>
      </c>
      <c r="AS7" s="81" t="s">
        <v>50</v>
      </c>
      <c r="AT7" s="82" t="s">
        <v>10</v>
      </c>
      <c r="AU7" s="81" t="s">
        <v>52</v>
      </c>
      <c r="AV7" s="82" t="s">
        <v>12</v>
      </c>
      <c r="AW7" s="81" t="s">
        <v>38</v>
      </c>
      <c r="AX7" s="82" t="s">
        <v>14</v>
      </c>
      <c r="AY7" s="81" t="s">
        <v>40</v>
      </c>
      <c r="AZ7" s="83"/>
      <c r="BA7" s="84"/>
      <c r="BB7" s="84"/>
      <c r="BC7" s="84"/>
    </row>
    <row r="8">
      <c r="A8" s="85">
        <v>1.0</v>
      </c>
      <c r="B8" s="86"/>
      <c r="C8" s="12" t="s">
        <v>78</v>
      </c>
      <c r="E8" s="87" t="s">
        <v>31</v>
      </c>
      <c r="F8" s="88"/>
      <c r="G8" s="89" t="s">
        <v>79</v>
      </c>
      <c r="I8" s="28" t="s">
        <v>31</v>
      </c>
      <c r="K8" s="90">
        <f>L8/L9</f>
        <v>0.29</v>
      </c>
      <c r="L8" s="91">
        <f t="shared" ref="L8:L9" si="1">O8+P8+Q8+U8+V8+W8+X8+R8+M8+N8+S8+T8</f>
        <v>290</v>
      </c>
      <c r="M8" s="92">
        <v>0.0</v>
      </c>
      <c r="N8" s="93">
        <v>0.0</v>
      </c>
      <c r="O8" s="92">
        <v>10.0</v>
      </c>
      <c r="P8" s="92">
        <v>30.0</v>
      </c>
      <c r="Q8" s="92">
        <v>90.0</v>
      </c>
      <c r="R8" s="93">
        <v>30.0</v>
      </c>
      <c r="S8" s="92">
        <v>0.0</v>
      </c>
      <c r="T8" s="93">
        <v>25.0</v>
      </c>
      <c r="U8" s="92">
        <v>60.0</v>
      </c>
      <c r="V8" s="93">
        <v>0.0</v>
      </c>
      <c r="W8" s="92">
        <v>35.0</v>
      </c>
      <c r="X8" s="93">
        <v>10.0</v>
      </c>
      <c r="Y8" s="73" t="s">
        <v>80</v>
      </c>
      <c r="Z8" s="94" t="s">
        <v>81</v>
      </c>
      <c r="AA8" s="29"/>
      <c r="AB8" s="29"/>
      <c r="AC8" s="95" t="s">
        <v>82</v>
      </c>
      <c r="AD8" s="96" t="s">
        <v>83</v>
      </c>
      <c r="AE8" s="37"/>
      <c r="AF8" s="97"/>
      <c r="AG8" s="12" t="s">
        <v>84</v>
      </c>
      <c r="AH8" s="12">
        <v>0.0</v>
      </c>
      <c r="AI8" s="12" t="s">
        <v>85</v>
      </c>
      <c r="AJ8" s="98" t="s">
        <v>86</v>
      </c>
      <c r="AK8" s="99" t="s">
        <v>87</v>
      </c>
      <c r="AL8" s="100" t="s">
        <v>88</v>
      </c>
      <c r="AM8" s="101" t="s">
        <v>89</v>
      </c>
      <c r="AN8" s="100" t="s">
        <v>45</v>
      </c>
      <c r="AO8" s="102" t="s">
        <v>90</v>
      </c>
      <c r="AP8" s="100" t="s">
        <v>43</v>
      </c>
      <c r="AQ8" s="101" t="s">
        <v>91</v>
      </c>
      <c r="AR8" s="100" t="s">
        <v>41</v>
      </c>
      <c r="AS8" s="103" t="s">
        <v>92</v>
      </c>
      <c r="AT8" s="100" t="s">
        <v>39</v>
      </c>
      <c r="AU8" s="99" t="s">
        <v>93</v>
      </c>
      <c r="AV8" s="100" t="s">
        <v>37</v>
      </c>
      <c r="AW8" s="99" t="s">
        <v>94</v>
      </c>
      <c r="AX8" s="100" t="s">
        <v>51</v>
      </c>
      <c r="AY8" s="101" t="s">
        <v>95</v>
      </c>
      <c r="AZ8" s="24"/>
      <c r="BA8" s="47" t="s">
        <v>86</v>
      </c>
      <c r="BB8" s="104" t="s">
        <v>87</v>
      </c>
      <c r="BC8" s="47" t="s">
        <v>88</v>
      </c>
      <c r="BD8" s="105" t="s">
        <v>89</v>
      </c>
      <c r="BE8" s="47"/>
    </row>
    <row r="9">
      <c r="A9" s="85" t="s">
        <v>16</v>
      </c>
      <c r="B9" s="86"/>
      <c r="C9" s="106" t="s">
        <v>96</v>
      </c>
      <c r="E9" s="107" t="s">
        <v>97</v>
      </c>
      <c r="F9" s="88"/>
      <c r="G9" s="108" t="s">
        <v>84</v>
      </c>
      <c r="I9" s="35" t="s">
        <v>54</v>
      </c>
      <c r="K9" s="36"/>
      <c r="L9" s="109">
        <f t="shared" si="1"/>
        <v>1000</v>
      </c>
      <c r="M9" s="9">
        <v>0.0</v>
      </c>
      <c r="N9" s="110">
        <v>0.0</v>
      </c>
      <c r="O9" s="9">
        <v>100.0</v>
      </c>
      <c r="P9" s="9">
        <v>100.0</v>
      </c>
      <c r="Q9" s="9">
        <v>100.0</v>
      </c>
      <c r="R9" s="110">
        <v>100.0</v>
      </c>
      <c r="S9" s="9">
        <v>100.0</v>
      </c>
      <c r="T9" s="110">
        <v>100.0</v>
      </c>
      <c r="U9" s="9">
        <v>100.0</v>
      </c>
      <c r="V9" s="110">
        <v>100.0</v>
      </c>
      <c r="W9" s="9">
        <v>100.0</v>
      </c>
      <c r="X9" s="110">
        <v>100.0</v>
      </c>
      <c r="Y9" s="73" t="s">
        <v>98</v>
      </c>
      <c r="Z9" s="94" t="s">
        <v>99</v>
      </c>
      <c r="AA9" s="36"/>
      <c r="AB9" s="36"/>
      <c r="AC9" s="111"/>
      <c r="AD9" s="112"/>
      <c r="AE9" s="37"/>
      <c r="AF9" s="97"/>
      <c r="AG9" s="14"/>
      <c r="AH9" s="14"/>
      <c r="AI9" s="14"/>
      <c r="AJ9" s="113"/>
      <c r="AK9" s="104" t="s">
        <v>100</v>
      </c>
      <c r="AM9" s="114" t="s">
        <v>101</v>
      </c>
      <c r="AO9" s="105" t="s">
        <v>102</v>
      </c>
      <c r="AQ9" s="105" t="s">
        <v>103</v>
      </c>
      <c r="AS9" s="104" t="s">
        <v>104</v>
      </c>
      <c r="AU9" s="104" t="s">
        <v>105</v>
      </c>
      <c r="AW9" s="104" t="s">
        <v>106</v>
      </c>
      <c r="AY9" s="105" t="s">
        <v>107</v>
      </c>
      <c r="AZ9" s="24"/>
      <c r="BB9" s="104" t="s">
        <v>100</v>
      </c>
      <c r="BD9" s="114" t="s">
        <v>101</v>
      </c>
    </row>
    <row r="10">
      <c r="A10" s="85">
        <v>2569.0</v>
      </c>
      <c r="B10" s="86"/>
      <c r="E10" s="115" t="s">
        <v>108</v>
      </c>
      <c r="F10" s="116" t="s">
        <v>109</v>
      </c>
      <c r="G10" s="9" t="s">
        <v>110</v>
      </c>
      <c r="H10" s="9" t="s">
        <v>111</v>
      </c>
      <c r="I10" s="9" t="s">
        <v>112</v>
      </c>
      <c r="J10" s="9" t="s">
        <v>113</v>
      </c>
      <c r="K10" s="36"/>
      <c r="L10" s="117"/>
      <c r="M10" s="118" t="str">
        <f t="shared" ref="M10:P10" si="2">C10</f>
        <v/>
      </c>
      <c r="N10" s="119" t="str">
        <f t="shared" si="2"/>
        <v/>
      </c>
      <c r="O10" s="118" t="str">
        <f t="shared" si="2"/>
        <v>A8</v>
      </c>
      <c r="P10" s="118" t="str">
        <f t="shared" si="2"/>
        <v>B4</v>
      </c>
      <c r="Q10" s="118" t="str">
        <f t="shared" ref="Q10:R10" si="3">E11</f>
        <v>B6</v>
      </c>
      <c r="R10" s="119" t="str">
        <f t="shared" si="3"/>
        <v>C12</v>
      </c>
      <c r="S10" s="9" t="s">
        <v>114</v>
      </c>
      <c r="T10" s="110" t="s">
        <v>115</v>
      </c>
      <c r="U10" s="9" t="str">
        <f t="shared" ref="U10:X10" si="4">G10</f>
        <v>A11</v>
      </c>
      <c r="V10" s="119" t="str">
        <f t="shared" si="4"/>
        <v>B7</v>
      </c>
      <c r="W10" s="118" t="str">
        <f t="shared" si="4"/>
        <v>A2</v>
      </c>
      <c r="X10" s="120" t="str">
        <f t="shared" si="4"/>
        <v>B12</v>
      </c>
      <c r="Y10" s="73" t="s">
        <v>116</v>
      </c>
      <c r="Z10" s="94" t="s">
        <v>117</v>
      </c>
      <c r="AA10" s="36"/>
      <c r="AB10" s="36"/>
      <c r="AC10" s="111"/>
      <c r="AD10" s="112"/>
      <c r="AE10" s="37"/>
      <c r="AF10" s="97"/>
      <c r="AG10" s="14"/>
      <c r="AH10" s="14"/>
      <c r="AI10" s="14"/>
      <c r="AJ10" s="113"/>
      <c r="AK10" s="104" t="s">
        <v>118</v>
      </c>
      <c r="AM10" s="114" t="s">
        <v>119</v>
      </c>
      <c r="AO10" s="105" t="s">
        <v>120</v>
      </c>
      <c r="AQ10" s="105" t="s">
        <v>121</v>
      </c>
      <c r="AS10" s="104" t="s">
        <v>122</v>
      </c>
      <c r="AU10" s="104" t="s">
        <v>123</v>
      </c>
      <c r="AW10" s="104" t="s">
        <v>124</v>
      </c>
      <c r="AY10" s="105" t="s">
        <v>125</v>
      </c>
      <c r="AZ10" s="24"/>
      <c r="BB10" s="104" t="s">
        <v>118</v>
      </c>
      <c r="BD10" s="114" t="s">
        <v>119</v>
      </c>
    </row>
    <row r="11">
      <c r="A11" s="85">
        <f>A10-543</f>
        <v>2026</v>
      </c>
      <c r="B11" s="86"/>
      <c r="E11" s="115" t="s">
        <v>126</v>
      </c>
      <c r="F11" s="116" t="s">
        <v>127</v>
      </c>
      <c r="G11" s="9"/>
      <c r="H11" s="118"/>
      <c r="I11" s="118"/>
      <c r="J11" s="118"/>
      <c r="K11" s="36"/>
      <c r="L11" s="117"/>
      <c r="M11" s="8"/>
      <c r="N11" s="121"/>
      <c r="O11" s="8"/>
      <c r="P11" s="8"/>
      <c r="Q11" s="8"/>
      <c r="R11" s="121"/>
      <c r="S11" s="8"/>
      <c r="T11" s="121"/>
      <c r="U11" s="9"/>
      <c r="V11" s="110"/>
      <c r="W11" s="9"/>
      <c r="X11" s="110"/>
      <c r="Y11" s="73" t="s">
        <v>126</v>
      </c>
      <c r="Z11" s="94" t="s">
        <v>128</v>
      </c>
      <c r="AA11" s="36"/>
      <c r="AB11" s="36"/>
      <c r="AC11" s="111"/>
      <c r="AD11" s="112"/>
      <c r="AE11" s="37"/>
      <c r="AF11" s="97"/>
      <c r="AG11" s="14"/>
      <c r="AH11" s="14"/>
      <c r="AI11" s="14"/>
      <c r="AJ11" s="113"/>
      <c r="AK11" s="104" t="s">
        <v>129</v>
      </c>
      <c r="AM11" s="114" t="s">
        <v>130</v>
      </c>
      <c r="AO11" s="105" t="s">
        <v>131</v>
      </c>
      <c r="AQ11" s="105" t="s">
        <v>132</v>
      </c>
      <c r="AS11" s="104" t="s">
        <v>133</v>
      </c>
      <c r="AU11" s="104" t="s">
        <v>134</v>
      </c>
      <c r="AW11" s="104" t="s">
        <v>135</v>
      </c>
      <c r="AY11" s="105" t="s">
        <v>136</v>
      </c>
      <c r="AZ11" s="24"/>
      <c r="BB11" s="104" t="s">
        <v>129</v>
      </c>
      <c r="BD11" s="114" t="s">
        <v>130</v>
      </c>
    </row>
    <row r="12">
      <c r="A12" s="122"/>
      <c r="B12" s="2"/>
      <c r="C12" s="1"/>
      <c r="D12" s="123"/>
      <c r="E12" s="124" t="s">
        <v>137</v>
      </c>
      <c r="F12" s="125"/>
      <c r="G12" s="39" t="s">
        <v>138</v>
      </c>
      <c r="I12" s="39" t="s">
        <v>56</v>
      </c>
      <c r="K12" s="90"/>
      <c r="L12" s="126"/>
      <c r="M12" s="8"/>
      <c r="N12" s="121"/>
      <c r="O12" s="8"/>
      <c r="P12" s="8"/>
      <c r="Q12" s="8"/>
      <c r="R12" s="121"/>
      <c r="S12" s="8"/>
      <c r="T12" s="121"/>
      <c r="U12" s="9"/>
      <c r="V12" s="110"/>
      <c r="W12" s="9"/>
      <c r="X12" s="110"/>
      <c r="Y12" s="127"/>
      <c r="Z12" s="112"/>
      <c r="AA12" s="36"/>
      <c r="AB12" s="36"/>
      <c r="AC12" s="111"/>
      <c r="AD12" s="112"/>
      <c r="AE12" s="37"/>
      <c r="AF12" s="97"/>
      <c r="AG12" s="14"/>
      <c r="AH12" s="14"/>
      <c r="AI12" s="14"/>
      <c r="AJ12" s="113"/>
      <c r="AK12" s="128"/>
      <c r="AM12" s="128"/>
      <c r="AO12" s="128"/>
      <c r="AQ12" s="129"/>
      <c r="AS12" s="130"/>
      <c r="AU12" s="131"/>
      <c r="AW12" s="131"/>
      <c r="AY12" s="131"/>
      <c r="AZ12" s="24"/>
      <c r="BB12" s="129"/>
      <c r="BD12" s="128"/>
    </row>
    <row r="13">
      <c r="A13" s="61" t="s">
        <v>139</v>
      </c>
      <c r="B13" s="62"/>
      <c r="C13" s="63"/>
      <c r="D13" s="63"/>
      <c r="E13" s="132">
        <f>(O14+P14+Q14+R14)/(O15+P15+Q15+R15)</f>
        <v>0.7625</v>
      </c>
      <c r="F13" s="88"/>
      <c r="G13" s="133"/>
      <c r="H13" s="66"/>
      <c r="I13" s="67"/>
      <c r="J13" s="67"/>
      <c r="K13" s="68"/>
      <c r="L13" s="69"/>
      <c r="M13" s="63" t="s">
        <v>64</v>
      </c>
      <c r="N13" s="70"/>
      <c r="O13" s="71" t="s">
        <v>65</v>
      </c>
      <c r="P13" s="72"/>
      <c r="Q13" s="72"/>
      <c r="R13" s="70"/>
      <c r="S13" s="71" t="s">
        <v>66</v>
      </c>
      <c r="T13" s="70"/>
      <c r="U13" s="71" t="s">
        <v>67</v>
      </c>
      <c r="V13" s="70"/>
      <c r="W13" s="71" t="s">
        <v>68</v>
      </c>
      <c r="X13" s="70"/>
      <c r="Y13" s="134" t="s">
        <v>116</v>
      </c>
      <c r="Z13" s="74" t="s">
        <v>140</v>
      </c>
      <c r="AA13" s="75" t="s">
        <v>31</v>
      </c>
      <c r="AB13" s="75" t="s">
        <v>141</v>
      </c>
      <c r="AC13" s="135" t="s">
        <v>142</v>
      </c>
      <c r="AD13" s="74" t="s">
        <v>143</v>
      </c>
      <c r="AE13" s="63" t="s">
        <v>75</v>
      </c>
      <c r="AF13" s="78" t="s">
        <v>144</v>
      </c>
      <c r="AG13" s="79" t="s">
        <v>32</v>
      </c>
      <c r="AH13" s="79">
        <v>270.0</v>
      </c>
      <c r="AI13" s="79" t="s">
        <v>145</v>
      </c>
      <c r="AJ13" s="80" t="str">
        <f>AJ7</f>
        <v>開</v>
      </c>
      <c r="AK13" s="81" t="s">
        <v>40</v>
      </c>
      <c r="AL13" s="82" t="str">
        <f>AL7</f>
        <v>休</v>
      </c>
      <c r="AM13" s="81" t="s">
        <v>42</v>
      </c>
      <c r="AN13" s="82" t="s">
        <v>4</v>
      </c>
      <c r="AO13" s="81" t="s">
        <v>44</v>
      </c>
      <c r="AP13" s="82" t="str">
        <f>AP7</f>
        <v>傷</v>
      </c>
      <c r="AQ13" s="81" t="s">
        <v>46</v>
      </c>
      <c r="AR13" s="82" t="s">
        <v>8</v>
      </c>
      <c r="AS13" s="81" t="s">
        <v>48</v>
      </c>
      <c r="AT13" s="82" t="str">
        <f>AT7</f>
        <v>景</v>
      </c>
      <c r="AU13" s="81" t="s">
        <v>50</v>
      </c>
      <c r="AV13" s="82" t="str">
        <f>AV7</f>
        <v>死</v>
      </c>
      <c r="AW13" s="81" t="s">
        <v>52</v>
      </c>
      <c r="AX13" s="82" t="str">
        <f>AX7</f>
        <v>驚</v>
      </c>
      <c r="AY13" s="81" t="s">
        <v>38</v>
      </c>
      <c r="AZ13" s="83"/>
      <c r="BA13" s="84"/>
      <c r="BB13" s="84"/>
      <c r="BC13" s="84"/>
    </row>
    <row r="14">
      <c r="A14" s="85">
        <f>A8+1</f>
        <v>2</v>
      </c>
      <c r="B14" s="86"/>
      <c r="C14" s="12" t="s">
        <v>146</v>
      </c>
      <c r="E14" s="136" t="s">
        <v>147</v>
      </c>
      <c r="G14" s="137" t="str">
        <f t="shared" ref="G14:G15" si="6">G8:H8</f>
        <v>戊</v>
      </c>
      <c r="I14" s="138" t="str">
        <f t="shared" ref="I14:I15" si="7">I8:J8</f>
        <v>乙</v>
      </c>
      <c r="K14" s="90">
        <f>L14/L15</f>
        <v>0.53</v>
      </c>
      <c r="L14" s="126">
        <f t="shared" ref="L14:L15" si="8">O14+P14+Q14+U14+V14+W14+X14+R14+M14+N14+S14+T14</f>
        <v>530</v>
      </c>
      <c r="M14" s="92">
        <v>0.0</v>
      </c>
      <c r="N14" s="93">
        <v>0.0</v>
      </c>
      <c r="O14" s="92">
        <v>55.0</v>
      </c>
      <c r="P14" s="92">
        <v>100.0</v>
      </c>
      <c r="Q14" s="92">
        <v>100.0</v>
      </c>
      <c r="R14" s="93">
        <v>50.0</v>
      </c>
      <c r="S14" s="92">
        <v>65.0</v>
      </c>
      <c r="T14" s="93">
        <v>55.0</v>
      </c>
      <c r="U14" s="92">
        <f t="shared" ref="U14:X14" si="5">U8</f>
        <v>60</v>
      </c>
      <c r="V14" s="93">
        <f t="shared" si="5"/>
        <v>0</v>
      </c>
      <c r="W14" s="92">
        <f t="shared" si="5"/>
        <v>35</v>
      </c>
      <c r="X14" s="93">
        <f t="shared" si="5"/>
        <v>10</v>
      </c>
      <c r="Y14" s="73" t="s">
        <v>126</v>
      </c>
      <c r="Z14" s="94" t="s">
        <v>70</v>
      </c>
      <c r="AA14" s="36"/>
      <c r="AB14" s="36"/>
      <c r="AC14" s="139" t="s">
        <v>148</v>
      </c>
      <c r="AD14" s="96" t="s">
        <v>149</v>
      </c>
      <c r="AE14" s="37"/>
      <c r="AF14" s="97"/>
      <c r="AG14" s="12" t="s">
        <v>97</v>
      </c>
      <c r="AH14" s="12">
        <v>330.0</v>
      </c>
      <c r="AI14" s="12" t="s">
        <v>150</v>
      </c>
      <c r="AJ14" s="98" t="s">
        <v>51</v>
      </c>
      <c r="AK14" s="101" t="s">
        <v>95</v>
      </c>
      <c r="AL14" s="100" t="s">
        <v>86</v>
      </c>
      <c r="AM14" s="99" t="s">
        <v>87</v>
      </c>
      <c r="AN14" s="100" t="s">
        <v>88</v>
      </c>
      <c r="AO14" s="101" t="s">
        <v>89</v>
      </c>
      <c r="AP14" s="100" t="s">
        <v>45</v>
      </c>
      <c r="AQ14" s="102" t="s">
        <v>90</v>
      </c>
      <c r="AR14" s="100" t="s">
        <v>43</v>
      </c>
      <c r="AS14" s="101" t="s">
        <v>91</v>
      </c>
      <c r="AT14" s="100" t="s">
        <v>41</v>
      </c>
      <c r="AU14" s="103" t="s">
        <v>92</v>
      </c>
      <c r="AV14" s="100" t="s">
        <v>39</v>
      </c>
      <c r="AW14" s="99" t="s">
        <v>93</v>
      </c>
      <c r="AX14" s="100" t="s">
        <v>37</v>
      </c>
      <c r="AY14" s="99" t="s">
        <v>94</v>
      </c>
      <c r="AZ14" s="24"/>
    </row>
    <row r="15">
      <c r="A15" s="85" t="str">
        <f t="shared" ref="A15:A17" si="9">A9</f>
        <v>มกราคม</v>
      </c>
      <c r="B15" s="86"/>
      <c r="C15" s="140" t="s">
        <v>151</v>
      </c>
      <c r="E15" s="107" t="s">
        <v>84</v>
      </c>
      <c r="G15" s="141" t="str">
        <f t="shared" si="6"/>
        <v>子</v>
      </c>
      <c r="I15" s="142" t="str">
        <f t="shared" si="7"/>
        <v>巳</v>
      </c>
      <c r="K15" s="36"/>
      <c r="L15" s="109">
        <f t="shared" si="8"/>
        <v>1000</v>
      </c>
      <c r="M15" s="9">
        <v>0.0</v>
      </c>
      <c r="N15" s="110">
        <v>0.0</v>
      </c>
      <c r="O15" s="9">
        <v>100.0</v>
      </c>
      <c r="P15" s="9">
        <v>100.0</v>
      </c>
      <c r="Q15" s="9">
        <v>100.0</v>
      </c>
      <c r="R15" s="110">
        <v>100.0</v>
      </c>
      <c r="S15" s="9">
        <v>100.0</v>
      </c>
      <c r="T15" s="110">
        <v>100.0</v>
      </c>
      <c r="U15" s="9">
        <v>100.0</v>
      </c>
      <c r="V15" s="110">
        <v>100.0</v>
      </c>
      <c r="W15" s="9">
        <v>100.0</v>
      </c>
      <c r="X15" s="110">
        <v>100.0</v>
      </c>
      <c r="Y15" s="73" t="s">
        <v>69</v>
      </c>
      <c r="Z15" s="94" t="s">
        <v>152</v>
      </c>
      <c r="AA15" s="36"/>
      <c r="AB15" s="36"/>
      <c r="AC15" s="111"/>
      <c r="AD15" s="112"/>
      <c r="AE15" s="37"/>
      <c r="AF15" s="97"/>
      <c r="AG15" s="14"/>
      <c r="AH15" s="14"/>
      <c r="AI15" s="14"/>
      <c r="AJ15" s="113"/>
      <c r="AK15" s="105" t="s">
        <v>107</v>
      </c>
      <c r="AM15" s="104" t="s">
        <v>100</v>
      </c>
      <c r="AO15" s="114" t="s">
        <v>101</v>
      </c>
      <c r="AQ15" s="105" t="s">
        <v>102</v>
      </c>
      <c r="AS15" s="105" t="s">
        <v>103</v>
      </c>
      <c r="AU15" s="104" t="s">
        <v>104</v>
      </c>
      <c r="AW15" s="104" t="s">
        <v>105</v>
      </c>
      <c r="AY15" s="104" t="s">
        <v>106</v>
      </c>
      <c r="AZ15" s="24"/>
    </row>
    <row r="16">
      <c r="A16" s="85">
        <f t="shared" si="9"/>
        <v>2569</v>
      </c>
      <c r="B16" s="86"/>
      <c r="E16" s="115" t="s">
        <v>110</v>
      </c>
      <c r="F16" s="116" t="s">
        <v>116</v>
      </c>
      <c r="G16" s="115" t="str">
        <f t="shared" ref="G16:J16" si="10">G10</f>
        <v>A11</v>
      </c>
      <c r="H16" s="9" t="str">
        <f t="shared" si="10"/>
        <v>B7</v>
      </c>
      <c r="I16" s="9" t="str">
        <f t="shared" si="10"/>
        <v>A2</v>
      </c>
      <c r="J16" s="9" t="str">
        <f t="shared" si="10"/>
        <v>B12</v>
      </c>
      <c r="K16" s="36"/>
      <c r="L16" s="117"/>
      <c r="M16" s="118" t="str">
        <f t="shared" ref="M16:P16" si="11">C16</f>
        <v/>
      </c>
      <c r="N16" s="119" t="str">
        <f t="shared" si="11"/>
        <v/>
      </c>
      <c r="O16" s="118" t="str">
        <f t="shared" si="11"/>
        <v>A11</v>
      </c>
      <c r="P16" s="118" t="str">
        <f t="shared" si="11"/>
        <v>B5</v>
      </c>
      <c r="Q16" s="118" t="str">
        <f t="shared" ref="Q16:R16" si="12">E17</f>
        <v>B5</v>
      </c>
      <c r="R16" s="119" t="str">
        <f t="shared" si="12"/>
        <v>C1</v>
      </c>
      <c r="S16" s="9" t="s">
        <v>110</v>
      </c>
      <c r="T16" s="110" t="s">
        <v>110</v>
      </c>
      <c r="U16" s="9" t="str">
        <f t="shared" ref="U16:W16" si="13">G16</f>
        <v>A11</v>
      </c>
      <c r="V16" s="119" t="str">
        <f t="shared" si="13"/>
        <v>B7</v>
      </c>
      <c r="W16" s="118" t="str">
        <f t="shared" si="13"/>
        <v>A2</v>
      </c>
      <c r="X16" s="120" t="str">
        <f>X10</f>
        <v>B12</v>
      </c>
      <c r="Y16" s="73" t="s">
        <v>80</v>
      </c>
      <c r="Z16" s="94" t="s">
        <v>153</v>
      </c>
      <c r="AA16" s="36"/>
      <c r="AB16" s="36"/>
      <c r="AC16" s="111"/>
      <c r="AD16" s="112"/>
      <c r="AE16" s="37"/>
      <c r="AF16" s="97"/>
      <c r="AG16" s="14"/>
      <c r="AH16" s="14"/>
      <c r="AI16" s="14"/>
      <c r="AJ16" s="113"/>
      <c r="AK16" s="105" t="s">
        <v>125</v>
      </c>
      <c r="AM16" s="104" t="s">
        <v>118</v>
      </c>
      <c r="AO16" s="114" t="s">
        <v>119</v>
      </c>
      <c r="AQ16" s="105" t="s">
        <v>120</v>
      </c>
      <c r="AS16" s="105" t="s">
        <v>121</v>
      </c>
      <c r="AU16" s="104" t="s">
        <v>122</v>
      </c>
      <c r="AW16" s="104" t="s">
        <v>123</v>
      </c>
      <c r="AY16" s="104" t="s">
        <v>124</v>
      </c>
      <c r="AZ16" s="24"/>
    </row>
    <row r="17">
      <c r="A17" s="85">
        <f t="shared" si="9"/>
        <v>2026</v>
      </c>
      <c r="B17" s="86"/>
      <c r="E17" s="115" t="s">
        <v>116</v>
      </c>
      <c r="F17" s="116" t="s">
        <v>154</v>
      </c>
      <c r="G17" s="115"/>
      <c r="H17" s="118"/>
      <c r="I17" s="118"/>
      <c r="J17" s="118"/>
      <c r="K17" s="36"/>
      <c r="L17" s="117"/>
      <c r="M17" s="8"/>
      <c r="N17" s="121"/>
      <c r="O17" s="8"/>
      <c r="P17" s="8"/>
      <c r="Q17" s="8"/>
      <c r="R17" s="121"/>
      <c r="S17" s="8"/>
      <c r="T17" s="121"/>
      <c r="U17" s="9"/>
      <c r="V17" s="110"/>
      <c r="W17" s="9"/>
      <c r="X17" s="110"/>
      <c r="Y17" s="73" t="s">
        <v>98</v>
      </c>
      <c r="Z17" s="94" t="s">
        <v>155</v>
      </c>
      <c r="AA17" s="36"/>
      <c r="AB17" s="36"/>
      <c r="AC17" s="111"/>
      <c r="AD17" s="112"/>
      <c r="AE17" s="37"/>
      <c r="AF17" s="97"/>
      <c r="AG17" s="14"/>
      <c r="AH17" s="14"/>
      <c r="AI17" s="14"/>
      <c r="AJ17" s="113"/>
      <c r="AK17" s="105" t="s">
        <v>136</v>
      </c>
      <c r="AM17" s="104" t="s">
        <v>129</v>
      </c>
      <c r="AO17" s="114" t="s">
        <v>130</v>
      </c>
      <c r="AQ17" s="105" t="s">
        <v>131</v>
      </c>
      <c r="AS17" s="105" t="s">
        <v>132</v>
      </c>
      <c r="AU17" s="104" t="s">
        <v>133</v>
      </c>
      <c r="AW17" s="104" t="s">
        <v>134</v>
      </c>
      <c r="AY17" s="104" t="s">
        <v>135</v>
      </c>
      <c r="AZ17" s="24"/>
    </row>
    <row r="18">
      <c r="A18" s="143" t="s">
        <v>156</v>
      </c>
      <c r="B18" s="144"/>
      <c r="C18" s="1"/>
      <c r="D18" s="123"/>
      <c r="E18" s="145" t="s">
        <v>157</v>
      </c>
      <c r="F18" s="88"/>
      <c r="G18" s="146" t="str">
        <f>G12:H12</f>
        <v>อสูรเดือน S</v>
      </c>
      <c r="H18" s="147"/>
      <c r="I18" s="148" t="str">
        <f>I12:J12</f>
        <v>อสูรปี E</v>
      </c>
      <c r="J18" s="147"/>
      <c r="K18" s="149"/>
      <c r="L18" s="150"/>
      <c r="M18" s="151"/>
      <c r="N18" s="152"/>
      <c r="O18" s="151"/>
      <c r="P18" s="151"/>
      <c r="Q18" s="151"/>
      <c r="R18" s="152"/>
      <c r="S18" s="8"/>
      <c r="T18" s="121"/>
      <c r="U18" s="153"/>
      <c r="V18" s="154"/>
      <c r="W18" s="153"/>
      <c r="X18" s="154"/>
      <c r="Y18" s="127"/>
      <c r="Z18" s="155"/>
      <c r="AA18" s="156"/>
      <c r="AB18" s="156"/>
      <c r="AC18" s="111"/>
      <c r="AD18" s="112"/>
      <c r="AE18" s="37"/>
      <c r="AF18" s="97"/>
      <c r="AG18" s="14"/>
      <c r="AH18" s="14"/>
      <c r="AI18" s="14"/>
      <c r="AJ18" s="157"/>
      <c r="AK18" s="158"/>
      <c r="AL18" s="158"/>
      <c r="AM18" s="158"/>
      <c r="AN18" s="158"/>
      <c r="AO18" s="158"/>
      <c r="AP18" s="158"/>
      <c r="AQ18" s="128"/>
      <c r="AR18" s="158"/>
      <c r="AS18" s="158"/>
      <c r="AT18" s="158"/>
      <c r="AU18" s="158"/>
      <c r="AV18" s="158"/>
      <c r="AW18" s="158"/>
      <c r="AX18" s="158"/>
      <c r="AY18" s="158"/>
      <c r="AZ18" s="159"/>
      <c r="BA18" s="158"/>
      <c r="BB18" s="158"/>
      <c r="BC18" s="158"/>
    </row>
    <row r="19">
      <c r="A19" s="61" t="s">
        <v>158</v>
      </c>
      <c r="B19" s="62"/>
      <c r="C19" s="63"/>
      <c r="D19" s="63"/>
      <c r="E19" s="64">
        <f>(O20+P20+Q20+R20)/(O21+P21+Q21+R21)</f>
        <v>0.525</v>
      </c>
      <c r="F19" s="65"/>
      <c r="G19" s="133"/>
      <c r="H19" s="66"/>
      <c r="I19" s="67"/>
      <c r="J19" s="67"/>
      <c r="K19" s="68"/>
      <c r="L19" s="69"/>
      <c r="M19" s="63" t="s">
        <v>64</v>
      </c>
      <c r="N19" s="70"/>
      <c r="O19" s="71" t="s">
        <v>65</v>
      </c>
      <c r="P19" s="72"/>
      <c r="Q19" s="72"/>
      <c r="R19" s="70"/>
      <c r="S19" s="71" t="s">
        <v>66</v>
      </c>
      <c r="T19" s="70"/>
      <c r="U19" s="71" t="s">
        <v>67</v>
      </c>
      <c r="V19" s="70"/>
      <c r="W19" s="71" t="s">
        <v>68</v>
      </c>
      <c r="X19" s="70"/>
      <c r="Y19" s="134" t="s">
        <v>116</v>
      </c>
      <c r="Z19" s="74" t="s">
        <v>159</v>
      </c>
      <c r="AA19" s="29" t="s">
        <v>32</v>
      </c>
      <c r="AB19" s="29" t="s">
        <v>33</v>
      </c>
      <c r="AC19" s="135" t="s">
        <v>142</v>
      </c>
      <c r="AD19" s="74" t="s">
        <v>143</v>
      </c>
      <c r="AE19" s="63" t="s">
        <v>75</v>
      </c>
      <c r="AF19" s="78" t="s">
        <v>36</v>
      </c>
      <c r="AG19" s="79" t="s">
        <v>97</v>
      </c>
      <c r="AH19" s="79">
        <v>330.0</v>
      </c>
      <c r="AI19" s="79" t="s">
        <v>150</v>
      </c>
      <c r="AJ19" s="80" t="str">
        <f>AJ13</f>
        <v>開</v>
      </c>
      <c r="AK19" s="81" t="s">
        <v>48</v>
      </c>
      <c r="AL19" s="82" t="str">
        <f>AL13</f>
        <v>休</v>
      </c>
      <c r="AM19" s="81" t="s">
        <v>50</v>
      </c>
      <c r="AN19" s="82" t="s">
        <v>4</v>
      </c>
      <c r="AO19" s="81" t="s">
        <v>52</v>
      </c>
      <c r="AP19" s="82" t="str">
        <f>AP13</f>
        <v>傷</v>
      </c>
      <c r="AQ19" s="81" t="s">
        <v>38</v>
      </c>
      <c r="AR19" s="82" t="s">
        <v>8</v>
      </c>
      <c r="AS19" s="81" t="s">
        <v>40</v>
      </c>
      <c r="AT19" s="82" t="str">
        <f>AT13</f>
        <v>景</v>
      </c>
      <c r="AU19" s="81" t="s">
        <v>42</v>
      </c>
      <c r="AV19" s="82" t="str">
        <f>AV13</f>
        <v>死</v>
      </c>
      <c r="AW19" s="81" t="s">
        <v>44</v>
      </c>
      <c r="AX19" s="82" t="str">
        <f>AX13</f>
        <v>驚</v>
      </c>
      <c r="AY19" s="81" t="s">
        <v>46</v>
      </c>
      <c r="AZ19" s="83"/>
      <c r="BA19" s="84"/>
      <c r="BB19" s="84"/>
      <c r="BC19" s="84"/>
    </row>
    <row r="20">
      <c r="A20" s="85">
        <f>A14+1</f>
        <v>3</v>
      </c>
      <c r="B20" s="86"/>
      <c r="C20" s="12" t="s">
        <v>160</v>
      </c>
      <c r="E20" s="160" t="s">
        <v>161</v>
      </c>
      <c r="F20" s="88"/>
      <c r="G20" s="137" t="str">
        <f t="shared" ref="G20:G21" si="15">G8:H8</f>
        <v>戊</v>
      </c>
      <c r="I20" s="138" t="str">
        <f t="shared" ref="I20:I21" si="16">I8:J8</f>
        <v>乙</v>
      </c>
      <c r="K20" s="90">
        <f>L20/L21</f>
        <v>0.385</v>
      </c>
      <c r="L20" s="126">
        <f t="shared" ref="L20:L21" si="17">O20+P20+Q20+U20+V20+W20+X20+R20+M20+N20+S20+T20</f>
        <v>385</v>
      </c>
      <c r="M20" s="92">
        <v>0.0</v>
      </c>
      <c r="N20" s="93">
        <v>0.0</v>
      </c>
      <c r="O20" s="92">
        <v>50.0</v>
      </c>
      <c r="P20" s="92">
        <v>90.0</v>
      </c>
      <c r="Q20" s="92">
        <v>40.0</v>
      </c>
      <c r="R20" s="93">
        <v>30.0</v>
      </c>
      <c r="S20" s="92">
        <v>70.0</v>
      </c>
      <c r="T20" s="93">
        <v>0.0</v>
      </c>
      <c r="U20" s="92">
        <f t="shared" ref="U20:X20" si="14">U8</f>
        <v>60</v>
      </c>
      <c r="V20" s="93">
        <f t="shared" si="14"/>
        <v>0</v>
      </c>
      <c r="W20" s="92">
        <f t="shared" si="14"/>
        <v>35</v>
      </c>
      <c r="X20" s="92">
        <f t="shared" si="14"/>
        <v>10</v>
      </c>
      <c r="Y20" s="73" t="s">
        <v>126</v>
      </c>
      <c r="Z20" s="94" t="s">
        <v>152</v>
      </c>
      <c r="AA20" s="36"/>
      <c r="AB20" s="36"/>
      <c r="AC20" s="139" t="s">
        <v>148</v>
      </c>
      <c r="AD20" s="96" t="s">
        <v>149</v>
      </c>
      <c r="AE20" s="37"/>
      <c r="AF20" s="97"/>
      <c r="AG20" s="12" t="s">
        <v>32</v>
      </c>
      <c r="AH20" s="12">
        <v>270.0</v>
      </c>
      <c r="AI20" s="12" t="s">
        <v>145</v>
      </c>
      <c r="AJ20" s="98" t="s">
        <v>43</v>
      </c>
      <c r="AK20" s="101" t="s">
        <v>91</v>
      </c>
      <c r="AL20" s="100" t="s">
        <v>41</v>
      </c>
      <c r="AM20" s="103" t="s">
        <v>92</v>
      </c>
      <c r="AN20" s="100" t="s">
        <v>39</v>
      </c>
      <c r="AO20" s="99" t="s">
        <v>93</v>
      </c>
      <c r="AP20" s="100" t="s">
        <v>37</v>
      </c>
      <c r="AQ20" s="99" t="s">
        <v>94</v>
      </c>
      <c r="AR20" s="100" t="s">
        <v>51</v>
      </c>
      <c r="AS20" s="101" t="s">
        <v>95</v>
      </c>
      <c r="AT20" s="100" t="s">
        <v>86</v>
      </c>
      <c r="AU20" s="99" t="s">
        <v>87</v>
      </c>
      <c r="AV20" s="100" t="s">
        <v>88</v>
      </c>
      <c r="AW20" s="101" t="s">
        <v>89</v>
      </c>
      <c r="AX20" s="100" t="s">
        <v>45</v>
      </c>
      <c r="AY20" s="102" t="s">
        <v>90</v>
      </c>
      <c r="AZ20" s="24"/>
    </row>
    <row r="21">
      <c r="A21" s="85" t="str">
        <f>A15</f>
        <v>มกราคม</v>
      </c>
      <c r="B21" s="86"/>
      <c r="C21" s="161" t="s">
        <v>162</v>
      </c>
      <c r="E21" s="162" t="s">
        <v>53</v>
      </c>
      <c r="F21" s="88"/>
      <c r="G21" s="141" t="str">
        <f t="shared" si="15"/>
        <v>子</v>
      </c>
      <c r="I21" s="142" t="str">
        <f t="shared" si="16"/>
        <v>巳</v>
      </c>
      <c r="K21" s="36"/>
      <c r="L21" s="109">
        <f t="shared" si="17"/>
        <v>1000</v>
      </c>
      <c r="M21" s="9">
        <v>0.0</v>
      </c>
      <c r="N21" s="110">
        <v>0.0</v>
      </c>
      <c r="O21" s="9">
        <v>100.0</v>
      </c>
      <c r="P21" s="9">
        <v>100.0</v>
      </c>
      <c r="Q21" s="9">
        <v>100.0</v>
      </c>
      <c r="R21" s="110">
        <v>100.0</v>
      </c>
      <c r="S21" s="9">
        <v>100.0</v>
      </c>
      <c r="T21" s="110">
        <v>100.0</v>
      </c>
      <c r="U21" s="9">
        <v>100.0</v>
      </c>
      <c r="V21" s="110">
        <v>100.0</v>
      </c>
      <c r="W21" s="9">
        <v>100.0</v>
      </c>
      <c r="X21" s="110">
        <v>100.0</v>
      </c>
      <c r="Y21" s="73" t="s">
        <v>69</v>
      </c>
      <c r="Z21" s="94" t="s">
        <v>163</v>
      </c>
      <c r="AA21" s="36"/>
      <c r="AB21" s="36"/>
      <c r="AC21" s="111"/>
      <c r="AD21" s="112"/>
      <c r="AE21" s="37"/>
      <c r="AF21" s="97"/>
      <c r="AG21" s="14"/>
      <c r="AH21" s="14"/>
      <c r="AI21" s="14"/>
      <c r="AJ21" s="113"/>
      <c r="AK21" s="105" t="s">
        <v>103</v>
      </c>
      <c r="AM21" s="104" t="s">
        <v>104</v>
      </c>
      <c r="AO21" s="104" t="s">
        <v>105</v>
      </c>
      <c r="AQ21" s="104" t="s">
        <v>106</v>
      </c>
      <c r="AS21" s="105" t="s">
        <v>107</v>
      </c>
      <c r="AU21" s="104" t="s">
        <v>100</v>
      </c>
      <c r="AW21" s="114" t="s">
        <v>101</v>
      </c>
      <c r="AY21" s="105" t="s">
        <v>102</v>
      </c>
      <c r="AZ21" s="24"/>
    </row>
    <row r="22">
      <c r="A22" s="85">
        <f>A10</f>
        <v>2569</v>
      </c>
      <c r="B22" s="86"/>
      <c r="E22" s="115" t="s">
        <v>164</v>
      </c>
      <c r="F22" s="116" t="s">
        <v>126</v>
      </c>
      <c r="G22" s="115" t="str">
        <f t="shared" ref="G22:J22" si="18">G10</f>
        <v>A11</v>
      </c>
      <c r="H22" s="9" t="str">
        <f t="shared" si="18"/>
        <v>B7</v>
      </c>
      <c r="I22" s="9" t="str">
        <f t="shared" si="18"/>
        <v>A2</v>
      </c>
      <c r="J22" s="9" t="str">
        <f t="shared" si="18"/>
        <v>B12</v>
      </c>
      <c r="K22" s="36"/>
      <c r="L22" s="117"/>
      <c r="M22" s="118" t="str">
        <f t="shared" ref="M22:P22" si="19">C22</f>
        <v/>
      </c>
      <c r="N22" s="119" t="str">
        <f t="shared" si="19"/>
        <v/>
      </c>
      <c r="O22" s="118" t="str">
        <f t="shared" si="19"/>
        <v>A9</v>
      </c>
      <c r="P22" s="118" t="str">
        <f t="shared" si="19"/>
        <v>B6</v>
      </c>
      <c r="Q22" s="118" t="str">
        <f t="shared" ref="Q22:R22" si="20">E23</f>
        <v>B4</v>
      </c>
      <c r="R22" s="119" t="str">
        <f t="shared" si="20"/>
        <v>C2</v>
      </c>
      <c r="S22" s="9" t="s">
        <v>165</v>
      </c>
      <c r="T22" s="110" t="s">
        <v>114</v>
      </c>
      <c r="U22" s="9" t="str">
        <f t="shared" ref="U22:X22" si="21">G22</f>
        <v>A11</v>
      </c>
      <c r="V22" s="119" t="str">
        <f t="shared" si="21"/>
        <v>B7</v>
      </c>
      <c r="W22" s="118" t="str">
        <f t="shared" si="21"/>
        <v>A2</v>
      </c>
      <c r="X22" s="120" t="str">
        <f t="shared" si="21"/>
        <v>B12</v>
      </c>
      <c r="Y22" s="73" t="s">
        <v>80</v>
      </c>
      <c r="Z22" s="94" t="s">
        <v>117</v>
      </c>
      <c r="AA22" s="36"/>
      <c r="AB22" s="36"/>
      <c r="AC22" s="111"/>
      <c r="AD22" s="112"/>
      <c r="AE22" s="37"/>
      <c r="AF22" s="97"/>
      <c r="AG22" s="14"/>
      <c r="AH22" s="14"/>
      <c r="AI22" s="14"/>
      <c r="AJ22" s="113"/>
      <c r="AK22" s="105" t="s">
        <v>121</v>
      </c>
      <c r="AM22" s="104" t="s">
        <v>122</v>
      </c>
      <c r="AO22" s="104" t="s">
        <v>123</v>
      </c>
      <c r="AQ22" s="104" t="s">
        <v>124</v>
      </c>
      <c r="AS22" s="105" t="s">
        <v>125</v>
      </c>
      <c r="AU22" s="104" t="s">
        <v>118</v>
      </c>
      <c r="AW22" s="114" t="s">
        <v>119</v>
      </c>
      <c r="AY22" s="105" t="s">
        <v>120</v>
      </c>
      <c r="AZ22" s="24"/>
    </row>
    <row r="23">
      <c r="A23" s="85">
        <f>A22-543</f>
        <v>2026</v>
      </c>
      <c r="B23" s="86"/>
      <c r="C23" s="163" t="s">
        <v>166</v>
      </c>
      <c r="E23" s="115" t="s">
        <v>109</v>
      </c>
      <c r="F23" s="116" t="s">
        <v>167</v>
      </c>
      <c r="G23" s="115"/>
      <c r="H23" s="118"/>
      <c r="I23" s="118"/>
      <c r="J23" s="118"/>
      <c r="K23" s="36"/>
      <c r="L23" s="117"/>
      <c r="M23" s="8"/>
      <c r="N23" s="121"/>
      <c r="O23" s="8"/>
      <c r="P23" s="8"/>
      <c r="Q23" s="8"/>
      <c r="R23" s="121"/>
      <c r="S23" s="8"/>
      <c r="T23" s="121"/>
      <c r="U23" s="9"/>
      <c r="V23" s="110"/>
      <c r="W23" s="9"/>
      <c r="X23" s="110"/>
      <c r="Y23" s="73" t="s">
        <v>98</v>
      </c>
      <c r="Z23" s="94" t="s">
        <v>128</v>
      </c>
      <c r="AA23" s="36"/>
      <c r="AB23" s="36"/>
      <c r="AC23" s="111"/>
      <c r="AD23" s="112"/>
      <c r="AE23" s="37"/>
      <c r="AF23" s="97"/>
      <c r="AG23" s="14"/>
      <c r="AH23" s="14"/>
      <c r="AI23" s="14"/>
      <c r="AJ23" s="113"/>
      <c r="AK23" s="105" t="s">
        <v>132</v>
      </c>
      <c r="AM23" s="104" t="s">
        <v>133</v>
      </c>
      <c r="AO23" s="104" t="s">
        <v>134</v>
      </c>
      <c r="AQ23" s="104" t="s">
        <v>135</v>
      </c>
      <c r="AS23" s="105" t="s">
        <v>136</v>
      </c>
      <c r="AU23" s="104" t="s">
        <v>129</v>
      </c>
      <c r="AW23" s="114" t="s">
        <v>130</v>
      </c>
      <c r="AY23" s="105" t="s">
        <v>131</v>
      </c>
      <c r="AZ23" s="24"/>
    </row>
    <row r="24">
      <c r="A24" s="122"/>
      <c r="B24" s="2"/>
      <c r="C24" s="1"/>
      <c r="D24" s="123"/>
      <c r="E24" s="164" t="s">
        <v>168</v>
      </c>
      <c r="F24" s="88"/>
      <c r="G24" s="165" t="str">
        <f>G12:H12</f>
        <v>อสูรเดือน S</v>
      </c>
      <c r="I24" s="166" t="str">
        <f>I12:J12</f>
        <v>อสูรปี E</v>
      </c>
      <c r="K24" s="90"/>
      <c r="L24" s="126"/>
      <c r="M24" s="8"/>
      <c r="N24" s="121"/>
      <c r="O24" s="8"/>
      <c r="P24" s="8"/>
      <c r="Q24" s="8"/>
      <c r="R24" s="121"/>
      <c r="S24" s="8"/>
      <c r="T24" s="121"/>
      <c r="U24" s="9"/>
      <c r="V24" s="110"/>
      <c r="W24" s="9"/>
      <c r="X24" s="110"/>
      <c r="Y24" s="111"/>
      <c r="Z24" s="112"/>
      <c r="AA24" s="36"/>
      <c r="AB24" s="36"/>
      <c r="AC24" s="111"/>
      <c r="AD24" s="112"/>
      <c r="AE24" s="37"/>
      <c r="AF24" s="97"/>
      <c r="AG24" s="14"/>
      <c r="AH24" s="14"/>
      <c r="AI24" s="14"/>
      <c r="AJ24" s="113"/>
      <c r="AQ24" s="128"/>
      <c r="AZ24" s="24"/>
    </row>
    <row r="25">
      <c r="A25" s="61" t="s">
        <v>169</v>
      </c>
      <c r="B25" s="62"/>
      <c r="C25" s="63"/>
      <c r="D25" s="63"/>
      <c r="E25" s="64">
        <f>(O26+P26+Q26+R26)/(O27+P27+Q27+R27)</f>
        <v>0.4375</v>
      </c>
      <c r="F25" s="65"/>
      <c r="G25" s="133"/>
      <c r="H25" s="66"/>
      <c r="I25" s="67"/>
      <c r="J25" s="67"/>
      <c r="K25" s="68"/>
      <c r="L25" s="69"/>
      <c r="M25" s="63" t="s">
        <v>64</v>
      </c>
      <c r="N25" s="70"/>
      <c r="O25" s="71" t="s">
        <v>65</v>
      </c>
      <c r="P25" s="72"/>
      <c r="Q25" s="72"/>
      <c r="R25" s="70"/>
      <c r="S25" s="71" t="s">
        <v>66</v>
      </c>
      <c r="T25" s="70"/>
      <c r="U25" s="71" t="s">
        <v>67</v>
      </c>
      <c r="V25" s="70"/>
      <c r="W25" s="71" t="s">
        <v>68</v>
      </c>
      <c r="X25" s="70"/>
      <c r="Y25" s="134" t="s">
        <v>80</v>
      </c>
      <c r="Z25" s="74" t="s">
        <v>170</v>
      </c>
      <c r="AA25" s="75" t="s">
        <v>171</v>
      </c>
      <c r="AB25" s="75" t="s">
        <v>172</v>
      </c>
      <c r="AC25" s="167" t="s">
        <v>173</v>
      </c>
      <c r="AD25" s="74" t="s">
        <v>174</v>
      </c>
      <c r="AE25" s="63" t="s">
        <v>34</v>
      </c>
      <c r="AF25" s="78" t="s">
        <v>34</v>
      </c>
      <c r="AG25" s="79" t="s">
        <v>71</v>
      </c>
      <c r="AH25" s="79">
        <v>210.0</v>
      </c>
      <c r="AI25" s="79" t="s">
        <v>175</v>
      </c>
      <c r="AJ25" s="80" t="str">
        <f>AJ19</f>
        <v>開</v>
      </c>
      <c r="AK25" s="81" t="s">
        <v>52</v>
      </c>
      <c r="AL25" s="82" t="str">
        <f>AL19</f>
        <v>休</v>
      </c>
      <c r="AM25" s="81" t="s">
        <v>38</v>
      </c>
      <c r="AN25" s="82" t="s">
        <v>4</v>
      </c>
      <c r="AO25" s="81" t="s">
        <v>40</v>
      </c>
      <c r="AP25" s="82" t="str">
        <f>AP19</f>
        <v>傷</v>
      </c>
      <c r="AQ25" s="81" t="s">
        <v>42</v>
      </c>
      <c r="AR25" s="82" t="str">
        <f>AR19</f>
        <v>杜</v>
      </c>
      <c r="AS25" s="81" t="s">
        <v>44</v>
      </c>
      <c r="AT25" s="82" t="str">
        <f>AT19</f>
        <v>景</v>
      </c>
      <c r="AU25" s="81" t="s">
        <v>46</v>
      </c>
      <c r="AV25" s="82" t="str">
        <f>AV19</f>
        <v>死</v>
      </c>
      <c r="AW25" s="81" t="s">
        <v>48</v>
      </c>
      <c r="AX25" s="82" t="str">
        <f>AX19</f>
        <v>驚</v>
      </c>
      <c r="AY25" s="81" t="s">
        <v>50</v>
      </c>
      <c r="AZ25" s="83"/>
      <c r="BA25" s="84"/>
      <c r="BB25" s="84"/>
      <c r="BC25" s="84"/>
    </row>
    <row r="26">
      <c r="A26" s="85">
        <f>A20+1</f>
        <v>4</v>
      </c>
      <c r="B26" s="86"/>
      <c r="C26" s="12" t="s">
        <v>176</v>
      </c>
      <c r="E26" s="168" t="s">
        <v>79</v>
      </c>
      <c r="G26" s="137" t="str">
        <f t="shared" ref="G26:G27" si="23">G8:H8</f>
        <v>戊</v>
      </c>
      <c r="I26" s="138" t="str">
        <f t="shared" ref="I26:I27" si="24">I8:J8</f>
        <v>乙</v>
      </c>
      <c r="K26" s="90">
        <f>L26/L27</f>
        <v>0.42</v>
      </c>
      <c r="L26" s="126">
        <f t="shared" ref="L26:L27" si="25">O26+P26+Q26+U26+V26+W26+X26+R26+M26+N26+S26+T26</f>
        <v>420</v>
      </c>
      <c r="M26" s="92">
        <v>0.0</v>
      </c>
      <c r="N26" s="93">
        <v>0.0</v>
      </c>
      <c r="O26" s="92">
        <v>75.0</v>
      </c>
      <c r="P26" s="92">
        <v>0.0</v>
      </c>
      <c r="Q26" s="92">
        <v>20.0</v>
      </c>
      <c r="R26" s="93">
        <v>80.0</v>
      </c>
      <c r="S26" s="92">
        <v>75.0</v>
      </c>
      <c r="T26" s="93">
        <v>65.0</v>
      </c>
      <c r="U26" s="92">
        <f t="shared" ref="U26:X26" si="22">U8</f>
        <v>60</v>
      </c>
      <c r="V26" s="93">
        <f t="shared" si="22"/>
        <v>0</v>
      </c>
      <c r="W26" s="92">
        <f t="shared" si="22"/>
        <v>35</v>
      </c>
      <c r="X26" s="93">
        <f t="shared" si="22"/>
        <v>10</v>
      </c>
      <c r="Y26" s="73" t="s">
        <v>98</v>
      </c>
      <c r="Z26" s="94" t="s">
        <v>70</v>
      </c>
      <c r="AA26" s="36"/>
      <c r="AB26" s="169" t="s">
        <v>177</v>
      </c>
      <c r="AC26" s="170" t="s">
        <v>73</v>
      </c>
      <c r="AD26" s="94" t="s">
        <v>74</v>
      </c>
      <c r="AE26" s="37"/>
      <c r="AF26" s="97"/>
      <c r="AG26" s="12" t="s">
        <v>53</v>
      </c>
      <c r="AH26" s="12">
        <v>30.0</v>
      </c>
      <c r="AI26" s="12" t="s">
        <v>178</v>
      </c>
      <c r="AJ26" s="98" t="s">
        <v>43</v>
      </c>
      <c r="AK26" s="101" t="s">
        <v>91</v>
      </c>
      <c r="AL26" s="100" t="s">
        <v>41</v>
      </c>
      <c r="AM26" s="103" t="s">
        <v>92</v>
      </c>
      <c r="AN26" s="100" t="s">
        <v>39</v>
      </c>
      <c r="AO26" s="99" t="s">
        <v>93</v>
      </c>
      <c r="AP26" s="100" t="s">
        <v>37</v>
      </c>
      <c r="AQ26" s="99" t="s">
        <v>94</v>
      </c>
      <c r="AR26" s="100" t="s">
        <v>51</v>
      </c>
      <c r="AS26" s="101" t="s">
        <v>95</v>
      </c>
      <c r="AT26" s="100" t="s">
        <v>86</v>
      </c>
      <c r="AU26" s="99" t="s">
        <v>87</v>
      </c>
      <c r="AV26" s="100" t="s">
        <v>88</v>
      </c>
      <c r="AW26" s="101" t="s">
        <v>89</v>
      </c>
      <c r="AX26" s="100" t="s">
        <v>45</v>
      </c>
      <c r="AY26" s="102" t="s">
        <v>90</v>
      </c>
      <c r="AZ26" s="24"/>
    </row>
    <row r="27">
      <c r="A27" s="85" t="str">
        <f>A15</f>
        <v>มกราคม</v>
      </c>
      <c r="B27" s="86"/>
      <c r="C27" s="106" t="s">
        <v>179</v>
      </c>
      <c r="E27" s="171" t="s">
        <v>180</v>
      </c>
      <c r="G27" s="141" t="str">
        <f t="shared" si="23"/>
        <v>子</v>
      </c>
      <c r="I27" s="142" t="str">
        <f t="shared" si="24"/>
        <v>巳</v>
      </c>
      <c r="K27" s="36"/>
      <c r="L27" s="109">
        <f t="shared" si="25"/>
        <v>1000</v>
      </c>
      <c r="M27" s="9">
        <v>0.0</v>
      </c>
      <c r="N27" s="110">
        <v>0.0</v>
      </c>
      <c r="O27" s="9">
        <v>100.0</v>
      </c>
      <c r="P27" s="9">
        <v>100.0</v>
      </c>
      <c r="Q27" s="9">
        <v>100.0</v>
      </c>
      <c r="R27" s="110">
        <v>100.0</v>
      </c>
      <c r="S27" s="9">
        <v>100.0</v>
      </c>
      <c r="T27" s="110">
        <v>100.0</v>
      </c>
      <c r="U27" s="9">
        <v>100.0</v>
      </c>
      <c r="V27" s="110">
        <v>100.0</v>
      </c>
      <c r="W27" s="9">
        <v>100.0</v>
      </c>
      <c r="X27" s="110">
        <v>100.0</v>
      </c>
      <c r="Y27" s="73" t="s">
        <v>116</v>
      </c>
      <c r="Z27" s="94" t="s">
        <v>181</v>
      </c>
      <c r="AA27" s="36"/>
      <c r="AB27" s="36"/>
      <c r="AC27" s="111"/>
      <c r="AD27" s="112"/>
      <c r="AE27" s="37"/>
      <c r="AF27" s="97"/>
      <c r="AG27" s="14"/>
      <c r="AH27" s="14"/>
      <c r="AI27" s="14"/>
      <c r="AJ27" s="113"/>
      <c r="AK27" s="105" t="s">
        <v>103</v>
      </c>
      <c r="AM27" s="104" t="s">
        <v>104</v>
      </c>
      <c r="AO27" s="104" t="s">
        <v>105</v>
      </c>
      <c r="AQ27" s="104" t="s">
        <v>106</v>
      </c>
      <c r="AS27" s="105" t="s">
        <v>107</v>
      </c>
      <c r="AU27" s="104" t="s">
        <v>100</v>
      </c>
      <c r="AW27" s="114" t="s">
        <v>101</v>
      </c>
      <c r="AY27" s="105" t="s">
        <v>102</v>
      </c>
      <c r="AZ27" s="24"/>
    </row>
    <row r="28">
      <c r="A28" s="85">
        <f>A10</f>
        <v>2569</v>
      </c>
      <c r="B28" s="86"/>
      <c r="E28" s="115" t="s">
        <v>182</v>
      </c>
      <c r="F28" s="116" t="s">
        <v>111</v>
      </c>
      <c r="G28" s="115" t="str">
        <f t="shared" ref="G28:J28" si="26">G10</f>
        <v>A11</v>
      </c>
      <c r="H28" s="9" t="str">
        <f t="shared" si="26"/>
        <v>B7</v>
      </c>
      <c r="I28" s="9" t="str">
        <f t="shared" si="26"/>
        <v>A2</v>
      </c>
      <c r="J28" s="9" t="str">
        <f t="shared" si="26"/>
        <v>B12</v>
      </c>
      <c r="K28" s="36"/>
      <c r="L28" s="117"/>
      <c r="M28" s="118" t="str">
        <f t="shared" ref="M28:P28" si="27">C28</f>
        <v/>
      </c>
      <c r="N28" s="119" t="str">
        <f t="shared" si="27"/>
        <v/>
      </c>
      <c r="O28" s="118" t="str">
        <f t="shared" si="27"/>
        <v>A1</v>
      </c>
      <c r="P28" s="118" t="str">
        <f t="shared" si="27"/>
        <v>B7</v>
      </c>
      <c r="Q28" s="118" t="str">
        <f t="shared" ref="Q28:R28" si="28">E29</f>
        <v>B3</v>
      </c>
      <c r="R28" s="119" t="str">
        <f t="shared" si="28"/>
        <v>C3</v>
      </c>
      <c r="S28" s="9" t="s">
        <v>182</v>
      </c>
      <c r="T28" s="110" t="s">
        <v>110</v>
      </c>
      <c r="U28" s="9" t="str">
        <f t="shared" ref="U28:X28" si="29">G28</f>
        <v>A11</v>
      </c>
      <c r="V28" s="119" t="str">
        <f t="shared" si="29"/>
        <v>B7</v>
      </c>
      <c r="W28" s="118" t="str">
        <f t="shared" si="29"/>
        <v>A2</v>
      </c>
      <c r="X28" s="120" t="str">
        <f t="shared" si="29"/>
        <v>B12</v>
      </c>
      <c r="Y28" s="73" t="s">
        <v>126</v>
      </c>
      <c r="Z28" s="94" t="s">
        <v>163</v>
      </c>
      <c r="AA28" s="36"/>
      <c r="AB28" s="36"/>
      <c r="AC28" s="111"/>
      <c r="AD28" s="112"/>
      <c r="AE28" s="37"/>
      <c r="AF28" s="97"/>
      <c r="AG28" s="14"/>
      <c r="AH28" s="14"/>
      <c r="AI28" s="14"/>
      <c r="AJ28" s="113"/>
      <c r="AK28" s="105" t="s">
        <v>121</v>
      </c>
      <c r="AM28" s="104" t="s">
        <v>122</v>
      </c>
      <c r="AO28" s="104" t="s">
        <v>123</v>
      </c>
      <c r="AQ28" s="104" t="s">
        <v>124</v>
      </c>
      <c r="AS28" s="105" t="s">
        <v>125</v>
      </c>
      <c r="AU28" s="104" t="s">
        <v>118</v>
      </c>
      <c r="AW28" s="114" t="s">
        <v>119</v>
      </c>
      <c r="AY28" s="105" t="s">
        <v>120</v>
      </c>
      <c r="AZ28" s="24"/>
    </row>
    <row r="29">
      <c r="A29" s="85">
        <f>A28-543</f>
        <v>2026</v>
      </c>
      <c r="B29" s="86"/>
      <c r="E29" s="115" t="s">
        <v>183</v>
      </c>
      <c r="F29" s="116" t="s">
        <v>184</v>
      </c>
      <c r="G29" s="115"/>
      <c r="H29" s="118"/>
      <c r="I29" s="118"/>
      <c r="J29" s="118"/>
      <c r="K29" s="36"/>
      <c r="L29" s="117"/>
      <c r="M29" s="8"/>
      <c r="N29" s="121"/>
      <c r="O29" s="8"/>
      <c r="P29" s="8"/>
      <c r="Q29" s="8"/>
      <c r="R29" s="121"/>
      <c r="S29" s="8"/>
      <c r="T29" s="121"/>
      <c r="U29" s="9"/>
      <c r="V29" s="110"/>
      <c r="W29" s="9"/>
      <c r="X29" s="110"/>
      <c r="Y29" s="73" t="s">
        <v>69</v>
      </c>
      <c r="Z29" s="94" t="s">
        <v>99</v>
      </c>
      <c r="AA29" s="36"/>
      <c r="AB29" s="36"/>
      <c r="AC29" s="111"/>
      <c r="AD29" s="112"/>
      <c r="AE29" s="37"/>
      <c r="AF29" s="97"/>
      <c r="AG29" s="14"/>
      <c r="AH29" s="14"/>
      <c r="AI29" s="14"/>
      <c r="AJ29" s="113"/>
      <c r="AK29" s="105" t="s">
        <v>132</v>
      </c>
      <c r="AM29" s="104" t="s">
        <v>133</v>
      </c>
      <c r="AO29" s="104" t="s">
        <v>134</v>
      </c>
      <c r="AQ29" s="104" t="s">
        <v>135</v>
      </c>
      <c r="AS29" s="105" t="s">
        <v>136</v>
      </c>
      <c r="AU29" s="104" t="s">
        <v>129</v>
      </c>
      <c r="AW29" s="114" t="s">
        <v>130</v>
      </c>
      <c r="AY29" s="105" t="s">
        <v>131</v>
      </c>
      <c r="AZ29" s="24"/>
    </row>
    <row r="30">
      <c r="A30" s="172"/>
      <c r="B30" s="144"/>
      <c r="C30" s="1"/>
      <c r="D30" s="123"/>
      <c r="E30" s="164" t="s">
        <v>185</v>
      </c>
      <c r="F30" s="88"/>
      <c r="G30" s="173" t="str">
        <f>G12:H12</f>
        <v>อสูรเดือน S</v>
      </c>
      <c r="H30" s="147"/>
      <c r="I30" s="174" t="str">
        <f>I12:J12</f>
        <v>อสูรปี E</v>
      </c>
      <c r="J30" s="147"/>
      <c r="K30" s="149"/>
      <c r="L30" s="150"/>
      <c r="M30" s="151"/>
      <c r="N30" s="152"/>
      <c r="O30" s="151"/>
      <c r="P30" s="151"/>
      <c r="Q30" s="151"/>
      <c r="R30" s="152"/>
      <c r="S30" s="151"/>
      <c r="T30" s="152"/>
      <c r="U30" s="153"/>
      <c r="V30" s="154"/>
      <c r="W30" s="153"/>
      <c r="X30" s="154"/>
      <c r="Y30" s="127"/>
      <c r="Z30" s="155"/>
      <c r="AA30" s="36"/>
      <c r="AB30" s="36"/>
      <c r="AC30" s="111"/>
      <c r="AD30" s="112"/>
      <c r="AE30" s="37"/>
      <c r="AF30" s="97"/>
      <c r="AG30" s="14"/>
      <c r="AH30" s="14"/>
      <c r="AI30" s="14"/>
      <c r="AJ30" s="113"/>
      <c r="AO30" s="128"/>
      <c r="AZ30" s="24"/>
    </row>
    <row r="31">
      <c r="A31" s="61" t="s">
        <v>186</v>
      </c>
      <c r="B31" s="62"/>
      <c r="C31" s="63"/>
      <c r="D31" s="63"/>
      <c r="E31" s="64">
        <f>(O32+P32+Q32+R32)/(O33+P33+Q33+R33)</f>
        <v>0.5875</v>
      </c>
      <c r="F31" s="65"/>
      <c r="G31" s="133"/>
      <c r="H31" s="66"/>
      <c r="I31" s="67"/>
      <c r="J31" s="67"/>
      <c r="K31" s="68"/>
      <c r="L31" s="69"/>
      <c r="M31" s="63" t="s">
        <v>64</v>
      </c>
      <c r="N31" s="70"/>
      <c r="O31" s="71" t="s">
        <v>65</v>
      </c>
      <c r="P31" s="72"/>
      <c r="Q31" s="72"/>
      <c r="R31" s="70"/>
      <c r="S31" s="71" t="s">
        <v>66</v>
      </c>
      <c r="T31" s="70"/>
      <c r="U31" s="71" t="s">
        <v>67</v>
      </c>
      <c r="V31" s="70"/>
      <c r="W31" s="71" t="s">
        <v>68</v>
      </c>
      <c r="X31" s="70"/>
      <c r="Y31" s="134" t="s">
        <v>80</v>
      </c>
      <c r="Z31" s="74" t="s">
        <v>170</v>
      </c>
      <c r="AA31" s="75" t="s">
        <v>171</v>
      </c>
      <c r="AB31" s="75" t="s">
        <v>172</v>
      </c>
      <c r="AC31" s="167" t="s">
        <v>173</v>
      </c>
      <c r="AD31" s="74" t="s">
        <v>174</v>
      </c>
      <c r="AE31" s="63" t="s">
        <v>34</v>
      </c>
      <c r="AF31" s="78" t="s">
        <v>75</v>
      </c>
      <c r="AG31" s="79" t="s">
        <v>84</v>
      </c>
      <c r="AH31" s="79">
        <v>0.0</v>
      </c>
      <c r="AI31" s="79" t="s">
        <v>85</v>
      </c>
      <c r="AJ31" s="80" t="str">
        <f>AJ25</f>
        <v>開</v>
      </c>
      <c r="AK31" s="81" t="s">
        <v>42</v>
      </c>
      <c r="AL31" s="82" t="str">
        <f>AL25</f>
        <v>休</v>
      </c>
      <c r="AM31" s="81" t="s">
        <v>44</v>
      </c>
      <c r="AN31" s="82" t="s">
        <v>4</v>
      </c>
      <c r="AO31" s="81" t="s">
        <v>46</v>
      </c>
      <c r="AP31" s="82" t="str">
        <f>AP25</f>
        <v>傷</v>
      </c>
      <c r="AQ31" s="81" t="s">
        <v>48</v>
      </c>
      <c r="AR31" s="82" t="s">
        <v>8</v>
      </c>
      <c r="AS31" s="81" t="s">
        <v>50</v>
      </c>
      <c r="AT31" s="82" t="str">
        <f>AT25</f>
        <v>景</v>
      </c>
      <c r="AU31" s="81" t="s">
        <v>52</v>
      </c>
      <c r="AV31" s="82" t="str">
        <f>AV25</f>
        <v>死</v>
      </c>
      <c r="AW31" s="81" t="s">
        <v>38</v>
      </c>
      <c r="AX31" s="82" t="str">
        <f>AX25</f>
        <v>驚</v>
      </c>
      <c r="AY31" s="81" t="s">
        <v>40</v>
      </c>
      <c r="AZ31" s="83"/>
      <c r="BA31" s="84"/>
      <c r="BB31" s="84"/>
      <c r="BC31" s="84"/>
    </row>
    <row r="32">
      <c r="A32" s="85">
        <f>A26+1</f>
        <v>5</v>
      </c>
      <c r="B32" s="86"/>
      <c r="C32" s="12" t="s">
        <v>187</v>
      </c>
      <c r="E32" s="168" t="s">
        <v>30</v>
      </c>
      <c r="F32" s="88"/>
      <c r="G32" s="137" t="str">
        <f t="shared" ref="G32:G33" si="31">G14:H14</f>
        <v>戊</v>
      </c>
      <c r="I32" s="138" t="str">
        <f t="shared" ref="I32:I33" si="32">I14:J14</f>
        <v>乙</v>
      </c>
      <c r="K32" s="90">
        <f>L32/L33</f>
        <v>0.37</v>
      </c>
      <c r="L32" s="126">
        <f t="shared" ref="L32:L33" si="33">O32+P32+Q32+U32+V32+W32+X32+R32+M32+N32+S32+T32</f>
        <v>370</v>
      </c>
      <c r="M32" s="92">
        <v>0.0</v>
      </c>
      <c r="N32" s="93">
        <v>0.0</v>
      </c>
      <c r="O32" s="92">
        <v>15.0</v>
      </c>
      <c r="P32" s="92">
        <v>90.0</v>
      </c>
      <c r="Q32" s="92">
        <v>80.0</v>
      </c>
      <c r="R32" s="93">
        <v>50.0</v>
      </c>
      <c r="S32" s="92">
        <v>30.0</v>
      </c>
      <c r="T32" s="93">
        <v>0.0</v>
      </c>
      <c r="U32" s="92">
        <f t="shared" ref="U32:X32" si="30">U14</f>
        <v>60</v>
      </c>
      <c r="V32" s="93">
        <f t="shared" si="30"/>
        <v>0</v>
      </c>
      <c r="W32" s="92">
        <f t="shared" si="30"/>
        <v>35</v>
      </c>
      <c r="X32" s="93">
        <f t="shared" si="30"/>
        <v>10</v>
      </c>
      <c r="Y32" s="73" t="s">
        <v>98</v>
      </c>
      <c r="Z32" s="94" t="s">
        <v>70</v>
      </c>
      <c r="AA32" s="36"/>
      <c r="AB32" s="169" t="s">
        <v>177</v>
      </c>
      <c r="AC32" s="170" t="s">
        <v>73</v>
      </c>
      <c r="AD32" s="94" t="s">
        <v>74</v>
      </c>
      <c r="AE32" s="37"/>
      <c r="AF32" s="97"/>
      <c r="AG32" s="12" t="s">
        <v>76</v>
      </c>
      <c r="AH32" s="12">
        <v>240.0</v>
      </c>
      <c r="AI32" s="12" t="s">
        <v>77</v>
      </c>
      <c r="AJ32" s="98" t="s">
        <v>41</v>
      </c>
      <c r="AK32" s="103" t="s">
        <v>92</v>
      </c>
      <c r="AL32" s="100" t="s">
        <v>39</v>
      </c>
      <c r="AM32" s="99" t="s">
        <v>93</v>
      </c>
      <c r="AN32" s="100" t="s">
        <v>37</v>
      </c>
      <c r="AO32" s="99" t="s">
        <v>94</v>
      </c>
      <c r="AP32" s="100" t="s">
        <v>51</v>
      </c>
      <c r="AQ32" s="101" t="s">
        <v>95</v>
      </c>
      <c r="AR32" s="100" t="s">
        <v>86</v>
      </c>
      <c r="AS32" s="99" t="s">
        <v>87</v>
      </c>
      <c r="AT32" s="100" t="s">
        <v>88</v>
      </c>
      <c r="AU32" s="101" t="s">
        <v>89</v>
      </c>
      <c r="AV32" s="100" t="s">
        <v>45</v>
      </c>
      <c r="AW32" s="102" t="s">
        <v>90</v>
      </c>
      <c r="AX32" s="100" t="s">
        <v>43</v>
      </c>
      <c r="AY32" s="101" t="s">
        <v>91</v>
      </c>
      <c r="AZ32" s="24"/>
    </row>
    <row r="33">
      <c r="A33" s="85" t="str">
        <f>A21</f>
        <v>มกราคม</v>
      </c>
      <c r="B33" s="86"/>
      <c r="C33" s="175" t="s">
        <v>188</v>
      </c>
      <c r="E33" s="171" t="s">
        <v>189</v>
      </c>
      <c r="F33" s="88"/>
      <c r="G33" s="141" t="str">
        <f t="shared" si="31"/>
        <v>子</v>
      </c>
      <c r="I33" s="142" t="str">
        <f t="shared" si="32"/>
        <v>巳</v>
      </c>
      <c r="K33" s="36"/>
      <c r="L33" s="109">
        <f t="shared" si="33"/>
        <v>1000</v>
      </c>
      <c r="M33" s="9">
        <v>0.0</v>
      </c>
      <c r="N33" s="110">
        <v>0.0</v>
      </c>
      <c r="O33" s="9">
        <v>100.0</v>
      </c>
      <c r="P33" s="9">
        <v>100.0</v>
      </c>
      <c r="Q33" s="9">
        <v>100.0</v>
      </c>
      <c r="R33" s="110">
        <v>100.0</v>
      </c>
      <c r="S33" s="9">
        <v>100.0</v>
      </c>
      <c r="T33" s="110">
        <v>100.0</v>
      </c>
      <c r="U33" s="9">
        <v>100.0</v>
      </c>
      <c r="V33" s="110">
        <v>100.0</v>
      </c>
      <c r="W33" s="9">
        <v>100.0</v>
      </c>
      <c r="X33" s="110">
        <v>100.0</v>
      </c>
      <c r="Y33" s="73" t="s">
        <v>116</v>
      </c>
      <c r="Z33" s="94" t="s">
        <v>181</v>
      </c>
      <c r="AA33" s="36"/>
      <c r="AB33" s="36"/>
      <c r="AC33" s="111"/>
      <c r="AD33" s="112"/>
      <c r="AE33" s="37"/>
      <c r="AF33" s="97"/>
      <c r="AG33" s="14"/>
      <c r="AH33" s="14"/>
      <c r="AI33" s="14"/>
      <c r="AJ33" s="113"/>
      <c r="AK33" s="104" t="s">
        <v>104</v>
      </c>
      <c r="AM33" s="104" t="s">
        <v>105</v>
      </c>
      <c r="AO33" s="104" t="s">
        <v>106</v>
      </c>
      <c r="AQ33" s="105" t="s">
        <v>107</v>
      </c>
      <c r="AS33" s="104" t="s">
        <v>100</v>
      </c>
      <c r="AU33" s="114" t="s">
        <v>101</v>
      </c>
      <c r="AW33" s="105" t="s">
        <v>102</v>
      </c>
      <c r="AY33" s="105" t="s">
        <v>103</v>
      </c>
      <c r="AZ33" s="24"/>
    </row>
    <row r="34">
      <c r="A34" s="85">
        <f>A16</f>
        <v>2569</v>
      </c>
      <c r="B34" s="86"/>
      <c r="E34" s="115" t="s">
        <v>115</v>
      </c>
      <c r="F34" s="116" t="s">
        <v>69</v>
      </c>
      <c r="G34" s="115" t="str">
        <f t="shared" ref="G34:J34" si="34">G16</f>
        <v>A11</v>
      </c>
      <c r="H34" s="9" t="str">
        <f t="shared" si="34"/>
        <v>B7</v>
      </c>
      <c r="I34" s="9" t="str">
        <f t="shared" si="34"/>
        <v>A2</v>
      </c>
      <c r="J34" s="9" t="str">
        <f t="shared" si="34"/>
        <v>B12</v>
      </c>
      <c r="K34" s="36"/>
      <c r="L34" s="117"/>
      <c r="M34" s="118" t="str">
        <f t="shared" ref="M34:P34" si="35">C34</f>
        <v/>
      </c>
      <c r="N34" s="119" t="str">
        <f t="shared" si="35"/>
        <v/>
      </c>
      <c r="O34" s="118" t="str">
        <f t="shared" si="35"/>
        <v>A7</v>
      </c>
      <c r="P34" s="118" t="str">
        <f t="shared" si="35"/>
        <v>B8</v>
      </c>
      <c r="Q34" s="118" t="str">
        <f t="shared" ref="Q34:R34" si="36">E35</f>
        <v>B2</v>
      </c>
      <c r="R34" s="119" t="str">
        <f t="shared" si="36"/>
        <v>C4</v>
      </c>
      <c r="S34" s="9" t="s">
        <v>112</v>
      </c>
      <c r="T34" s="110" t="s">
        <v>114</v>
      </c>
      <c r="U34" s="9" t="str">
        <f t="shared" ref="U34:X34" si="37">G34</f>
        <v>A11</v>
      </c>
      <c r="V34" s="119" t="str">
        <f t="shared" si="37"/>
        <v>B7</v>
      </c>
      <c r="W34" s="118" t="str">
        <f t="shared" si="37"/>
        <v>A2</v>
      </c>
      <c r="X34" s="120" t="str">
        <f t="shared" si="37"/>
        <v>B12</v>
      </c>
      <c r="Y34" s="73" t="s">
        <v>126</v>
      </c>
      <c r="Z34" s="94" t="s">
        <v>163</v>
      </c>
      <c r="AA34" s="36"/>
      <c r="AB34" s="36"/>
      <c r="AC34" s="111"/>
      <c r="AD34" s="112"/>
      <c r="AE34" s="37"/>
      <c r="AF34" s="97"/>
      <c r="AG34" s="14"/>
      <c r="AH34" s="14"/>
      <c r="AI34" s="14"/>
      <c r="AJ34" s="113"/>
      <c r="AK34" s="104" t="s">
        <v>122</v>
      </c>
      <c r="AM34" s="104" t="s">
        <v>123</v>
      </c>
      <c r="AO34" s="104" t="s">
        <v>124</v>
      </c>
      <c r="AQ34" s="105" t="s">
        <v>125</v>
      </c>
      <c r="AS34" s="104" t="s">
        <v>118</v>
      </c>
      <c r="AU34" s="114" t="s">
        <v>119</v>
      </c>
      <c r="AW34" s="105" t="s">
        <v>120</v>
      </c>
      <c r="AY34" s="105" t="s">
        <v>121</v>
      </c>
      <c r="AZ34" s="24"/>
    </row>
    <row r="35">
      <c r="A35" s="85">
        <f>A34-543</f>
        <v>2026</v>
      </c>
      <c r="B35" s="86"/>
      <c r="E35" s="115" t="s">
        <v>98</v>
      </c>
      <c r="F35" s="116" t="s">
        <v>190</v>
      </c>
      <c r="G35" s="115"/>
      <c r="H35" s="118"/>
      <c r="I35" s="118"/>
      <c r="J35" s="118"/>
      <c r="K35" s="36"/>
      <c r="L35" s="117"/>
      <c r="M35" s="8"/>
      <c r="N35" s="121"/>
      <c r="O35" s="8"/>
      <c r="P35" s="8"/>
      <c r="Q35" s="8"/>
      <c r="R35" s="121"/>
      <c r="S35" s="8"/>
      <c r="T35" s="121"/>
      <c r="U35" s="9"/>
      <c r="V35" s="110"/>
      <c r="W35" s="9"/>
      <c r="X35" s="110"/>
      <c r="Y35" s="73" t="s">
        <v>69</v>
      </c>
      <c r="Z35" s="94" t="s">
        <v>99</v>
      </c>
      <c r="AA35" s="36"/>
      <c r="AB35" s="36"/>
      <c r="AC35" s="111"/>
      <c r="AD35" s="112"/>
      <c r="AE35" s="37"/>
      <c r="AF35" s="97"/>
      <c r="AG35" s="14"/>
      <c r="AH35" s="14"/>
      <c r="AI35" s="14"/>
      <c r="AJ35" s="113"/>
      <c r="AK35" s="104" t="s">
        <v>133</v>
      </c>
      <c r="AM35" s="104" t="s">
        <v>134</v>
      </c>
      <c r="AO35" s="104" t="s">
        <v>135</v>
      </c>
      <c r="AQ35" s="105" t="s">
        <v>136</v>
      </c>
      <c r="AS35" s="104" t="s">
        <v>129</v>
      </c>
      <c r="AU35" s="114" t="s">
        <v>130</v>
      </c>
      <c r="AW35" s="105" t="s">
        <v>131</v>
      </c>
      <c r="AY35" s="105" t="s">
        <v>132</v>
      </c>
      <c r="AZ35" s="24"/>
    </row>
    <row r="36">
      <c r="A36" s="172"/>
      <c r="B36" s="144"/>
      <c r="C36" s="1"/>
      <c r="D36" s="123"/>
      <c r="E36" s="176" t="s">
        <v>137</v>
      </c>
      <c r="F36" s="88"/>
      <c r="G36" s="173" t="str">
        <f>G18:H18</f>
        <v>อสูรเดือน S</v>
      </c>
      <c r="H36" s="147"/>
      <c r="I36" s="174" t="str">
        <f>I18:J18</f>
        <v>อสูรปี E</v>
      </c>
      <c r="J36" s="147"/>
      <c r="K36" s="149"/>
      <c r="L36" s="150"/>
      <c r="M36" s="151"/>
      <c r="N36" s="152"/>
      <c r="O36" s="151"/>
      <c r="P36" s="151"/>
      <c r="Q36" s="151"/>
      <c r="R36" s="152"/>
      <c r="S36" s="151"/>
      <c r="T36" s="152"/>
      <c r="U36" s="153"/>
      <c r="V36" s="154"/>
      <c r="W36" s="153"/>
      <c r="X36" s="154"/>
      <c r="Y36" s="127"/>
      <c r="Z36" s="155"/>
      <c r="AA36" s="36"/>
      <c r="AB36" s="36"/>
      <c r="AC36" s="111"/>
      <c r="AD36" s="112"/>
      <c r="AE36" s="37"/>
      <c r="AF36" s="97"/>
      <c r="AG36" s="14"/>
      <c r="AH36" s="14"/>
      <c r="AI36" s="14"/>
      <c r="AJ36" s="113"/>
      <c r="AO36" s="128"/>
      <c r="AZ36" s="24"/>
    </row>
    <row r="37">
      <c r="A37" s="61" t="s">
        <v>186</v>
      </c>
      <c r="B37" s="83"/>
      <c r="C37" s="63"/>
      <c r="D37" s="63"/>
      <c r="E37" s="64">
        <f>(O38+P38+Q38+R38)/(O39+P39+Q39+R39)</f>
        <v>0.6625</v>
      </c>
      <c r="F37" s="65"/>
      <c r="G37" s="66"/>
      <c r="H37" s="66"/>
      <c r="I37" s="67"/>
      <c r="J37" s="67"/>
      <c r="K37" s="177"/>
      <c r="L37" s="178"/>
      <c r="M37" s="63" t="s">
        <v>64</v>
      </c>
      <c r="N37" s="70"/>
      <c r="O37" s="71" t="s">
        <v>65</v>
      </c>
      <c r="P37" s="72"/>
      <c r="Q37" s="72"/>
      <c r="R37" s="70"/>
      <c r="S37" s="71" t="s">
        <v>66</v>
      </c>
      <c r="T37" s="70"/>
      <c r="U37" s="71" t="s">
        <v>67</v>
      </c>
      <c r="V37" s="70"/>
      <c r="W37" s="71" t="s">
        <v>68</v>
      </c>
      <c r="X37" s="70"/>
      <c r="Y37" s="134" t="s">
        <v>80</v>
      </c>
      <c r="Z37" s="74" t="s">
        <v>159</v>
      </c>
      <c r="AA37" s="75" t="s">
        <v>171</v>
      </c>
      <c r="AB37" s="75" t="s">
        <v>172</v>
      </c>
      <c r="AC37" s="167" t="s">
        <v>173</v>
      </c>
      <c r="AD37" s="74" t="s">
        <v>174</v>
      </c>
      <c r="AG37" s="79" t="s">
        <v>84</v>
      </c>
      <c r="AH37" s="79">
        <v>0.0</v>
      </c>
      <c r="AI37" s="79" t="s">
        <v>85</v>
      </c>
      <c r="AJ37" s="80" t="str">
        <f>AJ31</f>
        <v>開</v>
      </c>
      <c r="AK37" s="81" t="s">
        <v>42</v>
      </c>
      <c r="AL37" s="82" t="str">
        <f>AL31</f>
        <v>休</v>
      </c>
      <c r="AM37" s="81" t="s">
        <v>44</v>
      </c>
      <c r="AN37" s="82" t="s">
        <v>4</v>
      </c>
      <c r="AO37" s="81" t="s">
        <v>46</v>
      </c>
      <c r="AP37" s="82" t="str">
        <f>AP31</f>
        <v>傷</v>
      </c>
      <c r="AQ37" s="81" t="s">
        <v>48</v>
      </c>
      <c r="AR37" s="82" t="s">
        <v>8</v>
      </c>
      <c r="AS37" s="81" t="s">
        <v>50</v>
      </c>
      <c r="AT37" s="82" t="str">
        <f>AT31</f>
        <v>景</v>
      </c>
      <c r="AU37" s="81" t="s">
        <v>52</v>
      </c>
      <c r="AV37" s="82" t="str">
        <f>AV31</f>
        <v>死</v>
      </c>
      <c r="AW37" s="81" t="s">
        <v>38</v>
      </c>
      <c r="AX37" s="82" t="str">
        <f>AX31</f>
        <v>驚</v>
      </c>
      <c r="AY37" s="81" t="s">
        <v>40</v>
      </c>
      <c r="AZ37" s="83"/>
      <c r="BA37" s="84"/>
      <c r="BB37" s="84"/>
      <c r="BC37" s="84"/>
    </row>
    <row r="38">
      <c r="A38" s="179">
        <f>A26+1</f>
        <v>5</v>
      </c>
      <c r="B38" s="86"/>
      <c r="C38" s="12" t="s">
        <v>187</v>
      </c>
      <c r="E38" s="168" t="s">
        <v>30</v>
      </c>
      <c r="F38" s="88"/>
      <c r="G38" s="137" t="str">
        <f t="shared" ref="G38:G39" si="39">G3:H3</f>
        <v>己</v>
      </c>
      <c r="I38" s="28" t="s">
        <v>31</v>
      </c>
      <c r="K38" s="90">
        <f>L38/L39</f>
        <v>0.515</v>
      </c>
      <c r="L38" s="126">
        <f t="shared" ref="L38:L39" si="40">O38+P38+Q38+U38+V38+W38+X38+R38+M38+N38+S38+T38</f>
        <v>515</v>
      </c>
      <c r="M38" s="92">
        <v>0.0</v>
      </c>
      <c r="N38" s="93">
        <v>0.0</v>
      </c>
      <c r="O38" s="92">
        <v>15.0</v>
      </c>
      <c r="P38" s="92">
        <v>90.0</v>
      </c>
      <c r="Q38" s="92">
        <v>80.0</v>
      </c>
      <c r="R38" s="93">
        <v>80.0</v>
      </c>
      <c r="S38" s="92">
        <v>15.0</v>
      </c>
      <c r="T38" s="93">
        <v>50.0</v>
      </c>
      <c r="U38" s="92">
        <v>50.0</v>
      </c>
      <c r="V38" s="93">
        <v>90.0</v>
      </c>
      <c r="W38" s="92">
        <f t="shared" ref="W38:X38" si="38">W8</f>
        <v>35</v>
      </c>
      <c r="X38" s="93">
        <f t="shared" si="38"/>
        <v>10</v>
      </c>
      <c r="Y38" s="73" t="s">
        <v>98</v>
      </c>
      <c r="Z38" s="94" t="s">
        <v>152</v>
      </c>
      <c r="AA38" s="36"/>
      <c r="AB38" s="169" t="s">
        <v>177</v>
      </c>
      <c r="AC38" s="170" t="s">
        <v>73</v>
      </c>
      <c r="AD38" s="94" t="s">
        <v>74</v>
      </c>
      <c r="AE38" s="37"/>
      <c r="AF38" s="97"/>
      <c r="AG38" s="12" t="s">
        <v>76</v>
      </c>
      <c r="AH38" s="12">
        <v>240.0</v>
      </c>
      <c r="AI38" s="12" t="s">
        <v>77</v>
      </c>
      <c r="AJ38" s="98" t="s">
        <v>41</v>
      </c>
      <c r="AK38" s="103" t="s">
        <v>92</v>
      </c>
      <c r="AL38" s="100" t="s">
        <v>39</v>
      </c>
      <c r="AM38" s="99" t="s">
        <v>93</v>
      </c>
      <c r="AN38" s="100" t="s">
        <v>37</v>
      </c>
      <c r="AO38" s="99" t="s">
        <v>94</v>
      </c>
      <c r="AP38" s="100" t="s">
        <v>51</v>
      </c>
      <c r="AQ38" s="101" t="s">
        <v>95</v>
      </c>
      <c r="AR38" s="100" t="s">
        <v>86</v>
      </c>
      <c r="AS38" s="99" t="s">
        <v>87</v>
      </c>
      <c r="AT38" s="100" t="s">
        <v>88</v>
      </c>
      <c r="AU38" s="101" t="s">
        <v>89</v>
      </c>
      <c r="AV38" s="100" t="s">
        <v>45</v>
      </c>
      <c r="AW38" s="102" t="s">
        <v>90</v>
      </c>
      <c r="AX38" s="100" t="s">
        <v>43</v>
      </c>
      <c r="AY38" s="101" t="s">
        <v>91</v>
      </c>
      <c r="AZ38" s="24"/>
    </row>
    <row r="39">
      <c r="A39" s="85" t="str">
        <f>A27</f>
        <v>มกราคม</v>
      </c>
      <c r="B39" s="86"/>
      <c r="C39" s="161" t="s">
        <v>162</v>
      </c>
      <c r="E39" s="171" t="s">
        <v>189</v>
      </c>
      <c r="F39" s="88"/>
      <c r="G39" s="180" t="str">
        <f t="shared" si="39"/>
        <v>丑</v>
      </c>
      <c r="I39" s="35" t="s">
        <v>54</v>
      </c>
      <c r="K39" s="36"/>
      <c r="L39" s="109">
        <f t="shared" si="40"/>
        <v>1000</v>
      </c>
      <c r="M39" s="9">
        <v>0.0</v>
      </c>
      <c r="N39" s="110">
        <v>0.0</v>
      </c>
      <c r="O39" s="9">
        <v>100.0</v>
      </c>
      <c r="P39" s="9">
        <v>100.0</v>
      </c>
      <c r="Q39" s="9">
        <v>100.0</v>
      </c>
      <c r="R39" s="110">
        <v>100.0</v>
      </c>
      <c r="S39" s="9">
        <v>100.0</v>
      </c>
      <c r="T39" s="110">
        <v>100.0</v>
      </c>
      <c r="U39" s="9">
        <v>100.0</v>
      </c>
      <c r="V39" s="110">
        <v>100.0</v>
      </c>
      <c r="W39" s="9">
        <v>100.0</v>
      </c>
      <c r="X39" s="110">
        <v>100.0</v>
      </c>
      <c r="Y39" s="73" t="s">
        <v>116</v>
      </c>
      <c r="Z39" s="94" t="s">
        <v>81</v>
      </c>
      <c r="AA39" s="36"/>
      <c r="AB39" s="36"/>
      <c r="AC39" s="111"/>
      <c r="AD39" s="112"/>
      <c r="AE39" s="37"/>
      <c r="AF39" s="97"/>
      <c r="AG39" s="14"/>
      <c r="AH39" s="14"/>
      <c r="AI39" s="14"/>
      <c r="AJ39" s="113"/>
      <c r="AK39" s="104" t="s">
        <v>104</v>
      </c>
      <c r="AM39" s="104" t="s">
        <v>105</v>
      </c>
      <c r="AO39" s="104" t="s">
        <v>106</v>
      </c>
      <c r="AQ39" s="105" t="s">
        <v>107</v>
      </c>
      <c r="AS39" s="104" t="s">
        <v>100</v>
      </c>
      <c r="AU39" s="114" t="s">
        <v>101</v>
      </c>
      <c r="AW39" s="105" t="s">
        <v>102</v>
      </c>
      <c r="AY39" s="105" t="s">
        <v>103</v>
      </c>
      <c r="AZ39" s="24"/>
    </row>
    <row r="40">
      <c r="A40" s="85">
        <f>A10</f>
        <v>2569</v>
      </c>
      <c r="B40" s="86"/>
      <c r="E40" s="115" t="s">
        <v>115</v>
      </c>
      <c r="F40" s="116" t="s">
        <v>126</v>
      </c>
      <c r="G40" s="9" t="s">
        <v>164</v>
      </c>
      <c r="H40" s="9" t="s">
        <v>69</v>
      </c>
      <c r="I40" s="9" t="s">
        <v>112</v>
      </c>
      <c r="J40" s="9" t="s">
        <v>113</v>
      </c>
      <c r="K40" s="36"/>
      <c r="L40" s="117"/>
      <c r="M40" s="118" t="str">
        <f t="shared" ref="M40:P40" si="41">C40</f>
        <v/>
      </c>
      <c r="N40" s="119" t="str">
        <f t="shared" si="41"/>
        <v/>
      </c>
      <c r="O40" s="118" t="str">
        <f t="shared" si="41"/>
        <v>A7</v>
      </c>
      <c r="P40" s="118" t="str">
        <f t="shared" si="41"/>
        <v>B6</v>
      </c>
      <c r="Q40" s="118" t="str">
        <f t="shared" ref="Q40:R40" si="42">E41</f>
        <v>B2</v>
      </c>
      <c r="R40" s="119" t="str">
        <f t="shared" si="42"/>
        <v>C3</v>
      </c>
      <c r="S40" s="9" t="s">
        <v>115</v>
      </c>
      <c r="T40" s="110" t="s">
        <v>164</v>
      </c>
      <c r="U40" s="9" t="str">
        <f t="shared" ref="U40:X40" si="43">G40</f>
        <v>A9</v>
      </c>
      <c r="V40" s="110" t="str">
        <f t="shared" si="43"/>
        <v>B8</v>
      </c>
      <c r="W40" s="118" t="str">
        <f t="shared" si="43"/>
        <v>A2</v>
      </c>
      <c r="X40" s="120" t="str">
        <f t="shared" si="43"/>
        <v>B12</v>
      </c>
      <c r="Y40" s="73" t="s">
        <v>126</v>
      </c>
      <c r="Z40" s="94" t="s">
        <v>99</v>
      </c>
      <c r="AA40" s="36"/>
      <c r="AB40" s="36"/>
      <c r="AC40" s="111"/>
      <c r="AD40" s="112"/>
      <c r="AE40" s="37"/>
      <c r="AF40" s="97"/>
      <c r="AG40" s="14"/>
      <c r="AH40" s="14"/>
      <c r="AI40" s="14"/>
      <c r="AJ40" s="113"/>
      <c r="AK40" s="104" t="s">
        <v>122</v>
      </c>
      <c r="AM40" s="104" t="s">
        <v>123</v>
      </c>
      <c r="AO40" s="104" t="s">
        <v>124</v>
      </c>
      <c r="AQ40" s="105" t="s">
        <v>125</v>
      </c>
      <c r="AS40" s="104" t="s">
        <v>118</v>
      </c>
      <c r="AU40" s="114" t="s">
        <v>119</v>
      </c>
      <c r="AW40" s="105" t="s">
        <v>120</v>
      </c>
      <c r="AY40" s="105" t="s">
        <v>121</v>
      </c>
      <c r="AZ40" s="24"/>
    </row>
    <row r="41">
      <c r="A41" s="85">
        <f>A40-543</f>
        <v>2026</v>
      </c>
      <c r="B41" s="86"/>
      <c r="C41" s="181"/>
      <c r="E41" s="115" t="s">
        <v>98</v>
      </c>
      <c r="F41" s="116" t="s">
        <v>184</v>
      </c>
      <c r="G41" s="9"/>
      <c r="H41" s="118"/>
      <c r="I41" s="118"/>
      <c r="J41" s="118"/>
      <c r="K41" s="182"/>
      <c r="L41" s="183"/>
      <c r="M41" s="8"/>
      <c r="N41" s="121"/>
      <c r="O41" s="8"/>
      <c r="P41" s="8"/>
      <c r="Q41" s="8"/>
      <c r="R41" s="121"/>
      <c r="S41" s="8"/>
      <c r="T41" s="121"/>
      <c r="U41" s="9"/>
      <c r="V41" s="110"/>
      <c r="W41" s="9"/>
      <c r="X41" s="110"/>
      <c r="Y41" s="73" t="s">
        <v>69</v>
      </c>
      <c r="Z41" s="94" t="s">
        <v>155</v>
      </c>
      <c r="AA41" s="36"/>
      <c r="AB41" s="36"/>
      <c r="AC41" s="111"/>
      <c r="AD41" s="112"/>
      <c r="AE41" s="37"/>
      <c r="AF41" s="97"/>
      <c r="AG41" s="14"/>
      <c r="AH41" s="14"/>
      <c r="AI41" s="14"/>
      <c r="AJ41" s="113"/>
      <c r="AK41" s="104" t="s">
        <v>133</v>
      </c>
      <c r="AM41" s="104" t="s">
        <v>134</v>
      </c>
      <c r="AO41" s="104" t="s">
        <v>135</v>
      </c>
      <c r="AQ41" s="105" t="s">
        <v>136</v>
      </c>
      <c r="AS41" s="104" t="s">
        <v>129</v>
      </c>
      <c r="AU41" s="114" t="s">
        <v>130</v>
      </c>
      <c r="AW41" s="105" t="s">
        <v>131</v>
      </c>
      <c r="AY41" s="105" t="s">
        <v>132</v>
      </c>
      <c r="AZ41" s="24"/>
    </row>
    <row r="42">
      <c r="A42" s="184">
        <v>0.6472222222222223</v>
      </c>
      <c r="B42" s="2"/>
      <c r="C42" s="185"/>
      <c r="D42" s="186"/>
      <c r="E42" s="176" t="s">
        <v>137</v>
      </c>
      <c r="F42" s="88"/>
      <c r="G42" s="39" t="str">
        <f>G5</f>
        <v>อสูรเดือน E</v>
      </c>
      <c r="I42" s="166" t="str">
        <f>I12:J12</f>
        <v>อสูรปี E</v>
      </c>
      <c r="K42" s="90"/>
      <c r="L42" s="126"/>
      <c r="M42" s="8"/>
      <c r="N42" s="121"/>
      <c r="O42" s="8"/>
      <c r="P42" s="8"/>
      <c r="Q42" s="8"/>
      <c r="R42" s="121"/>
      <c r="S42" s="8"/>
      <c r="T42" s="121"/>
      <c r="U42" s="9"/>
      <c r="V42" s="110"/>
      <c r="W42" s="9"/>
      <c r="X42" s="110"/>
      <c r="Y42" s="127"/>
      <c r="Z42" s="155"/>
      <c r="AA42" s="36"/>
      <c r="AB42" s="36"/>
      <c r="AC42" s="111"/>
      <c r="AD42" s="112"/>
      <c r="AE42" s="37"/>
      <c r="AF42" s="97"/>
      <c r="AG42" s="14"/>
      <c r="AH42" s="14"/>
      <c r="AI42" s="14"/>
      <c r="AJ42" s="113"/>
      <c r="AM42" s="128"/>
      <c r="AQ42" s="131"/>
      <c r="AS42" s="187"/>
      <c r="AU42" s="131"/>
      <c r="AW42" s="131"/>
      <c r="AY42" s="131"/>
      <c r="AZ42" s="24"/>
    </row>
    <row r="43">
      <c r="A43" s="188" t="s">
        <v>191</v>
      </c>
      <c r="B43" s="189"/>
      <c r="C43" s="63"/>
      <c r="D43" s="72"/>
      <c r="E43" s="64">
        <f>(O44+P44+Q44+R44)/(O45+P45+Q45+R45)</f>
        <v>0.475</v>
      </c>
      <c r="F43" s="65"/>
      <c r="G43" s="133"/>
      <c r="H43" s="66"/>
      <c r="I43" s="67"/>
      <c r="J43" s="67"/>
      <c r="K43" s="68"/>
      <c r="L43" s="69"/>
      <c r="M43" s="63" t="s">
        <v>64</v>
      </c>
      <c r="N43" s="70"/>
      <c r="O43" s="71" t="s">
        <v>65</v>
      </c>
      <c r="P43" s="72"/>
      <c r="Q43" s="72"/>
      <c r="R43" s="70"/>
      <c r="S43" s="71" t="s">
        <v>66</v>
      </c>
      <c r="T43" s="70"/>
      <c r="U43" s="71" t="s">
        <v>67</v>
      </c>
      <c r="V43" s="70"/>
      <c r="W43" s="71" t="s">
        <v>68</v>
      </c>
      <c r="X43" s="70"/>
      <c r="Y43" s="134" t="s">
        <v>80</v>
      </c>
      <c r="Z43" s="74" t="s">
        <v>181</v>
      </c>
      <c r="AA43" s="75" t="s">
        <v>189</v>
      </c>
      <c r="AB43" s="75" t="s">
        <v>192</v>
      </c>
      <c r="AC43" s="190" t="s">
        <v>173</v>
      </c>
      <c r="AD43" s="77" t="s">
        <v>193</v>
      </c>
      <c r="AE43" s="63" t="s">
        <v>36</v>
      </c>
      <c r="AF43" s="78" t="s">
        <v>144</v>
      </c>
      <c r="AG43" s="79" t="s">
        <v>53</v>
      </c>
      <c r="AH43" s="79">
        <v>30.0</v>
      </c>
      <c r="AI43" s="79" t="s">
        <v>178</v>
      </c>
      <c r="AJ43" s="80" t="str">
        <f>AJ37</f>
        <v>開</v>
      </c>
      <c r="AK43" s="81" t="s">
        <v>44</v>
      </c>
      <c r="AL43" s="82" t="str">
        <f>AL37</f>
        <v>休</v>
      </c>
      <c r="AM43" s="81" t="s">
        <v>46</v>
      </c>
      <c r="AN43" s="82" t="s">
        <v>4</v>
      </c>
      <c r="AO43" s="81" t="s">
        <v>48</v>
      </c>
      <c r="AP43" s="82" t="str">
        <f>AP37</f>
        <v>傷</v>
      </c>
      <c r="AQ43" s="81" t="s">
        <v>50</v>
      </c>
      <c r="AR43" s="82" t="s">
        <v>8</v>
      </c>
      <c r="AS43" s="81" t="s">
        <v>52</v>
      </c>
      <c r="AT43" s="82" t="str">
        <f>AT37</f>
        <v>景</v>
      </c>
      <c r="AU43" s="81" t="s">
        <v>38</v>
      </c>
      <c r="AV43" s="82" t="str">
        <f>AV37</f>
        <v>死</v>
      </c>
      <c r="AW43" s="81" t="s">
        <v>40</v>
      </c>
      <c r="AX43" s="82" t="str">
        <f>AX37</f>
        <v>驚</v>
      </c>
      <c r="AY43" s="81" t="s">
        <v>42</v>
      </c>
      <c r="AZ43" s="191"/>
      <c r="BA43" s="84"/>
      <c r="BB43" s="84"/>
      <c r="BC43" s="84"/>
    </row>
    <row r="44">
      <c r="A44" s="192">
        <f>A38+1</f>
        <v>6</v>
      </c>
      <c r="B44" s="193"/>
      <c r="C44" s="12" t="s">
        <v>194</v>
      </c>
      <c r="E44" s="194" t="s">
        <v>195</v>
      </c>
      <c r="G44" s="137" t="str">
        <f t="shared" ref="G44:G45" si="45">G38:H38</f>
        <v>己</v>
      </c>
      <c r="I44" s="138" t="str">
        <f t="shared" ref="I44:I45" si="46">I38:J38</f>
        <v>乙</v>
      </c>
      <c r="K44" s="90">
        <f>L44/L45</f>
        <v>0.46</v>
      </c>
      <c r="L44" s="126">
        <f t="shared" ref="L44:L45" si="47">O44+P44+Q44+U44+V44+W44+X44+R44+M44+N44+S44+T44</f>
        <v>460</v>
      </c>
      <c r="M44" s="92">
        <v>0.0</v>
      </c>
      <c r="N44" s="93">
        <v>0.0</v>
      </c>
      <c r="O44" s="92">
        <v>70.0</v>
      </c>
      <c r="P44" s="92">
        <v>0.0</v>
      </c>
      <c r="Q44" s="92">
        <v>70.0</v>
      </c>
      <c r="R44" s="93">
        <v>50.0</v>
      </c>
      <c r="S44" s="92">
        <v>30.0</v>
      </c>
      <c r="T44" s="93">
        <v>55.0</v>
      </c>
      <c r="U44" s="92">
        <f t="shared" ref="U44:X44" si="44">U38</f>
        <v>50</v>
      </c>
      <c r="V44" s="93">
        <f t="shared" si="44"/>
        <v>90</v>
      </c>
      <c r="W44" s="92">
        <f t="shared" si="44"/>
        <v>35</v>
      </c>
      <c r="X44" s="93">
        <f t="shared" si="44"/>
        <v>10</v>
      </c>
      <c r="Y44" s="73" t="s">
        <v>98</v>
      </c>
      <c r="Z44" s="94" t="s">
        <v>163</v>
      </c>
      <c r="AA44" s="36"/>
      <c r="AB44" s="36"/>
      <c r="AC44" s="195" t="s">
        <v>196</v>
      </c>
      <c r="AD44" s="96" t="s">
        <v>149</v>
      </c>
      <c r="AE44" s="37"/>
      <c r="AF44" s="97"/>
      <c r="AG44" s="12" t="s">
        <v>71</v>
      </c>
      <c r="AH44" s="12">
        <v>210.0</v>
      </c>
      <c r="AI44" s="12" t="s">
        <v>175</v>
      </c>
      <c r="AJ44" s="98" t="s">
        <v>37</v>
      </c>
      <c r="AK44" s="99" t="s">
        <v>94</v>
      </c>
      <c r="AL44" s="100" t="s">
        <v>51</v>
      </c>
      <c r="AM44" s="101" t="s">
        <v>95</v>
      </c>
      <c r="AN44" s="100" t="s">
        <v>86</v>
      </c>
      <c r="AO44" s="99" t="s">
        <v>87</v>
      </c>
      <c r="AP44" s="100" t="s">
        <v>88</v>
      </c>
      <c r="AQ44" s="101" t="s">
        <v>89</v>
      </c>
      <c r="AR44" s="100" t="s">
        <v>45</v>
      </c>
      <c r="AS44" s="102" t="s">
        <v>90</v>
      </c>
      <c r="AT44" s="100" t="s">
        <v>43</v>
      </c>
      <c r="AU44" s="101" t="s">
        <v>91</v>
      </c>
      <c r="AV44" s="100" t="s">
        <v>41</v>
      </c>
      <c r="AW44" s="103" t="s">
        <v>92</v>
      </c>
      <c r="AX44" s="100" t="s">
        <v>39</v>
      </c>
      <c r="AY44" s="99" t="s">
        <v>93</v>
      </c>
      <c r="AZ44" s="24"/>
    </row>
    <row r="45">
      <c r="A45" s="196" t="str">
        <f>A39</f>
        <v>มกราคม</v>
      </c>
      <c r="B45" s="193"/>
      <c r="C45" s="106" t="s">
        <v>179</v>
      </c>
      <c r="E45" s="162" t="s">
        <v>197</v>
      </c>
      <c r="G45" s="180" t="str">
        <f t="shared" si="45"/>
        <v>丑</v>
      </c>
      <c r="I45" s="142" t="str">
        <f t="shared" si="46"/>
        <v>巳</v>
      </c>
      <c r="K45" s="36"/>
      <c r="L45" s="109">
        <f t="shared" si="47"/>
        <v>1000</v>
      </c>
      <c r="M45" s="9">
        <v>0.0</v>
      </c>
      <c r="N45" s="110">
        <v>0.0</v>
      </c>
      <c r="O45" s="9">
        <v>100.0</v>
      </c>
      <c r="P45" s="9">
        <v>100.0</v>
      </c>
      <c r="Q45" s="9">
        <v>100.0</v>
      </c>
      <c r="R45" s="110">
        <v>100.0</v>
      </c>
      <c r="S45" s="9">
        <v>100.0</v>
      </c>
      <c r="T45" s="110">
        <v>100.0</v>
      </c>
      <c r="U45" s="9">
        <v>100.0</v>
      </c>
      <c r="V45" s="110">
        <v>100.0</v>
      </c>
      <c r="W45" s="9">
        <v>100.0</v>
      </c>
      <c r="X45" s="110">
        <v>100.0</v>
      </c>
      <c r="Y45" s="73" t="s">
        <v>116</v>
      </c>
      <c r="Z45" s="94" t="s">
        <v>153</v>
      </c>
      <c r="AA45" s="36"/>
      <c r="AB45" s="36"/>
      <c r="AC45" s="111"/>
      <c r="AD45" s="112"/>
      <c r="AE45" s="37"/>
      <c r="AF45" s="97"/>
      <c r="AG45" s="14"/>
      <c r="AH45" s="14"/>
      <c r="AI45" s="14"/>
      <c r="AJ45" s="113"/>
      <c r="AK45" s="104" t="s">
        <v>106</v>
      </c>
      <c r="AM45" s="105" t="s">
        <v>107</v>
      </c>
      <c r="AO45" s="104" t="s">
        <v>100</v>
      </c>
      <c r="AQ45" s="114" t="s">
        <v>101</v>
      </c>
      <c r="AS45" s="105" t="s">
        <v>102</v>
      </c>
      <c r="AU45" s="105" t="s">
        <v>103</v>
      </c>
      <c r="AW45" s="104" t="s">
        <v>104</v>
      </c>
      <c r="AY45" s="104" t="s">
        <v>105</v>
      </c>
      <c r="AZ45" s="24"/>
    </row>
    <row r="46">
      <c r="A46" s="192">
        <f>A10</f>
        <v>2569</v>
      </c>
      <c r="B46" s="193"/>
      <c r="E46" s="115" t="s">
        <v>165</v>
      </c>
      <c r="F46" s="116" t="s">
        <v>111</v>
      </c>
      <c r="G46" s="115" t="str">
        <f t="shared" ref="G46:J46" si="48">G40</f>
        <v>A9</v>
      </c>
      <c r="H46" s="9" t="str">
        <f t="shared" si="48"/>
        <v>B8</v>
      </c>
      <c r="I46" s="9" t="str">
        <f t="shared" si="48"/>
        <v>A2</v>
      </c>
      <c r="J46" s="9" t="str">
        <f t="shared" si="48"/>
        <v>B12</v>
      </c>
      <c r="K46" s="36"/>
      <c r="L46" s="117"/>
      <c r="M46" s="118" t="str">
        <f t="shared" ref="M46:P46" si="49">C46</f>
        <v/>
      </c>
      <c r="N46" s="119" t="str">
        <f t="shared" si="49"/>
        <v/>
      </c>
      <c r="O46" s="118" t="str">
        <f t="shared" si="49"/>
        <v>A12</v>
      </c>
      <c r="P46" s="118" t="str">
        <f t="shared" si="49"/>
        <v>B7</v>
      </c>
      <c r="Q46" s="118" t="str">
        <f t="shared" ref="Q46:R46" si="50">E47</f>
        <v>B1</v>
      </c>
      <c r="R46" s="119" t="str">
        <f t="shared" si="50"/>
        <v>C4</v>
      </c>
      <c r="S46" s="9" t="s">
        <v>198</v>
      </c>
      <c r="T46" s="110" t="s">
        <v>164</v>
      </c>
      <c r="U46" s="9" t="str">
        <f t="shared" ref="U46:X46" si="51">G46</f>
        <v>A9</v>
      </c>
      <c r="V46" s="119" t="str">
        <f t="shared" si="51"/>
        <v>B8</v>
      </c>
      <c r="W46" s="118" t="str">
        <f t="shared" si="51"/>
        <v>A2</v>
      </c>
      <c r="X46" s="120" t="str">
        <f t="shared" si="51"/>
        <v>B12</v>
      </c>
      <c r="Y46" s="73" t="s">
        <v>126</v>
      </c>
      <c r="Z46" s="94" t="s">
        <v>155</v>
      </c>
      <c r="AA46" s="36"/>
      <c r="AB46" s="36"/>
      <c r="AC46" s="111"/>
      <c r="AD46" s="112"/>
      <c r="AE46" s="37"/>
      <c r="AF46" s="97"/>
      <c r="AG46" s="14"/>
      <c r="AH46" s="14"/>
      <c r="AI46" s="14"/>
      <c r="AJ46" s="113"/>
      <c r="AK46" s="104" t="s">
        <v>124</v>
      </c>
      <c r="AM46" s="105" t="s">
        <v>125</v>
      </c>
      <c r="AO46" s="104" t="s">
        <v>118</v>
      </c>
      <c r="AQ46" s="114" t="s">
        <v>119</v>
      </c>
      <c r="AS46" s="105" t="s">
        <v>120</v>
      </c>
      <c r="AU46" s="105" t="s">
        <v>121</v>
      </c>
      <c r="AW46" s="104" t="s">
        <v>122</v>
      </c>
      <c r="AY46" s="104" t="s">
        <v>123</v>
      </c>
      <c r="AZ46" s="24"/>
    </row>
    <row r="47">
      <c r="A47" s="192">
        <f>A46-543</f>
        <v>2026</v>
      </c>
      <c r="B47" s="193"/>
      <c r="E47" s="115" t="s">
        <v>80</v>
      </c>
      <c r="F47" s="116" t="s">
        <v>190</v>
      </c>
      <c r="G47" s="115"/>
      <c r="H47" s="118"/>
      <c r="I47" s="118"/>
      <c r="J47" s="118"/>
      <c r="K47" s="36"/>
      <c r="L47" s="117"/>
      <c r="M47" s="8"/>
      <c r="N47" s="121"/>
      <c r="O47" s="8"/>
      <c r="P47" s="8"/>
      <c r="Q47" s="8"/>
      <c r="R47" s="121"/>
      <c r="S47" s="8"/>
      <c r="T47" s="121"/>
      <c r="U47" s="9"/>
      <c r="V47" s="110"/>
      <c r="W47" s="9"/>
      <c r="X47" s="110"/>
      <c r="Y47" s="73" t="s">
        <v>69</v>
      </c>
      <c r="Z47" s="94" t="s">
        <v>128</v>
      </c>
      <c r="AA47" s="36"/>
      <c r="AB47" s="36"/>
      <c r="AC47" s="111"/>
      <c r="AD47" s="112"/>
      <c r="AE47" s="37"/>
      <c r="AF47" s="97"/>
      <c r="AG47" s="14"/>
      <c r="AH47" s="14"/>
      <c r="AI47" s="14"/>
      <c r="AJ47" s="113"/>
      <c r="AK47" s="104" t="s">
        <v>135</v>
      </c>
      <c r="AM47" s="105" t="s">
        <v>136</v>
      </c>
      <c r="AO47" s="104" t="s">
        <v>129</v>
      </c>
      <c r="AQ47" s="114" t="s">
        <v>130</v>
      </c>
      <c r="AS47" s="105" t="s">
        <v>131</v>
      </c>
      <c r="AU47" s="105" t="s">
        <v>132</v>
      </c>
      <c r="AW47" s="104" t="s">
        <v>133</v>
      </c>
      <c r="AY47" s="104" t="s">
        <v>134</v>
      </c>
      <c r="AZ47" s="24"/>
    </row>
    <row r="48">
      <c r="A48" s="196"/>
      <c r="B48" s="197"/>
      <c r="C48" s="123"/>
      <c r="D48" s="123"/>
      <c r="E48" s="198" t="s">
        <v>157</v>
      </c>
      <c r="F48" s="88"/>
      <c r="G48" s="165" t="str">
        <f>G42:H42</f>
        <v>อสูรเดือน E</v>
      </c>
      <c r="I48" s="166" t="str">
        <f>I12:J12</f>
        <v>อสูรปี E</v>
      </c>
      <c r="K48" s="90"/>
      <c r="L48" s="126"/>
      <c r="M48" s="8"/>
      <c r="N48" s="121"/>
      <c r="O48" s="8"/>
      <c r="P48" s="8"/>
      <c r="Q48" s="8"/>
      <c r="R48" s="121"/>
      <c r="S48" s="8"/>
      <c r="T48" s="121"/>
      <c r="U48" s="9"/>
      <c r="V48" s="110"/>
      <c r="W48" s="9"/>
      <c r="X48" s="110"/>
      <c r="Y48" s="127"/>
      <c r="Z48" s="155"/>
      <c r="AA48" s="36"/>
      <c r="AB48" s="36"/>
      <c r="AC48" s="111"/>
      <c r="AD48" s="112"/>
      <c r="AE48" s="37"/>
      <c r="AF48" s="97"/>
      <c r="AG48" s="14"/>
      <c r="AH48" s="14"/>
      <c r="AI48" s="14"/>
      <c r="AJ48" s="113"/>
      <c r="AO48" s="128"/>
      <c r="AZ48" s="24"/>
    </row>
    <row r="49">
      <c r="A49" s="188" t="s">
        <v>199</v>
      </c>
      <c r="B49" s="189"/>
      <c r="C49" s="63"/>
      <c r="D49" s="63"/>
      <c r="E49" s="64">
        <f>(O50+P50+Q50+R50)/(O51+P51+Q51+R51)</f>
        <v>0.4625</v>
      </c>
      <c r="F49" s="65"/>
      <c r="G49" s="133"/>
      <c r="H49" s="66"/>
      <c r="I49" s="67"/>
      <c r="J49" s="67"/>
      <c r="K49" s="68"/>
      <c r="L49" s="69"/>
      <c r="M49" s="63" t="s">
        <v>64</v>
      </c>
      <c r="N49" s="70"/>
      <c r="O49" s="71" t="s">
        <v>65</v>
      </c>
      <c r="P49" s="72"/>
      <c r="Q49" s="72"/>
      <c r="R49" s="70"/>
      <c r="S49" s="71" t="s">
        <v>66</v>
      </c>
      <c r="T49" s="70"/>
      <c r="U49" s="71" t="s">
        <v>67</v>
      </c>
      <c r="V49" s="70"/>
      <c r="W49" s="71" t="s">
        <v>68</v>
      </c>
      <c r="X49" s="70"/>
      <c r="Y49" s="134" t="s">
        <v>69</v>
      </c>
      <c r="Z49" s="74" t="s">
        <v>70</v>
      </c>
      <c r="AA49" s="75" t="s">
        <v>171</v>
      </c>
      <c r="AB49" s="75" t="s">
        <v>172</v>
      </c>
      <c r="AC49" s="190" t="s">
        <v>173</v>
      </c>
      <c r="AD49" s="77" t="s">
        <v>193</v>
      </c>
      <c r="AE49" s="63" t="s">
        <v>36</v>
      </c>
      <c r="AF49" s="78" t="s">
        <v>36</v>
      </c>
      <c r="AG49" s="79" t="s">
        <v>180</v>
      </c>
      <c r="AH49" s="79">
        <v>60.0</v>
      </c>
      <c r="AI49" s="79" t="s">
        <v>200</v>
      </c>
      <c r="AJ49" s="80" t="str">
        <f>AJ43</f>
        <v>開</v>
      </c>
      <c r="AK49" s="81" t="s">
        <v>40</v>
      </c>
      <c r="AL49" s="82" t="str">
        <f>AL43</f>
        <v>休</v>
      </c>
      <c r="AM49" s="81" t="s">
        <v>42</v>
      </c>
      <c r="AN49" s="82" t="s">
        <v>4</v>
      </c>
      <c r="AO49" s="81" t="s">
        <v>44</v>
      </c>
      <c r="AP49" s="82" t="str">
        <f>AP43</f>
        <v>傷</v>
      </c>
      <c r="AQ49" s="81" t="s">
        <v>46</v>
      </c>
      <c r="AR49" s="82" t="s">
        <v>8</v>
      </c>
      <c r="AS49" s="81" t="s">
        <v>48</v>
      </c>
      <c r="AT49" s="82" t="str">
        <f>AT43</f>
        <v>景</v>
      </c>
      <c r="AU49" s="81" t="s">
        <v>50</v>
      </c>
      <c r="AV49" s="82" t="str">
        <f>AV43</f>
        <v>死</v>
      </c>
      <c r="AW49" s="81" t="s">
        <v>52</v>
      </c>
      <c r="AX49" s="82" t="str">
        <f>AX43</f>
        <v>驚</v>
      </c>
      <c r="AY49" s="81" t="s">
        <v>38</v>
      </c>
      <c r="AZ49" s="83"/>
      <c r="BA49" s="84"/>
      <c r="BB49" s="84"/>
      <c r="BC49" s="84"/>
    </row>
    <row r="50">
      <c r="A50" s="192">
        <f>A44+1</f>
        <v>7</v>
      </c>
      <c r="B50" s="193"/>
      <c r="C50" s="12" t="s">
        <v>78</v>
      </c>
      <c r="E50" s="199" t="s">
        <v>201</v>
      </c>
      <c r="G50" s="137" t="str">
        <f t="shared" ref="G50:G51" si="53">G38:H38</f>
        <v>己</v>
      </c>
      <c r="I50" s="28" t="str">
        <f t="shared" ref="I50:I51" si="54">I38:J38</f>
        <v>乙</v>
      </c>
      <c r="K50" s="90">
        <f>L50/L51</f>
        <v>0.55</v>
      </c>
      <c r="L50" s="126">
        <f t="shared" ref="L50:L51" si="55">O50+P50+Q50+U50+V50+W50+X50+R50+M50+N50+S50+T50</f>
        <v>550</v>
      </c>
      <c r="M50" s="92">
        <v>0.0</v>
      </c>
      <c r="N50" s="93">
        <v>0.0</v>
      </c>
      <c r="O50" s="92">
        <v>5.0</v>
      </c>
      <c r="P50" s="92">
        <v>90.0</v>
      </c>
      <c r="Q50" s="92">
        <v>10.0</v>
      </c>
      <c r="R50" s="93">
        <v>80.0</v>
      </c>
      <c r="S50" s="92">
        <v>110.0</v>
      </c>
      <c r="T50" s="93">
        <v>70.0</v>
      </c>
      <c r="U50" s="92">
        <f t="shared" ref="U50:X50" si="52">U38</f>
        <v>50</v>
      </c>
      <c r="V50" s="93">
        <f t="shared" si="52"/>
        <v>90</v>
      </c>
      <c r="W50" s="92">
        <f t="shared" si="52"/>
        <v>35</v>
      </c>
      <c r="X50" s="93">
        <f t="shared" si="52"/>
        <v>10</v>
      </c>
      <c r="Y50" s="73" t="s">
        <v>80</v>
      </c>
      <c r="Z50" s="94" t="s">
        <v>81</v>
      </c>
      <c r="AA50" s="36"/>
      <c r="AB50" s="169" t="s">
        <v>177</v>
      </c>
      <c r="AC50" s="195" t="s">
        <v>196</v>
      </c>
      <c r="AD50" s="96" t="s">
        <v>149</v>
      </c>
      <c r="AE50" s="37"/>
      <c r="AF50" s="97"/>
      <c r="AG50" s="12" t="s">
        <v>202</v>
      </c>
      <c r="AH50" s="12">
        <v>180.0</v>
      </c>
      <c r="AI50" s="12" t="s">
        <v>203</v>
      </c>
      <c r="AJ50" s="98" t="s">
        <v>45</v>
      </c>
      <c r="AK50" s="102" t="s">
        <v>90</v>
      </c>
      <c r="AL50" s="100" t="s">
        <v>43</v>
      </c>
      <c r="AM50" s="101" t="s">
        <v>91</v>
      </c>
      <c r="AN50" s="100" t="s">
        <v>41</v>
      </c>
      <c r="AO50" s="103" t="s">
        <v>92</v>
      </c>
      <c r="AP50" s="100" t="s">
        <v>39</v>
      </c>
      <c r="AQ50" s="99" t="s">
        <v>93</v>
      </c>
      <c r="AR50" s="100" t="s">
        <v>37</v>
      </c>
      <c r="AS50" s="99" t="s">
        <v>94</v>
      </c>
      <c r="AT50" s="100" t="s">
        <v>51</v>
      </c>
      <c r="AU50" s="101" t="s">
        <v>95</v>
      </c>
      <c r="AV50" s="100" t="s">
        <v>86</v>
      </c>
      <c r="AW50" s="99" t="s">
        <v>87</v>
      </c>
      <c r="AX50" s="100" t="s">
        <v>88</v>
      </c>
      <c r="AY50" s="101" t="s">
        <v>89</v>
      </c>
      <c r="AZ50" s="24"/>
    </row>
    <row r="51">
      <c r="A51" s="200" t="str">
        <f>G2</f>
        <v>มกราคม</v>
      </c>
      <c r="B51" s="193"/>
      <c r="C51" s="175" t="s">
        <v>188</v>
      </c>
      <c r="E51" s="201" t="s">
        <v>54</v>
      </c>
      <c r="G51" s="180" t="str">
        <f t="shared" si="53"/>
        <v>丑</v>
      </c>
      <c r="I51" s="142" t="str">
        <f t="shared" si="54"/>
        <v>巳</v>
      </c>
      <c r="K51" s="36"/>
      <c r="L51" s="109">
        <f t="shared" si="55"/>
        <v>1000</v>
      </c>
      <c r="M51" s="9">
        <v>0.0</v>
      </c>
      <c r="N51" s="110">
        <v>0.0</v>
      </c>
      <c r="O51" s="9">
        <v>100.0</v>
      </c>
      <c r="P51" s="9">
        <v>100.0</v>
      </c>
      <c r="Q51" s="9">
        <v>100.0</v>
      </c>
      <c r="R51" s="110">
        <v>100.0</v>
      </c>
      <c r="S51" s="9">
        <v>100.0</v>
      </c>
      <c r="T51" s="110">
        <v>100.0</v>
      </c>
      <c r="U51" s="9">
        <v>100.0</v>
      </c>
      <c r="V51" s="110">
        <v>100.0</v>
      </c>
      <c r="W51" s="9">
        <v>100.0</v>
      </c>
      <c r="X51" s="110">
        <v>100.0</v>
      </c>
      <c r="Y51" s="73" t="s">
        <v>98</v>
      </c>
      <c r="Z51" s="94" t="s">
        <v>99</v>
      </c>
      <c r="AA51" s="36"/>
      <c r="AB51" s="36"/>
      <c r="AC51" s="111"/>
      <c r="AD51" s="112"/>
      <c r="AE51" s="37"/>
      <c r="AF51" s="97"/>
      <c r="AG51" s="14"/>
      <c r="AH51" s="14"/>
      <c r="AI51" s="14"/>
      <c r="AJ51" s="113"/>
      <c r="AK51" s="105" t="s">
        <v>102</v>
      </c>
      <c r="AM51" s="105" t="s">
        <v>103</v>
      </c>
      <c r="AO51" s="104" t="s">
        <v>104</v>
      </c>
      <c r="AQ51" s="104" t="s">
        <v>105</v>
      </c>
      <c r="AS51" s="104" t="s">
        <v>106</v>
      </c>
      <c r="AU51" s="105" t="s">
        <v>107</v>
      </c>
      <c r="AW51" s="104" t="s">
        <v>100</v>
      </c>
      <c r="AY51" s="114" t="s">
        <v>101</v>
      </c>
      <c r="AZ51" s="24"/>
    </row>
    <row r="52">
      <c r="A52" s="192">
        <f>A10</f>
        <v>2569</v>
      </c>
      <c r="B52" s="193"/>
      <c r="E52" s="115" t="s">
        <v>108</v>
      </c>
      <c r="F52" s="116" t="s">
        <v>69</v>
      </c>
      <c r="G52" s="115" t="str">
        <f t="shared" ref="G52:J52" si="56">G40</f>
        <v>A9</v>
      </c>
      <c r="H52" s="9" t="str">
        <f t="shared" si="56"/>
        <v>B8</v>
      </c>
      <c r="I52" s="9" t="str">
        <f t="shared" si="56"/>
        <v>A2</v>
      </c>
      <c r="J52" s="9" t="str">
        <f t="shared" si="56"/>
        <v>B12</v>
      </c>
      <c r="K52" s="36"/>
      <c r="L52" s="117"/>
      <c r="M52" s="118" t="str">
        <f t="shared" ref="M52:P52" si="57">C52</f>
        <v/>
      </c>
      <c r="N52" s="119" t="str">
        <f t="shared" si="57"/>
        <v/>
      </c>
      <c r="O52" s="118" t="str">
        <f t="shared" si="57"/>
        <v>A8</v>
      </c>
      <c r="P52" s="118" t="str">
        <f t="shared" si="57"/>
        <v>B8</v>
      </c>
      <c r="Q52" s="118" t="str">
        <f t="shared" ref="Q52:R52" si="58">E53</f>
        <v>B12</v>
      </c>
      <c r="R52" s="119" t="str">
        <f t="shared" si="58"/>
        <v>C5</v>
      </c>
      <c r="S52" s="9" t="s">
        <v>204</v>
      </c>
      <c r="T52" s="110" t="s">
        <v>165</v>
      </c>
      <c r="U52" s="9" t="str">
        <f t="shared" ref="U52:X52" si="59">G52</f>
        <v>A9</v>
      </c>
      <c r="V52" s="119" t="str">
        <f t="shared" si="59"/>
        <v>B8</v>
      </c>
      <c r="W52" s="118" t="str">
        <f t="shared" si="59"/>
        <v>A2</v>
      </c>
      <c r="X52" s="120" t="str">
        <f t="shared" si="59"/>
        <v>B12</v>
      </c>
      <c r="Y52" s="73" t="s">
        <v>116</v>
      </c>
      <c r="Z52" s="94" t="s">
        <v>117</v>
      </c>
      <c r="AA52" s="36"/>
      <c r="AB52" s="36"/>
      <c r="AC52" s="111"/>
      <c r="AD52" s="112"/>
      <c r="AE52" s="37"/>
      <c r="AF52" s="97"/>
      <c r="AG52" s="14"/>
      <c r="AH52" s="14"/>
      <c r="AI52" s="14"/>
      <c r="AJ52" s="113"/>
      <c r="AK52" s="105" t="s">
        <v>120</v>
      </c>
      <c r="AM52" s="105" t="s">
        <v>121</v>
      </c>
      <c r="AO52" s="104" t="s">
        <v>122</v>
      </c>
      <c r="AQ52" s="104" t="s">
        <v>123</v>
      </c>
      <c r="AS52" s="104" t="s">
        <v>124</v>
      </c>
      <c r="AU52" s="105" t="s">
        <v>125</v>
      </c>
      <c r="AW52" s="104" t="s">
        <v>118</v>
      </c>
      <c r="AY52" s="114" t="s">
        <v>119</v>
      </c>
      <c r="AZ52" s="24"/>
    </row>
    <row r="53">
      <c r="A53" s="192">
        <f>A52-543</f>
        <v>2026</v>
      </c>
      <c r="B53" s="193"/>
      <c r="E53" s="115" t="s">
        <v>113</v>
      </c>
      <c r="F53" s="116" t="s">
        <v>205</v>
      </c>
      <c r="G53" s="115"/>
      <c r="H53" s="118"/>
      <c r="I53" s="118"/>
      <c r="J53" s="118"/>
      <c r="K53" s="36"/>
      <c r="L53" s="117"/>
      <c r="N53" s="117"/>
      <c r="O53" s="118"/>
      <c r="P53" s="118"/>
      <c r="Q53" s="118"/>
      <c r="R53" s="119"/>
      <c r="S53" s="118"/>
      <c r="T53" s="119"/>
      <c r="V53" s="117"/>
      <c r="X53" s="117"/>
      <c r="Y53" s="73" t="s">
        <v>126</v>
      </c>
      <c r="Z53" s="94" t="s">
        <v>128</v>
      </c>
      <c r="AA53" s="36"/>
      <c r="AB53" s="36"/>
      <c r="AC53" s="111"/>
      <c r="AD53" s="112"/>
      <c r="AE53" s="37"/>
      <c r="AF53" s="97"/>
      <c r="AG53" s="14"/>
      <c r="AH53" s="14"/>
      <c r="AI53" s="14"/>
      <c r="AJ53" s="113"/>
      <c r="AK53" s="105" t="s">
        <v>131</v>
      </c>
      <c r="AM53" s="105" t="s">
        <v>132</v>
      </c>
      <c r="AO53" s="104" t="s">
        <v>133</v>
      </c>
      <c r="AQ53" s="104" t="s">
        <v>134</v>
      </c>
      <c r="AS53" s="104" t="s">
        <v>135</v>
      </c>
      <c r="AU53" s="105" t="s">
        <v>136</v>
      </c>
      <c r="AW53" s="104" t="s">
        <v>129</v>
      </c>
      <c r="AY53" s="114" t="s">
        <v>130</v>
      </c>
      <c r="AZ53" s="24"/>
    </row>
    <row r="54">
      <c r="A54" s="196"/>
      <c r="B54" s="197"/>
      <c r="C54" s="123"/>
      <c r="D54" s="123"/>
      <c r="E54" s="164" t="s">
        <v>168</v>
      </c>
      <c r="F54" s="88"/>
      <c r="G54" s="165" t="str">
        <f>G42:H42</f>
        <v>อสูรเดือน E</v>
      </c>
      <c r="I54" s="166" t="str">
        <f>I12:J12</f>
        <v>อสูรปี E</v>
      </c>
      <c r="K54" s="90"/>
      <c r="L54" s="126"/>
      <c r="M54" s="8"/>
      <c r="N54" s="121"/>
      <c r="O54" s="9"/>
      <c r="P54" s="9"/>
      <c r="Q54" s="9"/>
      <c r="R54" s="110"/>
      <c r="S54" s="9"/>
      <c r="T54" s="110"/>
      <c r="U54" s="9"/>
      <c r="V54" s="110"/>
      <c r="W54" s="9"/>
      <c r="X54" s="110"/>
      <c r="Y54" s="127"/>
      <c r="Z54" s="155"/>
      <c r="AA54" s="36"/>
      <c r="AB54" s="36"/>
      <c r="AC54" s="111"/>
      <c r="AD54" s="112"/>
      <c r="AE54" s="37"/>
      <c r="AF54" s="97"/>
      <c r="AG54" s="14"/>
      <c r="AH54" s="14"/>
      <c r="AI54" s="14"/>
      <c r="AJ54" s="113"/>
      <c r="AK54" s="128"/>
      <c r="AZ54" s="24"/>
    </row>
    <row r="55">
      <c r="A55" s="188" t="s">
        <v>63</v>
      </c>
      <c r="B55" s="189"/>
      <c r="C55" s="63"/>
      <c r="D55" s="63"/>
      <c r="E55" s="64">
        <f>(O56+P56+Q56+R56)/(O57+P57+Q57+R57)</f>
        <v>0.6375</v>
      </c>
      <c r="F55" s="65"/>
      <c r="G55" s="133"/>
      <c r="H55" s="72"/>
      <c r="I55" s="67"/>
      <c r="J55" s="72"/>
      <c r="K55" s="68"/>
      <c r="L55" s="69"/>
      <c r="M55" s="63" t="s">
        <v>64</v>
      </c>
      <c r="N55" s="70"/>
      <c r="O55" s="71" t="s">
        <v>65</v>
      </c>
      <c r="P55" s="72"/>
      <c r="Q55" s="72"/>
      <c r="R55" s="70"/>
      <c r="S55" s="71" t="s">
        <v>66</v>
      </c>
      <c r="T55" s="70"/>
      <c r="U55" s="71" t="s">
        <v>67</v>
      </c>
      <c r="V55" s="70"/>
      <c r="W55" s="71" t="s">
        <v>68</v>
      </c>
      <c r="X55" s="70"/>
      <c r="Y55" s="134" t="s">
        <v>116</v>
      </c>
      <c r="Z55" s="74" t="s">
        <v>140</v>
      </c>
      <c r="AA55" s="75" t="s">
        <v>206</v>
      </c>
      <c r="AB55" s="75" t="s">
        <v>207</v>
      </c>
      <c r="AC55" s="202" t="s">
        <v>142</v>
      </c>
      <c r="AD55" s="74" t="s">
        <v>143</v>
      </c>
      <c r="AE55" s="63" t="s">
        <v>144</v>
      </c>
      <c r="AF55" s="78" t="s">
        <v>34</v>
      </c>
      <c r="AG55" s="79" t="s">
        <v>189</v>
      </c>
      <c r="AH55" s="79">
        <v>90.0</v>
      </c>
      <c r="AI55" s="79" t="s">
        <v>208</v>
      </c>
      <c r="AJ55" s="80" t="str">
        <f>AJ49</f>
        <v>開</v>
      </c>
      <c r="AK55" s="81" t="s">
        <v>44</v>
      </c>
      <c r="AL55" s="82" t="str">
        <f>AL49</f>
        <v>休</v>
      </c>
      <c r="AM55" s="81" t="s">
        <v>46</v>
      </c>
      <c r="AN55" s="82" t="s">
        <v>4</v>
      </c>
      <c r="AO55" s="81" t="s">
        <v>48</v>
      </c>
      <c r="AP55" s="82" t="str">
        <f>AP49</f>
        <v>傷</v>
      </c>
      <c r="AQ55" s="81" t="s">
        <v>50</v>
      </c>
      <c r="AR55" s="82" t="s">
        <v>8</v>
      </c>
      <c r="AS55" s="81" t="s">
        <v>52</v>
      </c>
      <c r="AT55" s="82" t="str">
        <f>AT49</f>
        <v>景</v>
      </c>
      <c r="AU55" s="81" t="s">
        <v>38</v>
      </c>
      <c r="AV55" s="82" t="str">
        <f>AV49</f>
        <v>死</v>
      </c>
      <c r="AW55" s="81" t="s">
        <v>40</v>
      </c>
      <c r="AX55" s="82" t="str">
        <f>AX49</f>
        <v>驚</v>
      </c>
      <c r="AY55" s="81" t="s">
        <v>42</v>
      </c>
      <c r="AZ55" s="83"/>
      <c r="BA55" s="84"/>
      <c r="BB55" s="84"/>
      <c r="BC55" s="84"/>
    </row>
    <row r="56">
      <c r="A56" s="192">
        <f>A50+1</f>
        <v>8</v>
      </c>
      <c r="B56" s="193"/>
      <c r="C56" s="12" t="s">
        <v>146</v>
      </c>
      <c r="E56" s="203" t="s">
        <v>209</v>
      </c>
      <c r="G56" s="137" t="str">
        <f t="shared" ref="G56:G57" si="61">G38:H38</f>
        <v>己</v>
      </c>
      <c r="I56" s="28" t="str">
        <f t="shared" ref="I56:I57" si="62">I38:J38</f>
        <v>乙</v>
      </c>
      <c r="K56" s="90">
        <f>L56/L57</f>
        <v>0.57</v>
      </c>
      <c r="L56" s="126">
        <f t="shared" ref="L56:L57" si="63">O56+P56+Q56+U56+V56+W56+X56+R56+M56+N56+S56+T56</f>
        <v>570</v>
      </c>
      <c r="M56" s="92">
        <v>0.0</v>
      </c>
      <c r="N56" s="93">
        <v>0.0</v>
      </c>
      <c r="O56" s="92">
        <v>65.0</v>
      </c>
      <c r="P56" s="92">
        <v>50.0</v>
      </c>
      <c r="Q56" s="92">
        <v>60.0</v>
      </c>
      <c r="R56" s="93">
        <v>80.0</v>
      </c>
      <c r="S56" s="92">
        <v>100.0</v>
      </c>
      <c r="T56" s="93">
        <v>30.0</v>
      </c>
      <c r="U56" s="92">
        <f t="shared" ref="U56:X56" si="60">U38</f>
        <v>50</v>
      </c>
      <c r="V56" s="93">
        <f t="shared" si="60"/>
        <v>90</v>
      </c>
      <c r="W56" s="92">
        <f t="shared" si="60"/>
        <v>35</v>
      </c>
      <c r="X56" s="93">
        <f t="shared" si="60"/>
        <v>10</v>
      </c>
      <c r="Y56" s="73" t="s">
        <v>126</v>
      </c>
      <c r="Z56" s="94" t="s">
        <v>70</v>
      </c>
      <c r="AA56" s="36"/>
      <c r="AB56" s="36"/>
      <c r="AC56" s="204" t="s">
        <v>82</v>
      </c>
      <c r="AD56" s="96" t="s">
        <v>83</v>
      </c>
      <c r="AE56" s="37"/>
      <c r="AF56" s="97"/>
      <c r="AG56" s="12" t="s">
        <v>54</v>
      </c>
      <c r="AH56" s="12">
        <v>150.0</v>
      </c>
      <c r="AI56" s="12" t="s">
        <v>210</v>
      </c>
      <c r="AJ56" s="98" t="s">
        <v>88</v>
      </c>
      <c r="AK56" s="101" t="s">
        <v>89</v>
      </c>
      <c r="AL56" s="100" t="s">
        <v>45</v>
      </c>
      <c r="AM56" s="102" t="s">
        <v>90</v>
      </c>
      <c r="AN56" s="100" t="s">
        <v>43</v>
      </c>
      <c r="AO56" s="101" t="s">
        <v>91</v>
      </c>
      <c r="AP56" s="100" t="s">
        <v>41</v>
      </c>
      <c r="AQ56" s="103" t="s">
        <v>92</v>
      </c>
      <c r="AR56" s="100" t="s">
        <v>39</v>
      </c>
      <c r="AS56" s="99" t="s">
        <v>93</v>
      </c>
      <c r="AT56" s="100" t="s">
        <v>37</v>
      </c>
      <c r="AU56" s="99" t="s">
        <v>94</v>
      </c>
      <c r="AV56" s="100" t="s">
        <v>51</v>
      </c>
      <c r="AW56" s="101" t="s">
        <v>95</v>
      </c>
      <c r="AX56" s="100" t="s">
        <v>86</v>
      </c>
      <c r="AY56" s="99" t="s">
        <v>87</v>
      </c>
      <c r="AZ56" s="24"/>
    </row>
    <row r="57">
      <c r="A57" s="200" t="str">
        <f>G2</f>
        <v>มกราคม</v>
      </c>
      <c r="B57" s="193"/>
      <c r="C57" s="175" t="s">
        <v>211</v>
      </c>
      <c r="E57" s="201" t="s">
        <v>202</v>
      </c>
      <c r="G57" s="180" t="str">
        <f t="shared" si="61"/>
        <v>丑</v>
      </c>
      <c r="I57" s="142" t="str">
        <f t="shared" si="62"/>
        <v>巳</v>
      </c>
      <c r="K57" s="36"/>
      <c r="L57" s="109">
        <f t="shared" si="63"/>
        <v>1000</v>
      </c>
      <c r="M57" s="9">
        <v>0.0</v>
      </c>
      <c r="N57" s="110">
        <v>0.0</v>
      </c>
      <c r="O57" s="9">
        <v>100.0</v>
      </c>
      <c r="P57" s="9">
        <v>100.0</v>
      </c>
      <c r="Q57" s="9">
        <v>100.0</v>
      </c>
      <c r="R57" s="110">
        <v>100.0</v>
      </c>
      <c r="S57" s="9">
        <v>100.0</v>
      </c>
      <c r="T57" s="110">
        <v>100.0</v>
      </c>
      <c r="U57" s="9">
        <v>100.0</v>
      </c>
      <c r="V57" s="110">
        <v>100.0</v>
      </c>
      <c r="W57" s="9">
        <v>100.0</v>
      </c>
      <c r="X57" s="110">
        <v>100.0</v>
      </c>
      <c r="Y57" s="73" t="s">
        <v>69</v>
      </c>
      <c r="Z57" s="94" t="s">
        <v>152</v>
      </c>
      <c r="AA57" s="36"/>
      <c r="AB57" s="36"/>
      <c r="AC57" s="111"/>
      <c r="AD57" s="112"/>
      <c r="AE57" s="37"/>
      <c r="AF57" s="97"/>
      <c r="AG57" s="14"/>
      <c r="AH57" s="14"/>
      <c r="AI57" s="14"/>
      <c r="AJ57" s="113"/>
      <c r="AK57" s="114" t="s">
        <v>101</v>
      </c>
      <c r="AM57" s="105" t="s">
        <v>102</v>
      </c>
      <c r="AO57" s="105" t="s">
        <v>103</v>
      </c>
      <c r="AQ57" s="104" t="s">
        <v>104</v>
      </c>
      <c r="AS57" s="104" t="s">
        <v>105</v>
      </c>
      <c r="AU57" s="104" t="s">
        <v>106</v>
      </c>
      <c r="AW57" s="105" t="s">
        <v>107</v>
      </c>
      <c r="AY57" s="104" t="s">
        <v>100</v>
      </c>
      <c r="AZ57" s="24"/>
    </row>
    <row r="58">
      <c r="A58" s="192">
        <f>A10</f>
        <v>2569</v>
      </c>
      <c r="B58" s="193"/>
      <c r="E58" s="115" t="s">
        <v>110</v>
      </c>
      <c r="F58" s="116" t="s">
        <v>212</v>
      </c>
      <c r="G58" s="115" t="str">
        <f t="shared" ref="G58:J58" si="64">G40</f>
        <v>A9</v>
      </c>
      <c r="H58" s="9" t="str">
        <f t="shared" si="64"/>
        <v>B8</v>
      </c>
      <c r="I58" s="9" t="str">
        <f t="shared" si="64"/>
        <v>A2</v>
      </c>
      <c r="J58" s="9" t="str">
        <f t="shared" si="64"/>
        <v>B12</v>
      </c>
      <c r="K58" s="36"/>
      <c r="L58" s="117"/>
      <c r="M58" s="118" t="str">
        <f t="shared" ref="M58:P58" si="65">C58</f>
        <v/>
      </c>
      <c r="N58" s="119" t="str">
        <f t="shared" si="65"/>
        <v/>
      </c>
      <c r="O58" s="118" t="str">
        <f t="shared" si="65"/>
        <v>A11</v>
      </c>
      <c r="P58" s="118" t="str">
        <f t="shared" si="65"/>
        <v>B9</v>
      </c>
      <c r="Q58" s="118" t="str">
        <f t="shared" ref="Q58:R58" si="66">E59</f>
        <v>B11</v>
      </c>
      <c r="R58" s="119" t="str">
        <f t="shared" si="66"/>
        <v>C6</v>
      </c>
      <c r="S58" s="9" t="s">
        <v>213</v>
      </c>
      <c r="T58" s="110" t="s">
        <v>198</v>
      </c>
      <c r="U58" s="9" t="str">
        <f t="shared" ref="U58:X58" si="67">G58</f>
        <v>A9</v>
      </c>
      <c r="V58" s="119" t="str">
        <f t="shared" si="67"/>
        <v>B8</v>
      </c>
      <c r="W58" s="118" t="str">
        <f t="shared" si="67"/>
        <v>A2</v>
      </c>
      <c r="X58" s="120" t="str">
        <f t="shared" si="67"/>
        <v>B12</v>
      </c>
      <c r="Y58" s="73" t="s">
        <v>80</v>
      </c>
      <c r="Z58" s="94" t="s">
        <v>153</v>
      </c>
      <c r="AA58" s="36"/>
      <c r="AB58" s="36"/>
      <c r="AC58" s="111"/>
      <c r="AD58" s="112"/>
      <c r="AE58" s="37"/>
      <c r="AF58" s="97"/>
      <c r="AG58" s="14"/>
      <c r="AH58" s="14"/>
      <c r="AI58" s="14"/>
      <c r="AJ58" s="113"/>
      <c r="AK58" s="114" t="s">
        <v>119</v>
      </c>
      <c r="AM58" s="105" t="s">
        <v>120</v>
      </c>
      <c r="AO58" s="105" t="s">
        <v>121</v>
      </c>
      <c r="AQ58" s="104" t="s">
        <v>122</v>
      </c>
      <c r="AS58" s="104" t="s">
        <v>123</v>
      </c>
      <c r="AU58" s="104" t="s">
        <v>124</v>
      </c>
      <c r="AW58" s="105" t="s">
        <v>125</v>
      </c>
      <c r="AY58" s="104" t="s">
        <v>118</v>
      </c>
      <c r="AZ58" s="24"/>
    </row>
    <row r="59">
      <c r="A59" s="192">
        <f>A58-543</f>
        <v>2026</v>
      </c>
      <c r="B59" s="193"/>
      <c r="E59" s="115" t="s">
        <v>214</v>
      </c>
      <c r="F59" s="116" t="s">
        <v>215</v>
      </c>
      <c r="G59" s="115"/>
      <c r="H59" s="118"/>
      <c r="I59" s="118"/>
      <c r="J59" s="118"/>
      <c r="K59" s="36"/>
      <c r="L59" s="117"/>
      <c r="N59" s="117"/>
      <c r="R59" s="117"/>
      <c r="T59" s="117"/>
      <c r="V59" s="117"/>
      <c r="X59" s="117"/>
      <c r="Y59" s="73" t="s">
        <v>98</v>
      </c>
      <c r="Z59" s="94" t="s">
        <v>155</v>
      </c>
      <c r="AA59" s="36"/>
      <c r="AB59" s="36"/>
      <c r="AC59" s="111"/>
      <c r="AD59" s="112"/>
      <c r="AE59" s="37"/>
      <c r="AF59" s="97"/>
      <c r="AG59" s="14"/>
      <c r="AH59" s="14"/>
      <c r="AI59" s="14"/>
      <c r="AJ59" s="113"/>
      <c r="AK59" s="114" t="s">
        <v>130</v>
      </c>
      <c r="AM59" s="105" t="s">
        <v>131</v>
      </c>
      <c r="AO59" s="105" t="s">
        <v>132</v>
      </c>
      <c r="AQ59" s="104" t="s">
        <v>133</v>
      </c>
      <c r="AS59" s="104" t="s">
        <v>134</v>
      </c>
      <c r="AU59" s="104" t="s">
        <v>135</v>
      </c>
      <c r="AW59" s="105" t="s">
        <v>136</v>
      </c>
      <c r="AY59" s="104" t="s">
        <v>129</v>
      </c>
      <c r="AZ59" s="24"/>
    </row>
    <row r="60">
      <c r="A60" s="205"/>
      <c r="B60" s="197"/>
      <c r="C60" s="123"/>
      <c r="D60" s="123"/>
      <c r="E60" s="164" t="s">
        <v>185</v>
      </c>
      <c r="F60" s="88"/>
      <c r="G60" s="165" t="str">
        <f>G42:H42</f>
        <v>อสูรเดือน E</v>
      </c>
      <c r="I60" s="166" t="str">
        <f>I12:J12</f>
        <v>อสูรปี E</v>
      </c>
      <c r="K60" s="90"/>
      <c r="L60" s="126"/>
      <c r="M60" s="8"/>
      <c r="N60" s="121"/>
      <c r="O60" s="8"/>
      <c r="P60" s="8"/>
      <c r="Q60" s="8"/>
      <c r="R60" s="121"/>
      <c r="S60" s="8"/>
      <c r="T60" s="121"/>
      <c r="U60" s="9"/>
      <c r="V60" s="110"/>
      <c r="W60" s="9"/>
      <c r="X60" s="110"/>
      <c r="Y60" s="127"/>
      <c r="Z60" s="155"/>
      <c r="AA60" s="36"/>
      <c r="AB60" s="36"/>
      <c r="AC60" s="111"/>
      <c r="AD60" s="112"/>
      <c r="AE60" s="37"/>
      <c r="AF60" s="97"/>
      <c r="AG60" s="14"/>
      <c r="AH60" s="14"/>
      <c r="AI60" s="14"/>
      <c r="AJ60" s="113"/>
      <c r="AY60" s="128"/>
      <c r="AZ60" s="24"/>
    </row>
    <row r="61">
      <c r="A61" s="188" t="s">
        <v>139</v>
      </c>
      <c r="B61" s="189"/>
      <c r="C61" s="63"/>
      <c r="D61" s="63"/>
      <c r="E61" s="64">
        <f>(O62+P62+Q62+R62)/(O63+P63+Q63+R63)</f>
        <v>0.3375</v>
      </c>
      <c r="F61" s="65"/>
      <c r="G61" s="133"/>
      <c r="H61" s="72"/>
      <c r="I61" s="67"/>
      <c r="J61" s="72"/>
      <c r="K61" s="68"/>
      <c r="L61" s="69"/>
      <c r="M61" s="63" t="s">
        <v>64</v>
      </c>
      <c r="N61" s="70"/>
      <c r="O61" s="71" t="s">
        <v>65</v>
      </c>
      <c r="P61" s="72"/>
      <c r="Q61" s="72"/>
      <c r="R61" s="70"/>
      <c r="S61" s="71" t="s">
        <v>66</v>
      </c>
      <c r="T61" s="70"/>
      <c r="U61" s="71" t="s">
        <v>67</v>
      </c>
      <c r="V61" s="70"/>
      <c r="W61" s="71" t="s">
        <v>68</v>
      </c>
      <c r="X61" s="70"/>
      <c r="Y61" s="134" t="s">
        <v>116</v>
      </c>
      <c r="Z61" s="74" t="s">
        <v>159</v>
      </c>
      <c r="AA61" s="75" t="s">
        <v>189</v>
      </c>
      <c r="AB61" s="75" t="s">
        <v>192</v>
      </c>
      <c r="AC61" s="202" t="s">
        <v>142</v>
      </c>
      <c r="AD61" s="74" t="s">
        <v>143</v>
      </c>
      <c r="AE61" s="63" t="s">
        <v>144</v>
      </c>
      <c r="AF61" s="78" t="s">
        <v>75</v>
      </c>
      <c r="AG61" s="79" t="s">
        <v>54</v>
      </c>
      <c r="AH61" s="79">
        <v>150.0</v>
      </c>
      <c r="AI61" s="79" t="s">
        <v>210</v>
      </c>
      <c r="AJ61" s="80" t="str">
        <f>AJ55</f>
        <v>開</v>
      </c>
      <c r="AK61" s="81" t="s">
        <v>38</v>
      </c>
      <c r="AL61" s="82" t="str">
        <f>AL55</f>
        <v>休</v>
      </c>
      <c r="AM61" s="81" t="s">
        <v>40</v>
      </c>
      <c r="AN61" s="82" t="s">
        <v>4</v>
      </c>
      <c r="AO61" s="81" t="s">
        <v>42</v>
      </c>
      <c r="AP61" s="82" t="str">
        <f>AP55</f>
        <v>傷</v>
      </c>
      <c r="AQ61" s="81" t="s">
        <v>44</v>
      </c>
      <c r="AR61" s="82" t="s">
        <v>8</v>
      </c>
      <c r="AS61" s="81" t="s">
        <v>46</v>
      </c>
      <c r="AT61" s="82" t="str">
        <f>AT55</f>
        <v>景</v>
      </c>
      <c r="AU61" s="81" t="s">
        <v>48</v>
      </c>
      <c r="AV61" s="82" t="str">
        <f>AV55</f>
        <v>死</v>
      </c>
      <c r="AW61" s="81" t="s">
        <v>50</v>
      </c>
      <c r="AX61" s="82" t="str">
        <f>AX55</f>
        <v>驚</v>
      </c>
      <c r="AY61" s="81" t="s">
        <v>52</v>
      </c>
      <c r="AZ61" s="83"/>
      <c r="BA61" s="84"/>
      <c r="BB61" s="84"/>
      <c r="BC61" s="84"/>
    </row>
    <row r="62">
      <c r="A62" s="192">
        <f>A56+1</f>
        <v>9</v>
      </c>
      <c r="B62" s="193"/>
      <c r="C62" s="12" t="s">
        <v>216</v>
      </c>
      <c r="E62" s="203" t="s">
        <v>171</v>
      </c>
      <c r="G62" s="137" t="str">
        <f t="shared" ref="G62:G63" si="69">G38:H38</f>
        <v>己</v>
      </c>
      <c r="I62" s="138" t="str">
        <f t="shared" ref="I62:I63" si="70">I38:J38</f>
        <v>乙</v>
      </c>
      <c r="K62" s="90">
        <f>L62/L63</f>
        <v>0.495</v>
      </c>
      <c r="L62" s="126">
        <f t="shared" ref="L62:L63" si="71">O62+P62+Q62+U62+V62+W62+X62+R62+M62+N62+S62+T62</f>
        <v>495</v>
      </c>
      <c r="M62" s="92">
        <v>0.0</v>
      </c>
      <c r="N62" s="93">
        <v>0.0</v>
      </c>
      <c r="O62" s="92">
        <v>45.0</v>
      </c>
      <c r="P62" s="92">
        <v>40.0</v>
      </c>
      <c r="Q62" s="92">
        <v>40.0</v>
      </c>
      <c r="R62" s="93">
        <v>10.0</v>
      </c>
      <c r="S62" s="92">
        <v>90.0</v>
      </c>
      <c r="T62" s="93">
        <v>85.0</v>
      </c>
      <c r="U62" s="92">
        <f t="shared" ref="U62:X62" si="68">U38</f>
        <v>50</v>
      </c>
      <c r="V62" s="93">
        <f t="shared" si="68"/>
        <v>90</v>
      </c>
      <c r="W62" s="92">
        <f t="shared" si="68"/>
        <v>35</v>
      </c>
      <c r="X62" s="93">
        <f t="shared" si="68"/>
        <v>10</v>
      </c>
      <c r="Y62" s="73" t="s">
        <v>126</v>
      </c>
      <c r="Z62" s="94" t="s">
        <v>152</v>
      </c>
      <c r="AA62" s="36"/>
      <c r="AB62" s="36"/>
      <c r="AC62" s="204" t="s">
        <v>82</v>
      </c>
      <c r="AD62" s="96" t="s">
        <v>83</v>
      </c>
      <c r="AE62" s="37"/>
      <c r="AF62" s="97"/>
      <c r="AG62" s="12" t="s">
        <v>189</v>
      </c>
      <c r="AH62" s="12">
        <v>90.0</v>
      </c>
      <c r="AI62" s="12" t="s">
        <v>208</v>
      </c>
      <c r="AJ62" s="98" t="s">
        <v>39</v>
      </c>
      <c r="AK62" s="99" t="s">
        <v>93</v>
      </c>
      <c r="AL62" s="100" t="s">
        <v>37</v>
      </c>
      <c r="AM62" s="99" t="s">
        <v>94</v>
      </c>
      <c r="AN62" s="100" t="s">
        <v>51</v>
      </c>
      <c r="AO62" s="101" t="s">
        <v>95</v>
      </c>
      <c r="AP62" s="100" t="s">
        <v>86</v>
      </c>
      <c r="AQ62" s="99" t="s">
        <v>87</v>
      </c>
      <c r="AR62" s="100" t="s">
        <v>88</v>
      </c>
      <c r="AS62" s="101" t="s">
        <v>89</v>
      </c>
      <c r="AT62" s="100" t="s">
        <v>45</v>
      </c>
      <c r="AU62" s="102" t="s">
        <v>90</v>
      </c>
      <c r="AV62" s="100" t="s">
        <v>43</v>
      </c>
      <c r="AW62" s="101" t="s">
        <v>91</v>
      </c>
      <c r="AX62" s="100" t="s">
        <v>41</v>
      </c>
      <c r="AY62" s="103" t="s">
        <v>92</v>
      </c>
      <c r="AZ62" s="24"/>
    </row>
    <row r="63">
      <c r="A63" s="200" t="str">
        <f>A51</f>
        <v>มกราคม</v>
      </c>
      <c r="B63" s="193"/>
      <c r="C63" s="161" t="s">
        <v>217</v>
      </c>
      <c r="E63" s="162" t="s">
        <v>71</v>
      </c>
      <c r="G63" s="180" t="str">
        <f t="shared" si="69"/>
        <v>丑</v>
      </c>
      <c r="I63" s="142" t="str">
        <f t="shared" si="70"/>
        <v>巳</v>
      </c>
      <c r="K63" s="36"/>
      <c r="L63" s="109">
        <f t="shared" si="71"/>
        <v>1000</v>
      </c>
      <c r="M63" s="9">
        <v>0.0</v>
      </c>
      <c r="N63" s="110">
        <v>0.0</v>
      </c>
      <c r="O63" s="9">
        <v>100.0</v>
      </c>
      <c r="P63" s="9">
        <v>100.0</v>
      </c>
      <c r="Q63" s="9">
        <v>100.0</v>
      </c>
      <c r="R63" s="110">
        <v>100.0</v>
      </c>
      <c r="S63" s="9">
        <v>100.0</v>
      </c>
      <c r="T63" s="110">
        <v>100.0</v>
      </c>
      <c r="U63" s="9">
        <v>100.0</v>
      </c>
      <c r="V63" s="110">
        <v>100.0</v>
      </c>
      <c r="W63" s="9">
        <v>100.0</v>
      </c>
      <c r="X63" s="110">
        <v>100.0</v>
      </c>
      <c r="Y63" s="73" t="s">
        <v>69</v>
      </c>
      <c r="Z63" s="94" t="s">
        <v>163</v>
      </c>
      <c r="AA63" s="36"/>
      <c r="AB63" s="36"/>
      <c r="AC63" s="111"/>
      <c r="AD63" s="112"/>
      <c r="AE63" s="37"/>
      <c r="AF63" s="97"/>
      <c r="AG63" s="14"/>
      <c r="AH63" s="14"/>
      <c r="AI63" s="14"/>
      <c r="AJ63" s="113"/>
      <c r="AK63" s="104" t="s">
        <v>105</v>
      </c>
      <c r="AM63" s="104" t="s">
        <v>106</v>
      </c>
      <c r="AO63" s="105" t="s">
        <v>107</v>
      </c>
      <c r="AQ63" s="104" t="s">
        <v>100</v>
      </c>
      <c r="AS63" s="114" t="s">
        <v>101</v>
      </c>
      <c r="AU63" s="105" t="s">
        <v>102</v>
      </c>
      <c r="AW63" s="105" t="s">
        <v>103</v>
      </c>
      <c r="AY63" s="104" t="s">
        <v>104</v>
      </c>
      <c r="AZ63" s="24"/>
    </row>
    <row r="64">
      <c r="A64" s="192">
        <f>A10</f>
        <v>2569</v>
      </c>
      <c r="B64" s="193"/>
      <c r="E64" s="115" t="s">
        <v>164</v>
      </c>
      <c r="F64" s="116" t="s">
        <v>218</v>
      </c>
      <c r="G64" s="115" t="str">
        <f t="shared" ref="G64:J64" si="72">G40</f>
        <v>A9</v>
      </c>
      <c r="H64" s="9" t="str">
        <f t="shared" si="72"/>
        <v>B8</v>
      </c>
      <c r="I64" s="9" t="str">
        <f t="shared" si="72"/>
        <v>A2</v>
      </c>
      <c r="J64" s="9" t="str">
        <f t="shared" si="72"/>
        <v>B12</v>
      </c>
      <c r="K64" s="36"/>
      <c r="L64" s="117"/>
      <c r="M64" s="118" t="str">
        <f t="shared" ref="M64:P64" si="73">C64</f>
        <v/>
      </c>
      <c r="N64" s="119" t="str">
        <f t="shared" si="73"/>
        <v/>
      </c>
      <c r="O64" s="118" t="str">
        <f t="shared" si="73"/>
        <v>A9</v>
      </c>
      <c r="P64" s="118" t="str">
        <f t="shared" si="73"/>
        <v>B10</v>
      </c>
      <c r="Q64" s="118" t="str">
        <f t="shared" ref="Q64:R64" si="74">E65</f>
        <v>B10</v>
      </c>
      <c r="R64" s="119" t="str">
        <f t="shared" si="74"/>
        <v>C7</v>
      </c>
      <c r="S64" s="9" t="s">
        <v>219</v>
      </c>
      <c r="T64" s="110" t="s">
        <v>219</v>
      </c>
      <c r="U64" s="9" t="str">
        <f t="shared" ref="U64:X64" si="75">G64</f>
        <v>A9</v>
      </c>
      <c r="V64" s="119" t="str">
        <f t="shared" si="75"/>
        <v>B8</v>
      </c>
      <c r="W64" s="118" t="str">
        <f t="shared" si="75"/>
        <v>A2</v>
      </c>
      <c r="X64" s="120" t="str">
        <f t="shared" si="75"/>
        <v>B12</v>
      </c>
      <c r="Y64" s="73" t="s">
        <v>80</v>
      </c>
      <c r="Z64" s="94" t="s">
        <v>117</v>
      </c>
      <c r="AA64" s="36"/>
      <c r="AB64" s="36"/>
      <c r="AC64" s="111"/>
      <c r="AD64" s="112"/>
      <c r="AE64" s="37"/>
      <c r="AF64" s="97"/>
      <c r="AG64" s="14"/>
      <c r="AH64" s="14"/>
      <c r="AI64" s="14"/>
      <c r="AJ64" s="113"/>
      <c r="AK64" s="104" t="s">
        <v>123</v>
      </c>
      <c r="AM64" s="104" t="s">
        <v>124</v>
      </c>
      <c r="AO64" s="105" t="s">
        <v>125</v>
      </c>
      <c r="AQ64" s="104" t="s">
        <v>118</v>
      </c>
      <c r="AS64" s="114" t="s">
        <v>119</v>
      </c>
      <c r="AU64" s="105" t="s">
        <v>120</v>
      </c>
      <c r="AW64" s="105" t="s">
        <v>121</v>
      </c>
      <c r="AY64" s="104" t="s">
        <v>122</v>
      </c>
      <c r="AZ64" s="24"/>
    </row>
    <row r="65">
      <c r="A65" s="192">
        <f>A64-543</f>
        <v>2026</v>
      </c>
      <c r="B65" s="193"/>
      <c r="E65" s="115" t="s">
        <v>218</v>
      </c>
      <c r="F65" s="116" t="s">
        <v>220</v>
      </c>
      <c r="G65" s="115"/>
      <c r="H65" s="118"/>
      <c r="I65" s="118"/>
      <c r="J65" s="118"/>
      <c r="K65" s="36"/>
      <c r="L65" s="117"/>
      <c r="N65" s="117"/>
      <c r="R65" s="117"/>
      <c r="T65" s="117"/>
      <c r="V65" s="117"/>
      <c r="X65" s="117"/>
      <c r="Y65" s="73" t="s">
        <v>98</v>
      </c>
      <c r="Z65" s="94" t="s">
        <v>128</v>
      </c>
      <c r="AA65" s="36"/>
      <c r="AB65" s="36"/>
      <c r="AC65" s="111"/>
      <c r="AD65" s="112"/>
      <c r="AE65" s="37"/>
      <c r="AF65" s="97"/>
      <c r="AG65" s="14"/>
      <c r="AH65" s="14"/>
      <c r="AI65" s="14"/>
      <c r="AJ65" s="113"/>
      <c r="AK65" s="104" t="s">
        <v>134</v>
      </c>
      <c r="AM65" s="104" t="s">
        <v>135</v>
      </c>
      <c r="AO65" s="105" t="s">
        <v>136</v>
      </c>
      <c r="AQ65" s="104" t="s">
        <v>129</v>
      </c>
      <c r="AS65" s="114" t="s">
        <v>130</v>
      </c>
      <c r="AU65" s="105" t="s">
        <v>131</v>
      </c>
      <c r="AW65" s="105" t="s">
        <v>132</v>
      </c>
      <c r="AY65" s="104" t="s">
        <v>133</v>
      </c>
      <c r="AZ65" s="24"/>
    </row>
    <row r="66">
      <c r="A66" s="113"/>
      <c r="B66" s="206"/>
      <c r="C66" s="123"/>
      <c r="D66" s="123"/>
      <c r="E66" s="198" t="s">
        <v>137</v>
      </c>
      <c r="F66" s="88"/>
      <c r="G66" s="207" t="str">
        <f>G42:H42</f>
        <v>อสูรเดือน E</v>
      </c>
      <c r="I66" s="208" t="str">
        <f>I5:J5</f>
        <v>อสูรปี E</v>
      </c>
      <c r="K66" s="36"/>
      <c r="L66" s="117"/>
      <c r="N66" s="117"/>
      <c r="R66" s="117"/>
      <c r="S66" s="8"/>
      <c r="T66" s="121"/>
      <c r="V66" s="117"/>
      <c r="X66" s="117"/>
      <c r="Y66" s="127"/>
      <c r="Z66" s="155"/>
      <c r="AA66" s="36"/>
      <c r="AB66" s="36"/>
      <c r="AC66" s="111"/>
      <c r="AD66" s="112"/>
      <c r="AE66" s="37"/>
      <c r="AF66" s="97"/>
      <c r="AG66" s="14"/>
      <c r="AH66" s="14"/>
      <c r="AI66" s="14"/>
      <c r="AJ66" s="113"/>
      <c r="AO66" s="128"/>
      <c r="AZ66" s="24"/>
    </row>
    <row r="67">
      <c r="A67" s="188" t="s">
        <v>158</v>
      </c>
      <c r="B67" s="189"/>
      <c r="C67" s="63"/>
      <c r="D67" s="63"/>
      <c r="E67" s="64">
        <f>(O68+P68+Q68+R68)/(O69+P69+Q69+R69)</f>
        <v>0.325</v>
      </c>
      <c r="F67" s="65"/>
      <c r="G67" s="133"/>
      <c r="H67" s="72"/>
      <c r="I67" s="67"/>
      <c r="J67" s="72"/>
      <c r="K67" s="68"/>
      <c r="L67" s="69"/>
      <c r="M67" s="63" t="s">
        <v>64</v>
      </c>
      <c r="N67" s="70"/>
      <c r="O67" s="71" t="s">
        <v>65</v>
      </c>
      <c r="P67" s="72"/>
      <c r="Q67" s="72"/>
      <c r="R67" s="70"/>
      <c r="S67" s="71" t="s">
        <v>66</v>
      </c>
      <c r="T67" s="70"/>
      <c r="U67" s="71" t="s">
        <v>67</v>
      </c>
      <c r="V67" s="70"/>
      <c r="W67" s="71" t="s">
        <v>68</v>
      </c>
      <c r="X67" s="70"/>
      <c r="Y67" s="134" t="s">
        <v>80</v>
      </c>
      <c r="Z67" s="74" t="s">
        <v>170</v>
      </c>
      <c r="AA67" s="75" t="s">
        <v>171</v>
      </c>
      <c r="AB67" s="75" t="s">
        <v>172</v>
      </c>
      <c r="AC67" s="135" t="s">
        <v>142</v>
      </c>
      <c r="AD67" s="74" t="s">
        <v>143</v>
      </c>
      <c r="AE67" s="63" t="s">
        <v>35</v>
      </c>
      <c r="AF67" s="78" t="s">
        <v>144</v>
      </c>
      <c r="AG67" s="79" t="s">
        <v>71</v>
      </c>
      <c r="AH67" s="79">
        <v>210.0</v>
      </c>
      <c r="AI67" s="79" t="s">
        <v>175</v>
      </c>
      <c r="AJ67" s="80" t="str">
        <f>AJ61</f>
        <v>開</v>
      </c>
      <c r="AK67" s="81" t="s">
        <v>38</v>
      </c>
      <c r="AL67" s="82" t="str">
        <f>AL61</f>
        <v>休</v>
      </c>
      <c r="AM67" s="81" t="s">
        <v>40</v>
      </c>
      <c r="AN67" s="82" t="s">
        <v>4</v>
      </c>
      <c r="AO67" s="81" t="s">
        <v>42</v>
      </c>
      <c r="AP67" s="82" t="str">
        <f>AP61</f>
        <v>傷</v>
      </c>
      <c r="AQ67" s="81" t="s">
        <v>44</v>
      </c>
      <c r="AR67" s="82" t="s">
        <v>8</v>
      </c>
      <c r="AS67" s="81" t="s">
        <v>46</v>
      </c>
      <c r="AT67" s="82" t="str">
        <f>AT61</f>
        <v>景</v>
      </c>
      <c r="AU67" s="81" t="s">
        <v>48</v>
      </c>
      <c r="AV67" s="82" t="str">
        <f>AV61</f>
        <v>死</v>
      </c>
      <c r="AW67" s="81" t="s">
        <v>50</v>
      </c>
      <c r="AX67" s="82" t="str">
        <f>AX61</f>
        <v>驚</v>
      </c>
      <c r="AY67" s="81" t="s">
        <v>52</v>
      </c>
      <c r="AZ67" s="83"/>
      <c r="BA67" s="84"/>
      <c r="BB67" s="84"/>
      <c r="BC67" s="84"/>
    </row>
    <row r="68">
      <c r="A68" s="192">
        <f>A62+1</f>
        <v>10</v>
      </c>
      <c r="B68" s="193"/>
      <c r="C68" s="12" t="s">
        <v>221</v>
      </c>
      <c r="E68" s="87" t="s">
        <v>222</v>
      </c>
      <c r="G68" s="137" t="str">
        <f t="shared" ref="G68:G69" si="77">G38:H38</f>
        <v>己</v>
      </c>
      <c r="I68" s="138" t="str">
        <f t="shared" ref="I68:I69" si="78">I38:J38</f>
        <v>乙</v>
      </c>
      <c r="K68" s="90">
        <f>L68/L69</f>
        <v>0.45</v>
      </c>
      <c r="L68" s="126">
        <f t="shared" ref="L68:L69" si="79">O68+P68+Q68+U68+V68+W68+X68+R68+M68+N68+S68+T68</f>
        <v>450</v>
      </c>
      <c r="M68" s="92">
        <v>0.0</v>
      </c>
      <c r="N68" s="93">
        <v>0.0</v>
      </c>
      <c r="O68" s="92">
        <v>0.0</v>
      </c>
      <c r="P68" s="92">
        <v>60.0</v>
      </c>
      <c r="Q68" s="92">
        <v>50.0</v>
      </c>
      <c r="R68" s="93">
        <v>20.0</v>
      </c>
      <c r="S68" s="92">
        <v>40.0</v>
      </c>
      <c r="T68" s="93">
        <v>95.0</v>
      </c>
      <c r="U68" s="92">
        <f t="shared" ref="U68:X68" si="76">U38</f>
        <v>50</v>
      </c>
      <c r="V68" s="93">
        <f t="shared" si="76"/>
        <v>90</v>
      </c>
      <c r="W68" s="92">
        <f t="shared" si="76"/>
        <v>35</v>
      </c>
      <c r="X68" s="93">
        <f t="shared" si="76"/>
        <v>10</v>
      </c>
      <c r="Y68" s="73" t="s">
        <v>98</v>
      </c>
      <c r="Z68" s="94" t="s">
        <v>70</v>
      </c>
      <c r="AA68" s="36"/>
      <c r="AB68" s="169" t="s">
        <v>177</v>
      </c>
      <c r="AC68" s="139" t="s">
        <v>148</v>
      </c>
      <c r="AD68" s="96" t="s">
        <v>149</v>
      </c>
      <c r="AE68" s="37"/>
      <c r="AF68" s="97"/>
      <c r="AG68" s="12" t="s">
        <v>53</v>
      </c>
      <c r="AH68" s="12">
        <v>30.0</v>
      </c>
      <c r="AI68" s="12" t="s">
        <v>178</v>
      </c>
      <c r="AJ68" s="98" t="s">
        <v>37</v>
      </c>
      <c r="AK68" s="99" t="s">
        <v>94</v>
      </c>
      <c r="AL68" s="100" t="s">
        <v>51</v>
      </c>
      <c r="AM68" s="101" t="s">
        <v>95</v>
      </c>
      <c r="AN68" s="100" t="s">
        <v>86</v>
      </c>
      <c r="AO68" s="99" t="s">
        <v>87</v>
      </c>
      <c r="AP68" s="100" t="s">
        <v>88</v>
      </c>
      <c r="AQ68" s="101" t="s">
        <v>89</v>
      </c>
      <c r="AR68" s="100" t="s">
        <v>45</v>
      </c>
      <c r="AS68" s="102" t="s">
        <v>90</v>
      </c>
      <c r="AT68" s="100" t="s">
        <v>43</v>
      </c>
      <c r="AU68" s="101" t="s">
        <v>91</v>
      </c>
      <c r="AV68" s="100" t="s">
        <v>41</v>
      </c>
      <c r="AW68" s="103" t="s">
        <v>92</v>
      </c>
      <c r="AX68" s="100" t="s">
        <v>39</v>
      </c>
      <c r="AY68" s="99" t="s">
        <v>93</v>
      </c>
      <c r="AZ68" s="24"/>
    </row>
    <row r="69">
      <c r="A69" s="200" t="str">
        <f>G2</f>
        <v>มกราคม</v>
      </c>
      <c r="B69" s="193"/>
      <c r="C69" s="161" t="s">
        <v>223</v>
      </c>
      <c r="E69" s="209" t="s">
        <v>76</v>
      </c>
      <c r="G69" s="180" t="str">
        <f t="shared" si="77"/>
        <v>丑</v>
      </c>
      <c r="I69" s="142" t="str">
        <f t="shared" si="78"/>
        <v>巳</v>
      </c>
      <c r="K69" s="36"/>
      <c r="L69" s="109">
        <f t="shared" si="79"/>
        <v>1000</v>
      </c>
      <c r="M69" s="9">
        <v>0.0</v>
      </c>
      <c r="N69" s="110">
        <v>0.0</v>
      </c>
      <c r="O69" s="9">
        <v>100.0</v>
      </c>
      <c r="P69" s="9">
        <v>100.0</v>
      </c>
      <c r="Q69" s="9">
        <v>100.0</v>
      </c>
      <c r="R69" s="110">
        <v>100.0</v>
      </c>
      <c r="S69" s="9">
        <v>100.0</v>
      </c>
      <c r="T69" s="110">
        <v>100.0</v>
      </c>
      <c r="U69" s="9">
        <v>100.0</v>
      </c>
      <c r="V69" s="110">
        <v>100.0</v>
      </c>
      <c r="W69" s="9">
        <v>100.0</v>
      </c>
      <c r="X69" s="110">
        <v>100.0</v>
      </c>
      <c r="Y69" s="73" t="s">
        <v>116</v>
      </c>
      <c r="Z69" s="94" t="s">
        <v>181</v>
      </c>
      <c r="AA69" s="36"/>
      <c r="AB69" s="36"/>
      <c r="AC69" s="111"/>
      <c r="AD69" s="112"/>
      <c r="AE69" s="37"/>
      <c r="AF69" s="97"/>
      <c r="AG69" s="14"/>
      <c r="AH69" s="14"/>
      <c r="AI69" s="14"/>
      <c r="AJ69" s="113"/>
      <c r="AK69" s="104" t="s">
        <v>106</v>
      </c>
      <c r="AM69" s="105" t="s">
        <v>107</v>
      </c>
      <c r="AO69" s="104" t="s">
        <v>100</v>
      </c>
      <c r="AQ69" s="114" t="s">
        <v>101</v>
      </c>
      <c r="AS69" s="105" t="s">
        <v>102</v>
      </c>
      <c r="AU69" s="105" t="s">
        <v>103</v>
      </c>
      <c r="AW69" s="104" t="s">
        <v>104</v>
      </c>
      <c r="AY69" s="104" t="s">
        <v>105</v>
      </c>
      <c r="AZ69" s="24"/>
    </row>
    <row r="70">
      <c r="A70" s="192">
        <f>A10</f>
        <v>2569</v>
      </c>
      <c r="B70" s="193"/>
      <c r="E70" s="115" t="s">
        <v>114</v>
      </c>
      <c r="F70" s="116" t="s">
        <v>214</v>
      </c>
      <c r="G70" s="115" t="str">
        <f t="shared" ref="G70:J70" si="80">G40</f>
        <v>A9</v>
      </c>
      <c r="H70" s="9" t="str">
        <f t="shared" si="80"/>
        <v>B8</v>
      </c>
      <c r="I70" s="9" t="str">
        <f t="shared" si="80"/>
        <v>A2</v>
      </c>
      <c r="J70" s="9" t="str">
        <f t="shared" si="80"/>
        <v>B12</v>
      </c>
      <c r="K70" s="36"/>
      <c r="L70" s="117"/>
      <c r="M70" s="118" t="str">
        <f t="shared" ref="M70:P70" si="81">C70</f>
        <v/>
      </c>
      <c r="N70" s="119" t="str">
        <f t="shared" si="81"/>
        <v/>
      </c>
      <c r="O70" s="118" t="str">
        <f t="shared" si="81"/>
        <v>A10</v>
      </c>
      <c r="P70" s="118" t="str">
        <f t="shared" si="81"/>
        <v>B11</v>
      </c>
      <c r="Q70" s="118" t="str">
        <f t="shared" ref="Q70:R70" si="82">E71</f>
        <v>B9</v>
      </c>
      <c r="R70" s="119" t="str">
        <f t="shared" si="82"/>
        <v>C8</v>
      </c>
      <c r="S70" s="9" t="s">
        <v>112</v>
      </c>
      <c r="T70" s="110" t="s">
        <v>219</v>
      </c>
      <c r="U70" s="9" t="str">
        <f t="shared" ref="U70:X70" si="83">G70</f>
        <v>A9</v>
      </c>
      <c r="V70" s="119" t="str">
        <f t="shared" si="83"/>
        <v>B8</v>
      </c>
      <c r="W70" s="118" t="str">
        <f t="shared" si="83"/>
        <v>A2</v>
      </c>
      <c r="X70" s="120" t="str">
        <f t="shared" si="83"/>
        <v>B12</v>
      </c>
      <c r="Y70" s="73" t="s">
        <v>126</v>
      </c>
      <c r="Z70" s="94" t="s">
        <v>163</v>
      </c>
      <c r="AA70" s="36"/>
      <c r="AB70" s="36"/>
      <c r="AC70" s="111"/>
      <c r="AD70" s="112"/>
      <c r="AE70" s="37"/>
      <c r="AF70" s="97"/>
      <c r="AG70" s="14"/>
      <c r="AH70" s="14"/>
      <c r="AI70" s="14"/>
      <c r="AJ70" s="113"/>
      <c r="AK70" s="104" t="s">
        <v>124</v>
      </c>
      <c r="AM70" s="105" t="s">
        <v>125</v>
      </c>
      <c r="AO70" s="104" t="s">
        <v>118</v>
      </c>
      <c r="AQ70" s="114" t="s">
        <v>119</v>
      </c>
      <c r="AS70" s="105" t="s">
        <v>120</v>
      </c>
      <c r="AU70" s="105" t="s">
        <v>121</v>
      </c>
      <c r="AW70" s="104" t="s">
        <v>122</v>
      </c>
      <c r="AY70" s="104" t="s">
        <v>123</v>
      </c>
      <c r="AZ70" s="24"/>
    </row>
    <row r="71">
      <c r="A71" s="192">
        <f>A70-543</f>
        <v>2026</v>
      </c>
      <c r="B71" s="193"/>
      <c r="C71" s="12" t="s">
        <v>224</v>
      </c>
      <c r="E71" s="115" t="s">
        <v>212</v>
      </c>
      <c r="F71" s="116" t="s">
        <v>225</v>
      </c>
      <c r="G71" s="115"/>
      <c r="H71" s="118"/>
      <c r="I71" s="118"/>
      <c r="J71" s="118"/>
      <c r="K71" s="36"/>
      <c r="L71" s="117"/>
      <c r="N71" s="117"/>
      <c r="R71" s="117"/>
      <c r="T71" s="117"/>
      <c r="V71" s="117"/>
      <c r="X71" s="117"/>
      <c r="Y71" s="73" t="s">
        <v>69</v>
      </c>
      <c r="Z71" s="94" t="s">
        <v>99</v>
      </c>
      <c r="AA71" s="36"/>
      <c r="AB71" s="36"/>
      <c r="AC71" s="111"/>
      <c r="AD71" s="112"/>
      <c r="AE71" s="37"/>
      <c r="AF71" s="97"/>
      <c r="AG71" s="14"/>
      <c r="AH71" s="14"/>
      <c r="AI71" s="14"/>
      <c r="AJ71" s="113"/>
      <c r="AK71" s="104" t="s">
        <v>135</v>
      </c>
      <c r="AM71" s="105" t="s">
        <v>136</v>
      </c>
      <c r="AO71" s="104" t="s">
        <v>129</v>
      </c>
      <c r="AQ71" s="114" t="s">
        <v>130</v>
      </c>
      <c r="AS71" s="105" t="s">
        <v>131</v>
      </c>
      <c r="AU71" s="105" t="s">
        <v>132</v>
      </c>
      <c r="AW71" s="104" t="s">
        <v>133</v>
      </c>
      <c r="AY71" s="104" t="s">
        <v>134</v>
      </c>
      <c r="AZ71" s="24"/>
    </row>
    <row r="72">
      <c r="A72" s="113"/>
      <c r="B72" s="206"/>
      <c r="C72" s="123"/>
      <c r="D72" s="123"/>
      <c r="E72" s="176" t="s">
        <v>157</v>
      </c>
      <c r="F72" s="88"/>
      <c r="G72" s="210" t="str">
        <f>G42:H42</f>
        <v>อสูรเดือน E</v>
      </c>
      <c r="I72" s="211" t="str">
        <f>I5:J5</f>
        <v>อสูรปี E</v>
      </c>
      <c r="K72" s="36"/>
      <c r="L72" s="117"/>
      <c r="N72" s="117"/>
      <c r="R72" s="117"/>
      <c r="S72" s="8"/>
      <c r="T72" s="121"/>
      <c r="V72" s="117"/>
      <c r="X72" s="117"/>
      <c r="Y72" s="127"/>
      <c r="Z72" s="155"/>
      <c r="AA72" s="36"/>
      <c r="AB72" s="36"/>
      <c r="AC72" s="111"/>
      <c r="AD72" s="112"/>
      <c r="AE72" s="37"/>
      <c r="AF72" s="97"/>
      <c r="AG72" s="14"/>
      <c r="AH72" s="14"/>
      <c r="AI72" s="14"/>
      <c r="AJ72" s="113"/>
      <c r="AS72" s="128"/>
      <c r="AZ72" s="24"/>
    </row>
    <row r="73">
      <c r="A73" s="188" t="s">
        <v>169</v>
      </c>
      <c r="B73" s="189"/>
      <c r="C73" s="63"/>
      <c r="D73" s="63"/>
      <c r="E73" s="64">
        <f>(O74+P74+Q74+R74)/(O75+P75+Q75+R75)</f>
        <v>0.65</v>
      </c>
      <c r="F73" s="65"/>
      <c r="G73" s="133"/>
      <c r="H73" s="72"/>
      <c r="I73" s="67"/>
      <c r="J73" s="72"/>
      <c r="K73" s="68"/>
      <c r="L73" s="69"/>
      <c r="M73" s="63" t="s">
        <v>64</v>
      </c>
      <c r="N73" s="70"/>
      <c r="O73" s="71" t="s">
        <v>65</v>
      </c>
      <c r="P73" s="72"/>
      <c r="Q73" s="72"/>
      <c r="R73" s="70"/>
      <c r="S73" s="71" t="s">
        <v>66</v>
      </c>
      <c r="T73" s="70"/>
      <c r="U73" s="71" t="s">
        <v>67</v>
      </c>
      <c r="V73" s="70"/>
      <c r="W73" s="71" t="s">
        <v>68</v>
      </c>
      <c r="X73" s="70"/>
      <c r="Y73" s="134" t="s">
        <v>80</v>
      </c>
      <c r="Z73" s="74" t="s">
        <v>159</v>
      </c>
      <c r="AA73" s="75" t="s">
        <v>202</v>
      </c>
      <c r="AB73" s="75" t="s">
        <v>226</v>
      </c>
      <c r="AC73" s="135" t="s">
        <v>142</v>
      </c>
      <c r="AD73" s="74" t="s">
        <v>143</v>
      </c>
      <c r="AE73" s="63" t="s">
        <v>35</v>
      </c>
      <c r="AF73" s="78" t="s">
        <v>36</v>
      </c>
      <c r="AG73" s="79" t="s">
        <v>76</v>
      </c>
      <c r="AH73" s="79">
        <v>240.0</v>
      </c>
      <c r="AI73" s="79" t="s">
        <v>77</v>
      </c>
      <c r="AJ73" s="80" t="str">
        <f>AJ67</f>
        <v>開</v>
      </c>
      <c r="AK73" s="81" t="s">
        <v>52</v>
      </c>
      <c r="AL73" s="82" t="str">
        <f>AL67</f>
        <v>休</v>
      </c>
      <c r="AM73" s="81" t="s">
        <v>38</v>
      </c>
      <c r="AN73" s="82" t="s">
        <v>4</v>
      </c>
      <c r="AO73" s="81" t="s">
        <v>40</v>
      </c>
      <c r="AP73" s="82" t="str">
        <f>AP67</f>
        <v>傷</v>
      </c>
      <c r="AQ73" s="81" t="s">
        <v>42</v>
      </c>
      <c r="AR73" s="82" t="str">
        <f>AR67</f>
        <v>杜</v>
      </c>
      <c r="AS73" s="81" t="s">
        <v>44</v>
      </c>
      <c r="AT73" s="82" t="str">
        <f>AT67</f>
        <v>景</v>
      </c>
      <c r="AU73" s="81" t="s">
        <v>46</v>
      </c>
      <c r="AV73" s="82" t="str">
        <f>AV67</f>
        <v>死</v>
      </c>
      <c r="AW73" s="81" t="s">
        <v>48</v>
      </c>
      <c r="AX73" s="82" t="str">
        <f>AX67</f>
        <v>驚</v>
      </c>
      <c r="AY73" s="81" t="s">
        <v>50</v>
      </c>
      <c r="AZ73" s="83"/>
      <c r="BA73" s="84"/>
      <c r="BB73" s="84"/>
      <c r="BC73" s="84"/>
    </row>
    <row r="74">
      <c r="A74" s="192">
        <f>A68+1</f>
        <v>11</v>
      </c>
      <c r="B74" s="193"/>
      <c r="C74" s="12" t="s">
        <v>221</v>
      </c>
      <c r="E74" s="87" t="s">
        <v>31</v>
      </c>
      <c r="G74" s="137" t="str">
        <f t="shared" ref="G74:G75" si="85">G38:H38</f>
        <v>己</v>
      </c>
      <c r="I74" s="138" t="str">
        <f t="shared" ref="I74:I75" si="86">I38:J38</f>
        <v>乙</v>
      </c>
      <c r="K74" s="90">
        <f>L74/L75</f>
        <v>0.56</v>
      </c>
      <c r="L74" s="126">
        <f t="shared" ref="L74:L75" si="87">O74+P74+Q74+U74+V74+W74+X74+R74+M74+N74+S74+T74</f>
        <v>560</v>
      </c>
      <c r="M74" s="92">
        <v>0.0</v>
      </c>
      <c r="N74" s="93">
        <v>0.0</v>
      </c>
      <c r="O74" s="92">
        <v>0.0</v>
      </c>
      <c r="P74" s="92">
        <v>70.0</v>
      </c>
      <c r="Q74" s="92">
        <v>90.0</v>
      </c>
      <c r="R74" s="93">
        <v>100.0</v>
      </c>
      <c r="S74" s="92">
        <v>80.0</v>
      </c>
      <c r="T74" s="93">
        <v>35.0</v>
      </c>
      <c r="U74" s="92">
        <f t="shared" ref="U74:X74" si="84">U38</f>
        <v>50</v>
      </c>
      <c r="V74" s="93">
        <f t="shared" si="84"/>
        <v>90</v>
      </c>
      <c r="W74" s="92">
        <f t="shared" si="84"/>
        <v>35</v>
      </c>
      <c r="X74" s="93">
        <f t="shared" si="84"/>
        <v>10</v>
      </c>
      <c r="Y74" s="73" t="s">
        <v>98</v>
      </c>
      <c r="Z74" s="94" t="s">
        <v>152</v>
      </c>
      <c r="AA74" s="36"/>
      <c r="AB74" s="29" t="s">
        <v>227</v>
      </c>
      <c r="AC74" s="139" t="s">
        <v>148</v>
      </c>
      <c r="AD74" s="96" t="s">
        <v>149</v>
      </c>
      <c r="AE74" s="37"/>
      <c r="AF74" s="97"/>
      <c r="AG74" s="12" t="s">
        <v>84</v>
      </c>
      <c r="AH74" s="12">
        <v>0.0</v>
      </c>
      <c r="AI74" s="12" t="s">
        <v>85</v>
      </c>
      <c r="AJ74" s="98" t="s">
        <v>86</v>
      </c>
      <c r="AK74" s="99" t="s">
        <v>87</v>
      </c>
      <c r="AL74" s="100" t="s">
        <v>88</v>
      </c>
      <c r="AM74" s="101" t="s">
        <v>89</v>
      </c>
      <c r="AN74" s="100" t="s">
        <v>45</v>
      </c>
      <c r="AO74" s="102" t="s">
        <v>90</v>
      </c>
      <c r="AP74" s="100" t="s">
        <v>43</v>
      </c>
      <c r="AQ74" s="101" t="s">
        <v>91</v>
      </c>
      <c r="AR74" s="100" t="s">
        <v>41</v>
      </c>
      <c r="AS74" s="103" t="s">
        <v>92</v>
      </c>
      <c r="AT74" s="100" t="s">
        <v>39</v>
      </c>
      <c r="AU74" s="99" t="s">
        <v>93</v>
      </c>
      <c r="AV74" s="100" t="s">
        <v>37</v>
      </c>
      <c r="AW74" s="99" t="s">
        <v>94</v>
      </c>
      <c r="AX74" s="100" t="s">
        <v>51</v>
      </c>
      <c r="AY74" s="101" t="s">
        <v>95</v>
      </c>
      <c r="AZ74" s="24"/>
    </row>
    <row r="75">
      <c r="A75" s="200" t="str">
        <f>A51</f>
        <v>มกราคม</v>
      </c>
      <c r="B75" s="193"/>
      <c r="C75" s="212" t="s">
        <v>228</v>
      </c>
      <c r="E75" s="209" t="s">
        <v>32</v>
      </c>
      <c r="G75" s="180" t="str">
        <f t="shared" si="85"/>
        <v>丑</v>
      </c>
      <c r="I75" s="142" t="str">
        <f t="shared" si="86"/>
        <v>巳</v>
      </c>
      <c r="K75" s="36"/>
      <c r="L75" s="109">
        <f t="shared" si="87"/>
        <v>1000</v>
      </c>
      <c r="M75" s="9">
        <v>0.0</v>
      </c>
      <c r="N75" s="110">
        <v>0.0</v>
      </c>
      <c r="O75" s="9">
        <v>100.0</v>
      </c>
      <c r="P75" s="9">
        <v>100.0</v>
      </c>
      <c r="Q75" s="9">
        <v>100.0</v>
      </c>
      <c r="R75" s="110">
        <v>100.0</v>
      </c>
      <c r="S75" s="9">
        <v>100.0</v>
      </c>
      <c r="T75" s="110">
        <v>100.0</v>
      </c>
      <c r="U75" s="9">
        <v>100.0</v>
      </c>
      <c r="V75" s="110">
        <v>100.0</v>
      </c>
      <c r="W75" s="9">
        <v>100.0</v>
      </c>
      <c r="X75" s="110">
        <v>100.0</v>
      </c>
      <c r="Y75" s="73" t="s">
        <v>116</v>
      </c>
      <c r="Z75" s="94" t="s">
        <v>81</v>
      </c>
      <c r="AA75" s="36"/>
      <c r="AB75" s="36"/>
      <c r="AC75" s="111"/>
      <c r="AD75" s="112"/>
      <c r="AE75" s="37"/>
      <c r="AF75" s="97"/>
      <c r="AG75" s="14"/>
      <c r="AH75" s="14"/>
      <c r="AI75" s="14"/>
      <c r="AJ75" s="113"/>
      <c r="AK75" s="104" t="s">
        <v>100</v>
      </c>
      <c r="AM75" s="114" t="s">
        <v>101</v>
      </c>
      <c r="AO75" s="105" t="s">
        <v>102</v>
      </c>
      <c r="AQ75" s="105" t="s">
        <v>103</v>
      </c>
      <c r="AS75" s="104" t="s">
        <v>104</v>
      </c>
      <c r="AU75" s="104" t="s">
        <v>105</v>
      </c>
      <c r="AW75" s="104" t="s">
        <v>106</v>
      </c>
      <c r="AY75" s="105" t="s">
        <v>107</v>
      </c>
      <c r="AZ75" s="24"/>
    </row>
    <row r="76">
      <c r="A76" s="192">
        <f>A10</f>
        <v>2569</v>
      </c>
      <c r="B76" s="193"/>
      <c r="E76" s="115" t="s">
        <v>114</v>
      </c>
      <c r="F76" s="116" t="s">
        <v>113</v>
      </c>
      <c r="G76" s="115" t="str">
        <f t="shared" ref="G76:J76" si="88">G40</f>
        <v>A9</v>
      </c>
      <c r="H76" s="9" t="str">
        <f t="shared" si="88"/>
        <v>B8</v>
      </c>
      <c r="I76" s="9" t="str">
        <f t="shared" si="88"/>
        <v>A2</v>
      </c>
      <c r="J76" s="9" t="str">
        <f t="shared" si="88"/>
        <v>B12</v>
      </c>
      <c r="K76" s="36"/>
      <c r="L76" s="117"/>
      <c r="M76" s="118" t="str">
        <f t="shared" ref="M76:P76" si="89">C76</f>
        <v/>
      </c>
      <c r="N76" s="119" t="str">
        <f t="shared" si="89"/>
        <v/>
      </c>
      <c r="O76" s="118" t="str">
        <f t="shared" si="89"/>
        <v>A10</v>
      </c>
      <c r="P76" s="118" t="str">
        <f t="shared" si="89"/>
        <v>B12</v>
      </c>
      <c r="Q76" s="118" t="str">
        <f t="shared" ref="Q76:R76" si="90">E77</f>
        <v>B8</v>
      </c>
      <c r="R76" s="119" t="str">
        <f t="shared" si="90"/>
        <v>C9</v>
      </c>
      <c r="S76" s="9" t="s">
        <v>182</v>
      </c>
      <c r="T76" s="110" t="s">
        <v>198</v>
      </c>
      <c r="U76" s="9" t="str">
        <f t="shared" ref="U76:X76" si="91">G76</f>
        <v>A9</v>
      </c>
      <c r="V76" s="119" t="str">
        <f t="shared" si="91"/>
        <v>B8</v>
      </c>
      <c r="W76" s="118" t="str">
        <f t="shared" si="91"/>
        <v>A2</v>
      </c>
      <c r="X76" s="120" t="str">
        <f t="shared" si="91"/>
        <v>B12</v>
      </c>
      <c r="Y76" s="73" t="s">
        <v>126</v>
      </c>
      <c r="Z76" s="94" t="s">
        <v>99</v>
      </c>
      <c r="AA76" s="36"/>
      <c r="AB76" s="36"/>
      <c r="AC76" s="111"/>
      <c r="AD76" s="112"/>
      <c r="AE76" s="37"/>
      <c r="AF76" s="97"/>
      <c r="AG76" s="14"/>
      <c r="AH76" s="14"/>
      <c r="AI76" s="14"/>
      <c r="AJ76" s="113"/>
      <c r="AK76" s="104" t="s">
        <v>118</v>
      </c>
      <c r="AM76" s="114" t="s">
        <v>119</v>
      </c>
      <c r="AO76" s="105" t="s">
        <v>120</v>
      </c>
      <c r="AQ76" s="105" t="s">
        <v>121</v>
      </c>
      <c r="AS76" s="104" t="s">
        <v>122</v>
      </c>
      <c r="AU76" s="104" t="s">
        <v>123</v>
      </c>
      <c r="AW76" s="104" t="s">
        <v>124</v>
      </c>
      <c r="AY76" s="105" t="s">
        <v>125</v>
      </c>
      <c r="AZ76" s="24"/>
    </row>
    <row r="77">
      <c r="A77" s="192">
        <f>A76-543</f>
        <v>2026</v>
      </c>
      <c r="B77" s="193"/>
      <c r="C77" s="163" t="s">
        <v>166</v>
      </c>
      <c r="E77" s="115" t="s">
        <v>69</v>
      </c>
      <c r="F77" s="116" t="s">
        <v>229</v>
      </c>
      <c r="G77" s="115"/>
      <c r="H77" s="118"/>
      <c r="I77" s="118"/>
      <c r="J77" s="118"/>
      <c r="K77" s="36"/>
      <c r="L77" s="117"/>
      <c r="N77" s="117"/>
      <c r="R77" s="117"/>
      <c r="T77" s="117"/>
      <c r="V77" s="117"/>
      <c r="X77" s="117"/>
      <c r="Y77" s="73" t="s">
        <v>69</v>
      </c>
      <c r="Z77" s="94" t="s">
        <v>155</v>
      </c>
      <c r="AA77" s="36"/>
      <c r="AB77" s="36"/>
      <c r="AC77" s="111"/>
      <c r="AD77" s="112"/>
      <c r="AE77" s="37"/>
      <c r="AF77" s="97"/>
      <c r="AG77" s="14"/>
      <c r="AH77" s="14"/>
      <c r="AI77" s="14"/>
      <c r="AJ77" s="113"/>
      <c r="AK77" s="104" t="s">
        <v>129</v>
      </c>
      <c r="AM77" s="114" t="s">
        <v>130</v>
      </c>
      <c r="AO77" s="105" t="s">
        <v>131</v>
      </c>
      <c r="AQ77" s="105" t="s">
        <v>132</v>
      </c>
      <c r="AS77" s="104" t="s">
        <v>133</v>
      </c>
      <c r="AU77" s="104" t="s">
        <v>134</v>
      </c>
      <c r="AW77" s="104" t="s">
        <v>135</v>
      </c>
      <c r="AY77" s="105" t="s">
        <v>136</v>
      </c>
      <c r="AZ77" s="24"/>
    </row>
    <row r="78">
      <c r="A78" s="213" t="s">
        <v>230</v>
      </c>
      <c r="B78" s="206"/>
      <c r="C78" s="123"/>
      <c r="D78" s="123"/>
      <c r="E78" s="164" t="s">
        <v>168</v>
      </c>
      <c r="F78" s="88"/>
      <c r="G78" s="207" t="str">
        <f>G42:H42</f>
        <v>อสูรเดือน E</v>
      </c>
      <c r="I78" s="208" t="str">
        <f>I5:J5</f>
        <v>อสูรปี E</v>
      </c>
      <c r="K78" s="36"/>
      <c r="L78" s="117"/>
      <c r="N78" s="117"/>
      <c r="R78" s="117"/>
      <c r="T78" s="117"/>
      <c r="V78" s="117"/>
      <c r="X78" s="117"/>
      <c r="Y78" s="127"/>
      <c r="Z78" s="155"/>
      <c r="AA78" s="36"/>
      <c r="AB78" s="36"/>
      <c r="AC78" s="111"/>
      <c r="AD78" s="112"/>
      <c r="AE78" s="37"/>
      <c r="AF78" s="97"/>
      <c r="AG78" s="14"/>
      <c r="AH78" s="14"/>
      <c r="AI78" s="14"/>
      <c r="AJ78" s="113"/>
      <c r="AO78" s="128"/>
      <c r="AZ78" s="24"/>
    </row>
    <row r="79">
      <c r="A79" s="188" t="s">
        <v>186</v>
      </c>
      <c r="B79" s="189"/>
      <c r="C79" s="63"/>
      <c r="D79" s="63"/>
      <c r="E79" s="64">
        <f>(O80+P80+Q80+R80)/(O81+P81+Q81+R81)</f>
        <v>0.3625</v>
      </c>
      <c r="F79" s="65"/>
      <c r="G79" s="133"/>
      <c r="H79" s="72"/>
      <c r="I79" s="67"/>
      <c r="J79" s="72"/>
      <c r="K79" s="68"/>
      <c r="L79" s="69"/>
      <c r="M79" s="63" t="s">
        <v>64</v>
      </c>
      <c r="N79" s="70"/>
      <c r="O79" s="71" t="s">
        <v>65</v>
      </c>
      <c r="P79" s="72"/>
      <c r="Q79" s="72"/>
      <c r="R79" s="70"/>
      <c r="S79" s="71" t="s">
        <v>66</v>
      </c>
      <c r="T79" s="70"/>
      <c r="U79" s="71" t="s">
        <v>67</v>
      </c>
      <c r="V79" s="70"/>
      <c r="W79" s="71" t="s">
        <v>68</v>
      </c>
      <c r="X79" s="70"/>
      <c r="Y79" s="134" t="s">
        <v>80</v>
      </c>
      <c r="Z79" s="74" t="s">
        <v>181</v>
      </c>
      <c r="AA79" s="75" t="s">
        <v>202</v>
      </c>
      <c r="AB79" s="75" t="s">
        <v>226</v>
      </c>
      <c r="AC79" s="167" t="s">
        <v>173</v>
      </c>
      <c r="AD79" s="74" t="s">
        <v>174</v>
      </c>
      <c r="AE79" s="63" t="s">
        <v>75</v>
      </c>
      <c r="AF79" s="78" t="s">
        <v>34</v>
      </c>
      <c r="AG79" s="79" t="s">
        <v>32</v>
      </c>
      <c r="AH79" s="79">
        <v>270.0</v>
      </c>
      <c r="AI79" s="79" t="s">
        <v>145</v>
      </c>
      <c r="AJ79" s="80" t="str">
        <f>AJ73</f>
        <v>開</v>
      </c>
      <c r="AK79" s="81" t="s">
        <v>50</v>
      </c>
      <c r="AL79" s="82" t="str">
        <f>AL73</f>
        <v>休</v>
      </c>
      <c r="AM79" s="81" t="s">
        <v>52</v>
      </c>
      <c r="AN79" s="82" t="s">
        <v>4</v>
      </c>
      <c r="AO79" s="81" t="s">
        <v>38</v>
      </c>
      <c r="AP79" s="82" t="str">
        <f>AP73</f>
        <v>傷</v>
      </c>
      <c r="AQ79" s="81" t="s">
        <v>40</v>
      </c>
      <c r="AR79" s="82" t="s">
        <v>8</v>
      </c>
      <c r="AS79" s="81" t="s">
        <v>42</v>
      </c>
      <c r="AT79" s="82" t="str">
        <f>AT73</f>
        <v>景</v>
      </c>
      <c r="AU79" s="81" t="s">
        <v>44</v>
      </c>
      <c r="AV79" s="82" t="str">
        <f>AV73</f>
        <v>死</v>
      </c>
      <c r="AW79" s="81" t="s">
        <v>46</v>
      </c>
      <c r="AX79" s="82" t="str">
        <f>AX73</f>
        <v>驚</v>
      </c>
      <c r="AY79" s="81" t="s">
        <v>48</v>
      </c>
      <c r="AZ79" s="83"/>
      <c r="BA79" s="84"/>
      <c r="BB79" s="84"/>
      <c r="BC79" s="84"/>
    </row>
    <row r="80">
      <c r="A80" s="192">
        <f>A74+1</f>
        <v>12</v>
      </c>
      <c r="B80" s="193"/>
      <c r="C80" s="12" t="s">
        <v>216</v>
      </c>
      <c r="E80" s="214" t="s">
        <v>147</v>
      </c>
      <c r="G80" s="137" t="str">
        <f t="shared" ref="G80:G81" si="93">G38:H38</f>
        <v>己</v>
      </c>
      <c r="I80" s="138" t="str">
        <f t="shared" ref="I80:I81" si="94">I38:J38</f>
        <v>乙</v>
      </c>
      <c r="K80" s="90">
        <f>L80/L81</f>
        <v>0.47</v>
      </c>
      <c r="L80" s="126">
        <f t="shared" ref="L80:L81" si="95">O80+P80+Q80+U80+V80+W80+X80+R80+M80+N80+S80+T80</f>
        <v>470</v>
      </c>
      <c r="M80" s="92">
        <v>0.0</v>
      </c>
      <c r="N80" s="93">
        <v>0.0</v>
      </c>
      <c r="O80" s="92">
        <v>45.0</v>
      </c>
      <c r="P80" s="92">
        <v>70.0</v>
      </c>
      <c r="Q80" s="92">
        <v>0.0</v>
      </c>
      <c r="R80" s="93">
        <v>30.0</v>
      </c>
      <c r="S80" s="92">
        <v>70.0</v>
      </c>
      <c r="T80" s="93">
        <v>70.0</v>
      </c>
      <c r="U80" s="92">
        <f t="shared" ref="U80:X80" si="92">U38</f>
        <v>50</v>
      </c>
      <c r="V80" s="93">
        <f t="shared" si="92"/>
        <v>90</v>
      </c>
      <c r="W80" s="92">
        <f t="shared" si="92"/>
        <v>35</v>
      </c>
      <c r="X80" s="93">
        <f t="shared" si="92"/>
        <v>10</v>
      </c>
      <c r="Y80" s="73" t="s">
        <v>98</v>
      </c>
      <c r="Z80" s="94" t="s">
        <v>163</v>
      </c>
      <c r="AA80" s="36"/>
      <c r="AB80" s="29" t="s">
        <v>227</v>
      </c>
      <c r="AC80" s="170" t="s">
        <v>73</v>
      </c>
      <c r="AD80" s="94" t="s">
        <v>74</v>
      </c>
      <c r="AE80" s="37"/>
      <c r="AF80" s="97"/>
      <c r="AG80" s="12" t="s">
        <v>97</v>
      </c>
      <c r="AH80" s="12">
        <v>330.0</v>
      </c>
      <c r="AI80" s="12" t="s">
        <v>150</v>
      </c>
      <c r="AJ80" s="98" t="s">
        <v>51</v>
      </c>
      <c r="AK80" s="101" t="s">
        <v>95</v>
      </c>
      <c r="AL80" s="100" t="s">
        <v>86</v>
      </c>
      <c r="AM80" s="99" t="s">
        <v>87</v>
      </c>
      <c r="AN80" s="100" t="s">
        <v>88</v>
      </c>
      <c r="AO80" s="101" t="s">
        <v>89</v>
      </c>
      <c r="AP80" s="100" t="s">
        <v>45</v>
      </c>
      <c r="AQ80" s="102" t="s">
        <v>90</v>
      </c>
      <c r="AR80" s="100" t="s">
        <v>43</v>
      </c>
      <c r="AS80" s="101" t="s">
        <v>91</v>
      </c>
      <c r="AT80" s="100" t="s">
        <v>41</v>
      </c>
      <c r="AU80" s="103" t="s">
        <v>92</v>
      </c>
      <c r="AV80" s="100" t="s">
        <v>39</v>
      </c>
      <c r="AW80" s="99" t="s">
        <v>93</v>
      </c>
      <c r="AX80" s="100" t="s">
        <v>37</v>
      </c>
      <c r="AY80" s="99" t="s">
        <v>94</v>
      </c>
      <c r="AZ80" s="24"/>
    </row>
    <row r="81">
      <c r="A81" s="215" t="str">
        <f>G2</f>
        <v>มกราคม</v>
      </c>
      <c r="B81" s="193"/>
      <c r="C81" s="140" t="s">
        <v>231</v>
      </c>
      <c r="E81" s="162" t="s">
        <v>206</v>
      </c>
      <c r="G81" s="180" t="str">
        <f t="shared" si="93"/>
        <v>丑</v>
      </c>
      <c r="I81" s="142" t="str">
        <f t="shared" si="94"/>
        <v>巳</v>
      </c>
      <c r="K81" s="36"/>
      <c r="L81" s="109">
        <f t="shared" si="95"/>
        <v>1000</v>
      </c>
      <c r="M81" s="9">
        <v>0.0</v>
      </c>
      <c r="N81" s="110">
        <v>0.0</v>
      </c>
      <c r="O81" s="9">
        <v>100.0</v>
      </c>
      <c r="P81" s="9">
        <v>100.0</v>
      </c>
      <c r="Q81" s="9">
        <v>100.0</v>
      </c>
      <c r="R81" s="110">
        <v>100.0</v>
      </c>
      <c r="S81" s="9">
        <v>100.0</v>
      </c>
      <c r="T81" s="110">
        <v>100.0</v>
      </c>
      <c r="U81" s="9">
        <v>100.0</v>
      </c>
      <c r="V81" s="110">
        <v>100.0</v>
      </c>
      <c r="W81" s="9">
        <v>100.0</v>
      </c>
      <c r="X81" s="110">
        <v>100.0</v>
      </c>
      <c r="Y81" s="73" t="s">
        <v>116</v>
      </c>
      <c r="Z81" s="94" t="s">
        <v>153</v>
      </c>
      <c r="AA81" s="36"/>
      <c r="AB81" s="36"/>
      <c r="AC81" s="111"/>
      <c r="AD81" s="112"/>
      <c r="AE81" s="63" t="s">
        <v>34</v>
      </c>
      <c r="AF81" s="78" t="s">
        <v>75</v>
      </c>
      <c r="AG81" s="14"/>
      <c r="AH81" s="14"/>
      <c r="AI81" s="14"/>
      <c r="AJ81" s="113"/>
      <c r="AK81" s="105" t="s">
        <v>107</v>
      </c>
      <c r="AM81" s="104" t="s">
        <v>100</v>
      </c>
      <c r="AO81" s="114" t="s">
        <v>101</v>
      </c>
      <c r="AQ81" s="105" t="s">
        <v>102</v>
      </c>
      <c r="AS81" s="105" t="s">
        <v>103</v>
      </c>
      <c r="AU81" s="104" t="s">
        <v>104</v>
      </c>
      <c r="AW81" s="104" t="s">
        <v>105</v>
      </c>
      <c r="AY81" s="104" t="s">
        <v>106</v>
      </c>
      <c r="AZ81" s="24"/>
    </row>
    <row r="82">
      <c r="A82" s="192">
        <f>A10</f>
        <v>2569</v>
      </c>
      <c r="B82" s="193"/>
      <c r="E82" s="115" t="s">
        <v>164</v>
      </c>
      <c r="F82" s="116" t="s">
        <v>80</v>
      </c>
      <c r="G82" s="115" t="str">
        <f t="shared" ref="G82:J82" si="96">G40</f>
        <v>A9</v>
      </c>
      <c r="H82" s="9" t="str">
        <f t="shared" si="96"/>
        <v>B8</v>
      </c>
      <c r="I82" s="9" t="str">
        <f t="shared" si="96"/>
        <v>A2</v>
      </c>
      <c r="J82" s="9" t="str">
        <f t="shared" si="96"/>
        <v>B12</v>
      </c>
      <c r="K82" s="36"/>
      <c r="L82" s="117"/>
      <c r="M82" s="118" t="str">
        <f t="shared" ref="M82:P82" si="97">C82</f>
        <v/>
      </c>
      <c r="N82" s="119" t="str">
        <f t="shared" si="97"/>
        <v/>
      </c>
      <c r="O82" s="118" t="str">
        <f t="shared" si="97"/>
        <v>A9</v>
      </c>
      <c r="P82" s="118" t="str">
        <f t="shared" si="97"/>
        <v>B1</v>
      </c>
      <c r="Q82" s="118" t="str">
        <f t="shared" ref="Q82:R82" si="98">E83</f>
        <v>B7</v>
      </c>
      <c r="R82" s="119" t="str">
        <f t="shared" si="98"/>
        <v>C10</v>
      </c>
      <c r="S82" s="9" t="s">
        <v>165</v>
      </c>
      <c r="T82" s="110" t="s">
        <v>165</v>
      </c>
      <c r="U82" s="9" t="str">
        <f t="shared" ref="U82:X82" si="99">G82</f>
        <v>A9</v>
      </c>
      <c r="V82" s="119" t="str">
        <f t="shared" si="99"/>
        <v>B8</v>
      </c>
      <c r="W82" s="118" t="str">
        <f t="shared" si="99"/>
        <v>A2</v>
      </c>
      <c r="X82" s="120" t="str">
        <f t="shared" si="99"/>
        <v>B12</v>
      </c>
      <c r="Y82" s="73" t="s">
        <v>126</v>
      </c>
      <c r="Z82" s="94" t="s">
        <v>155</v>
      </c>
      <c r="AA82" s="36"/>
      <c r="AB82" s="36"/>
      <c r="AC82" s="111"/>
      <c r="AD82" s="112"/>
      <c r="AE82" s="37"/>
      <c r="AF82" s="97"/>
      <c r="AG82" s="14"/>
      <c r="AH82" s="14"/>
      <c r="AI82" s="14"/>
      <c r="AJ82" s="113"/>
      <c r="AK82" s="105" t="s">
        <v>125</v>
      </c>
      <c r="AM82" s="104" t="s">
        <v>118</v>
      </c>
      <c r="AO82" s="114" t="s">
        <v>119</v>
      </c>
      <c r="AQ82" s="105" t="s">
        <v>120</v>
      </c>
      <c r="AS82" s="105" t="s">
        <v>121</v>
      </c>
      <c r="AU82" s="104" t="s">
        <v>122</v>
      </c>
      <c r="AW82" s="104" t="s">
        <v>123</v>
      </c>
      <c r="AY82" s="104" t="s">
        <v>124</v>
      </c>
      <c r="AZ82" s="24"/>
    </row>
    <row r="83">
      <c r="A83" s="192">
        <f>A82-543</f>
        <v>2026</v>
      </c>
      <c r="B83" s="193"/>
      <c r="E83" s="115" t="s">
        <v>111</v>
      </c>
      <c r="F83" s="116" t="s">
        <v>232</v>
      </c>
      <c r="G83" s="115"/>
      <c r="H83" s="118"/>
      <c r="I83" s="118"/>
      <c r="J83" s="118"/>
      <c r="K83" s="36"/>
      <c r="L83" s="117"/>
      <c r="N83" s="117"/>
      <c r="R83" s="117"/>
      <c r="T83" s="117"/>
      <c r="V83" s="117"/>
      <c r="X83" s="117"/>
      <c r="Y83" s="73" t="s">
        <v>69</v>
      </c>
      <c r="Z83" s="94" t="s">
        <v>128</v>
      </c>
      <c r="AA83" s="36"/>
      <c r="AB83" s="36"/>
      <c r="AC83" s="111"/>
      <c r="AD83" s="112"/>
      <c r="AE83" s="37"/>
      <c r="AF83" s="97"/>
      <c r="AG83" s="14"/>
      <c r="AH83" s="14"/>
      <c r="AI83" s="14"/>
      <c r="AJ83" s="113"/>
      <c r="AK83" s="105" t="s">
        <v>136</v>
      </c>
      <c r="AM83" s="104" t="s">
        <v>129</v>
      </c>
      <c r="AO83" s="114" t="s">
        <v>130</v>
      </c>
      <c r="AQ83" s="105" t="s">
        <v>131</v>
      </c>
      <c r="AS83" s="105" t="s">
        <v>132</v>
      </c>
      <c r="AU83" s="104" t="s">
        <v>133</v>
      </c>
      <c r="AW83" s="104" t="s">
        <v>134</v>
      </c>
      <c r="AY83" s="104" t="s">
        <v>135</v>
      </c>
      <c r="AZ83" s="24"/>
    </row>
    <row r="84">
      <c r="A84" s="113"/>
      <c r="B84" s="206"/>
      <c r="C84" s="123"/>
      <c r="D84" s="123"/>
      <c r="E84" s="164" t="s">
        <v>185</v>
      </c>
      <c r="F84" s="88"/>
      <c r="G84" s="207" t="str">
        <f>G42:H42</f>
        <v>อสูรเดือน E</v>
      </c>
      <c r="I84" s="208" t="str">
        <f>I5:J5</f>
        <v>อสูรปี E</v>
      </c>
      <c r="K84" s="36"/>
      <c r="L84" s="117"/>
      <c r="N84" s="117"/>
      <c r="R84" s="117"/>
      <c r="T84" s="117"/>
      <c r="V84" s="117"/>
      <c r="X84" s="117"/>
      <c r="Y84" s="127"/>
      <c r="Z84" s="155"/>
      <c r="AA84" s="36"/>
      <c r="AB84" s="36"/>
      <c r="AC84" s="111"/>
      <c r="AD84" s="112"/>
      <c r="AE84" s="37"/>
      <c r="AF84" s="97"/>
      <c r="AG84" s="14"/>
      <c r="AH84" s="14"/>
      <c r="AI84" s="14"/>
      <c r="AJ84" s="113"/>
      <c r="AY84" s="128"/>
      <c r="AZ84" s="24"/>
    </row>
    <row r="85">
      <c r="A85" s="188" t="s">
        <v>191</v>
      </c>
      <c r="B85" s="189"/>
      <c r="C85" s="63"/>
      <c r="D85" s="63"/>
      <c r="E85" s="216">
        <f>(O86+P86+Q86+R86)/(O87+P87+Q87+R87)</f>
        <v>0.7625</v>
      </c>
      <c r="F85" s="65"/>
      <c r="G85" s="133"/>
      <c r="H85" s="72"/>
      <c r="I85" s="67"/>
      <c r="J85" s="72"/>
      <c r="K85" s="68"/>
      <c r="L85" s="69"/>
      <c r="M85" s="63" t="s">
        <v>64</v>
      </c>
      <c r="N85" s="70"/>
      <c r="O85" s="71" t="s">
        <v>65</v>
      </c>
      <c r="P85" s="72"/>
      <c r="Q85" s="72"/>
      <c r="R85" s="70"/>
      <c r="S85" s="71" t="s">
        <v>66</v>
      </c>
      <c r="T85" s="70"/>
      <c r="U85" s="71" t="s">
        <v>67</v>
      </c>
      <c r="V85" s="70"/>
      <c r="W85" s="71" t="s">
        <v>68</v>
      </c>
      <c r="X85" s="70"/>
      <c r="Y85" s="134" t="s">
        <v>69</v>
      </c>
      <c r="Z85" s="74" t="s">
        <v>70</v>
      </c>
      <c r="AA85" s="75" t="s">
        <v>32</v>
      </c>
      <c r="AB85" s="75" t="s">
        <v>233</v>
      </c>
      <c r="AC85" s="167" t="s">
        <v>173</v>
      </c>
      <c r="AD85" s="74" t="s">
        <v>174</v>
      </c>
      <c r="AE85" s="63" t="s">
        <v>75</v>
      </c>
      <c r="AF85" s="78" t="s">
        <v>75</v>
      </c>
      <c r="AG85" s="79" t="s">
        <v>97</v>
      </c>
      <c r="AH85" s="79">
        <v>330.0</v>
      </c>
      <c r="AI85" s="79" t="s">
        <v>150</v>
      </c>
      <c r="AJ85" s="80" t="str">
        <f>AJ79</f>
        <v>開</v>
      </c>
      <c r="AK85" s="81" t="s">
        <v>46</v>
      </c>
      <c r="AL85" s="82" t="str">
        <f>AL79</f>
        <v>休</v>
      </c>
      <c r="AM85" s="81" t="s">
        <v>48</v>
      </c>
      <c r="AN85" s="82" t="s">
        <v>4</v>
      </c>
      <c r="AO85" s="81" t="s">
        <v>50</v>
      </c>
      <c r="AP85" s="82" t="str">
        <f>AP79</f>
        <v>傷</v>
      </c>
      <c r="AQ85" s="81" t="s">
        <v>52</v>
      </c>
      <c r="AR85" s="82" t="s">
        <v>8</v>
      </c>
      <c r="AS85" s="81" t="s">
        <v>38</v>
      </c>
      <c r="AT85" s="82" t="str">
        <f>AT79</f>
        <v>景</v>
      </c>
      <c r="AU85" s="81" t="s">
        <v>40</v>
      </c>
      <c r="AV85" s="82" t="str">
        <f>AV79</f>
        <v>死</v>
      </c>
      <c r="AW85" s="81" t="s">
        <v>42</v>
      </c>
      <c r="AX85" s="82" t="str">
        <f>AX79</f>
        <v>驚</v>
      </c>
      <c r="AY85" s="81" t="s">
        <v>44</v>
      </c>
      <c r="AZ85" s="83"/>
      <c r="BA85" s="84"/>
      <c r="BB85" s="84"/>
      <c r="BC85" s="84"/>
    </row>
    <row r="86">
      <c r="A86" s="192">
        <f>A80+1</f>
        <v>13</v>
      </c>
      <c r="B86" s="193"/>
      <c r="C86" s="12" t="s">
        <v>146</v>
      </c>
      <c r="E86" s="160" t="s">
        <v>161</v>
      </c>
      <c r="G86" s="137" t="str">
        <f t="shared" ref="G86:G87" si="101">G38:H38</f>
        <v>己</v>
      </c>
      <c r="I86" s="138" t="str">
        <f t="shared" ref="I86:I87" si="102">I38:J38</f>
        <v>乙</v>
      </c>
      <c r="K86" s="90">
        <f>L86/L87</f>
        <v>0.605</v>
      </c>
      <c r="L86" s="126">
        <f t="shared" ref="L86:L87" si="103">O86+P86+Q86+U86+V86+W86+X86+R86+M86+N86+S86+T86</f>
        <v>605</v>
      </c>
      <c r="M86" s="92">
        <v>0.0</v>
      </c>
      <c r="N86" s="93">
        <v>0.0</v>
      </c>
      <c r="O86" s="92">
        <v>55.0</v>
      </c>
      <c r="P86" s="92">
        <v>80.0</v>
      </c>
      <c r="Q86" s="92">
        <v>90.0</v>
      </c>
      <c r="R86" s="93">
        <v>80.0</v>
      </c>
      <c r="S86" s="92">
        <v>65.0</v>
      </c>
      <c r="T86" s="93">
        <v>50.0</v>
      </c>
      <c r="U86" s="92">
        <f t="shared" ref="U86:X86" si="100">U38</f>
        <v>50</v>
      </c>
      <c r="V86" s="93">
        <f t="shared" si="100"/>
        <v>90</v>
      </c>
      <c r="W86" s="92">
        <f t="shared" si="100"/>
        <v>35</v>
      </c>
      <c r="X86" s="93">
        <f t="shared" si="100"/>
        <v>10</v>
      </c>
      <c r="Y86" s="73" t="s">
        <v>80</v>
      </c>
      <c r="Z86" s="94" t="s">
        <v>81</v>
      </c>
      <c r="AA86" s="36"/>
      <c r="AB86" s="29" t="s">
        <v>234</v>
      </c>
      <c r="AC86" s="170" t="s">
        <v>73</v>
      </c>
      <c r="AD86" s="94" t="s">
        <v>74</v>
      </c>
      <c r="AE86" s="37"/>
      <c r="AF86" s="97"/>
      <c r="AG86" s="12" t="s">
        <v>32</v>
      </c>
      <c r="AH86" s="12">
        <v>270.0</v>
      </c>
      <c r="AI86" s="12" t="s">
        <v>145</v>
      </c>
      <c r="AJ86" s="98" t="s">
        <v>39</v>
      </c>
      <c r="AK86" s="99" t="s">
        <v>93</v>
      </c>
      <c r="AL86" s="100" t="s">
        <v>37</v>
      </c>
      <c r="AM86" s="99" t="s">
        <v>94</v>
      </c>
      <c r="AN86" s="100" t="s">
        <v>51</v>
      </c>
      <c r="AO86" s="101" t="s">
        <v>95</v>
      </c>
      <c r="AP86" s="100" t="s">
        <v>86</v>
      </c>
      <c r="AQ86" s="99" t="s">
        <v>87</v>
      </c>
      <c r="AR86" s="100" t="s">
        <v>88</v>
      </c>
      <c r="AS86" s="101" t="s">
        <v>89</v>
      </c>
      <c r="AT86" s="100" t="s">
        <v>45</v>
      </c>
      <c r="AU86" s="102" t="s">
        <v>90</v>
      </c>
      <c r="AV86" s="100" t="s">
        <v>43</v>
      </c>
      <c r="AW86" s="101" t="s">
        <v>91</v>
      </c>
      <c r="AX86" s="100" t="s">
        <v>41</v>
      </c>
      <c r="AY86" s="103" t="s">
        <v>92</v>
      </c>
      <c r="AZ86" s="24"/>
    </row>
    <row r="87">
      <c r="A87" s="215" t="str">
        <f>G2</f>
        <v>มกราคม</v>
      </c>
      <c r="B87" s="193"/>
      <c r="C87" s="140" t="s">
        <v>235</v>
      </c>
      <c r="E87" s="107" t="s">
        <v>97</v>
      </c>
      <c r="G87" s="180" t="str">
        <f t="shared" si="101"/>
        <v>丑</v>
      </c>
      <c r="I87" s="142" t="str">
        <f t="shared" si="102"/>
        <v>巳</v>
      </c>
      <c r="K87" s="36"/>
      <c r="L87" s="109">
        <f t="shared" si="103"/>
        <v>1000</v>
      </c>
      <c r="M87" s="9">
        <v>0.0</v>
      </c>
      <c r="N87" s="110">
        <v>0.0</v>
      </c>
      <c r="O87" s="9">
        <v>100.0</v>
      </c>
      <c r="P87" s="9">
        <v>100.0</v>
      </c>
      <c r="Q87" s="9">
        <v>100.0</v>
      </c>
      <c r="R87" s="110">
        <v>100.0</v>
      </c>
      <c r="S87" s="9">
        <v>100.0</v>
      </c>
      <c r="T87" s="110">
        <v>100.0</v>
      </c>
      <c r="U87" s="9">
        <v>100.0</v>
      </c>
      <c r="V87" s="110">
        <v>100.0</v>
      </c>
      <c r="W87" s="9">
        <v>100.0</v>
      </c>
      <c r="X87" s="110">
        <v>100.0</v>
      </c>
      <c r="Y87" s="73" t="s">
        <v>98</v>
      </c>
      <c r="Z87" s="94" t="s">
        <v>99</v>
      </c>
      <c r="AA87" s="36"/>
      <c r="AB87" s="36"/>
      <c r="AC87" s="111"/>
      <c r="AD87" s="112"/>
      <c r="AE87" s="37"/>
      <c r="AF87" s="97"/>
      <c r="AG87" s="14"/>
      <c r="AH87" s="14"/>
      <c r="AI87" s="14"/>
      <c r="AJ87" s="113"/>
      <c r="AK87" s="104" t="s">
        <v>105</v>
      </c>
      <c r="AM87" s="104" t="s">
        <v>106</v>
      </c>
      <c r="AO87" s="105" t="s">
        <v>107</v>
      </c>
      <c r="AQ87" s="104" t="s">
        <v>100</v>
      </c>
      <c r="AS87" s="114" t="s">
        <v>101</v>
      </c>
      <c r="AU87" s="105" t="s">
        <v>102</v>
      </c>
      <c r="AW87" s="105" t="s">
        <v>103</v>
      </c>
      <c r="AY87" s="104" t="s">
        <v>104</v>
      </c>
      <c r="AZ87" s="24"/>
    </row>
    <row r="88">
      <c r="A88" s="192">
        <f>A10</f>
        <v>2569</v>
      </c>
      <c r="B88" s="193"/>
      <c r="E88" s="115" t="s">
        <v>110</v>
      </c>
      <c r="F88" s="116" t="s">
        <v>98</v>
      </c>
      <c r="G88" s="115" t="str">
        <f t="shared" ref="G88:J88" si="104">G40</f>
        <v>A9</v>
      </c>
      <c r="H88" s="9" t="str">
        <f t="shared" si="104"/>
        <v>B8</v>
      </c>
      <c r="I88" s="9" t="str">
        <f t="shared" si="104"/>
        <v>A2</v>
      </c>
      <c r="J88" s="9" t="str">
        <f t="shared" si="104"/>
        <v>B12</v>
      </c>
      <c r="K88" s="36"/>
      <c r="L88" s="117"/>
      <c r="M88" s="118" t="str">
        <f t="shared" ref="M88:P88" si="105">C88</f>
        <v/>
      </c>
      <c r="N88" s="119" t="str">
        <f t="shared" si="105"/>
        <v/>
      </c>
      <c r="O88" s="118" t="str">
        <f t="shared" si="105"/>
        <v>A11</v>
      </c>
      <c r="P88" s="118" t="str">
        <f t="shared" si="105"/>
        <v>B2</v>
      </c>
      <c r="Q88" s="118" t="str">
        <f t="shared" ref="Q88:R88" si="106">E89</f>
        <v>B6</v>
      </c>
      <c r="R88" s="119" t="str">
        <f t="shared" si="106"/>
        <v>C11</v>
      </c>
      <c r="S88" s="9" t="s">
        <v>110</v>
      </c>
      <c r="T88" s="110" t="s">
        <v>164</v>
      </c>
      <c r="U88" s="9" t="str">
        <f t="shared" ref="U88:X88" si="107">G88</f>
        <v>A9</v>
      </c>
      <c r="V88" s="119" t="str">
        <f t="shared" si="107"/>
        <v>B8</v>
      </c>
      <c r="W88" s="118" t="str">
        <f t="shared" si="107"/>
        <v>A2</v>
      </c>
      <c r="X88" s="120" t="str">
        <f t="shared" si="107"/>
        <v>B12</v>
      </c>
      <c r="Y88" s="73" t="s">
        <v>116</v>
      </c>
      <c r="Z88" s="94" t="s">
        <v>117</v>
      </c>
      <c r="AA88" s="36"/>
      <c r="AB88" s="36"/>
      <c r="AC88" s="111"/>
      <c r="AD88" s="112"/>
      <c r="AE88" s="37"/>
      <c r="AF88" s="97"/>
      <c r="AG88" s="14"/>
      <c r="AH88" s="14"/>
      <c r="AI88" s="14"/>
      <c r="AJ88" s="113"/>
      <c r="AK88" s="104" t="s">
        <v>123</v>
      </c>
      <c r="AM88" s="104" t="s">
        <v>124</v>
      </c>
      <c r="AO88" s="105" t="s">
        <v>125</v>
      </c>
      <c r="AQ88" s="104" t="s">
        <v>118</v>
      </c>
      <c r="AS88" s="114" t="s">
        <v>119</v>
      </c>
      <c r="AU88" s="105" t="s">
        <v>120</v>
      </c>
      <c r="AW88" s="105" t="s">
        <v>121</v>
      </c>
      <c r="AY88" s="104" t="s">
        <v>122</v>
      </c>
      <c r="AZ88" s="24"/>
    </row>
    <row r="89">
      <c r="A89" s="192">
        <f>A88-543</f>
        <v>2026</v>
      </c>
      <c r="B89" s="193"/>
      <c r="C89" s="181"/>
      <c r="E89" s="115" t="s">
        <v>126</v>
      </c>
      <c r="F89" s="116" t="s">
        <v>236</v>
      </c>
      <c r="G89" s="115"/>
      <c r="H89" s="118"/>
      <c r="I89" s="118"/>
      <c r="J89" s="118"/>
      <c r="K89" s="36"/>
      <c r="L89" s="117"/>
      <c r="N89" s="117"/>
      <c r="R89" s="117"/>
      <c r="T89" s="117"/>
      <c r="V89" s="117"/>
      <c r="X89" s="117"/>
      <c r="Y89" s="73" t="s">
        <v>126</v>
      </c>
      <c r="Z89" s="94" t="s">
        <v>128</v>
      </c>
      <c r="AA89" s="36"/>
      <c r="AB89" s="36"/>
      <c r="AC89" s="111"/>
      <c r="AD89" s="112"/>
      <c r="AE89" s="37"/>
      <c r="AF89" s="97"/>
      <c r="AG89" s="14"/>
      <c r="AH89" s="14"/>
      <c r="AI89" s="14"/>
      <c r="AJ89" s="113"/>
      <c r="AK89" s="104" t="s">
        <v>134</v>
      </c>
      <c r="AM89" s="104" t="s">
        <v>135</v>
      </c>
      <c r="AO89" s="105" t="s">
        <v>136</v>
      </c>
      <c r="AQ89" s="104" t="s">
        <v>129</v>
      </c>
      <c r="AS89" s="114" t="s">
        <v>130</v>
      </c>
      <c r="AU89" s="105" t="s">
        <v>131</v>
      </c>
      <c r="AW89" s="105" t="s">
        <v>132</v>
      </c>
      <c r="AY89" s="104" t="s">
        <v>133</v>
      </c>
      <c r="AZ89" s="24"/>
    </row>
    <row r="90">
      <c r="A90" s="217" t="s">
        <v>237</v>
      </c>
      <c r="B90" s="206"/>
      <c r="C90" s="123"/>
      <c r="D90" s="123"/>
      <c r="E90" s="176" t="s">
        <v>137</v>
      </c>
      <c r="F90" s="88"/>
      <c r="G90" s="207" t="str">
        <f>G5:H5</f>
        <v>อสูรเดือน E</v>
      </c>
      <c r="I90" s="208" t="str">
        <f>I5:J5</f>
        <v>อสูรปี E</v>
      </c>
      <c r="K90" s="36"/>
      <c r="L90" s="117"/>
      <c r="N90" s="117"/>
      <c r="R90" s="117"/>
      <c r="T90" s="117"/>
      <c r="V90" s="117"/>
      <c r="X90" s="117"/>
      <c r="Y90" s="127"/>
      <c r="Z90" s="155"/>
      <c r="AA90" s="36"/>
      <c r="AB90" s="36"/>
      <c r="AC90" s="111"/>
      <c r="AD90" s="112"/>
      <c r="AE90" s="37"/>
      <c r="AF90" s="97"/>
      <c r="AG90" s="14"/>
      <c r="AH90" s="14"/>
      <c r="AI90" s="14"/>
      <c r="AJ90" s="113"/>
      <c r="AQ90" s="128"/>
      <c r="AZ90" s="24"/>
    </row>
    <row r="91">
      <c r="A91" s="188" t="s">
        <v>199</v>
      </c>
      <c r="B91" s="189"/>
      <c r="C91" s="63"/>
      <c r="D91" s="63"/>
      <c r="E91" s="64">
        <f>(O92+P92+Q92+R92)/(O93+P93+Q93+R93)</f>
        <v>0.5375</v>
      </c>
      <c r="F91" s="65"/>
      <c r="G91" s="133"/>
      <c r="H91" s="72"/>
      <c r="I91" s="67"/>
      <c r="J91" s="72"/>
      <c r="K91" s="68"/>
      <c r="L91" s="69"/>
      <c r="M91" s="63" t="s">
        <v>64</v>
      </c>
      <c r="N91" s="70"/>
      <c r="O91" s="71" t="s">
        <v>65</v>
      </c>
      <c r="P91" s="72"/>
      <c r="Q91" s="72"/>
      <c r="R91" s="70"/>
      <c r="S91" s="71" t="s">
        <v>66</v>
      </c>
      <c r="T91" s="70"/>
      <c r="U91" s="71" t="s">
        <v>67</v>
      </c>
      <c r="V91" s="70"/>
      <c r="W91" s="71" t="s">
        <v>68</v>
      </c>
      <c r="X91" s="70"/>
      <c r="Y91" s="134" t="s">
        <v>116</v>
      </c>
      <c r="Z91" s="74" t="s">
        <v>140</v>
      </c>
      <c r="AA91" s="75" t="s">
        <v>209</v>
      </c>
      <c r="AB91" s="75" t="s">
        <v>238</v>
      </c>
      <c r="AC91" s="76" t="s">
        <v>73</v>
      </c>
      <c r="AD91" s="77" t="s">
        <v>74</v>
      </c>
      <c r="AE91" s="63" t="s">
        <v>34</v>
      </c>
      <c r="AF91" s="78" t="s">
        <v>144</v>
      </c>
      <c r="AG91" s="79" t="s">
        <v>71</v>
      </c>
      <c r="AH91" s="79">
        <v>210.0</v>
      </c>
      <c r="AI91" s="79" t="s">
        <v>175</v>
      </c>
      <c r="AJ91" s="80" t="str">
        <f>AJ85</f>
        <v>開</v>
      </c>
      <c r="AK91" s="81" t="s">
        <v>52</v>
      </c>
      <c r="AL91" s="82" t="str">
        <f>AL85</f>
        <v>休</v>
      </c>
      <c r="AM91" s="81" t="s">
        <v>38</v>
      </c>
      <c r="AN91" s="82" t="s">
        <v>4</v>
      </c>
      <c r="AO91" s="81" t="s">
        <v>40</v>
      </c>
      <c r="AP91" s="82" t="str">
        <f>AP85</f>
        <v>傷</v>
      </c>
      <c r="AQ91" s="81" t="s">
        <v>42</v>
      </c>
      <c r="AR91" s="82" t="str">
        <f>AR85</f>
        <v>杜</v>
      </c>
      <c r="AS91" s="81" t="s">
        <v>44</v>
      </c>
      <c r="AT91" s="82" t="str">
        <f>AT85</f>
        <v>景</v>
      </c>
      <c r="AU91" s="81" t="s">
        <v>46</v>
      </c>
      <c r="AV91" s="82" t="str">
        <f>AV85</f>
        <v>死</v>
      </c>
      <c r="AW91" s="81" t="s">
        <v>48</v>
      </c>
      <c r="AX91" s="82" t="str">
        <f>AX85</f>
        <v>驚</v>
      </c>
      <c r="AY91" s="81" t="s">
        <v>50</v>
      </c>
      <c r="AZ91" s="83"/>
      <c r="BA91" s="84"/>
      <c r="BB91" s="84"/>
      <c r="BC91" s="84"/>
    </row>
    <row r="92">
      <c r="A92" s="192">
        <f>A86+1</f>
        <v>14</v>
      </c>
      <c r="B92" s="193"/>
      <c r="C92" s="12" t="s">
        <v>146</v>
      </c>
      <c r="E92" s="168" t="s">
        <v>79</v>
      </c>
      <c r="G92" s="137" t="str">
        <f t="shared" ref="G92:G93" si="109">G38:H38</f>
        <v>己</v>
      </c>
      <c r="I92" s="138" t="str">
        <f t="shared" ref="I92:I93" si="110">I38:J38</f>
        <v>乙</v>
      </c>
      <c r="K92" s="90">
        <f>L92/L93</f>
        <v>0.47</v>
      </c>
      <c r="L92" s="126">
        <f t="shared" ref="L92:L93" si="111">O92+P92+Q92+U92+V92+W92+X92+R92+M92+N92+S92+T92</f>
        <v>470</v>
      </c>
      <c r="M92" s="92">
        <v>0.0</v>
      </c>
      <c r="N92" s="93">
        <v>0.0</v>
      </c>
      <c r="O92" s="92">
        <v>65.0</v>
      </c>
      <c r="P92" s="92">
        <v>20.0</v>
      </c>
      <c r="Q92" s="92">
        <v>100.0</v>
      </c>
      <c r="R92" s="93">
        <v>30.0</v>
      </c>
      <c r="S92" s="92">
        <v>0.0</v>
      </c>
      <c r="T92" s="93">
        <v>70.0</v>
      </c>
      <c r="U92" s="92">
        <f t="shared" ref="U92:X92" si="108">U38</f>
        <v>50</v>
      </c>
      <c r="V92" s="93">
        <f t="shared" si="108"/>
        <v>90</v>
      </c>
      <c r="W92" s="92">
        <f t="shared" si="108"/>
        <v>35</v>
      </c>
      <c r="X92" s="93">
        <f t="shared" si="108"/>
        <v>10</v>
      </c>
      <c r="Y92" s="73" t="s">
        <v>126</v>
      </c>
      <c r="Z92" s="94" t="s">
        <v>70</v>
      </c>
      <c r="AA92" s="36"/>
      <c r="AB92" s="36"/>
      <c r="AC92" s="95" t="s">
        <v>82</v>
      </c>
      <c r="AD92" s="96" t="s">
        <v>83</v>
      </c>
      <c r="AE92" s="37"/>
      <c r="AF92" s="97"/>
      <c r="AG92" s="12" t="s">
        <v>53</v>
      </c>
      <c r="AH92" s="12">
        <v>30.0</v>
      </c>
      <c r="AI92" s="12" t="s">
        <v>178</v>
      </c>
      <c r="AJ92" s="98" t="s">
        <v>41</v>
      </c>
      <c r="AK92" s="103" t="s">
        <v>92</v>
      </c>
      <c r="AL92" s="100" t="s">
        <v>39</v>
      </c>
      <c r="AM92" s="99" t="s">
        <v>93</v>
      </c>
      <c r="AN92" s="100" t="s">
        <v>37</v>
      </c>
      <c r="AO92" s="99" t="s">
        <v>94</v>
      </c>
      <c r="AP92" s="100" t="s">
        <v>51</v>
      </c>
      <c r="AQ92" s="101" t="s">
        <v>95</v>
      </c>
      <c r="AR92" s="100" t="s">
        <v>86</v>
      </c>
      <c r="AS92" s="99" t="s">
        <v>87</v>
      </c>
      <c r="AT92" s="100" t="s">
        <v>88</v>
      </c>
      <c r="AU92" s="101" t="s">
        <v>89</v>
      </c>
      <c r="AV92" s="100" t="s">
        <v>45</v>
      </c>
      <c r="AW92" s="102" t="s">
        <v>90</v>
      </c>
      <c r="AX92" s="100" t="s">
        <v>43</v>
      </c>
      <c r="AY92" s="101" t="s">
        <v>91</v>
      </c>
      <c r="AZ92" s="24"/>
    </row>
    <row r="93">
      <c r="A93" s="215" t="str">
        <f>G2</f>
        <v>มกราคม</v>
      </c>
      <c r="B93" s="193"/>
      <c r="C93" s="140" t="s">
        <v>239</v>
      </c>
      <c r="E93" s="107" t="s">
        <v>84</v>
      </c>
      <c r="G93" s="180" t="str">
        <f t="shared" si="109"/>
        <v>丑</v>
      </c>
      <c r="I93" s="142" t="str">
        <f t="shared" si="110"/>
        <v>巳</v>
      </c>
      <c r="K93" s="36"/>
      <c r="L93" s="109">
        <f t="shared" si="111"/>
        <v>1000</v>
      </c>
      <c r="M93" s="9">
        <v>0.0</v>
      </c>
      <c r="N93" s="110">
        <v>0.0</v>
      </c>
      <c r="O93" s="9">
        <v>100.0</v>
      </c>
      <c r="P93" s="9">
        <v>100.0</v>
      </c>
      <c r="Q93" s="9">
        <v>100.0</v>
      </c>
      <c r="R93" s="110">
        <v>100.0</v>
      </c>
      <c r="S93" s="9">
        <v>100.0</v>
      </c>
      <c r="T93" s="110">
        <v>100.0</v>
      </c>
      <c r="U93" s="9">
        <v>100.0</v>
      </c>
      <c r="V93" s="110">
        <v>100.0</v>
      </c>
      <c r="W93" s="9">
        <v>100.0</v>
      </c>
      <c r="X93" s="110">
        <v>100.0</v>
      </c>
      <c r="Y93" s="73" t="s">
        <v>69</v>
      </c>
      <c r="Z93" s="94" t="s">
        <v>152</v>
      </c>
      <c r="AA93" s="36"/>
      <c r="AB93" s="36"/>
      <c r="AC93" s="111"/>
      <c r="AD93" s="112"/>
      <c r="AE93" s="37"/>
      <c r="AF93" s="97"/>
      <c r="AG93" s="14"/>
      <c r="AH93" s="14"/>
      <c r="AI93" s="14"/>
      <c r="AJ93" s="113"/>
      <c r="AK93" s="104" t="s">
        <v>104</v>
      </c>
      <c r="AM93" s="104" t="s">
        <v>105</v>
      </c>
      <c r="AO93" s="104" t="s">
        <v>106</v>
      </c>
      <c r="AQ93" s="105" t="s">
        <v>107</v>
      </c>
      <c r="AS93" s="104" t="s">
        <v>100</v>
      </c>
      <c r="AU93" s="114" t="s">
        <v>101</v>
      </c>
      <c r="AW93" s="105" t="s">
        <v>102</v>
      </c>
      <c r="AY93" s="105" t="s">
        <v>103</v>
      </c>
      <c r="AZ93" s="24"/>
    </row>
    <row r="94">
      <c r="A94" s="192">
        <f>A10</f>
        <v>2569</v>
      </c>
      <c r="B94" s="193"/>
      <c r="E94" s="115" t="s">
        <v>110</v>
      </c>
      <c r="F94" s="116" t="s">
        <v>183</v>
      </c>
      <c r="G94" s="115" t="str">
        <f t="shared" ref="G94:J94" si="112">G40</f>
        <v>A9</v>
      </c>
      <c r="H94" s="9" t="str">
        <f t="shared" si="112"/>
        <v>B8</v>
      </c>
      <c r="I94" s="9" t="str">
        <f t="shared" si="112"/>
        <v>A2</v>
      </c>
      <c r="J94" s="9" t="str">
        <f t="shared" si="112"/>
        <v>B12</v>
      </c>
      <c r="K94" s="36"/>
      <c r="L94" s="117"/>
      <c r="M94" s="118" t="str">
        <f t="shared" ref="M94:P94" si="113">C94</f>
        <v/>
      </c>
      <c r="N94" s="119" t="str">
        <f t="shared" si="113"/>
        <v/>
      </c>
      <c r="O94" s="118" t="str">
        <f t="shared" si="113"/>
        <v>A11</v>
      </c>
      <c r="P94" s="118" t="str">
        <f t="shared" si="113"/>
        <v>B3</v>
      </c>
      <c r="Q94" s="118" t="str">
        <f t="shared" ref="Q94:R94" si="114">E95</f>
        <v>B5</v>
      </c>
      <c r="R94" s="119" t="str">
        <f t="shared" si="114"/>
        <v>C12</v>
      </c>
      <c r="S94" s="9" t="s">
        <v>114</v>
      </c>
      <c r="T94" s="110" t="s">
        <v>165</v>
      </c>
      <c r="U94" s="9" t="str">
        <f t="shared" ref="U94:X94" si="115">G94</f>
        <v>A9</v>
      </c>
      <c r="V94" s="119" t="str">
        <f t="shared" si="115"/>
        <v>B8</v>
      </c>
      <c r="W94" s="118" t="str">
        <f t="shared" si="115"/>
        <v>A2</v>
      </c>
      <c r="X94" s="120" t="str">
        <f t="shared" si="115"/>
        <v>B12</v>
      </c>
      <c r="Y94" s="73" t="s">
        <v>80</v>
      </c>
      <c r="Z94" s="94" t="s">
        <v>153</v>
      </c>
      <c r="AA94" s="36"/>
      <c r="AB94" s="36"/>
      <c r="AC94" s="111"/>
      <c r="AD94" s="112"/>
      <c r="AE94" s="37"/>
      <c r="AF94" s="97"/>
      <c r="AG94" s="14"/>
      <c r="AH94" s="14"/>
      <c r="AI94" s="14"/>
      <c r="AJ94" s="113"/>
      <c r="AK94" s="104" t="s">
        <v>122</v>
      </c>
      <c r="AM94" s="104" t="s">
        <v>123</v>
      </c>
      <c r="AO94" s="104" t="s">
        <v>124</v>
      </c>
      <c r="AQ94" s="105" t="s">
        <v>125</v>
      </c>
      <c r="AS94" s="104" t="s">
        <v>118</v>
      </c>
      <c r="AU94" s="114" t="s">
        <v>119</v>
      </c>
      <c r="AW94" s="105" t="s">
        <v>120</v>
      </c>
      <c r="AY94" s="105" t="s">
        <v>121</v>
      </c>
      <c r="AZ94" s="24"/>
    </row>
    <row r="95">
      <c r="A95" s="192">
        <f>A94-543</f>
        <v>2026</v>
      </c>
      <c r="B95" s="193"/>
      <c r="E95" s="115" t="s">
        <v>116</v>
      </c>
      <c r="F95" s="116" t="s">
        <v>127</v>
      </c>
      <c r="G95" s="115"/>
      <c r="H95" s="118"/>
      <c r="I95" s="118"/>
      <c r="J95" s="118"/>
      <c r="K95" s="36"/>
      <c r="L95" s="117"/>
      <c r="N95" s="117"/>
      <c r="R95" s="117"/>
      <c r="T95" s="117"/>
      <c r="V95" s="117"/>
      <c r="X95" s="117"/>
      <c r="Y95" s="73" t="s">
        <v>98</v>
      </c>
      <c r="Z95" s="94" t="s">
        <v>155</v>
      </c>
      <c r="AA95" s="36"/>
      <c r="AB95" s="36"/>
      <c r="AC95" s="111"/>
      <c r="AD95" s="112"/>
      <c r="AE95" s="37"/>
      <c r="AF95" s="97"/>
      <c r="AG95" s="14"/>
      <c r="AH95" s="14"/>
      <c r="AI95" s="14"/>
      <c r="AJ95" s="113"/>
      <c r="AK95" s="104" t="s">
        <v>133</v>
      </c>
      <c r="AM95" s="104" t="s">
        <v>134</v>
      </c>
      <c r="AO95" s="104" t="s">
        <v>135</v>
      </c>
      <c r="AQ95" s="105" t="s">
        <v>136</v>
      </c>
      <c r="AS95" s="104" t="s">
        <v>129</v>
      </c>
      <c r="AU95" s="114" t="s">
        <v>130</v>
      </c>
      <c r="AW95" s="105" t="s">
        <v>131</v>
      </c>
      <c r="AY95" s="105" t="s">
        <v>132</v>
      </c>
      <c r="AZ95" s="24"/>
    </row>
    <row r="96">
      <c r="A96" s="113"/>
      <c r="B96" s="206"/>
      <c r="C96" s="123"/>
      <c r="D96" s="123"/>
      <c r="E96" s="176" t="s">
        <v>157</v>
      </c>
      <c r="F96" s="88"/>
      <c r="G96" s="210" t="str">
        <f>G5:H5</f>
        <v>อสูรเดือน E</v>
      </c>
      <c r="I96" s="211" t="str">
        <f>I5:J5</f>
        <v>อสูรปี E</v>
      </c>
      <c r="K96" s="36"/>
      <c r="L96" s="117"/>
      <c r="N96" s="117"/>
      <c r="R96" s="117"/>
      <c r="T96" s="117"/>
      <c r="V96" s="117"/>
      <c r="X96" s="117"/>
      <c r="Y96" s="127"/>
      <c r="Z96" s="155"/>
      <c r="AA96" s="36"/>
      <c r="AB96" s="36"/>
      <c r="AC96" s="111"/>
      <c r="AD96" s="112"/>
      <c r="AE96" s="37"/>
      <c r="AF96" s="97"/>
      <c r="AG96" s="14"/>
      <c r="AH96" s="14"/>
      <c r="AI96" s="14"/>
      <c r="AJ96" s="113"/>
      <c r="AM96" s="128"/>
      <c r="AZ96" s="24"/>
    </row>
    <row r="97">
      <c r="A97" s="188" t="s">
        <v>63</v>
      </c>
      <c r="B97" s="189"/>
      <c r="C97" s="63"/>
      <c r="D97" s="63"/>
      <c r="E97" s="64">
        <f>(O98+P98+Q98+R98)/(O99+P99+Q99+R99)</f>
        <v>0.4</v>
      </c>
      <c r="F97" s="65"/>
      <c r="G97" s="133"/>
      <c r="H97" s="72"/>
      <c r="I97" s="67"/>
      <c r="J97" s="72"/>
      <c r="K97" s="68"/>
      <c r="L97" s="69"/>
      <c r="M97" s="63" t="s">
        <v>64</v>
      </c>
      <c r="N97" s="70"/>
      <c r="O97" s="71" t="s">
        <v>65</v>
      </c>
      <c r="P97" s="72"/>
      <c r="Q97" s="72"/>
      <c r="R97" s="70"/>
      <c r="S97" s="71" t="s">
        <v>66</v>
      </c>
      <c r="T97" s="70"/>
      <c r="U97" s="71" t="s">
        <v>67</v>
      </c>
      <c r="V97" s="70"/>
      <c r="W97" s="71" t="s">
        <v>68</v>
      </c>
      <c r="X97" s="70"/>
      <c r="Y97" s="134" t="s">
        <v>116</v>
      </c>
      <c r="Z97" s="74" t="s">
        <v>159</v>
      </c>
      <c r="AA97" s="75" t="s">
        <v>32</v>
      </c>
      <c r="AB97" s="75" t="s">
        <v>233</v>
      </c>
      <c r="AC97" s="76" t="s">
        <v>73</v>
      </c>
      <c r="AD97" s="77" t="s">
        <v>74</v>
      </c>
      <c r="AE97" s="63" t="s">
        <v>34</v>
      </c>
      <c r="AF97" s="78" t="s">
        <v>36</v>
      </c>
      <c r="AG97" s="79" t="s">
        <v>84</v>
      </c>
      <c r="AH97" s="79">
        <v>0.0</v>
      </c>
      <c r="AI97" s="79" t="s">
        <v>85</v>
      </c>
      <c r="AJ97" s="80" t="str">
        <f>AJ91</f>
        <v>開</v>
      </c>
      <c r="AK97" s="81" t="s">
        <v>52</v>
      </c>
      <c r="AL97" s="82" t="str">
        <f>AL91</f>
        <v>休</v>
      </c>
      <c r="AM97" s="81" t="s">
        <v>38</v>
      </c>
      <c r="AN97" s="82" t="s">
        <v>4</v>
      </c>
      <c r="AO97" s="81" t="s">
        <v>40</v>
      </c>
      <c r="AP97" s="82" t="str">
        <f>AP91</f>
        <v>傷</v>
      </c>
      <c r="AQ97" s="81" t="s">
        <v>42</v>
      </c>
      <c r="AR97" s="82" t="str">
        <f>AR91</f>
        <v>杜</v>
      </c>
      <c r="AS97" s="81" t="s">
        <v>44</v>
      </c>
      <c r="AT97" s="82" t="str">
        <f>AT91</f>
        <v>景</v>
      </c>
      <c r="AU97" s="81" t="s">
        <v>46</v>
      </c>
      <c r="AV97" s="82" t="str">
        <f>AV91</f>
        <v>死</v>
      </c>
      <c r="AW97" s="81" t="s">
        <v>48</v>
      </c>
      <c r="AX97" s="82" t="str">
        <f>AX91</f>
        <v>驚</v>
      </c>
      <c r="AY97" s="81" t="s">
        <v>50</v>
      </c>
      <c r="AZ97" s="83"/>
      <c r="BA97" s="84"/>
      <c r="BB97" s="84"/>
      <c r="BC97" s="84"/>
    </row>
    <row r="98">
      <c r="A98" s="192">
        <f>A92+1</f>
        <v>15</v>
      </c>
      <c r="B98" s="193"/>
      <c r="C98" s="12" t="s">
        <v>216</v>
      </c>
      <c r="E98" s="168" t="s">
        <v>30</v>
      </c>
      <c r="G98" s="137" t="str">
        <f t="shared" ref="G98:G99" si="117">G38:H38</f>
        <v>己</v>
      </c>
      <c r="I98" s="138" t="str">
        <f t="shared" ref="I98:I99" si="118">I38:J38</f>
        <v>乙</v>
      </c>
      <c r="K98" s="90">
        <f>L98/L99</f>
        <v>0.485</v>
      </c>
      <c r="L98" s="126">
        <f t="shared" ref="L98:L99" si="119">O98+P98+Q98+U98+V98+W98+X98+R98+M98+N98+S98+T98</f>
        <v>485</v>
      </c>
      <c r="M98" s="92">
        <v>0.0</v>
      </c>
      <c r="N98" s="93">
        <v>0.0</v>
      </c>
      <c r="O98" s="92">
        <v>50.0</v>
      </c>
      <c r="P98" s="92">
        <v>30.0</v>
      </c>
      <c r="Q98" s="92">
        <v>30.0</v>
      </c>
      <c r="R98" s="93">
        <v>50.0</v>
      </c>
      <c r="S98" s="92">
        <v>70.0</v>
      </c>
      <c r="T98" s="93">
        <v>70.0</v>
      </c>
      <c r="U98" s="92">
        <f t="shared" ref="U98:X98" si="116">U38</f>
        <v>50</v>
      </c>
      <c r="V98" s="93">
        <f t="shared" si="116"/>
        <v>90</v>
      </c>
      <c r="W98" s="92">
        <f t="shared" si="116"/>
        <v>35</v>
      </c>
      <c r="X98" s="93">
        <f t="shared" si="116"/>
        <v>10</v>
      </c>
      <c r="Y98" s="73" t="s">
        <v>126</v>
      </c>
      <c r="Z98" s="94" t="s">
        <v>152</v>
      </c>
      <c r="AA98" s="36"/>
      <c r="AB98" s="29" t="s">
        <v>234</v>
      </c>
      <c r="AC98" s="95" t="s">
        <v>82</v>
      </c>
      <c r="AD98" s="96" t="s">
        <v>83</v>
      </c>
      <c r="AE98" s="37"/>
      <c r="AF98" s="97"/>
      <c r="AG98" s="12" t="s">
        <v>76</v>
      </c>
      <c r="AH98" s="12">
        <v>240.0</v>
      </c>
      <c r="AI98" s="12" t="s">
        <v>77</v>
      </c>
      <c r="AJ98" s="98" t="s">
        <v>37</v>
      </c>
      <c r="AK98" s="99" t="s">
        <v>94</v>
      </c>
      <c r="AL98" s="100" t="s">
        <v>51</v>
      </c>
      <c r="AM98" s="101" t="s">
        <v>95</v>
      </c>
      <c r="AN98" s="100" t="s">
        <v>86</v>
      </c>
      <c r="AO98" s="99" t="s">
        <v>87</v>
      </c>
      <c r="AP98" s="100" t="s">
        <v>88</v>
      </c>
      <c r="AQ98" s="101" t="s">
        <v>89</v>
      </c>
      <c r="AR98" s="100" t="s">
        <v>45</v>
      </c>
      <c r="AS98" s="102" t="s">
        <v>90</v>
      </c>
      <c r="AT98" s="100" t="s">
        <v>43</v>
      </c>
      <c r="AU98" s="101" t="s">
        <v>91</v>
      </c>
      <c r="AV98" s="100" t="s">
        <v>41</v>
      </c>
      <c r="AW98" s="103" t="s">
        <v>92</v>
      </c>
      <c r="AX98" s="100" t="s">
        <v>39</v>
      </c>
      <c r="AY98" s="99" t="s">
        <v>93</v>
      </c>
      <c r="AZ98" s="24"/>
    </row>
    <row r="99">
      <c r="A99" s="215" t="str">
        <f>G2</f>
        <v>มกราคม</v>
      </c>
      <c r="B99" s="193"/>
      <c r="C99" s="106" t="s">
        <v>96</v>
      </c>
      <c r="E99" s="162" t="s">
        <v>53</v>
      </c>
      <c r="G99" s="180" t="str">
        <f t="shared" si="117"/>
        <v>丑</v>
      </c>
      <c r="I99" s="142" t="str">
        <f t="shared" si="118"/>
        <v>巳</v>
      </c>
      <c r="K99" s="36"/>
      <c r="L99" s="109">
        <f t="shared" si="119"/>
        <v>1000</v>
      </c>
      <c r="M99" s="9">
        <v>0.0</v>
      </c>
      <c r="N99" s="110">
        <v>0.0</v>
      </c>
      <c r="O99" s="9">
        <v>100.0</v>
      </c>
      <c r="P99" s="9">
        <v>100.0</v>
      </c>
      <c r="Q99" s="9">
        <v>100.0</v>
      </c>
      <c r="R99" s="110">
        <v>100.0</v>
      </c>
      <c r="S99" s="9">
        <v>100.0</v>
      </c>
      <c r="T99" s="110">
        <v>100.0</v>
      </c>
      <c r="U99" s="9">
        <v>100.0</v>
      </c>
      <c r="V99" s="110">
        <v>100.0</v>
      </c>
      <c r="W99" s="9">
        <v>100.0</v>
      </c>
      <c r="X99" s="110">
        <v>100.0</v>
      </c>
      <c r="Y99" s="73" t="s">
        <v>69</v>
      </c>
      <c r="Z99" s="94" t="s">
        <v>163</v>
      </c>
      <c r="AA99" s="36"/>
      <c r="AB99" s="36"/>
      <c r="AC99" s="111"/>
      <c r="AD99" s="112"/>
      <c r="AE99" s="37"/>
      <c r="AF99" s="97"/>
      <c r="AG99" s="14"/>
      <c r="AH99" s="14"/>
      <c r="AI99" s="14"/>
      <c r="AJ99" s="113"/>
      <c r="AK99" s="104" t="s">
        <v>106</v>
      </c>
      <c r="AM99" s="105" t="s">
        <v>107</v>
      </c>
      <c r="AO99" s="104" t="s">
        <v>100</v>
      </c>
      <c r="AQ99" s="114" t="s">
        <v>101</v>
      </c>
      <c r="AS99" s="105" t="s">
        <v>102</v>
      </c>
      <c r="AU99" s="105" t="s">
        <v>103</v>
      </c>
      <c r="AW99" s="104" t="s">
        <v>104</v>
      </c>
      <c r="AY99" s="104" t="s">
        <v>105</v>
      </c>
      <c r="AZ99" s="24"/>
    </row>
    <row r="100">
      <c r="A100" s="192">
        <v>2569.0</v>
      </c>
      <c r="B100" s="193"/>
      <c r="E100" s="115" t="s">
        <v>164</v>
      </c>
      <c r="F100" s="116" t="s">
        <v>109</v>
      </c>
      <c r="G100" s="115" t="str">
        <f t="shared" ref="G100:J100" si="120">G40</f>
        <v>A9</v>
      </c>
      <c r="H100" s="9" t="str">
        <f t="shared" si="120"/>
        <v>B8</v>
      </c>
      <c r="I100" s="9" t="str">
        <f t="shared" si="120"/>
        <v>A2</v>
      </c>
      <c r="J100" s="9" t="str">
        <f t="shared" si="120"/>
        <v>B12</v>
      </c>
      <c r="K100" s="36"/>
      <c r="L100" s="117"/>
      <c r="M100" s="118" t="str">
        <f t="shared" ref="M100:P100" si="121">C100</f>
        <v/>
      </c>
      <c r="N100" s="119" t="str">
        <f t="shared" si="121"/>
        <v/>
      </c>
      <c r="O100" s="118" t="str">
        <f t="shared" si="121"/>
        <v>A9</v>
      </c>
      <c r="P100" s="118" t="str">
        <f t="shared" si="121"/>
        <v>B4</v>
      </c>
      <c r="Q100" s="118" t="str">
        <f t="shared" ref="Q100:R100" si="122">E101</f>
        <v>B4</v>
      </c>
      <c r="R100" s="119" t="str">
        <f t="shared" si="122"/>
        <v>C1</v>
      </c>
      <c r="S100" s="9" t="s">
        <v>165</v>
      </c>
      <c r="T100" s="110" t="s">
        <v>165</v>
      </c>
      <c r="U100" s="9" t="str">
        <f t="shared" ref="U100:X100" si="123">G100</f>
        <v>A9</v>
      </c>
      <c r="V100" s="119" t="str">
        <f t="shared" si="123"/>
        <v>B8</v>
      </c>
      <c r="W100" s="118" t="str">
        <f t="shared" si="123"/>
        <v>A2</v>
      </c>
      <c r="X100" s="120" t="str">
        <f t="shared" si="123"/>
        <v>B12</v>
      </c>
      <c r="Y100" s="73" t="s">
        <v>80</v>
      </c>
      <c r="Z100" s="94" t="s">
        <v>117</v>
      </c>
      <c r="AA100" s="36"/>
      <c r="AB100" s="36"/>
      <c r="AC100" s="111"/>
      <c r="AD100" s="112"/>
      <c r="AE100" s="37"/>
      <c r="AF100" s="97"/>
      <c r="AG100" s="14"/>
      <c r="AH100" s="14"/>
      <c r="AI100" s="14"/>
      <c r="AJ100" s="113"/>
      <c r="AK100" s="104" t="s">
        <v>124</v>
      </c>
      <c r="AM100" s="105" t="s">
        <v>125</v>
      </c>
      <c r="AO100" s="104" t="s">
        <v>118</v>
      </c>
      <c r="AQ100" s="114" t="s">
        <v>119</v>
      </c>
      <c r="AS100" s="105" t="s">
        <v>120</v>
      </c>
      <c r="AU100" s="105" t="s">
        <v>121</v>
      </c>
      <c r="AW100" s="104" t="s">
        <v>122</v>
      </c>
      <c r="AY100" s="104" t="s">
        <v>123</v>
      </c>
      <c r="AZ100" s="24"/>
    </row>
    <row r="101">
      <c r="A101" s="192">
        <f>A100-543</f>
        <v>2026</v>
      </c>
      <c r="B101" s="193"/>
      <c r="E101" s="115" t="s">
        <v>109</v>
      </c>
      <c r="F101" s="116" t="s">
        <v>154</v>
      </c>
      <c r="G101" s="115"/>
      <c r="H101" s="118"/>
      <c r="I101" s="118"/>
      <c r="J101" s="118"/>
      <c r="K101" s="36"/>
      <c r="L101" s="117"/>
      <c r="N101" s="117"/>
      <c r="R101" s="117"/>
      <c r="T101" s="117"/>
      <c r="V101" s="117"/>
      <c r="X101" s="117"/>
      <c r="Y101" s="73" t="s">
        <v>98</v>
      </c>
      <c r="Z101" s="94" t="s">
        <v>128</v>
      </c>
      <c r="AA101" s="36"/>
      <c r="AB101" s="36"/>
      <c r="AC101" s="111"/>
      <c r="AD101" s="112"/>
      <c r="AE101" s="37"/>
      <c r="AF101" s="97"/>
      <c r="AG101" s="14"/>
      <c r="AH101" s="14"/>
      <c r="AI101" s="14"/>
      <c r="AJ101" s="113"/>
      <c r="AK101" s="104" t="s">
        <v>135</v>
      </c>
      <c r="AM101" s="105" t="s">
        <v>136</v>
      </c>
      <c r="AO101" s="104" t="s">
        <v>129</v>
      </c>
      <c r="AQ101" s="114" t="s">
        <v>130</v>
      </c>
      <c r="AS101" s="105" t="s">
        <v>131</v>
      </c>
      <c r="AU101" s="105" t="s">
        <v>132</v>
      </c>
      <c r="AW101" s="104" t="s">
        <v>133</v>
      </c>
      <c r="AY101" s="104" t="s">
        <v>134</v>
      </c>
      <c r="AZ101" s="24"/>
    </row>
    <row r="102">
      <c r="A102" s="205"/>
      <c r="B102" s="206"/>
      <c r="C102" s="123"/>
      <c r="D102" s="123"/>
      <c r="E102" s="164" t="s">
        <v>168</v>
      </c>
      <c r="F102" s="88"/>
      <c r="G102" s="207" t="str">
        <f>G5:H5</f>
        <v>อสูรเดือน E</v>
      </c>
      <c r="I102" s="208" t="str">
        <f>I5:J5</f>
        <v>อสูรปี E</v>
      </c>
      <c r="K102" s="36"/>
      <c r="L102" s="117"/>
      <c r="N102" s="117"/>
      <c r="R102" s="117"/>
      <c r="T102" s="117"/>
      <c r="V102" s="117"/>
      <c r="X102" s="117"/>
      <c r="Y102" s="127"/>
      <c r="Z102" s="155"/>
      <c r="AA102" s="36"/>
      <c r="AB102" s="36"/>
      <c r="AC102" s="111"/>
      <c r="AD102" s="112"/>
      <c r="AE102" s="37"/>
      <c r="AF102" s="97"/>
      <c r="AG102" s="14"/>
      <c r="AH102" s="14"/>
      <c r="AI102" s="14"/>
      <c r="AJ102" s="113"/>
      <c r="AO102" s="128"/>
      <c r="AZ102" s="24"/>
    </row>
    <row r="103">
      <c r="A103" s="188" t="s">
        <v>139</v>
      </c>
      <c r="B103" s="189"/>
      <c r="C103" s="63"/>
      <c r="D103" s="63"/>
      <c r="E103" s="64">
        <f>(O104+P104+Q104+R104)/(O105+P105+Q105+R105)</f>
        <v>0.375</v>
      </c>
      <c r="F103" s="65"/>
      <c r="G103" s="133"/>
      <c r="H103" s="72"/>
      <c r="I103" s="67"/>
      <c r="J103" s="72"/>
      <c r="K103" s="68"/>
      <c r="L103" s="69"/>
      <c r="M103" s="63" t="s">
        <v>64</v>
      </c>
      <c r="N103" s="70"/>
      <c r="O103" s="71" t="s">
        <v>65</v>
      </c>
      <c r="P103" s="72"/>
      <c r="Q103" s="72"/>
      <c r="R103" s="70"/>
      <c r="S103" s="71" t="s">
        <v>66</v>
      </c>
      <c r="T103" s="70"/>
      <c r="U103" s="71" t="s">
        <v>67</v>
      </c>
      <c r="V103" s="70"/>
      <c r="W103" s="71" t="s">
        <v>68</v>
      </c>
      <c r="X103" s="70"/>
      <c r="Y103" s="134" t="s">
        <v>80</v>
      </c>
      <c r="Z103" s="74" t="s">
        <v>170</v>
      </c>
      <c r="AA103" s="75" t="s">
        <v>201</v>
      </c>
      <c r="AB103" s="75" t="s">
        <v>240</v>
      </c>
      <c r="AC103" s="202" t="s">
        <v>142</v>
      </c>
      <c r="AD103" s="74" t="s">
        <v>143</v>
      </c>
      <c r="AE103" s="63" t="s">
        <v>36</v>
      </c>
      <c r="AF103" s="78" t="s">
        <v>34</v>
      </c>
      <c r="AG103" s="79" t="s">
        <v>53</v>
      </c>
      <c r="AH103" s="79">
        <v>30.0</v>
      </c>
      <c r="AI103" s="79" t="s">
        <v>178</v>
      </c>
      <c r="AJ103" s="80" t="str">
        <f>AJ97</f>
        <v>開</v>
      </c>
      <c r="AK103" s="81" t="s">
        <v>42</v>
      </c>
      <c r="AL103" s="82" t="str">
        <f>AL97</f>
        <v>休</v>
      </c>
      <c r="AM103" s="81" t="s">
        <v>44</v>
      </c>
      <c r="AN103" s="82" t="s">
        <v>4</v>
      </c>
      <c r="AO103" s="81" t="s">
        <v>46</v>
      </c>
      <c r="AP103" s="82" t="str">
        <f>AP97</f>
        <v>傷</v>
      </c>
      <c r="AQ103" s="81" t="s">
        <v>48</v>
      </c>
      <c r="AR103" s="82" t="s">
        <v>8</v>
      </c>
      <c r="AS103" s="81" t="s">
        <v>50</v>
      </c>
      <c r="AT103" s="82" t="str">
        <f>AT97</f>
        <v>景</v>
      </c>
      <c r="AU103" s="81" t="s">
        <v>52</v>
      </c>
      <c r="AV103" s="82" t="str">
        <f>AV97</f>
        <v>死</v>
      </c>
      <c r="AW103" s="81" t="s">
        <v>38</v>
      </c>
      <c r="AX103" s="82" t="str">
        <f>AX97</f>
        <v>驚</v>
      </c>
      <c r="AY103" s="81" t="s">
        <v>40</v>
      </c>
      <c r="AZ103" s="83"/>
      <c r="BA103" s="84"/>
      <c r="BB103" s="84"/>
      <c r="BC103" s="84"/>
    </row>
    <row r="104">
      <c r="A104" s="192">
        <f>A98+1</f>
        <v>16</v>
      </c>
      <c r="B104" s="193"/>
      <c r="C104" s="12" t="s">
        <v>221</v>
      </c>
      <c r="E104" s="194" t="s">
        <v>195</v>
      </c>
      <c r="G104" s="137" t="str">
        <f t="shared" ref="G104:G105" si="125">G38:H38</f>
        <v>己</v>
      </c>
      <c r="I104" s="138" t="str">
        <f t="shared" ref="I104:I105" si="126">I38:J38</f>
        <v>乙</v>
      </c>
      <c r="K104" s="90">
        <f>L104/L105</f>
        <v>0.395</v>
      </c>
      <c r="L104" s="126">
        <f t="shared" ref="L104:L105" si="127">O104+P104+Q104+U104+V104+W104+X104+R104+M104+N104+S104+T104</f>
        <v>395</v>
      </c>
      <c r="M104" s="92">
        <v>0.0</v>
      </c>
      <c r="N104" s="93">
        <v>0.0</v>
      </c>
      <c r="O104" s="92">
        <v>0.0</v>
      </c>
      <c r="P104" s="92">
        <v>100.0</v>
      </c>
      <c r="Q104" s="92">
        <v>20.0</v>
      </c>
      <c r="R104" s="93">
        <v>30.0</v>
      </c>
      <c r="S104" s="92">
        <v>5.0</v>
      </c>
      <c r="T104" s="93">
        <v>55.0</v>
      </c>
      <c r="U104" s="92">
        <f t="shared" ref="U104:X104" si="124">U38</f>
        <v>50</v>
      </c>
      <c r="V104" s="93">
        <f t="shared" si="124"/>
        <v>90</v>
      </c>
      <c r="W104" s="92">
        <f t="shared" si="124"/>
        <v>35</v>
      </c>
      <c r="X104" s="93">
        <f t="shared" si="124"/>
        <v>10</v>
      </c>
      <c r="Y104" s="73" t="s">
        <v>98</v>
      </c>
      <c r="Z104" s="94" t="s">
        <v>70</v>
      </c>
      <c r="AA104" s="36"/>
      <c r="AB104" s="36"/>
      <c r="AC104" s="204" t="s">
        <v>82</v>
      </c>
      <c r="AD104" s="96" t="s">
        <v>83</v>
      </c>
      <c r="AE104" s="37"/>
      <c r="AF104" s="97"/>
      <c r="AG104" s="12" t="s">
        <v>71</v>
      </c>
      <c r="AH104" s="12">
        <v>210.0</v>
      </c>
      <c r="AI104" s="12" t="s">
        <v>175</v>
      </c>
      <c r="AJ104" s="98" t="s">
        <v>45</v>
      </c>
      <c r="AK104" s="102" t="s">
        <v>90</v>
      </c>
      <c r="AL104" s="100" t="s">
        <v>43</v>
      </c>
      <c r="AM104" s="101" t="s">
        <v>91</v>
      </c>
      <c r="AN104" s="100" t="s">
        <v>41</v>
      </c>
      <c r="AO104" s="103" t="s">
        <v>92</v>
      </c>
      <c r="AP104" s="100" t="s">
        <v>39</v>
      </c>
      <c r="AQ104" s="99" t="s">
        <v>93</v>
      </c>
      <c r="AR104" s="100" t="s">
        <v>37</v>
      </c>
      <c r="AS104" s="99" t="s">
        <v>94</v>
      </c>
      <c r="AT104" s="100" t="s">
        <v>51</v>
      </c>
      <c r="AU104" s="101" t="s">
        <v>95</v>
      </c>
      <c r="AV104" s="100" t="s">
        <v>86</v>
      </c>
      <c r="AW104" s="99" t="s">
        <v>87</v>
      </c>
      <c r="AX104" s="100" t="s">
        <v>88</v>
      </c>
      <c r="AY104" s="101" t="s">
        <v>89</v>
      </c>
      <c r="AZ104" s="24"/>
    </row>
    <row r="105">
      <c r="A105" s="215" t="str">
        <f>G2</f>
        <v>มกราคม</v>
      </c>
      <c r="B105" s="193"/>
      <c r="C105" s="140" t="s">
        <v>151</v>
      </c>
      <c r="E105" s="218" t="s">
        <v>180</v>
      </c>
      <c r="G105" s="180" t="str">
        <f t="shared" si="125"/>
        <v>丑</v>
      </c>
      <c r="I105" s="142" t="str">
        <f t="shared" si="126"/>
        <v>巳</v>
      </c>
      <c r="K105" s="36"/>
      <c r="L105" s="109">
        <f t="shared" si="127"/>
        <v>1000</v>
      </c>
      <c r="M105" s="9">
        <v>0.0</v>
      </c>
      <c r="N105" s="110">
        <v>0.0</v>
      </c>
      <c r="O105" s="9">
        <v>100.0</v>
      </c>
      <c r="P105" s="9">
        <v>100.0</v>
      </c>
      <c r="Q105" s="9">
        <v>100.0</v>
      </c>
      <c r="R105" s="110">
        <v>100.0</v>
      </c>
      <c r="S105" s="9">
        <v>100.0</v>
      </c>
      <c r="T105" s="110">
        <v>100.0</v>
      </c>
      <c r="U105" s="9">
        <v>100.0</v>
      </c>
      <c r="V105" s="110">
        <v>100.0</v>
      </c>
      <c r="W105" s="9">
        <v>100.0</v>
      </c>
      <c r="X105" s="110">
        <v>100.0</v>
      </c>
      <c r="Y105" s="73" t="s">
        <v>116</v>
      </c>
      <c r="Z105" s="94" t="s">
        <v>181</v>
      </c>
      <c r="AA105" s="36"/>
      <c r="AB105" s="36"/>
      <c r="AC105" s="111"/>
      <c r="AD105" s="112"/>
      <c r="AE105" s="37"/>
      <c r="AF105" s="97"/>
      <c r="AG105" s="14"/>
      <c r="AH105" s="14"/>
      <c r="AI105" s="14"/>
      <c r="AJ105" s="113"/>
      <c r="AK105" s="105" t="s">
        <v>102</v>
      </c>
      <c r="AM105" s="105" t="s">
        <v>103</v>
      </c>
      <c r="AO105" s="104" t="s">
        <v>104</v>
      </c>
      <c r="AQ105" s="104" t="s">
        <v>105</v>
      </c>
      <c r="AS105" s="104" t="s">
        <v>106</v>
      </c>
      <c r="AU105" s="105" t="s">
        <v>107</v>
      </c>
      <c r="AW105" s="104" t="s">
        <v>100</v>
      </c>
      <c r="AY105" s="114" t="s">
        <v>101</v>
      </c>
      <c r="AZ105" s="24"/>
    </row>
    <row r="106">
      <c r="A106" s="192">
        <v>2569.0</v>
      </c>
      <c r="B106" s="193"/>
      <c r="E106" s="115" t="s">
        <v>114</v>
      </c>
      <c r="F106" s="116" t="s">
        <v>116</v>
      </c>
      <c r="G106" s="115" t="str">
        <f t="shared" ref="G106:J106" si="128">G40</f>
        <v>A9</v>
      </c>
      <c r="H106" s="9" t="str">
        <f t="shared" si="128"/>
        <v>B8</v>
      </c>
      <c r="I106" s="9" t="str">
        <f t="shared" si="128"/>
        <v>A2</v>
      </c>
      <c r="J106" s="9" t="str">
        <f t="shared" si="128"/>
        <v>B12</v>
      </c>
      <c r="K106" s="36"/>
      <c r="L106" s="117"/>
      <c r="M106" s="118" t="str">
        <f t="shared" ref="M106:P106" si="129">C106</f>
        <v/>
      </c>
      <c r="N106" s="119" t="str">
        <f t="shared" si="129"/>
        <v/>
      </c>
      <c r="O106" s="118" t="str">
        <f t="shared" si="129"/>
        <v>A10</v>
      </c>
      <c r="P106" s="118" t="str">
        <f t="shared" si="129"/>
        <v>B5</v>
      </c>
      <c r="Q106" s="118" t="str">
        <f t="shared" ref="Q106:R106" si="130">E107</f>
        <v>B3</v>
      </c>
      <c r="R106" s="119" t="str">
        <f t="shared" si="130"/>
        <v>C2</v>
      </c>
      <c r="S106" s="9" t="s">
        <v>108</v>
      </c>
      <c r="T106" s="110" t="s">
        <v>164</v>
      </c>
      <c r="U106" s="9" t="str">
        <f t="shared" ref="U106:X106" si="131">G106</f>
        <v>A9</v>
      </c>
      <c r="V106" s="119" t="str">
        <f t="shared" si="131"/>
        <v>B8</v>
      </c>
      <c r="W106" s="118" t="str">
        <f t="shared" si="131"/>
        <v>A2</v>
      </c>
      <c r="X106" s="120" t="str">
        <f t="shared" si="131"/>
        <v>B12</v>
      </c>
      <c r="Y106" s="73" t="s">
        <v>126</v>
      </c>
      <c r="Z106" s="94" t="s">
        <v>163</v>
      </c>
      <c r="AA106" s="36"/>
      <c r="AB106" s="36"/>
      <c r="AC106" s="111"/>
      <c r="AD106" s="112"/>
      <c r="AE106" s="37"/>
      <c r="AF106" s="97"/>
      <c r="AG106" s="14"/>
      <c r="AH106" s="14"/>
      <c r="AI106" s="14"/>
      <c r="AJ106" s="113"/>
      <c r="AK106" s="105" t="s">
        <v>120</v>
      </c>
      <c r="AM106" s="105" t="s">
        <v>121</v>
      </c>
      <c r="AO106" s="104" t="s">
        <v>122</v>
      </c>
      <c r="AQ106" s="104" t="s">
        <v>123</v>
      </c>
      <c r="AS106" s="104" t="s">
        <v>124</v>
      </c>
      <c r="AU106" s="105" t="s">
        <v>125</v>
      </c>
      <c r="AW106" s="104" t="s">
        <v>118</v>
      </c>
      <c r="AY106" s="114" t="s">
        <v>119</v>
      </c>
      <c r="AZ106" s="24"/>
    </row>
    <row r="107">
      <c r="A107" s="192">
        <f>A106-543</f>
        <v>2026</v>
      </c>
      <c r="B107" s="193"/>
      <c r="C107" s="12" t="s">
        <v>241</v>
      </c>
      <c r="E107" s="115" t="s">
        <v>183</v>
      </c>
      <c r="F107" s="116" t="s">
        <v>167</v>
      </c>
      <c r="G107" s="115"/>
      <c r="H107" s="118"/>
      <c r="I107" s="118"/>
      <c r="J107" s="118"/>
      <c r="K107" s="36"/>
      <c r="L107" s="117"/>
      <c r="N107" s="117"/>
      <c r="R107" s="117"/>
      <c r="T107" s="117"/>
      <c r="V107" s="117"/>
      <c r="X107" s="117"/>
      <c r="Y107" s="73" t="s">
        <v>69</v>
      </c>
      <c r="Z107" s="94" t="s">
        <v>99</v>
      </c>
      <c r="AA107" s="36"/>
      <c r="AB107" s="36"/>
      <c r="AC107" s="111"/>
      <c r="AD107" s="112"/>
      <c r="AE107" s="37"/>
      <c r="AF107" s="97"/>
      <c r="AG107" s="14"/>
      <c r="AH107" s="14"/>
      <c r="AI107" s="14"/>
      <c r="AJ107" s="113"/>
      <c r="AK107" s="105" t="s">
        <v>131</v>
      </c>
      <c r="AM107" s="105" t="s">
        <v>132</v>
      </c>
      <c r="AO107" s="104" t="s">
        <v>133</v>
      </c>
      <c r="AQ107" s="104" t="s">
        <v>134</v>
      </c>
      <c r="AS107" s="104" t="s">
        <v>135</v>
      </c>
      <c r="AU107" s="105" t="s">
        <v>136</v>
      </c>
      <c r="AW107" s="104" t="s">
        <v>129</v>
      </c>
      <c r="AY107" s="114" t="s">
        <v>130</v>
      </c>
      <c r="AZ107" s="24"/>
    </row>
    <row r="108">
      <c r="A108" s="219" t="s">
        <v>242</v>
      </c>
      <c r="B108" s="206"/>
      <c r="C108" s="123"/>
      <c r="D108" s="123"/>
      <c r="E108" s="164" t="s">
        <v>185</v>
      </c>
      <c r="F108" s="88"/>
      <c r="G108" s="207" t="str">
        <f>G5:H5</f>
        <v>อสูรเดือน E</v>
      </c>
      <c r="I108" s="208" t="str">
        <f>I5:J5</f>
        <v>อสูรปี E</v>
      </c>
      <c r="K108" s="36"/>
      <c r="L108" s="117"/>
      <c r="N108" s="117"/>
      <c r="R108" s="117"/>
      <c r="T108" s="117"/>
      <c r="V108" s="117"/>
      <c r="X108" s="117"/>
      <c r="Y108" s="127"/>
      <c r="Z108" s="155"/>
      <c r="AA108" s="36"/>
      <c r="AB108" s="36"/>
      <c r="AC108" s="111"/>
      <c r="AD108" s="112"/>
      <c r="AE108" s="37"/>
      <c r="AF108" s="97"/>
      <c r="AG108" s="14"/>
      <c r="AH108" s="14"/>
      <c r="AI108" s="14"/>
      <c r="AJ108" s="113"/>
      <c r="AK108" s="128"/>
      <c r="AY108" s="220"/>
      <c r="AZ108" s="24"/>
    </row>
    <row r="109">
      <c r="A109" s="188" t="s">
        <v>158</v>
      </c>
      <c r="B109" s="189"/>
      <c r="C109" s="63"/>
      <c r="D109" s="63"/>
      <c r="E109" s="64">
        <f>(O110+P110+Q110+R110)/(O111+P111+Q111+R111)</f>
        <v>0.625</v>
      </c>
      <c r="F109" s="65"/>
      <c r="G109" s="133"/>
      <c r="H109" s="72"/>
      <c r="I109" s="67"/>
      <c r="J109" s="72"/>
      <c r="K109" s="68"/>
      <c r="L109" s="69"/>
      <c r="M109" s="63" t="s">
        <v>64</v>
      </c>
      <c r="N109" s="70"/>
      <c r="O109" s="71" t="s">
        <v>65</v>
      </c>
      <c r="P109" s="72"/>
      <c r="Q109" s="72"/>
      <c r="R109" s="70"/>
      <c r="S109" s="71" t="s">
        <v>66</v>
      </c>
      <c r="T109" s="70"/>
      <c r="U109" s="71" t="s">
        <v>67</v>
      </c>
      <c r="V109" s="70"/>
      <c r="W109" s="71" t="s">
        <v>68</v>
      </c>
      <c r="X109" s="70"/>
      <c r="Y109" s="134" t="s">
        <v>80</v>
      </c>
      <c r="Z109" s="74" t="s">
        <v>159</v>
      </c>
      <c r="AA109" s="75" t="s">
        <v>209</v>
      </c>
      <c r="AB109" s="75" t="s">
        <v>238</v>
      </c>
      <c r="AC109" s="202" t="s">
        <v>142</v>
      </c>
      <c r="AD109" s="74" t="s">
        <v>143</v>
      </c>
      <c r="AE109" s="63" t="s">
        <v>36</v>
      </c>
      <c r="AF109" s="78" t="s">
        <v>75</v>
      </c>
      <c r="AG109" s="79" t="s">
        <v>180</v>
      </c>
      <c r="AH109" s="79">
        <v>60.0</v>
      </c>
      <c r="AI109" s="79" t="s">
        <v>200</v>
      </c>
      <c r="AJ109" s="80" t="str">
        <f>AJ103</f>
        <v>開</v>
      </c>
      <c r="AK109" s="81" t="s">
        <v>50</v>
      </c>
      <c r="AL109" s="82" t="str">
        <f>AL103</f>
        <v>休</v>
      </c>
      <c r="AM109" s="81" t="s">
        <v>52</v>
      </c>
      <c r="AN109" s="82" t="s">
        <v>4</v>
      </c>
      <c r="AO109" s="81" t="s">
        <v>38</v>
      </c>
      <c r="AP109" s="82" t="str">
        <f>AP103</f>
        <v>傷</v>
      </c>
      <c r="AQ109" s="81" t="s">
        <v>40</v>
      </c>
      <c r="AR109" s="82" t="s">
        <v>8</v>
      </c>
      <c r="AS109" s="81" t="s">
        <v>42</v>
      </c>
      <c r="AT109" s="82" t="str">
        <f>AT103</f>
        <v>景</v>
      </c>
      <c r="AU109" s="81" t="s">
        <v>44</v>
      </c>
      <c r="AV109" s="82" t="str">
        <f>AV103</f>
        <v>死</v>
      </c>
      <c r="AW109" s="81" t="s">
        <v>46</v>
      </c>
      <c r="AX109" s="82" t="str">
        <f>AX103</f>
        <v>驚</v>
      </c>
      <c r="AY109" s="81" t="s">
        <v>48</v>
      </c>
      <c r="AZ109" s="83"/>
      <c r="BA109" s="84"/>
      <c r="BB109" s="84"/>
      <c r="BC109" s="84"/>
    </row>
    <row r="110">
      <c r="A110" s="192">
        <f>A104+1</f>
        <v>17</v>
      </c>
      <c r="B110" s="193"/>
      <c r="C110" s="12" t="s">
        <v>221</v>
      </c>
      <c r="E110" s="199" t="s">
        <v>201</v>
      </c>
      <c r="G110" s="137" t="str">
        <f t="shared" ref="G110:G111" si="133">G38:H38</f>
        <v>己</v>
      </c>
      <c r="I110" s="138" t="str">
        <f t="shared" ref="I110:I111" si="134">I38:J38</f>
        <v>乙</v>
      </c>
      <c r="K110" s="90">
        <f>L110/L111</f>
        <v>0.52</v>
      </c>
      <c r="L110" s="126">
        <f t="shared" ref="L110:L111" si="135">O110+P110+Q110+U110+V110+W110+X110+R110+M110+N110+S110+T110</f>
        <v>520</v>
      </c>
      <c r="M110" s="92">
        <v>0.0</v>
      </c>
      <c r="N110" s="93">
        <v>0.0</v>
      </c>
      <c r="O110" s="92">
        <v>0.0</v>
      </c>
      <c r="P110" s="92">
        <v>90.0</v>
      </c>
      <c r="Q110" s="92">
        <v>80.0</v>
      </c>
      <c r="R110" s="93">
        <v>80.0</v>
      </c>
      <c r="S110" s="92">
        <v>15.0</v>
      </c>
      <c r="T110" s="93">
        <v>70.0</v>
      </c>
      <c r="U110" s="92">
        <f t="shared" ref="U110:X110" si="132">U38</f>
        <v>50</v>
      </c>
      <c r="V110" s="93">
        <f t="shared" si="132"/>
        <v>90</v>
      </c>
      <c r="W110" s="92">
        <f t="shared" si="132"/>
        <v>35</v>
      </c>
      <c r="X110" s="93">
        <f t="shared" si="132"/>
        <v>10</v>
      </c>
      <c r="Y110" s="73" t="s">
        <v>98</v>
      </c>
      <c r="Z110" s="94" t="s">
        <v>152</v>
      </c>
      <c r="AA110" s="36"/>
      <c r="AB110" s="36"/>
      <c r="AC110" s="204" t="s">
        <v>82</v>
      </c>
      <c r="AD110" s="96" t="s">
        <v>83</v>
      </c>
      <c r="AE110" s="37"/>
      <c r="AF110" s="97"/>
      <c r="AG110" s="12" t="s">
        <v>202</v>
      </c>
      <c r="AH110" s="12">
        <v>180.0</v>
      </c>
      <c r="AI110" s="12" t="s">
        <v>203</v>
      </c>
      <c r="AJ110" s="98" t="s">
        <v>37</v>
      </c>
      <c r="AK110" s="99" t="s">
        <v>94</v>
      </c>
      <c r="AL110" s="100" t="s">
        <v>51</v>
      </c>
      <c r="AM110" s="101" t="s">
        <v>95</v>
      </c>
      <c r="AN110" s="100" t="s">
        <v>86</v>
      </c>
      <c r="AO110" s="99" t="s">
        <v>87</v>
      </c>
      <c r="AP110" s="100" t="s">
        <v>88</v>
      </c>
      <c r="AQ110" s="101" t="s">
        <v>89</v>
      </c>
      <c r="AR110" s="100" t="s">
        <v>45</v>
      </c>
      <c r="AS110" s="102" t="s">
        <v>90</v>
      </c>
      <c r="AT110" s="100" t="s">
        <v>43</v>
      </c>
      <c r="AU110" s="101" t="s">
        <v>91</v>
      </c>
      <c r="AV110" s="100" t="s">
        <v>41</v>
      </c>
      <c r="AW110" s="103" t="s">
        <v>92</v>
      </c>
      <c r="AX110" s="100" t="s">
        <v>39</v>
      </c>
      <c r="AY110" s="99" t="s">
        <v>93</v>
      </c>
      <c r="AZ110" s="24"/>
    </row>
    <row r="111">
      <c r="A111" s="215" t="str">
        <f>G2</f>
        <v>มกราคม</v>
      </c>
      <c r="B111" s="193"/>
      <c r="C111" s="161" t="s">
        <v>162</v>
      </c>
      <c r="E111" s="171" t="s">
        <v>189</v>
      </c>
      <c r="G111" s="180" t="str">
        <f t="shared" si="133"/>
        <v>丑</v>
      </c>
      <c r="I111" s="142" t="str">
        <f t="shared" si="134"/>
        <v>巳</v>
      </c>
      <c r="K111" s="36"/>
      <c r="L111" s="109">
        <f t="shared" si="135"/>
        <v>1000</v>
      </c>
      <c r="M111" s="9">
        <v>0.0</v>
      </c>
      <c r="N111" s="110">
        <v>0.0</v>
      </c>
      <c r="O111" s="9">
        <v>100.0</v>
      </c>
      <c r="P111" s="9">
        <v>100.0</v>
      </c>
      <c r="Q111" s="9">
        <v>100.0</v>
      </c>
      <c r="R111" s="110">
        <v>100.0</v>
      </c>
      <c r="S111" s="9">
        <v>100.0</v>
      </c>
      <c r="T111" s="110">
        <v>100.0</v>
      </c>
      <c r="U111" s="9">
        <v>100.0</v>
      </c>
      <c r="V111" s="110">
        <v>100.0</v>
      </c>
      <c r="W111" s="9">
        <v>100.0</v>
      </c>
      <c r="X111" s="110">
        <v>100.0</v>
      </c>
      <c r="Y111" s="73" t="s">
        <v>116</v>
      </c>
      <c r="Z111" s="94" t="s">
        <v>81</v>
      </c>
      <c r="AA111" s="36"/>
      <c r="AB111" s="36"/>
      <c r="AC111" s="111"/>
      <c r="AD111" s="112"/>
      <c r="AE111" s="37"/>
      <c r="AF111" s="97"/>
      <c r="AG111" s="14"/>
      <c r="AH111" s="14"/>
      <c r="AI111" s="14"/>
      <c r="AJ111" s="113"/>
      <c r="AK111" s="104" t="s">
        <v>106</v>
      </c>
      <c r="AM111" s="105" t="s">
        <v>107</v>
      </c>
      <c r="AO111" s="104" t="s">
        <v>100</v>
      </c>
      <c r="AQ111" s="114" t="s">
        <v>101</v>
      </c>
      <c r="AS111" s="105" t="s">
        <v>102</v>
      </c>
      <c r="AU111" s="105" t="s">
        <v>103</v>
      </c>
      <c r="AW111" s="104" t="s">
        <v>104</v>
      </c>
      <c r="AY111" s="104" t="s">
        <v>105</v>
      </c>
      <c r="AZ111" s="24"/>
    </row>
    <row r="112">
      <c r="A112" s="192">
        <v>2569.0</v>
      </c>
      <c r="B112" s="193"/>
      <c r="E112" s="115" t="s">
        <v>114</v>
      </c>
      <c r="F112" s="116" t="s">
        <v>126</v>
      </c>
      <c r="G112" s="115" t="str">
        <f t="shared" ref="G112:J112" si="136">G40</f>
        <v>A9</v>
      </c>
      <c r="H112" s="9" t="str">
        <f t="shared" si="136"/>
        <v>B8</v>
      </c>
      <c r="I112" s="9" t="str">
        <f t="shared" si="136"/>
        <v>A2</v>
      </c>
      <c r="J112" s="9" t="str">
        <f t="shared" si="136"/>
        <v>B12</v>
      </c>
      <c r="K112" s="36"/>
      <c r="L112" s="117"/>
      <c r="M112" s="118" t="str">
        <f t="shared" ref="M112:P112" si="137">C112</f>
        <v/>
      </c>
      <c r="N112" s="119" t="str">
        <f t="shared" si="137"/>
        <v/>
      </c>
      <c r="O112" s="118" t="str">
        <f t="shared" si="137"/>
        <v>A10</v>
      </c>
      <c r="P112" s="118" t="str">
        <f t="shared" si="137"/>
        <v>B6</v>
      </c>
      <c r="Q112" s="118" t="str">
        <f t="shared" ref="Q112:R112" si="138">E113</f>
        <v>B2</v>
      </c>
      <c r="R112" s="119" t="str">
        <f t="shared" si="138"/>
        <v>C3</v>
      </c>
      <c r="S112" s="9" t="s">
        <v>115</v>
      </c>
      <c r="T112" s="110" t="s">
        <v>165</v>
      </c>
      <c r="U112" s="9" t="str">
        <f t="shared" ref="U112:X112" si="139">G112</f>
        <v>A9</v>
      </c>
      <c r="V112" s="119" t="str">
        <f t="shared" si="139"/>
        <v>B8</v>
      </c>
      <c r="W112" s="118" t="str">
        <f t="shared" si="139"/>
        <v>A2</v>
      </c>
      <c r="X112" s="120" t="str">
        <f t="shared" si="139"/>
        <v>B12</v>
      </c>
      <c r="Y112" s="73" t="s">
        <v>126</v>
      </c>
      <c r="Z112" s="94" t="s">
        <v>99</v>
      </c>
      <c r="AA112" s="36"/>
      <c r="AB112" s="36"/>
      <c r="AC112" s="111"/>
      <c r="AD112" s="112"/>
      <c r="AE112" s="37"/>
      <c r="AF112" s="97"/>
      <c r="AG112" s="14"/>
      <c r="AH112" s="14"/>
      <c r="AI112" s="14"/>
      <c r="AJ112" s="113"/>
      <c r="AK112" s="104" t="s">
        <v>124</v>
      </c>
      <c r="AM112" s="105" t="s">
        <v>125</v>
      </c>
      <c r="AO112" s="104" t="s">
        <v>118</v>
      </c>
      <c r="AQ112" s="114" t="s">
        <v>119</v>
      </c>
      <c r="AS112" s="105" t="s">
        <v>120</v>
      </c>
      <c r="AU112" s="105" t="s">
        <v>121</v>
      </c>
      <c r="AW112" s="104" t="s">
        <v>122</v>
      </c>
      <c r="AY112" s="104" t="s">
        <v>123</v>
      </c>
      <c r="AZ112" s="24"/>
    </row>
    <row r="113">
      <c r="A113" s="192">
        <f>A112-543</f>
        <v>2026</v>
      </c>
      <c r="B113" s="193"/>
      <c r="E113" s="115" t="s">
        <v>98</v>
      </c>
      <c r="F113" s="116" t="s">
        <v>184</v>
      </c>
      <c r="G113" s="115"/>
      <c r="H113" s="118"/>
      <c r="I113" s="118"/>
      <c r="J113" s="118"/>
      <c r="K113" s="36"/>
      <c r="L113" s="117"/>
      <c r="N113" s="117"/>
      <c r="R113" s="117"/>
      <c r="T113" s="117"/>
      <c r="V113" s="117"/>
      <c r="X113" s="117"/>
      <c r="Y113" s="73" t="s">
        <v>69</v>
      </c>
      <c r="Z113" s="94" t="s">
        <v>155</v>
      </c>
      <c r="AA113" s="36"/>
      <c r="AB113" s="36"/>
      <c r="AC113" s="111"/>
      <c r="AD113" s="112"/>
      <c r="AE113" s="37"/>
      <c r="AF113" s="97"/>
      <c r="AG113" s="14"/>
      <c r="AH113" s="14"/>
      <c r="AI113" s="14"/>
      <c r="AJ113" s="113"/>
      <c r="AK113" s="104" t="s">
        <v>135</v>
      </c>
      <c r="AM113" s="105" t="s">
        <v>136</v>
      </c>
      <c r="AO113" s="104" t="s">
        <v>129</v>
      </c>
      <c r="AQ113" s="114" t="s">
        <v>130</v>
      </c>
      <c r="AS113" s="105" t="s">
        <v>131</v>
      </c>
      <c r="AU113" s="105" t="s">
        <v>132</v>
      </c>
      <c r="AW113" s="104" t="s">
        <v>133</v>
      </c>
      <c r="AY113" s="104" t="s">
        <v>134</v>
      </c>
      <c r="AZ113" s="24"/>
    </row>
    <row r="114">
      <c r="A114" s="113"/>
      <c r="B114" s="206"/>
      <c r="C114" s="123"/>
      <c r="D114" s="123"/>
      <c r="E114" s="176" t="s">
        <v>137</v>
      </c>
      <c r="F114" s="88"/>
      <c r="G114" s="207" t="str">
        <f>G5:H5</f>
        <v>อสูรเดือน E</v>
      </c>
      <c r="I114" s="208" t="str">
        <f>I5:J5</f>
        <v>อสูรปี E</v>
      </c>
      <c r="K114" s="36"/>
      <c r="L114" s="117"/>
      <c r="N114" s="117"/>
      <c r="R114" s="117"/>
      <c r="T114" s="117"/>
      <c r="V114" s="117"/>
      <c r="X114" s="117"/>
      <c r="Y114" s="127"/>
      <c r="Z114" s="155"/>
      <c r="AA114" s="36"/>
      <c r="AB114" s="36"/>
      <c r="AC114" s="111"/>
      <c r="AD114" s="112"/>
      <c r="AE114" s="37"/>
      <c r="AF114" s="97"/>
      <c r="AG114" s="14"/>
      <c r="AH114" s="14"/>
      <c r="AI114" s="14"/>
      <c r="AJ114" s="113"/>
      <c r="AU114" s="128"/>
      <c r="AZ114" s="24"/>
    </row>
    <row r="115">
      <c r="A115" s="188" t="s">
        <v>169</v>
      </c>
      <c r="B115" s="189"/>
      <c r="C115" s="63"/>
      <c r="D115" s="63"/>
      <c r="E115" s="64">
        <f>(O116+P116+Q116+R116)/(O117+P117+Q117+R117)</f>
        <v>0.4125</v>
      </c>
      <c r="F115" s="65"/>
      <c r="G115" s="133"/>
      <c r="H115" s="72"/>
      <c r="I115" s="67"/>
      <c r="J115" s="72"/>
      <c r="K115" s="68"/>
      <c r="L115" s="69"/>
      <c r="M115" s="63" t="s">
        <v>64</v>
      </c>
      <c r="N115" s="70"/>
      <c r="O115" s="71" t="s">
        <v>65</v>
      </c>
      <c r="P115" s="72"/>
      <c r="Q115" s="72"/>
      <c r="R115" s="70"/>
      <c r="S115" s="71" t="s">
        <v>66</v>
      </c>
      <c r="T115" s="70"/>
      <c r="U115" s="71" t="s">
        <v>67</v>
      </c>
      <c r="V115" s="70"/>
      <c r="W115" s="71" t="s">
        <v>68</v>
      </c>
      <c r="X115" s="70"/>
      <c r="Y115" s="134" t="s">
        <v>80</v>
      </c>
      <c r="Z115" s="74" t="s">
        <v>181</v>
      </c>
      <c r="AA115" s="75" t="s">
        <v>76</v>
      </c>
      <c r="AB115" s="75" t="s">
        <v>243</v>
      </c>
      <c r="AC115" s="135" t="s">
        <v>142</v>
      </c>
      <c r="AD115" s="74" t="s">
        <v>143</v>
      </c>
      <c r="AE115" s="63" t="s">
        <v>144</v>
      </c>
      <c r="AF115" s="78" t="s">
        <v>144</v>
      </c>
      <c r="AG115" s="79" t="s">
        <v>189</v>
      </c>
      <c r="AH115" s="79">
        <v>90.0</v>
      </c>
      <c r="AI115" s="79" t="s">
        <v>208</v>
      </c>
      <c r="AJ115" s="80" t="str">
        <f>AJ109</f>
        <v>開</v>
      </c>
      <c r="AK115" s="81" t="s">
        <v>52</v>
      </c>
      <c r="AL115" s="82" t="str">
        <f>AL109</f>
        <v>休</v>
      </c>
      <c r="AM115" s="81" t="s">
        <v>38</v>
      </c>
      <c r="AN115" s="82" t="s">
        <v>4</v>
      </c>
      <c r="AO115" s="81" t="s">
        <v>40</v>
      </c>
      <c r="AP115" s="82" t="str">
        <f>AP109</f>
        <v>傷</v>
      </c>
      <c r="AQ115" s="81" t="s">
        <v>42</v>
      </c>
      <c r="AR115" s="82" t="str">
        <f>AR109</f>
        <v>杜</v>
      </c>
      <c r="AS115" s="81" t="s">
        <v>44</v>
      </c>
      <c r="AT115" s="82" t="str">
        <f>AT109</f>
        <v>景</v>
      </c>
      <c r="AU115" s="81" t="s">
        <v>46</v>
      </c>
      <c r="AV115" s="82" t="str">
        <f>AV109</f>
        <v>死</v>
      </c>
      <c r="AW115" s="81" t="s">
        <v>48</v>
      </c>
      <c r="AX115" s="82" t="str">
        <f>AX109</f>
        <v>驚</v>
      </c>
      <c r="AY115" s="81" t="s">
        <v>50</v>
      </c>
      <c r="AZ115" s="83"/>
      <c r="BA115" s="84"/>
      <c r="BB115" s="84"/>
      <c r="BC115" s="84"/>
    </row>
    <row r="116">
      <c r="A116" s="192">
        <f>A110+1</f>
        <v>18</v>
      </c>
      <c r="B116" s="193"/>
      <c r="C116" s="12" t="s">
        <v>216</v>
      </c>
      <c r="E116" s="203" t="s">
        <v>209</v>
      </c>
      <c r="G116" s="137" t="str">
        <f t="shared" ref="G116:G117" si="141">G38:H38</f>
        <v>己</v>
      </c>
      <c r="I116" s="138" t="str">
        <f t="shared" ref="I116:I117" si="142">I38:J38</f>
        <v>乙</v>
      </c>
      <c r="K116" s="90">
        <f>L116/L117</f>
        <v>0.405</v>
      </c>
      <c r="L116" s="126">
        <f t="shared" ref="L116:L117" si="143">O116+P116+Q116+U116+V116+W116+X116+R116+M116+N116+S116+T116</f>
        <v>405</v>
      </c>
      <c r="M116" s="92">
        <v>0.0</v>
      </c>
      <c r="N116" s="93">
        <v>0.0</v>
      </c>
      <c r="O116" s="92">
        <v>45.0</v>
      </c>
      <c r="P116" s="92">
        <v>0.0</v>
      </c>
      <c r="Q116" s="92">
        <v>70.0</v>
      </c>
      <c r="R116" s="93">
        <v>50.0</v>
      </c>
      <c r="S116" s="92">
        <v>30.0</v>
      </c>
      <c r="T116" s="93">
        <v>25.0</v>
      </c>
      <c r="U116" s="92">
        <f t="shared" ref="U116:X116" si="140">U38</f>
        <v>50</v>
      </c>
      <c r="V116" s="93">
        <f t="shared" si="140"/>
        <v>90</v>
      </c>
      <c r="W116" s="92">
        <f t="shared" si="140"/>
        <v>35</v>
      </c>
      <c r="X116" s="93">
        <f t="shared" si="140"/>
        <v>10</v>
      </c>
      <c r="Y116" s="73" t="s">
        <v>98</v>
      </c>
      <c r="Z116" s="94" t="s">
        <v>163</v>
      </c>
      <c r="AA116" s="36"/>
      <c r="AB116" s="36"/>
      <c r="AC116" s="139" t="s">
        <v>148</v>
      </c>
      <c r="AD116" s="96" t="s">
        <v>149</v>
      </c>
      <c r="AE116" s="37"/>
      <c r="AF116" s="97"/>
      <c r="AG116" s="12" t="s">
        <v>54</v>
      </c>
      <c r="AH116" s="12">
        <v>150.0</v>
      </c>
      <c r="AI116" s="12" t="s">
        <v>210</v>
      </c>
      <c r="AJ116" s="98" t="s">
        <v>43</v>
      </c>
      <c r="AK116" s="101" t="s">
        <v>91</v>
      </c>
      <c r="AL116" s="100" t="s">
        <v>41</v>
      </c>
      <c r="AM116" s="103" t="s">
        <v>92</v>
      </c>
      <c r="AN116" s="100" t="s">
        <v>39</v>
      </c>
      <c r="AO116" s="99" t="s">
        <v>93</v>
      </c>
      <c r="AP116" s="100" t="s">
        <v>37</v>
      </c>
      <c r="AQ116" s="99" t="s">
        <v>94</v>
      </c>
      <c r="AR116" s="100" t="s">
        <v>51</v>
      </c>
      <c r="AS116" s="101" t="s">
        <v>95</v>
      </c>
      <c r="AT116" s="100" t="s">
        <v>86</v>
      </c>
      <c r="AU116" s="99" t="s">
        <v>87</v>
      </c>
      <c r="AV116" s="100" t="s">
        <v>88</v>
      </c>
      <c r="AW116" s="101" t="s">
        <v>89</v>
      </c>
      <c r="AX116" s="100" t="s">
        <v>45</v>
      </c>
      <c r="AY116" s="102" t="s">
        <v>90</v>
      </c>
      <c r="AZ116" s="24"/>
    </row>
    <row r="117">
      <c r="A117" s="215" t="str">
        <f>G2</f>
        <v>มกราคม</v>
      </c>
      <c r="B117" s="193"/>
      <c r="C117" s="106" t="s">
        <v>179</v>
      </c>
      <c r="E117" s="162" t="s">
        <v>197</v>
      </c>
      <c r="G117" s="180" t="str">
        <f t="shared" si="141"/>
        <v>丑</v>
      </c>
      <c r="I117" s="142" t="str">
        <f t="shared" si="142"/>
        <v>巳</v>
      </c>
      <c r="K117" s="36"/>
      <c r="L117" s="109">
        <f t="shared" si="143"/>
        <v>1000</v>
      </c>
      <c r="M117" s="9">
        <v>0.0</v>
      </c>
      <c r="N117" s="110">
        <v>0.0</v>
      </c>
      <c r="O117" s="9">
        <v>100.0</v>
      </c>
      <c r="P117" s="9">
        <v>100.0</v>
      </c>
      <c r="Q117" s="9">
        <v>100.0</v>
      </c>
      <c r="R117" s="110">
        <v>100.0</v>
      </c>
      <c r="S117" s="9">
        <v>100.0</v>
      </c>
      <c r="T117" s="110">
        <v>100.0</v>
      </c>
      <c r="U117" s="9">
        <v>100.0</v>
      </c>
      <c r="V117" s="110">
        <v>100.0</v>
      </c>
      <c r="W117" s="9">
        <v>100.0</v>
      </c>
      <c r="X117" s="110">
        <v>100.0</v>
      </c>
      <c r="Y117" s="73" t="s">
        <v>116</v>
      </c>
      <c r="Z117" s="94" t="s">
        <v>153</v>
      </c>
      <c r="AA117" s="36"/>
      <c r="AB117" s="36"/>
      <c r="AC117" s="111"/>
      <c r="AD117" s="112"/>
      <c r="AE117" s="37"/>
      <c r="AF117" s="97"/>
      <c r="AG117" s="14"/>
      <c r="AH117" s="14"/>
      <c r="AI117" s="14"/>
      <c r="AJ117" s="113"/>
      <c r="AK117" s="105" t="s">
        <v>103</v>
      </c>
      <c r="AM117" s="104" t="s">
        <v>104</v>
      </c>
      <c r="AO117" s="104" t="s">
        <v>105</v>
      </c>
      <c r="AQ117" s="104" t="s">
        <v>106</v>
      </c>
      <c r="AS117" s="105" t="s">
        <v>107</v>
      </c>
      <c r="AU117" s="104" t="s">
        <v>100</v>
      </c>
      <c r="AW117" s="114" t="s">
        <v>101</v>
      </c>
      <c r="AY117" s="105" t="s">
        <v>102</v>
      </c>
      <c r="AZ117" s="24"/>
    </row>
    <row r="118">
      <c r="A118" s="192">
        <v>2569.0</v>
      </c>
      <c r="B118" s="193"/>
      <c r="E118" s="115" t="s">
        <v>164</v>
      </c>
      <c r="F118" s="116" t="s">
        <v>111</v>
      </c>
      <c r="G118" s="115" t="str">
        <f t="shared" ref="G118:J118" si="144">G40</f>
        <v>A9</v>
      </c>
      <c r="H118" s="9" t="str">
        <f t="shared" si="144"/>
        <v>B8</v>
      </c>
      <c r="I118" s="9" t="str">
        <f t="shared" si="144"/>
        <v>A2</v>
      </c>
      <c r="J118" s="9" t="str">
        <f t="shared" si="144"/>
        <v>B12</v>
      </c>
      <c r="K118" s="36"/>
      <c r="L118" s="117"/>
      <c r="M118" s="118" t="str">
        <f t="shared" ref="M118:P118" si="145">C118</f>
        <v/>
      </c>
      <c r="N118" s="119" t="str">
        <f t="shared" si="145"/>
        <v/>
      </c>
      <c r="O118" s="118" t="str">
        <f t="shared" si="145"/>
        <v>A9</v>
      </c>
      <c r="P118" s="118" t="str">
        <f t="shared" si="145"/>
        <v>B7</v>
      </c>
      <c r="Q118" s="118" t="str">
        <f t="shared" ref="Q118:R118" si="146">E119</f>
        <v>B1</v>
      </c>
      <c r="R118" s="119" t="str">
        <f t="shared" si="146"/>
        <v>C4</v>
      </c>
      <c r="S118" s="9" t="s">
        <v>198</v>
      </c>
      <c r="T118" s="110" t="s">
        <v>198</v>
      </c>
      <c r="U118" s="9" t="str">
        <f t="shared" ref="U118:X118" si="147">G118</f>
        <v>A9</v>
      </c>
      <c r="V118" s="119" t="str">
        <f t="shared" si="147"/>
        <v>B8</v>
      </c>
      <c r="W118" s="118" t="str">
        <f t="shared" si="147"/>
        <v>A2</v>
      </c>
      <c r="X118" s="120" t="str">
        <f t="shared" si="147"/>
        <v>B12</v>
      </c>
      <c r="Y118" s="73" t="s">
        <v>126</v>
      </c>
      <c r="Z118" s="94" t="s">
        <v>155</v>
      </c>
      <c r="AA118" s="36"/>
      <c r="AB118" s="36"/>
      <c r="AC118" s="111"/>
      <c r="AD118" s="112"/>
      <c r="AE118" s="37"/>
      <c r="AF118" s="97"/>
      <c r="AG118" s="14"/>
      <c r="AH118" s="14"/>
      <c r="AI118" s="14"/>
      <c r="AJ118" s="113"/>
      <c r="AK118" s="105" t="s">
        <v>121</v>
      </c>
      <c r="AM118" s="104" t="s">
        <v>122</v>
      </c>
      <c r="AO118" s="104" t="s">
        <v>123</v>
      </c>
      <c r="AQ118" s="104" t="s">
        <v>124</v>
      </c>
      <c r="AS118" s="105" t="s">
        <v>125</v>
      </c>
      <c r="AU118" s="104" t="s">
        <v>118</v>
      </c>
      <c r="AW118" s="114" t="s">
        <v>119</v>
      </c>
      <c r="AY118" s="105" t="s">
        <v>120</v>
      </c>
      <c r="AZ118" s="24"/>
    </row>
    <row r="119">
      <c r="A119" s="192">
        <f>A118-543</f>
        <v>2026</v>
      </c>
      <c r="B119" s="193"/>
      <c r="C119" s="163" t="s">
        <v>166</v>
      </c>
      <c r="E119" s="115" t="s">
        <v>80</v>
      </c>
      <c r="F119" s="116" t="s">
        <v>190</v>
      </c>
      <c r="G119" s="115"/>
      <c r="H119" s="118"/>
      <c r="I119" s="118"/>
      <c r="J119" s="118"/>
      <c r="K119" s="36"/>
      <c r="L119" s="117"/>
      <c r="N119" s="117"/>
      <c r="R119" s="117"/>
      <c r="T119" s="117"/>
      <c r="V119" s="117"/>
      <c r="X119" s="117"/>
      <c r="Y119" s="73" t="s">
        <v>69</v>
      </c>
      <c r="Z119" s="94" t="s">
        <v>128</v>
      </c>
      <c r="AA119" s="36"/>
      <c r="AB119" s="36"/>
      <c r="AC119" s="111"/>
      <c r="AD119" s="112"/>
      <c r="AE119" s="37"/>
      <c r="AF119" s="97"/>
      <c r="AG119" s="14"/>
      <c r="AH119" s="14"/>
      <c r="AI119" s="14"/>
      <c r="AJ119" s="113"/>
      <c r="AK119" s="105" t="s">
        <v>132</v>
      </c>
      <c r="AM119" s="104" t="s">
        <v>133</v>
      </c>
      <c r="AO119" s="104" t="s">
        <v>134</v>
      </c>
      <c r="AQ119" s="104" t="s">
        <v>135</v>
      </c>
      <c r="AS119" s="105" t="s">
        <v>136</v>
      </c>
      <c r="AU119" s="104" t="s">
        <v>129</v>
      </c>
      <c r="AW119" s="114" t="s">
        <v>130</v>
      </c>
      <c r="AY119" s="105" t="s">
        <v>131</v>
      </c>
      <c r="AZ119" s="24"/>
    </row>
    <row r="120">
      <c r="A120" s="113"/>
      <c r="B120" s="206"/>
      <c r="C120" s="123"/>
      <c r="D120" s="123"/>
      <c r="E120" s="176" t="s">
        <v>157</v>
      </c>
      <c r="F120" s="88"/>
      <c r="G120" s="207" t="str">
        <f>G5:H5</f>
        <v>อสูรเดือน E</v>
      </c>
      <c r="I120" s="208" t="str">
        <f>I5:J5</f>
        <v>อสูรปี E</v>
      </c>
      <c r="K120" s="36"/>
      <c r="L120" s="117"/>
      <c r="N120" s="117"/>
      <c r="R120" s="117"/>
      <c r="T120" s="117"/>
      <c r="V120" s="117"/>
      <c r="X120" s="117"/>
      <c r="Y120" s="127"/>
      <c r="Z120" s="155"/>
      <c r="AA120" s="36"/>
      <c r="AB120" s="36"/>
      <c r="AC120" s="111"/>
      <c r="AD120" s="112"/>
      <c r="AE120" s="37"/>
      <c r="AF120" s="97"/>
      <c r="AG120" s="14"/>
      <c r="AH120" s="14"/>
      <c r="AI120" s="14"/>
      <c r="AJ120" s="113"/>
      <c r="AU120" s="128"/>
      <c r="AZ120" s="24"/>
    </row>
    <row r="121">
      <c r="A121" s="188" t="s">
        <v>186</v>
      </c>
      <c r="B121" s="189"/>
      <c r="C121" s="63"/>
      <c r="D121" s="63"/>
      <c r="E121" s="64">
        <f>(O122+P122+Q122+R122)/(O123+P123+Q123+R123)</f>
        <v>0.6125</v>
      </c>
      <c r="F121" s="65"/>
      <c r="G121" s="133"/>
      <c r="H121" s="72"/>
      <c r="I121" s="67"/>
      <c r="J121" s="72"/>
      <c r="K121" s="68"/>
      <c r="L121" s="69"/>
      <c r="M121" s="63" t="s">
        <v>64</v>
      </c>
      <c r="N121" s="70"/>
      <c r="O121" s="71" t="s">
        <v>65</v>
      </c>
      <c r="P121" s="72"/>
      <c r="Q121" s="72"/>
      <c r="R121" s="70"/>
      <c r="S121" s="71" t="s">
        <v>66</v>
      </c>
      <c r="T121" s="70"/>
      <c r="U121" s="71" t="s">
        <v>67</v>
      </c>
      <c r="V121" s="70"/>
      <c r="W121" s="71" t="s">
        <v>68</v>
      </c>
      <c r="X121" s="70"/>
      <c r="Y121" s="134" t="s">
        <v>69</v>
      </c>
      <c r="Z121" s="74" t="s">
        <v>70</v>
      </c>
      <c r="AA121" s="79" t="s">
        <v>161</v>
      </c>
      <c r="AB121" s="221" t="s">
        <v>244</v>
      </c>
      <c r="AC121" s="135" t="s">
        <v>142</v>
      </c>
      <c r="AD121" s="74" t="s">
        <v>143</v>
      </c>
      <c r="AE121" s="63" t="s">
        <v>144</v>
      </c>
      <c r="AF121" s="78" t="s">
        <v>36</v>
      </c>
      <c r="AG121" s="79" t="s">
        <v>54</v>
      </c>
      <c r="AH121" s="79">
        <v>150.0</v>
      </c>
      <c r="AI121" s="79" t="s">
        <v>210</v>
      </c>
      <c r="AJ121" s="80" t="str">
        <f>AJ115</f>
        <v>開</v>
      </c>
      <c r="AK121" s="81" t="s">
        <v>38</v>
      </c>
      <c r="AL121" s="82" t="str">
        <f>AL115</f>
        <v>休</v>
      </c>
      <c r="AM121" s="81" t="s">
        <v>40</v>
      </c>
      <c r="AN121" s="82" t="s">
        <v>4</v>
      </c>
      <c r="AO121" s="81" t="s">
        <v>42</v>
      </c>
      <c r="AP121" s="82" t="str">
        <f>AP115</f>
        <v>傷</v>
      </c>
      <c r="AQ121" s="81" t="s">
        <v>44</v>
      </c>
      <c r="AR121" s="82" t="s">
        <v>8</v>
      </c>
      <c r="AS121" s="81" t="s">
        <v>46</v>
      </c>
      <c r="AT121" s="82" t="str">
        <f>AT115</f>
        <v>景</v>
      </c>
      <c r="AU121" s="81" t="s">
        <v>48</v>
      </c>
      <c r="AV121" s="82" t="str">
        <f>AV115</f>
        <v>死</v>
      </c>
      <c r="AW121" s="81" t="s">
        <v>50</v>
      </c>
      <c r="AX121" s="82" t="str">
        <f>AX115</f>
        <v>驚</v>
      </c>
      <c r="AY121" s="81" t="s">
        <v>52</v>
      </c>
      <c r="AZ121" s="83"/>
      <c r="BA121" s="84"/>
      <c r="BB121" s="84"/>
      <c r="BC121" s="84"/>
    </row>
    <row r="122">
      <c r="A122" s="192">
        <f>A116+1</f>
        <v>19</v>
      </c>
      <c r="B122" s="193"/>
      <c r="C122" s="12" t="s">
        <v>146</v>
      </c>
      <c r="E122" s="203" t="s">
        <v>171</v>
      </c>
      <c r="G122" s="137" t="str">
        <f t="shared" ref="G122:G123" si="149">G38:H38</f>
        <v>己</v>
      </c>
      <c r="I122" s="138" t="str">
        <f t="shared" ref="I122:I123" si="150">I38:J38</f>
        <v>乙</v>
      </c>
      <c r="K122" s="90">
        <f>L122/L123</f>
        <v>0.625</v>
      </c>
      <c r="L122" s="126">
        <f t="shared" ref="L122:L123" si="151">O122+P122+Q122+U122+V122+W122+X122+R122+M122+N122+S122+T122</f>
        <v>625</v>
      </c>
      <c r="M122" s="92">
        <v>0.0</v>
      </c>
      <c r="N122" s="93">
        <v>0.0</v>
      </c>
      <c r="O122" s="92">
        <v>65.0</v>
      </c>
      <c r="P122" s="92">
        <v>90.0</v>
      </c>
      <c r="Q122" s="92">
        <v>10.0</v>
      </c>
      <c r="R122" s="93">
        <v>80.0</v>
      </c>
      <c r="S122" s="92">
        <v>110.0</v>
      </c>
      <c r="T122" s="93">
        <v>85.0</v>
      </c>
      <c r="U122" s="92">
        <f t="shared" ref="U122:X122" si="148">U38</f>
        <v>50</v>
      </c>
      <c r="V122" s="93">
        <f t="shared" si="148"/>
        <v>90</v>
      </c>
      <c r="W122" s="92">
        <f t="shared" si="148"/>
        <v>35</v>
      </c>
      <c r="X122" s="93">
        <f t="shared" si="148"/>
        <v>10</v>
      </c>
      <c r="Y122" s="73" t="s">
        <v>80</v>
      </c>
      <c r="Z122" s="94" t="s">
        <v>81</v>
      </c>
      <c r="AA122" s="36"/>
      <c r="AB122" s="36"/>
      <c r="AC122" s="139" t="s">
        <v>148</v>
      </c>
      <c r="AD122" s="96" t="s">
        <v>149</v>
      </c>
      <c r="AE122" s="37"/>
      <c r="AF122" s="97"/>
      <c r="AG122" s="12" t="s">
        <v>189</v>
      </c>
      <c r="AH122" s="12">
        <v>90.0</v>
      </c>
      <c r="AI122" s="12" t="s">
        <v>208</v>
      </c>
      <c r="AJ122" s="98" t="s">
        <v>45</v>
      </c>
      <c r="AK122" s="102" t="s">
        <v>90</v>
      </c>
      <c r="AL122" s="100" t="s">
        <v>43</v>
      </c>
      <c r="AM122" s="101" t="s">
        <v>91</v>
      </c>
      <c r="AN122" s="100" t="s">
        <v>41</v>
      </c>
      <c r="AO122" s="103" t="s">
        <v>92</v>
      </c>
      <c r="AP122" s="100" t="s">
        <v>39</v>
      </c>
      <c r="AQ122" s="99" t="s">
        <v>93</v>
      </c>
      <c r="AR122" s="100" t="s">
        <v>37</v>
      </c>
      <c r="AS122" s="99" t="s">
        <v>94</v>
      </c>
      <c r="AT122" s="100" t="s">
        <v>51</v>
      </c>
      <c r="AU122" s="101" t="s">
        <v>95</v>
      </c>
      <c r="AV122" s="100" t="s">
        <v>86</v>
      </c>
      <c r="AW122" s="99" t="s">
        <v>87</v>
      </c>
      <c r="AX122" s="100" t="s">
        <v>88</v>
      </c>
      <c r="AY122" s="101" t="s">
        <v>89</v>
      </c>
      <c r="AZ122" s="24"/>
    </row>
    <row r="123">
      <c r="A123" s="215" t="str">
        <f>G2</f>
        <v>มกราคม</v>
      </c>
      <c r="B123" s="193"/>
      <c r="C123" s="175" t="s">
        <v>188</v>
      </c>
      <c r="E123" s="201" t="s">
        <v>54</v>
      </c>
      <c r="G123" s="180" t="str">
        <f t="shared" si="149"/>
        <v>丑</v>
      </c>
      <c r="I123" s="142" t="str">
        <f t="shared" si="150"/>
        <v>巳</v>
      </c>
      <c r="K123" s="36"/>
      <c r="L123" s="109">
        <f t="shared" si="151"/>
        <v>1000</v>
      </c>
      <c r="M123" s="9">
        <v>0.0</v>
      </c>
      <c r="N123" s="110">
        <v>0.0</v>
      </c>
      <c r="O123" s="9">
        <v>100.0</v>
      </c>
      <c r="P123" s="9">
        <v>100.0</v>
      </c>
      <c r="Q123" s="9">
        <v>100.0</v>
      </c>
      <c r="R123" s="110">
        <v>100.0</v>
      </c>
      <c r="S123" s="9">
        <v>100.0</v>
      </c>
      <c r="T123" s="110">
        <v>100.0</v>
      </c>
      <c r="U123" s="9">
        <v>100.0</v>
      </c>
      <c r="V123" s="110">
        <v>100.0</v>
      </c>
      <c r="W123" s="9">
        <v>100.0</v>
      </c>
      <c r="X123" s="110">
        <v>100.0</v>
      </c>
      <c r="Y123" s="73" t="s">
        <v>98</v>
      </c>
      <c r="Z123" s="94" t="s">
        <v>99</v>
      </c>
      <c r="AA123" s="36"/>
      <c r="AB123" s="36"/>
      <c r="AC123" s="111"/>
      <c r="AD123" s="112"/>
      <c r="AE123" s="37"/>
      <c r="AF123" s="97"/>
      <c r="AG123" s="14"/>
      <c r="AH123" s="14"/>
      <c r="AI123" s="14"/>
      <c r="AJ123" s="113"/>
      <c r="AK123" s="105" t="s">
        <v>102</v>
      </c>
      <c r="AM123" s="105" t="s">
        <v>103</v>
      </c>
      <c r="AO123" s="104" t="s">
        <v>104</v>
      </c>
      <c r="AQ123" s="104" t="s">
        <v>105</v>
      </c>
      <c r="AS123" s="104" t="s">
        <v>106</v>
      </c>
      <c r="AU123" s="105" t="s">
        <v>107</v>
      </c>
      <c r="AW123" s="104" t="s">
        <v>100</v>
      </c>
      <c r="AY123" s="114" t="s">
        <v>101</v>
      </c>
      <c r="AZ123" s="24"/>
    </row>
    <row r="124">
      <c r="A124" s="192">
        <v>2569.0</v>
      </c>
      <c r="B124" s="193"/>
      <c r="E124" s="115" t="s">
        <v>110</v>
      </c>
      <c r="F124" s="116" t="s">
        <v>69</v>
      </c>
      <c r="G124" s="115" t="str">
        <f t="shared" ref="G124:J124" si="152">G40</f>
        <v>A9</v>
      </c>
      <c r="H124" s="9" t="str">
        <f t="shared" si="152"/>
        <v>B8</v>
      </c>
      <c r="I124" s="9" t="str">
        <f t="shared" si="152"/>
        <v>A2</v>
      </c>
      <c r="J124" s="9" t="str">
        <f t="shared" si="152"/>
        <v>B12</v>
      </c>
      <c r="K124" s="36"/>
      <c r="L124" s="117"/>
      <c r="M124" s="118" t="str">
        <f t="shared" ref="M124:P124" si="153">C124</f>
        <v/>
      </c>
      <c r="N124" s="119" t="str">
        <f t="shared" si="153"/>
        <v/>
      </c>
      <c r="O124" s="118" t="str">
        <f t="shared" si="153"/>
        <v>A11</v>
      </c>
      <c r="P124" s="118" t="str">
        <f t="shared" si="153"/>
        <v>B8</v>
      </c>
      <c r="Q124" s="118" t="str">
        <f t="shared" ref="Q124:R124" si="154">E125</f>
        <v>B12</v>
      </c>
      <c r="R124" s="119" t="str">
        <f t="shared" si="154"/>
        <v>C5</v>
      </c>
      <c r="S124" s="9" t="s">
        <v>204</v>
      </c>
      <c r="T124" s="110" t="s">
        <v>219</v>
      </c>
      <c r="U124" s="9" t="str">
        <f t="shared" ref="U124:X124" si="155">G124</f>
        <v>A9</v>
      </c>
      <c r="V124" s="119" t="str">
        <f t="shared" si="155"/>
        <v>B8</v>
      </c>
      <c r="W124" s="118" t="str">
        <f t="shared" si="155"/>
        <v>A2</v>
      </c>
      <c r="X124" s="120" t="str">
        <f t="shared" si="155"/>
        <v>B12</v>
      </c>
      <c r="Y124" s="73" t="s">
        <v>116</v>
      </c>
      <c r="Z124" s="94" t="s">
        <v>117</v>
      </c>
      <c r="AA124" s="36"/>
      <c r="AB124" s="36"/>
      <c r="AC124" s="111"/>
      <c r="AD124" s="112"/>
      <c r="AE124" s="37"/>
      <c r="AF124" s="97"/>
      <c r="AG124" s="14"/>
      <c r="AH124" s="14"/>
      <c r="AI124" s="14"/>
      <c r="AJ124" s="113"/>
      <c r="AK124" s="105" t="s">
        <v>120</v>
      </c>
      <c r="AM124" s="105" t="s">
        <v>121</v>
      </c>
      <c r="AO124" s="104" t="s">
        <v>122</v>
      </c>
      <c r="AQ124" s="104" t="s">
        <v>123</v>
      </c>
      <c r="AS124" s="104" t="s">
        <v>124</v>
      </c>
      <c r="AU124" s="105" t="s">
        <v>125</v>
      </c>
      <c r="AW124" s="104" t="s">
        <v>118</v>
      </c>
      <c r="AY124" s="114" t="s">
        <v>119</v>
      </c>
      <c r="AZ124" s="24"/>
    </row>
    <row r="125">
      <c r="A125" s="192">
        <f>A124-543</f>
        <v>2026</v>
      </c>
      <c r="B125" s="193"/>
      <c r="E125" s="115" t="s">
        <v>113</v>
      </c>
      <c r="F125" s="116" t="s">
        <v>205</v>
      </c>
      <c r="G125" s="115"/>
      <c r="H125" s="118"/>
      <c r="I125" s="118"/>
      <c r="J125" s="118"/>
      <c r="K125" s="36"/>
      <c r="L125" s="117"/>
      <c r="N125" s="117"/>
      <c r="R125" s="117"/>
      <c r="T125" s="117"/>
      <c r="V125" s="117"/>
      <c r="X125" s="117"/>
      <c r="Y125" s="73" t="s">
        <v>126</v>
      </c>
      <c r="Z125" s="94" t="s">
        <v>128</v>
      </c>
      <c r="AA125" s="36"/>
      <c r="AB125" s="36"/>
      <c r="AC125" s="111"/>
      <c r="AD125" s="112"/>
      <c r="AE125" s="37"/>
      <c r="AF125" s="97"/>
      <c r="AG125" s="14"/>
      <c r="AH125" s="14"/>
      <c r="AI125" s="14"/>
      <c r="AJ125" s="113"/>
      <c r="AK125" s="105" t="s">
        <v>131</v>
      </c>
      <c r="AM125" s="105" t="s">
        <v>132</v>
      </c>
      <c r="AO125" s="104" t="s">
        <v>133</v>
      </c>
      <c r="AQ125" s="104" t="s">
        <v>134</v>
      </c>
      <c r="AS125" s="104" t="s">
        <v>135</v>
      </c>
      <c r="AU125" s="105" t="s">
        <v>136</v>
      </c>
      <c r="AW125" s="104" t="s">
        <v>129</v>
      </c>
      <c r="AY125" s="114" t="s">
        <v>130</v>
      </c>
      <c r="AZ125" s="24"/>
    </row>
    <row r="126">
      <c r="A126" s="113"/>
      <c r="B126" s="206"/>
      <c r="C126" s="123"/>
      <c r="D126" s="123"/>
      <c r="E126" s="164" t="s">
        <v>168</v>
      </c>
      <c r="F126" s="88"/>
      <c r="G126" s="207" t="str">
        <f>G5:H5</f>
        <v>อสูรเดือน E</v>
      </c>
      <c r="I126" s="208" t="str">
        <f>I5:J5</f>
        <v>อสูรปี E</v>
      </c>
      <c r="K126" s="36"/>
      <c r="L126" s="117"/>
      <c r="N126" s="117"/>
      <c r="R126" s="117"/>
      <c r="T126" s="117"/>
      <c r="V126" s="117"/>
      <c r="X126" s="117"/>
      <c r="Y126" s="127"/>
      <c r="Z126" s="155"/>
      <c r="AA126" s="36"/>
      <c r="AB126" s="36"/>
      <c r="AC126" s="111"/>
      <c r="AD126" s="112"/>
      <c r="AE126" s="37"/>
      <c r="AF126" s="97"/>
      <c r="AG126" s="14"/>
      <c r="AH126" s="14"/>
      <c r="AI126" s="14"/>
      <c r="AJ126" s="113"/>
      <c r="AK126" s="128"/>
      <c r="AZ126" s="24"/>
    </row>
    <row r="127">
      <c r="A127" s="188" t="s">
        <v>191</v>
      </c>
      <c r="B127" s="189"/>
      <c r="C127" s="63"/>
      <c r="D127" s="63"/>
      <c r="E127" s="64">
        <f>(O128+P128+Q128+R128)/(O129+P129+Q129+R129)</f>
        <v>0.4875</v>
      </c>
      <c r="F127" s="65"/>
      <c r="G127" s="133"/>
      <c r="H127" s="72"/>
      <c r="I127" s="67"/>
      <c r="J127" s="72"/>
      <c r="K127" s="68"/>
      <c r="L127" s="69"/>
      <c r="M127" s="63" t="s">
        <v>64</v>
      </c>
      <c r="N127" s="70"/>
      <c r="O127" s="71" t="s">
        <v>65</v>
      </c>
      <c r="P127" s="72"/>
      <c r="Q127" s="72"/>
      <c r="R127" s="70"/>
      <c r="S127" s="71" t="s">
        <v>66</v>
      </c>
      <c r="T127" s="70"/>
      <c r="U127" s="71" t="s">
        <v>67</v>
      </c>
      <c r="V127" s="70"/>
      <c r="W127" s="71" t="s">
        <v>68</v>
      </c>
      <c r="X127" s="70"/>
      <c r="Y127" s="134" t="s">
        <v>116</v>
      </c>
      <c r="Z127" s="74" t="s">
        <v>140</v>
      </c>
      <c r="AA127" s="75" t="s">
        <v>209</v>
      </c>
      <c r="AB127" s="75" t="s">
        <v>238</v>
      </c>
      <c r="AC127" s="190" t="s">
        <v>173</v>
      </c>
      <c r="AD127" s="77" t="s">
        <v>193</v>
      </c>
      <c r="AE127" s="63" t="s">
        <v>35</v>
      </c>
      <c r="AF127" s="78" t="s">
        <v>34</v>
      </c>
      <c r="AG127" s="79" t="s">
        <v>71</v>
      </c>
      <c r="AH127" s="79">
        <v>210.0</v>
      </c>
      <c r="AI127" s="79" t="s">
        <v>175</v>
      </c>
      <c r="AJ127" s="80" t="str">
        <f>AJ121</f>
        <v>開</v>
      </c>
      <c r="AK127" s="81" t="s">
        <v>38</v>
      </c>
      <c r="AL127" s="82" t="str">
        <f>AL121</f>
        <v>休</v>
      </c>
      <c r="AM127" s="81" t="s">
        <v>40</v>
      </c>
      <c r="AN127" s="82" t="s">
        <v>4</v>
      </c>
      <c r="AO127" s="81" t="s">
        <v>42</v>
      </c>
      <c r="AP127" s="82" t="str">
        <f>AP121</f>
        <v>傷</v>
      </c>
      <c r="AQ127" s="81" t="s">
        <v>44</v>
      </c>
      <c r="AR127" s="82" t="s">
        <v>8</v>
      </c>
      <c r="AS127" s="81" t="s">
        <v>46</v>
      </c>
      <c r="AT127" s="82" t="str">
        <f>AT121</f>
        <v>景</v>
      </c>
      <c r="AU127" s="81" t="s">
        <v>48</v>
      </c>
      <c r="AV127" s="82" t="str">
        <f>AV121</f>
        <v>死</v>
      </c>
      <c r="AW127" s="81" t="s">
        <v>50</v>
      </c>
      <c r="AX127" s="82" t="str">
        <f>AX121</f>
        <v>驚</v>
      </c>
      <c r="AY127" s="81" t="s">
        <v>52</v>
      </c>
      <c r="AZ127" s="83"/>
      <c r="BA127" s="84"/>
      <c r="BB127" s="84"/>
      <c r="BC127" s="84"/>
    </row>
    <row r="128">
      <c r="A128" s="222">
        <f>A122+1</f>
        <v>20</v>
      </c>
      <c r="B128" s="193"/>
      <c r="C128" s="12" t="s">
        <v>78</v>
      </c>
      <c r="E128" s="87" t="s">
        <v>222</v>
      </c>
      <c r="G128" s="137" t="str">
        <f t="shared" ref="G128:G129" si="157">G38:H38</f>
        <v>己</v>
      </c>
      <c r="I128" s="138" t="str">
        <f t="shared" ref="I128:I129" si="158">I38:J38</f>
        <v>乙</v>
      </c>
      <c r="K128" s="90">
        <f>L128/L129</f>
        <v>0.565</v>
      </c>
      <c r="L128" s="126">
        <f t="shared" ref="L128:L129" si="159">O128+P128+Q128+U128+V128+W128+X128+R128+M128+N128+S128+T128</f>
        <v>565</v>
      </c>
      <c r="M128" s="92">
        <v>0.0</v>
      </c>
      <c r="N128" s="93">
        <v>0.0</v>
      </c>
      <c r="O128" s="92">
        <v>5.0</v>
      </c>
      <c r="P128" s="92">
        <v>50.0</v>
      </c>
      <c r="Q128" s="92">
        <v>60.0</v>
      </c>
      <c r="R128" s="93">
        <v>80.0</v>
      </c>
      <c r="S128" s="92">
        <v>100.0</v>
      </c>
      <c r="T128" s="93">
        <v>85.0</v>
      </c>
      <c r="U128" s="92">
        <f t="shared" ref="U128:X128" si="156">U38</f>
        <v>50</v>
      </c>
      <c r="V128" s="93">
        <f t="shared" si="156"/>
        <v>90</v>
      </c>
      <c r="W128" s="92">
        <f t="shared" si="156"/>
        <v>35</v>
      </c>
      <c r="X128" s="93">
        <f t="shared" si="156"/>
        <v>10</v>
      </c>
      <c r="Y128" s="73" t="s">
        <v>126</v>
      </c>
      <c r="Z128" s="94" t="s">
        <v>70</v>
      </c>
      <c r="AA128" s="36"/>
      <c r="AB128" s="36"/>
      <c r="AC128" s="195" t="s">
        <v>196</v>
      </c>
      <c r="AD128" s="96" t="s">
        <v>149</v>
      </c>
      <c r="AE128" s="37"/>
      <c r="AF128" s="97"/>
      <c r="AG128" s="12" t="s">
        <v>53</v>
      </c>
      <c r="AH128" s="12">
        <v>30.0</v>
      </c>
      <c r="AI128" s="12" t="s">
        <v>178</v>
      </c>
      <c r="AJ128" s="98" t="s">
        <v>39</v>
      </c>
      <c r="AK128" s="99" t="s">
        <v>93</v>
      </c>
      <c r="AL128" s="100" t="s">
        <v>37</v>
      </c>
      <c r="AM128" s="99" t="s">
        <v>94</v>
      </c>
      <c r="AN128" s="100" t="s">
        <v>51</v>
      </c>
      <c r="AO128" s="101" t="s">
        <v>95</v>
      </c>
      <c r="AP128" s="100" t="s">
        <v>86</v>
      </c>
      <c r="AQ128" s="99" t="s">
        <v>87</v>
      </c>
      <c r="AR128" s="100" t="s">
        <v>88</v>
      </c>
      <c r="AS128" s="101" t="s">
        <v>89</v>
      </c>
      <c r="AT128" s="100" t="s">
        <v>45</v>
      </c>
      <c r="AU128" s="102" t="s">
        <v>90</v>
      </c>
      <c r="AV128" s="100" t="s">
        <v>43</v>
      </c>
      <c r="AW128" s="101" t="s">
        <v>91</v>
      </c>
      <c r="AX128" s="100" t="s">
        <v>41</v>
      </c>
      <c r="AY128" s="103" t="s">
        <v>92</v>
      </c>
      <c r="AZ128" s="24"/>
    </row>
    <row r="129">
      <c r="A129" s="215" t="str">
        <f>G2</f>
        <v>มกราคม</v>
      </c>
      <c r="B129" s="193"/>
      <c r="C129" s="175" t="s">
        <v>211</v>
      </c>
      <c r="E129" s="223" t="s">
        <v>202</v>
      </c>
      <c r="G129" s="180" t="str">
        <f t="shared" si="157"/>
        <v>丑</v>
      </c>
      <c r="I129" s="142" t="str">
        <f t="shared" si="158"/>
        <v>巳</v>
      </c>
      <c r="K129" s="36"/>
      <c r="L129" s="109">
        <f t="shared" si="159"/>
        <v>1000</v>
      </c>
      <c r="M129" s="9">
        <v>0.0</v>
      </c>
      <c r="N129" s="110">
        <v>0.0</v>
      </c>
      <c r="O129" s="9">
        <v>100.0</v>
      </c>
      <c r="P129" s="9">
        <v>100.0</v>
      </c>
      <c r="Q129" s="9">
        <v>100.0</v>
      </c>
      <c r="R129" s="110">
        <v>100.0</v>
      </c>
      <c r="S129" s="9">
        <v>100.0</v>
      </c>
      <c r="T129" s="110">
        <v>100.0</v>
      </c>
      <c r="U129" s="9">
        <v>100.0</v>
      </c>
      <c r="V129" s="110">
        <v>100.0</v>
      </c>
      <c r="W129" s="9">
        <v>100.0</v>
      </c>
      <c r="X129" s="110">
        <v>100.0</v>
      </c>
      <c r="Y129" s="73" t="s">
        <v>69</v>
      </c>
      <c r="Z129" s="94" t="s">
        <v>152</v>
      </c>
      <c r="AA129" s="36"/>
      <c r="AB129" s="36"/>
      <c r="AC129" s="111"/>
      <c r="AD129" s="112"/>
      <c r="AE129" s="37"/>
      <c r="AF129" s="97"/>
      <c r="AG129" s="14"/>
      <c r="AH129" s="14"/>
      <c r="AI129" s="14"/>
      <c r="AJ129" s="113"/>
      <c r="AK129" s="104" t="s">
        <v>105</v>
      </c>
      <c r="AM129" s="104" t="s">
        <v>106</v>
      </c>
      <c r="AO129" s="105" t="s">
        <v>107</v>
      </c>
      <c r="AQ129" s="104" t="s">
        <v>100</v>
      </c>
      <c r="AS129" s="114" t="s">
        <v>101</v>
      </c>
      <c r="AU129" s="105" t="s">
        <v>102</v>
      </c>
      <c r="AW129" s="105" t="s">
        <v>103</v>
      </c>
      <c r="AY129" s="104" t="s">
        <v>104</v>
      </c>
      <c r="AZ129" s="24"/>
    </row>
    <row r="130">
      <c r="A130" s="192">
        <v>2569.0</v>
      </c>
      <c r="B130" s="193"/>
      <c r="E130" s="115" t="s">
        <v>108</v>
      </c>
      <c r="F130" s="116" t="s">
        <v>212</v>
      </c>
      <c r="G130" s="115" t="str">
        <f t="shared" ref="G130:J130" si="160">G40</f>
        <v>A9</v>
      </c>
      <c r="H130" s="9" t="str">
        <f t="shared" si="160"/>
        <v>B8</v>
      </c>
      <c r="I130" s="9" t="str">
        <f t="shared" si="160"/>
        <v>A2</v>
      </c>
      <c r="J130" s="9" t="str">
        <f t="shared" si="160"/>
        <v>B12</v>
      </c>
      <c r="K130" s="36"/>
      <c r="L130" s="117"/>
      <c r="M130" s="118" t="str">
        <f t="shared" ref="M130:P130" si="161">C130</f>
        <v/>
      </c>
      <c r="N130" s="119" t="str">
        <f t="shared" si="161"/>
        <v/>
      </c>
      <c r="O130" s="118" t="str">
        <f t="shared" si="161"/>
        <v>A8</v>
      </c>
      <c r="P130" s="118" t="str">
        <f t="shared" si="161"/>
        <v>B9</v>
      </c>
      <c r="Q130" s="118" t="str">
        <f t="shared" ref="Q130:R130" si="162">E131</f>
        <v>B11</v>
      </c>
      <c r="R130" s="119" t="str">
        <f t="shared" si="162"/>
        <v>C6</v>
      </c>
      <c r="S130" s="9" t="s">
        <v>213</v>
      </c>
      <c r="T130" s="110" t="s">
        <v>219</v>
      </c>
      <c r="U130" s="9" t="str">
        <f t="shared" ref="U130:X130" si="163">G130</f>
        <v>A9</v>
      </c>
      <c r="V130" s="119" t="str">
        <f t="shared" si="163"/>
        <v>B8</v>
      </c>
      <c r="W130" s="118" t="str">
        <f t="shared" si="163"/>
        <v>A2</v>
      </c>
      <c r="X130" s="120" t="str">
        <f t="shared" si="163"/>
        <v>B12</v>
      </c>
      <c r="Y130" s="73" t="s">
        <v>80</v>
      </c>
      <c r="Z130" s="94" t="s">
        <v>153</v>
      </c>
      <c r="AA130" s="36"/>
      <c r="AB130" s="36"/>
      <c r="AC130" s="111"/>
      <c r="AD130" s="112"/>
      <c r="AE130" s="37"/>
      <c r="AF130" s="97"/>
      <c r="AG130" s="14"/>
      <c r="AH130" s="14"/>
      <c r="AI130" s="14"/>
      <c r="AJ130" s="113"/>
      <c r="AK130" s="104" t="s">
        <v>123</v>
      </c>
      <c r="AM130" s="104" t="s">
        <v>124</v>
      </c>
      <c r="AO130" s="105" t="s">
        <v>125</v>
      </c>
      <c r="AQ130" s="104" t="s">
        <v>118</v>
      </c>
      <c r="AS130" s="114" t="s">
        <v>119</v>
      </c>
      <c r="AU130" s="105" t="s">
        <v>120</v>
      </c>
      <c r="AW130" s="105" t="s">
        <v>121</v>
      </c>
      <c r="AY130" s="104" t="s">
        <v>122</v>
      </c>
      <c r="AZ130" s="24"/>
    </row>
    <row r="131">
      <c r="A131" s="192">
        <f>A130-543</f>
        <v>2026</v>
      </c>
      <c r="B131" s="193"/>
      <c r="C131" s="181"/>
      <c r="E131" s="115" t="s">
        <v>214</v>
      </c>
      <c r="F131" s="116" t="s">
        <v>215</v>
      </c>
      <c r="G131" s="115"/>
      <c r="H131" s="118"/>
      <c r="I131" s="118"/>
      <c r="J131" s="118"/>
      <c r="K131" s="36"/>
      <c r="L131" s="117"/>
      <c r="N131" s="117"/>
      <c r="R131" s="117"/>
      <c r="T131" s="117"/>
      <c r="V131" s="117"/>
      <c r="X131" s="117"/>
      <c r="Y131" s="73" t="s">
        <v>98</v>
      </c>
      <c r="Z131" s="94" t="s">
        <v>155</v>
      </c>
      <c r="AA131" s="36"/>
      <c r="AB131" s="36"/>
      <c r="AC131" s="111"/>
      <c r="AD131" s="112"/>
      <c r="AE131" s="37"/>
      <c r="AF131" s="97"/>
      <c r="AG131" s="14"/>
      <c r="AH131" s="14"/>
      <c r="AI131" s="14"/>
      <c r="AJ131" s="113"/>
      <c r="AK131" s="104" t="s">
        <v>134</v>
      </c>
      <c r="AM131" s="104" t="s">
        <v>135</v>
      </c>
      <c r="AO131" s="105" t="s">
        <v>136</v>
      </c>
      <c r="AQ131" s="104" t="s">
        <v>129</v>
      </c>
      <c r="AS131" s="114" t="s">
        <v>130</v>
      </c>
      <c r="AU131" s="105" t="s">
        <v>131</v>
      </c>
      <c r="AW131" s="105" t="s">
        <v>132</v>
      </c>
      <c r="AY131" s="104" t="s">
        <v>133</v>
      </c>
      <c r="AZ131" s="24"/>
    </row>
    <row r="132">
      <c r="A132" s="205"/>
      <c r="B132" s="206"/>
      <c r="C132" s="123"/>
      <c r="D132" s="123"/>
      <c r="E132" s="164" t="s">
        <v>185</v>
      </c>
      <c r="F132" s="88"/>
      <c r="G132" s="207" t="str">
        <f>G5:H5</f>
        <v>อสูรเดือน E</v>
      </c>
      <c r="I132" s="208" t="str">
        <f>I5:J5</f>
        <v>อสูรปี E</v>
      </c>
      <c r="K132" s="36"/>
      <c r="L132" s="117"/>
      <c r="N132" s="117"/>
      <c r="R132" s="117"/>
      <c r="T132" s="117"/>
      <c r="V132" s="117"/>
      <c r="X132" s="117"/>
      <c r="Y132" s="127"/>
      <c r="Z132" s="155"/>
      <c r="AA132" s="36"/>
      <c r="AB132" s="36"/>
      <c r="AC132" s="111"/>
      <c r="AD132" s="112"/>
      <c r="AE132" s="37"/>
      <c r="AF132" s="97"/>
      <c r="AG132" s="14"/>
      <c r="AH132" s="14"/>
      <c r="AI132" s="14"/>
      <c r="AJ132" s="113"/>
      <c r="AO132" s="128"/>
      <c r="AZ132" s="24"/>
    </row>
    <row r="133">
      <c r="A133" s="188" t="s">
        <v>199</v>
      </c>
      <c r="B133" s="189"/>
      <c r="C133" s="63"/>
      <c r="D133" s="63"/>
      <c r="E133" s="64">
        <f>(O134+P134+Q134+R134)/(O135+P135+Q135+R135)</f>
        <v>0.4125</v>
      </c>
      <c r="F133" s="65"/>
      <c r="G133" s="133"/>
      <c r="H133" s="72"/>
      <c r="I133" s="67"/>
      <c r="J133" s="72"/>
      <c r="K133" s="68"/>
      <c r="L133" s="69"/>
      <c r="M133" s="63" t="s">
        <v>64</v>
      </c>
      <c r="N133" s="70"/>
      <c r="O133" s="71" t="s">
        <v>65</v>
      </c>
      <c r="P133" s="72"/>
      <c r="Q133" s="72"/>
      <c r="R133" s="70"/>
      <c r="S133" s="71" t="s">
        <v>66</v>
      </c>
      <c r="T133" s="70"/>
      <c r="U133" s="71" t="s">
        <v>67</v>
      </c>
      <c r="V133" s="70"/>
      <c r="W133" s="71" t="s">
        <v>68</v>
      </c>
      <c r="X133" s="70"/>
      <c r="Y133" s="134" t="s">
        <v>116</v>
      </c>
      <c r="Z133" s="74" t="s">
        <v>159</v>
      </c>
      <c r="AA133" s="75" t="s">
        <v>202</v>
      </c>
      <c r="AB133" s="75" t="s">
        <v>226</v>
      </c>
      <c r="AC133" s="190" t="s">
        <v>173</v>
      </c>
      <c r="AD133" s="77" t="s">
        <v>193</v>
      </c>
      <c r="AE133" s="63" t="s">
        <v>35</v>
      </c>
      <c r="AF133" s="78" t="s">
        <v>75</v>
      </c>
      <c r="AG133" s="79" t="s">
        <v>76</v>
      </c>
      <c r="AH133" s="79">
        <v>240.0</v>
      </c>
      <c r="AI133" s="79" t="s">
        <v>77</v>
      </c>
      <c r="AJ133" s="80" t="str">
        <f>AJ127</f>
        <v>開</v>
      </c>
      <c r="AK133" s="81" t="s">
        <v>44</v>
      </c>
      <c r="AL133" s="82" t="str">
        <f>AL127</f>
        <v>休</v>
      </c>
      <c r="AM133" s="81" t="s">
        <v>46</v>
      </c>
      <c r="AN133" s="82" t="s">
        <v>4</v>
      </c>
      <c r="AO133" s="81" t="s">
        <v>48</v>
      </c>
      <c r="AP133" s="82" t="str">
        <f>AP127</f>
        <v>傷</v>
      </c>
      <c r="AQ133" s="81" t="s">
        <v>50</v>
      </c>
      <c r="AR133" s="82" t="s">
        <v>8</v>
      </c>
      <c r="AS133" s="81" t="s">
        <v>52</v>
      </c>
      <c r="AT133" s="82" t="str">
        <f>AT127</f>
        <v>景</v>
      </c>
      <c r="AU133" s="81" t="s">
        <v>38</v>
      </c>
      <c r="AV133" s="82" t="str">
        <f>AV127</f>
        <v>死</v>
      </c>
      <c r="AW133" s="81" t="s">
        <v>40</v>
      </c>
      <c r="AX133" s="82" t="str">
        <f>AX127</f>
        <v>驚</v>
      </c>
      <c r="AY133" s="81" t="s">
        <v>42</v>
      </c>
      <c r="AZ133" s="83"/>
      <c r="BA133" s="84"/>
      <c r="BB133" s="84"/>
      <c r="BC133" s="84"/>
    </row>
    <row r="134">
      <c r="A134" s="192">
        <f>A128+1</f>
        <v>21</v>
      </c>
      <c r="B134" s="193"/>
      <c r="C134" s="12" t="s">
        <v>194</v>
      </c>
      <c r="E134" s="87" t="s">
        <v>31</v>
      </c>
      <c r="G134" s="137" t="str">
        <f t="shared" ref="G134:G135" si="165">G38:H38</f>
        <v>己</v>
      </c>
      <c r="I134" s="138" t="str">
        <f t="shared" ref="I134:I135" si="166">I38:J38</f>
        <v>乙</v>
      </c>
      <c r="K134" s="90">
        <f>L134/L135</f>
        <v>0.475</v>
      </c>
      <c r="L134" s="126">
        <f t="shared" ref="L134:L135" si="167">O134+P134+Q134+U134+V134+W134+X134+R134+M134+N134+S134+T134</f>
        <v>475</v>
      </c>
      <c r="M134" s="92">
        <v>0.0</v>
      </c>
      <c r="N134" s="93">
        <v>0.0</v>
      </c>
      <c r="O134" s="92">
        <v>75.0</v>
      </c>
      <c r="P134" s="92">
        <v>40.0</v>
      </c>
      <c r="Q134" s="92">
        <v>40.0</v>
      </c>
      <c r="R134" s="93">
        <v>10.0</v>
      </c>
      <c r="S134" s="92">
        <v>90.0</v>
      </c>
      <c r="T134" s="93">
        <v>35.0</v>
      </c>
      <c r="U134" s="92">
        <f t="shared" ref="U134:X134" si="164">U38</f>
        <v>50</v>
      </c>
      <c r="V134" s="93">
        <f t="shared" si="164"/>
        <v>90</v>
      </c>
      <c r="W134" s="92">
        <f t="shared" si="164"/>
        <v>35</v>
      </c>
      <c r="X134" s="93">
        <f t="shared" si="164"/>
        <v>10</v>
      </c>
      <c r="Y134" s="73" t="s">
        <v>126</v>
      </c>
      <c r="Z134" s="94" t="s">
        <v>152</v>
      </c>
      <c r="AA134" s="36"/>
      <c r="AB134" s="29" t="s">
        <v>227</v>
      </c>
      <c r="AC134" s="195" t="s">
        <v>196</v>
      </c>
      <c r="AD134" s="96" t="s">
        <v>149</v>
      </c>
      <c r="AE134" s="37"/>
      <c r="AF134" s="97"/>
      <c r="AG134" s="12" t="s">
        <v>84</v>
      </c>
      <c r="AH134" s="12">
        <v>0.0</v>
      </c>
      <c r="AI134" s="12" t="s">
        <v>85</v>
      </c>
      <c r="AJ134" s="98" t="s">
        <v>43</v>
      </c>
      <c r="AK134" s="101" t="s">
        <v>91</v>
      </c>
      <c r="AL134" s="100" t="s">
        <v>41</v>
      </c>
      <c r="AM134" s="103" t="s">
        <v>92</v>
      </c>
      <c r="AN134" s="100" t="s">
        <v>39</v>
      </c>
      <c r="AO134" s="99" t="s">
        <v>93</v>
      </c>
      <c r="AP134" s="100" t="s">
        <v>37</v>
      </c>
      <c r="AQ134" s="99" t="s">
        <v>94</v>
      </c>
      <c r="AR134" s="100" t="s">
        <v>51</v>
      </c>
      <c r="AS134" s="101" t="s">
        <v>95</v>
      </c>
      <c r="AT134" s="100" t="s">
        <v>86</v>
      </c>
      <c r="AU134" s="99" t="s">
        <v>87</v>
      </c>
      <c r="AV134" s="100" t="s">
        <v>88</v>
      </c>
      <c r="AW134" s="101" t="s">
        <v>89</v>
      </c>
      <c r="AX134" s="100" t="s">
        <v>45</v>
      </c>
      <c r="AY134" s="102" t="s">
        <v>90</v>
      </c>
      <c r="AZ134" s="24"/>
    </row>
    <row r="135">
      <c r="A135" s="215" t="str">
        <f>G2</f>
        <v>มกราคม</v>
      </c>
      <c r="B135" s="193"/>
      <c r="C135" s="161" t="s">
        <v>217</v>
      </c>
      <c r="E135" s="162" t="s">
        <v>71</v>
      </c>
      <c r="G135" s="180" t="str">
        <f t="shared" si="165"/>
        <v>丑</v>
      </c>
      <c r="I135" s="142" t="str">
        <f t="shared" si="166"/>
        <v>巳</v>
      </c>
      <c r="K135" s="36"/>
      <c r="L135" s="109">
        <f t="shared" si="167"/>
        <v>1000</v>
      </c>
      <c r="M135" s="9">
        <v>0.0</v>
      </c>
      <c r="N135" s="110">
        <v>0.0</v>
      </c>
      <c r="O135" s="9">
        <v>100.0</v>
      </c>
      <c r="P135" s="9">
        <v>100.0</v>
      </c>
      <c r="Q135" s="9">
        <v>100.0</v>
      </c>
      <c r="R135" s="110">
        <v>100.0</v>
      </c>
      <c r="S135" s="9">
        <v>100.0</v>
      </c>
      <c r="T135" s="110">
        <v>100.0</v>
      </c>
      <c r="U135" s="9">
        <v>100.0</v>
      </c>
      <c r="V135" s="110">
        <v>100.0</v>
      </c>
      <c r="W135" s="9">
        <v>100.0</v>
      </c>
      <c r="X135" s="110">
        <v>100.0</v>
      </c>
      <c r="Y135" s="73" t="s">
        <v>69</v>
      </c>
      <c r="Z135" s="94" t="s">
        <v>163</v>
      </c>
      <c r="AA135" s="36"/>
      <c r="AB135" s="36"/>
      <c r="AC135" s="111"/>
      <c r="AD135" s="112"/>
      <c r="AE135" s="37"/>
      <c r="AF135" s="97"/>
      <c r="AG135" s="14"/>
      <c r="AH135" s="14"/>
      <c r="AI135" s="14"/>
      <c r="AJ135" s="113"/>
      <c r="AK135" s="105" t="s">
        <v>103</v>
      </c>
      <c r="AM135" s="104" t="s">
        <v>104</v>
      </c>
      <c r="AO135" s="104" t="s">
        <v>105</v>
      </c>
      <c r="AQ135" s="104" t="s">
        <v>106</v>
      </c>
      <c r="AS135" s="105" t="s">
        <v>107</v>
      </c>
      <c r="AU135" s="104" t="s">
        <v>100</v>
      </c>
      <c r="AW135" s="114" t="s">
        <v>101</v>
      </c>
      <c r="AY135" s="105" t="s">
        <v>102</v>
      </c>
      <c r="AZ135" s="24"/>
    </row>
    <row r="136">
      <c r="A136" s="192">
        <v>2569.0</v>
      </c>
      <c r="B136" s="193"/>
      <c r="E136" s="115" t="s">
        <v>165</v>
      </c>
      <c r="F136" s="116" t="s">
        <v>218</v>
      </c>
      <c r="G136" s="115" t="str">
        <f t="shared" ref="G136:J136" si="168">G40</f>
        <v>A9</v>
      </c>
      <c r="H136" s="9" t="str">
        <f t="shared" si="168"/>
        <v>B8</v>
      </c>
      <c r="I136" s="9" t="str">
        <f t="shared" si="168"/>
        <v>A2</v>
      </c>
      <c r="J136" s="9" t="str">
        <f t="shared" si="168"/>
        <v>B12</v>
      </c>
      <c r="K136" s="36"/>
      <c r="L136" s="117"/>
      <c r="M136" s="118" t="str">
        <f t="shared" ref="M136:P136" si="169">C136</f>
        <v/>
      </c>
      <c r="N136" s="119" t="str">
        <f t="shared" si="169"/>
        <v/>
      </c>
      <c r="O136" s="118" t="str">
        <f t="shared" si="169"/>
        <v>A12</v>
      </c>
      <c r="P136" s="118" t="str">
        <f t="shared" si="169"/>
        <v>B10</v>
      </c>
      <c r="Q136" s="118" t="str">
        <f t="shared" ref="Q136:R136" si="170">E137</f>
        <v>B10</v>
      </c>
      <c r="R136" s="119" t="str">
        <f t="shared" si="170"/>
        <v>C7</v>
      </c>
      <c r="S136" s="9" t="s">
        <v>219</v>
      </c>
      <c r="T136" s="110" t="s">
        <v>198</v>
      </c>
      <c r="U136" s="9" t="str">
        <f t="shared" ref="U136:X136" si="171">G136</f>
        <v>A9</v>
      </c>
      <c r="V136" s="119" t="str">
        <f t="shared" si="171"/>
        <v>B8</v>
      </c>
      <c r="W136" s="118" t="str">
        <f t="shared" si="171"/>
        <v>A2</v>
      </c>
      <c r="X136" s="120" t="str">
        <f t="shared" si="171"/>
        <v>B12</v>
      </c>
      <c r="Y136" s="73" t="s">
        <v>80</v>
      </c>
      <c r="Z136" s="94" t="s">
        <v>117</v>
      </c>
      <c r="AA136" s="36"/>
      <c r="AB136" s="36"/>
      <c r="AC136" s="111"/>
      <c r="AD136" s="112"/>
      <c r="AE136" s="37"/>
      <c r="AF136" s="97"/>
      <c r="AG136" s="14"/>
      <c r="AH136" s="14"/>
      <c r="AI136" s="14"/>
      <c r="AJ136" s="113"/>
      <c r="AK136" s="105" t="s">
        <v>121</v>
      </c>
      <c r="AM136" s="104" t="s">
        <v>122</v>
      </c>
      <c r="AO136" s="104" t="s">
        <v>123</v>
      </c>
      <c r="AQ136" s="104" t="s">
        <v>124</v>
      </c>
      <c r="AS136" s="105" t="s">
        <v>125</v>
      </c>
      <c r="AU136" s="104" t="s">
        <v>118</v>
      </c>
      <c r="AW136" s="114" t="s">
        <v>119</v>
      </c>
      <c r="AY136" s="105" t="s">
        <v>120</v>
      </c>
      <c r="AZ136" s="24"/>
    </row>
    <row r="137">
      <c r="A137" s="192">
        <f>A136-543</f>
        <v>2026</v>
      </c>
      <c r="B137" s="193"/>
      <c r="E137" s="115" t="s">
        <v>218</v>
      </c>
      <c r="F137" s="116" t="s">
        <v>220</v>
      </c>
      <c r="G137" s="115"/>
      <c r="H137" s="118"/>
      <c r="I137" s="118"/>
      <c r="J137" s="118"/>
      <c r="K137" s="36"/>
      <c r="L137" s="117"/>
      <c r="N137" s="117"/>
      <c r="R137" s="117"/>
      <c r="T137" s="117"/>
      <c r="V137" s="117"/>
      <c r="X137" s="117"/>
      <c r="Y137" s="73" t="s">
        <v>98</v>
      </c>
      <c r="Z137" s="94" t="s">
        <v>128</v>
      </c>
      <c r="AA137" s="36"/>
      <c r="AB137" s="36"/>
      <c r="AC137" s="111"/>
      <c r="AD137" s="112"/>
      <c r="AE137" s="37"/>
      <c r="AF137" s="97"/>
      <c r="AG137" s="14"/>
      <c r="AH137" s="14"/>
      <c r="AI137" s="14"/>
      <c r="AJ137" s="113"/>
      <c r="AK137" s="105" t="s">
        <v>132</v>
      </c>
      <c r="AM137" s="104" t="s">
        <v>133</v>
      </c>
      <c r="AO137" s="104" t="s">
        <v>134</v>
      </c>
      <c r="AQ137" s="104" t="s">
        <v>135</v>
      </c>
      <c r="AS137" s="105" t="s">
        <v>136</v>
      </c>
      <c r="AU137" s="104" t="s">
        <v>129</v>
      </c>
      <c r="AW137" s="114" t="s">
        <v>130</v>
      </c>
      <c r="AY137" s="105" t="s">
        <v>131</v>
      </c>
      <c r="AZ137" s="24"/>
    </row>
    <row r="138">
      <c r="A138" s="224"/>
      <c r="B138" s="206"/>
      <c r="C138" s="1"/>
      <c r="D138" s="123"/>
      <c r="E138" s="176" t="s">
        <v>137</v>
      </c>
      <c r="F138" s="88"/>
      <c r="G138" s="207" t="str">
        <f>G5:H5</f>
        <v>อสูรเดือน E</v>
      </c>
      <c r="I138" s="208" t="str">
        <f>I5:J5</f>
        <v>อสูรปี E</v>
      </c>
      <c r="K138" s="36"/>
      <c r="L138" s="117"/>
      <c r="N138" s="117"/>
      <c r="R138" s="117"/>
      <c r="T138" s="117"/>
      <c r="V138" s="117"/>
      <c r="X138" s="117"/>
      <c r="Y138" s="127"/>
      <c r="Z138" s="155"/>
      <c r="AA138" s="36"/>
      <c r="AB138" s="36"/>
      <c r="AC138" s="111"/>
      <c r="AD138" s="112"/>
      <c r="AE138" s="37"/>
      <c r="AF138" s="97"/>
      <c r="AG138" s="14"/>
      <c r="AH138" s="14"/>
      <c r="AI138" s="14"/>
      <c r="AJ138" s="113"/>
      <c r="AM138" s="128"/>
      <c r="AZ138" s="24"/>
    </row>
    <row r="139">
      <c r="A139" s="188" t="s">
        <v>63</v>
      </c>
      <c r="B139" s="189"/>
      <c r="C139" s="63"/>
      <c r="D139" s="63"/>
      <c r="E139" s="64">
        <f>(O140+P140+Q140+R140)/(O141+P141+Q141+R141)</f>
        <v>0.3875</v>
      </c>
      <c r="F139" s="65"/>
      <c r="G139" s="133"/>
      <c r="H139" s="72"/>
      <c r="I139" s="67"/>
      <c r="J139" s="72"/>
      <c r="K139" s="68"/>
      <c r="L139" s="69"/>
      <c r="M139" s="63" t="s">
        <v>64</v>
      </c>
      <c r="N139" s="70"/>
      <c r="O139" s="71" t="s">
        <v>65</v>
      </c>
      <c r="P139" s="72"/>
      <c r="Q139" s="72"/>
      <c r="R139" s="70"/>
      <c r="S139" s="71" t="s">
        <v>66</v>
      </c>
      <c r="T139" s="70"/>
      <c r="U139" s="71" t="s">
        <v>67</v>
      </c>
      <c r="V139" s="70"/>
      <c r="W139" s="71" t="s">
        <v>68</v>
      </c>
      <c r="X139" s="70"/>
      <c r="Y139" s="134" t="s">
        <v>80</v>
      </c>
      <c r="Z139" s="74" t="s">
        <v>170</v>
      </c>
      <c r="AA139" s="75" t="s">
        <v>32</v>
      </c>
      <c r="AB139" s="75" t="s">
        <v>233</v>
      </c>
      <c r="AC139" s="76" t="s">
        <v>73</v>
      </c>
      <c r="AD139" s="77" t="s">
        <v>74</v>
      </c>
      <c r="AE139" s="63" t="s">
        <v>75</v>
      </c>
      <c r="AF139" s="78" t="s">
        <v>144</v>
      </c>
      <c r="AG139" s="79" t="s">
        <v>32</v>
      </c>
      <c r="AH139" s="79">
        <v>270.0</v>
      </c>
      <c r="AI139" s="79" t="s">
        <v>145</v>
      </c>
      <c r="AJ139" s="80" t="str">
        <f>AJ133</f>
        <v>開</v>
      </c>
      <c r="AK139" s="81" t="s">
        <v>40</v>
      </c>
      <c r="AL139" s="82" t="str">
        <f>AL133</f>
        <v>休</v>
      </c>
      <c r="AM139" s="81" t="s">
        <v>42</v>
      </c>
      <c r="AN139" s="82" t="s">
        <v>4</v>
      </c>
      <c r="AO139" s="81" t="s">
        <v>44</v>
      </c>
      <c r="AP139" s="82" t="str">
        <f>AP133</f>
        <v>傷</v>
      </c>
      <c r="AQ139" s="81" t="s">
        <v>46</v>
      </c>
      <c r="AR139" s="82" t="s">
        <v>8</v>
      </c>
      <c r="AS139" s="81" t="s">
        <v>48</v>
      </c>
      <c r="AT139" s="82" t="str">
        <f>AT133</f>
        <v>景</v>
      </c>
      <c r="AU139" s="81" t="s">
        <v>50</v>
      </c>
      <c r="AV139" s="82" t="str">
        <f>AV133</f>
        <v>死</v>
      </c>
      <c r="AW139" s="81" t="s">
        <v>52</v>
      </c>
      <c r="AX139" s="82" t="str">
        <f>AX133</f>
        <v>驚</v>
      </c>
      <c r="AY139" s="81" t="s">
        <v>38</v>
      </c>
      <c r="AZ139" s="83"/>
      <c r="BA139" s="84"/>
      <c r="BB139" s="84"/>
      <c r="BC139" s="84"/>
    </row>
    <row r="140">
      <c r="A140" s="192">
        <f>A134+1</f>
        <v>22</v>
      </c>
      <c r="B140" s="193"/>
      <c r="C140" s="12" t="s">
        <v>187</v>
      </c>
      <c r="E140" s="214" t="s">
        <v>147</v>
      </c>
      <c r="G140" s="137" t="str">
        <f t="shared" ref="G140:G141" si="173">G38:H38</f>
        <v>己</v>
      </c>
      <c r="I140" s="138" t="str">
        <f t="shared" ref="I140:I141" si="174">I38:J38</f>
        <v>乙</v>
      </c>
      <c r="K140" s="90">
        <f>L140/L141</f>
        <v>0.45</v>
      </c>
      <c r="L140" s="126">
        <f t="shared" ref="L140:L141" si="175">O140+P140+Q140+U140+V140+W140+X140+R140+M140+N140+S140+T140</f>
        <v>450</v>
      </c>
      <c r="M140" s="92">
        <v>0.0</v>
      </c>
      <c r="N140" s="93">
        <v>0.0</v>
      </c>
      <c r="O140" s="92">
        <v>25.0</v>
      </c>
      <c r="P140" s="92">
        <v>60.0</v>
      </c>
      <c r="Q140" s="92">
        <v>50.0</v>
      </c>
      <c r="R140" s="93">
        <v>20.0</v>
      </c>
      <c r="S140" s="92">
        <v>40.0</v>
      </c>
      <c r="T140" s="93">
        <v>70.0</v>
      </c>
      <c r="U140" s="92">
        <f t="shared" ref="U140:X140" si="172">U38</f>
        <v>50</v>
      </c>
      <c r="V140" s="93">
        <f t="shared" si="172"/>
        <v>90</v>
      </c>
      <c r="W140" s="92">
        <f t="shared" si="172"/>
        <v>35</v>
      </c>
      <c r="X140" s="93">
        <f t="shared" si="172"/>
        <v>10</v>
      </c>
      <c r="Y140" s="73" t="s">
        <v>98</v>
      </c>
      <c r="Z140" s="94" t="s">
        <v>70</v>
      </c>
      <c r="AA140" s="36"/>
      <c r="AB140" s="29" t="s">
        <v>234</v>
      </c>
      <c r="AC140" s="95" t="s">
        <v>82</v>
      </c>
      <c r="AD140" s="96" t="s">
        <v>83</v>
      </c>
      <c r="AE140" s="37"/>
      <c r="AF140" s="97"/>
      <c r="AG140" s="12" t="s">
        <v>97</v>
      </c>
      <c r="AH140" s="12">
        <v>330.0</v>
      </c>
      <c r="AI140" s="12" t="s">
        <v>150</v>
      </c>
      <c r="AJ140" s="98" t="s">
        <v>88</v>
      </c>
      <c r="AK140" s="101" t="s">
        <v>89</v>
      </c>
      <c r="AL140" s="100" t="s">
        <v>45</v>
      </c>
      <c r="AM140" s="102" t="s">
        <v>90</v>
      </c>
      <c r="AN140" s="100" t="s">
        <v>43</v>
      </c>
      <c r="AO140" s="101" t="s">
        <v>91</v>
      </c>
      <c r="AP140" s="100" t="s">
        <v>41</v>
      </c>
      <c r="AQ140" s="103" t="s">
        <v>92</v>
      </c>
      <c r="AR140" s="100" t="s">
        <v>39</v>
      </c>
      <c r="AS140" s="99" t="s">
        <v>93</v>
      </c>
      <c r="AT140" s="100" t="s">
        <v>37</v>
      </c>
      <c r="AU140" s="99" t="s">
        <v>94</v>
      </c>
      <c r="AV140" s="100" t="s">
        <v>51</v>
      </c>
      <c r="AW140" s="101" t="s">
        <v>95</v>
      </c>
      <c r="AX140" s="100" t="s">
        <v>86</v>
      </c>
      <c r="AY140" s="99" t="s">
        <v>87</v>
      </c>
      <c r="AZ140" s="24"/>
    </row>
    <row r="141">
      <c r="A141" s="215" t="str">
        <f>G2</f>
        <v>มกราคม</v>
      </c>
      <c r="B141" s="193"/>
      <c r="C141" s="161" t="s">
        <v>223</v>
      </c>
      <c r="E141" s="209" t="s">
        <v>76</v>
      </c>
      <c r="G141" s="180" t="str">
        <f t="shared" si="173"/>
        <v>丑</v>
      </c>
      <c r="I141" s="142" t="str">
        <f t="shared" si="174"/>
        <v>巳</v>
      </c>
      <c r="K141" s="36"/>
      <c r="L141" s="109">
        <f t="shared" si="175"/>
        <v>1000</v>
      </c>
      <c r="M141" s="9">
        <v>0.0</v>
      </c>
      <c r="N141" s="110">
        <v>0.0</v>
      </c>
      <c r="O141" s="9">
        <v>100.0</v>
      </c>
      <c r="P141" s="9">
        <v>100.0</v>
      </c>
      <c r="Q141" s="9">
        <v>100.0</v>
      </c>
      <c r="R141" s="110">
        <v>100.0</v>
      </c>
      <c r="S141" s="9">
        <v>100.0</v>
      </c>
      <c r="T141" s="110">
        <v>100.0</v>
      </c>
      <c r="U141" s="9">
        <v>100.0</v>
      </c>
      <c r="V141" s="110">
        <v>100.0</v>
      </c>
      <c r="W141" s="9">
        <v>100.0</v>
      </c>
      <c r="X141" s="110">
        <v>100.0</v>
      </c>
      <c r="Y141" s="73" t="s">
        <v>116</v>
      </c>
      <c r="Z141" s="94" t="s">
        <v>181</v>
      </c>
      <c r="AA141" s="36"/>
      <c r="AB141" s="36"/>
      <c r="AC141" s="111"/>
      <c r="AD141" s="112"/>
      <c r="AE141" s="37"/>
      <c r="AF141" s="97"/>
      <c r="AG141" s="14"/>
      <c r="AH141" s="14"/>
      <c r="AI141" s="14"/>
      <c r="AJ141" s="113"/>
      <c r="AK141" s="114" t="s">
        <v>101</v>
      </c>
      <c r="AM141" s="105" t="s">
        <v>102</v>
      </c>
      <c r="AO141" s="105" t="s">
        <v>103</v>
      </c>
      <c r="AQ141" s="104" t="s">
        <v>104</v>
      </c>
      <c r="AS141" s="104" t="s">
        <v>105</v>
      </c>
      <c r="AU141" s="104" t="s">
        <v>106</v>
      </c>
      <c r="AW141" s="105" t="s">
        <v>107</v>
      </c>
      <c r="AY141" s="104" t="s">
        <v>100</v>
      </c>
      <c r="AZ141" s="24"/>
    </row>
    <row r="142">
      <c r="A142" s="192">
        <v>2569.0</v>
      </c>
      <c r="B142" s="193"/>
      <c r="E142" s="115" t="s">
        <v>115</v>
      </c>
      <c r="F142" s="116" t="s">
        <v>214</v>
      </c>
      <c r="G142" s="115" t="str">
        <f t="shared" ref="G142:J142" si="176">G40</f>
        <v>A9</v>
      </c>
      <c r="H142" s="9" t="str">
        <f t="shared" si="176"/>
        <v>B8</v>
      </c>
      <c r="I142" s="9" t="str">
        <f t="shared" si="176"/>
        <v>A2</v>
      </c>
      <c r="J142" s="9" t="str">
        <f t="shared" si="176"/>
        <v>B12</v>
      </c>
      <c r="K142" s="36"/>
      <c r="L142" s="117"/>
      <c r="M142" s="118" t="str">
        <f t="shared" ref="M142:P142" si="177">C142</f>
        <v/>
      </c>
      <c r="N142" s="119" t="str">
        <f t="shared" si="177"/>
        <v/>
      </c>
      <c r="O142" s="118" t="str">
        <f t="shared" si="177"/>
        <v>A7</v>
      </c>
      <c r="P142" s="118" t="str">
        <f t="shared" si="177"/>
        <v>B11</v>
      </c>
      <c r="Q142" s="118" t="str">
        <f t="shared" ref="Q142:R142" si="178">E143</f>
        <v>B9</v>
      </c>
      <c r="R142" s="119" t="str">
        <f t="shared" si="178"/>
        <v>C8</v>
      </c>
      <c r="S142" s="9" t="s">
        <v>112</v>
      </c>
      <c r="T142" s="110" t="s">
        <v>165</v>
      </c>
      <c r="U142" s="9" t="str">
        <f t="shared" ref="U142:X142" si="179">G142</f>
        <v>A9</v>
      </c>
      <c r="V142" s="119" t="str">
        <f t="shared" si="179"/>
        <v>B8</v>
      </c>
      <c r="W142" s="118" t="str">
        <f t="shared" si="179"/>
        <v>A2</v>
      </c>
      <c r="X142" s="120" t="str">
        <f t="shared" si="179"/>
        <v>B12</v>
      </c>
      <c r="Y142" s="73" t="s">
        <v>126</v>
      </c>
      <c r="Z142" s="94" t="s">
        <v>163</v>
      </c>
      <c r="AA142" s="36"/>
      <c r="AB142" s="36"/>
      <c r="AC142" s="111"/>
      <c r="AD142" s="112"/>
      <c r="AE142" s="37"/>
      <c r="AF142" s="97"/>
      <c r="AG142" s="14"/>
      <c r="AH142" s="14"/>
      <c r="AI142" s="14"/>
      <c r="AJ142" s="113"/>
      <c r="AK142" s="114" t="s">
        <v>119</v>
      </c>
      <c r="AM142" s="105" t="s">
        <v>120</v>
      </c>
      <c r="AO142" s="105" t="s">
        <v>121</v>
      </c>
      <c r="AQ142" s="104" t="s">
        <v>122</v>
      </c>
      <c r="AS142" s="104" t="s">
        <v>123</v>
      </c>
      <c r="AU142" s="104" t="s">
        <v>124</v>
      </c>
      <c r="AW142" s="105" t="s">
        <v>125</v>
      </c>
      <c r="AY142" s="104" t="s">
        <v>118</v>
      </c>
      <c r="AZ142" s="24"/>
    </row>
    <row r="143">
      <c r="A143" s="192">
        <f>A142-543</f>
        <v>2026</v>
      </c>
      <c r="B143" s="193"/>
      <c r="E143" s="115" t="s">
        <v>212</v>
      </c>
      <c r="F143" s="116" t="s">
        <v>225</v>
      </c>
      <c r="G143" s="115"/>
      <c r="H143" s="118"/>
      <c r="I143" s="118"/>
      <c r="J143" s="118"/>
      <c r="K143" s="36"/>
      <c r="L143" s="117"/>
      <c r="N143" s="117"/>
      <c r="R143" s="117"/>
      <c r="T143" s="117"/>
      <c r="V143" s="117"/>
      <c r="X143" s="117"/>
      <c r="Y143" s="73" t="s">
        <v>69</v>
      </c>
      <c r="Z143" s="94" t="s">
        <v>99</v>
      </c>
      <c r="AA143" s="36"/>
      <c r="AB143" s="36"/>
      <c r="AC143" s="111"/>
      <c r="AD143" s="112"/>
      <c r="AE143" s="37"/>
      <c r="AF143" s="97"/>
      <c r="AG143" s="14"/>
      <c r="AH143" s="14"/>
      <c r="AI143" s="14"/>
      <c r="AJ143" s="113"/>
      <c r="AK143" s="114" t="s">
        <v>130</v>
      </c>
      <c r="AM143" s="105" t="s">
        <v>131</v>
      </c>
      <c r="AO143" s="105" t="s">
        <v>132</v>
      </c>
      <c r="AQ143" s="104" t="s">
        <v>133</v>
      </c>
      <c r="AS143" s="104" t="s">
        <v>134</v>
      </c>
      <c r="AU143" s="104" t="s">
        <v>135</v>
      </c>
      <c r="AW143" s="105" t="s">
        <v>136</v>
      </c>
      <c r="AY143" s="104" t="s">
        <v>129</v>
      </c>
      <c r="AZ143" s="24"/>
    </row>
    <row r="144">
      <c r="A144" s="113"/>
      <c r="B144" s="206"/>
      <c r="C144" s="1"/>
      <c r="D144" s="123"/>
      <c r="E144" s="176" t="s">
        <v>157</v>
      </c>
      <c r="F144" s="88"/>
      <c r="G144" s="207" t="str">
        <f>G5:H5</f>
        <v>อสูรเดือน E</v>
      </c>
      <c r="I144" s="208" t="str">
        <f>I5:J5</f>
        <v>อสูรปี E</v>
      </c>
      <c r="K144" s="36"/>
      <c r="L144" s="117"/>
      <c r="N144" s="117"/>
      <c r="R144" s="117"/>
      <c r="T144" s="117"/>
      <c r="V144" s="117"/>
      <c r="X144" s="117"/>
      <c r="Y144" s="127"/>
      <c r="Z144" s="155"/>
      <c r="AA144" s="36"/>
      <c r="AB144" s="36"/>
      <c r="AC144" s="111"/>
      <c r="AD144" s="112"/>
      <c r="AE144" s="37"/>
      <c r="AF144" s="97"/>
      <c r="AG144" s="14"/>
      <c r="AH144" s="14"/>
      <c r="AI144" s="14"/>
      <c r="AJ144" s="113"/>
      <c r="AU144" s="128"/>
      <c r="AZ144" s="24"/>
    </row>
    <row r="145">
      <c r="A145" s="188" t="s">
        <v>139</v>
      </c>
      <c r="B145" s="189"/>
      <c r="C145" s="63"/>
      <c r="D145" s="63"/>
      <c r="E145" s="225">
        <f>(O146+P146+Q146+R146)/(O147+P147+Q147+R147)</f>
        <v>0.7125</v>
      </c>
      <c r="F145" s="72"/>
      <c r="G145" s="133"/>
      <c r="H145" s="72"/>
      <c r="I145" s="67"/>
      <c r="J145" s="72"/>
      <c r="K145" s="68"/>
      <c r="L145" s="69"/>
      <c r="M145" s="63" t="s">
        <v>64</v>
      </c>
      <c r="N145" s="70"/>
      <c r="O145" s="71" t="s">
        <v>65</v>
      </c>
      <c r="P145" s="72"/>
      <c r="Q145" s="72"/>
      <c r="R145" s="70"/>
      <c r="S145" s="71" t="s">
        <v>66</v>
      </c>
      <c r="T145" s="70"/>
      <c r="U145" s="71" t="s">
        <v>67</v>
      </c>
      <c r="V145" s="70"/>
      <c r="W145" s="71" t="s">
        <v>68</v>
      </c>
      <c r="X145" s="70"/>
      <c r="Y145" s="134" t="s">
        <v>80</v>
      </c>
      <c r="Z145" s="74" t="s">
        <v>159</v>
      </c>
      <c r="AA145" s="75" t="s">
        <v>53</v>
      </c>
      <c r="AB145" s="75" t="s">
        <v>245</v>
      </c>
      <c r="AC145" s="76" t="s">
        <v>73</v>
      </c>
      <c r="AD145" s="77" t="s">
        <v>74</v>
      </c>
      <c r="AE145" s="63" t="s">
        <v>75</v>
      </c>
      <c r="AF145" s="78" t="s">
        <v>36</v>
      </c>
      <c r="AG145" s="79" t="s">
        <v>97</v>
      </c>
      <c r="AH145" s="79">
        <v>330.0</v>
      </c>
      <c r="AI145" s="79" t="s">
        <v>150</v>
      </c>
      <c r="AJ145" s="80" t="str">
        <f>AJ139</f>
        <v>開</v>
      </c>
      <c r="AK145" s="81" t="s">
        <v>44</v>
      </c>
      <c r="AL145" s="82" t="str">
        <f>AL139</f>
        <v>休</v>
      </c>
      <c r="AM145" s="81" t="s">
        <v>46</v>
      </c>
      <c r="AN145" s="82" t="s">
        <v>4</v>
      </c>
      <c r="AO145" s="81" t="s">
        <v>48</v>
      </c>
      <c r="AP145" s="82" t="str">
        <f>AP139</f>
        <v>傷</v>
      </c>
      <c r="AQ145" s="81" t="s">
        <v>50</v>
      </c>
      <c r="AR145" s="82" t="s">
        <v>8</v>
      </c>
      <c r="AS145" s="81" t="s">
        <v>52</v>
      </c>
      <c r="AT145" s="82" t="str">
        <f>AT139</f>
        <v>景</v>
      </c>
      <c r="AU145" s="81" t="s">
        <v>38</v>
      </c>
      <c r="AV145" s="82" t="str">
        <f>AV139</f>
        <v>死</v>
      </c>
      <c r="AW145" s="81" t="s">
        <v>40</v>
      </c>
      <c r="AX145" s="82" t="str">
        <f>AX139</f>
        <v>驚</v>
      </c>
      <c r="AY145" s="81" t="s">
        <v>42</v>
      </c>
      <c r="AZ145" s="83"/>
      <c r="BA145" s="84"/>
      <c r="BB145" s="84"/>
      <c r="BC145" s="84"/>
    </row>
    <row r="146">
      <c r="A146" s="192">
        <f>A140+1</f>
        <v>23</v>
      </c>
      <c r="B146" s="193"/>
      <c r="C146" s="12" t="s">
        <v>176</v>
      </c>
      <c r="E146" s="160" t="s">
        <v>161</v>
      </c>
      <c r="G146" s="137" t="str">
        <f t="shared" ref="G146:G147" si="181">G38:H38</f>
        <v>己</v>
      </c>
      <c r="I146" s="138" t="str">
        <f t="shared" ref="I146:I147" si="182">I38:J38</f>
        <v>乙</v>
      </c>
      <c r="K146" s="90">
        <f>L146/L147</f>
        <v>0.6</v>
      </c>
      <c r="L146" s="126">
        <f t="shared" ref="L146:L147" si="183">O146+P146+Q146+U146+V146+W146+X146+R146+M146+N146+S146+T146</f>
        <v>600</v>
      </c>
      <c r="M146" s="92">
        <v>0.0</v>
      </c>
      <c r="N146" s="93">
        <v>0.0</v>
      </c>
      <c r="O146" s="92">
        <v>85.0</v>
      </c>
      <c r="P146" s="92">
        <v>10.0</v>
      </c>
      <c r="Q146" s="92">
        <v>90.0</v>
      </c>
      <c r="R146" s="93">
        <v>100.0</v>
      </c>
      <c r="S146" s="92">
        <v>80.0</v>
      </c>
      <c r="T146" s="93">
        <v>50.0</v>
      </c>
      <c r="U146" s="92">
        <f t="shared" ref="U146:X146" si="180">U38</f>
        <v>50</v>
      </c>
      <c r="V146" s="93">
        <f t="shared" si="180"/>
        <v>90</v>
      </c>
      <c r="W146" s="92">
        <f t="shared" si="180"/>
        <v>35</v>
      </c>
      <c r="X146" s="93">
        <f t="shared" si="180"/>
        <v>10</v>
      </c>
      <c r="Y146" s="73" t="s">
        <v>98</v>
      </c>
      <c r="Z146" s="94" t="s">
        <v>152</v>
      </c>
      <c r="AA146" s="36"/>
      <c r="AB146" s="36"/>
      <c r="AC146" s="95" t="s">
        <v>82</v>
      </c>
      <c r="AD146" s="96" t="s">
        <v>83</v>
      </c>
      <c r="AE146" s="37"/>
      <c r="AF146" s="97"/>
      <c r="AG146" s="12" t="s">
        <v>32</v>
      </c>
      <c r="AH146" s="12">
        <v>270.0</v>
      </c>
      <c r="AI146" s="12" t="s">
        <v>145</v>
      </c>
      <c r="AJ146" s="98" t="s">
        <v>43</v>
      </c>
      <c r="AK146" s="101" t="s">
        <v>91</v>
      </c>
      <c r="AL146" s="100" t="s">
        <v>41</v>
      </c>
      <c r="AM146" s="103" t="s">
        <v>92</v>
      </c>
      <c r="AN146" s="100" t="s">
        <v>39</v>
      </c>
      <c r="AO146" s="99" t="s">
        <v>93</v>
      </c>
      <c r="AP146" s="100" t="s">
        <v>37</v>
      </c>
      <c r="AQ146" s="99" t="s">
        <v>94</v>
      </c>
      <c r="AR146" s="100" t="s">
        <v>51</v>
      </c>
      <c r="AS146" s="101" t="s">
        <v>95</v>
      </c>
      <c r="AT146" s="100" t="s">
        <v>86</v>
      </c>
      <c r="AU146" s="99" t="s">
        <v>87</v>
      </c>
      <c r="AV146" s="100" t="s">
        <v>88</v>
      </c>
      <c r="AW146" s="101" t="s">
        <v>89</v>
      </c>
      <c r="AX146" s="100" t="s">
        <v>45</v>
      </c>
      <c r="AY146" s="102" t="s">
        <v>90</v>
      </c>
      <c r="AZ146" s="24"/>
    </row>
    <row r="147">
      <c r="A147" s="215" t="str">
        <f>G2</f>
        <v>มกราคม</v>
      </c>
      <c r="B147" s="193"/>
      <c r="C147" s="212" t="s">
        <v>228</v>
      </c>
      <c r="E147" s="209" t="s">
        <v>32</v>
      </c>
      <c r="G147" s="180" t="str">
        <f t="shared" si="181"/>
        <v>丑</v>
      </c>
      <c r="I147" s="142" t="str">
        <f t="shared" si="182"/>
        <v>巳</v>
      </c>
      <c r="K147" s="36"/>
      <c r="L147" s="109">
        <f t="shared" si="183"/>
        <v>1000</v>
      </c>
      <c r="M147" s="9">
        <v>0.0</v>
      </c>
      <c r="N147" s="110">
        <v>0.0</v>
      </c>
      <c r="O147" s="9">
        <v>100.0</v>
      </c>
      <c r="P147" s="9">
        <v>100.0</v>
      </c>
      <c r="Q147" s="9">
        <v>100.0</v>
      </c>
      <c r="R147" s="110">
        <v>100.0</v>
      </c>
      <c r="S147" s="9">
        <v>100.0</v>
      </c>
      <c r="T147" s="110">
        <v>100.0</v>
      </c>
      <c r="U147" s="9">
        <v>100.0</v>
      </c>
      <c r="V147" s="110">
        <v>100.0</v>
      </c>
      <c r="W147" s="9">
        <v>100.0</v>
      </c>
      <c r="X147" s="110">
        <v>100.0</v>
      </c>
      <c r="Y147" s="73" t="s">
        <v>116</v>
      </c>
      <c r="Z147" s="94" t="s">
        <v>81</v>
      </c>
      <c r="AA147" s="36"/>
      <c r="AB147" s="36"/>
      <c r="AC147" s="111"/>
      <c r="AD147" s="112"/>
      <c r="AE147" s="37"/>
      <c r="AF147" s="97"/>
      <c r="AG147" s="14"/>
      <c r="AH147" s="14"/>
      <c r="AI147" s="14"/>
      <c r="AJ147" s="113"/>
      <c r="AK147" s="105" t="s">
        <v>103</v>
      </c>
      <c r="AM147" s="104" t="s">
        <v>104</v>
      </c>
      <c r="AO147" s="104" t="s">
        <v>105</v>
      </c>
      <c r="AQ147" s="104" t="s">
        <v>106</v>
      </c>
      <c r="AS147" s="105" t="s">
        <v>107</v>
      </c>
      <c r="AU147" s="104" t="s">
        <v>100</v>
      </c>
      <c r="AW147" s="114" t="s">
        <v>101</v>
      </c>
      <c r="AY147" s="105" t="s">
        <v>102</v>
      </c>
      <c r="AZ147" s="24"/>
    </row>
    <row r="148">
      <c r="A148" s="192">
        <v>2569.0</v>
      </c>
      <c r="B148" s="193"/>
      <c r="E148" s="115" t="s">
        <v>182</v>
      </c>
      <c r="F148" s="116" t="s">
        <v>113</v>
      </c>
      <c r="G148" s="115" t="str">
        <f t="shared" ref="G148:J148" si="184">G40</f>
        <v>A9</v>
      </c>
      <c r="H148" s="9" t="str">
        <f t="shared" si="184"/>
        <v>B8</v>
      </c>
      <c r="I148" s="9" t="str">
        <f t="shared" si="184"/>
        <v>A2</v>
      </c>
      <c r="J148" s="9" t="str">
        <f t="shared" si="184"/>
        <v>B12</v>
      </c>
      <c r="K148" s="36"/>
      <c r="L148" s="117"/>
      <c r="M148" s="118" t="str">
        <f t="shared" ref="M148:P148" si="185">C148</f>
        <v/>
      </c>
      <c r="N148" s="119" t="str">
        <f t="shared" si="185"/>
        <v/>
      </c>
      <c r="O148" s="118" t="str">
        <f t="shared" si="185"/>
        <v>A1</v>
      </c>
      <c r="P148" s="118" t="str">
        <f t="shared" si="185"/>
        <v>B12</v>
      </c>
      <c r="Q148" s="118" t="str">
        <f t="shared" ref="Q148:R148" si="186">E149</f>
        <v>B8</v>
      </c>
      <c r="R148" s="119" t="str">
        <f t="shared" si="186"/>
        <v>C9</v>
      </c>
      <c r="S148" s="9" t="s">
        <v>182</v>
      </c>
      <c r="T148" s="110" t="s">
        <v>164</v>
      </c>
      <c r="U148" s="9" t="str">
        <f t="shared" ref="U148:X148" si="187">G148</f>
        <v>A9</v>
      </c>
      <c r="V148" s="119" t="str">
        <f t="shared" si="187"/>
        <v>B8</v>
      </c>
      <c r="W148" s="118" t="str">
        <f t="shared" si="187"/>
        <v>A2</v>
      </c>
      <c r="X148" s="120" t="str">
        <f t="shared" si="187"/>
        <v>B12</v>
      </c>
      <c r="Y148" s="73" t="s">
        <v>126</v>
      </c>
      <c r="Z148" s="94" t="s">
        <v>99</v>
      </c>
      <c r="AA148" s="36"/>
      <c r="AB148" s="36"/>
      <c r="AC148" s="111"/>
      <c r="AD148" s="112"/>
      <c r="AE148" s="37"/>
      <c r="AF148" s="97"/>
      <c r="AG148" s="14"/>
      <c r="AH148" s="14"/>
      <c r="AI148" s="14"/>
      <c r="AJ148" s="113"/>
      <c r="AK148" s="105" t="s">
        <v>121</v>
      </c>
      <c r="AM148" s="104" t="s">
        <v>122</v>
      </c>
      <c r="AO148" s="104" t="s">
        <v>123</v>
      </c>
      <c r="AQ148" s="104" t="s">
        <v>124</v>
      </c>
      <c r="AS148" s="105" t="s">
        <v>125</v>
      </c>
      <c r="AU148" s="104" t="s">
        <v>118</v>
      </c>
      <c r="AW148" s="114" t="s">
        <v>119</v>
      </c>
      <c r="AY148" s="105" t="s">
        <v>120</v>
      </c>
      <c r="AZ148" s="24"/>
    </row>
    <row r="149">
      <c r="A149" s="192">
        <f>A148-543</f>
        <v>2026</v>
      </c>
      <c r="B149" s="193"/>
      <c r="E149" s="115" t="s">
        <v>69</v>
      </c>
      <c r="F149" s="116" t="s">
        <v>229</v>
      </c>
      <c r="G149" s="115"/>
      <c r="H149" s="118"/>
      <c r="I149" s="118"/>
      <c r="J149" s="118"/>
      <c r="K149" s="36"/>
      <c r="L149" s="117"/>
      <c r="N149" s="117"/>
      <c r="O149" s="226"/>
      <c r="R149" s="117"/>
      <c r="T149" s="117"/>
      <c r="V149" s="117"/>
      <c r="X149" s="117"/>
      <c r="Y149" s="73" t="s">
        <v>69</v>
      </c>
      <c r="Z149" s="94" t="s">
        <v>155</v>
      </c>
      <c r="AA149" s="36"/>
      <c r="AB149" s="36"/>
      <c r="AC149" s="111"/>
      <c r="AD149" s="112"/>
      <c r="AE149" s="37"/>
      <c r="AF149" s="97"/>
      <c r="AG149" s="14"/>
      <c r="AH149" s="14"/>
      <c r="AI149" s="14"/>
      <c r="AJ149" s="113"/>
      <c r="AK149" s="105" t="s">
        <v>132</v>
      </c>
      <c r="AM149" s="104" t="s">
        <v>133</v>
      </c>
      <c r="AO149" s="104" t="s">
        <v>134</v>
      </c>
      <c r="AQ149" s="104" t="s">
        <v>135</v>
      </c>
      <c r="AS149" s="105" t="s">
        <v>136</v>
      </c>
      <c r="AU149" s="104" t="s">
        <v>129</v>
      </c>
      <c r="AW149" s="114" t="s">
        <v>130</v>
      </c>
      <c r="AY149" s="105" t="s">
        <v>131</v>
      </c>
      <c r="AZ149" s="24"/>
    </row>
    <row r="150">
      <c r="A150" s="213" t="s">
        <v>230</v>
      </c>
      <c r="B150" s="206"/>
      <c r="C150" s="1"/>
      <c r="D150" s="123"/>
      <c r="E150" s="164" t="s">
        <v>168</v>
      </c>
      <c r="F150" s="88"/>
      <c r="G150" s="207" t="str">
        <f>G5:H5</f>
        <v>อสูรเดือน E</v>
      </c>
      <c r="I150" s="208" t="str">
        <f>I5:J5</f>
        <v>อสูรปี E</v>
      </c>
      <c r="K150" s="36"/>
      <c r="L150" s="117"/>
      <c r="N150" s="117"/>
      <c r="R150" s="117"/>
      <c r="T150" s="117"/>
      <c r="V150" s="117"/>
      <c r="X150" s="117"/>
      <c r="Y150" s="127"/>
      <c r="Z150" s="155"/>
      <c r="AA150" s="36"/>
      <c r="AB150" s="36"/>
      <c r="AC150" s="111"/>
      <c r="AD150" s="112"/>
      <c r="AE150" s="37"/>
      <c r="AF150" s="97"/>
      <c r="AG150" s="14"/>
      <c r="AH150" s="14"/>
      <c r="AI150" s="14"/>
      <c r="AJ150" s="113"/>
      <c r="AU150" s="128"/>
      <c r="AZ150" s="24"/>
    </row>
    <row r="151">
      <c r="A151" s="188" t="s">
        <v>158</v>
      </c>
      <c r="B151" s="189"/>
      <c r="C151" s="63"/>
      <c r="D151" s="63"/>
      <c r="E151" s="225">
        <f>(O152+P152+Q152+R152)/(O153+P153+Q153+R153)</f>
        <v>0.375</v>
      </c>
      <c r="F151" s="72"/>
      <c r="G151" s="133"/>
      <c r="H151" s="72"/>
      <c r="I151" s="67"/>
      <c r="J151" s="72"/>
      <c r="K151" s="68"/>
      <c r="L151" s="69"/>
      <c r="M151" s="63" t="s">
        <v>64</v>
      </c>
      <c r="N151" s="70"/>
      <c r="O151" s="71" t="s">
        <v>65</v>
      </c>
      <c r="P151" s="72"/>
      <c r="Q151" s="72"/>
      <c r="R151" s="70"/>
      <c r="S151" s="71" t="s">
        <v>66</v>
      </c>
      <c r="T151" s="70"/>
      <c r="U151" s="71" t="s">
        <v>67</v>
      </c>
      <c r="V151" s="70"/>
      <c r="W151" s="71" t="s">
        <v>68</v>
      </c>
      <c r="X151" s="70"/>
      <c r="Y151" s="134" t="s">
        <v>80</v>
      </c>
      <c r="Z151" s="74" t="s">
        <v>181</v>
      </c>
      <c r="AA151" s="75" t="s">
        <v>202</v>
      </c>
      <c r="AB151" s="75" t="s">
        <v>226</v>
      </c>
      <c r="AC151" s="202" t="s">
        <v>142</v>
      </c>
      <c r="AD151" s="74" t="s">
        <v>143</v>
      </c>
      <c r="AE151" s="63" t="s">
        <v>34</v>
      </c>
      <c r="AF151" s="78" t="s">
        <v>34</v>
      </c>
      <c r="AG151" s="79" t="s">
        <v>71</v>
      </c>
      <c r="AH151" s="79">
        <v>210.0</v>
      </c>
      <c r="AI151" s="79" t="s">
        <v>175</v>
      </c>
      <c r="AJ151" s="80" t="str">
        <f>AJ145</f>
        <v>開</v>
      </c>
      <c r="AK151" s="81" t="s">
        <v>42</v>
      </c>
      <c r="AL151" s="82" t="str">
        <f>AL145</f>
        <v>休</v>
      </c>
      <c r="AM151" s="81" t="s">
        <v>44</v>
      </c>
      <c r="AN151" s="82" t="s">
        <v>4</v>
      </c>
      <c r="AO151" s="81" t="s">
        <v>46</v>
      </c>
      <c r="AP151" s="82" t="str">
        <f>AP145</f>
        <v>傷</v>
      </c>
      <c r="AQ151" s="81" t="s">
        <v>48</v>
      </c>
      <c r="AR151" s="82" t="s">
        <v>8</v>
      </c>
      <c r="AS151" s="81" t="s">
        <v>50</v>
      </c>
      <c r="AT151" s="82" t="str">
        <f>AT145</f>
        <v>景</v>
      </c>
      <c r="AU151" s="81" t="s">
        <v>52</v>
      </c>
      <c r="AV151" s="82" t="str">
        <f>AV145</f>
        <v>死</v>
      </c>
      <c r="AW151" s="81" t="s">
        <v>38</v>
      </c>
      <c r="AX151" s="82" t="str">
        <f>AX145</f>
        <v>驚</v>
      </c>
      <c r="AY151" s="81" t="s">
        <v>40</v>
      </c>
      <c r="AZ151" s="83"/>
      <c r="BA151" s="84"/>
      <c r="BB151" s="84"/>
      <c r="BC151" s="84"/>
    </row>
    <row r="152">
      <c r="A152" s="192">
        <f>A146+1</f>
        <v>24</v>
      </c>
      <c r="B152" s="193"/>
      <c r="C152" s="12" t="s">
        <v>216</v>
      </c>
      <c r="E152" s="168" t="s">
        <v>79</v>
      </c>
      <c r="G152" s="137" t="str">
        <f t="shared" ref="G152:G153" si="189">G38:H38</f>
        <v>己</v>
      </c>
      <c r="I152" s="138" t="str">
        <f t="shared" ref="I152:I153" si="190">I38:J38</f>
        <v>乙</v>
      </c>
      <c r="K152" s="90">
        <f>L152/L153</f>
        <v>0.475</v>
      </c>
      <c r="L152" s="126">
        <f t="shared" ref="L152:L153" si="191">O152+P152+Q152+U152+V152+W152+X152+R152+M152+N152+S152+T152</f>
        <v>475</v>
      </c>
      <c r="M152" s="92">
        <v>0.0</v>
      </c>
      <c r="N152" s="93">
        <v>0.0</v>
      </c>
      <c r="O152" s="92">
        <v>50.0</v>
      </c>
      <c r="P152" s="92">
        <v>70.0</v>
      </c>
      <c r="Q152" s="92">
        <v>0.0</v>
      </c>
      <c r="R152" s="93">
        <v>30.0</v>
      </c>
      <c r="S152" s="92">
        <v>70.0</v>
      </c>
      <c r="T152" s="93">
        <v>70.0</v>
      </c>
      <c r="U152" s="92">
        <f t="shared" ref="U152:X152" si="188">U38</f>
        <v>50</v>
      </c>
      <c r="V152" s="93">
        <f t="shared" si="188"/>
        <v>90</v>
      </c>
      <c r="W152" s="92">
        <f t="shared" si="188"/>
        <v>35</v>
      </c>
      <c r="X152" s="93">
        <f t="shared" si="188"/>
        <v>10</v>
      </c>
      <c r="Y152" s="73" t="s">
        <v>98</v>
      </c>
      <c r="Z152" s="94" t="s">
        <v>163</v>
      </c>
      <c r="AA152" s="36"/>
      <c r="AB152" s="29" t="s">
        <v>227</v>
      </c>
      <c r="AC152" s="204" t="s">
        <v>82</v>
      </c>
      <c r="AD152" s="96" t="s">
        <v>83</v>
      </c>
      <c r="AE152" s="37"/>
      <c r="AF152" s="97"/>
      <c r="AG152" s="12" t="s">
        <v>53</v>
      </c>
      <c r="AH152" s="12">
        <v>30.0</v>
      </c>
      <c r="AI152" s="12" t="s">
        <v>178</v>
      </c>
      <c r="AJ152" s="98" t="s">
        <v>41</v>
      </c>
      <c r="AK152" s="103" t="s">
        <v>92</v>
      </c>
      <c r="AL152" s="100" t="s">
        <v>39</v>
      </c>
      <c r="AM152" s="99" t="s">
        <v>93</v>
      </c>
      <c r="AN152" s="100" t="s">
        <v>37</v>
      </c>
      <c r="AO152" s="99" t="s">
        <v>94</v>
      </c>
      <c r="AP152" s="100" t="s">
        <v>51</v>
      </c>
      <c r="AQ152" s="101" t="s">
        <v>95</v>
      </c>
      <c r="AR152" s="100" t="s">
        <v>86</v>
      </c>
      <c r="AS152" s="99" t="s">
        <v>87</v>
      </c>
      <c r="AT152" s="100" t="s">
        <v>88</v>
      </c>
      <c r="AU152" s="101" t="s">
        <v>89</v>
      </c>
      <c r="AV152" s="100" t="s">
        <v>45</v>
      </c>
      <c r="AW152" s="102" t="s">
        <v>90</v>
      </c>
      <c r="AX152" s="100" t="s">
        <v>43</v>
      </c>
      <c r="AY152" s="101" t="s">
        <v>91</v>
      </c>
      <c r="AZ152" s="24"/>
    </row>
    <row r="153">
      <c r="A153" s="215" t="str">
        <f>G2</f>
        <v>มกราคม</v>
      </c>
      <c r="B153" s="193"/>
      <c r="C153" s="140" t="s">
        <v>231</v>
      </c>
      <c r="E153" s="162" t="s">
        <v>206</v>
      </c>
      <c r="G153" s="180" t="str">
        <f t="shared" si="189"/>
        <v>丑</v>
      </c>
      <c r="I153" s="142" t="str">
        <f t="shared" si="190"/>
        <v>巳</v>
      </c>
      <c r="K153" s="36"/>
      <c r="L153" s="109">
        <f t="shared" si="191"/>
        <v>1000</v>
      </c>
      <c r="M153" s="9">
        <v>0.0</v>
      </c>
      <c r="N153" s="110">
        <v>0.0</v>
      </c>
      <c r="O153" s="9">
        <v>100.0</v>
      </c>
      <c r="P153" s="9">
        <v>100.0</v>
      </c>
      <c r="Q153" s="9">
        <v>100.0</v>
      </c>
      <c r="R153" s="110">
        <v>100.0</v>
      </c>
      <c r="S153" s="9">
        <v>100.0</v>
      </c>
      <c r="T153" s="110">
        <v>100.0</v>
      </c>
      <c r="U153" s="9">
        <v>100.0</v>
      </c>
      <c r="V153" s="110">
        <v>100.0</v>
      </c>
      <c r="W153" s="9">
        <v>100.0</v>
      </c>
      <c r="X153" s="110">
        <v>100.0</v>
      </c>
      <c r="Y153" s="73" t="s">
        <v>116</v>
      </c>
      <c r="Z153" s="94" t="s">
        <v>153</v>
      </c>
      <c r="AA153" s="36"/>
      <c r="AB153" s="36"/>
      <c r="AC153" s="111"/>
      <c r="AD153" s="112"/>
      <c r="AE153" s="37"/>
      <c r="AF153" s="97"/>
      <c r="AG153" s="14"/>
      <c r="AH153" s="14"/>
      <c r="AI153" s="14"/>
      <c r="AJ153" s="113"/>
      <c r="AK153" s="104" t="s">
        <v>104</v>
      </c>
      <c r="AM153" s="104" t="s">
        <v>105</v>
      </c>
      <c r="AO153" s="104" t="s">
        <v>106</v>
      </c>
      <c r="AQ153" s="105" t="s">
        <v>107</v>
      </c>
      <c r="AS153" s="104" t="s">
        <v>100</v>
      </c>
      <c r="AU153" s="114" t="s">
        <v>101</v>
      </c>
      <c r="AW153" s="105" t="s">
        <v>102</v>
      </c>
      <c r="AY153" s="105" t="s">
        <v>103</v>
      </c>
      <c r="AZ153" s="24"/>
    </row>
    <row r="154">
      <c r="A154" s="192">
        <v>2569.0</v>
      </c>
      <c r="B154" s="193"/>
      <c r="E154" s="115" t="s">
        <v>164</v>
      </c>
      <c r="F154" s="116" t="s">
        <v>80</v>
      </c>
      <c r="G154" s="115" t="str">
        <f t="shared" ref="G154:J154" si="192">G40</f>
        <v>A9</v>
      </c>
      <c r="H154" s="9" t="str">
        <f t="shared" si="192"/>
        <v>B8</v>
      </c>
      <c r="I154" s="9" t="str">
        <f t="shared" si="192"/>
        <v>A2</v>
      </c>
      <c r="J154" s="9" t="str">
        <f t="shared" si="192"/>
        <v>B12</v>
      </c>
      <c r="K154" s="36"/>
      <c r="L154" s="117"/>
      <c r="M154" s="118" t="str">
        <f t="shared" ref="M154:P154" si="193">C154</f>
        <v/>
      </c>
      <c r="N154" s="119" t="str">
        <f t="shared" si="193"/>
        <v/>
      </c>
      <c r="O154" s="118" t="str">
        <f t="shared" si="193"/>
        <v>A9</v>
      </c>
      <c r="P154" s="118" t="str">
        <f t="shared" si="193"/>
        <v>B1</v>
      </c>
      <c r="Q154" s="118" t="str">
        <f t="shared" ref="Q154:R154" si="194">E155</f>
        <v>B7</v>
      </c>
      <c r="R154" s="119" t="str">
        <f t="shared" si="194"/>
        <v>C10</v>
      </c>
      <c r="S154" s="9" t="s">
        <v>165</v>
      </c>
      <c r="T154" s="110" t="s">
        <v>165</v>
      </c>
      <c r="U154" s="9" t="str">
        <f t="shared" ref="U154:X154" si="195">G154</f>
        <v>A9</v>
      </c>
      <c r="V154" s="119" t="str">
        <f t="shared" si="195"/>
        <v>B8</v>
      </c>
      <c r="W154" s="118" t="str">
        <f t="shared" si="195"/>
        <v>A2</v>
      </c>
      <c r="X154" s="120" t="str">
        <f t="shared" si="195"/>
        <v>B12</v>
      </c>
      <c r="Y154" s="73" t="s">
        <v>126</v>
      </c>
      <c r="Z154" s="94" t="s">
        <v>155</v>
      </c>
      <c r="AA154" s="36"/>
      <c r="AB154" s="36"/>
      <c r="AC154" s="111"/>
      <c r="AD154" s="112"/>
      <c r="AE154" s="37"/>
      <c r="AF154" s="97"/>
      <c r="AG154" s="14"/>
      <c r="AH154" s="14"/>
      <c r="AI154" s="14"/>
      <c r="AJ154" s="113"/>
      <c r="AK154" s="104" t="s">
        <v>122</v>
      </c>
      <c r="AM154" s="104" t="s">
        <v>123</v>
      </c>
      <c r="AO154" s="104" t="s">
        <v>124</v>
      </c>
      <c r="AQ154" s="105" t="s">
        <v>125</v>
      </c>
      <c r="AS154" s="104" t="s">
        <v>118</v>
      </c>
      <c r="AU154" s="114" t="s">
        <v>119</v>
      </c>
      <c r="AW154" s="105" t="s">
        <v>120</v>
      </c>
      <c r="AY154" s="105" t="s">
        <v>121</v>
      </c>
      <c r="AZ154" s="24"/>
    </row>
    <row r="155">
      <c r="A155" s="192">
        <f>A154-543</f>
        <v>2026</v>
      </c>
      <c r="B155" s="193"/>
      <c r="E155" s="115" t="s">
        <v>111</v>
      </c>
      <c r="F155" s="116" t="s">
        <v>232</v>
      </c>
      <c r="G155" s="115"/>
      <c r="H155" s="118"/>
      <c r="I155" s="118"/>
      <c r="J155" s="118"/>
      <c r="K155" s="36"/>
      <c r="L155" s="117"/>
      <c r="N155" s="117"/>
      <c r="R155" s="117"/>
      <c r="T155" s="117"/>
      <c r="V155" s="117"/>
      <c r="X155" s="117"/>
      <c r="Y155" s="73" t="s">
        <v>69</v>
      </c>
      <c r="Z155" s="94" t="s">
        <v>128</v>
      </c>
      <c r="AA155" s="36"/>
      <c r="AB155" s="36"/>
      <c r="AC155" s="111"/>
      <c r="AD155" s="112"/>
      <c r="AE155" s="37"/>
      <c r="AF155" s="97"/>
      <c r="AG155" s="14"/>
      <c r="AH155" s="14"/>
      <c r="AI155" s="14"/>
      <c r="AJ155" s="113"/>
      <c r="AK155" s="104" t="s">
        <v>133</v>
      </c>
      <c r="AM155" s="104" t="s">
        <v>134</v>
      </c>
      <c r="AO155" s="104" t="s">
        <v>135</v>
      </c>
      <c r="AQ155" s="105" t="s">
        <v>136</v>
      </c>
      <c r="AS155" s="104" t="s">
        <v>129</v>
      </c>
      <c r="AU155" s="114" t="s">
        <v>130</v>
      </c>
      <c r="AW155" s="105" t="s">
        <v>131</v>
      </c>
      <c r="AY155" s="105" t="s">
        <v>132</v>
      </c>
      <c r="AZ155" s="24"/>
    </row>
    <row r="156">
      <c r="A156" s="113"/>
      <c r="B156" s="206"/>
      <c r="C156" s="1"/>
      <c r="D156" s="123"/>
      <c r="E156" s="164" t="s">
        <v>185</v>
      </c>
      <c r="F156" s="88"/>
      <c r="G156" s="207" t="str">
        <f>G5:H5</f>
        <v>อสูรเดือน E</v>
      </c>
      <c r="I156" s="208" t="str">
        <f>I5:J5</f>
        <v>อสูรปี E</v>
      </c>
      <c r="K156" s="36"/>
      <c r="L156" s="117"/>
      <c r="N156" s="117"/>
      <c r="R156" s="117"/>
      <c r="T156" s="117"/>
      <c r="V156" s="117"/>
      <c r="X156" s="117"/>
      <c r="Y156" s="127"/>
      <c r="Z156" s="155"/>
      <c r="AA156" s="36"/>
      <c r="AB156" s="36"/>
      <c r="AC156" s="111"/>
      <c r="AD156" s="112"/>
      <c r="AE156" s="37"/>
      <c r="AF156" s="97"/>
      <c r="AG156" s="14"/>
      <c r="AH156" s="14"/>
      <c r="AI156" s="14"/>
      <c r="AJ156" s="113"/>
      <c r="AY156" s="128"/>
      <c r="AZ156" s="24"/>
    </row>
    <row r="157">
      <c r="A157" s="188" t="s">
        <v>246</v>
      </c>
      <c r="B157" s="189"/>
      <c r="C157" s="63"/>
      <c r="D157" s="63"/>
      <c r="E157" s="225">
        <f>(O158+P158+Q158+R158)/(O159+P159+Q159+R159)</f>
        <v>0.7875</v>
      </c>
      <c r="F157" s="72"/>
      <c r="G157" s="133"/>
      <c r="H157" s="72"/>
      <c r="I157" s="67"/>
      <c r="J157" s="72"/>
      <c r="K157" s="68"/>
      <c r="L157" s="69"/>
      <c r="M157" s="63" t="s">
        <v>64</v>
      </c>
      <c r="N157" s="70"/>
      <c r="O157" s="71" t="s">
        <v>65</v>
      </c>
      <c r="P157" s="72"/>
      <c r="Q157" s="72"/>
      <c r="R157" s="70"/>
      <c r="S157" s="71" t="s">
        <v>66</v>
      </c>
      <c r="T157" s="70"/>
      <c r="U157" s="71" t="s">
        <v>67</v>
      </c>
      <c r="V157" s="70"/>
      <c r="W157" s="71" t="s">
        <v>68</v>
      </c>
      <c r="X157" s="70"/>
      <c r="Y157" s="134" t="s">
        <v>69</v>
      </c>
      <c r="Z157" s="74" t="s">
        <v>70</v>
      </c>
      <c r="AA157" s="75" t="s">
        <v>189</v>
      </c>
      <c r="AB157" s="75" t="s">
        <v>192</v>
      </c>
      <c r="AC157" s="202" t="s">
        <v>142</v>
      </c>
      <c r="AD157" s="74" t="s">
        <v>143</v>
      </c>
      <c r="AE157" s="63" t="s">
        <v>34</v>
      </c>
      <c r="AF157" s="78" t="s">
        <v>75</v>
      </c>
      <c r="AG157" s="79" t="s">
        <v>84</v>
      </c>
      <c r="AH157" s="79">
        <v>0.0</v>
      </c>
      <c r="AI157" s="79" t="s">
        <v>85</v>
      </c>
      <c r="AJ157" s="80" t="str">
        <f>AJ151</f>
        <v>開</v>
      </c>
      <c r="AK157" s="81" t="s">
        <v>52</v>
      </c>
      <c r="AL157" s="82" t="str">
        <f>AL151</f>
        <v>休</v>
      </c>
      <c r="AM157" s="81" t="s">
        <v>38</v>
      </c>
      <c r="AN157" s="82" t="s">
        <v>4</v>
      </c>
      <c r="AO157" s="81" t="s">
        <v>40</v>
      </c>
      <c r="AP157" s="82" t="str">
        <f>AP151</f>
        <v>傷</v>
      </c>
      <c r="AQ157" s="81" t="s">
        <v>42</v>
      </c>
      <c r="AR157" s="82" t="str">
        <f>AR151</f>
        <v>杜</v>
      </c>
      <c r="AS157" s="81" t="s">
        <v>44</v>
      </c>
      <c r="AT157" s="82" t="str">
        <f>AT151</f>
        <v>景</v>
      </c>
      <c r="AU157" s="81" t="s">
        <v>46</v>
      </c>
      <c r="AV157" s="82" t="str">
        <f>AV151</f>
        <v>死</v>
      </c>
      <c r="AW157" s="81" t="s">
        <v>48</v>
      </c>
      <c r="AX157" s="82" t="str">
        <f>AX151</f>
        <v>驚</v>
      </c>
      <c r="AY157" s="81" t="s">
        <v>50</v>
      </c>
      <c r="AZ157" s="83"/>
      <c r="BA157" s="84"/>
      <c r="BB157" s="84"/>
      <c r="BC157" s="84"/>
    </row>
    <row r="158">
      <c r="A158" s="192">
        <f>A152+1</f>
        <v>25</v>
      </c>
      <c r="B158" s="193"/>
      <c r="C158" s="12" t="s">
        <v>146</v>
      </c>
      <c r="E158" s="168" t="s">
        <v>30</v>
      </c>
      <c r="G158" s="137" t="str">
        <f t="shared" ref="G158:G159" si="197">G38:H38</f>
        <v>己</v>
      </c>
      <c r="I158" s="138" t="str">
        <f t="shared" ref="I158:I159" si="198">I38:J38</f>
        <v>乙</v>
      </c>
      <c r="K158" s="90">
        <f>L158/L159</f>
        <v>0.615</v>
      </c>
      <c r="L158" s="126">
        <f t="shared" ref="L158:L159" si="199">O158+P158+Q158+U158+V158+W158+X158+R158+M158+N158+S158+T158</f>
        <v>615</v>
      </c>
      <c r="M158" s="92">
        <v>0.0</v>
      </c>
      <c r="N158" s="93">
        <v>0.0</v>
      </c>
      <c r="O158" s="92">
        <v>65.0</v>
      </c>
      <c r="P158" s="92">
        <v>80.0</v>
      </c>
      <c r="Q158" s="92">
        <v>90.0</v>
      </c>
      <c r="R158" s="93">
        <v>80.0</v>
      </c>
      <c r="S158" s="92">
        <v>65.0</v>
      </c>
      <c r="T158" s="93">
        <v>50.0</v>
      </c>
      <c r="U158" s="92">
        <f t="shared" ref="U158:X158" si="196">U38</f>
        <v>50</v>
      </c>
      <c r="V158" s="93">
        <f t="shared" si="196"/>
        <v>90</v>
      </c>
      <c r="W158" s="92">
        <f t="shared" si="196"/>
        <v>35</v>
      </c>
      <c r="X158" s="93">
        <f t="shared" si="196"/>
        <v>10</v>
      </c>
      <c r="Y158" s="73" t="s">
        <v>80</v>
      </c>
      <c r="Z158" s="94" t="s">
        <v>81</v>
      </c>
      <c r="AA158" s="36"/>
      <c r="AB158" s="36"/>
      <c r="AC158" s="204" t="s">
        <v>82</v>
      </c>
      <c r="AD158" s="96" t="s">
        <v>83</v>
      </c>
      <c r="AE158" s="37"/>
      <c r="AF158" s="97"/>
      <c r="AG158" s="12" t="s">
        <v>76</v>
      </c>
      <c r="AH158" s="12">
        <v>240.0</v>
      </c>
      <c r="AI158" s="12" t="s">
        <v>77</v>
      </c>
      <c r="AJ158" s="98" t="s">
        <v>45</v>
      </c>
      <c r="AK158" s="102" t="s">
        <v>90</v>
      </c>
      <c r="AL158" s="100" t="s">
        <v>43</v>
      </c>
      <c r="AM158" s="101" t="s">
        <v>91</v>
      </c>
      <c r="AN158" s="100" t="s">
        <v>41</v>
      </c>
      <c r="AO158" s="103" t="s">
        <v>92</v>
      </c>
      <c r="AP158" s="100" t="s">
        <v>39</v>
      </c>
      <c r="AQ158" s="99" t="s">
        <v>93</v>
      </c>
      <c r="AR158" s="100" t="s">
        <v>37</v>
      </c>
      <c r="AS158" s="99" t="s">
        <v>94</v>
      </c>
      <c r="AT158" s="100" t="s">
        <v>51</v>
      </c>
      <c r="AU158" s="101" t="s">
        <v>95</v>
      </c>
      <c r="AV158" s="100" t="s">
        <v>86</v>
      </c>
      <c r="AW158" s="99" t="s">
        <v>87</v>
      </c>
      <c r="AX158" s="100" t="s">
        <v>88</v>
      </c>
      <c r="AY158" s="101" t="s">
        <v>89</v>
      </c>
      <c r="AZ158" s="24"/>
    </row>
    <row r="159">
      <c r="A159" s="215" t="str">
        <f>G2</f>
        <v>มกราคม</v>
      </c>
      <c r="B159" s="193"/>
      <c r="C159" s="140" t="s">
        <v>235</v>
      </c>
      <c r="E159" s="107" t="s">
        <v>97</v>
      </c>
      <c r="G159" s="180" t="str">
        <f t="shared" si="197"/>
        <v>丑</v>
      </c>
      <c r="I159" s="142" t="str">
        <f t="shared" si="198"/>
        <v>巳</v>
      </c>
      <c r="K159" s="36"/>
      <c r="L159" s="109">
        <f t="shared" si="199"/>
        <v>1000</v>
      </c>
      <c r="M159" s="9">
        <v>0.0</v>
      </c>
      <c r="N159" s="110">
        <v>0.0</v>
      </c>
      <c r="O159" s="9">
        <v>100.0</v>
      </c>
      <c r="P159" s="9">
        <v>100.0</v>
      </c>
      <c r="Q159" s="9">
        <v>100.0</v>
      </c>
      <c r="R159" s="110">
        <v>100.0</v>
      </c>
      <c r="S159" s="9">
        <v>100.0</v>
      </c>
      <c r="T159" s="110">
        <v>100.0</v>
      </c>
      <c r="U159" s="9">
        <v>100.0</v>
      </c>
      <c r="V159" s="110">
        <v>100.0</v>
      </c>
      <c r="W159" s="9">
        <v>100.0</v>
      </c>
      <c r="X159" s="110">
        <v>100.0</v>
      </c>
      <c r="Y159" s="73" t="s">
        <v>98</v>
      </c>
      <c r="Z159" s="94" t="s">
        <v>99</v>
      </c>
      <c r="AA159" s="36"/>
      <c r="AB159" s="36"/>
      <c r="AC159" s="111"/>
      <c r="AD159" s="112"/>
      <c r="AE159" s="37"/>
      <c r="AF159" s="97"/>
      <c r="AG159" s="14"/>
      <c r="AH159" s="14"/>
      <c r="AI159" s="14"/>
      <c r="AJ159" s="113"/>
      <c r="AK159" s="105" t="s">
        <v>102</v>
      </c>
      <c r="AM159" s="105" t="s">
        <v>103</v>
      </c>
      <c r="AO159" s="104" t="s">
        <v>104</v>
      </c>
      <c r="AQ159" s="104" t="s">
        <v>105</v>
      </c>
      <c r="AS159" s="104" t="s">
        <v>106</v>
      </c>
      <c r="AU159" s="105" t="s">
        <v>107</v>
      </c>
      <c r="AW159" s="104" t="s">
        <v>100</v>
      </c>
      <c r="AY159" s="114" t="s">
        <v>101</v>
      </c>
      <c r="AZ159" s="24"/>
    </row>
    <row r="160">
      <c r="A160" s="192">
        <v>2569.0</v>
      </c>
      <c r="B160" s="193"/>
      <c r="E160" s="115" t="s">
        <v>110</v>
      </c>
      <c r="F160" s="116" t="s">
        <v>98</v>
      </c>
      <c r="G160" s="115" t="str">
        <f t="shared" ref="G160:J160" si="200">G40</f>
        <v>A9</v>
      </c>
      <c r="H160" s="9" t="str">
        <f t="shared" si="200"/>
        <v>B8</v>
      </c>
      <c r="I160" s="9" t="str">
        <f t="shared" si="200"/>
        <v>A2</v>
      </c>
      <c r="J160" s="9" t="str">
        <f t="shared" si="200"/>
        <v>B12</v>
      </c>
      <c r="K160" s="36"/>
      <c r="L160" s="117"/>
      <c r="M160" s="118" t="str">
        <f t="shared" ref="M160:P160" si="201">C160</f>
        <v/>
      </c>
      <c r="N160" s="119" t="str">
        <f t="shared" si="201"/>
        <v/>
      </c>
      <c r="O160" s="118" t="str">
        <f t="shared" si="201"/>
        <v>A11</v>
      </c>
      <c r="P160" s="118" t="str">
        <f t="shared" si="201"/>
        <v>B2</v>
      </c>
      <c r="Q160" s="118" t="str">
        <f t="shared" ref="Q160:R160" si="202">E161</f>
        <v>B6</v>
      </c>
      <c r="R160" s="119" t="str">
        <f t="shared" si="202"/>
        <v>C11</v>
      </c>
      <c r="S160" s="9" t="s">
        <v>110</v>
      </c>
      <c r="T160" s="110" t="s">
        <v>164</v>
      </c>
      <c r="U160" s="9" t="str">
        <f t="shared" ref="U160:X160" si="203">G160</f>
        <v>A9</v>
      </c>
      <c r="V160" s="119" t="str">
        <f t="shared" si="203"/>
        <v>B8</v>
      </c>
      <c r="W160" s="118" t="str">
        <f t="shared" si="203"/>
        <v>A2</v>
      </c>
      <c r="X160" s="120" t="str">
        <f t="shared" si="203"/>
        <v>B12</v>
      </c>
      <c r="Y160" s="73" t="s">
        <v>116</v>
      </c>
      <c r="Z160" s="94" t="s">
        <v>117</v>
      </c>
      <c r="AA160" s="36"/>
      <c r="AB160" s="36"/>
      <c r="AC160" s="111"/>
      <c r="AD160" s="112"/>
      <c r="AE160" s="37"/>
      <c r="AF160" s="97"/>
      <c r="AG160" s="14"/>
      <c r="AH160" s="14"/>
      <c r="AI160" s="14"/>
      <c r="AJ160" s="113"/>
      <c r="AK160" s="105" t="s">
        <v>120</v>
      </c>
      <c r="AM160" s="105" t="s">
        <v>121</v>
      </c>
      <c r="AO160" s="104" t="s">
        <v>122</v>
      </c>
      <c r="AQ160" s="104" t="s">
        <v>123</v>
      </c>
      <c r="AS160" s="104" t="s">
        <v>124</v>
      </c>
      <c r="AU160" s="105" t="s">
        <v>125</v>
      </c>
      <c r="AW160" s="104" t="s">
        <v>118</v>
      </c>
      <c r="AY160" s="114" t="s">
        <v>119</v>
      </c>
      <c r="AZ160" s="24"/>
    </row>
    <row r="161">
      <c r="A161" s="192">
        <f>A160-543</f>
        <v>2026</v>
      </c>
      <c r="B161" s="193"/>
      <c r="E161" s="115" t="s">
        <v>126</v>
      </c>
      <c r="F161" s="116" t="s">
        <v>236</v>
      </c>
      <c r="G161" s="115"/>
      <c r="H161" s="118"/>
      <c r="I161" s="118"/>
      <c r="J161" s="118"/>
      <c r="K161" s="36"/>
      <c r="L161" s="117"/>
      <c r="N161" s="117"/>
      <c r="R161" s="117"/>
      <c r="T161" s="117"/>
      <c r="V161" s="117"/>
      <c r="X161" s="117"/>
      <c r="Y161" s="73" t="s">
        <v>126</v>
      </c>
      <c r="Z161" s="94" t="s">
        <v>128</v>
      </c>
      <c r="AA161" s="36"/>
      <c r="AB161" s="36"/>
      <c r="AC161" s="111"/>
      <c r="AD161" s="112"/>
      <c r="AE161" s="37"/>
      <c r="AF161" s="97"/>
      <c r="AG161" s="14"/>
      <c r="AH161" s="14"/>
      <c r="AI161" s="14"/>
      <c r="AJ161" s="113"/>
      <c r="AK161" s="105" t="s">
        <v>131</v>
      </c>
      <c r="AM161" s="105" t="s">
        <v>132</v>
      </c>
      <c r="AO161" s="104" t="s">
        <v>133</v>
      </c>
      <c r="AQ161" s="104" t="s">
        <v>134</v>
      </c>
      <c r="AS161" s="104" t="s">
        <v>135</v>
      </c>
      <c r="AU161" s="105" t="s">
        <v>136</v>
      </c>
      <c r="AW161" s="104" t="s">
        <v>129</v>
      </c>
      <c r="AY161" s="114" t="s">
        <v>130</v>
      </c>
      <c r="AZ161" s="24"/>
    </row>
    <row r="162">
      <c r="A162" s="217" t="s">
        <v>237</v>
      </c>
      <c r="B162" s="206"/>
      <c r="C162" s="1"/>
      <c r="D162" s="123"/>
      <c r="E162" s="176" t="s">
        <v>137</v>
      </c>
      <c r="F162" s="88"/>
      <c r="G162" s="207" t="str">
        <f>G5:H5</f>
        <v>อสูรเดือน E</v>
      </c>
      <c r="I162" s="208" t="str">
        <f>I5:J5</f>
        <v>อสูรปี E</v>
      </c>
      <c r="K162" s="36"/>
      <c r="L162" s="117"/>
      <c r="N162" s="117"/>
      <c r="R162" s="117"/>
      <c r="T162" s="117"/>
      <c r="V162" s="117"/>
      <c r="X162" s="117"/>
      <c r="Y162" s="127"/>
      <c r="Z162" s="155"/>
      <c r="AA162" s="36"/>
      <c r="AB162" s="36"/>
      <c r="AC162" s="111"/>
      <c r="AD162" s="112"/>
      <c r="AE162" s="37"/>
      <c r="AF162" s="97"/>
      <c r="AG162" s="14"/>
      <c r="AH162" s="14"/>
      <c r="AI162" s="14"/>
      <c r="AJ162" s="113"/>
      <c r="AK162" s="128"/>
      <c r="AZ162" s="24"/>
    </row>
    <row r="163">
      <c r="A163" s="188" t="s">
        <v>186</v>
      </c>
      <c r="B163" s="189"/>
      <c r="C163" s="63"/>
      <c r="D163" s="63"/>
      <c r="E163" s="225">
        <f>(O164+P164+Q164+R164)/(O165+P165+Q165+R165)</f>
        <v>0.3875</v>
      </c>
      <c r="F163" s="72"/>
      <c r="G163" s="133"/>
      <c r="H163" s="72"/>
      <c r="I163" s="67"/>
      <c r="J163" s="72"/>
      <c r="K163" s="68"/>
      <c r="L163" s="69"/>
      <c r="M163" s="63" t="s">
        <v>64</v>
      </c>
      <c r="N163" s="70"/>
      <c r="O163" s="71" t="s">
        <v>65</v>
      </c>
      <c r="P163" s="72"/>
      <c r="Q163" s="72"/>
      <c r="R163" s="70"/>
      <c r="S163" s="71" t="s">
        <v>66</v>
      </c>
      <c r="T163" s="70"/>
      <c r="U163" s="71" t="s">
        <v>67</v>
      </c>
      <c r="V163" s="70"/>
      <c r="W163" s="71" t="s">
        <v>68</v>
      </c>
      <c r="X163" s="70"/>
      <c r="Y163" s="134" t="s">
        <v>116</v>
      </c>
      <c r="Z163" s="74" t="s">
        <v>140</v>
      </c>
      <c r="AA163" s="75" t="s">
        <v>53</v>
      </c>
      <c r="AB163" s="75" t="s">
        <v>245</v>
      </c>
      <c r="AC163" s="167" t="s">
        <v>173</v>
      </c>
      <c r="AD163" s="74" t="s">
        <v>174</v>
      </c>
      <c r="AE163" s="63" t="s">
        <v>36</v>
      </c>
      <c r="AF163" s="78" t="s">
        <v>144</v>
      </c>
      <c r="AG163" s="79" t="s">
        <v>53</v>
      </c>
      <c r="AH163" s="79">
        <v>30.0</v>
      </c>
      <c r="AI163" s="79" t="s">
        <v>178</v>
      </c>
      <c r="AJ163" s="80" t="str">
        <f>AJ157</f>
        <v>開</v>
      </c>
      <c r="AK163" s="81" t="s">
        <v>48</v>
      </c>
      <c r="AL163" s="82" t="str">
        <f>AL157</f>
        <v>休</v>
      </c>
      <c r="AM163" s="81" t="s">
        <v>50</v>
      </c>
      <c r="AN163" s="82" t="s">
        <v>4</v>
      </c>
      <c r="AO163" s="81" t="s">
        <v>52</v>
      </c>
      <c r="AP163" s="82" t="str">
        <f>AP157</f>
        <v>傷</v>
      </c>
      <c r="AQ163" s="81" t="s">
        <v>38</v>
      </c>
      <c r="AR163" s="82" t="s">
        <v>8</v>
      </c>
      <c r="AS163" s="81" t="s">
        <v>40</v>
      </c>
      <c r="AT163" s="82" t="str">
        <f>AT157</f>
        <v>景</v>
      </c>
      <c r="AU163" s="81" t="s">
        <v>42</v>
      </c>
      <c r="AV163" s="82" t="str">
        <f>AV157</f>
        <v>死</v>
      </c>
      <c r="AW163" s="81" t="s">
        <v>44</v>
      </c>
      <c r="AX163" s="82" t="str">
        <f>AX157</f>
        <v>驚</v>
      </c>
      <c r="AY163" s="81" t="s">
        <v>46</v>
      </c>
      <c r="AZ163" s="83"/>
      <c r="BA163" s="84"/>
      <c r="BB163" s="84"/>
      <c r="BC163" s="84"/>
    </row>
    <row r="164">
      <c r="A164" s="192">
        <f>A158+1</f>
        <v>26</v>
      </c>
      <c r="B164" s="193"/>
      <c r="C164" s="12" t="s">
        <v>78</v>
      </c>
      <c r="E164" s="194" t="s">
        <v>195</v>
      </c>
      <c r="G164" s="137" t="str">
        <f t="shared" ref="G164:G165" si="205">G38:H38</f>
        <v>己</v>
      </c>
      <c r="I164" s="138" t="str">
        <f t="shared" ref="I164:I165" si="206">I38:J38</f>
        <v>乙</v>
      </c>
      <c r="K164" s="90">
        <f>L164/L165</f>
        <v>0.395</v>
      </c>
      <c r="L164" s="126">
        <f>O164+P164+Q164+U164+V164+W164+X164+R164+M164+N164+S164+T164</f>
        <v>395</v>
      </c>
      <c r="M164" s="92">
        <v>0.0</v>
      </c>
      <c r="N164" s="93">
        <v>0.0</v>
      </c>
      <c r="O164" s="92">
        <v>5.0</v>
      </c>
      <c r="P164" s="92">
        <v>20.0</v>
      </c>
      <c r="Q164" s="92">
        <v>100.0</v>
      </c>
      <c r="R164" s="93">
        <v>30.0</v>
      </c>
      <c r="S164" s="92">
        <v>0.0</v>
      </c>
      <c r="T164" s="93">
        <v>55.0</v>
      </c>
      <c r="U164" s="92">
        <f t="shared" ref="U164:X164" si="204">U38</f>
        <v>50</v>
      </c>
      <c r="V164" s="93">
        <f t="shared" si="204"/>
        <v>90</v>
      </c>
      <c r="W164" s="92">
        <f t="shared" si="204"/>
        <v>35</v>
      </c>
      <c r="X164" s="93">
        <f t="shared" si="204"/>
        <v>10</v>
      </c>
      <c r="Y164" s="73" t="s">
        <v>126</v>
      </c>
      <c r="Z164" s="94" t="s">
        <v>70</v>
      </c>
      <c r="AA164" s="36"/>
      <c r="AB164" s="36"/>
      <c r="AC164" s="170" t="s">
        <v>73</v>
      </c>
      <c r="AD164" s="94" t="s">
        <v>74</v>
      </c>
      <c r="AE164" s="37"/>
      <c r="AF164" s="97"/>
      <c r="AG164" s="12" t="s">
        <v>71</v>
      </c>
      <c r="AH164" s="12">
        <v>210.0</v>
      </c>
      <c r="AI164" s="12" t="s">
        <v>175</v>
      </c>
      <c r="AJ164" s="98" t="s">
        <v>37</v>
      </c>
      <c r="AK164" s="99" t="s">
        <v>94</v>
      </c>
      <c r="AL164" s="100" t="s">
        <v>51</v>
      </c>
      <c r="AM164" s="101" t="s">
        <v>95</v>
      </c>
      <c r="AN164" s="100" t="s">
        <v>86</v>
      </c>
      <c r="AO164" s="99" t="s">
        <v>87</v>
      </c>
      <c r="AP164" s="100" t="s">
        <v>88</v>
      </c>
      <c r="AQ164" s="101" t="s">
        <v>89</v>
      </c>
      <c r="AR164" s="100" t="s">
        <v>45</v>
      </c>
      <c r="AS164" s="102" t="s">
        <v>90</v>
      </c>
      <c r="AT164" s="100" t="s">
        <v>43</v>
      </c>
      <c r="AU164" s="101" t="s">
        <v>91</v>
      </c>
      <c r="AV164" s="100" t="s">
        <v>41</v>
      </c>
      <c r="AW164" s="103" t="s">
        <v>92</v>
      </c>
      <c r="AX164" s="100" t="s">
        <v>39</v>
      </c>
      <c r="AY164" s="99" t="s">
        <v>93</v>
      </c>
      <c r="AZ164" s="24"/>
    </row>
    <row r="165">
      <c r="A165" s="215" t="str">
        <f>G2</f>
        <v>มกราคม</v>
      </c>
      <c r="B165" s="193"/>
      <c r="C165" s="140" t="s">
        <v>239</v>
      </c>
      <c r="E165" s="107" t="s">
        <v>84</v>
      </c>
      <c r="G165" s="180" t="str">
        <f t="shared" si="205"/>
        <v>丑</v>
      </c>
      <c r="I165" s="142" t="str">
        <f t="shared" si="206"/>
        <v>巳</v>
      </c>
      <c r="K165" s="36"/>
      <c r="L165" s="109">
        <f>O165+P165+Q165+U165+V165+W165+X165+R165+M165+N165+S165+V165</f>
        <v>1000</v>
      </c>
      <c r="M165" s="9">
        <v>0.0</v>
      </c>
      <c r="N165" s="110">
        <v>0.0</v>
      </c>
      <c r="O165" s="9">
        <v>100.0</v>
      </c>
      <c r="P165" s="9">
        <v>100.0</v>
      </c>
      <c r="Q165" s="9">
        <v>100.0</v>
      </c>
      <c r="R165" s="110">
        <v>100.0</v>
      </c>
      <c r="S165" s="9">
        <v>100.0</v>
      </c>
      <c r="T165" s="110">
        <v>100.0</v>
      </c>
      <c r="U165" s="9">
        <v>100.0</v>
      </c>
      <c r="V165" s="110">
        <v>100.0</v>
      </c>
      <c r="W165" s="9">
        <v>100.0</v>
      </c>
      <c r="X165" s="110">
        <v>100.0</v>
      </c>
      <c r="Y165" s="73" t="s">
        <v>69</v>
      </c>
      <c r="Z165" s="94" t="s">
        <v>152</v>
      </c>
      <c r="AA165" s="36"/>
      <c r="AB165" s="36"/>
      <c r="AC165" s="111"/>
      <c r="AD165" s="112"/>
      <c r="AE165" s="37"/>
      <c r="AF165" s="97"/>
      <c r="AG165" s="14"/>
      <c r="AH165" s="14"/>
      <c r="AI165" s="14"/>
      <c r="AJ165" s="113"/>
      <c r="AK165" s="104" t="s">
        <v>106</v>
      </c>
      <c r="AM165" s="105" t="s">
        <v>107</v>
      </c>
      <c r="AO165" s="104" t="s">
        <v>100</v>
      </c>
      <c r="AQ165" s="114" t="s">
        <v>101</v>
      </c>
      <c r="AS165" s="105" t="s">
        <v>102</v>
      </c>
      <c r="AU165" s="105" t="s">
        <v>103</v>
      </c>
      <c r="AW165" s="104" t="s">
        <v>104</v>
      </c>
      <c r="AY165" s="104" t="s">
        <v>105</v>
      </c>
      <c r="AZ165" s="24"/>
    </row>
    <row r="166">
      <c r="A166" s="192">
        <v>2569.0</v>
      </c>
      <c r="B166" s="193"/>
      <c r="E166" s="115" t="s">
        <v>108</v>
      </c>
      <c r="F166" s="116" t="s">
        <v>183</v>
      </c>
      <c r="G166" s="115" t="str">
        <f t="shared" ref="G166:J166" si="207">G40</f>
        <v>A9</v>
      </c>
      <c r="H166" s="9" t="str">
        <f t="shared" si="207"/>
        <v>B8</v>
      </c>
      <c r="I166" s="9" t="str">
        <f t="shared" si="207"/>
        <v>A2</v>
      </c>
      <c r="J166" s="9" t="str">
        <f t="shared" si="207"/>
        <v>B12</v>
      </c>
      <c r="K166" s="36"/>
      <c r="L166" s="117"/>
      <c r="M166" s="118" t="str">
        <f t="shared" ref="M166:P166" si="208">C166</f>
        <v/>
      </c>
      <c r="N166" s="119" t="str">
        <f t="shared" si="208"/>
        <v/>
      </c>
      <c r="O166" s="118" t="str">
        <f t="shared" si="208"/>
        <v>A8</v>
      </c>
      <c r="P166" s="118" t="str">
        <f t="shared" si="208"/>
        <v>B3</v>
      </c>
      <c r="Q166" s="118" t="str">
        <f t="shared" ref="Q166:R166" si="209">E167</f>
        <v>B5</v>
      </c>
      <c r="R166" s="119" t="str">
        <f t="shared" si="209"/>
        <v>C12</v>
      </c>
      <c r="S166" s="9" t="s">
        <v>114</v>
      </c>
      <c r="T166" s="110" t="s">
        <v>164</v>
      </c>
      <c r="U166" s="9" t="str">
        <f t="shared" ref="U166:X166" si="210">G166</f>
        <v>A9</v>
      </c>
      <c r="V166" s="119" t="str">
        <f t="shared" si="210"/>
        <v>B8</v>
      </c>
      <c r="W166" s="118" t="str">
        <f t="shared" si="210"/>
        <v>A2</v>
      </c>
      <c r="X166" s="120" t="str">
        <f t="shared" si="210"/>
        <v>B12</v>
      </c>
      <c r="Y166" s="73" t="s">
        <v>80</v>
      </c>
      <c r="Z166" s="94" t="s">
        <v>153</v>
      </c>
      <c r="AA166" s="36"/>
      <c r="AB166" s="36"/>
      <c r="AC166" s="111"/>
      <c r="AD166" s="112"/>
      <c r="AE166" s="37"/>
      <c r="AF166" s="97"/>
      <c r="AG166" s="14"/>
      <c r="AH166" s="14"/>
      <c r="AI166" s="14"/>
      <c r="AJ166" s="113"/>
      <c r="AK166" s="104" t="s">
        <v>124</v>
      </c>
      <c r="AM166" s="105" t="s">
        <v>125</v>
      </c>
      <c r="AO166" s="104" t="s">
        <v>118</v>
      </c>
      <c r="AQ166" s="114" t="s">
        <v>119</v>
      </c>
      <c r="AS166" s="105" t="s">
        <v>120</v>
      </c>
      <c r="AU166" s="105" t="s">
        <v>121</v>
      </c>
      <c r="AW166" s="104" t="s">
        <v>122</v>
      </c>
      <c r="AY166" s="104" t="s">
        <v>123</v>
      </c>
      <c r="AZ166" s="24"/>
    </row>
    <row r="167">
      <c r="A167" s="192">
        <f>A166-543</f>
        <v>2026</v>
      </c>
      <c r="B167" s="193"/>
      <c r="C167" s="163" t="s">
        <v>166</v>
      </c>
      <c r="E167" s="115" t="s">
        <v>116</v>
      </c>
      <c r="F167" s="116" t="s">
        <v>127</v>
      </c>
      <c r="G167" s="115"/>
      <c r="H167" s="118"/>
      <c r="I167" s="118"/>
      <c r="J167" s="118"/>
      <c r="K167" s="36"/>
      <c r="L167" s="117"/>
      <c r="N167" s="117"/>
      <c r="R167" s="117"/>
      <c r="T167" s="117"/>
      <c r="V167" s="117"/>
      <c r="X167" s="117"/>
      <c r="Y167" s="73" t="s">
        <v>98</v>
      </c>
      <c r="Z167" s="94" t="s">
        <v>155</v>
      </c>
      <c r="AA167" s="36"/>
      <c r="AB167" s="36"/>
      <c r="AC167" s="111"/>
      <c r="AD167" s="112"/>
      <c r="AE167" s="37"/>
      <c r="AF167" s="97"/>
      <c r="AG167" s="14"/>
      <c r="AH167" s="14"/>
      <c r="AI167" s="14"/>
      <c r="AJ167" s="113"/>
      <c r="AK167" s="104" t="s">
        <v>135</v>
      </c>
      <c r="AM167" s="105" t="s">
        <v>136</v>
      </c>
      <c r="AO167" s="104" t="s">
        <v>129</v>
      </c>
      <c r="AQ167" s="114" t="s">
        <v>130</v>
      </c>
      <c r="AS167" s="105" t="s">
        <v>131</v>
      </c>
      <c r="AU167" s="105" t="s">
        <v>132</v>
      </c>
      <c r="AW167" s="104" t="s">
        <v>133</v>
      </c>
      <c r="AY167" s="104" t="s">
        <v>134</v>
      </c>
      <c r="AZ167" s="24"/>
    </row>
    <row r="168">
      <c r="A168" s="113"/>
      <c r="B168" s="206"/>
      <c r="C168" s="1"/>
      <c r="D168" s="123"/>
      <c r="E168" s="176" t="s">
        <v>157</v>
      </c>
      <c r="F168" s="88"/>
      <c r="G168" s="207" t="str">
        <f>G5:H5</f>
        <v>อสูรเดือน E</v>
      </c>
      <c r="I168" s="208" t="str">
        <f>I5:J5</f>
        <v>อสูรปี E</v>
      </c>
      <c r="K168" s="36"/>
      <c r="L168" s="117"/>
      <c r="N168" s="117"/>
      <c r="R168" s="117"/>
      <c r="T168" s="117"/>
      <c r="V168" s="117"/>
      <c r="X168" s="117"/>
      <c r="Y168" s="127"/>
      <c r="Z168" s="155"/>
      <c r="AA168" s="36"/>
      <c r="AB168" s="36"/>
      <c r="AC168" s="111"/>
      <c r="AD168" s="112"/>
      <c r="AE168" s="37"/>
      <c r="AF168" s="97"/>
      <c r="AG168" s="14"/>
      <c r="AH168" s="14"/>
      <c r="AI168" s="14"/>
      <c r="AJ168" s="113"/>
      <c r="AU168" s="128"/>
      <c r="AZ168" s="24"/>
    </row>
    <row r="169">
      <c r="A169" s="188" t="s">
        <v>191</v>
      </c>
      <c r="B169" s="189"/>
      <c r="C169" s="63"/>
      <c r="D169" s="63"/>
      <c r="E169" s="225">
        <f>(O170+P170+Q170+R170)/(O171+P171+Q171+R171)</f>
        <v>0.45</v>
      </c>
      <c r="F169" s="72"/>
      <c r="G169" s="133"/>
      <c r="H169" s="72"/>
      <c r="I169" s="67"/>
      <c r="J169" s="72"/>
      <c r="K169" s="68"/>
      <c r="L169" s="69"/>
      <c r="M169" s="63" t="s">
        <v>64</v>
      </c>
      <c r="N169" s="70"/>
      <c r="O169" s="71" t="s">
        <v>65</v>
      </c>
      <c r="P169" s="72"/>
      <c r="Q169" s="72"/>
      <c r="R169" s="70"/>
      <c r="S169" s="71" t="s">
        <v>66</v>
      </c>
      <c r="T169" s="70"/>
      <c r="U169" s="71" t="s">
        <v>67</v>
      </c>
      <c r="V169" s="70"/>
      <c r="W169" s="71" t="s">
        <v>68</v>
      </c>
      <c r="X169" s="70"/>
      <c r="Y169" s="134" t="s">
        <v>116</v>
      </c>
      <c r="Z169" s="74" t="s">
        <v>159</v>
      </c>
      <c r="AA169" s="75" t="s">
        <v>171</v>
      </c>
      <c r="AB169" s="75" t="s">
        <v>172</v>
      </c>
      <c r="AC169" s="167" t="s">
        <v>173</v>
      </c>
      <c r="AD169" s="74" t="s">
        <v>174</v>
      </c>
      <c r="AE169" s="63" t="s">
        <v>36</v>
      </c>
      <c r="AF169" s="78" t="s">
        <v>36</v>
      </c>
      <c r="AG169" s="79" t="s">
        <v>180</v>
      </c>
      <c r="AH169" s="79">
        <v>60.0</v>
      </c>
      <c r="AI169" s="79" t="s">
        <v>200</v>
      </c>
      <c r="AJ169" s="80" t="str">
        <f>AJ163</f>
        <v>開</v>
      </c>
      <c r="AK169" s="81" t="s">
        <v>48</v>
      </c>
      <c r="AL169" s="82" t="str">
        <f>AL163</f>
        <v>休</v>
      </c>
      <c r="AM169" s="81" t="s">
        <v>50</v>
      </c>
      <c r="AN169" s="82" t="s">
        <v>4</v>
      </c>
      <c r="AO169" s="81" t="s">
        <v>52</v>
      </c>
      <c r="AP169" s="82" t="str">
        <f>AP163</f>
        <v>傷</v>
      </c>
      <c r="AQ169" s="81" t="s">
        <v>38</v>
      </c>
      <c r="AR169" s="82" t="s">
        <v>8</v>
      </c>
      <c r="AS169" s="81" t="s">
        <v>40</v>
      </c>
      <c r="AT169" s="82" t="str">
        <f>AT163</f>
        <v>景</v>
      </c>
      <c r="AU169" s="81" t="s">
        <v>42</v>
      </c>
      <c r="AV169" s="82" t="str">
        <f>AV163</f>
        <v>死</v>
      </c>
      <c r="AW169" s="81" t="s">
        <v>44</v>
      </c>
      <c r="AX169" s="82" t="str">
        <f>AX163</f>
        <v>驚</v>
      </c>
      <c r="AY169" s="81" t="s">
        <v>46</v>
      </c>
      <c r="AZ169" s="83"/>
      <c r="BA169" s="84"/>
      <c r="BB169" s="84"/>
      <c r="BC169" s="84"/>
    </row>
    <row r="170">
      <c r="A170" s="192">
        <f>A164+1</f>
        <v>27</v>
      </c>
      <c r="B170" s="193"/>
      <c r="C170" s="12" t="s">
        <v>194</v>
      </c>
      <c r="E170" s="199" t="s">
        <v>201</v>
      </c>
      <c r="G170" s="137" t="str">
        <f t="shared" ref="G170:G171" si="212">G38:H38</f>
        <v>己</v>
      </c>
      <c r="I170" s="138" t="str">
        <f t="shared" ref="I170:I171" si="213">I38:J38</f>
        <v>乙</v>
      </c>
      <c r="K170" s="90">
        <f>L170/L171</f>
        <v>0.485</v>
      </c>
      <c r="L170" s="126">
        <f t="shared" ref="L170:L171" si="214">O170+P170+Q170+U170+V170+W170+X170+R170+M170+N170+S170+T170</f>
        <v>485</v>
      </c>
      <c r="M170" s="92">
        <v>0.0</v>
      </c>
      <c r="N170" s="93">
        <v>0.0</v>
      </c>
      <c r="O170" s="92">
        <v>70.0</v>
      </c>
      <c r="P170" s="92">
        <v>30.0</v>
      </c>
      <c r="Q170" s="92">
        <v>30.0</v>
      </c>
      <c r="R170" s="93">
        <v>50.0</v>
      </c>
      <c r="S170" s="92">
        <v>50.0</v>
      </c>
      <c r="T170" s="93">
        <v>70.0</v>
      </c>
      <c r="U170" s="92">
        <f t="shared" ref="U170:X170" si="211">U38</f>
        <v>50</v>
      </c>
      <c r="V170" s="93">
        <f t="shared" si="211"/>
        <v>90</v>
      </c>
      <c r="W170" s="92">
        <f t="shared" si="211"/>
        <v>35</v>
      </c>
      <c r="X170" s="93">
        <f t="shared" si="211"/>
        <v>10</v>
      </c>
      <c r="Y170" s="73" t="s">
        <v>126</v>
      </c>
      <c r="Z170" s="94" t="s">
        <v>152</v>
      </c>
      <c r="AA170" s="36"/>
      <c r="AB170" s="169" t="s">
        <v>177</v>
      </c>
      <c r="AC170" s="170" t="s">
        <v>73</v>
      </c>
      <c r="AD170" s="94" t="s">
        <v>74</v>
      </c>
      <c r="AE170" s="37"/>
      <c r="AF170" s="97"/>
      <c r="AG170" s="12" t="s">
        <v>202</v>
      </c>
      <c r="AH170" s="12">
        <v>180.0</v>
      </c>
      <c r="AI170" s="12" t="s">
        <v>203</v>
      </c>
      <c r="AJ170" s="98" t="s">
        <v>43</v>
      </c>
      <c r="AK170" s="101" t="s">
        <v>91</v>
      </c>
      <c r="AL170" s="100" t="s">
        <v>41</v>
      </c>
      <c r="AM170" s="103" t="s">
        <v>92</v>
      </c>
      <c r="AN170" s="100" t="s">
        <v>39</v>
      </c>
      <c r="AO170" s="99" t="s">
        <v>93</v>
      </c>
      <c r="AP170" s="100" t="s">
        <v>37</v>
      </c>
      <c r="AQ170" s="99" t="s">
        <v>94</v>
      </c>
      <c r="AR170" s="100" t="s">
        <v>51</v>
      </c>
      <c r="AS170" s="101" t="s">
        <v>95</v>
      </c>
      <c r="AT170" s="100" t="s">
        <v>86</v>
      </c>
      <c r="AU170" s="99" t="s">
        <v>87</v>
      </c>
      <c r="AV170" s="100" t="s">
        <v>88</v>
      </c>
      <c r="AW170" s="101" t="s">
        <v>89</v>
      </c>
      <c r="AX170" s="100" t="s">
        <v>45</v>
      </c>
      <c r="AY170" s="102" t="s">
        <v>90</v>
      </c>
      <c r="AZ170" s="24"/>
    </row>
    <row r="171">
      <c r="A171" s="215" t="str">
        <f>G2</f>
        <v>มกราคม</v>
      </c>
      <c r="B171" s="193"/>
      <c r="C171" s="106" t="s">
        <v>96</v>
      </c>
      <c r="E171" s="162" t="s">
        <v>53</v>
      </c>
      <c r="G171" s="180" t="str">
        <f t="shared" si="212"/>
        <v>丑</v>
      </c>
      <c r="I171" s="35" t="str">
        <f t="shared" si="213"/>
        <v>巳</v>
      </c>
      <c r="K171" s="36"/>
      <c r="L171" s="109">
        <f t="shared" si="214"/>
        <v>1000</v>
      </c>
      <c r="M171" s="9">
        <v>0.0</v>
      </c>
      <c r="N171" s="110">
        <v>0.0</v>
      </c>
      <c r="O171" s="9">
        <v>100.0</v>
      </c>
      <c r="P171" s="9">
        <v>100.0</v>
      </c>
      <c r="Q171" s="9">
        <v>100.0</v>
      </c>
      <c r="R171" s="110">
        <v>100.0</v>
      </c>
      <c r="S171" s="9">
        <v>100.0</v>
      </c>
      <c r="T171" s="110">
        <v>100.0</v>
      </c>
      <c r="U171" s="9">
        <v>100.0</v>
      </c>
      <c r="V171" s="110">
        <v>100.0</v>
      </c>
      <c r="W171" s="9">
        <v>100.0</v>
      </c>
      <c r="X171" s="110">
        <v>100.0</v>
      </c>
      <c r="Y171" s="73" t="s">
        <v>69</v>
      </c>
      <c r="Z171" s="94" t="s">
        <v>163</v>
      </c>
      <c r="AA171" s="36"/>
      <c r="AB171" s="36"/>
      <c r="AC171" s="111"/>
      <c r="AD171" s="112"/>
      <c r="AE171" s="37"/>
      <c r="AF171" s="97"/>
      <c r="AG171" s="14"/>
      <c r="AH171" s="14"/>
      <c r="AI171" s="14"/>
      <c r="AJ171" s="113"/>
      <c r="AK171" s="105" t="s">
        <v>103</v>
      </c>
      <c r="AM171" s="104" t="s">
        <v>104</v>
      </c>
      <c r="AO171" s="104" t="s">
        <v>105</v>
      </c>
      <c r="AQ171" s="104" t="s">
        <v>106</v>
      </c>
      <c r="AS171" s="105" t="s">
        <v>107</v>
      </c>
      <c r="AU171" s="104" t="s">
        <v>100</v>
      </c>
      <c r="AW171" s="114" t="s">
        <v>101</v>
      </c>
      <c r="AY171" s="105" t="s">
        <v>102</v>
      </c>
      <c r="AZ171" s="24"/>
    </row>
    <row r="172">
      <c r="A172" s="192">
        <v>2569.0</v>
      </c>
      <c r="B172" s="193"/>
      <c r="E172" s="115" t="s">
        <v>165</v>
      </c>
      <c r="F172" s="116" t="s">
        <v>109</v>
      </c>
      <c r="G172" s="115" t="str">
        <f t="shared" ref="G172:J172" si="215">G40</f>
        <v>A9</v>
      </c>
      <c r="H172" s="9" t="str">
        <f t="shared" si="215"/>
        <v>B8</v>
      </c>
      <c r="I172" s="9" t="str">
        <f t="shared" si="215"/>
        <v>A2</v>
      </c>
      <c r="J172" s="9" t="str">
        <f t="shared" si="215"/>
        <v>B12</v>
      </c>
      <c r="K172" s="36"/>
      <c r="L172" s="117"/>
      <c r="M172" s="118" t="str">
        <f t="shared" ref="M172:P172" si="216">C172</f>
        <v/>
      </c>
      <c r="N172" s="119" t="str">
        <f t="shared" si="216"/>
        <v/>
      </c>
      <c r="O172" s="118" t="str">
        <f t="shared" si="216"/>
        <v>A12</v>
      </c>
      <c r="P172" s="118" t="str">
        <f t="shared" si="216"/>
        <v>B4</v>
      </c>
      <c r="Q172" s="118" t="str">
        <f t="shared" ref="Q172:R172" si="217">E173</f>
        <v>B4</v>
      </c>
      <c r="R172" s="119" t="str">
        <f t="shared" si="217"/>
        <v>C1</v>
      </c>
      <c r="S172" s="9" t="s">
        <v>164</v>
      </c>
      <c r="T172" s="110" t="s">
        <v>165</v>
      </c>
      <c r="U172" s="9" t="str">
        <f t="shared" ref="U172:X172" si="218">G172</f>
        <v>A9</v>
      </c>
      <c r="V172" s="119" t="str">
        <f t="shared" si="218"/>
        <v>B8</v>
      </c>
      <c r="W172" s="118" t="str">
        <f t="shared" si="218"/>
        <v>A2</v>
      </c>
      <c r="X172" s="120" t="str">
        <f t="shared" si="218"/>
        <v>B12</v>
      </c>
      <c r="Y172" s="73" t="s">
        <v>80</v>
      </c>
      <c r="Z172" s="94" t="s">
        <v>117</v>
      </c>
      <c r="AA172" s="36"/>
      <c r="AB172" s="36"/>
      <c r="AC172" s="111"/>
      <c r="AD172" s="112"/>
      <c r="AE172" s="37"/>
      <c r="AF172" s="97"/>
      <c r="AG172" s="14"/>
      <c r="AH172" s="14"/>
      <c r="AI172" s="14"/>
      <c r="AJ172" s="113"/>
      <c r="AK172" s="105" t="s">
        <v>121</v>
      </c>
      <c r="AM172" s="104" t="s">
        <v>122</v>
      </c>
      <c r="AO172" s="104" t="s">
        <v>123</v>
      </c>
      <c r="AQ172" s="104" t="s">
        <v>124</v>
      </c>
      <c r="AS172" s="105" t="s">
        <v>125</v>
      </c>
      <c r="AU172" s="104" t="s">
        <v>118</v>
      </c>
      <c r="AW172" s="114" t="s">
        <v>119</v>
      </c>
      <c r="AY172" s="105" t="s">
        <v>120</v>
      </c>
      <c r="AZ172" s="24"/>
    </row>
    <row r="173">
      <c r="A173" s="192">
        <f>A172-543</f>
        <v>2026</v>
      </c>
      <c r="B173" s="193"/>
      <c r="E173" s="115" t="s">
        <v>109</v>
      </c>
      <c r="F173" s="116" t="s">
        <v>154</v>
      </c>
      <c r="G173" s="115"/>
      <c r="H173" s="118"/>
      <c r="I173" s="118"/>
      <c r="J173" s="118"/>
      <c r="K173" s="36"/>
      <c r="L173" s="117"/>
      <c r="N173" s="117"/>
      <c r="R173" s="117"/>
      <c r="T173" s="117"/>
      <c r="V173" s="117"/>
      <c r="X173" s="117"/>
      <c r="Y173" s="73" t="s">
        <v>98</v>
      </c>
      <c r="Z173" s="94" t="s">
        <v>128</v>
      </c>
      <c r="AA173" s="36"/>
      <c r="AB173" s="36"/>
      <c r="AC173" s="111"/>
      <c r="AD173" s="112"/>
      <c r="AE173" s="37"/>
      <c r="AF173" s="97"/>
      <c r="AG173" s="14"/>
      <c r="AH173" s="14"/>
      <c r="AI173" s="14"/>
      <c r="AJ173" s="113"/>
      <c r="AK173" s="105" t="s">
        <v>132</v>
      </c>
      <c r="AM173" s="104" t="s">
        <v>133</v>
      </c>
      <c r="AO173" s="104" t="s">
        <v>134</v>
      </c>
      <c r="AQ173" s="104" t="s">
        <v>135</v>
      </c>
      <c r="AS173" s="105" t="s">
        <v>136</v>
      </c>
      <c r="AU173" s="104" t="s">
        <v>129</v>
      </c>
      <c r="AW173" s="114" t="s">
        <v>130</v>
      </c>
      <c r="AY173" s="105" t="s">
        <v>131</v>
      </c>
      <c r="AZ173" s="24"/>
    </row>
    <row r="174">
      <c r="A174" s="205"/>
      <c r="B174" s="206"/>
      <c r="C174" s="1"/>
      <c r="D174" s="123"/>
      <c r="E174" s="164" t="s">
        <v>168</v>
      </c>
      <c r="F174" s="88"/>
      <c r="G174" s="207" t="str">
        <f>G5:H5</f>
        <v>อสูรเดือน E</v>
      </c>
      <c r="I174" s="208" t="str">
        <f>I5:J5</f>
        <v>อสูรปี E</v>
      </c>
      <c r="K174" s="36"/>
      <c r="L174" s="117"/>
      <c r="N174" s="117"/>
      <c r="R174" s="117"/>
      <c r="T174" s="117"/>
      <c r="V174" s="117"/>
      <c r="X174" s="117"/>
      <c r="Y174" s="127"/>
      <c r="Z174" s="155"/>
      <c r="AA174" s="36"/>
      <c r="AB174" s="36"/>
      <c r="AC174" s="111"/>
      <c r="AD174" s="112"/>
      <c r="AE174" s="37"/>
      <c r="AF174" s="97"/>
      <c r="AG174" s="14"/>
      <c r="AH174" s="14"/>
      <c r="AI174" s="14"/>
      <c r="AJ174" s="113"/>
      <c r="AU174" s="128"/>
      <c r="AZ174" s="24"/>
    </row>
    <row r="175">
      <c r="A175" s="188" t="s">
        <v>199</v>
      </c>
      <c r="B175" s="189"/>
      <c r="C175" s="63"/>
      <c r="D175" s="63"/>
      <c r="E175" s="225">
        <f>(O176+P176+Q176+R176)/(O177+P177+Q177+R177)</f>
        <v>0.3375</v>
      </c>
      <c r="F175" s="72"/>
      <c r="G175" s="133"/>
      <c r="H175" s="72"/>
      <c r="I175" s="67"/>
      <c r="J175" s="72"/>
      <c r="K175" s="68"/>
      <c r="L175" s="69"/>
      <c r="M175" s="63" t="s">
        <v>64</v>
      </c>
      <c r="N175" s="70"/>
      <c r="O175" s="71" t="s">
        <v>65</v>
      </c>
      <c r="P175" s="72"/>
      <c r="Q175" s="72"/>
      <c r="R175" s="70"/>
      <c r="S175" s="71" t="s">
        <v>66</v>
      </c>
      <c r="T175" s="70"/>
      <c r="U175" s="71" t="s">
        <v>67</v>
      </c>
      <c r="V175" s="70"/>
      <c r="W175" s="71" t="s">
        <v>68</v>
      </c>
      <c r="X175" s="70"/>
      <c r="Y175" s="134" t="s">
        <v>80</v>
      </c>
      <c r="Z175" s="74" t="s">
        <v>170</v>
      </c>
      <c r="AA175" s="75" t="s">
        <v>202</v>
      </c>
      <c r="AB175" s="75" t="s">
        <v>226</v>
      </c>
      <c r="AC175" s="190" t="s">
        <v>173</v>
      </c>
      <c r="AD175" s="77" t="s">
        <v>193</v>
      </c>
      <c r="AE175" s="63" t="s">
        <v>144</v>
      </c>
      <c r="AF175" s="78" t="s">
        <v>34</v>
      </c>
      <c r="AG175" s="79" t="s">
        <v>189</v>
      </c>
      <c r="AH175" s="79">
        <v>90.0</v>
      </c>
      <c r="AI175" s="79" t="s">
        <v>208</v>
      </c>
      <c r="AJ175" s="80" t="str">
        <f>AJ169</f>
        <v>開</v>
      </c>
      <c r="AK175" s="81" t="s">
        <v>50</v>
      </c>
      <c r="AL175" s="82" t="str">
        <f>AL169</f>
        <v>休</v>
      </c>
      <c r="AM175" s="81" t="s">
        <v>52</v>
      </c>
      <c r="AN175" s="82" t="s">
        <v>4</v>
      </c>
      <c r="AO175" s="81" t="s">
        <v>38</v>
      </c>
      <c r="AP175" s="82" t="str">
        <f>AP169</f>
        <v>傷</v>
      </c>
      <c r="AQ175" s="81" t="s">
        <v>40</v>
      </c>
      <c r="AR175" s="82" t="s">
        <v>8</v>
      </c>
      <c r="AS175" s="81" t="s">
        <v>42</v>
      </c>
      <c r="AT175" s="82" t="str">
        <f>AT169</f>
        <v>景</v>
      </c>
      <c r="AU175" s="81" t="s">
        <v>44</v>
      </c>
      <c r="AV175" s="82" t="str">
        <f>AV169</f>
        <v>死</v>
      </c>
      <c r="AW175" s="81" t="s">
        <v>46</v>
      </c>
      <c r="AX175" s="82" t="str">
        <f>AX169</f>
        <v>驚</v>
      </c>
      <c r="AY175" s="81" t="s">
        <v>48</v>
      </c>
      <c r="AZ175" s="83"/>
      <c r="BA175" s="84"/>
      <c r="BB175" s="84"/>
      <c r="BC175" s="84"/>
    </row>
    <row r="176">
      <c r="A176" s="192">
        <f>A170+1</f>
        <v>28</v>
      </c>
      <c r="B176" s="193"/>
      <c r="C176" s="12" t="s">
        <v>187</v>
      </c>
      <c r="E176" s="203" t="s">
        <v>209</v>
      </c>
      <c r="G176" s="137" t="str">
        <f t="shared" ref="G176:G177" si="220">G38:H38</f>
        <v>己</v>
      </c>
      <c r="I176" s="138" t="str">
        <f t="shared" ref="I176:I177" si="221">I38:J38</f>
        <v>乙</v>
      </c>
      <c r="K176" s="90">
        <f>L176/L177</f>
        <v>0.35</v>
      </c>
      <c r="L176" s="126">
        <f t="shared" ref="L176:L177" si="222">O176+P176+Q176+U176+V176+W176+X176+R176+M176+N176+S176+T176</f>
        <v>350</v>
      </c>
      <c r="M176" s="92">
        <v>0.0</v>
      </c>
      <c r="N176" s="93">
        <v>0.0</v>
      </c>
      <c r="O176" s="92">
        <v>15.0</v>
      </c>
      <c r="P176" s="92">
        <v>70.0</v>
      </c>
      <c r="Q176" s="92">
        <v>20.0</v>
      </c>
      <c r="R176" s="93">
        <v>30.0</v>
      </c>
      <c r="S176" s="92">
        <v>5.0</v>
      </c>
      <c r="T176" s="93">
        <v>25.0</v>
      </c>
      <c r="U176" s="92">
        <f t="shared" ref="U176:X176" si="219">U38</f>
        <v>50</v>
      </c>
      <c r="V176" s="93">
        <f t="shared" si="219"/>
        <v>90</v>
      </c>
      <c r="W176" s="92">
        <f t="shared" si="219"/>
        <v>35</v>
      </c>
      <c r="X176" s="93">
        <f t="shared" si="219"/>
        <v>10</v>
      </c>
      <c r="Y176" s="73" t="s">
        <v>98</v>
      </c>
      <c r="Z176" s="94" t="s">
        <v>70</v>
      </c>
      <c r="AA176" s="36"/>
      <c r="AB176" s="29" t="s">
        <v>227</v>
      </c>
      <c r="AC176" s="195" t="s">
        <v>196</v>
      </c>
      <c r="AD176" s="96" t="s">
        <v>149</v>
      </c>
      <c r="AE176" s="37"/>
      <c r="AF176" s="97"/>
      <c r="AG176" s="12" t="s">
        <v>54</v>
      </c>
      <c r="AH176" s="12">
        <v>150.0</v>
      </c>
      <c r="AI176" s="12" t="s">
        <v>210</v>
      </c>
      <c r="AJ176" s="98" t="s">
        <v>43</v>
      </c>
      <c r="AK176" s="101" t="s">
        <v>91</v>
      </c>
      <c r="AL176" s="100" t="s">
        <v>41</v>
      </c>
      <c r="AM176" s="103" t="s">
        <v>92</v>
      </c>
      <c r="AN176" s="100" t="s">
        <v>39</v>
      </c>
      <c r="AO176" s="99" t="s">
        <v>93</v>
      </c>
      <c r="AP176" s="100" t="s">
        <v>37</v>
      </c>
      <c r="AQ176" s="99" t="s">
        <v>94</v>
      </c>
      <c r="AR176" s="100" t="s">
        <v>51</v>
      </c>
      <c r="AS176" s="101" t="s">
        <v>95</v>
      </c>
      <c r="AT176" s="100" t="s">
        <v>86</v>
      </c>
      <c r="AU176" s="99" t="s">
        <v>87</v>
      </c>
      <c r="AV176" s="100" t="s">
        <v>88</v>
      </c>
      <c r="AW176" s="101" t="s">
        <v>89</v>
      </c>
      <c r="AX176" s="100" t="s">
        <v>45</v>
      </c>
      <c r="AY176" s="102" t="s">
        <v>90</v>
      </c>
      <c r="AZ176" s="24"/>
    </row>
    <row r="177">
      <c r="A177" s="215" t="str">
        <f>G2</f>
        <v>มกราคม</v>
      </c>
      <c r="B177" s="193"/>
      <c r="C177" s="140" t="s">
        <v>151</v>
      </c>
      <c r="E177" s="218" t="s">
        <v>180</v>
      </c>
      <c r="G177" s="180" t="str">
        <f t="shared" si="220"/>
        <v>丑</v>
      </c>
      <c r="I177" s="142" t="str">
        <f t="shared" si="221"/>
        <v>巳</v>
      </c>
      <c r="K177" s="36"/>
      <c r="L177" s="109">
        <f t="shared" si="222"/>
        <v>1000</v>
      </c>
      <c r="M177" s="9">
        <v>0.0</v>
      </c>
      <c r="N177" s="110">
        <v>0.0</v>
      </c>
      <c r="O177" s="9">
        <v>100.0</v>
      </c>
      <c r="P177" s="9">
        <v>100.0</v>
      </c>
      <c r="Q177" s="9">
        <v>100.0</v>
      </c>
      <c r="R177" s="110">
        <v>100.0</v>
      </c>
      <c r="S177" s="9">
        <v>100.0</v>
      </c>
      <c r="T177" s="110">
        <v>100.0</v>
      </c>
      <c r="U177" s="9">
        <v>100.0</v>
      </c>
      <c r="V177" s="110">
        <v>100.0</v>
      </c>
      <c r="W177" s="9">
        <v>100.0</v>
      </c>
      <c r="X177" s="110">
        <v>100.0</v>
      </c>
      <c r="Y177" s="73" t="s">
        <v>116</v>
      </c>
      <c r="Z177" s="94" t="s">
        <v>181</v>
      </c>
      <c r="AA177" s="36"/>
      <c r="AB177" s="36"/>
      <c r="AC177" s="111"/>
      <c r="AD177" s="112"/>
      <c r="AE177" s="37"/>
      <c r="AF177" s="97"/>
      <c r="AG177" s="14"/>
      <c r="AH177" s="14"/>
      <c r="AI177" s="14"/>
      <c r="AJ177" s="113"/>
      <c r="AK177" s="105" t="s">
        <v>103</v>
      </c>
      <c r="AM177" s="104" t="s">
        <v>104</v>
      </c>
      <c r="AO177" s="104" t="s">
        <v>105</v>
      </c>
      <c r="AQ177" s="104" t="s">
        <v>106</v>
      </c>
      <c r="AS177" s="105" t="s">
        <v>107</v>
      </c>
      <c r="AU177" s="104" t="s">
        <v>100</v>
      </c>
      <c r="AW177" s="114" t="s">
        <v>101</v>
      </c>
      <c r="AY177" s="105" t="s">
        <v>102</v>
      </c>
      <c r="AZ177" s="24"/>
    </row>
    <row r="178">
      <c r="A178" s="192">
        <v>2569.0</v>
      </c>
      <c r="B178" s="193"/>
      <c r="E178" s="115" t="s">
        <v>115</v>
      </c>
      <c r="F178" s="116" t="s">
        <v>116</v>
      </c>
      <c r="G178" s="115" t="str">
        <f t="shared" ref="G178:J178" si="223">G40</f>
        <v>A9</v>
      </c>
      <c r="H178" s="9" t="str">
        <f t="shared" si="223"/>
        <v>B8</v>
      </c>
      <c r="I178" s="9" t="str">
        <f t="shared" si="223"/>
        <v>A2</v>
      </c>
      <c r="J178" s="9" t="str">
        <f t="shared" si="223"/>
        <v>B12</v>
      </c>
      <c r="K178" s="36"/>
      <c r="L178" s="117"/>
      <c r="M178" s="118" t="str">
        <f t="shared" ref="M178:P178" si="224">C178</f>
        <v/>
      </c>
      <c r="N178" s="119" t="str">
        <f t="shared" si="224"/>
        <v/>
      </c>
      <c r="O178" s="118" t="str">
        <f t="shared" si="224"/>
        <v>A7</v>
      </c>
      <c r="P178" s="118" t="str">
        <f t="shared" si="224"/>
        <v>B5</v>
      </c>
      <c r="Q178" s="118" t="str">
        <f t="shared" ref="Q178:R178" si="225">E179</f>
        <v>B3</v>
      </c>
      <c r="R178" s="119" t="str">
        <f t="shared" si="225"/>
        <v>C2</v>
      </c>
      <c r="S178" s="9" t="s">
        <v>108</v>
      </c>
      <c r="T178" s="110" t="s">
        <v>198</v>
      </c>
      <c r="U178" s="9" t="str">
        <f t="shared" ref="U178:X178" si="226">G178</f>
        <v>A9</v>
      </c>
      <c r="V178" s="119" t="str">
        <f t="shared" si="226"/>
        <v>B8</v>
      </c>
      <c r="W178" s="118" t="str">
        <f t="shared" si="226"/>
        <v>A2</v>
      </c>
      <c r="X178" s="120" t="str">
        <f t="shared" si="226"/>
        <v>B12</v>
      </c>
      <c r="Y178" s="73" t="s">
        <v>126</v>
      </c>
      <c r="Z178" s="94" t="s">
        <v>163</v>
      </c>
      <c r="AA178" s="36"/>
      <c r="AB178" s="36"/>
      <c r="AC178" s="111"/>
      <c r="AD178" s="112"/>
      <c r="AE178" s="37"/>
      <c r="AF178" s="97"/>
      <c r="AG178" s="14"/>
      <c r="AH178" s="14"/>
      <c r="AI178" s="14"/>
      <c r="AJ178" s="113"/>
      <c r="AK178" s="105" t="s">
        <v>121</v>
      </c>
      <c r="AM178" s="104" t="s">
        <v>122</v>
      </c>
      <c r="AO178" s="104" t="s">
        <v>123</v>
      </c>
      <c r="AQ178" s="104" t="s">
        <v>124</v>
      </c>
      <c r="AS178" s="105" t="s">
        <v>125</v>
      </c>
      <c r="AU178" s="104" t="s">
        <v>118</v>
      </c>
      <c r="AW178" s="114" t="s">
        <v>119</v>
      </c>
      <c r="AY178" s="105" t="s">
        <v>120</v>
      </c>
      <c r="AZ178" s="24"/>
    </row>
    <row r="179">
      <c r="A179" s="192">
        <f>A178-543</f>
        <v>2026</v>
      </c>
      <c r="B179" s="193"/>
      <c r="C179" s="181"/>
      <c r="E179" s="115" t="s">
        <v>183</v>
      </c>
      <c r="F179" s="116" t="s">
        <v>167</v>
      </c>
      <c r="G179" s="115"/>
      <c r="H179" s="118"/>
      <c r="I179" s="118"/>
      <c r="J179" s="118"/>
      <c r="K179" s="36"/>
      <c r="L179" s="117"/>
      <c r="N179" s="117"/>
      <c r="R179" s="117"/>
      <c r="T179" s="117"/>
      <c r="V179" s="117"/>
      <c r="X179" s="117"/>
      <c r="Y179" s="73" t="s">
        <v>69</v>
      </c>
      <c r="Z179" s="94" t="s">
        <v>99</v>
      </c>
      <c r="AA179" s="36"/>
      <c r="AB179" s="36"/>
      <c r="AC179" s="111"/>
      <c r="AD179" s="112"/>
      <c r="AE179" s="37"/>
      <c r="AF179" s="97"/>
      <c r="AG179" s="14"/>
      <c r="AH179" s="14"/>
      <c r="AI179" s="14"/>
      <c r="AJ179" s="113"/>
      <c r="AK179" s="105" t="s">
        <v>132</v>
      </c>
      <c r="AM179" s="104" t="s">
        <v>133</v>
      </c>
      <c r="AO179" s="104" t="s">
        <v>134</v>
      </c>
      <c r="AQ179" s="104" t="s">
        <v>135</v>
      </c>
      <c r="AS179" s="105" t="s">
        <v>136</v>
      </c>
      <c r="AU179" s="104" t="s">
        <v>129</v>
      </c>
      <c r="AW179" s="114" t="s">
        <v>130</v>
      </c>
      <c r="AY179" s="105" t="s">
        <v>131</v>
      </c>
      <c r="AZ179" s="24"/>
    </row>
    <row r="180">
      <c r="A180" s="227" t="s">
        <v>242</v>
      </c>
      <c r="B180" s="206"/>
      <c r="C180" s="1"/>
      <c r="D180" s="123"/>
      <c r="E180" s="164" t="s">
        <v>185</v>
      </c>
      <c r="F180" s="88"/>
      <c r="G180" s="207" t="str">
        <f>G5:H5</f>
        <v>อสูรเดือน E</v>
      </c>
      <c r="I180" s="208" t="str">
        <f>I5:J5</f>
        <v>อสูรปี E</v>
      </c>
      <c r="K180" s="36"/>
      <c r="L180" s="117"/>
      <c r="N180" s="117"/>
      <c r="R180" s="117"/>
      <c r="T180" s="117"/>
      <c r="V180" s="117"/>
      <c r="X180" s="117"/>
      <c r="Y180" s="127"/>
      <c r="Z180" s="155"/>
      <c r="AA180" s="36"/>
      <c r="AB180" s="36"/>
      <c r="AC180" s="111"/>
      <c r="AD180" s="112"/>
      <c r="AE180" s="37"/>
      <c r="AF180" s="97"/>
      <c r="AG180" s="14"/>
      <c r="AH180" s="14"/>
      <c r="AI180" s="14"/>
      <c r="AJ180" s="113"/>
      <c r="AY180" s="128"/>
      <c r="AZ180" s="24"/>
    </row>
    <row r="181">
      <c r="A181" s="188" t="s">
        <v>63</v>
      </c>
      <c r="B181" s="189"/>
      <c r="C181" s="63"/>
      <c r="D181" s="63"/>
      <c r="E181" s="228">
        <f>(O182+P182+Q182+R182)/(O183+P183+Q183+R183)</f>
        <v>0.8125</v>
      </c>
      <c r="F181" s="72"/>
      <c r="G181" s="133"/>
      <c r="H181" s="66"/>
      <c r="I181" s="67"/>
      <c r="J181" s="67"/>
      <c r="K181" s="68"/>
      <c r="L181" s="69"/>
      <c r="M181" s="63" t="s">
        <v>64</v>
      </c>
      <c r="N181" s="70"/>
      <c r="O181" s="71" t="s">
        <v>65</v>
      </c>
      <c r="P181" s="72"/>
      <c r="Q181" s="72"/>
      <c r="R181" s="70"/>
      <c r="S181" s="71" t="s">
        <v>66</v>
      </c>
      <c r="T181" s="70"/>
      <c r="U181" s="71" t="s">
        <v>67</v>
      </c>
      <c r="V181" s="70"/>
      <c r="W181" s="71" t="s">
        <v>68</v>
      </c>
      <c r="X181" s="70"/>
      <c r="Y181" s="134" t="s">
        <v>80</v>
      </c>
      <c r="Z181" s="74" t="s">
        <v>159</v>
      </c>
      <c r="AA181" s="75" t="s">
        <v>189</v>
      </c>
      <c r="AB181" s="75" t="s">
        <v>192</v>
      </c>
      <c r="AC181" s="190" t="s">
        <v>173</v>
      </c>
      <c r="AD181" s="77" t="s">
        <v>193</v>
      </c>
      <c r="AE181" s="63" t="s">
        <v>144</v>
      </c>
      <c r="AF181" s="78" t="s">
        <v>75</v>
      </c>
      <c r="AG181" s="79" t="s">
        <v>54</v>
      </c>
      <c r="AH181" s="79">
        <v>150.0</v>
      </c>
      <c r="AI181" s="79" t="s">
        <v>210</v>
      </c>
      <c r="AJ181" s="80" t="str">
        <f>AJ175</f>
        <v>開</v>
      </c>
      <c r="AK181" s="81" t="s">
        <v>38</v>
      </c>
      <c r="AL181" s="82" t="str">
        <f>AL175</f>
        <v>休</v>
      </c>
      <c r="AM181" s="81" t="s">
        <v>40</v>
      </c>
      <c r="AN181" s="82" t="s">
        <v>4</v>
      </c>
      <c r="AO181" s="81" t="s">
        <v>42</v>
      </c>
      <c r="AP181" s="82" t="str">
        <f>AP175</f>
        <v>傷</v>
      </c>
      <c r="AQ181" s="81" t="s">
        <v>44</v>
      </c>
      <c r="AR181" s="82" t="s">
        <v>8</v>
      </c>
      <c r="AS181" s="81" t="s">
        <v>46</v>
      </c>
      <c r="AT181" s="82" t="str">
        <f>AT175</f>
        <v>景</v>
      </c>
      <c r="AU181" s="81" t="s">
        <v>48</v>
      </c>
      <c r="AV181" s="82" t="str">
        <f>AV175</f>
        <v>死</v>
      </c>
      <c r="AW181" s="81" t="s">
        <v>50</v>
      </c>
      <c r="AX181" s="82" t="str">
        <f>AX175</f>
        <v>驚</v>
      </c>
      <c r="AY181" s="81" t="s">
        <v>52</v>
      </c>
      <c r="AZ181" s="83"/>
      <c r="BA181" s="84"/>
      <c r="BB181" s="84"/>
      <c r="BC181" s="84"/>
    </row>
    <row r="182">
      <c r="A182" s="192">
        <f>A176+1</f>
        <v>29</v>
      </c>
      <c r="B182" s="193"/>
      <c r="C182" s="12" t="s">
        <v>176</v>
      </c>
      <c r="E182" s="203" t="s">
        <v>171</v>
      </c>
      <c r="G182" s="137" t="str">
        <f t="shared" ref="G182:G183" si="228">G38:H38</f>
        <v>己</v>
      </c>
      <c r="I182" s="138" t="str">
        <f t="shared" ref="I182:I183" si="229">I38:J38</f>
        <v>乙</v>
      </c>
      <c r="K182" s="90">
        <f>L182/L183</f>
        <v>0.62</v>
      </c>
      <c r="L182" s="126">
        <f t="shared" ref="L182:L183" si="230">O182+P182+Q182+U182+V182+W182+X182+R182+M182+N182+S182+T182</f>
        <v>620</v>
      </c>
      <c r="M182" s="92">
        <v>0.0</v>
      </c>
      <c r="N182" s="93">
        <v>0.0</v>
      </c>
      <c r="O182" s="92">
        <v>75.0</v>
      </c>
      <c r="P182" s="92">
        <v>90.0</v>
      </c>
      <c r="Q182" s="92">
        <v>80.0</v>
      </c>
      <c r="R182" s="93">
        <v>80.0</v>
      </c>
      <c r="S182" s="92">
        <v>25.0</v>
      </c>
      <c r="T182" s="93">
        <v>85.0</v>
      </c>
      <c r="U182" s="92">
        <f t="shared" ref="U182:X182" si="227">U38</f>
        <v>50</v>
      </c>
      <c r="V182" s="93">
        <f t="shared" si="227"/>
        <v>90</v>
      </c>
      <c r="W182" s="92">
        <f t="shared" si="227"/>
        <v>35</v>
      </c>
      <c r="X182" s="93">
        <f t="shared" si="227"/>
        <v>10</v>
      </c>
      <c r="Y182" s="73" t="s">
        <v>98</v>
      </c>
      <c r="Z182" s="94" t="s">
        <v>152</v>
      </c>
      <c r="AA182" s="36"/>
      <c r="AB182" s="29" t="s">
        <v>247</v>
      </c>
      <c r="AC182" s="195" t="s">
        <v>196</v>
      </c>
      <c r="AD182" s="96" t="s">
        <v>149</v>
      </c>
      <c r="AE182" s="37"/>
      <c r="AF182" s="97"/>
      <c r="AG182" s="12" t="s">
        <v>189</v>
      </c>
      <c r="AH182" s="12">
        <v>90.0</v>
      </c>
      <c r="AI182" s="12" t="s">
        <v>208</v>
      </c>
      <c r="AJ182" s="98" t="s">
        <v>51</v>
      </c>
      <c r="AK182" s="101" t="s">
        <v>95</v>
      </c>
      <c r="AL182" s="100" t="s">
        <v>86</v>
      </c>
      <c r="AM182" s="99" t="s">
        <v>87</v>
      </c>
      <c r="AN182" s="100" t="s">
        <v>88</v>
      </c>
      <c r="AO182" s="101" t="s">
        <v>89</v>
      </c>
      <c r="AP182" s="100" t="s">
        <v>45</v>
      </c>
      <c r="AQ182" s="102" t="s">
        <v>90</v>
      </c>
      <c r="AR182" s="100" t="s">
        <v>43</v>
      </c>
      <c r="AS182" s="101" t="s">
        <v>91</v>
      </c>
      <c r="AT182" s="100" t="s">
        <v>41</v>
      </c>
      <c r="AU182" s="103" t="s">
        <v>92</v>
      </c>
      <c r="AV182" s="100" t="s">
        <v>39</v>
      </c>
      <c r="AW182" s="99" t="s">
        <v>93</v>
      </c>
      <c r="AX182" s="100" t="s">
        <v>37</v>
      </c>
      <c r="AY182" s="99" t="s">
        <v>94</v>
      </c>
      <c r="AZ182" s="24"/>
    </row>
    <row r="183">
      <c r="A183" s="229" t="str">
        <f>A177</f>
        <v>มกราคม</v>
      </c>
      <c r="B183" s="193"/>
      <c r="C183" s="161" t="s">
        <v>162</v>
      </c>
      <c r="E183" s="171" t="s">
        <v>189</v>
      </c>
      <c r="G183" s="180" t="str">
        <f t="shared" si="228"/>
        <v>丑</v>
      </c>
      <c r="I183" s="142" t="str">
        <f t="shared" si="229"/>
        <v>巳</v>
      </c>
      <c r="K183" s="36"/>
      <c r="L183" s="109">
        <f t="shared" si="230"/>
        <v>1000</v>
      </c>
      <c r="M183" s="9">
        <v>0.0</v>
      </c>
      <c r="N183" s="110">
        <v>0.0</v>
      </c>
      <c r="O183" s="9">
        <v>100.0</v>
      </c>
      <c r="P183" s="9">
        <v>100.0</v>
      </c>
      <c r="Q183" s="9">
        <v>100.0</v>
      </c>
      <c r="R183" s="110">
        <v>100.0</v>
      </c>
      <c r="S183" s="9">
        <v>100.0</v>
      </c>
      <c r="T183" s="110">
        <v>100.0</v>
      </c>
      <c r="U183" s="9">
        <v>100.0</v>
      </c>
      <c r="V183" s="110">
        <v>100.0</v>
      </c>
      <c r="W183" s="9">
        <v>100.0</v>
      </c>
      <c r="X183" s="110">
        <v>100.0</v>
      </c>
      <c r="Y183" s="73" t="s">
        <v>116</v>
      </c>
      <c r="Z183" s="94" t="s">
        <v>81</v>
      </c>
      <c r="AA183" s="36"/>
      <c r="AB183" s="36"/>
      <c r="AC183" s="111"/>
      <c r="AD183" s="112"/>
      <c r="AE183" s="37"/>
      <c r="AF183" s="97"/>
      <c r="AG183" s="14"/>
      <c r="AH183" s="14"/>
      <c r="AI183" s="14"/>
      <c r="AJ183" s="113"/>
      <c r="AK183" s="105" t="s">
        <v>107</v>
      </c>
      <c r="AM183" s="104" t="s">
        <v>100</v>
      </c>
      <c r="AO183" s="114" t="s">
        <v>101</v>
      </c>
      <c r="AQ183" s="105" t="s">
        <v>102</v>
      </c>
      <c r="AS183" s="105" t="s">
        <v>103</v>
      </c>
      <c r="AU183" s="104" t="s">
        <v>104</v>
      </c>
      <c r="AW183" s="104" t="s">
        <v>105</v>
      </c>
      <c r="AY183" s="104" t="s">
        <v>106</v>
      </c>
      <c r="AZ183" s="24"/>
    </row>
    <row r="184">
      <c r="A184" s="192">
        <v>2569.0</v>
      </c>
      <c r="B184" s="193"/>
      <c r="E184" s="115" t="s">
        <v>182</v>
      </c>
      <c r="F184" s="116" t="s">
        <v>126</v>
      </c>
      <c r="G184" s="115" t="str">
        <f t="shared" ref="G184:J184" si="231">G40</f>
        <v>A9</v>
      </c>
      <c r="H184" s="9" t="str">
        <f t="shared" si="231"/>
        <v>B8</v>
      </c>
      <c r="I184" s="9" t="str">
        <f t="shared" si="231"/>
        <v>A2</v>
      </c>
      <c r="J184" s="9" t="str">
        <f t="shared" si="231"/>
        <v>B12</v>
      </c>
      <c r="K184" s="36"/>
      <c r="L184" s="117"/>
      <c r="M184" s="118" t="str">
        <f t="shared" ref="M184:P184" si="232">C184</f>
        <v/>
      </c>
      <c r="N184" s="119" t="str">
        <f t="shared" si="232"/>
        <v/>
      </c>
      <c r="O184" s="118" t="str">
        <f t="shared" si="232"/>
        <v>A1</v>
      </c>
      <c r="P184" s="118" t="str">
        <f t="shared" si="232"/>
        <v>B6</v>
      </c>
      <c r="Q184" s="118" t="str">
        <f t="shared" ref="Q184:R184" si="233">E185</f>
        <v>B2</v>
      </c>
      <c r="R184" s="119" t="str">
        <f t="shared" si="233"/>
        <v>C3</v>
      </c>
      <c r="S184" s="9" t="s">
        <v>115</v>
      </c>
      <c r="T184" s="110" t="s">
        <v>219</v>
      </c>
      <c r="U184" s="9" t="str">
        <f t="shared" ref="U184:X184" si="234">G184</f>
        <v>A9</v>
      </c>
      <c r="V184" s="119" t="str">
        <f t="shared" si="234"/>
        <v>B8</v>
      </c>
      <c r="W184" s="118" t="str">
        <f t="shared" si="234"/>
        <v>A2</v>
      </c>
      <c r="X184" s="120" t="str">
        <f t="shared" si="234"/>
        <v>B12</v>
      </c>
      <c r="Y184" s="73" t="s">
        <v>126</v>
      </c>
      <c r="Z184" s="94" t="s">
        <v>99</v>
      </c>
      <c r="AA184" s="36"/>
      <c r="AB184" s="36"/>
      <c r="AC184" s="111"/>
      <c r="AD184" s="112"/>
      <c r="AE184" s="37"/>
      <c r="AF184" s="97"/>
      <c r="AG184" s="14"/>
      <c r="AH184" s="14"/>
      <c r="AI184" s="14"/>
      <c r="AJ184" s="113"/>
      <c r="AK184" s="105" t="s">
        <v>125</v>
      </c>
      <c r="AM184" s="104" t="s">
        <v>118</v>
      </c>
      <c r="AO184" s="114" t="s">
        <v>119</v>
      </c>
      <c r="AQ184" s="105" t="s">
        <v>120</v>
      </c>
      <c r="AS184" s="105" t="s">
        <v>121</v>
      </c>
      <c r="AU184" s="104" t="s">
        <v>122</v>
      </c>
      <c r="AW184" s="104" t="s">
        <v>123</v>
      </c>
      <c r="AY184" s="104" t="s">
        <v>124</v>
      </c>
      <c r="AZ184" s="24"/>
    </row>
    <row r="185">
      <c r="A185" s="192">
        <f>A184-543</f>
        <v>2026</v>
      </c>
      <c r="B185" s="193"/>
      <c r="E185" s="115" t="s">
        <v>98</v>
      </c>
      <c r="F185" s="116" t="s">
        <v>184</v>
      </c>
      <c r="G185" s="115"/>
      <c r="H185" s="118"/>
      <c r="I185" s="118"/>
      <c r="J185" s="118"/>
      <c r="K185" s="36"/>
      <c r="L185" s="117"/>
      <c r="M185" s="8"/>
      <c r="N185" s="121"/>
      <c r="O185" s="8"/>
      <c r="P185" s="8"/>
      <c r="Q185" s="8"/>
      <c r="R185" s="121"/>
      <c r="S185" s="8"/>
      <c r="T185" s="121"/>
      <c r="U185" s="9"/>
      <c r="V185" s="110"/>
      <c r="W185" s="9"/>
      <c r="X185" s="110"/>
      <c r="Y185" s="73" t="s">
        <v>69</v>
      </c>
      <c r="Z185" s="94" t="s">
        <v>155</v>
      </c>
      <c r="AA185" s="36"/>
      <c r="AB185" s="36"/>
      <c r="AC185" s="111"/>
      <c r="AD185" s="112"/>
      <c r="AE185" s="37"/>
      <c r="AF185" s="97"/>
      <c r="AG185" s="14"/>
      <c r="AH185" s="14"/>
      <c r="AI185" s="14"/>
      <c r="AJ185" s="113"/>
      <c r="AK185" s="105" t="s">
        <v>136</v>
      </c>
      <c r="AM185" s="104" t="s">
        <v>129</v>
      </c>
      <c r="AO185" s="114" t="s">
        <v>130</v>
      </c>
      <c r="AQ185" s="105" t="s">
        <v>131</v>
      </c>
      <c r="AS185" s="105" t="s">
        <v>132</v>
      </c>
      <c r="AU185" s="104" t="s">
        <v>133</v>
      </c>
      <c r="AW185" s="104" t="s">
        <v>134</v>
      </c>
      <c r="AY185" s="104" t="s">
        <v>135</v>
      </c>
      <c r="AZ185" s="24"/>
    </row>
    <row r="186">
      <c r="A186" s="217" t="s">
        <v>237</v>
      </c>
      <c r="B186" s="197"/>
      <c r="C186" s="1"/>
      <c r="D186" s="123"/>
      <c r="E186" s="176" t="s">
        <v>137</v>
      </c>
      <c r="F186" s="88"/>
      <c r="G186" s="165" t="str">
        <f>G5:H5</f>
        <v>อสูรเดือน E</v>
      </c>
      <c r="I186" s="166" t="str">
        <f>I5:J5</f>
        <v>อสูรปี E</v>
      </c>
      <c r="K186" s="90"/>
      <c r="L186" s="126"/>
      <c r="M186" s="8"/>
      <c r="N186" s="121"/>
      <c r="O186" s="8"/>
      <c r="P186" s="8"/>
      <c r="Q186" s="8"/>
      <c r="R186" s="121"/>
      <c r="S186" s="8"/>
      <c r="T186" s="121"/>
      <c r="U186" s="9"/>
      <c r="V186" s="110"/>
      <c r="W186" s="9"/>
      <c r="X186" s="110"/>
      <c r="Y186" s="127"/>
      <c r="Z186" s="155"/>
      <c r="AA186" s="36"/>
      <c r="AB186" s="36"/>
      <c r="AC186" s="111"/>
      <c r="AD186" s="112"/>
      <c r="AE186" s="37"/>
      <c r="AF186" s="97"/>
      <c r="AG186" s="14"/>
      <c r="AH186" s="14"/>
      <c r="AI186" s="14"/>
      <c r="AJ186" s="113"/>
      <c r="AW186" s="128"/>
      <c r="AZ186" s="24"/>
    </row>
    <row r="187">
      <c r="A187" s="188" t="s">
        <v>139</v>
      </c>
      <c r="B187" s="189"/>
      <c r="C187" s="63"/>
      <c r="D187" s="63"/>
      <c r="E187" s="225">
        <f>(O188+P188+Q188+R188)/(O189+P189+Q189+R189)</f>
        <v>0.3875</v>
      </c>
      <c r="F187" s="72"/>
      <c r="G187" s="133"/>
      <c r="H187" s="66"/>
      <c r="I187" s="67"/>
      <c r="J187" s="67"/>
      <c r="K187" s="68"/>
      <c r="L187" s="69"/>
      <c r="M187" s="63" t="s">
        <v>64</v>
      </c>
      <c r="N187" s="70"/>
      <c r="O187" s="71" t="s">
        <v>65</v>
      </c>
      <c r="P187" s="72"/>
      <c r="Q187" s="72"/>
      <c r="R187" s="70"/>
      <c r="S187" s="71" t="s">
        <v>66</v>
      </c>
      <c r="T187" s="70"/>
      <c r="U187" s="71" t="s">
        <v>67</v>
      </c>
      <c r="V187" s="70"/>
      <c r="W187" s="71" t="s">
        <v>68</v>
      </c>
      <c r="X187" s="70"/>
      <c r="Y187" s="134" t="s">
        <v>80</v>
      </c>
      <c r="Z187" s="74" t="s">
        <v>181</v>
      </c>
      <c r="AA187" s="75" t="s">
        <v>31</v>
      </c>
      <c r="AB187" s="75" t="s">
        <v>141</v>
      </c>
      <c r="AC187" s="76" t="s">
        <v>73</v>
      </c>
      <c r="AD187" s="77" t="s">
        <v>74</v>
      </c>
      <c r="AE187" s="63" t="s">
        <v>35</v>
      </c>
      <c r="AF187" s="78" t="s">
        <v>144</v>
      </c>
      <c r="AG187" s="79" t="s">
        <v>71</v>
      </c>
      <c r="AH187" s="79">
        <v>210.0</v>
      </c>
      <c r="AI187" s="79" t="s">
        <v>175</v>
      </c>
      <c r="AJ187" s="80" t="str">
        <f>AJ181</f>
        <v>開</v>
      </c>
      <c r="AK187" s="81" t="s">
        <v>38</v>
      </c>
      <c r="AL187" s="82" t="str">
        <f>AL181</f>
        <v>休</v>
      </c>
      <c r="AM187" s="81" t="s">
        <v>40</v>
      </c>
      <c r="AN187" s="82" t="s">
        <v>4</v>
      </c>
      <c r="AO187" s="81" t="s">
        <v>42</v>
      </c>
      <c r="AP187" s="82" t="str">
        <f>AP181</f>
        <v>傷</v>
      </c>
      <c r="AQ187" s="81" t="s">
        <v>44</v>
      </c>
      <c r="AR187" s="82" t="s">
        <v>8</v>
      </c>
      <c r="AS187" s="81" t="s">
        <v>46</v>
      </c>
      <c r="AT187" s="82" t="str">
        <f>AT181</f>
        <v>景</v>
      </c>
      <c r="AU187" s="81" t="s">
        <v>48</v>
      </c>
      <c r="AV187" s="82" t="str">
        <f>AV181</f>
        <v>死</v>
      </c>
      <c r="AW187" s="81" t="s">
        <v>50</v>
      </c>
      <c r="AX187" s="82" t="str">
        <f>AX181</f>
        <v>驚</v>
      </c>
      <c r="AY187" s="81" t="s">
        <v>52</v>
      </c>
      <c r="AZ187" s="83"/>
      <c r="BA187" s="84"/>
      <c r="BB187" s="84"/>
      <c r="BC187" s="84"/>
    </row>
    <row r="188">
      <c r="A188" s="192">
        <f>A182+1</f>
        <v>30</v>
      </c>
      <c r="B188" s="193"/>
      <c r="C188" s="12" t="s">
        <v>248</v>
      </c>
      <c r="E188" s="87" t="s">
        <v>222</v>
      </c>
      <c r="G188" s="137" t="str">
        <f t="shared" ref="G188:G189" si="236">G38:H38</f>
        <v>己</v>
      </c>
      <c r="I188" s="138" t="str">
        <f t="shared" ref="I188:I189" si="237">I38:J38</f>
        <v>乙</v>
      </c>
      <c r="K188" s="90">
        <f>L188/L189</f>
        <v>0.465</v>
      </c>
      <c r="L188" s="126">
        <f t="shared" ref="L188:L189" si="238">O188+P188+Q188+U188+V188+W188+X188+R188+M188+N188+S188+T188</f>
        <v>465</v>
      </c>
      <c r="M188" s="92">
        <v>0.0</v>
      </c>
      <c r="N188" s="93">
        <v>0.0</v>
      </c>
      <c r="O188" s="92">
        <v>35.0</v>
      </c>
      <c r="P188" s="92">
        <v>0.0</v>
      </c>
      <c r="Q188" s="92">
        <v>70.0</v>
      </c>
      <c r="R188" s="93">
        <v>50.0</v>
      </c>
      <c r="S188" s="92">
        <v>30.0</v>
      </c>
      <c r="T188" s="93">
        <v>95.0</v>
      </c>
      <c r="U188" s="92">
        <f t="shared" ref="U188:X188" si="235">U38</f>
        <v>50</v>
      </c>
      <c r="V188" s="93">
        <f t="shared" si="235"/>
        <v>90</v>
      </c>
      <c r="W188" s="92">
        <f t="shared" si="235"/>
        <v>35</v>
      </c>
      <c r="X188" s="93">
        <f t="shared" si="235"/>
        <v>10</v>
      </c>
      <c r="Y188" s="73" t="s">
        <v>98</v>
      </c>
      <c r="Z188" s="94" t="s">
        <v>163</v>
      </c>
      <c r="AA188" s="36"/>
      <c r="AB188" s="36"/>
      <c r="AC188" s="95" t="s">
        <v>82</v>
      </c>
      <c r="AD188" s="96" t="s">
        <v>83</v>
      </c>
      <c r="AE188" s="37"/>
      <c r="AF188" s="97"/>
      <c r="AG188" s="12" t="s">
        <v>53</v>
      </c>
      <c r="AH188" s="12">
        <v>30.0</v>
      </c>
      <c r="AI188" s="12" t="s">
        <v>178</v>
      </c>
      <c r="AJ188" s="98" t="s">
        <v>51</v>
      </c>
      <c r="AK188" s="101" t="s">
        <v>95</v>
      </c>
      <c r="AL188" s="100" t="s">
        <v>86</v>
      </c>
      <c r="AM188" s="99" t="s">
        <v>87</v>
      </c>
      <c r="AN188" s="100" t="s">
        <v>88</v>
      </c>
      <c r="AO188" s="101" t="s">
        <v>89</v>
      </c>
      <c r="AP188" s="100" t="s">
        <v>45</v>
      </c>
      <c r="AQ188" s="102" t="s">
        <v>90</v>
      </c>
      <c r="AR188" s="100" t="s">
        <v>43</v>
      </c>
      <c r="AS188" s="101" t="s">
        <v>91</v>
      </c>
      <c r="AT188" s="100" t="s">
        <v>41</v>
      </c>
      <c r="AU188" s="103" t="s">
        <v>92</v>
      </c>
      <c r="AV188" s="100" t="s">
        <v>39</v>
      </c>
      <c r="AW188" s="99" t="s">
        <v>93</v>
      </c>
      <c r="AX188" s="100" t="s">
        <v>37</v>
      </c>
      <c r="AY188" s="99" t="s">
        <v>94</v>
      </c>
      <c r="AZ188" s="24"/>
    </row>
    <row r="189">
      <c r="A189" s="229" t="str">
        <f>A183</f>
        <v>มกราคม</v>
      </c>
      <c r="B189" s="193"/>
      <c r="C189" s="106" t="s">
        <v>179</v>
      </c>
      <c r="E189" s="162" t="s">
        <v>197</v>
      </c>
      <c r="G189" s="180" t="str">
        <f t="shared" si="236"/>
        <v>丑</v>
      </c>
      <c r="I189" s="142" t="str">
        <f t="shared" si="237"/>
        <v>巳</v>
      </c>
      <c r="K189" s="36"/>
      <c r="L189" s="109">
        <f t="shared" si="238"/>
        <v>1000</v>
      </c>
      <c r="M189" s="9">
        <v>0.0</v>
      </c>
      <c r="N189" s="110">
        <v>0.0</v>
      </c>
      <c r="O189" s="9">
        <v>100.0</v>
      </c>
      <c r="P189" s="9">
        <v>100.0</v>
      </c>
      <c r="Q189" s="9">
        <v>100.0</v>
      </c>
      <c r="R189" s="110">
        <v>100.0</v>
      </c>
      <c r="S189" s="9">
        <v>100.0</v>
      </c>
      <c r="T189" s="110">
        <v>100.0</v>
      </c>
      <c r="U189" s="9">
        <v>100.0</v>
      </c>
      <c r="V189" s="110">
        <v>100.0</v>
      </c>
      <c r="W189" s="9">
        <v>100.0</v>
      </c>
      <c r="X189" s="110">
        <v>100.0</v>
      </c>
      <c r="Y189" s="73" t="s">
        <v>116</v>
      </c>
      <c r="Z189" s="94" t="s">
        <v>153</v>
      </c>
      <c r="AA189" s="36"/>
      <c r="AB189" s="36"/>
      <c r="AC189" s="111"/>
      <c r="AD189" s="112"/>
      <c r="AE189" s="37"/>
      <c r="AF189" s="97"/>
      <c r="AG189" s="14"/>
      <c r="AH189" s="14"/>
      <c r="AI189" s="14"/>
      <c r="AJ189" s="113"/>
      <c r="AK189" s="105" t="s">
        <v>107</v>
      </c>
      <c r="AM189" s="104" t="s">
        <v>100</v>
      </c>
      <c r="AO189" s="114" t="s">
        <v>101</v>
      </c>
      <c r="AQ189" s="105" t="s">
        <v>102</v>
      </c>
      <c r="AS189" s="105" t="s">
        <v>103</v>
      </c>
      <c r="AU189" s="104" t="s">
        <v>104</v>
      </c>
      <c r="AW189" s="104" t="s">
        <v>105</v>
      </c>
      <c r="AY189" s="104" t="s">
        <v>106</v>
      </c>
      <c r="AZ189" s="24"/>
    </row>
    <row r="190">
      <c r="A190" s="192">
        <v>2569.0</v>
      </c>
      <c r="B190" s="193"/>
      <c r="E190" s="115" t="s">
        <v>198</v>
      </c>
      <c r="F190" s="116" t="s">
        <v>111</v>
      </c>
      <c r="G190" s="115" t="str">
        <f t="shared" ref="G190:J190" si="239">G40</f>
        <v>A9</v>
      </c>
      <c r="H190" s="9" t="str">
        <f t="shared" si="239"/>
        <v>B8</v>
      </c>
      <c r="I190" s="9" t="str">
        <f t="shared" si="239"/>
        <v>A2</v>
      </c>
      <c r="J190" s="9" t="str">
        <f t="shared" si="239"/>
        <v>B12</v>
      </c>
      <c r="K190" s="36"/>
      <c r="L190" s="117"/>
      <c r="M190" s="118" t="str">
        <f t="shared" ref="M190:P190" si="240">C190</f>
        <v/>
      </c>
      <c r="N190" s="119" t="str">
        <f t="shared" si="240"/>
        <v/>
      </c>
      <c r="O190" s="118" t="str">
        <f t="shared" si="240"/>
        <v>A6</v>
      </c>
      <c r="P190" s="118" t="str">
        <f t="shared" si="240"/>
        <v>B7</v>
      </c>
      <c r="Q190" s="118" t="str">
        <f t="shared" ref="Q190:R190" si="241">E191</f>
        <v>B1</v>
      </c>
      <c r="R190" s="119" t="str">
        <f t="shared" si="241"/>
        <v>C4</v>
      </c>
      <c r="S190" s="9" t="s">
        <v>198</v>
      </c>
      <c r="T190" s="110" t="s">
        <v>219</v>
      </c>
      <c r="U190" s="9" t="str">
        <f t="shared" ref="U190:X190" si="242">G190</f>
        <v>A9</v>
      </c>
      <c r="V190" s="119" t="str">
        <f t="shared" si="242"/>
        <v>B8</v>
      </c>
      <c r="W190" s="118" t="str">
        <f t="shared" si="242"/>
        <v>A2</v>
      </c>
      <c r="X190" s="120" t="str">
        <f t="shared" si="242"/>
        <v>B12</v>
      </c>
      <c r="Y190" s="73" t="s">
        <v>126</v>
      </c>
      <c r="Z190" s="94" t="s">
        <v>155</v>
      </c>
      <c r="AA190" s="36"/>
      <c r="AB190" s="36"/>
      <c r="AC190" s="111"/>
      <c r="AD190" s="112"/>
      <c r="AE190" s="37"/>
      <c r="AF190" s="97"/>
      <c r="AG190" s="14"/>
      <c r="AH190" s="14"/>
      <c r="AI190" s="14"/>
      <c r="AJ190" s="113"/>
      <c r="AK190" s="105" t="s">
        <v>125</v>
      </c>
      <c r="AM190" s="104" t="s">
        <v>118</v>
      </c>
      <c r="AO190" s="114" t="s">
        <v>119</v>
      </c>
      <c r="AQ190" s="105" t="s">
        <v>120</v>
      </c>
      <c r="AS190" s="105" t="s">
        <v>121</v>
      </c>
      <c r="AU190" s="104" t="s">
        <v>122</v>
      </c>
      <c r="AW190" s="104" t="s">
        <v>123</v>
      </c>
      <c r="AY190" s="104" t="s">
        <v>124</v>
      </c>
      <c r="AZ190" s="24"/>
    </row>
    <row r="191">
      <c r="A191" s="192">
        <f>A190-543</f>
        <v>2026</v>
      </c>
      <c r="B191" s="193"/>
      <c r="E191" s="115" t="s">
        <v>80</v>
      </c>
      <c r="F191" s="116" t="s">
        <v>190</v>
      </c>
      <c r="G191" s="115"/>
      <c r="H191" s="118"/>
      <c r="I191" s="118"/>
      <c r="J191" s="118"/>
      <c r="K191" s="36"/>
      <c r="L191" s="117"/>
      <c r="M191" s="8"/>
      <c r="N191" s="121"/>
      <c r="O191" s="8"/>
      <c r="P191" s="8"/>
      <c r="Q191" s="8"/>
      <c r="R191" s="121"/>
      <c r="S191" s="8"/>
      <c r="T191" s="121"/>
      <c r="U191" s="9"/>
      <c r="V191" s="110"/>
      <c r="W191" s="9"/>
      <c r="X191" s="110"/>
      <c r="Y191" s="73" t="s">
        <v>69</v>
      </c>
      <c r="Z191" s="94" t="s">
        <v>128</v>
      </c>
      <c r="AA191" s="36"/>
      <c r="AB191" s="36"/>
      <c r="AC191" s="111"/>
      <c r="AD191" s="112"/>
      <c r="AE191" s="37"/>
      <c r="AF191" s="97"/>
      <c r="AG191" s="14"/>
      <c r="AH191" s="14"/>
      <c r="AI191" s="14"/>
      <c r="AJ191" s="113"/>
      <c r="AK191" s="105" t="s">
        <v>136</v>
      </c>
      <c r="AM191" s="104" t="s">
        <v>129</v>
      </c>
      <c r="AO191" s="114" t="s">
        <v>130</v>
      </c>
      <c r="AQ191" s="105" t="s">
        <v>131</v>
      </c>
      <c r="AS191" s="105" t="s">
        <v>132</v>
      </c>
      <c r="AU191" s="104" t="s">
        <v>133</v>
      </c>
      <c r="AW191" s="104" t="s">
        <v>134</v>
      </c>
      <c r="AY191" s="104" t="s">
        <v>135</v>
      </c>
      <c r="AZ191" s="24"/>
    </row>
    <row r="192">
      <c r="A192" s="196"/>
      <c r="B192" s="197"/>
      <c r="C192" s="1"/>
      <c r="D192" s="123"/>
      <c r="E192" s="176" t="s">
        <v>157</v>
      </c>
      <c r="F192" s="88"/>
      <c r="G192" s="165" t="str">
        <f>G5:H5</f>
        <v>อสูรเดือน E</v>
      </c>
      <c r="I192" s="166" t="str">
        <f>I5:J5</f>
        <v>อสูรปี E</v>
      </c>
      <c r="K192" s="90"/>
      <c r="L192" s="126"/>
      <c r="M192" s="8"/>
      <c r="N192" s="121"/>
      <c r="O192" s="8"/>
      <c r="P192" s="8"/>
      <c r="Q192" s="8"/>
      <c r="R192" s="121"/>
      <c r="S192" s="8"/>
      <c r="T192" s="121"/>
      <c r="U192" s="9"/>
      <c r="V192" s="110"/>
      <c r="W192" s="9"/>
      <c r="X192" s="110"/>
      <c r="Y192" s="127"/>
      <c r="Z192" s="155"/>
      <c r="AA192" s="36"/>
      <c r="AB192" s="36"/>
      <c r="AC192" s="111"/>
      <c r="AD192" s="112"/>
      <c r="AE192" s="37"/>
      <c r="AF192" s="97"/>
      <c r="AG192" s="14"/>
      <c r="AH192" s="14"/>
      <c r="AI192" s="14"/>
      <c r="AJ192" s="113"/>
      <c r="AW192" s="128"/>
      <c r="AZ192" s="24"/>
    </row>
    <row r="193">
      <c r="A193" s="188" t="s">
        <v>158</v>
      </c>
      <c r="B193" s="189"/>
      <c r="C193" s="63"/>
      <c r="D193" s="63"/>
      <c r="E193" s="225">
        <f>(O194+P194+Q194+R194)/(O195+P195+Q195+R195)</f>
        <v>0.5375</v>
      </c>
      <c r="F193" s="72"/>
      <c r="G193" s="133"/>
      <c r="H193" s="66"/>
      <c r="I193" s="67"/>
      <c r="J193" s="67"/>
      <c r="K193" s="68"/>
      <c r="L193" s="69"/>
      <c r="M193" s="63" t="s">
        <v>64</v>
      </c>
      <c r="N193" s="70"/>
      <c r="O193" s="71" t="s">
        <v>65</v>
      </c>
      <c r="P193" s="72"/>
      <c r="Q193" s="72"/>
      <c r="R193" s="70"/>
      <c r="S193" s="71" t="s">
        <v>66</v>
      </c>
      <c r="T193" s="70"/>
      <c r="U193" s="71" t="s">
        <v>67</v>
      </c>
      <c r="V193" s="70"/>
      <c r="W193" s="71" t="s">
        <v>68</v>
      </c>
      <c r="X193" s="70"/>
      <c r="Y193" s="134" t="s">
        <v>69</v>
      </c>
      <c r="Z193" s="74" t="s">
        <v>70</v>
      </c>
      <c r="AA193" s="75" t="s">
        <v>202</v>
      </c>
      <c r="AB193" s="75" t="s">
        <v>226</v>
      </c>
      <c r="AC193" s="76" t="s">
        <v>73</v>
      </c>
      <c r="AD193" s="77" t="s">
        <v>74</v>
      </c>
      <c r="AE193" s="63" t="s">
        <v>35</v>
      </c>
      <c r="AF193" s="78" t="s">
        <v>36</v>
      </c>
      <c r="AG193" s="79" t="s">
        <v>76</v>
      </c>
      <c r="AH193" s="79">
        <v>240.0</v>
      </c>
      <c r="AI193" s="79" t="s">
        <v>77</v>
      </c>
      <c r="AJ193" s="80" t="str">
        <f>AJ187</f>
        <v>開</v>
      </c>
      <c r="AK193" s="81" t="s">
        <v>48</v>
      </c>
      <c r="AL193" s="82" t="str">
        <f>AL187</f>
        <v>休</v>
      </c>
      <c r="AM193" s="81" t="s">
        <v>50</v>
      </c>
      <c r="AN193" s="82" t="s">
        <v>4</v>
      </c>
      <c r="AO193" s="81" t="s">
        <v>52</v>
      </c>
      <c r="AP193" s="82" t="str">
        <f>AP187</f>
        <v>傷</v>
      </c>
      <c r="AQ193" s="81" t="s">
        <v>38</v>
      </c>
      <c r="AR193" s="82" t="s">
        <v>8</v>
      </c>
      <c r="AS193" s="81" t="s">
        <v>40</v>
      </c>
      <c r="AT193" s="82" t="str">
        <f>AT187</f>
        <v>景</v>
      </c>
      <c r="AU193" s="81" t="s">
        <v>42</v>
      </c>
      <c r="AV193" s="82" t="str">
        <f>AV187</f>
        <v>死</v>
      </c>
      <c r="AW193" s="81" t="s">
        <v>44</v>
      </c>
      <c r="AX193" s="82" t="str">
        <f>AX187</f>
        <v>驚</v>
      </c>
      <c r="AY193" s="81" t="s">
        <v>46</v>
      </c>
      <c r="AZ193" s="83"/>
      <c r="BA193" s="84"/>
      <c r="BB193" s="84"/>
      <c r="BC193" s="84"/>
    </row>
    <row r="194">
      <c r="A194" s="192">
        <f>A188+1</f>
        <v>31</v>
      </c>
      <c r="B194" s="193"/>
      <c r="C194" s="12" t="s">
        <v>249</v>
      </c>
      <c r="E194" s="87" t="s">
        <v>31</v>
      </c>
      <c r="G194" s="137" t="str">
        <f t="shared" ref="G194:G195" si="244">G38:H38</f>
        <v>己</v>
      </c>
      <c r="I194" s="138" t="str">
        <f t="shared" ref="I194:I195" si="245">I38:J38</f>
        <v>乙</v>
      </c>
      <c r="K194" s="90">
        <f>L194/L195</f>
        <v>0.54</v>
      </c>
      <c r="L194" s="126">
        <f t="shared" ref="L194:L195" si="246">O194+P194+Q194+U194+V194+W194+X194+R194+M194+N194+S194+T194</f>
        <v>540</v>
      </c>
      <c r="M194" s="92">
        <v>0.0</v>
      </c>
      <c r="N194" s="93">
        <v>0.0</v>
      </c>
      <c r="O194" s="92">
        <v>35.0</v>
      </c>
      <c r="P194" s="92">
        <v>90.0</v>
      </c>
      <c r="Q194" s="92">
        <v>10.0</v>
      </c>
      <c r="R194" s="93">
        <v>80.0</v>
      </c>
      <c r="S194" s="92">
        <v>110.0</v>
      </c>
      <c r="T194" s="93">
        <v>30.0</v>
      </c>
      <c r="U194" s="92">
        <f t="shared" ref="U194:X194" si="243">U38</f>
        <v>50</v>
      </c>
      <c r="V194" s="93">
        <f t="shared" si="243"/>
        <v>90</v>
      </c>
      <c r="W194" s="92">
        <f t="shared" si="243"/>
        <v>35</v>
      </c>
      <c r="X194" s="93">
        <f t="shared" si="243"/>
        <v>10</v>
      </c>
      <c r="Y194" s="73" t="s">
        <v>80</v>
      </c>
      <c r="Z194" s="94" t="s">
        <v>81</v>
      </c>
      <c r="AA194" s="36"/>
      <c r="AB194" s="29" t="s">
        <v>227</v>
      </c>
      <c r="AC194" s="95" t="s">
        <v>82</v>
      </c>
      <c r="AD194" s="96" t="s">
        <v>83</v>
      </c>
      <c r="AE194" s="37"/>
      <c r="AF194" s="97"/>
      <c r="AG194" s="12" t="s">
        <v>84</v>
      </c>
      <c r="AH194" s="12">
        <v>0.0</v>
      </c>
      <c r="AI194" s="12" t="s">
        <v>85</v>
      </c>
      <c r="AJ194" s="98" t="s">
        <v>43</v>
      </c>
      <c r="AK194" s="101" t="s">
        <v>91</v>
      </c>
      <c r="AL194" s="100" t="s">
        <v>41</v>
      </c>
      <c r="AM194" s="103" t="s">
        <v>92</v>
      </c>
      <c r="AN194" s="100" t="s">
        <v>39</v>
      </c>
      <c r="AO194" s="99" t="s">
        <v>93</v>
      </c>
      <c r="AP194" s="100" t="s">
        <v>37</v>
      </c>
      <c r="AQ194" s="99" t="s">
        <v>94</v>
      </c>
      <c r="AR194" s="100" t="s">
        <v>51</v>
      </c>
      <c r="AS194" s="101" t="s">
        <v>95</v>
      </c>
      <c r="AT194" s="100" t="s">
        <v>86</v>
      </c>
      <c r="AU194" s="99" t="s">
        <v>87</v>
      </c>
      <c r="AV194" s="100" t="s">
        <v>88</v>
      </c>
      <c r="AW194" s="101" t="s">
        <v>89</v>
      </c>
      <c r="AX194" s="100" t="s">
        <v>45</v>
      </c>
      <c r="AY194" s="102" t="s">
        <v>90</v>
      </c>
      <c r="AZ194" s="24"/>
    </row>
    <row r="195">
      <c r="A195" s="215" t="str">
        <f>A189</f>
        <v>มกราคม</v>
      </c>
      <c r="B195" s="193"/>
      <c r="C195" s="175" t="s">
        <v>188</v>
      </c>
      <c r="E195" s="201" t="s">
        <v>54</v>
      </c>
      <c r="G195" s="180" t="str">
        <f t="shared" si="244"/>
        <v>丑</v>
      </c>
      <c r="I195" s="142" t="str">
        <f t="shared" si="245"/>
        <v>巳</v>
      </c>
      <c r="K195" s="36"/>
      <c r="L195" s="109">
        <f t="shared" si="246"/>
        <v>1000</v>
      </c>
      <c r="M195" s="9">
        <v>0.0</v>
      </c>
      <c r="N195" s="110">
        <v>0.0</v>
      </c>
      <c r="O195" s="9">
        <v>100.0</v>
      </c>
      <c r="P195" s="9">
        <v>100.0</v>
      </c>
      <c r="Q195" s="9">
        <v>100.0</v>
      </c>
      <c r="R195" s="110">
        <v>100.0</v>
      </c>
      <c r="S195" s="9">
        <v>100.0</v>
      </c>
      <c r="T195" s="110">
        <v>100.0</v>
      </c>
      <c r="U195" s="9">
        <v>100.0</v>
      </c>
      <c r="V195" s="110">
        <v>100.0</v>
      </c>
      <c r="W195" s="9">
        <v>100.0</v>
      </c>
      <c r="X195" s="110">
        <v>100.0</v>
      </c>
      <c r="Y195" s="73" t="s">
        <v>98</v>
      </c>
      <c r="Z195" s="94" t="s">
        <v>99</v>
      </c>
      <c r="AA195" s="36"/>
      <c r="AB195" s="36"/>
      <c r="AC195" s="111"/>
      <c r="AD195" s="112"/>
      <c r="AE195" s="37"/>
      <c r="AF195" s="97"/>
      <c r="AG195" s="14"/>
      <c r="AH195" s="14"/>
      <c r="AI195" s="14"/>
      <c r="AJ195" s="113"/>
      <c r="AK195" s="105" t="s">
        <v>103</v>
      </c>
      <c r="AM195" s="104" t="s">
        <v>104</v>
      </c>
      <c r="AO195" s="104" t="s">
        <v>105</v>
      </c>
      <c r="AQ195" s="104" t="s">
        <v>106</v>
      </c>
      <c r="AS195" s="105" t="s">
        <v>107</v>
      </c>
      <c r="AU195" s="104" t="s">
        <v>100</v>
      </c>
      <c r="AW195" s="114" t="s">
        <v>101</v>
      </c>
      <c r="AY195" s="105" t="s">
        <v>102</v>
      </c>
      <c r="AZ195" s="24"/>
    </row>
    <row r="196">
      <c r="A196" s="192">
        <v>2569.0</v>
      </c>
      <c r="B196" s="193"/>
      <c r="E196" s="115" t="s">
        <v>112</v>
      </c>
      <c r="F196" s="116" t="s">
        <v>69</v>
      </c>
      <c r="G196" s="115" t="str">
        <f t="shared" ref="G196:J196" si="247">G40</f>
        <v>A9</v>
      </c>
      <c r="H196" s="9" t="str">
        <f t="shared" si="247"/>
        <v>B8</v>
      </c>
      <c r="I196" s="9" t="str">
        <f t="shared" si="247"/>
        <v>A2</v>
      </c>
      <c r="J196" s="9" t="str">
        <f t="shared" si="247"/>
        <v>B12</v>
      </c>
      <c r="K196" s="36"/>
      <c r="L196" s="117"/>
      <c r="M196" s="118" t="str">
        <f t="shared" ref="M196:P196" si="248">C196</f>
        <v/>
      </c>
      <c r="N196" s="119" t="str">
        <f t="shared" si="248"/>
        <v/>
      </c>
      <c r="O196" s="118" t="str">
        <f t="shared" si="248"/>
        <v>A2</v>
      </c>
      <c r="P196" s="118" t="str">
        <f t="shared" si="248"/>
        <v>B8</v>
      </c>
      <c r="Q196" s="118" t="str">
        <f t="shared" ref="Q196:R196" si="249">E197</f>
        <v>B12</v>
      </c>
      <c r="R196" s="119" t="str">
        <f t="shared" si="249"/>
        <v>C5</v>
      </c>
      <c r="S196" s="9" t="s">
        <v>204</v>
      </c>
      <c r="T196" s="110" t="s">
        <v>198</v>
      </c>
      <c r="U196" s="9" t="str">
        <f t="shared" ref="U196:X196" si="250">G196</f>
        <v>A9</v>
      </c>
      <c r="V196" s="119" t="str">
        <f t="shared" si="250"/>
        <v>B8</v>
      </c>
      <c r="W196" s="118" t="str">
        <f t="shared" si="250"/>
        <v>A2</v>
      </c>
      <c r="X196" s="120" t="str">
        <f t="shared" si="250"/>
        <v>B12</v>
      </c>
      <c r="Y196" s="73" t="s">
        <v>116</v>
      </c>
      <c r="Z196" s="94" t="s">
        <v>117</v>
      </c>
      <c r="AA196" s="36"/>
      <c r="AB196" s="36"/>
      <c r="AC196" s="111"/>
      <c r="AD196" s="112"/>
      <c r="AE196" s="37"/>
      <c r="AF196" s="97"/>
      <c r="AG196" s="14"/>
      <c r="AH196" s="14"/>
      <c r="AI196" s="14"/>
      <c r="AJ196" s="113"/>
      <c r="AK196" s="105" t="s">
        <v>121</v>
      </c>
      <c r="AM196" s="104" t="s">
        <v>122</v>
      </c>
      <c r="AO196" s="104" t="s">
        <v>123</v>
      </c>
      <c r="AQ196" s="104" t="s">
        <v>124</v>
      </c>
      <c r="AS196" s="105" t="s">
        <v>125</v>
      </c>
      <c r="AU196" s="104" t="s">
        <v>118</v>
      </c>
      <c r="AW196" s="114" t="s">
        <v>119</v>
      </c>
      <c r="AY196" s="105" t="s">
        <v>120</v>
      </c>
      <c r="AZ196" s="24"/>
    </row>
    <row r="197">
      <c r="A197" s="192">
        <f>A196-543</f>
        <v>2026</v>
      </c>
      <c r="B197" s="193"/>
      <c r="E197" s="115" t="s">
        <v>113</v>
      </c>
      <c r="F197" s="116" t="s">
        <v>205</v>
      </c>
      <c r="G197" s="115"/>
      <c r="H197" s="118"/>
      <c r="I197" s="118"/>
      <c r="J197" s="118"/>
      <c r="K197" s="36"/>
      <c r="L197" s="117"/>
      <c r="M197" s="8"/>
      <c r="N197" s="121"/>
      <c r="O197" s="8"/>
      <c r="P197" s="8"/>
      <c r="Q197" s="8"/>
      <c r="R197" s="121"/>
      <c r="S197" s="8"/>
      <c r="T197" s="121"/>
      <c r="U197" s="9"/>
      <c r="V197" s="110"/>
      <c r="W197" s="9"/>
      <c r="X197" s="110"/>
      <c r="Y197" s="73" t="s">
        <v>126</v>
      </c>
      <c r="Z197" s="94" t="s">
        <v>128</v>
      </c>
      <c r="AA197" s="36"/>
      <c r="AB197" s="36"/>
      <c r="AC197" s="111"/>
      <c r="AD197" s="112"/>
      <c r="AE197" s="37"/>
      <c r="AF197" s="97"/>
      <c r="AG197" s="14"/>
      <c r="AH197" s="14"/>
      <c r="AI197" s="14"/>
      <c r="AJ197" s="113"/>
      <c r="AK197" s="105" t="s">
        <v>132</v>
      </c>
      <c r="AM197" s="104" t="s">
        <v>133</v>
      </c>
      <c r="AO197" s="104" t="s">
        <v>134</v>
      </c>
      <c r="AQ197" s="104" t="s">
        <v>135</v>
      </c>
      <c r="AS197" s="105" t="s">
        <v>136</v>
      </c>
      <c r="AU197" s="104" t="s">
        <v>129</v>
      </c>
      <c r="AW197" s="114" t="s">
        <v>130</v>
      </c>
      <c r="AY197" s="105" t="s">
        <v>131</v>
      </c>
      <c r="AZ197" s="24"/>
    </row>
    <row r="198">
      <c r="A198" s="230"/>
      <c r="B198" s="231"/>
      <c r="C198" s="185"/>
      <c r="D198" s="186"/>
      <c r="E198" s="232" t="s">
        <v>168</v>
      </c>
      <c r="F198" s="125"/>
      <c r="G198" s="146" t="str">
        <f>G5:H5</f>
        <v>อสูรเดือน E</v>
      </c>
      <c r="H198" s="147"/>
      <c r="I198" s="148" t="str">
        <f>I5:J5</f>
        <v>อสูรปี E</v>
      </c>
      <c r="J198" s="147"/>
      <c r="K198" s="149"/>
      <c r="L198" s="150"/>
      <c r="M198" s="151"/>
      <c r="N198" s="152"/>
      <c r="O198" s="151"/>
      <c r="P198" s="151"/>
      <c r="Q198" s="151"/>
      <c r="R198" s="152"/>
      <c r="S198" s="151"/>
      <c r="T198" s="152"/>
      <c r="U198" s="153"/>
      <c r="V198" s="154"/>
      <c r="W198" s="153"/>
      <c r="X198" s="154"/>
      <c r="Y198" s="233"/>
      <c r="Z198" s="234"/>
      <c r="AA198" s="156"/>
      <c r="AB198" s="156"/>
      <c r="AC198" s="235"/>
      <c r="AD198" s="236"/>
      <c r="AE198" s="237"/>
      <c r="AF198" s="238"/>
      <c r="AG198" s="239"/>
      <c r="AH198" s="239"/>
      <c r="AI198" s="239"/>
      <c r="AJ198" s="157"/>
      <c r="AK198" s="158"/>
      <c r="AL198" s="158"/>
      <c r="AM198" s="240"/>
      <c r="AN198" s="158"/>
      <c r="AO198" s="158"/>
      <c r="AP198" s="158"/>
      <c r="AQ198" s="158"/>
      <c r="AR198" s="158"/>
      <c r="AS198" s="158"/>
      <c r="AT198" s="158"/>
      <c r="AU198" s="158"/>
      <c r="AV198" s="158"/>
      <c r="AW198" s="158"/>
      <c r="AX198" s="158"/>
      <c r="AY198" s="241"/>
      <c r="AZ198" s="24"/>
    </row>
    <row r="199">
      <c r="A199" s="242"/>
      <c r="B199" s="243"/>
      <c r="C199" s="244"/>
      <c r="D199" s="244"/>
      <c r="E199" s="244"/>
      <c r="F199" s="244"/>
      <c r="G199" s="245"/>
      <c r="H199" s="246"/>
      <c r="I199" s="247"/>
      <c r="J199" s="244"/>
      <c r="K199" s="244"/>
      <c r="L199" s="247"/>
      <c r="W199" s="242"/>
      <c r="X199" s="248"/>
      <c r="Y199" s="249"/>
      <c r="Z199" s="250"/>
      <c r="AA199" s="36"/>
      <c r="AB199" s="36"/>
      <c r="AC199" s="13"/>
      <c r="AD199" s="13"/>
      <c r="AE199" s="37"/>
      <c r="AF199" s="37"/>
      <c r="AG199" s="14"/>
      <c r="AH199" s="14"/>
      <c r="AI199" s="14"/>
      <c r="AZ199" s="24"/>
    </row>
    <row r="200">
      <c r="A200" s="242"/>
      <c r="B200" s="243"/>
      <c r="C200" s="244"/>
      <c r="D200" s="244"/>
      <c r="E200" s="244"/>
      <c r="F200" s="244"/>
      <c r="G200" s="245"/>
      <c r="H200" s="246"/>
      <c r="I200" s="247"/>
      <c r="J200" s="244"/>
      <c r="K200" s="244"/>
      <c r="L200" s="247"/>
      <c r="W200" s="242"/>
      <c r="X200" s="248"/>
      <c r="Y200" s="249"/>
      <c r="Z200" s="250"/>
      <c r="AA200" s="36"/>
      <c r="AB200" s="36"/>
      <c r="AC200" s="13"/>
      <c r="AD200" s="13"/>
      <c r="AE200" s="37"/>
      <c r="AF200" s="37"/>
      <c r="AG200" s="14"/>
      <c r="AH200" s="14"/>
      <c r="AI200" s="14"/>
      <c r="AZ200" s="24"/>
    </row>
    <row r="201">
      <c r="A201" s="242"/>
      <c r="B201" s="243"/>
      <c r="C201" s="244"/>
      <c r="D201" s="244"/>
      <c r="E201" s="244"/>
      <c r="F201" s="244"/>
      <c r="G201" s="245"/>
      <c r="H201" s="246"/>
      <c r="I201" s="247"/>
      <c r="J201" s="244"/>
      <c r="K201" s="244"/>
      <c r="L201" s="247"/>
      <c r="W201" s="242"/>
      <c r="X201" s="248"/>
      <c r="Y201" s="249"/>
      <c r="Z201" s="250"/>
      <c r="AA201" s="36"/>
      <c r="AB201" s="36"/>
      <c r="AC201" s="13"/>
      <c r="AD201" s="13"/>
      <c r="AE201" s="37"/>
      <c r="AF201" s="37"/>
      <c r="AG201" s="14"/>
      <c r="AH201" s="14"/>
      <c r="AI201" s="14"/>
      <c r="AZ201" s="24"/>
    </row>
    <row r="202">
      <c r="A202" s="242"/>
      <c r="B202" s="243"/>
      <c r="C202" s="251" t="s">
        <v>182</v>
      </c>
      <c r="D202" s="251">
        <v>80.0</v>
      </c>
      <c r="E202" s="252" t="s">
        <v>250</v>
      </c>
      <c r="F202" s="253"/>
      <c r="G202" s="254" t="s">
        <v>176</v>
      </c>
      <c r="H202" s="255"/>
      <c r="I202" s="256"/>
      <c r="J202" s="249" t="s">
        <v>80</v>
      </c>
      <c r="K202" s="253">
        <v>70.0</v>
      </c>
      <c r="L202" s="257" t="s">
        <v>251</v>
      </c>
      <c r="M202" s="257" t="s">
        <v>231</v>
      </c>
      <c r="N202" s="258"/>
      <c r="O202" s="258"/>
      <c r="P202" s="258"/>
      <c r="Q202" s="259"/>
      <c r="R202" s="259"/>
      <c r="S202" s="259"/>
      <c r="T202" s="259"/>
      <c r="U202" s="259"/>
      <c r="V202" s="260"/>
      <c r="W202" s="259"/>
      <c r="X202" s="261" t="s">
        <v>154</v>
      </c>
      <c r="Y202" s="261">
        <v>50.0</v>
      </c>
      <c r="Z202" s="262" t="s">
        <v>252</v>
      </c>
      <c r="AA202" s="263" t="s">
        <v>253</v>
      </c>
      <c r="AB202" s="258"/>
      <c r="AC202" s="13"/>
      <c r="AD202" s="13"/>
      <c r="AE202" s="37"/>
      <c r="AF202" s="37"/>
      <c r="AG202" s="14"/>
      <c r="AH202" s="14"/>
      <c r="AI202" s="14"/>
      <c r="AZ202" s="24"/>
    </row>
    <row r="203">
      <c r="A203" s="242"/>
      <c r="B203" s="243"/>
      <c r="C203" s="251" t="s">
        <v>112</v>
      </c>
      <c r="D203" s="251">
        <v>40.0</v>
      </c>
      <c r="E203" s="252" t="s">
        <v>254</v>
      </c>
      <c r="F203" s="253"/>
      <c r="G203" s="254" t="s">
        <v>249</v>
      </c>
      <c r="H203" s="255"/>
      <c r="I203" s="256"/>
      <c r="J203" s="249" t="s">
        <v>98</v>
      </c>
      <c r="K203" s="253">
        <v>80.0</v>
      </c>
      <c r="L203" s="257" t="s">
        <v>255</v>
      </c>
      <c r="M203" s="257" t="s">
        <v>235</v>
      </c>
      <c r="N203" s="258"/>
      <c r="O203" s="258"/>
      <c r="P203" s="258"/>
      <c r="Q203" s="259"/>
      <c r="R203" s="259"/>
      <c r="S203" s="259"/>
      <c r="T203" s="259"/>
      <c r="U203" s="259"/>
      <c r="V203" s="260"/>
      <c r="W203" s="259"/>
      <c r="X203" s="261" t="s">
        <v>167</v>
      </c>
      <c r="Y203" s="261" t="s">
        <v>256</v>
      </c>
      <c r="Z203" s="262" t="s">
        <v>257</v>
      </c>
      <c r="AA203" s="263" t="s">
        <v>258</v>
      </c>
      <c r="AB203" s="258"/>
      <c r="AC203" s="13"/>
      <c r="AD203" s="13"/>
      <c r="AE203" s="37"/>
      <c r="AF203" s="37"/>
      <c r="AG203" s="14"/>
      <c r="AH203" s="14"/>
      <c r="AI203" s="14"/>
      <c r="AZ203" s="24"/>
    </row>
    <row r="204">
      <c r="A204" s="242"/>
      <c r="B204" s="243"/>
      <c r="C204" s="251" t="s">
        <v>219</v>
      </c>
      <c r="D204" s="251">
        <v>90.0</v>
      </c>
      <c r="E204" s="252" t="s">
        <v>259</v>
      </c>
      <c r="F204" s="253"/>
      <c r="G204" s="254" t="s">
        <v>260</v>
      </c>
      <c r="H204" s="255"/>
      <c r="I204" s="256"/>
      <c r="J204" s="249" t="s">
        <v>183</v>
      </c>
      <c r="K204" s="253">
        <v>20.0</v>
      </c>
      <c r="L204" s="264" t="s">
        <v>261</v>
      </c>
      <c r="M204" s="257" t="s">
        <v>239</v>
      </c>
      <c r="N204" s="258"/>
      <c r="O204" s="258"/>
      <c r="P204" s="258"/>
      <c r="Q204" s="259"/>
      <c r="R204" s="259"/>
      <c r="S204" s="259"/>
      <c r="T204" s="259"/>
      <c r="U204" s="259"/>
      <c r="V204" s="259"/>
      <c r="W204" s="260"/>
      <c r="X204" s="261" t="s">
        <v>184</v>
      </c>
      <c r="Y204" s="261">
        <v>80.0</v>
      </c>
      <c r="Z204" s="262" t="s">
        <v>262</v>
      </c>
      <c r="AA204" s="263" t="s">
        <v>263</v>
      </c>
      <c r="AB204" s="258"/>
      <c r="AC204" s="13"/>
      <c r="AD204" s="13"/>
      <c r="AE204" s="37"/>
      <c r="AF204" s="37"/>
      <c r="AG204" s="14"/>
      <c r="AH204" s="14"/>
      <c r="AI204" s="14"/>
      <c r="AZ204" s="24"/>
    </row>
    <row r="205">
      <c r="A205" s="242"/>
      <c r="B205" s="243"/>
      <c r="C205" s="251" t="s">
        <v>213</v>
      </c>
      <c r="D205" s="251">
        <v>100.0</v>
      </c>
      <c r="E205" s="252" t="s">
        <v>264</v>
      </c>
      <c r="F205" s="253"/>
      <c r="G205" s="254" t="s">
        <v>265</v>
      </c>
      <c r="H205" s="255"/>
      <c r="I205" s="256"/>
      <c r="J205" s="249" t="s">
        <v>109</v>
      </c>
      <c r="K205" s="253">
        <v>30.0</v>
      </c>
      <c r="L205" s="264" t="s">
        <v>266</v>
      </c>
      <c r="M205" s="257" t="s">
        <v>96</v>
      </c>
      <c r="N205" s="258"/>
      <c r="O205" s="258"/>
      <c r="P205" s="258"/>
      <c r="Q205" s="259"/>
      <c r="R205" s="259"/>
      <c r="S205" s="259"/>
      <c r="T205" s="259"/>
      <c r="U205" s="259"/>
      <c r="V205" s="259"/>
      <c r="W205" s="260"/>
      <c r="X205" s="261" t="s">
        <v>190</v>
      </c>
      <c r="Y205" s="261">
        <v>50.0</v>
      </c>
      <c r="Z205" s="262" t="s">
        <v>267</v>
      </c>
      <c r="AA205" s="263" t="s">
        <v>268</v>
      </c>
      <c r="AB205" s="258"/>
      <c r="AC205" s="13"/>
      <c r="AD205" s="13"/>
      <c r="AE205" s="37"/>
      <c r="AF205" s="37"/>
      <c r="AG205" s="14"/>
      <c r="AH205" s="14"/>
      <c r="AI205" s="14"/>
      <c r="AZ205" s="24"/>
    </row>
    <row r="206">
      <c r="A206" s="242"/>
      <c r="B206" s="243"/>
      <c r="C206" s="251" t="s">
        <v>204</v>
      </c>
      <c r="D206" s="251">
        <v>110.0</v>
      </c>
      <c r="E206" s="252" t="s">
        <v>269</v>
      </c>
      <c r="F206" s="253"/>
      <c r="G206" s="254" t="s">
        <v>270</v>
      </c>
      <c r="H206" s="255"/>
      <c r="I206" s="256"/>
      <c r="J206" s="249" t="s">
        <v>116</v>
      </c>
      <c r="K206" s="253">
        <v>100.0</v>
      </c>
      <c r="L206" s="264" t="s">
        <v>271</v>
      </c>
      <c r="M206" s="257" t="s">
        <v>151</v>
      </c>
      <c r="N206" s="258"/>
      <c r="O206" s="258"/>
      <c r="P206" s="258"/>
      <c r="Q206" s="259"/>
      <c r="R206" s="259"/>
      <c r="S206" s="259"/>
      <c r="T206" s="259"/>
      <c r="U206" s="259"/>
      <c r="V206" s="259"/>
      <c r="W206" s="260"/>
      <c r="X206" s="261" t="s">
        <v>205</v>
      </c>
      <c r="Y206" s="261">
        <v>80.0</v>
      </c>
      <c r="Z206" s="262" t="s">
        <v>272</v>
      </c>
      <c r="AA206" s="263" t="s">
        <v>273</v>
      </c>
      <c r="AB206" s="258"/>
      <c r="AC206" s="13"/>
      <c r="AD206" s="13"/>
      <c r="AE206" s="37"/>
      <c r="AF206" s="37"/>
      <c r="AG206" s="14"/>
      <c r="AH206" s="14"/>
      <c r="AI206" s="14"/>
      <c r="AZ206" s="24"/>
    </row>
    <row r="207">
      <c r="A207" s="242"/>
      <c r="B207" s="243"/>
      <c r="C207" s="251" t="s">
        <v>198</v>
      </c>
      <c r="D207" s="251">
        <v>30.0</v>
      </c>
      <c r="E207" s="252" t="s">
        <v>274</v>
      </c>
      <c r="F207" s="253"/>
      <c r="G207" s="254" t="s">
        <v>248</v>
      </c>
      <c r="H207" s="255"/>
      <c r="I207" s="256"/>
      <c r="J207" s="249" t="s">
        <v>126</v>
      </c>
      <c r="K207" s="253">
        <v>90.0</v>
      </c>
      <c r="L207" s="264" t="s">
        <v>275</v>
      </c>
      <c r="M207" s="257" t="s">
        <v>162</v>
      </c>
      <c r="N207" s="258"/>
      <c r="O207" s="258"/>
      <c r="P207" s="258"/>
      <c r="Q207" s="259"/>
      <c r="R207" s="259"/>
      <c r="S207" s="259"/>
      <c r="T207" s="259"/>
      <c r="U207" s="259"/>
      <c r="V207" s="259"/>
      <c r="W207" s="260"/>
      <c r="X207" s="261" t="s">
        <v>215</v>
      </c>
      <c r="Y207" s="261">
        <v>80.0</v>
      </c>
      <c r="Z207" s="262" t="s">
        <v>276</v>
      </c>
      <c r="AA207" s="263" t="s">
        <v>277</v>
      </c>
      <c r="AB207" s="258"/>
      <c r="AC207" s="13"/>
      <c r="AD207" s="13"/>
      <c r="AE207" s="37"/>
      <c r="AF207" s="37"/>
      <c r="AG207" s="14"/>
      <c r="AH207" s="14"/>
      <c r="AI207" s="14"/>
      <c r="AZ207" s="24"/>
    </row>
    <row r="208">
      <c r="A208" s="242"/>
      <c r="B208" s="243"/>
      <c r="C208" s="251" t="s">
        <v>115</v>
      </c>
      <c r="D208" s="251">
        <v>20.0</v>
      </c>
      <c r="E208" s="252" t="s">
        <v>278</v>
      </c>
      <c r="F208" s="253"/>
      <c r="G208" s="254" t="s">
        <v>187</v>
      </c>
      <c r="H208" s="255"/>
      <c r="I208" s="256"/>
      <c r="J208" s="249" t="s">
        <v>111</v>
      </c>
      <c r="K208" s="253">
        <v>0.0</v>
      </c>
      <c r="L208" s="264" t="s">
        <v>279</v>
      </c>
      <c r="M208" s="257" t="s">
        <v>179</v>
      </c>
      <c r="N208" s="258"/>
      <c r="O208" s="258"/>
      <c r="P208" s="258"/>
      <c r="Q208" s="259"/>
      <c r="R208" s="259"/>
      <c r="S208" s="259"/>
      <c r="T208" s="259"/>
      <c r="U208" s="259"/>
      <c r="V208" s="259"/>
      <c r="W208" s="260"/>
      <c r="X208" s="261" t="s">
        <v>220</v>
      </c>
      <c r="Y208" s="261">
        <v>10.0</v>
      </c>
      <c r="Z208" s="262" t="s">
        <v>280</v>
      </c>
      <c r="AA208" s="263" t="s">
        <v>281</v>
      </c>
      <c r="AB208" s="258"/>
      <c r="AC208" s="13"/>
      <c r="AD208" s="13"/>
      <c r="AE208" s="37"/>
      <c r="AF208" s="37"/>
      <c r="AG208" s="14"/>
      <c r="AH208" s="14"/>
      <c r="AI208" s="14"/>
      <c r="AZ208" s="24"/>
    </row>
    <row r="209">
      <c r="A209" s="242"/>
      <c r="B209" s="243"/>
      <c r="C209" s="251" t="s">
        <v>108</v>
      </c>
      <c r="D209" s="251">
        <v>10.0</v>
      </c>
      <c r="E209" s="252" t="s">
        <v>282</v>
      </c>
      <c r="F209" s="253"/>
      <c r="G209" s="254" t="s">
        <v>78</v>
      </c>
      <c r="H209" s="255"/>
      <c r="I209" s="256"/>
      <c r="J209" s="249" t="s">
        <v>69</v>
      </c>
      <c r="K209" s="253">
        <v>90.0</v>
      </c>
      <c r="L209" s="264" t="s">
        <v>283</v>
      </c>
      <c r="M209" s="257" t="s">
        <v>188</v>
      </c>
      <c r="N209" s="258"/>
      <c r="O209" s="258"/>
      <c r="P209" s="258"/>
      <c r="Q209" s="259"/>
      <c r="R209" s="259"/>
      <c r="S209" s="259"/>
      <c r="T209" s="259"/>
      <c r="U209" s="259"/>
      <c r="V209" s="259"/>
      <c r="W209" s="260"/>
      <c r="X209" s="261" t="s">
        <v>225</v>
      </c>
      <c r="Y209" s="261">
        <v>20.0</v>
      </c>
      <c r="Z209" s="262" t="s">
        <v>284</v>
      </c>
      <c r="AA209" s="263" t="s">
        <v>285</v>
      </c>
      <c r="AB209" s="258"/>
      <c r="AC209" s="13"/>
      <c r="AD209" s="13"/>
      <c r="AE209" s="37"/>
      <c r="AF209" s="37"/>
      <c r="AG209" s="14"/>
      <c r="AH209" s="14"/>
      <c r="AI209" s="14"/>
      <c r="AZ209" s="24"/>
    </row>
    <row r="210">
      <c r="A210" s="242"/>
      <c r="B210" s="243"/>
      <c r="C210" s="251" t="s">
        <v>164</v>
      </c>
      <c r="D210" s="251">
        <v>50.0</v>
      </c>
      <c r="E210" s="252" t="s">
        <v>286</v>
      </c>
      <c r="F210" s="253"/>
      <c r="G210" s="254" t="s">
        <v>216</v>
      </c>
      <c r="H210" s="255"/>
      <c r="I210" s="256"/>
      <c r="J210" s="249" t="s">
        <v>212</v>
      </c>
      <c r="K210" s="253">
        <v>50.0</v>
      </c>
      <c r="L210" s="264" t="s">
        <v>287</v>
      </c>
      <c r="M210" s="257" t="s">
        <v>211</v>
      </c>
      <c r="N210" s="258"/>
      <c r="O210" s="258"/>
      <c r="P210" s="258"/>
      <c r="Q210" s="259"/>
      <c r="R210" s="259"/>
      <c r="S210" s="259"/>
      <c r="T210" s="259"/>
      <c r="U210" s="259"/>
      <c r="V210" s="259"/>
      <c r="W210" s="260"/>
      <c r="X210" s="261" t="s">
        <v>229</v>
      </c>
      <c r="Y210" s="261">
        <v>100.0</v>
      </c>
      <c r="Z210" s="262" t="s">
        <v>288</v>
      </c>
      <c r="AA210" s="263" t="s">
        <v>104</v>
      </c>
      <c r="AB210" s="258"/>
      <c r="AC210" s="13"/>
      <c r="AD210" s="13"/>
      <c r="AE210" s="37"/>
      <c r="AF210" s="37"/>
      <c r="AG210" s="14"/>
      <c r="AH210" s="14"/>
      <c r="AI210" s="14"/>
      <c r="AZ210" s="24"/>
    </row>
    <row r="211">
      <c r="A211" s="242"/>
      <c r="B211" s="243"/>
      <c r="C211" s="251" t="s">
        <v>114</v>
      </c>
      <c r="D211" s="251">
        <v>0.0</v>
      </c>
      <c r="E211" s="252" t="s">
        <v>289</v>
      </c>
      <c r="F211" s="253"/>
      <c r="G211" s="254" t="s">
        <v>221</v>
      </c>
      <c r="H211" s="255"/>
      <c r="I211" s="256"/>
      <c r="J211" s="249" t="s">
        <v>218</v>
      </c>
      <c r="K211" s="253">
        <v>40.0</v>
      </c>
      <c r="L211" s="264" t="s">
        <v>290</v>
      </c>
      <c r="M211" s="257" t="s">
        <v>217</v>
      </c>
      <c r="N211" s="258"/>
      <c r="O211" s="258"/>
      <c r="P211" s="258"/>
      <c r="Q211" s="259"/>
      <c r="R211" s="259"/>
      <c r="S211" s="259"/>
      <c r="T211" s="259"/>
      <c r="U211" s="259"/>
      <c r="V211" s="259"/>
      <c r="W211" s="260"/>
      <c r="X211" s="261" t="s">
        <v>232</v>
      </c>
      <c r="Y211" s="261" t="s">
        <v>256</v>
      </c>
      <c r="Z211" s="262" t="s">
        <v>291</v>
      </c>
      <c r="AA211" s="263" t="s">
        <v>292</v>
      </c>
      <c r="AB211" s="258"/>
      <c r="AC211" s="13"/>
      <c r="AD211" s="13"/>
      <c r="AE211" s="37"/>
      <c r="AF211" s="37"/>
      <c r="AG211" s="14"/>
      <c r="AH211" s="14"/>
      <c r="AI211" s="14"/>
      <c r="AZ211" s="24"/>
    </row>
    <row r="212">
      <c r="A212" s="242"/>
      <c r="B212" s="243"/>
      <c r="C212" s="251" t="s">
        <v>110</v>
      </c>
      <c r="D212" s="251">
        <v>60.0</v>
      </c>
      <c r="E212" s="252" t="s">
        <v>293</v>
      </c>
      <c r="F212" s="253"/>
      <c r="G212" s="254" t="s">
        <v>294</v>
      </c>
      <c r="H212" s="255"/>
      <c r="I212" s="256"/>
      <c r="J212" s="249" t="s">
        <v>214</v>
      </c>
      <c r="K212" s="253">
        <v>60.0</v>
      </c>
      <c r="L212" s="264" t="s">
        <v>295</v>
      </c>
      <c r="M212" s="257" t="s">
        <v>223</v>
      </c>
      <c r="N212" s="258"/>
      <c r="O212" s="258"/>
      <c r="P212" s="258"/>
      <c r="Q212" s="259"/>
      <c r="R212" s="259"/>
      <c r="S212" s="259"/>
      <c r="T212" s="259"/>
      <c r="U212" s="259"/>
      <c r="V212" s="259"/>
      <c r="W212" s="260"/>
      <c r="X212" s="261" t="s">
        <v>236</v>
      </c>
      <c r="Y212" s="261">
        <v>80.0</v>
      </c>
      <c r="Z212" s="262" t="s">
        <v>296</v>
      </c>
      <c r="AA212" s="263" t="s">
        <v>1</v>
      </c>
      <c r="AB212" s="258"/>
      <c r="AC212" s="13"/>
      <c r="AD212" s="13"/>
      <c r="AE212" s="37"/>
      <c r="AF212" s="37"/>
      <c r="AG212" s="14"/>
      <c r="AH212" s="14"/>
      <c r="AI212" s="14"/>
      <c r="AZ212" s="24"/>
    </row>
    <row r="213">
      <c r="A213" s="242"/>
      <c r="B213" s="243"/>
      <c r="C213" s="251" t="s">
        <v>165</v>
      </c>
      <c r="D213" s="251">
        <v>70.0</v>
      </c>
      <c r="E213" s="252" t="s">
        <v>297</v>
      </c>
      <c r="F213" s="253"/>
      <c r="G213" s="254" t="s">
        <v>298</v>
      </c>
      <c r="H213" s="255"/>
      <c r="I213" s="256"/>
      <c r="J213" s="249" t="s">
        <v>113</v>
      </c>
      <c r="K213" s="253">
        <v>10.0</v>
      </c>
      <c r="L213" s="264" t="s">
        <v>299</v>
      </c>
      <c r="M213" s="257" t="s">
        <v>228</v>
      </c>
      <c r="N213" s="258"/>
      <c r="O213" s="258"/>
      <c r="P213" s="258"/>
      <c r="Q213" s="259"/>
      <c r="R213" s="259"/>
      <c r="S213" s="259"/>
      <c r="T213" s="259"/>
      <c r="U213" s="259"/>
      <c r="V213" s="259"/>
      <c r="W213" s="260"/>
      <c r="X213" s="261" t="s">
        <v>127</v>
      </c>
      <c r="Y213" s="261" t="s">
        <v>256</v>
      </c>
      <c r="Z213" s="262" t="s">
        <v>300</v>
      </c>
      <c r="AA213" s="263" t="s">
        <v>301</v>
      </c>
      <c r="AB213" s="258"/>
      <c r="AC213" s="13"/>
      <c r="AD213" s="13"/>
      <c r="AE213" s="37"/>
      <c r="AF213" s="37"/>
      <c r="AG213" s="14"/>
      <c r="AH213" s="14"/>
      <c r="AI213" s="14"/>
      <c r="AZ213" s="24"/>
    </row>
    <row r="214">
      <c r="B214" s="24"/>
      <c r="G214" s="128"/>
      <c r="H214" s="128"/>
      <c r="I214" s="128"/>
      <c r="J214" s="128"/>
      <c r="K214" s="265"/>
      <c r="Y214" s="10"/>
      <c r="Z214" s="11"/>
      <c r="AA214" s="36"/>
      <c r="AB214" s="36"/>
      <c r="AC214" s="13"/>
      <c r="AD214" s="13"/>
      <c r="AE214" s="37"/>
      <c r="AF214" s="37"/>
      <c r="AG214" s="14"/>
      <c r="AH214" s="14"/>
      <c r="AI214" s="14"/>
      <c r="AZ214" s="24"/>
    </row>
    <row r="215">
      <c r="B215" s="24"/>
      <c r="G215" s="128"/>
      <c r="H215" s="128"/>
      <c r="I215" s="128"/>
      <c r="J215" s="128"/>
      <c r="K215" s="265"/>
      <c r="Y215" s="10"/>
      <c r="Z215" s="11"/>
      <c r="AA215" s="36"/>
      <c r="AB215" s="36"/>
      <c r="AC215" s="13"/>
      <c r="AD215" s="13"/>
      <c r="AE215" s="37"/>
      <c r="AF215" s="37"/>
      <c r="AG215" s="14"/>
      <c r="AH215" s="14"/>
      <c r="AI215" s="14"/>
      <c r="AZ215" s="24"/>
    </row>
    <row r="216">
      <c r="B216" s="24"/>
      <c r="G216" s="128"/>
      <c r="H216" s="128"/>
      <c r="I216" s="128"/>
      <c r="J216" s="128"/>
      <c r="K216" s="265"/>
      <c r="Y216" s="10"/>
      <c r="Z216" s="11"/>
      <c r="AA216" s="36"/>
      <c r="AB216" s="36"/>
      <c r="AC216" s="13"/>
      <c r="AD216" s="13"/>
      <c r="AE216" s="37"/>
      <c r="AF216" s="37"/>
      <c r="AG216" s="14"/>
      <c r="AH216" s="14"/>
      <c r="AI216" s="14"/>
      <c r="AZ216" s="24"/>
    </row>
    <row r="217">
      <c r="B217" s="24"/>
      <c r="G217" s="128"/>
      <c r="H217" s="128"/>
      <c r="I217" s="128"/>
      <c r="J217" s="128"/>
      <c r="K217" s="265"/>
      <c r="Y217" s="10"/>
      <c r="Z217" s="11"/>
      <c r="AA217" s="36"/>
      <c r="AB217" s="36"/>
      <c r="AC217" s="13"/>
      <c r="AD217" s="13"/>
      <c r="AE217" s="37"/>
      <c r="AF217" s="37"/>
      <c r="AG217" s="14"/>
      <c r="AH217" s="14"/>
      <c r="AI217" s="14"/>
      <c r="AZ217" s="24"/>
    </row>
    <row r="218">
      <c r="B218" s="24"/>
      <c r="K218" s="36"/>
      <c r="Y218" s="10"/>
      <c r="Z218" s="11"/>
      <c r="AA218" s="36"/>
      <c r="AB218" s="36"/>
      <c r="AC218" s="13"/>
      <c r="AD218" s="13"/>
      <c r="AE218" s="37"/>
      <c r="AF218" s="37"/>
      <c r="AG218" s="14"/>
      <c r="AH218" s="14"/>
      <c r="AI218" s="14"/>
      <c r="AZ218" s="24"/>
    </row>
    <row r="219">
      <c r="B219" s="24"/>
      <c r="K219" s="36"/>
      <c r="Y219" s="10"/>
      <c r="Z219" s="11"/>
      <c r="AA219" s="36"/>
      <c r="AB219" s="36"/>
      <c r="AC219" s="13"/>
      <c r="AD219" s="13"/>
      <c r="AE219" s="37"/>
      <c r="AF219" s="37"/>
      <c r="AG219" s="14"/>
      <c r="AH219" s="14"/>
      <c r="AI219" s="14"/>
      <c r="AZ219" s="24"/>
    </row>
    <row r="220">
      <c r="B220" s="24"/>
      <c r="K220" s="36"/>
      <c r="Y220" s="10"/>
      <c r="Z220" s="11"/>
      <c r="AA220" s="36"/>
      <c r="AB220" s="36"/>
      <c r="AC220" s="13"/>
      <c r="AD220" s="13"/>
      <c r="AE220" s="37"/>
      <c r="AF220" s="37"/>
      <c r="AG220" s="14"/>
      <c r="AH220" s="14"/>
      <c r="AI220" s="14"/>
      <c r="AZ220" s="24"/>
    </row>
    <row r="221">
      <c r="B221" s="24"/>
      <c r="K221" s="36"/>
      <c r="Y221" s="10"/>
      <c r="Z221" s="11"/>
      <c r="AA221" s="36"/>
      <c r="AB221" s="36"/>
      <c r="AC221" s="13"/>
      <c r="AD221" s="13"/>
      <c r="AE221" s="37"/>
      <c r="AF221" s="37"/>
      <c r="AG221" s="14"/>
      <c r="AH221" s="14"/>
      <c r="AI221" s="14"/>
      <c r="AZ221" s="24"/>
    </row>
    <row r="222">
      <c r="B222" s="24"/>
      <c r="K222" s="36"/>
      <c r="Y222" s="10"/>
      <c r="Z222" s="11"/>
      <c r="AA222" s="36"/>
      <c r="AB222" s="36"/>
      <c r="AC222" s="13"/>
      <c r="AD222" s="13"/>
      <c r="AE222" s="37"/>
      <c r="AF222" s="37"/>
      <c r="AG222" s="14"/>
      <c r="AH222" s="14"/>
      <c r="AI222" s="14"/>
      <c r="AZ222" s="24"/>
    </row>
    <row r="223">
      <c r="B223" s="24"/>
      <c r="K223" s="36"/>
      <c r="Y223" s="10"/>
      <c r="Z223" s="11"/>
      <c r="AA223" s="36"/>
      <c r="AB223" s="36"/>
      <c r="AC223" s="13"/>
      <c r="AD223" s="13"/>
      <c r="AE223" s="37"/>
      <c r="AF223" s="37"/>
      <c r="AG223" s="14"/>
      <c r="AH223" s="14"/>
      <c r="AI223" s="14"/>
      <c r="AZ223" s="24"/>
    </row>
    <row r="224">
      <c r="B224" s="24"/>
      <c r="K224" s="36"/>
      <c r="Y224" s="10"/>
      <c r="Z224" s="11"/>
      <c r="AA224" s="36"/>
      <c r="AB224" s="36"/>
      <c r="AC224" s="13"/>
      <c r="AD224" s="13"/>
      <c r="AE224" s="37"/>
      <c r="AF224" s="37"/>
      <c r="AG224" s="14"/>
      <c r="AH224" s="14"/>
      <c r="AI224" s="14"/>
      <c r="AZ224" s="24"/>
    </row>
    <row r="225">
      <c r="B225" s="24"/>
      <c r="K225" s="36"/>
      <c r="Y225" s="10"/>
      <c r="Z225" s="11"/>
      <c r="AA225" s="36"/>
      <c r="AB225" s="36"/>
      <c r="AC225" s="13"/>
      <c r="AD225" s="13"/>
      <c r="AE225" s="37"/>
      <c r="AF225" s="37"/>
      <c r="AG225" s="14"/>
      <c r="AH225" s="14"/>
      <c r="AI225" s="14"/>
      <c r="AZ225" s="24"/>
    </row>
    <row r="226">
      <c r="B226" s="24"/>
      <c r="K226" s="36"/>
      <c r="Y226" s="10"/>
      <c r="Z226" s="11"/>
      <c r="AA226" s="36"/>
      <c r="AB226" s="36"/>
      <c r="AC226" s="13"/>
      <c r="AD226" s="13"/>
      <c r="AE226" s="37"/>
      <c r="AF226" s="37"/>
      <c r="AG226" s="14"/>
      <c r="AH226" s="14"/>
      <c r="AI226" s="14"/>
      <c r="AZ226" s="24"/>
    </row>
    <row r="227">
      <c r="B227" s="24"/>
      <c r="K227" s="36"/>
      <c r="Y227" s="10"/>
      <c r="Z227" s="11"/>
      <c r="AA227" s="36"/>
      <c r="AB227" s="36"/>
      <c r="AC227" s="13"/>
      <c r="AD227" s="13"/>
      <c r="AE227" s="37"/>
      <c r="AF227" s="37"/>
      <c r="AG227" s="14"/>
      <c r="AH227" s="14"/>
      <c r="AI227" s="14"/>
      <c r="AZ227" s="24"/>
    </row>
    <row r="228">
      <c r="B228" s="24"/>
      <c r="K228" s="36"/>
      <c r="Y228" s="10"/>
      <c r="Z228" s="11"/>
      <c r="AA228" s="36"/>
      <c r="AB228" s="36"/>
      <c r="AC228" s="13"/>
      <c r="AD228" s="13"/>
      <c r="AE228" s="37"/>
      <c r="AF228" s="37"/>
      <c r="AG228" s="14"/>
      <c r="AH228" s="14"/>
      <c r="AI228" s="14"/>
      <c r="AZ228" s="24"/>
    </row>
    <row r="229">
      <c r="B229" s="24"/>
      <c r="K229" s="36"/>
      <c r="Y229" s="10"/>
      <c r="Z229" s="11"/>
      <c r="AA229" s="36"/>
      <c r="AB229" s="36"/>
      <c r="AC229" s="13"/>
      <c r="AD229" s="13"/>
      <c r="AE229" s="37"/>
      <c r="AF229" s="37"/>
      <c r="AG229" s="14"/>
      <c r="AH229" s="14"/>
      <c r="AI229" s="14"/>
      <c r="AZ229" s="24"/>
    </row>
    <row r="230">
      <c r="B230" s="24"/>
      <c r="K230" s="36"/>
      <c r="Y230" s="10"/>
      <c r="Z230" s="11"/>
      <c r="AA230" s="36"/>
      <c r="AB230" s="36"/>
      <c r="AC230" s="13"/>
      <c r="AD230" s="13"/>
      <c r="AE230" s="37"/>
      <c r="AF230" s="37"/>
      <c r="AG230" s="14"/>
      <c r="AH230" s="14"/>
      <c r="AI230" s="14"/>
      <c r="AZ230" s="24"/>
    </row>
    <row r="231">
      <c r="B231" s="24"/>
      <c r="K231" s="36"/>
      <c r="Y231" s="10"/>
      <c r="Z231" s="11"/>
      <c r="AA231" s="36"/>
      <c r="AB231" s="36"/>
      <c r="AC231" s="13"/>
      <c r="AD231" s="13"/>
      <c r="AE231" s="37"/>
      <c r="AF231" s="37"/>
      <c r="AG231" s="14"/>
      <c r="AH231" s="14"/>
      <c r="AI231" s="14"/>
      <c r="AZ231" s="24"/>
    </row>
    <row r="232">
      <c r="B232" s="24"/>
      <c r="K232" s="36"/>
      <c r="Y232" s="10"/>
      <c r="Z232" s="11"/>
      <c r="AA232" s="36"/>
      <c r="AB232" s="36"/>
      <c r="AC232" s="13"/>
      <c r="AD232" s="13"/>
      <c r="AE232" s="37"/>
      <c r="AF232" s="37"/>
      <c r="AG232" s="14"/>
      <c r="AH232" s="14"/>
      <c r="AI232" s="14"/>
      <c r="AZ232" s="24"/>
    </row>
    <row r="233">
      <c r="B233" s="24"/>
      <c r="K233" s="36"/>
      <c r="Y233" s="10"/>
      <c r="Z233" s="11"/>
      <c r="AA233" s="36"/>
      <c r="AB233" s="36"/>
      <c r="AC233" s="13"/>
      <c r="AD233" s="13"/>
      <c r="AE233" s="37"/>
      <c r="AF233" s="37"/>
      <c r="AG233" s="14"/>
      <c r="AH233" s="14"/>
      <c r="AI233" s="14"/>
      <c r="AZ233" s="24"/>
    </row>
    <row r="234">
      <c r="B234" s="24"/>
      <c r="K234" s="36"/>
      <c r="Y234" s="10"/>
      <c r="Z234" s="11"/>
      <c r="AA234" s="36"/>
      <c r="AB234" s="36"/>
      <c r="AC234" s="13"/>
      <c r="AD234" s="13"/>
      <c r="AE234" s="37"/>
      <c r="AF234" s="37"/>
      <c r="AG234" s="14"/>
      <c r="AH234" s="14"/>
      <c r="AI234" s="14"/>
      <c r="AZ234" s="24"/>
    </row>
    <row r="235">
      <c r="B235" s="24"/>
      <c r="K235" s="36"/>
      <c r="Y235" s="10"/>
      <c r="Z235" s="11"/>
      <c r="AA235" s="36"/>
      <c r="AB235" s="36"/>
      <c r="AC235" s="13"/>
      <c r="AD235" s="13"/>
      <c r="AE235" s="37"/>
      <c r="AF235" s="37"/>
      <c r="AG235" s="14"/>
      <c r="AH235" s="14"/>
      <c r="AI235" s="14"/>
      <c r="AZ235" s="24"/>
    </row>
    <row r="236">
      <c r="B236" s="24"/>
      <c r="K236" s="36"/>
      <c r="Y236" s="10"/>
      <c r="Z236" s="11"/>
      <c r="AA236" s="36"/>
      <c r="AB236" s="36"/>
      <c r="AC236" s="13"/>
      <c r="AD236" s="13"/>
      <c r="AE236" s="37"/>
      <c r="AF236" s="37"/>
      <c r="AG236" s="14"/>
      <c r="AH236" s="14"/>
      <c r="AI236" s="14"/>
      <c r="AZ236" s="24"/>
    </row>
    <row r="237">
      <c r="B237" s="24"/>
      <c r="K237" s="36"/>
      <c r="Y237" s="10"/>
      <c r="Z237" s="11"/>
      <c r="AA237" s="36"/>
      <c r="AB237" s="36"/>
      <c r="AC237" s="13"/>
      <c r="AD237" s="13"/>
      <c r="AE237" s="37"/>
      <c r="AF237" s="37"/>
      <c r="AG237" s="14"/>
      <c r="AH237" s="14"/>
      <c r="AI237" s="14"/>
      <c r="AZ237" s="24"/>
    </row>
    <row r="238">
      <c r="B238" s="24"/>
      <c r="K238" s="36"/>
      <c r="Y238" s="10"/>
      <c r="Z238" s="11"/>
      <c r="AA238" s="36"/>
      <c r="AB238" s="36"/>
      <c r="AC238" s="13"/>
      <c r="AD238" s="13"/>
      <c r="AE238" s="37"/>
      <c r="AF238" s="37"/>
      <c r="AG238" s="14"/>
      <c r="AH238" s="14"/>
      <c r="AI238" s="14"/>
      <c r="AZ238" s="24"/>
    </row>
    <row r="239">
      <c r="B239" s="24"/>
      <c r="K239" s="36"/>
      <c r="Y239" s="10"/>
      <c r="Z239" s="11"/>
      <c r="AA239" s="36"/>
      <c r="AB239" s="36"/>
      <c r="AC239" s="13"/>
      <c r="AD239" s="13"/>
      <c r="AE239" s="37"/>
      <c r="AF239" s="37"/>
      <c r="AG239" s="14"/>
      <c r="AH239" s="14"/>
      <c r="AI239" s="14"/>
      <c r="AZ239" s="24"/>
    </row>
    <row r="240">
      <c r="B240" s="24"/>
      <c r="K240" s="36"/>
      <c r="Y240" s="10"/>
      <c r="Z240" s="11"/>
      <c r="AA240" s="36"/>
      <c r="AB240" s="36"/>
      <c r="AC240" s="13"/>
      <c r="AD240" s="13"/>
      <c r="AE240" s="37"/>
      <c r="AF240" s="37"/>
      <c r="AG240" s="14"/>
      <c r="AH240" s="14"/>
      <c r="AI240" s="14"/>
      <c r="AZ240" s="24"/>
    </row>
    <row r="241">
      <c r="B241" s="24"/>
      <c r="K241" s="36"/>
      <c r="Y241" s="10"/>
      <c r="Z241" s="11"/>
      <c r="AA241" s="36"/>
      <c r="AB241" s="36"/>
      <c r="AC241" s="13"/>
      <c r="AD241" s="13"/>
      <c r="AE241" s="37"/>
      <c r="AF241" s="37"/>
      <c r="AG241" s="14"/>
      <c r="AH241" s="14"/>
      <c r="AI241" s="14"/>
      <c r="AZ241" s="24"/>
    </row>
    <row r="242">
      <c r="B242" s="24"/>
      <c r="K242" s="36"/>
      <c r="Y242" s="10"/>
      <c r="Z242" s="11"/>
      <c r="AA242" s="36"/>
      <c r="AB242" s="36"/>
      <c r="AC242" s="13"/>
      <c r="AD242" s="13"/>
      <c r="AE242" s="37"/>
      <c r="AF242" s="37"/>
      <c r="AG242" s="14"/>
      <c r="AH242" s="14"/>
      <c r="AI242" s="14"/>
      <c r="AZ242" s="24"/>
    </row>
    <row r="243">
      <c r="B243" s="24"/>
      <c r="K243" s="36"/>
      <c r="Y243" s="10"/>
      <c r="Z243" s="11"/>
      <c r="AA243" s="36"/>
      <c r="AB243" s="36"/>
      <c r="AC243" s="13"/>
      <c r="AD243" s="13"/>
      <c r="AE243" s="37"/>
      <c r="AF243" s="37"/>
      <c r="AG243" s="14"/>
      <c r="AH243" s="14"/>
      <c r="AI243" s="14"/>
      <c r="AZ243" s="24"/>
    </row>
    <row r="244">
      <c r="B244" s="24"/>
      <c r="K244" s="36"/>
      <c r="Y244" s="10"/>
      <c r="Z244" s="11"/>
      <c r="AA244" s="36"/>
      <c r="AB244" s="36"/>
      <c r="AC244" s="13"/>
      <c r="AD244" s="13"/>
      <c r="AE244" s="37"/>
      <c r="AF244" s="37"/>
      <c r="AG244" s="14"/>
      <c r="AH244" s="14"/>
      <c r="AI244" s="14"/>
      <c r="AZ244" s="24"/>
    </row>
    <row r="245">
      <c r="B245" s="24"/>
      <c r="K245" s="36"/>
      <c r="Y245" s="10"/>
      <c r="Z245" s="11"/>
      <c r="AA245" s="36"/>
      <c r="AB245" s="36"/>
      <c r="AC245" s="13"/>
      <c r="AD245" s="13"/>
      <c r="AE245" s="37"/>
      <c r="AF245" s="37"/>
      <c r="AG245" s="14"/>
      <c r="AH245" s="14"/>
      <c r="AI245" s="14"/>
      <c r="AZ245" s="24"/>
    </row>
    <row r="246">
      <c r="B246" s="24"/>
      <c r="K246" s="36"/>
      <c r="Y246" s="10"/>
      <c r="Z246" s="11"/>
      <c r="AA246" s="36"/>
      <c r="AB246" s="36"/>
      <c r="AC246" s="13"/>
      <c r="AD246" s="13"/>
      <c r="AE246" s="37"/>
      <c r="AF246" s="37"/>
      <c r="AG246" s="14"/>
      <c r="AH246" s="14"/>
      <c r="AI246" s="14"/>
      <c r="AZ246" s="24"/>
    </row>
    <row r="247">
      <c r="B247" s="24"/>
      <c r="K247" s="36"/>
      <c r="Y247" s="10"/>
      <c r="Z247" s="11"/>
      <c r="AA247" s="36"/>
      <c r="AB247" s="36"/>
      <c r="AC247" s="13"/>
      <c r="AD247" s="13"/>
      <c r="AE247" s="37"/>
      <c r="AF247" s="37"/>
      <c r="AG247" s="14"/>
      <c r="AH247" s="14"/>
      <c r="AI247" s="14"/>
      <c r="AZ247" s="24"/>
    </row>
    <row r="248">
      <c r="B248" s="24"/>
      <c r="K248" s="36"/>
      <c r="Y248" s="10"/>
      <c r="Z248" s="11"/>
      <c r="AA248" s="36"/>
      <c r="AB248" s="36"/>
      <c r="AC248" s="13"/>
      <c r="AD248" s="13"/>
      <c r="AE248" s="37"/>
      <c r="AF248" s="37"/>
      <c r="AG248" s="14"/>
      <c r="AH248" s="14"/>
      <c r="AI248" s="14"/>
      <c r="AZ248" s="24"/>
    </row>
    <row r="249">
      <c r="B249" s="24"/>
      <c r="K249" s="36"/>
      <c r="Y249" s="10"/>
      <c r="Z249" s="11"/>
      <c r="AA249" s="36"/>
      <c r="AB249" s="36"/>
      <c r="AC249" s="13"/>
      <c r="AD249" s="13"/>
      <c r="AE249" s="37"/>
      <c r="AF249" s="37"/>
      <c r="AG249" s="14"/>
      <c r="AH249" s="14"/>
      <c r="AI249" s="14"/>
      <c r="AZ249" s="24"/>
    </row>
    <row r="250">
      <c r="B250" s="24"/>
      <c r="K250" s="36"/>
      <c r="Y250" s="10"/>
      <c r="Z250" s="11"/>
      <c r="AA250" s="36"/>
      <c r="AB250" s="36"/>
      <c r="AC250" s="13"/>
      <c r="AD250" s="13"/>
      <c r="AE250" s="37"/>
      <c r="AF250" s="37"/>
      <c r="AG250" s="14"/>
      <c r="AH250" s="14"/>
      <c r="AI250" s="14"/>
      <c r="AZ250" s="24"/>
    </row>
    <row r="251">
      <c r="B251" s="24"/>
      <c r="K251" s="36"/>
      <c r="Y251" s="10"/>
      <c r="Z251" s="11"/>
      <c r="AA251" s="36"/>
      <c r="AB251" s="36"/>
      <c r="AC251" s="13"/>
      <c r="AD251" s="13"/>
      <c r="AE251" s="37"/>
      <c r="AF251" s="37"/>
      <c r="AG251" s="14"/>
      <c r="AH251" s="14"/>
      <c r="AI251" s="14"/>
      <c r="AZ251" s="24"/>
    </row>
    <row r="252">
      <c r="B252" s="24"/>
      <c r="K252" s="36"/>
      <c r="Y252" s="10"/>
      <c r="Z252" s="11"/>
      <c r="AA252" s="36"/>
      <c r="AB252" s="36"/>
      <c r="AC252" s="13"/>
      <c r="AD252" s="13"/>
      <c r="AE252" s="37"/>
      <c r="AF252" s="37"/>
      <c r="AG252" s="14"/>
      <c r="AH252" s="14"/>
      <c r="AI252" s="14"/>
      <c r="AZ252" s="24"/>
    </row>
    <row r="253">
      <c r="B253" s="24"/>
      <c r="K253" s="36"/>
      <c r="Y253" s="10"/>
      <c r="Z253" s="11"/>
      <c r="AA253" s="36"/>
      <c r="AB253" s="36"/>
      <c r="AC253" s="13"/>
      <c r="AD253" s="13"/>
      <c r="AE253" s="37"/>
      <c r="AF253" s="37"/>
      <c r="AG253" s="14"/>
      <c r="AH253" s="14"/>
      <c r="AI253" s="14"/>
      <c r="AZ253" s="24"/>
    </row>
    <row r="254">
      <c r="B254" s="24"/>
      <c r="K254" s="36"/>
      <c r="Y254" s="10"/>
      <c r="Z254" s="11"/>
      <c r="AA254" s="36"/>
      <c r="AB254" s="36"/>
      <c r="AC254" s="13"/>
      <c r="AD254" s="13"/>
      <c r="AE254" s="37"/>
      <c r="AF254" s="37"/>
      <c r="AG254" s="14"/>
      <c r="AH254" s="14"/>
      <c r="AI254" s="14"/>
      <c r="AZ254" s="24"/>
    </row>
    <row r="255">
      <c r="B255" s="24"/>
      <c r="K255" s="36"/>
      <c r="Y255" s="10"/>
      <c r="Z255" s="11"/>
      <c r="AA255" s="36"/>
      <c r="AB255" s="36"/>
      <c r="AC255" s="13"/>
      <c r="AD255" s="13"/>
      <c r="AE255" s="37"/>
      <c r="AF255" s="37"/>
      <c r="AG255" s="14"/>
      <c r="AH255" s="14"/>
      <c r="AI255" s="14"/>
      <c r="AZ255" s="24"/>
    </row>
    <row r="256">
      <c r="B256" s="24"/>
      <c r="K256" s="36"/>
      <c r="Y256" s="10"/>
      <c r="Z256" s="11"/>
      <c r="AA256" s="36"/>
      <c r="AB256" s="36"/>
      <c r="AC256" s="13"/>
      <c r="AD256" s="13"/>
      <c r="AE256" s="37"/>
      <c r="AF256" s="37"/>
      <c r="AG256" s="14"/>
      <c r="AH256" s="14"/>
      <c r="AI256" s="14"/>
      <c r="AZ256" s="24"/>
    </row>
    <row r="257">
      <c r="B257" s="24"/>
      <c r="K257" s="36"/>
      <c r="Y257" s="10"/>
      <c r="Z257" s="11"/>
      <c r="AA257" s="36"/>
      <c r="AB257" s="36"/>
      <c r="AC257" s="13"/>
      <c r="AD257" s="13"/>
      <c r="AE257" s="37"/>
      <c r="AF257" s="37"/>
      <c r="AG257" s="14"/>
      <c r="AH257" s="14"/>
      <c r="AI257" s="14"/>
      <c r="AZ257" s="24"/>
    </row>
    <row r="258">
      <c r="B258" s="24"/>
      <c r="K258" s="36"/>
      <c r="Y258" s="10"/>
      <c r="Z258" s="11"/>
      <c r="AA258" s="36"/>
      <c r="AB258" s="36"/>
      <c r="AC258" s="13"/>
      <c r="AD258" s="13"/>
      <c r="AE258" s="37"/>
      <c r="AF258" s="37"/>
      <c r="AG258" s="14"/>
      <c r="AH258" s="14"/>
      <c r="AI258" s="14"/>
      <c r="AZ258" s="24"/>
    </row>
    <row r="259">
      <c r="B259" s="24"/>
      <c r="K259" s="36"/>
      <c r="Y259" s="10"/>
      <c r="Z259" s="11"/>
      <c r="AA259" s="36"/>
      <c r="AB259" s="36"/>
      <c r="AC259" s="13"/>
      <c r="AD259" s="13"/>
      <c r="AE259" s="37"/>
      <c r="AF259" s="37"/>
      <c r="AG259" s="14"/>
      <c r="AH259" s="14"/>
      <c r="AI259" s="14"/>
      <c r="AZ259" s="24"/>
    </row>
    <row r="260">
      <c r="B260" s="24"/>
      <c r="K260" s="36"/>
      <c r="Y260" s="10"/>
      <c r="Z260" s="11"/>
      <c r="AA260" s="36"/>
      <c r="AB260" s="36"/>
      <c r="AC260" s="13"/>
      <c r="AD260" s="13"/>
      <c r="AE260" s="37"/>
      <c r="AF260" s="37"/>
      <c r="AG260" s="14"/>
      <c r="AH260" s="14"/>
      <c r="AI260" s="14"/>
      <c r="AZ260" s="24"/>
    </row>
    <row r="261">
      <c r="B261" s="24"/>
      <c r="K261" s="36"/>
      <c r="Y261" s="10"/>
      <c r="Z261" s="11"/>
      <c r="AA261" s="36"/>
      <c r="AB261" s="36"/>
      <c r="AC261" s="13"/>
      <c r="AD261" s="13"/>
      <c r="AE261" s="37"/>
      <c r="AF261" s="37"/>
      <c r="AG261" s="14"/>
      <c r="AH261" s="14"/>
      <c r="AI261" s="14"/>
      <c r="AZ261" s="24"/>
    </row>
    <row r="262">
      <c r="B262" s="24"/>
      <c r="K262" s="36"/>
      <c r="Y262" s="10"/>
      <c r="Z262" s="11"/>
      <c r="AA262" s="36"/>
      <c r="AB262" s="36"/>
      <c r="AC262" s="13"/>
      <c r="AD262" s="13"/>
      <c r="AE262" s="37"/>
      <c r="AF262" s="37"/>
      <c r="AG262" s="14"/>
      <c r="AH262" s="14"/>
      <c r="AI262" s="14"/>
      <c r="AZ262" s="24"/>
    </row>
    <row r="263">
      <c r="B263" s="24"/>
      <c r="K263" s="36"/>
      <c r="Y263" s="10"/>
      <c r="Z263" s="11"/>
      <c r="AA263" s="36"/>
      <c r="AB263" s="36"/>
      <c r="AC263" s="13"/>
      <c r="AD263" s="13"/>
      <c r="AE263" s="37"/>
      <c r="AF263" s="37"/>
      <c r="AG263" s="14"/>
      <c r="AH263" s="14"/>
      <c r="AI263" s="14"/>
      <c r="AZ263" s="24"/>
    </row>
    <row r="264">
      <c r="B264" s="24"/>
      <c r="K264" s="36"/>
      <c r="Y264" s="10"/>
      <c r="Z264" s="11"/>
      <c r="AA264" s="36"/>
      <c r="AB264" s="36"/>
      <c r="AC264" s="13"/>
      <c r="AD264" s="13"/>
      <c r="AE264" s="37"/>
      <c r="AF264" s="37"/>
      <c r="AG264" s="14"/>
      <c r="AH264" s="14"/>
      <c r="AI264" s="14"/>
      <c r="AZ264" s="24"/>
    </row>
    <row r="265">
      <c r="B265" s="24"/>
      <c r="K265" s="36"/>
      <c r="Y265" s="10"/>
      <c r="Z265" s="11"/>
      <c r="AA265" s="36"/>
      <c r="AB265" s="36"/>
      <c r="AC265" s="13"/>
      <c r="AD265" s="13"/>
      <c r="AE265" s="37"/>
      <c r="AF265" s="37"/>
      <c r="AG265" s="14"/>
      <c r="AH265" s="14"/>
      <c r="AI265" s="14"/>
      <c r="AZ265" s="24"/>
    </row>
    <row r="266">
      <c r="B266" s="24"/>
      <c r="K266" s="36"/>
      <c r="Y266" s="10"/>
      <c r="Z266" s="11"/>
      <c r="AA266" s="36"/>
      <c r="AB266" s="36"/>
      <c r="AC266" s="13"/>
      <c r="AD266" s="13"/>
      <c r="AE266" s="37"/>
      <c r="AF266" s="37"/>
      <c r="AG266" s="14"/>
      <c r="AH266" s="14"/>
      <c r="AI266" s="14"/>
      <c r="AZ266" s="24"/>
    </row>
    <row r="267">
      <c r="B267" s="24"/>
      <c r="K267" s="36"/>
      <c r="Y267" s="10"/>
      <c r="Z267" s="11"/>
      <c r="AA267" s="36"/>
      <c r="AB267" s="36"/>
      <c r="AC267" s="13"/>
      <c r="AD267" s="13"/>
      <c r="AE267" s="37"/>
      <c r="AF267" s="37"/>
      <c r="AG267" s="14"/>
      <c r="AH267" s="14"/>
      <c r="AI267" s="14"/>
      <c r="AZ267" s="24"/>
    </row>
    <row r="268">
      <c r="B268" s="24"/>
      <c r="K268" s="36"/>
      <c r="Y268" s="10"/>
      <c r="Z268" s="11"/>
      <c r="AA268" s="36"/>
      <c r="AB268" s="36"/>
      <c r="AC268" s="13"/>
      <c r="AD268" s="13"/>
      <c r="AE268" s="37"/>
      <c r="AF268" s="37"/>
      <c r="AG268" s="14"/>
      <c r="AH268" s="14"/>
      <c r="AI268" s="14"/>
      <c r="AZ268" s="24"/>
    </row>
    <row r="269">
      <c r="B269" s="24"/>
      <c r="K269" s="36"/>
      <c r="Y269" s="10"/>
      <c r="Z269" s="11"/>
      <c r="AA269" s="36"/>
      <c r="AB269" s="36"/>
      <c r="AC269" s="13"/>
      <c r="AD269" s="13"/>
      <c r="AE269" s="37"/>
      <c r="AF269" s="37"/>
      <c r="AG269" s="14"/>
      <c r="AH269" s="14"/>
      <c r="AI269" s="14"/>
      <c r="AZ269" s="24"/>
    </row>
    <row r="270">
      <c r="B270" s="24"/>
      <c r="K270" s="36"/>
      <c r="Y270" s="10"/>
      <c r="Z270" s="11"/>
      <c r="AA270" s="36"/>
      <c r="AB270" s="36"/>
      <c r="AC270" s="13"/>
      <c r="AD270" s="13"/>
      <c r="AE270" s="37"/>
      <c r="AF270" s="37"/>
      <c r="AG270" s="14"/>
      <c r="AH270" s="14"/>
      <c r="AI270" s="14"/>
      <c r="AZ270" s="24"/>
    </row>
    <row r="271">
      <c r="B271" s="24"/>
      <c r="K271" s="36"/>
      <c r="Y271" s="10"/>
      <c r="Z271" s="11"/>
      <c r="AA271" s="36"/>
      <c r="AB271" s="36"/>
      <c r="AC271" s="13"/>
      <c r="AD271" s="13"/>
      <c r="AE271" s="37"/>
      <c r="AF271" s="37"/>
      <c r="AG271" s="14"/>
      <c r="AH271" s="14"/>
      <c r="AI271" s="14"/>
      <c r="AZ271" s="24"/>
    </row>
    <row r="272">
      <c r="B272" s="24"/>
      <c r="K272" s="36"/>
      <c r="Y272" s="10"/>
      <c r="Z272" s="11"/>
      <c r="AA272" s="36"/>
      <c r="AB272" s="36"/>
      <c r="AC272" s="13"/>
      <c r="AD272" s="13"/>
      <c r="AE272" s="37"/>
      <c r="AF272" s="37"/>
      <c r="AG272" s="14"/>
      <c r="AH272" s="14"/>
      <c r="AI272" s="14"/>
      <c r="AZ272" s="24"/>
    </row>
    <row r="273">
      <c r="B273" s="24"/>
      <c r="K273" s="36"/>
      <c r="Y273" s="10"/>
      <c r="Z273" s="11"/>
      <c r="AA273" s="36"/>
      <c r="AB273" s="36"/>
      <c r="AC273" s="13"/>
      <c r="AD273" s="13"/>
      <c r="AE273" s="37"/>
      <c r="AF273" s="37"/>
      <c r="AG273" s="14"/>
      <c r="AH273" s="14"/>
      <c r="AI273" s="14"/>
      <c r="AZ273" s="24"/>
    </row>
    <row r="274">
      <c r="B274" s="24"/>
      <c r="K274" s="36"/>
      <c r="Y274" s="10"/>
      <c r="Z274" s="11"/>
      <c r="AA274" s="36"/>
      <c r="AB274" s="36"/>
      <c r="AC274" s="13"/>
      <c r="AD274" s="13"/>
      <c r="AE274" s="37"/>
      <c r="AF274" s="37"/>
      <c r="AG274" s="14"/>
      <c r="AH274" s="14"/>
      <c r="AI274" s="14"/>
      <c r="AZ274" s="24"/>
    </row>
    <row r="275">
      <c r="B275" s="24"/>
      <c r="K275" s="36"/>
      <c r="Y275" s="10"/>
      <c r="Z275" s="11"/>
      <c r="AA275" s="36"/>
      <c r="AB275" s="36"/>
      <c r="AC275" s="13"/>
      <c r="AD275" s="13"/>
      <c r="AE275" s="37"/>
      <c r="AF275" s="37"/>
      <c r="AG275" s="14"/>
      <c r="AH275" s="14"/>
      <c r="AI275" s="14"/>
      <c r="AZ275" s="24"/>
    </row>
    <row r="276">
      <c r="B276" s="24"/>
      <c r="K276" s="36"/>
      <c r="Y276" s="10"/>
      <c r="Z276" s="11"/>
      <c r="AA276" s="36"/>
      <c r="AB276" s="36"/>
      <c r="AC276" s="13"/>
      <c r="AD276" s="13"/>
      <c r="AE276" s="37"/>
      <c r="AF276" s="37"/>
      <c r="AG276" s="14"/>
      <c r="AH276" s="14"/>
      <c r="AI276" s="14"/>
      <c r="AZ276" s="24"/>
    </row>
    <row r="277">
      <c r="B277" s="24"/>
      <c r="K277" s="36"/>
      <c r="Y277" s="10"/>
      <c r="Z277" s="11"/>
      <c r="AA277" s="36"/>
      <c r="AB277" s="36"/>
      <c r="AC277" s="13"/>
      <c r="AD277" s="13"/>
      <c r="AE277" s="37"/>
      <c r="AF277" s="37"/>
      <c r="AG277" s="14"/>
      <c r="AH277" s="14"/>
      <c r="AI277" s="14"/>
      <c r="AZ277" s="24"/>
    </row>
    <row r="278">
      <c r="B278" s="24"/>
      <c r="K278" s="36"/>
      <c r="Y278" s="10"/>
      <c r="Z278" s="11"/>
      <c r="AA278" s="36"/>
      <c r="AB278" s="36"/>
      <c r="AC278" s="13"/>
      <c r="AD278" s="13"/>
      <c r="AE278" s="37"/>
      <c r="AF278" s="37"/>
      <c r="AG278" s="14"/>
      <c r="AH278" s="14"/>
      <c r="AI278" s="14"/>
      <c r="AZ278" s="24"/>
    </row>
    <row r="279">
      <c r="B279" s="24"/>
      <c r="K279" s="36"/>
      <c r="Y279" s="10"/>
      <c r="Z279" s="11"/>
      <c r="AA279" s="36"/>
      <c r="AB279" s="36"/>
      <c r="AC279" s="13"/>
      <c r="AD279" s="13"/>
      <c r="AE279" s="37"/>
      <c r="AF279" s="37"/>
      <c r="AG279" s="14"/>
      <c r="AH279" s="14"/>
      <c r="AI279" s="14"/>
      <c r="AZ279" s="24"/>
    </row>
    <row r="280">
      <c r="B280" s="24"/>
      <c r="K280" s="36"/>
      <c r="Y280" s="10"/>
      <c r="Z280" s="11"/>
      <c r="AA280" s="36"/>
      <c r="AB280" s="36"/>
      <c r="AC280" s="13"/>
      <c r="AD280" s="13"/>
      <c r="AE280" s="37"/>
      <c r="AF280" s="37"/>
      <c r="AG280" s="14"/>
      <c r="AH280" s="14"/>
      <c r="AI280" s="14"/>
      <c r="AZ280" s="24"/>
    </row>
    <row r="281">
      <c r="B281" s="24"/>
      <c r="K281" s="36"/>
      <c r="Y281" s="10"/>
      <c r="Z281" s="11"/>
      <c r="AA281" s="36"/>
      <c r="AB281" s="36"/>
      <c r="AC281" s="13"/>
      <c r="AD281" s="13"/>
      <c r="AE281" s="37"/>
      <c r="AF281" s="37"/>
      <c r="AG281" s="14"/>
      <c r="AH281" s="14"/>
      <c r="AI281" s="14"/>
      <c r="AZ281" s="24"/>
    </row>
    <row r="282">
      <c r="B282" s="24"/>
      <c r="K282" s="36"/>
      <c r="Y282" s="10"/>
      <c r="Z282" s="11"/>
      <c r="AA282" s="36"/>
      <c r="AB282" s="36"/>
      <c r="AC282" s="13"/>
      <c r="AD282" s="13"/>
      <c r="AE282" s="37"/>
      <c r="AF282" s="37"/>
      <c r="AG282" s="14"/>
      <c r="AH282" s="14"/>
      <c r="AI282" s="14"/>
      <c r="AZ282" s="24"/>
    </row>
    <row r="283">
      <c r="B283" s="24"/>
      <c r="K283" s="36"/>
      <c r="Y283" s="10"/>
      <c r="Z283" s="11"/>
      <c r="AA283" s="36"/>
      <c r="AB283" s="36"/>
      <c r="AC283" s="13"/>
      <c r="AD283" s="13"/>
      <c r="AE283" s="37"/>
      <c r="AF283" s="37"/>
      <c r="AG283" s="14"/>
      <c r="AH283" s="14"/>
      <c r="AI283" s="14"/>
      <c r="AZ283" s="24"/>
    </row>
    <row r="284">
      <c r="B284" s="24"/>
      <c r="K284" s="36"/>
      <c r="Y284" s="10"/>
      <c r="Z284" s="11"/>
      <c r="AA284" s="36"/>
      <c r="AB284" s="36"/>
      <c r="AC284" s="13"/>
      <c r="AD284" s="13"/>
      <c r="AE284" s="37"/>
      <c r="AF284" s="37"/>
      <c r="AG284" s="14"/>
      <c r="AH284" s="14"/>
      <c r="AI284" s="14"/>
      <c r="AZ284" s="24"/>
    </row>
    <row r="285">
      <c r="B285" s="24"/>
      <c r="K285" s="36"/>
      <c r="Y285" s="10"/>
      <c r="Z285" s="11"/>
      <c r="AA285" s="36"/>
      <c r="AB285" s="36"/>
      <c r="AC285" s="13"/>
      <c r="AD285" s="13"/>
      <c r="AE285" s="37"/>
      <c r="AF285" s="37"/>
      <c r="AG285" s="14"/>
      <c r="AH285" s="14"/>
      <c r="AI285" s="14"/>
      <c r="AZ285" s="24"/>
    </row>
    <row r="286">
      <c r="B286" s="24"/>
      <c r="K286" s="36"/>
      <c r="Y286" s="10"/>
      <c r="Z286" s="11"/>
      <c r="AA286" s="36"/>
      <c r="AB286" s="36"/>
      <c r="AC286" s="13"/>
      <c r="AD286" s="13"/>
      <c r="AE286" s="37"/>
      <c r="AF286" s="37"/>
      <c r="AG286" s="14"/>
      <c r="AH286" s="14"/>
      <c r="AI286" s="14"/>
      <c r="AZ286" s="24"/>
    </row>
    <row r="287">
      <c r="B287" s="24"/>
      <c r="K287" s="36"/>
      <c r="Y287" s="10"/>
      <c r="Z287" s="11"/>
      <c r="AA287" s="36"/>
      <c r="AB287" s="36"/>
      <c r="AC287" s="13"/>
      <c r="AD287" s="13"/>
      <c r="AE287" s="37"/>
      <c r="AF287" s="37"/>
      <c r="AG287" s="14"/>
      <c r="AH287" s="14"/>
      <c r="AI287" s="14"/>
      <c r="AZ287" s="24"/>
    </row>
    <row r="288">
      <c r="B288" s="24"/>
      <c r="K288" s="36"/>
      <c r="Y288" s="10"/>
      <c r="Z288" s="11"/>
      <c r="AA288" s="36"/>
      <c r="AB288" s="36"/>
      <c r="AC288" s="13"/>
      <c r="AD288" s="13"/>
      <c r="AE288" s="37"/>
      <c r="AF288" s="37"/>
      <c r="AG288" s="14"/>
      <c r="AH288" s="14"/>
      <c r="AI288" s="14"/>
      <c r="AZ288" s="24"/>
    </row>
    <row r="289">
      <c r="B289" s="24"/>
      <c r="K289" s="36"/>
      <c r="Y289" s="10"/>
      <c r="Z289" s="11"/>
      <c r="AA289" s="36"/>
      <c r="AB289" s="36"/>
      <c r="AC289" s="13"/>
      <c r="AD289" s="13"/>
      <c r="AE289" s="37"/>
      <c r="AF289" s="37"/>
      <c r="AG289" s="14"/>
      <c r="AH289" s="14"/>
      <c r="AI289" s="14"/>
      <c r="AZ289" s="24"/>
    </row>
    <row r="290">
      <c r="B290" s="24"/>
      <c r="K290" s="36"/>
      <c r="Y290" s="10"/>
      <c r="Z290" s="11"/>
      <c r="AA290" s="36"/>
      <c r="AB290" s="36"/>
      <c r="AC290" s="13"/>
      <c r="AD290" s="13"/>
      <c r="AE290" s="37"/>
      <c r="AF290" s="37"/>
      <c r="AG290" s="14"/>
      <c r="AH290" s="14"/>
      <c r="AI290" s="14"/>
      <c r="AZ290" s="24"/>
    </row>
    <row r="291">
      <c r="B291" s="24"/>
      <c r="K291" s="36"/>
      <c r="Y291" s="10"/>
      <c r="Z291" s="11"/>
      <c r="AA291" s="36"/>
      <c r="AB291" s="36"/>
      <c r="AC291" s="13"/>
      <c r="AD291" s="13"/>
      <c r="AE291" s="37"/>
      <c r="AF291" s="37"/>
      <c r="AG291" s="14"/>
      <c r="AH291" s="14"/>
      <c r="AI291" s="14"/>
      <c r="AZ291" s="24"/>
    </row>
    <row r="292">
      <c r="B292" s="24"/>
      <c r="K292" s="36"/>
      <c r="Y292" s="10"/>
      <c r="Z292" s="11"/>
      <c r="AA292" s="36"/>
      <c r="AB292" s="36"/>
      <c r="AC292" s="13"/>
      <c r="AD292" s="13"/>
      <c r="AE292" s="37"/>
      <c r="AF292" s="37"/>
      <c r="AG292" s="14"/>
      <c r="AH292" s="14"/>
      <c r="AI292" s="14"/>
      <c r="AZ292" s="24"/>
    </row>
    <row r="293">
      <c r="B293" s="24"/>
      <c r="K293" s="36"/>
      <c r="Y293" s="10"/>
      <c r="Z293" s="11"/>
      <c r="AA293" s="36"/>
      <c r="AB293" s="36"/>
      <c r="AC293" s="13"/>
      <c r="AD293" s="13"/>
      <c r="AE293" s="37"/>
      <c r="AF293" s="37"/>
      <c r="AG293" s="14"/>
      <c r="AH293" s="14"/>
      <c r="AI293" s="14"/>
      <c r="AZ293" s="24"/>
    </row>
    <row r="294">
      <c r="B294" s="24"/>
      <c r="K294" s="36"/>
      <c r="Y294" s="10"/>
      <c r="Z294" s="11"/>
      <c r="AA294" s="36"/>
      <c r="AB294" s="36"/>
      <c r="AC294" s="13"/>
      <c r="AD294" s="13"/>
      <c r="AE294" s="37"/>
      <c r="AF294" s="37"/>
      <c r="AG294" s="14"/>
      <c r="AH294" s="14"/>
      <c r="AI294" s="14"/>
      <c r="AZ294" s="24"/>
    </row>
    <row r="295">
      <c r="B295" s="24"/>
      <c r="K295" s="36"/>
      <c r="Y295" s="10"/>
      <c r="Z295" s="11"/>
      <c r="AA295" s="36"/>
      <c r="AB295" s="36"/>
      <c r="AC295" s="13"/>
      <c r="AD295" s="13"/>
      <c r="AE295" s="37"/>
      <c r="AF295" s="37"/>
      <c r="AG295" s="14"/>
      <c r="AH295" s="14"/>
      <c r="AI295" s="14"/>
      <c r="AZ295" s="24"/>
    </row>
    <row r="296">
      <c r="B296" s="24"/>
      <c r="E296" s="113"/>
      <c r="F296" s="266"/>
      <c r="G296" s="113"/>
      <c r="K296" s="36"/>
      <c r="L296" s="117"/>
      <c r="N296" s="117"/>
      <c r="R296" s="117"/>
      <c r="T296" s="117"/>
      <c r="V296" s="117"/>
      <c r="X296" s="117"/>
      <c r="Y296" s="10"/>
      <c r="Z296" s="11"/>
      <c r="AA296" s="36"/>
      <c r="AB296" s="36"/>
      <c r="AC296" s="13"/>
      <c r="AD296" s="13"/>
      <c r="AE296" s="37"/>
      <c r="AF296" s="37"/>
      <c r="AG296" s="14"/>
      <c r="AH296" s="14"/>
      <c r="AI296" s="14"/>
      <c r="AZ296" s="24"/>
    </row>
    <row r="297">
      <c r="B297" s="24"/>
      <c r="E297" s="113"/>
      <c r="F297" s="266"/>
      <c r="G297" s="113"/>
      <c r="K297" s="36"/>
      <c r="L297" s="117"/>
      <c r="N297" s="117"/>
      <c r="R297" s="117"/>
      <c r="T297" s="117"/>
      <c r="V297" s="117"/>
      <c r="X297" s="117"/>
      <c r="Y297" s="10"/>
      <c r="Z297" s="11"/>
      <c r="AA297" s="36"/>
      <c r="AB297" s="36"/>
      <c r="AC297" s="13"/>
      <c r="AD297" s="13"/>
      <c r="AE297" s="37"/>
      <c r="AF297" s="37"/>
      <c r="AG297" s="14"/>
      <c r="AH297" s="14"/>
      <c r="AI297" s="14"/>
      <c r="AZ297" s="24"/>
    </row>
    <row r="298">
      <c r="B298" s="24"/>
      <c r="E298" s="113"/>
      <c r="F298" s="266"/>
      <c r="G298" s="113"/>
      <c r="K298" s="36"/>
      <c r="L298" s="117"/>
      <c r="N298" s="117"/>
      <c r="R298" s="117"/>
      <c r="T298" s="117"/>
      <c r="V298" s="117"/>
      <c r="X298" s="117"/>
      <c r="Y298" s="10"/>
      <c r="Z298" s="11"/>
      <c r="AA298" s="36"/>
      <c r="AB298" s="36"/>
      <c r="AC298" s="13"/>
      <c r="AD298" s="13"/>
      <c r="AE298" s="37"/>
      <c r="AF298" s="37"/>
      <c r="AG298" s="14"/>
      <c r="AH298" s="14"/>
      <c r="AI298" s="14"/>
      <c r="AZ298" s="24"/>
    </row>
    <row r="299">
      <c r="B299" s="24"/>
      <c r="E299" s="113"/>
      <c r="F299" s="266"/>
      <c r="G299" s="113"/>
      <c r="K299" s="36"/>
      <c r="L299" s="117"/>
      <c r="N299" s="117"/>
      <c r="R299" s="117"/>
      <c r="T299" s="117"/>
      <c r="V299" s="117"/>
      <c r="X299" s="117"/>
      <c r="Y299" s="10"/>
      <c r="Z299" s="11"/>
      <c r="AA299" s="36"/>
      <c r="AB299" s="36"/>
      <c r="AC299" s="13"/>
      <c r="AD299" s="13"/>
      <c r="AE299" s="37"/>
      <c r="AF299" s="37"/>
      <c r="AG299" s="14"/>
      <c r="AH299" s="14"/>
      <c r="AI299" s="14"/>
      <c r="AZ299" s="24"/>
    </row>
    <row r="300">
      <c r="B300" s="24"/>
      <c r="E300" s="113"/>
      <c r="F300" s="266"/>
      <c r="G300" s="113"/>
      <c r="K300" s="36"/>
      <c r="L300" s="117"/>
      <c r="N300" s="117"/>
      <c r="R300" s="117"/>
      <c r="T300" s="117"/>
      <c r="V300" s="117"/>
      <c r="X300" s="117"/>
      <c r="Y300" s="10"/>
      <c r="Z300" s="11"/>
      <c r="AA300" s="36"/>
      <c r="AB300" s="36"/>
      <c r="AC300" s="13"/>
      <c r="AD300" s="13"/>
      <c r="AE300" s="37"/>
      <c r="AF300" s="37"/>
      <c r="AG300" s="14"/>
      <c r="AH300" s="14"/>
      <c r="AI300" s="14"/>
      <c r="AZ300" s="24"/>
    </row>
    <row r="301">
      <c r="B301" s="24"/>
      <c r="E301" s="113"/>
      <c r="F301" s="266"/>
      <c r="G301" s="113"/>
      <c r="K301" s="36"/>
      <c r="L301" s="117"/>
      <c r="N301" s="117"/>
      <c r="R301" s="117"/>
      <c r="T301" s="117"/>
      <c r="V301" s="117"/>
      <c r="X301" s="117"/>
      <c r="Y301" s="10"/>
      <c r="Z301" s="11"/>
      <c r="AA301" s="36"/>
      <c r="AB301" s="36"/>
      <c r="AC301" s="13"/>
      <c r="AD301" s="13"/>
      <c r="AE301" s="37"/>
      <c r="AF301" s="37"/>
      <c r="AG301" s="14"/>
      <c r="AH301" s="14"/>
      <c r="AI301" s="14"/>
      <c r="AZ301" s="24"/>
    </row>
    <row r="302">
      <c r="B302" s="24"/>
      <c r="E302" s="113"/>
      <c r="F302" s="266"/>
      <c r="G302" s="113"/>
      <c r="K302" s="36"/>
      <c r="L302" s="117"/>
      <c r="N302" s="117"/>
      <c r="R302" s="117"/>
      <c r="T302" s="117"/>
      <c r="V302" s="117"/>
      <c r="X302" s="117"/>
      <c r="Y302" s="10"/>
      <c r="Z302" s="11"/>
      <c r="AA302" s="36"/>
      <c r="AB302" s="36"/>
      <c r="AC302" s="13"/>
      <c r="AD302" s="13"/>
      <c r="AE302" s="37"/>
      <c r="AF302" s="37"/>
      <c r="AG302" s="14"/>
      <c r="AH302" s="14"/>
      <c r="AI302" s="14"/>
      <c r="AZ302" s="24"/>
    </row>
    <row r="303">
      <c r="B303" s="24"/>
      <c r="E303" s="113"/>
      <c r="F303" s="266"/>
      <c r="G303" s="113"/>
      <c r="K303" s="36"/>
      <c r="L303" s="117"/>
      <c r="N303" s="117"/>
      <c r="R303" s="117"/>
      <c r="T303" s="117"/>
      <c r="V303" s="117"/>
      <c r="X303" s="117"/>
      <c r="Y303" s="10"/>
      <c r="Z303" s="11"/>
      <c r="AA303" s="36"/>
      <c r="AB303" s="36"/>
      <c r="AC303" s="13"/>
      <c r="AD303" s="13"/>
      <c r="AE303" s="37"/>
      <c r="AF303" s="37"/>
      <c r="AG303" s="14"/>
      <c r="AH303" s="14"/>
      <c r="AI303" s="14"/>
      <c r="AZ303" s="24"/>
    </row>
    <row r="304">
      <c r="B304" s="24"/>
      <c r="E304" s="113"/>
      <c r="F304" s="266"/>
      <c r="G304" s="113"/>
      <c r="K304" s="36"/>
      <c r="L304" s="117"/>
      <c r="N304" s="117"/>
      <c r="R304" s="117"/>
      <c r="T304" s="117"/>
      <c r="V304" s="117"/>
      <c r="X304" s="117"/>
      <c r="Y304" s="10"/>
      <c r="Z304" s="11"/>
      <c r="AA304" s="36"/>
      <c r="AB304" s="36"/>
      <c r="AC304" s="13"/>
      <c r="AD304" s="13"/>
      <c r="AE304" s="37"/>
      <c r="AF304" s="37"/>
      <c r="AG304" s="14"/>
      <c r="AH304" s="14"/>
      <c r="AI304" s="14"/>
      <c r="AZ304" s="24"/>
    </row>
    <row r="305">
      <c r="B305" s="24"/>
      <c r="E305" s="113"/>
      <c r="F305" s="266"/>
      <c r="G305" s="113"/>
      <c r="K305" s="36"/>
      <c r="L305" s="117"/>
      <c r="N305" s="117"/>
      <c r="R305" s="117"/>
      <c r="T305" s="117"/>
      <c r="V305" s="117"/>
      <c r="X305" s="117"/>
      <c r="Y305" s="10"/>
      <c r="Z305" s="11"/>
      <c r="AA305" s="36"/>
      <c r="AB305" s="36"/>
      <c r="AC305" s="13"/>
      <c r="AD305" s="13"/>
      <c r="AE305" s="37"/>
      <c r="AF305" s="37"/>
      <c r="AG305" s="14"/>
      <c r="AH305" s="14"/>
      <c r="AI305" s="14"/>
      <c r="AZ305" s="24"/>
    </row>
    <row r="306">
      <c r="B306" s="24"/>
      <c r="E306" s="113"/>
      <c r="F306" s="266"/>
      <c r="G306" s="113"/>
      <c r="K306" s="36"/>
      <c r="L306" s="117"/>
      <c r="N306" s="117"/>
      <c r="R306" s="117"/>
      <c r="T306" s="117"/>
      <c r="V306" s="117"/>
      <c r="X306" s="117"/>
      <c r="Y306" s="10"/>
      <c r="Z306" s="11"/>
      <c r="AA306" s="36"/>
      <c r="AB306" s="36"/>
      <c r="AC306" s="13"/>
      <c r="AD306" s="13"/>
      <c r="AE306" s="37"/>
      <c r="AF306" s="37"/>
      <c r="AG306" s="14"/>
      <c r="AH306" s="14"/>
      <c r="AI306" s="14"/>
      <c r="AZ306" s="24"/>
    </row>
    <row r="307">
      <c r="B307" s="24"/>
      <c r="E307" s="113"/>
      <c r="F307" s="266"/>
      <c r="G307" s="113"/>
      <c r="K307" s="36"/>
      <c r="L307" s="117"/>
      <c r="N307" s="117"/>
      <c r="R307" s="117"/>
      <c r="T307" s="117"/>
      <c r="V307" s="117"/>
      <c r="X307" s="117"/>
      <c r="Y307" s="10"/>
      <c r="Z307" s="11"/>
      <c r="AA307" s="36"/>
      <c r="AB307" s="36"/>
      <c r="AC307" s="13"/>
      <c r="AD307" s="13"/>
      <c r="AE307" s="37"/>
      <c r="AF307" s="37"/>
      <c r="AG307" s="14"/>
      <c r="AH307" s="14"/>
      <c r="AI307" s="14"/>
      <c r="AZ307" s="24"/>
    </row>
    <row r="308">
      <c r="B308" s="24"/>
      <c r="E308" s="113"/>
      <c r="F308" s="266"/>
      <c r="G308" s="113"/>
      <c r="K308" s="36"/>
      <c r="L308" s="117"/>
      <c r="N308" s="117"/>
      <c r="R308" s="117"/>
      <c r="T308" s="117"/>
      <c r="V308" s="117"/>
      <c r="X308" s="117"/>
      <c r="Y308" s="10"/>
      <c r="Z308" s="11"/>
      <c r="AA308" s="36"/>
      <c r="AB308" s="36"/>
      <c r="AC308" s="13"/>
      <c r="AD308" s="13"/>
      <c r="AE308" s="37"/>
      <c r="AF308" s="37"/>
      <c r="AG308" s="14"/>
      <c r="AH308" s="14"/>
      <c r="AI308" s="14"/>
      <c r="AZ308" s="24"/>
    </row>
    <row r="309">
      <c r="B309" s="24"/>
      <c r="E309" s="113"/>
      <c r="F309" s="266"/>
      <c r="G309" s="113"/>
      <c r="K309" s="36"/>
      <c r="L309" s="117"/>
      <c r="N309" s="117"/>
      <c r="R309" s="117"/>
      <c r="T309" s="117"/>
      <c r="V309" s="117"/>
      <c r="X309" s="117"/>
      <c r="Y309" s="10"/>
      <c r="Z309" s="11"/>
      <c r="AA309" s="36"/>
      <c r="AB309" s="36"/>
      <c r="AC309" s="13"/>
      <c r="AD309" s="13"/>
      <c r="AE309" s="37"/>
      <c r="AF309" s="37"/>
      <c r="AG309" s="14"/>
      <c r="AH309" s="14"/>
      <c r="AI309" s="14"/>
      <c r="AZ309" s="24"/>
    </row>
    <row r="310">
      <c r="B310" s="24"/>
      <c r="E310" s="113"/>
      <c r="F310" s="266"/>
      <c r="G310" s="113"/>
      <c r="K310" s="36"/>
      <c r="L310" s="117"/>
      <c r="N310" s="117"/>
      <c r="R310" s="117"/>
      <c r="T310" s="117"/>
      <c r="V310" s="117"/>
      <c r="X310" s="117"/>
      <c r="Y310" s="10"/>
      <c r="Z310" s="11"/>
      <c r="AA310" s="36"/>
      <c r="AB310" s="36"/>
      <c r="AC310" s="13"/>
      <c r="AD310" s="13"/>
      <c r="AE310" s="37"/>
      <c r="AF310" s="37"/>
      <c r="AG310" s="14"/>
      <c r="AH310" s="14"/>
      <c r="AI310" s="14"/>
      <c r="AZ310" s="24"/>
    </row>
    <row r="311">
      <c r="B311" s="24"/>
      <c r="E311" s="113"/>
      <c r="F311" s="266"/>
      <c r="G311" s="113"/>
      <c r="K311" s="36"/>
      <c r="L311" s="117"/>
      <c r="N311" s="117"/>
      <c r="R311" s="117"/>
      <c r="T311" s="117"/>
      <c r="V311" s="117"/>
      <c r="X311" s="117"/>
      <c r="Y311" s="10"/>
      <c r="Z311" s="11"/>
      <c r="AA311" s="36"/>
      <c r="AB311" s="36"/>
      <c r="AC311" s="13"/>
      <c r="AD311" s="13"/>
      <c r="AE311" s="37"/>
      <c r="AF311" s="37"/>
      <c r="AG311" s="14"/>
      <c r="AH311" s="14"/>
      <c r="AI311" s="14"/>
      <c r="AZ311" s="24"/>
    </row>
    <row r="312">
      <c r="B312" s="24"/>
      <c r="E312" s="113"/>
      <c r="F312" s="266"/>
      <c r="G312" s="113"/>
      <c r="K312" s="36"/>
      <c r="L312" s="117"/>
      <c r="N312" s="117"/>
      <c r="R312" s="117"/>
      <c r="T312" s="117"/>
      <c r="V312" s="117"/>
      <c r="X312" s="117"/>
      <c r="Y312" s="10"/>
      <c r="Z312" s="11"/>
      <c r="AA312" s="36"/>
      <c r="AB312" s="36"/>
      <c r="AC312" s="13"/>
      <c r="AD312" s="13"/>
      <c r="AE312" s="37"/>
      <c r="AF312" s="37"/>
      <c r="AG312" s="14"/>
      <c r="AH312" s="14"/>
      <c r="AI312" s="14"/>
      <c r="AZ312" s="24"/>
    </row>
    <row r="313">
      <c r="B313" s="24"/>
      <c r="E313" s="113"/>
      <c r="F313" s="266"/>
      <c r="G313" s="113"/>
      <c r="K313" s="36"/>
      <c r="L313" s="117"/>
      <c r="N313" s="117"/>
      <c r="R313" s="117"/>
      <c r="T313" s="117"/>
      <c r="V313" s="117"/>
      <c r="X313" s="117"/>
      <c r="Y313" s="10"/>
      <c r="Z313" s="11"/>
      <c r="AA313" s="36"/>
      <c r="AB313" s="36"/>
      <c r="AC313" s="13"/>
      <c r="AD313" s="13"/>
      <c r="AE313" s="37"/>
      <c r="AF313" s="37"/>
      <c r="AG313" s="14"/>
      <c r="AH313" s="14"/>
      <c r="AI313" s="14"/>
      <c r="AZ313" s="24"/>
    </row>
    <row r="314">
      <c r="B314" s="24"/>
      <c r="E314" s="113"/>
      <c r="F314" s="266"/>
      <c r="G314" s="113"/>
      <c r="K314" s="36"/>
      <c r="L314" s="117"/>
      <c r="N314" s="117"/>
      <c r="R314" s="117"/>
      <c r="T314" s="117"/>
      <c r="V314" s="117"/>
      <c r="X314" s="117"/>
      <c r="Y314" s="10"/>
      <c r="Z314" s="11"/>
      <c r="AA314" s="36"/>
      <c r="AB314" s="36"/>
      <c r="AC314" s="13"/>
      <c r="AD314" s="13"/>
      <c r="AE314" s="37"/>
      <c r="AF314" s="37"/>
      <c r="AG314" s="14"/>
      <c r="AH314" s="14"/>
      <c r="AI314" s="14"/>
      <c r="AZ314" s="24"/>
    </row>
    <row r="315">
      <c r="B315" s="24"/>
      <c r="E315" s="113"/>
      <c r="F315" s="266"/>
      <c r="G315" s="113"/>
      <c r="K315" s="36"/>
      <c r="L315" s="117"/>
      <c r="N315" s="117"/>
      <c r="R315" s="117"/>
      <c r="T315" s="117"/>
      <c r="V315" s="117"/>
      <c r="X315" s="117"/>
      <c r="Y315" s="10"/>
      <c r="Z315" s="11"/>
      <c r="AA315" s="36"/>
      <c r="AB315" s="36"/>
      <c r="AC315" s="13"/>
      <c r="AD315" s="13"/>
      <c r="AE315" s="37"/>
      <c r="AF315" s="37"/>
      <c r="AG315" s="14"/>
      <c r="AH315" s="14"/>
      <c r="AI315" s="14"/>
      <c r="AZ315" s="24"/>
    </row>
    <row r="316">
      <c r="B316" s="24"/>
      <c r="E316" s="113"/>
      <c r="F316" s="266"/>
      <c r="G316" s="113"/>
      <c r="K316" s="36"/>
      <c r="L316" s="117"/>
      <c r="N316" s="117"/>
      <c r="R316" s="117"/>
      <c r="T316" s="117"/>
      <c r="V316" s="117"/>
      <c r="X316" s="117"/>
      <c r="Y316" s="10"/>
      <c r="Z316" s="11"/>
      <c r="AA316" s="36"/>
      <c r="AB316" s="36"/>
      <c r="AC316" s="13"/>
      <c r="AD316" s="13"/>
      <c r="AE316" s="37"/>
      <c r="AF316" s="37"/>
      <c r="AG316" s="14"/>
      <c r="AH316" s="14"/>
      <c r="AI316" s="14"/>
      <c r="AZ316" s="24"/>
    </row>
    <row r="317">
      <c r="B317" s="24"/>
      <c r="E317" s="113"/>
      <c r="F317" s="266"/>
      <c r="G317" s="113"/>
      <c r="K317" s="36"/>
      <c r="L317" s="117"/>
      <c r="N317" s="117"/>
      <c r="R317" s="117"/>
      <c r="T317" s="117"/>
      <c r="V317" s="117"/>
      <c r="X317" s="117"/>
      <c r="Y317" s="10"/>
      <c r="Z317" s="11"/>
      <c r="AA317" s="36"/>
      <c r="AB317" s="36"/>
      <c r="AC317" s="13"/>
      <c r="AD317" s="13"/>
      <c r="AE317" s="37"/>
      <c r="AF317" s="37"/>
      <c r="AG317" s="14"/>
      <c r="AH317" s="14"/>
      <c r="AI317" s="14"/>
      <c r="AZ317" s="24"/>
    </row>
    <row r="318">
      <c r="B318" s="24"/>
      <c r="E318" s="113"/>
      <c r="F318" s="266"/>
      <c r="G318" s="113"/>
      <c r="K318" s="36"/>
      <c r="L318" s="117"/>
      <c r="N318" s="117"/>
      <c r="R318" s="117"/>
      <c r="T318" s="117"/>
      <c r="V318" s="117"/>
      <c r="X318" s="117"/>
      <c r="Y318" s="10"/>
      <c r="Z318" s="11"/>
      <c r="AA318" s="36"/>
      <c r="AB318" s="36"/>
      <c r="AC318" s="13"/>
      <c r="AD318" s="13"/>
      <c r="AE318" s="37"/>
      <c r="AF318" s="37"/>
      <c r="AG318" s="14"/>
      <c r="AH318" s="14"/>
      <c r="AI318" s="14"/>
      <c r="AZ318" s="24"/>
    </row>
    <row r="319">
      <c r="B319" s="24"/>
      <c r="E319" s="113"/>
      <c r="F319" s="266"/>
      <c r="G319" s="113"/>
      <c r="K319" s="36"/>
      <c r="L319" s="117"/>
      <c r="N319" s="117"/>
      <c r="R319" s="117"/>
      <c r="T319" s="117"/>
      <c r="V319" s="117"/>
      <c r="X319" s="117"/>
      <c r="Y319" s="10"/>
      <c r="Z319" s="11"/>
      <c r="AA319" s="36"/>
      <c r="AB319" s="36"/>
      <c r="AC319" s="13"/>
      <c r="AD319" s="13"/>
      <c r="AE319" s="37"/>
      <c r="AF319" s="37"/>
      <c r="AG319" s="14"/>
      <c r="AH319" s="14"/>
      <c r="AI319" s="14"/>
      <c r="AZ319" s="24"/>
    </row>
    <row r="320">
      <c r="B320" s="24"/>
      <c r="E320" s="113"/>
      <c r="F320" s="266"/>
      <c r="G320" s="113"/>
      <c r="K320" s="36"/>
      <c r="L320" s="117"/>
      <c r="N320" s="117"/>
      <c r="R320" s="117"/>
      <c r="T320" s="117"/>
      <c r="V320" s="117"/>
      <c r="X320" s="117"/>
      <c r="Y320" s="10"/>
      <c r="Z320" s="11"/>
      <c r="AA320" s="36"/>
      <c r="AB320" s="36"/>
      <c r="AC320" s="13"/>
      <c r="AD320" s="13"/>
      <c r="AE320" s="37"/>
      <c r="AF320" s="37"/>
      <c r="AG320" s="14"/>
      <c r="AH320" s="14"/>
      <c r="AI320" s="14"/>
      <c r="AZ320" s="24"/>
    </row>
    <row r="321">
      <c r="B321" s="24"/>
      <c r="E321" s="113"/>
      <c r="F321" s="266"/>
      <c r="G321" s="113"/>
      <c r="K321" s="36"/>
      <c r="L321" s="117"/>
      <c r="N321" s="117"/>
      <c r="R321" s="117"/>
      <c r="T321" s="117"/>
      <c r="V321" s="117"/>
      <c r="X321" s="117"/>
      <c r="Y321" s="10"/>
      <c r="Z321" s="11"/>
      <c r="AA321" s="36"/>
      <c r="AB321" s="36"/>
      <c r="AC321" s="13"/>
      <c r="AD321" s="13"/>
      <c r="AE321" s="37"/>
      <c r="AF321" s="37"/>
      <c r="AG321" s="14"/>
      <c r="AH321" s="14"/>
      <c r="AI321" s="14"/>
      <c r="AZ321" s="24"/>
    </row>
    <row r="322">
      <c r="B322" s="24"/>
      <c r="E322" s="113"/>
      <c r="F322" s="266"/>
      <c r="G322" s="113"/>
      <c r="K322" s="36"/>
      <c r="L322" s="117"/>
      <c r="N322" s="117"/>
      <c r="R322" s="117"/>
      <c r="T322" s="117"/>
      <c r="V322" s="117"/>
      <c r="X322" s="117"/>
      <c r="Y322" s="10"/>
      <c r="Z322" s="11"/>
      <c r="AA322" s="36"/>
      <c r="AB322" s="36"/>
      <c r="AC322" s="13"/>
      <c r="AD322" s="13"/>
      <c r="AE322" s="37"/>
      <c r="AF322" s="37"/>
      <c r="AG322" s="14"/>
      <c r="AH322" s="14"/>
      <c r="AI322" s="14"/>
      <c r="AZ322" s="24"/>
    </row>
    <row r="323">
      <c r="B323" s="24"/>
      <c r="E323" s="113"/>
      <c r="F323" s="266"/>
      <c r="G323" s="113"/>
      <c r="K323" s="36"/>
      <c r="L323" s="117"/>
      <c r="N323" s="117"/>
      <c r="R323" s="117"/>
      <c r="T323" s="117"/>
      <c r="V323" s="117"/>
      <c r="X323" s="117"/>
      <c r="Y323" s="10"/>
      <c r="Z323" s="11"/>
      <c r="AA323" s="36"/>
      <c r="AB323" s="36"/>
      <c r="AC323" s="13"/>
      <c r="AD323" s="13"/>
      <c r="AE323" s="37"/>
      <c r="AF323" s="37"/>
      <c r="AG323" s="14"/>
      <c r="AH323" s="14"/>
      <c r="AI323" s="14"/>
      <c r="AZ323" s="24"/>
    </row>
    <row r="324">
      <c r="B324" s="24"/>
      <c r="E324" s="113"/>
      <c r="F324" s="266"/>
      <c r="G324" s="113"/>
      <c r="K324" s="36"/>
      <c r="L324" s="117"/>
      <c r="N324" s="117"/>
      <c r="R324" s="117"/>
      <c r="T324" s="117"/>
      <c r="V324" s="117"/>
      <c r="X324" s="117"/>
      <c r="Y324" s="10"/>
      <c r="Z324" s="11"/>
      <c r="AA324" s="36"/>
      <c r="AB324" s="36"/>
      <c r="AC324" s="13"/>
      <c r="AD324" s="13"/>
      <c r="AE324" s="37"/>
      <c r="AF324" s="37"/>
      <c r="AG324" s="14"/>
      <c r="AH324" s="14"/>
      <c r="AI324" s="14"/>
      <c r="AZ324" s="24"/>
    </row>
    <row r="325">
      <c r="B325" s="24"/>
      <c r="E325" s="113"/>
      <c r="F325" s="266"/>
      <c r="G325" s="113"/>
      <c r="K325" s="36"/>
      <c r="L325" s="117"/>
      <c r="N325" s="117"/>
      <c r="R325" s="117"/>
      <c r="T325" s="117"/>
      <c r="V325" s="117"/>
      <c r="X325" s="117"/>
      <c r="Y325" s="10"/>
      <c r="Z325" s="11"/>
      <c r="AA325" s="36"/>
      <c r="AB325" s="36"/>
      <c r="AC325" s="13"/>
      <c r="AD325" s="13"/>
      <c r="AE325" s="37"/>
      <c r="AF325" s="37"/>
      <c r="AG325" s="14"/>
      <c r="AH325" s="14"/>
      <c r="AI325" s="14"/>
      <c r="AZ325" s="24"/>
    </row>
    <row r="326">
      <c r="B326" s="24"/>
      <c r="E326" s="113"/>
      <c r="F326" s="266"/>
      <c r="G326" s="113"/>
      <c r="K326" s="36"/>
      <c r="L326" s="117"/>
      <c r="N326" s="117"/>
      <c r="R326" s="117"/>
      <c r="T326" s="117"/>
      <c r="V326" s="117"/>
      <c r="X326" s="117"/>
      <c r="Y326" s="10"/>
      <c r="Z326" s="11"/>
      <c r="AA326" s="36"/>
      <c r="AB326" s="36"/>
      <c r="AC326" s="13"/>
      <c r="AD326" s="13"/>
      <c r="AE326" s="37"/>
      <c r="AF326" s="37"/>
      <c r="AG326" s="14"/>
      <c r="AH326" s="14"/>
      <c r="AI326" s="14"/>
      <c r="AZ326" s="24"/>
    </row>
    <row r="327">
      <c r="B327" s="24"/>
      <c r="E327" s="113"/>
      <c r="F327" s="266"/>
      <c r="G327" s="113"/>
      <c r="K327" s="36"/>
      <c r="L327" s="117"/>
      <c r="N327" s="117"/>
      <c r="R327" s="117"/>
      <c r="T327" s="117"/>
      <c r="V327" s="117"/>
      <c r="X327" s="117"/>
      <c r="Y327" s="10"/>
      <c r="Z327" s="11"/>
      <c r="AA327" s="36"/>
      <c r="AB327" s="36"/>
      <c r="AC327" s="13"/>
      <c r="AD327" s="13"/>
      <c r="AE327" s="37"/>
      <c r="AF327" s="37"/>
      <c r="AG327" s="14"/>
      <c r="AH327" s="14"/>
      <c r="AI327" s="14"/>
      <c r="AZ327" s="24"/>
    </row>
    <row r="328">
      <c r="B328" s="24"/>
      <c r="E328" s="113"/>
      <c r="F328" s="266"/>
      <c r="G328" s="113"/>
      <c r="K328" s="36"/>
      <c r="L328" s="117"/>
      <c r="N328" s="117"/>
      <c r="R328" s="117"/>
      <c r="T328" s="117"/>
      <c r="V328" s="117"/>
      <c r="X328" s="117"/>
      <c r="Y328" s="10"/>
      <c r="Z328" s="11"/>
      <c r="AA328" s="36"/>
      <c r="AB328" s="36"/>
      <c r="AC328" s="13"/>
      <c r="AD328" s="13"/>
      <c r="AE328" s="37"/>
      <c r="AF328" s="37"/>
      <c r="AG328" s="14"/>
      <c r="AH328" s="14"/>
      <c r="AI328" s="14"/>
      <c r="AZ328" s="24"/>
    </row>
    <row r="329">
      <c r="B329" s="24"/>
      <c r="E329" s="113"/>
      <c r="F329" s="266"/>
      <c r="G329" s="113"/>
      <c r="K329" s="36"/>
      <c r="L329" s="117"/>
      <c r="N329" s="117"/>
      <c r="R329" s="117"/>
      <c r="T329" s="117"/>
      <c r="V329" s="117"/>
      <c r="X329" s="117"/>
      <c r="Y329" s="10"/>
      <c r="Z329" s="11"/>
      <c r="AA329" s="36"/>
      <c r="AB329" s="36"/>
      <c r="AC329" s="13"/>
      <c r="AD329" s="13"/>
      <c r="AE329" s="37"/>
      <c r="AF329" s="37"/>
      <c r="AG329" s="14"/>
      <c r="AH329" s="14"/>
      <c r="AI329" s="14"/>
      <c r="AZ329" s="24"/>
    </row>
    <row r="330">
      <c r="B330" s="24"/>
      <c r="E330" s="113"/>
      <c r="F330" s="266"/>
      <c r="G330" s="113"/>
      <c r="K330" s="36"/>
      <c r="L330" s="117"/>
      <c r="N330" s="117"/>
      <c r="R330" s="117"/>
      <c r="T330" s="117"/>
      <c r="V330" s="117"/>
      <c r="X330" s="117"/>
      <c r="Y330" s="10"/>
      <c r="Z330" s="11"/>
      <c r="AA330" s="36"/>
      <c r="AB330" s="36"/>
      <c r="AC330" s="13"/>
      <c r="AD330" s="13"/>
      <c r="AE330" s="37"/>
      <c r="AF330" s="37"/>
      <c r="AG330" s="14"/>
      <c r="AH330" s="14"/>
      <c r="AI330" s="14"/>
      <c r="AZ330" s="24"/>
    </row>
    <row r="331">
      <c r="B331" s="24"/>
      <c r="E331" s="113"/>
      <c r="F331" s="266"/>
      <c r="G331" s="113"/>
      <c r="K331" s="36"/>
      <c r="L331" s="117"/>
      <c r="N331" s="117"/>
      <c r="R331" s="117"/>
      <c r="T331" s="117"/>
      <c r="V331" s="117"/>
      <c r="X331" s="117"/>
      <c r="Y331" s="10"/>
      <c r="Z331" s="11"/>
      <c r="AA331" s="36"/>
      <c r="AB331" s="36"/>
      <c r="AC331" s="13"/>
      <c r="AD331" s="13"/>
      <c r="AE331" s="37"/>
      <c r="AF331" s="37"/>
      <c r="AG331" s="14"/>
      <c r="AH331" s="14"/>
      <c r="AI331" s="14"/>
      <c r="AZ331" s="24"/>
    </row>
    <row r="332">
      <c r="B332" s="24"/>
      <c r="E332" s="113"/>
      <c r="F332" s="266"/>
      <c r="G332" s="113"/>
      <c r="K332" s="36"/>
      <c r="L332" s="117"/>
      <c r="N332" s="117"/>
      <c r="R332" s="117"/>
      <c r="T332" s="117"/>
      <c r="V332" s="117"/>
      <c r="X332" s="117"/>
      <c r="Y332" s="10"/>
      <c r="Z332" s="11"/>
      <c r="AA332" s="36"/>
      <c r="AB332" s="36"/>
      <c r="AC332" s="13"/>
      <c r="AD332" s="13"/>
      <c r="AE332" s="37"/>
      <c r="AF332" s="37"/>
      <c r="AG332" s="14"/>
      <c r="AH332" s="14"/>
      <c r="AI332" s="14"/>
      <c r="AZ332" s="24"/>
    </row>
    <row r="333">
      <c r="B333" s="24"/>
      <c r="E333" s="113"/>
      <c r="F333" s="266"/>
      <c r="G333" s="113"/>
      <c r="K333" s="36"/>
      <c r="L333" s="117"/>
      <c r="N333" s="117"/>
      <c r="R333" s="117"/>
      <c r="T333" s="117"/>
      <c r="V333" s="117"/>
      <c r="X333" s="117"/>
      <c r="Y333" s="10"/>
      <c r="Z333" s="11"/>
      <c r="AA333" s="36"/>
      <c r="AB333" s="36"/>
      <c r="AC333" s="13"/>
      <c r="AD333" s="13"/>
      <c r="AE333" s="37"/>
      <c r="AF333" s="37"/>
      <c r="AG333" s="14"/>
      <c r="AH333" s="14"/>
      <c r="AI333" s="14"/>
      <c r="AZ333" s="24"/>
    </row>
    <row r="334">
      <c r="B334" s="24"/>
      <c r="E334" s="113"/>
      <c r="F334" s="266"/>
      <c r="G334" s="113"/>
      <c r="K334" s="36"/>
      <c r="L334" s="117"/>
      <c r="N334" s="117"/>
      <c r="R334" s="117"/>
      <c r="T334" s="117"/>
      <c r="V334" s="117"/>
      <c r="X334" s="117"/>
      <c r="Y334" s="10"/>
      <c r="Z334" s="11"/>
      <c r="AA334" s="36"/>
      <c r="AB334" s="36"/>
      <c r="AC334" s="13"/>
      <c r="AD334" s="13"/>
      <c r="AE334" s="37"/>
      <c r="AF334" s="37"/>
      <c r="AG334" s="14"/>
      <c r="AH334" s="14"/>
      <c r="AI334" s="14"/>
      <c r="AZ334" s="24"/>
    </row>
    <row r="335">
      <c r="B335" s="24"/>
      <c r="E335" s="113"/>
      <c r="F335" s="266"/>
      <c r="G335" s="113"/>
      <c r="K335" s="36"/>
      <c r="L335" s="117"/>
      <c r="N335" s="117"/>
      <c r="R335" s="117"/>
      <c r="T335" s="117"/>
      <c r="V335" s="117"/>
      <c r="X335" s="117"/>
      <c r="Y335" s="10"/>
      <c r="Z335" s="11"/>
      <c r="AA335" s="36"/>
      <c r="AB335" s="36"/>
      <c r="AC335" s="13"/>
      <c r="AD335" s="13"/>
      <c r="AE335" s="37"/>
      <c r="AF335" s="37"/>
      <c r="AG335" s="14"/>
      <c r="AH335" s="14"/>
      <c r="AI335" s="14"/>
      <c r="AZ335" s="24"/>
    </row>
    <row r="336">
      <c r="B336" s="24"/>
      <c r="E336" s="113"/>
      <c r="F336" s="266"/>
      <c r="G336" s="113"/>
      <c r="K336" s="36"/>
      <c r="L336" s="117"/>
      <c r="N336" s="117"/>
      <c r="R336" s="117"/>
      <c r="T336" s="117"/>
      <c r="V336" s="117"/>
      <c r="X336" s="117"/>
      <c r="Y336" s="10"/>
      <c r="Z336" s="11"/>
      <c r="AA336" s="36"/>
      <c r="AB336" s="36"/>
      <c r="AC336" s="13"/>
      <c r="AD336" s="13"/>
      <c r="AE336" s="37"/>
      <c r="AF336" s="37"/>
      <c r="AG336" s="14"/>
      <c r="AH336" s="14"/>
      <c r="AI336" s="14"/>
      <c r="AZ336" s="24"/>
    </row>
    <row r="337">
      <c r="B337" s="24"/>
      <c r="E337" s="113"/>
      <c r="F337" s="266"/>
      <c r="G337" s="113"/>
      <c r="K337" s="36"/>
      <c r="L337" s="117"/>
      <c r="N337" s="117"/>
      <c r="R337" s="117"/>
      <c r="T337" s="117"/>
      <c r="V337" s="117"/>
      <c r="X337" s="117"/>
      <c r="Y337" s="10"/>
      <c r="Z337" s="11"/>
      <c r="AA337" s="36"/>
      <c r="AB337" s="36"/>
      <c r="AC337" s="13"/>
      <c r="AD337" s="13"/>
      <c r="AE337" s="37"/>
      <c r="AF337" s="37"/>
      <c r="AG337" s="14"/>
      <c r="AH337" s="14"/>
      <c r="AI337" s="14"/>
      <c r="AZ337" s="24"/>
    </row>
    <row r="338">
      <c r="B338" s="24"/>
      <c r="E338" s="113"/>
      <c r="F338" s="266"/>
      <c r="G338" s="113"/>
      <c r="K338" s="36"/>
      <c r="L338" s="117"/>
      <c r="N338" s="117"/>
      <c r="R338" s="117"/>
      <c r="T338" s="117"/>
      <c r="V338" s="117"/>
      <c r="X338" s="117"/>
      <c r="Y338" s="10"/>
      <c r="Z338" s="11"/>
      <c r="AA338" s="36"/>
      <c r="AB338" s="36"/>
      <c r="AC338" s="13"/>
      <c r="AD338" s="13"/>
      <c r="AE338" s="37"/>
      <c r="AF338" s="37"/>
      <c r="AG338" s="14"/>
      <c r="AH338" s="14"/>
      <c r="AI338" s="14"/>
      <c r="AZ338" s="24"/>
    </row>
    <row r="339">
      <c r="B339" s="24"/>
      <c r="E339" s="113"/>
      <c r="F339" s="266"/>
      <c r="G339" s="113"/>
      <c r="K339" s="36"/>
      <c r="L339" s="117"/>
      <c r="N339" s="117"/>
      <c r="R339" s="117"/>
      <c r="T339" s="117"/>
      <c r="V339" s="117"/>
      <c r="X339" s="117"/>
      <c r="Y339" s="10"/>
      <c r="Z339" s="11"/>
      <c r="AA339" s="36"/>
      <c r="AB339" s="36"/>
      <c r="AC339" s="13"/>
      <c r="AD339" s="13"/>
      <c r="AE339" s="37"/>
      <c r="AF339" s="37"/>
      <c r="AG339" s="14"/>
      <c r="AH339" s="14"/>
      <c r="AI339" s="14"/>
      <c r="AZ339" s="24"/>
    </row>
    <row r="340">
      <c r="B340" s="24"/>
      <c r="E340" s="113"/>
      <c r="F340" s="266"/>
      <c r="G340" s="113"/>
      <c r="K340" s="36"/>
      <c r="L340" s="117"/>
      <c r="N340" s="117"/>
      <c r="R340" s="117"/>
      <c r="T340" s="117"/>
      <c r="V340" s="117"/>
      <c r="X340" s="117"/>
      <c r="Y340" s="10"/>
      <c r="Z340" s="11"/>
      <c r="AA340" s="36"/>
      <c r="AB340" s="36"/>
      <c r="AC340" s="13"/>
      <c r="AD340" s="13"/>
      <c r="AE340" s="37"/>
      <c r="AF340" s="37"/>
      <c r="AG340" s="14"/>
      <c r="AH340" s="14"/>
      <c r="AI340" s="14"/>
      <c r="AZ340" s="24"/>
    </row>
    <row r="341">
      <c r="B341" s="24"/>
      <c r="E341" s="113"/>
      <c r="F341" s="266"/>
      <c r="G341" s="113"/>
      <c r="K341" s="36"/>
      <c r="L341" s="117"/>
      <c r="N341" s="117"/>
      <c r="R341" s="117"/>
      <c r="T341" s="117"/>
      <c r="V341" s="117"/>
      <c r="X341" s="117"/>
      <c r="Y341" s="10"/>
      <c r="Z341" s="11"/>
      <c r="AA341" s="36"/>
      <c r="AB341" s="36"/>
      <c r="AC341" s="13"/>
      <c r="AD341" s="13"/>
      <c r="AE341" s="37"/>
      <c r="AF341" s="37"/>
      <c r="AG341" s="14"/>
      <c r="AH341" s="14"/>
      <c r="AI341" s="14"/>
      <c r="AZ341" s="24"/>
    </row>
    <row r="342">
      <c r="B342" s="24"/>
      <c r="E342" s="113"/>
      <c r="F342" s="266"/>
      <c r="G342" s="113"/>
      <c r="K342" s="36"/>
      <c r="L342" s="117"/>
      <c r="N342" s="117"/>
      <c r="R342" s="117"/>
      <c r="T342" s="117"/>
      <c r="V342" s="117"/>
      <c r="X342" s="117"/>
      <c r="Y342" s="10"/>
      <c r="Z342" s="11"/>
      <c r="AA342" s="36"/>
      <c r="AB342" s="36"/>
      <c r="AC342" s="13"/>
      <c r="AD342" s="13"/>
      <c r="AE342" s="37"/>
      <c r="AF342" s="37"/>
      <c r="AG342" s="14"/>
      <c r="AH342" s="14"/>
      <c r="AI342" s="14"/>
      <c r="AZ342" s="24"/>
    </row>
    <row r="343">
      <c r="B343" s="24"/>
      <c r="E343" s="113"/>
      <c r="F343" s="266"/>
      <c r="G343" s="113"/>
      <c r="K343" s="36"/>
      <c r="L343" s="117"/>
      <c r="N343" s="117"/>
      <c r="R343" s="117"/>
      <c r="T343" s="117"/>
      <c r="V343" s="117"/>
      <c r="X343" s="117"/>
      <c r="Y343" s="10"/>
      <c r="Z343" s="11"/>
      <c r="AA343" s="36"/>
      <c r="AB343" s="36"/>
      <c r="AC343" s="13"/>
      <c r="AD343" s="13"/>
      <c r="AE343" s="37"/>
      <c r="AF343" s="37"/>
      <c r="AG343" s="14"/>
      <c r="AH343" s="14"/>
      <c r="AI343" s="14"/>
      <c r="AZ343" s="24"/>
    </row>
    <row r="344">
      <c r="B344" s="24"/>
      <c r="E344" s="113"/>
      <c r="F344" s="266"/>
      <c r="G344" s="113"/>
      <c r="K344" s="36"/>
      <c r="L344" s="117"/>
      <c r="N344" s="117"/>
      <c r="R344" s="117"/>
      <c r="T344" s="117"/>
      <c r="V344" s="117"/>
      <c r="X344" s="117"/>
      <c r="Y344" s="10"/>
      <c r="Z344" s="11"/>
      <c r="AA344" s="36"/>
      <c r="AB344" s="36"/>
      <c r="AC344" s="13"/>
      <c r="AD344" s="13"/>
      <c r="AE344" s="37"/>
      <c r="AF344" s="37"/>
      <c r="AG344" s="14"/>
      <c r="AH344" s="14"/>
      <c r="AI344" s="14"/>
      <c r="AZ344" s="24"/>
    </row>
    <row r="345">
      <c r="B345" s="24"/>
      <c r="E345" s="113"/>
      <c r="F345" s="266"/>
      <c r="G345" s="113"/>
      <c r="K345" s="36"/>
      <c r="L345" s="117"/>
      <c r="N345" s="117"/>
      <c r="R345" s="117"/>
      <c r="T345" s="117"/>
      <c r="V345" s="117"/>
      <c r="X345" s="117"/>
      <c r="Y345" s="10"/>
      <c r="Z345" s="11"/>
      <c r="AA345" s="36"/>
      <c r="AB345" s="36"/>
      <c r="AC345" s="13"/>
      <c r="AD345" s="13"/>
      <c r="AE345" s="37"/>
      <c r="AF345" s="37"/>
      <c r="AG345" s="14"/>
      <c r="AH345" s="14"/>
      <c r="AI345" s="14"/>
      <c r="AZ345" s="24"/>
    </row>
    <row r="346">
      <c r="B346" s="24"/>
      <c r="E346" s="113"/>
      <c r="F346" s="266"/>
      <c r="G346" s="113"/>
      <c r="K346" s="36"/>
      <c r="L346" s="117"/>
      <c r="N346" s="117"/>
      <c r="R346" s="117"/>
      <c r="T346" s="117"/>
      <c r="V346" s="117"/>
      <c r="X346" s="117"/>
      <c r="Y346" s="10"/>
      <c r="Z346" s="11"/>
      <c r="AA346" s="36"/>
      <c r="AB346" s="36"/>
      <c r="AC346" s="13"/>
      <c r="AD346" s="13"/>
      <c r="AE346" s="37"/>
      <c r="AF346" s="37"/>
      <c r="AG346" s="14"/>
      <c r="AH346" s="14"/>
      <c r="AI346" s="14"/>
      <c r="AZ346" s="24"/>
    </row>
    <row r="347">
      <c r="B347" s="24"/>
      <c r="E347" s="113"/>
      <c r="F347" s="266"/>
      <c r="G347" s="113"/>
      <c r="K347" s="36"/>
      <c r="L347" s="117"/>
      <c r="N347" s="117"/>
      <c r="R347" s="117"/>
      <c r="T347" s="117"/>
      <c r="V347" s="117"/>
      <c r="X347" s="117"/>
      <c r="Y347" s="10"/>
      <c r="Z347" s="11"/>
      <c r="AA347" s="36"/>
      <c r="AB347" s="36"/>
      <c r="AC347" s="13"/>
      <c r="AD347" s="13"/>
      <c r="AE347" s="37"/>
      <c r="AF347" s="37"/>
      <c r="AG347" s="14"/>
      <c r="AH347" s="14"/>
      <c r="AI347" s="14"/>
      <c r="AZ347" s="24"/>
    </row>
    <row r="348">
      <c r="B348" s="24"/>
      <c r="E348" s="113"/>
      <c r="F348" s="266"/>
      <c r="G348" s="113"/>
      <c r="K348" s="36"/>
      <c r="L348" s="117"/>
      <c r="N348" s="117"/>
      <c r="R348" s="117"/>
      <c r="T348" s="117"/>
      <c r="V348" s="117"/>
      <c r="X348" s="117"/>
      <c r="Y348" s="10"/>
      <c r="Z348" s="11"/>
      <c r="AA348" s="36"/>
      <c r="AB348" s="36"/>
      <c r="AC348" s="13"/>
      <c r="AD348" s="13"/>
      <c r="AE348" s="37"/>
      <c r="AF348" s="37"/>
      <c r="AG348" s="14"/>
      <c r="AH348" s="14"/>
      <c r="AI348" s="14"/>
      <c r="AZ348" s="24"/>
    </row>
    <row r="349">
      <c r="B349" s="24"/>
      <c r="E349" s="113"/>
      <c r="F349" s="266"/>
      <c r="G349" s="113"/>
      <c r="K349" s="36"/>
      <c r="L349" s="117"/>
      <c r="N349" s="117"/>
      <c r="R349" s="117"/>
      <c r="T349" s="117"/>
      <c r="V349" s="117"/>
      <c r="X349" s="117"/>
      <c r="Y349" s="10"/>
      <c r="Z349" s="11"/>
      <c r="AA349" s="36"/>
      <c r="AB349" s="36"/>
      <c r="AC349" s="13"/>
      <c r="AD349" s="13"/>
      <c r="AE349" s="37"/>
      <c r="AF349" s="37"/>
      <c r="AG349" s="14"/>
      <c r="AH349" s="14"/>
      <c r="AI349" s="14"/>
      <c r="AZ349" s="24"/>
    </row>
    <row r="350">
      <c r="B350" s="24"/>
      <c r="E350" s="113"/>
      <c r="F350" s="266"/>
      <c r="G350" s="113"/>
      <c r="K350" s="36"/>
      <c r="L350" s="117"/>
      <c r="N350" s="117"/>
      <c r="R350" s="117"/>
      <c r="T350" s="117"/>
      <c r="V350" s="117"/>
      <c r="X350" s="117"/>
      <c r="Y350" s="10"/>
      <c r="Z350" s="11"/>
      <c r="AA350" s="36"/>
      <c r="AB350" s="36"/>
      <c r="AC350" s="13"/>
      <c r="AD350" s="13"/>
      <c r="AE350" s="37"/>
      <c r="AF350" s="37"/>
      <c r="AG350" s="14"/>
      <c r="AH350" s="14"/>
      <c r="AI350" s="14"/>
      <c r="AZ350" s="24"/>
    </row>
    <row r="351">
      <c r="B351" s="24"/>
      <c r="E351" s="113"/>
      <c r="F351" s="266"/>
      <c r="G351" s="113"/>
      <c r="K351" s="36"/>
      <c r="L351" s="117"/>
      <c r="N351" s="117"/>
      <c r="R351" s="117"/>
      <c r="T351" s="117"/>
      <c r="V351" s="117"/>
      <c r="X351" s="117"/>
      <c r="Y351" s="10"/>
      <c r="Z351" s="11"/>
      <c r="AA351" s="36"/>
      <c r="AB351" s="36"/>
      <c r="AC351" s="13"/>
      <c r="AD351" s="13"/>
      <c r="AE351" s="37"/>
      <c r="AF351" s="37"/>
      <c r="AG351" s="14"/>
      <c r="AH351" s="14"/>
      <c r="AI351" s="14"/>
      <c r="AZ351" s="24"/>
    </row>
    <row r="352">
      <c r="B352" s="24"/>
      <c r="E352" s="113"/>
      <c r="F352" s="266"/>
      <c r="G352" s="113"/>
      <c r="K352" s="36"/>
      <c r="L352" s="117"/>
      <c r="N352" s="117"/>
      <c r="R352" s="117"/>
      <c r="T352" s="117"/>
      <c r="V352" s="117"/>
      <c r="X352" s="117"/>
      <c r="Y352" s="10"/>
      <c r="Z352" s="11"/>
      <c r="AA352" s="36"/>
      <c r="AB352" s="36"/>
      <c r="AC352" s="13"/>
      <c r="AD352" s="13"/>
      <c r="AE352" s="37"/>
      <c r="AF352" s="37"/>
      <c r="AG352" s="14"/>
      <c r="AH352" s="14"/>
      <c r="AI352" s="14"/>
      <c r="AZ352" s="24"/>
    </row>
    <row r="353">
      <c r="B353" s="24"/>
      <c r="E353" s="113"/>
      <c r="F353" s="266"/>
      <c r="G353" s="113"/>
      <c r="K353" s="36"/>
      <c r="L353" s="117"/>
      <c r="N353" s="117"/>
      <c r="R353" s="117"/>
      <c r="T353" s="117"/>
      <c r="V353" s="117"/>
      <c r="X353" s="117"/>
      <c r="Y353" s="10"/>
      <c r="Z353" s="11"/>
      <c r="AA353" s="36"/>
      <c r="AB353" s="36"/>
      <c r="AC353" s="13"/>
      <c r="AD353" s="13"/>
      <c r="AE353" s="37"/>
      <c r="AF353" s="37"/>
      <c r="AG353" s="14"/>
      <c r="AH353" s="14"/>
      <c r="AI353" s="14"/>
      <c r="AZ353" s="24"/>
    </row>
    <row r="354">
      <c r="B354" s="24"/>
      <c r="E354" s="113"/>
      <c r="F354" s="266"/>
      <c r="G354" s="113"/>
      <c r="K354" s="36"/>
      <c r="L354" s="117"/>
      <c r="N354" s="117"/>
      <c r="R354" s="117"/>
      <c r="T354" s="117"/>
      <c r="V354" s="117"/>
      <c r="X354" s="117"/>
      <c r="Y354" s="10"/>
      <c r="Z354" s="11"/>
      <c r="AA354" s="36"/>
      <c r="AB354" s="36"/>
      <c r="AC354" s="13"/>
      <c r="AD354" s="13"/>
      <c r="AE354" s="37"/>
      <c r="AF354" s="37"/>
      <c r="AG354" s="14"/>
      <c r="AH354" s="14"/>
      <c r="AI354" s="14"/>
      <c r="AZ354" s="24"/>
    </row>
    <row r="355">
      <c r="B355" s="24"/>
      <c r="E355" s="113"/>
      <c r="F355" s="266"/>
      <c r="G355" s="113"/>
      <c r="K355" s="36"/>
      <c r="L355" s="117"/>
      <c r="N355" s="117"/>
      <c r="R355" s="117"/>
      <c r="T355" s="117"/>
      <c r="V355" s="117"/>
      <c r="X355" s="117"/>
      <c r="Y355" s="10"/>
      <c r="Z355" s="11"/>
      <c r="AA355" s="36"/>
      <c r="AB355" s="36"/>
      <c r="AC355" s="13"/>
      <c r="AD355" s="13"/>
      <c r="AE355" s="37"/>
      <c r="AF355" s="37"/>
      <c r="AG355" s="14"/>
      <c r="AH355" s="14"/>
      <c r="AI355" s="14"/>
      <c r="AZ355" s="24"/>
    </row>
    <row r="356">
      <c r="B356" s="24"/>
      <c r="E356" s="113"/>
      <c r="F356" s="266"/>
      <c r="G356" s="113"/>
      <c r="K356" s="36"/>
      <c r="L356" s="117"/>
      <c r="N356" s="117"/>
      <c r="R356" s="117"/>
      <c r="T356" s="117"/>
      <c r="V356" s="117"/>
      <c r="X356" s="117"/>
      <c r="Y356" s="10"/>
      <c r="Z356" s="11"/>
      <c r="AA356" s="36"/>
      <c r="AB356" s="36"/>
      <c r="AC356" s="13"/>
      <c r="AD356" s="13"/>
      <c r="AE356" s="37"/>
      <c r="AF356" s="37"/>
      <c r="AG356" s="14"/>
      <c r="AH356" s="14"/>
      <c r="AI356" s="14"/>
      <c r="AZ356" s="24"/>
    </row>
    <row r="357">
      <c r="B357" s="24"/>
      <c r="E357" s="113"/>
      <c r="F357" s="266"/>
      <c r="G357" s="113"/>
      <c r="K357" s="36"/>
      <c r="L357" s="117"/>
      <c r="N357" s="117"/>
      <c r="R357" s="117"/>
      <c r="T357" s="117"/>
      <c r="V357" s="117"/>
      <c r="X357" s="117"/>
      <c r="Y357" s="10"/>
      <c r="Z357" s="11"/>
      <c r="AA357" s="36"/>
      <c r="AB357" s="36"/>
      <c r="AC357" s="13"/>
      <c r="AD357" s="13"/>
      <c r="AE357" s="37"/>
      <c r="AF357" s="37"/>
      <c r="AG357" s="14"/>
      <c r="AH357" s="14"/>
      <c r="AI357" s="14"/>
      <c r="AZ357" s="24"/>
    </row>
    <row r="358">
      <c r="B358" s="24"/>
      <c r="E358" s="113"/>
      <c r="F358" s="266"/>
      <c r="G358" s="113"/>
      <c r="K358" s="36"/>
      <c r="L358" s="117"/>
      <c r="N358" s="117"/>
      <c r="R358" s="117"/>
      <c r="T358" s="117"/>
      <c r="V358" s="117"/>
      <c r="X358" s="117"/>
      <c r="Y358" s="10"/>
      <c r="Z358" s="11"/>
      <c r="AA358" s="36"/>
      <c r="AB358" s="36"/>
      <c r="AC358" s="13"/>
      <c r="AD358" s="13"/>
      <c r="AE358" s="37"/>
      <c r="AF358" s="37"/>
      <c r="AG358" s="14"/>
      <c r="AH358" s="14"/>
      <c r="AI358" s="14"/>
      <c r="AZ358" s="24"/>
    </row>
    <row r="359">
      <c r="B359" s="24"/>
      <c r="E359" s="113"/>
      <c r="F359" s="266"/>
      <c r="G359" s="113"/>
      <c r="K359" s="36"/>
      <c r="L359" s="117"/>
      <c r="N359" s="117"/>
      <c r="R359" s="117"/>
      <c r="T359" s="117"/>
      <c r="V359" s="117"/>
      <c r="X359" s="117"/>
      <c r="Y359" s="10"/>
      <c r="Z359" s="11"/>
      <c r="AA359" s="36"/>
      <c r="AB359" s="36"/>
      <c r="AC359" s="13"/>
      <c r="AD359" s="13"/>
      <c r="AE359" s="37"/>
      <c r="AF359" s="37"/>
      <c r="AG359" s="14"/>
      <c r="AH359" s="14"/>
      <c r="AI359" s="14"/>
      <c r="AZ359" s="24"/>
    </row>
    <row r="360">
      <c r="B360" s="24"/>
      <c r="E360" s="113"/>
      <c r="F360" s="266"/>
      <c r="G360" s="113"/>
      <c r="K360" s="36"/>
      <c r="L360" s="117"/>
      <c r="N360" s="117"/>
      <c r="R360" s="117"/>
      <c r="T360" s="117"/>
      <c r="V360" s="117"/>
      <c r="X360" s="117"/>
      <c r="Y360" s="10"/>
      <c r="Z360" s="11"/>
      <c r="AA360" s="36"/>
      <c r="AB360" s="36"/>
      <c r="AC360" s="13"/>
      <c r="AD360" s="13"/>
      <c r="AE360" s="37"/>
      <c r="AF360" s="37"/>
      <c r="AG360" s="14"/>
      <c r="AH360" s="14"/>
      <c r="AI360" s="14"/>
      <c r="AZ360" s="24"/>
    </row>
    <row r="361">
      <c r="B361" s="24"/>
      <c r="E361" s="113"/>
      <c r="F361" s="266"/>
      <c r="G361" s="113"/>
      <c r="K361" s="36"/>
      <c r="L361" s="117"/>
      <c r="N361" s="117"/>
      <c r="R361" s="117"/>
      <c r="T361" s="117"/>
      <c r="V361" s="117"/>
      <c r="X361" s="117"/>
      <c r="Y361" s="10"/>
      <c r="Z361" s="11"/>
      <c r="AA361" s="36"/>
      <c r="AB361" s="36"/>
      <c r="AC361" s="13"/>
      <c r="AD361" s="13"/>
      <c r="AE361" s="37"/>
      <c r="AF361" s="37"/>
      <c r="AG361" s="14"/>
      <c r="AH361" s="14"/>
      <c r="AI361" s="14"/>
      <c r="AZ361" s="24"/>
    </row>
    <row r="362">
      <c r="B362" s="24"/>
      <c r="E362" s="113"/>
      <c r="F362" s="266"/>
      <c r="G362" s="113"/>
      <c r="K362" s="36"/>
      <c r="L362" s="117"/>
      <c r="N362" s="117"/>
      <c r="R362" s="117"/>
      <c r="T362" s="117"/>
      <c r="V362" s="117"/>
      <c r="X362" s="117"/>
      <c r="Y362" s="10"/>
      <c r="Z362" s="11"/>
      <c r="AA362" s="36"/>
      <c r="AB362" s="36"/>
      <c r="AC362" s="13"/>
      <c r="AD362" s="13"/>
      <c r="AE362" s="37"/>
      <c r="AF362" s="37"/>
      <c r="AG362" s="14"/>
      <c r="AH362" s="14"/>
      <c r="AI362" s="14"/>
      <c r="AZ362" s="24"/>
    </row>
    <row r="363">
      <c r="B363" s="24"/>
      <c r="E363" s="113"/>
      <c r="F363" s="266"/>
      <c r="G363" s="113"/>
      <c r="K363" s="36"/>
      <c r="L363" s="117"/>
      <c r="N363" s="117"/>
      <c r="R363" s="117"/>
      <c r="T363" s="117"/>
      <c r="V363" s="117"/>
      <c r="X363" s="117"/>
      <c r="Y363" s="10"/>
      <c r="Z363" s="11"/>
      <c r="AA363" s="36"/>
      <c r="AB363" s="36"/>
      <c r="AC363" s="13"/>
      <c r="AD363" s="13"/>
      <c r="AE363" s="37"/>
      <c r="AF363" s="37"/>
      <c r="AG363" s="14"/>
      <c r="AH363" s="14"/>
      <c r="AI363" s="14"/>
      <c r="AZ363" s="24"/>
    </row>
    <row r="364">
      <c r="B364" s="24"/>
      <c r="E364" s="113"/>
      <c r="F364" s="266"/>
      <c r="G364" s="113"/>
      <c r="K364" s="36"/>
      <c r="L364" s="117"/>
      <c r="N364" s="117"/>
      <c r="R364" s="117"/>
      <c r="T364" s="117"/>
      <c r="V364" s="117"/>
      <c r="X364" s="117"/>
      <c r="Y364" s="10"/>
      <c r="Z364" s="11"/>
      <c r="AA364" s="36"/>
      <c r="AB364" s="36"/>
      <c r="AC364" s="13"/>
      <c r="AD364" s="13"/>
      <c r="AE364" s="37"/>
      <c r="AF364" s="37"/>
      <c r="AG364" s="14"/>
      <c r="AH364" s="14"/>
      <c r="AI364" s="14"/>
      <c r="AZ364" s="24"/>
    </row>
    <row r="365">
      <c r="B365" s="24"/>
      <c r="E365" s="113"/>
      <c r="F365" s="266"/>
      <c r="G365" s="113"/>
      <c r="K365" s="36"/>
      <c r="L365" s="117"/>
      <c r="N365" s="117"/>
      <c r="R365" s="117"/>
      <c r="T365" s="117"/>
      <c r="V365" s="117"/>
      <c r="X365" s="117"/>
      <c r="Y365" s="10"/>
      <c r="Z365" s="11"/>
      <c r="AA365" s="36"/>
      <c r="AB365" s="36"/>
      <c r="AC365" s="13"/>
      <c r="AD365" s="13"/>
      <c r="AE365" s="37"/>
      <c r="AF365" s="37"/>
      <c r="AG365" s="14"/>
      <c r="AH365" s="14"/>
      <c r="AI365" s="14"/>
      <c r="AZ365" s="24"/>
    </row>
    <row r="366">
      <c r="B366" s="24"/>
      <c r="E366" s="113"/>
      <c r="F366" s="266"/>
      <c r="G366" s="113"/>
      <c r="K366" s="36"/>
      <c r="L366" s="117"/>
      <c r="N366" s="117"/>
      <c r="R366" s="117"/>
      <c r="T366" s="117"/>
      <c r="V366" s="117"/>
      <c r="X366" s="117"/>
      <c r="Y366" s="10"/>
      <c r="Z366" s="11"/>
      <c r="AA366" s="36"/>
      <c r="AB366" s="36"/>
      <c r="AC366" s="13"/>
      <c r="AD366" s="13"/>
      <c r="AE366" s="37"/>
      <c r="AF366" s="37"/>
      <c r="AG366" s="14"/>
      <c r="AH366" s="14"/>
      <c r="AI366" s="14"/>
      <c r="AZ366" s="24"/>
    </row>
    <row r="367">
      <c r="B367" s="24"/>
      <c r="E367" s="113"/>
      <c r="F367" s="266"/>
      <c r="G367" s="113"/>
      <c r="K367" s="36"/>
      <c r="L367" s="117"/>
      <c r="N367" s="117"/>
      <c r="R367" s="117"/>
      <c r="T367" s="117"/>
      <c r="V367" s="117"/>
      <c r="X367" s="117"/>
      <c r="Y367" s="10"/>
      <c r="Z367" s="11"/>
      <c r="AA367" s="36"/>
      <c r="AB367" s="36"/>
      <c r="AC367" s="13"/>
      <c r="AD367" s="13"/>
      <c r="AE367" s="37"/>
      <c r="AF367" s="37"/>
      <c r="AG367" s="14"/>
      <c r="AH367" s="14"/>
      <c r="AI367" s="14"/>
      <c r="AZ367" s="24"/>
    </row>
    <row r="368">
      <c r="B368" s="24"/>
      <c r="E368" s="113"/>
      <c r="F368" s="266"/>
      <c r="G368" s="113"/>
      <c r="K368" s="36"/>
      <c r="L368" s="117"/>
      <c r="N368" s="117"/>
      <c r="R368" s="117"/>
      <c r="T368" s="117"/>
      <c r="V368" s="117"/>
      <c r="X368" s="117"/>
      <c r="Y368" s="10"/>
      <c r="Z368" s="11"/>
      <c r="AA368" s="36"/>
      <c r="AB368" s="36"/>
      <c r="AC368" s="13"/>
      <c r="AD368" s="13"/>
      <c r="AE368" s="37"/>
      <c r="AF368" s="37"/>
      <c r="AG368" s="14"/>
      <c r="AH368" s="14"/>
      <c r="AI368" s="14"/>
      <c r="AZ368" s="24"/>
    </row>
    <row r="369">
      <c r="B369" s="24"/>
      <c r="E369" s="113"/>
      <c r="F369" s="266"/>
      <c r="G369" s="113"/>
      <c r="K369" s="36"/>
      <c r="L369" s="117"/>
      <c r="N369" s="117"/>
      <c r="R369" s="117"/>
      <c r="T369" s="117"/>
      <c r="V369" s="117"/>
      <c r="X369" s="117"/>
      <c r="Y369" s="10"/>
      <c r="Z369" s="11"/>
      <c r="AA369" s="36"/>
      <c r="AB369" s="36"/>
      <c r="AC369" s="13"/>
      <c r="AD369" s="13"/>
      <c r="AE369" s="37"/>
      <c r="AF369" s="37"/>
      <c r="AG369" s="14"/>
      <c r="AH369" s="14"/>
      <c r="AI369" s="14"/>
      <c r="AZ369" s="24"/>
    </row>
    <row r="370">
      <c r="B370" s="24"/>
      <c r="E370" s="113"/>
      <c r="F370" s="266"/>
      <c r="G370" s="113"/>
      <c r="K370" s="36"/>
      <c r="L370" s="117"/>
      <c r="N370" s="117"/>
      <c r="R370" s="117"/>
      <c r="T370" s="117"/>
      <c r="V370" s="117"/>
      <c r="X370" s="117"/>
      <c r="Y370" s="10"/>
      <c r="Z370" s="11"/>
      <c r="AA370" s="36"/>
      <c r="AB370" s="36"/>
      <c r="AC370" s="13"/>
      <c r="AD370" s="13"/>
      <c r="AE370" s="37"/>
      <c r="AF370" s="37"/>
      <c r="AG370" s="14"/>
      <c r="AH370" s="14"/>
      <c r="AI370" s="14"/>
      <c r="AZ370" s="24"/>
    </row>
    <row r="371">
      <c r="B371" s="24"/>
      <c r="E371" s="113"/>
      <c r="F371" s="266"/>
      <c r="G371" s="113"/>
      <c r="K371" s="36"/>
      <c r="L371" s="117"/>
      <c r="N371" s="117"/>
      <c r="R371" s="117"/>
      <c r="T371" s="117"/>
      <c r="V371" s="117"/>
      <c r="X371" s="117"/>
      <c r="Y371" s="10"/>
      <c r="Z371" s="11"/>
      <c r="AA371" s="36"/>
      <c r="AB371" s="36"/>
      <c r="AC371" s="13"/>
      <c r="AD371" s="13"/>
      <c r="AE371" s="37"/>
      <c r="AF371" s="37"/>
      <c r="AG371" s="14"/>
      <c r="AH371" s="14"/>
      <c r="AI371" s="14"/>
      <c r="AZ371" s="24"/>
    </row>
    <row r="372">
      <c r="B372" s="24"/>
      <c r="E372" s="113"/>
      <c r="F372" s="266"/>
      <c r="G372" s="113"/>
      <c r="K372" s="36"/>
      <c r="L372" s="117"/>
      <c r="N372" s="117"/>
      <c r="R372" s="117"/>
      <c r="T372" s="117"/>
      <c r="V372" s="117"/>
      <c r="X372" s="117"/>
      <c r="Y372" s="10"/>
      <c r="Z372" s="11"/>
      <c r="AA372" s="36"/>
      <c r="AB372" s="36"/>
      <c r="AC372" s="13"/>
      <c r="AD372" s="13"/>
      <c r="AE372" s="37"/>
      <c r="AF372" s="37"/>
      <c r="AG372" s="14"/>
      <c r="AH372" s="14"/>
      <c r="AI372" s="14"/>
      <c r="AZ372" s="24"/>
    </row>
    <row r="373">
      <c r="B373" s="24"/>
      <c r="E373" s="113"/>
      <c r="F373" s="266"/>
      <c r="G373" s="113"/>
      <c r="K373" s="36"/>
      <c r="L373" s="117"/>
      <c r="N373" s="117"/>
      <c r="R373" s="117"/>
      <c r="T373" s="117"/>
      <c r="V373" s="117"/>
      <c r="X373" s="117"/>
      <c r="Y373" s="10"/>
      <c r="Z373" s="11"/>
      <c r="AA373" s="36"/>
      <c r="AB373" s="36"/>
      <c r="AC373" s="13"/>
      <c r="AD373" s="13"/>
      <c r="AE373" s="37"/>
      <c r="AF373" s="37"/>
      <c r="AG373" s="14"/>
      <c r="AH373" s="14"/>
      <c r="AI373" s="14"/>
      <c r="AZ373" s="24"/>
    </row>
    <row r="374">
      <c r="B374" s="24"/>
      <c r="E374" s="113"/>
      <c r="F374" s="266"/>
      <c r="G374" s="113"/>
      <c r="K374" s="36"/>
      <c r="L374" s="117"/>
      <c r="N374" s="117"/>
      <c r="R374" s="117"/>
      <c r="T374" s="117"/>
      <c r="V374" s="117"/>
      <c r="X374" s="117"/>
      <c r="Y374" s="10"/>
      <c r="Z374" s="11"/>
      <c r="AA374" s="36"/>
      <c r="AB374" s="36"/>
      <c r="AC374" s="13"/>
      <c r="AD374" s="13"/>
      <c r="AE374" s="37"/>
      <c r="AF374" s="37"/>
      <c r="AG374" s="14"/>
      <c r="AH374" s="14"/>
      <c r="AI374" s="14"/>
      <c r="AZ374" s="24"/>
    </row>
    <row r="375">
      <c r="B375" s="24"/>
      <c r="E375" s="113"/>
      <c r="F375" s="266"/>
      <c r="G375" s="113"/>
      <c r="K375" s="36"/>
      <c r="L375" s="117"/>
      <c r="N375" s="117"/>
      <c r="R375" s="117"/>
      <c r="T375" s="117"/>
      <c r="V375" s="117"/>
      <c r="X375" s="117"/>
      <c r="Y375" s="10"/>
      <c r="Z375" s="11"/>
      <c r="AA375" s="36"/>
      <c r="AB375" s="36"/>
      <c r="AC375" s="13"/>
      <c r="AD375" s="13"/>
      <c r="AE375" s="37"/>
      <c r="AF375" s="37"/>
      <c r="AG375" s="14"/>
      <c r="AH375" s="14"/>
      <c r="AI375" s="14"/>
      <c r="AZ375" s="24"/>
    </row>
    <row r="376">
      <c r="B376" s="24"/>
      <c r="E376" s="113"/>
      <c r="F376" s="266"/>
      <c r="G376" s="113"/>
      <c r="K376" s="36"/>
      <c r="L376" s="117"/>
      <c r="N376" s="117"/>
      <c r="R376" s="117"/>
      <c r="T376" s="117"/>
      <c r="V376" s="117"/>
      <c r="X376" s="117"/>
      <c r="Y376" s="10"/>
      <c r="Z376" s="11"/>
      <c r="AA376" s="36"/>
      <c r="AB376" s="36"/>
      <c r="AC376" s="13"/>
      <c r="AD376" s="13"/>
      <c r="AE376" s="37"/>
      <c r="AF376" s="37"/>
      <c r="AG376" s="14"/>
      <c r="AH376" s="14"/>
      <c r="AI376" s="14"/>
      <c r="AZ376" s="24"/>
    </row>
    <row r="377">
      <c r="B377" s="24"/>
      <c r="E377" s="113"/>
      <c r="F377" s="266"/>
      <c r="G377" s="113"/>
      <c r="K377" s="36"/>
      <c r="L377" s="117"/>
      <c r="N377" s="117"/>
      <c r="R377" s="117"/>
      <c r="T377" s="117"/>
      <c r="V377" s="117"/>
      <c r="X377" s="117"/>
      <c r="Y377" s="10"/>
      <c r="Z377" s="11"/>
      <c r="AA377" s="36"/>
      <c r="AB377" s="36"/>
      <c r="AC377" s="13"/>
      <c r="AD377" s="13"/>
      <c r="AE377" s="37"/>
      <c r="AF377" s="37"/>
      <c r="AG377" s="14"/>
      <c r="AH377" s="14"/>
      <c r="AI377" s="14"/>
      <c r="AZ377" s="24"/>
    </row>
    <row r="378">
      <c r="B378" s="24"/>
      <c r="E378" s="113"/>
      <c r="F378" s="266"/>
      <c r="G378" s="113"/>
      <c r="K378" s="36"/>
      <c r="L378" s="117"/>
      <c r="N378" s="117"/>
      <c r="R378" s="117"/>
      <c r="T378" s="117"/>
      <c r="V378" s="117"/>
      <c r="X378" s="117"/>
      <c r="Y378" s="10"/>
      <c r="Z378" s="11"/>
      <c r="AA378" s="36"/>
      <c r="AB378" s="36"/>
      <c r="AC378" s="13"/>
      <c r="AD378" s="13"/>
      <c r="AE378" s="37"/>
      <c r="AF378" s="37"/>
      <c r="AG378" s="14"/>
      <c r="AH378" s="14"/>
      <c r="AI378" s="14"/>
      <c r="AZ378" s="24"/>
    </row>
    <row r="379">
      <c r="B379" s="24"/>
      <c r="E379" s="113"/>
      <c r="F379" s="266"/>
      <c r="G379" s="113"/>
      <c r="K379" s="36"/>
      <c r="L379" s="117"/>
      <c r="N379" s="117"/>
      <c r="R379" s="117"/>
      <c r="T379" s="117"/>
      <c r="V379" s="117"/>
      <c r="X379" s="117"/>
      <c r="Y379" s="10"/>
      <c r="Z379" s="11"/>
      <c r="AA379" s="36"/>
      <c r="AB379" s="36"/>
      <c r="AC379" s="13"/>
      <c r="AD379" s="13"/>
      <c r="AE379" s="37"/>
      <c r="AF379" s="37"/>
      <c r="AG379" s="14"/>
      <c r="AH379" s="14"/>
      <c r="AI379" s="14"/>
      <c r="AZ379" s="24"/>
    </row>
    <row r="380">
      <c r="B380" s="24"/>
      <c r="E380" s="113"/>
      <c r="F380" s="266"/>
      <c r="G380" s="113"/>
      <c r="K380" s="36"/>
      <c r="L380" s="117"/>
      <c r="N380" s="117"/>
      <c r="R380" s="117"/>
      <c r="T380" s="117"/>
      <c r="V380" s="117"/>
      <c r="X380" s="117"/>
      <c r="Y380" s="10"/>
      <c r="Z380" s="11"/>
      <c r="AA380" s="36"/>
      <c r="AB380" s="36"/>
      <c r="AC380" s="13"/>
      <c r="AD380" s="13"/>
      <c r="AE380" s="37"/>
      <c r="AF380" s="37"/>
      <c r="AG380" s="14"/>
      <c r="AH380" s="14"/>
      <c r="AI380" s="14"/>
      <c r="AZ380" s="24"/>
    </row>
    <row r="381">
      <c r="B381" s="24"/>
      <c r="E381" s="113"/>
      <c r="F381" s="266"/>
      <c r="G381" s="113"/>
      <c r="K381" s="36"/>
      <c r="L381" s="117"/>
      <c r="N381" s="117"/>
      <c r="R381" s="117"/>
      <c r="T381" s="117"/>
      <c r="V381" s="117"/>
      <c r="X381" s="117"/>
      <c r="Y381" s="10"/>
      <c r="Z381" s="11"/>
      <c r="AA381" s="36"/>
      <c r="AB381" s="36"/>
      <c r="AC381" s="13"/>
      <c r="AD381" s="13"/>
      <c r="AE381" s="37"/>
      <c r="AF381" s="37"/>
      <c r="AG381" s="14"/>
      <c r="AH381" s="14"/>
      <c r="AI381" s="14"/>
      <c r="AZ381" s="24"/>
    </row>
    <row r="382">
      <c r="B382" s="24"/>
      <c r="E382" s="113"/>
      <c r="F382" s="266"/>
      <c r="G382" s="113"/>
      <c r="K382" s="36"/>
      <c r="L382" s="117"/>
      <c r="N382" s="117"/>
      <c r="R382" s="117"/>
      <c r="T382" s="117"/>
      <c r="V382" s="117"/>
      <c r="X382" s="117"/>
      <c r="Y382" s="10"/>
      <c r="Z382" s="11"/>
      <c r="AA382" s="36"/>
      <c r="AB382" s="36"/>
      <c r="AC382" s="13"/>
      <c r="AD382" s="13"/>
      <c r="AE382" s="37"/>
      <c r="AF382" s="37"/>
      <c r="AG382" s="14"/>
      <c r="AH382" s="14"/>
      <c r="AI382" s="14"/>
      <c r="AZ382" s="24"/>
    </row>
    <row r="383">
      <c r="B383" s="24"/>
      <c r="E383" s="113"/>
      <c r="F383" s="266"/>
      <c r="G383" s="113"/>
      <c r="K383" s="36"/>
      <c r="L383" s="117"/>
      <c r="N383" s="117"/>
      <c r="R383" s="117"/>
      <c r="T383" s="117"/>
      <c r="V383" s="117"/>
      <c r="X383" s="117"/>
      <c r="Y383" s="10"/>
      <c r="Z383" s="11"/>
      <c r="AA383" s="36"/>
      <c r="AB383" s="36"/>
      <c r="AC383" s="13"/>
      <c r="AD383" s="13"/>
      <c r="AE383" s="37"/>
      <c r="AF383" s="37"/>
      <c r="AG383" s="14"/>
      <c r="AH383" s="14"/>
      <c r="AI383" s="14"/>
      <c r="AZ383" s="24"/>
    </row>
    <row r="384">
      <c r="B384" s="24"/>
      <c r="E384" s="113"/>
      <c r="F384" s="266"/>
      <c r="G384" s="113"/>
      <c r="K384" s="36"/>
      <c r="L384" s="117"/>
      <c r="N384" s="117"/>
      <c r="R384" s="117"/>
      <c r="T384" s="117"/>
      <c r="V384" s="117"/>
      <c r="X384" s="117"/>
      <c r="Y384" s="10"/>
      <c r="Z384" s="11"/>
      <c r="AA384" s="36"/>
      <c r="AB384" s="36"/>
      <c r="AC384" s="13"/>
      <c r="AD384" s="13"/>
      <c r="AE384" s="37"/>
      <c r="AF384" s="37"/>
      <c r="AG384" s="14"/>
      <c r="AH384" s="14"/>
      <c r="AI384" s="14"/>
      <c r="AZ384" s="24"/>
    </row>
    <row r="385">
      <c r="B385" s="24"/>
      <c r="E385" s="113"/>
      <c r="F385" s="266"/>
      <c r="G385" s="113"/>
      <c r="K385" s="36"/>
      <c r="L385" s="117"/>
      <c r="N385" s="117"/>
      <c r="R385" s="117"/>
      <c r="T385" s="117"/>
      <c r="V385" s="117"/>
      <c r="X385" s="117"/>
      <c r="Y385" s="10"/>
      <c r="Z385" s="11"/>
      <c r="AA385" s="36"/>
      <c r="AB385" s="36"/>
      <c r="AC385" s="13"/>
      <c r="AD385" s="13"/>
      <c r="AE385" s="37"/>
      <c r="AF385" s="37"/>
      <c r="AG385" s="14"/>
      <c r="AH385" s="14"/>
      <c r="AI385" s="14"/>
      <c r="AZ385" s="24"/>
    </row>
    <row r="386">
      <c r="B386" s="24"/>
      <c r="E386" s="113"/>
      <c r="F386" s="266"/>
      <c r="G386" s="113"/>
      <c r="K386" s="36"/>
      <c r="L386" s="117"/>
      <c r="N386" s="117"/>
      <c r="R386" s="117"/>
      <c r="T386" s="117"/>
      <c r="V386" s="117"/>
      <c r="X386" s="117"/>
      <c r="Y386" s="10"/>
      <c r="Z386" s="11"/>
      <c r="AA386" s="36"/>
      <c r="AB386" s="36"/>
      <c r="AC386" s="13"/>
      <c r="AD386" s="13"/>
      <c r="AE386" s="37"/>
      <c r="AF386" s="37"/>
      <c r="AG386" s="14"/>
      <c r="AH386" s="14"/>
      <c r="AI386" s="14"/>
      <c r="AZ386" s="24"/>
    </row>
    <row r="387">
      <c r="B387" s="24"/>
      <c r="E387" s="113"/>
      <c r="F387" s="266"/>
      <c r="G387" s="113"/>
      <c r="K387" s="36"/>
      <c r="L387" s="117"/>
      <c r="N387" s="117"/>
      <c r="R387" s="117"/>
      <c r="T387" s="117"/>
      <c r="V387" s="117"/>
      <c r="X387" s="117"/>
      <c r="Y387" s="10"/>
      <c r="Z387" s="11"/>
      <c r="AA387" s="36"/>
      <c r="AB387" s="36"/>
      <c r="AC387" s="13"/>
      <c r="AD387" s="13"/>
      <c r="AE387" s="37"/>
      <c r="AF387" s="37"/>
      <c r="AG387" s="14"/>
      <c r="AH387" s="14"/>
      <c r="AI387" s="14"/>
      <c r="AZ387" s="24"/>
    </row>
    <row r="388">
      <c r="B388" s="24"/>
      <c r="E388" s="113"/>
      <c r="F388" s="266"/>
      <c r="G388" s="113"/>
      <c r="K388" s="36"/>
      <c r="L388" s="117"/>
      <c r="N388" s="117"/>
      <c r="R388" s="117"/>
      <c r="T388" s="117"/>
      <c r="V388" s="117"/>
      <c r="X388" s="117"/>
      <c r="Y388" s="10"/>
      <c r="Z388" s="11"/>
      <c r="AA388" s="36"/>
      <c r="AB388" s="36"/>
      <c r="AC388" s="13"/>
      <c r="AD388" s="13"/>
      <c r="AE388" s="37"/>
      <c r="AF388" s="37"/>
      <c r="AG388" s="14"/>
      <c r="AH388" s="14"/>
      <c r="AI388" s="14"/>
      <c r="AZ388" s="24"/>
    </row>
    <row r="389">
      <c r="B389" s="24"/>
      <c r="E389" s="113"/>
      <c r="F389" s="266"/>
      <c r="G389" s="113"/>
      <c r="K389" s="36"/>
      <c r="L389" s="117"/>
      <c r="N389" s="117"/>
      <c r="R389" s="117"/>
      <c r="T389" s="117"/>
      <c r="V389" s="117"/>
      <c r="X389" s="117"/>
      <c r="Y389" s="10"/>
      <c r="Z389" s="11"/>
      <c r="AA389" s="36"/>
      <c r="AB389" s="36"/>
      <c r="AC389" s="13"/>
      <c r="AD389" s="13"/>
      <c r="AE389" s="37"/>
      <c r="AF389" s="37"/>
      <c r="AG389" s="14"/>
      <c r="AH389" s="14"/>
      <c r="AI389" s="14"/>
      <c r="AZ389" s="24"/>
    </row>
    <row r="390">
      <c r="B390" s="24"/>
      <c r="E390" s="113"/>
      <c r="F390" s="266"/>
      <c r="G390" s="113"/>
      <c r="K390" s="36"/>
      <c r="L390" s="117"/>
      <c r="N390" s="117"/>
      <c r="R390" s="117"/>
      <c r="T390" s="117"/>
      <c r="V390" s="117"/>
      <c r="X390" s="117"/>
      <c r="Y390" s="10"/>
      <c r="Z390" s="11"/>
      <c r="AA390" s="36"/>
      <c r="AB390" s="36"/>
      <c r="AC390" s="13"/>
      <c r="AD390" s="13"/>
      <c r="AE390" s="37"/>
      <c r="AF390" s="37"/>
      <c r="AG390" s="14"/>
      <c r="AH390" s="14"/>
      <c r="AI390" s="14"/>
      <c r="AZ390" s="24"/>
    </row>
    <row r="391">
      <c r="B391" s="24"/>
      <c r="E391" s="113"/>
      <c r="F391" s="266"/>
      <c r="G391" s="113"/>
      <c r="K391" s="36"/>
      <c r="L391" s="117"/>
      <c r="N391" s="117"/>
      <c r="R391" s="117"/>
      <c r="T391" s="117"/>
      <c r="V391" s="117"/>
      <c r="X391" s="117"/>
      <c r="Y391" s="10"/>
      <c r="Z391" s="11"/>
      <c r="AA391" s="36"/>
      <c r="AB391" s="36"/>
      <c r="AC391" s="13"/>
      <c r="AD391" s="13"/>
      <c r="AE391" s="37"/>
      <c r="AF391" s="37"/>
      <c r="AG391" s="14"/>
      <c r="AH391" s="14"/>
      <c r="AI391" s="14"/>
      <c r="AZ391" s="24"/>
    </row>
    <row r="392">
      <c r="B392" s="24"/>
      <c r="E392" s="113"/>
      <c r="F392" s="266"/>
      <c r="G392" s="113"/>
      <c r="K392" s="36"/>
      <c r="L392" s="117"/>
      <c r="N392" s="117"/>
      <c r="R392" s="117"/>
      <c r="T392" s="117"/>
      <c r="V392" s="117"/>
      <c r="X392" s="117"/>
      <c r="Y392" s="10"/>
      <c r="Z392" s="11"/>
      <c r="AA392" s="36"/>
      <c r="AB392" s="36"/>
      <c r="AC392" s="13"/>
      <c r="AD392" s="13"/>
      <c r="AE392" s="37"/>
      <c r="AF392" s="37"/>
      <c r="AG392" s="14"/>
      <c r="AH392" s="14"/>
      <c r="AI392" s="14"/>
      <c r="AZ392" s="24"/>
    </row>
    <row r="393">
      <c r="B393" s="24"/>
      <c r="E393" s="113"/>
      <c r="F393" s="266"/>
      <c r="G393" s="113"/>
      <c r="K393" s="36"/>
      <c r="L393" s="117"/>
      <c r="N393" s="117"/>
      <c r="R393" s="117"/>
      <c r="T393" s="117"/>
      <c r="V393" s="117"/>
      <c r="X393" s="117"/>
      <c r="Y393" s="10"/>
      <c r="Z393" s="11"/>
      <c r="AA393" s="36"/>
      <c r="AB393" s="36"/>
      <c r="AC393" s="13"/>
      <c r="AD393" s="13"/>
      <c r="AE393" s="37"/>
      <c r="AF393" s="37"/>
      <c r="AG393" s="14"/>
      <c r="AH393" s="14"/>
      <c r="AI393" s="14"/>
      <c r="AZ393" s="24"/>
    </row>
    <row r="394">
      <c r="B394" s="24"/>
      <c r="E394" s="113"/>
      <c r="F394" s="266"/>
      <c r="G394" s="113"/>
      <c r="K394" s="36"/>
      <c r="L394" s="117"/>
      <c r="N394" s="117"/>
      <c r="R394" s="117"/>
      <c r="T394" s="117"/>
      <c r="V394" s="117"/>
      <c r="X394" s="117"/>
      <c r="Y394" s="10"/>
      <c r="Z394" s="11"/>
      <c r="AA394" s="36"/>
      <c r="AB394" s="36"/>
      <c r="AC394" s="13"/>
      <c r="AD394" s="13"/>
      <c r="AE394" s="37"/>
      <c r="AF394" s="37"/>
      <c r="AG394" s="14"/>
      <c r="AH394" s="14"/>
      <c r="AI394" s="14"/>
      <c r="AZ394" s="24"/>
    </row>
    <row r="395">
      <c r="B395" s="24"/>
      <c r="E395" s="113"/>
      <c r="F395" s="266"/>
      <c r="G395" s="113"/>
      <c r="K395" s="36"/>
      <c r="L395" s="117"/>
      <c r="N395" s="117"/>
      <c r="R395" s="117"/>
      <c r="T395" s="117"/>
      <c r="V395" s="117"/>
      <c r="X395" s="117"/>
      <c r="Y395" s="10"/>
      <c r="Z395" s="11"/>
      <c r="AA395" s="36"/>
      <c r="AB395" s="36"/>
      <c r="AC395" s="13"/>
      <c r="AD395" s="13"/>
      <c r="AE395" s="37"/>
      <c r="AF395" s="37"/>
      <c r="AG395" s="14"/>
      <c r="AH395" s="14"/>
      <c r="AI395" s="14"/>
      <c r="AZ395" s="24"/>
    </row>
    <row r="396">
      <c r="B396" s="24"/>
      <c r="E396" s="113"/>
      <c r="F396" s="266"/>
      <c r="G396" s="113"/>
      <c r="K396" s="36"/>
      <c r="L396" s="117"/>
      <c r="N396" s="117"/>
      <c r="R396" s="117"/>
      <c r="T396" s="117"/>
      <c r="V396" s="117"/>
      <c r="X396" s="117"/>
      <c r="Y396" s="10"/>
      <c r="Z396" s="11"/>
      <c r="AA396" s="36"/>
      <c r="AB396" s="36"/>
      <c r="AC396" s="13"/>
      <c r="AD396" s="13"/>
      <c r="AE396" s="37"/>
      <c r="AF396" s="37"/>
      <c r="AG396" s="14"/>
      <c r="AH396" s="14"/>
      <c r="AI396" s="14"/>
      <c r="AZ396" s="24"/>
    </row>
    <row r="397">
      <c r="B397" s="24"/>
      <c r="E397" s="113"/>
      <c r="F397" s="266"/>
      <c r="G397" s="113"/>
      <c r="K397" s="36"/>
      <c r="L397" s="117"/>
      <c r="N397" s="117"/>
      <c r="R397" s="117"/>
      <c r="T397" s="117"/>
      <c r="V397" s="117"/>
      <c r="X397" s="117"/>
      <c r="Y397" s="10"/>
      <c r="Z397" s="11"/>
      <c r="AA397" s="36"/>
      <c r="AB397" s="36"/>
      <c r="AC397" s="13"/>
      <c r="AD397" s="13"/>
      <c r="AE397" s="37"/>
      <c r="AF397" s="37"/>
      <c r="AG397" s="14"/>
      <c r="AH397" s="14"/>
      <c r="AI397" s="14"/>
      <c r="AZ397" s="24"/>
    </row>
    <row r="398">
      <c r="B398" s="24"/>
      <c r="E398" s="113"/>
      <c r="F398" s="266"/>
      <c r="G398" s="113"/>
      <c r="K398" s="36"/>
      <c r="L398" s="117"/>
      <c r="N398" s="117"/>
      <c r="R398" s="117"/>
      <c r="T398" s="117"/>
      <c r="V398" s="117"/>
      <c r="X398" s="117"/>
      <c r="Y398" s="10"/>
      <c r="Z398" s="11"/>
      <c r="AA398" s="36"/>
      <c r="AB398" s="36"/>
      <c r="AC398" s="13"/>
      <c r="AD398" s="13"/>
      <c r="AE398" s="37"/>
      <c r="AF398" s="37"/>
      <c r="AG398" s="14"/>
      <c r="AH398" s="14"/>
      <c r="AI398" s="14"/>
      <c r="AZ398" s="24"/>
    </row>
    <row r="399">
      <c r="B399" s="24"/>
      <c r="E399" s="113"/>
      <c r="F399" s="266"/>
      <c r="G399" s="113"/>
      <c r="K399" s="36"/>
      <c r="L399" s="117"/>
      <c r="N399" s="117"/>
      <c r="R399" s="117"/>
      <c r="T399" s="117"/>
      <c r="V399" s="117"/>
      <c r="X399" s="117"/>
      <c r="Y399" s="10"/>
      <c r="Z399" s="11"/>
      <c r="AA399" s="36"/>
      <c r="AB399" s="36"/>
      <c r="AC399" s="13"/>
      <c r="AD399" s="13"/>
      <c r="AE399" s="37"/>
      <c r="AF399" s="37"/>
      <c r="AG399" s="14"/>
      <c r="AH399" s="14"/>
      <c r="AI399" s="14"/>
      <c r="AZ399" s="24"/>
    </row>
    <row r="400">
      <c r="B400" s="24"/>
      <c r="E400" s="113"/>
      <c r="F400" s="266"/>
      <c r="G400" s="113"/>
      <c r="K400" s="36"/>
      <c r="L400" s="117"/>
      <c r="N400" s="117"/>
      <c r="R400" s="117"/>
      <c r="T400" s="117"/>
      <c r="V400" s="117"/>
      <c r="X400" s="117"/>
      <c r="Y400" s="10"/>
      <c r="Z400" s="11"/>
      <c r="AA400" s="36"/>
      <c r="AB400" s="36"/>
      <c r="AC400" s="13"/>
      <c r="AD400" s="13"/>
      <c r="AE400" s="37"/>
      <c r="AF400" s="37"/>
      <c r="AG400" s="14"/>
      <c r="AH400" s="14"/>
      <c r="AI400" s="14"/>
      <c r="AZ400" s="24"/>
    </row>
    <row r="401">
      <c r="B401" s="24"/>
      <c r="E401" s="113"/>
      <c r="F401" s="266"/>
      <c r="G401" s="113"/>
      <c r="K401" s="36"/>
      <c r="L401" s="117"/>
      <c r="N401" s="117"/>
      <c r="R401" s="117"/>
      <c r="T401" s="117"/>
      <c r="V401" s="117"/>
      <c r="X401" s="117"/>
      <c r="Y401" s="10"/>
      <c r="Z401" s="11"/>
      <c r="AA401" s="36"/>
      <c r="AB401" s="36"/>
      <c r="AC401" s="13"/>
      <c r="AD401" s="13"/>
      <c r="AE401" s="37"/>
      <c r="AF401" s="37"/>
      <c r="AG401" s="14"/>
      <c r="AH401" s="14"/>
      <c r="AI401" s="14"/>
      <c r="AZ401" s="24"/>
    </row>
    <row r="402">
      <c r="B402" s="24"/>
      <c r="E402" s="113"/>
      <c r="F402" s="266"/>
      <c r="G402" s="113"/>
      <c r="K402" s="36"/>
      <c r="L402" s="117"/>
      <c r="N402" s="117"/>
      <c r="R402" s="117"/>
      <c r="T402" s="117"/>
      <c r="V402" s="117"/>
      <c r="X402" s="117"/>
      <c r="Y402" s="10"/>
      <c r="Z402" s="11"/>
      <c r="AA402" s="36"/>
      <c r="AB402" s="36"/>
      <c r="AC402" s="13"/>
      <c r="AD402" s="13"/>
      <c r="AE402" s="37"/>
      <c r="AF402" s="37"/>
      <c r="AG402" s="14"/>
      <c r="AH402" s="14"/>
      <c r="AI402" s="14"/>
      <c r="AZ402" s="24"/>
    </row>
    <row r="403">
      <c r="B403" s="24"/>
      <c r="E403" s="113"/>
      <c r="F403" s="266"/>
      <c r="G403" s="113"/>
      <c r="K403" s="36"/>
      <c r="L403" s="117"/>
      <c r="N403" s="117"/>
      <c r="R403" s="117"/>
      <c r="T403" s="117"/>
      <c r="V403" s="117"/>
      <c r="X403" s="117"/>
      <c r="Y403" s="10"/>
      <c r="Z403" s="11"/>
      <c r="AA403" s="36"/>
      <c r="AB403" s="36"/>
      <c r="AC403" s="13"/>
      <c r="AD403" s="13"/>
      <c r="AE403" s="37"/>
      <c r="AF403" s="37"/>
      <c r="AG403" s="14"/>
      <c r="AH403" s="14"/>
      <c r="AI403" s="14"/>
      <c r="AZ403" s="24"/>
    </row>
    <row r="404">
      <c r="B404" s="24"/>
      <c r="E404" s="113"/>
      <c r="F404" s="266"/>
      <c r="G404" s="113"/>
      <c r="K404" s="36"/>
      <c r="L404" s="117"/>
      <c r="N404" s="117"/>
      <c r="R404" s="117"/>
      <c r="T404" s="117"/>
      <c r="V404" s="117"/>
      <c r="X404" s="117"/>
      <c r="Y404" s="10"/>
      <c r="Z404" s="11"/>
      <c r="AA404" s="36"/>
      <c r="AB404" s="36"/>
      <c r="AC404" s="13"/>
      <c r="AD404" s="13"/>
      <c r="AE404" s="37"/>
      <c r="AF404" s="37"/>
      <c r="AG404" s="14"/>
      <c r="AH404" s="14"/>
      <c r="AI404" s="14"/>
      <c r="AZ404" s="24"/>
    </row>
    <row r="405">
      <c r="B405" s="24"/>
      <c r="E405" s="113"/>
      <c r="F405" s="266"/>
      <c r="G405" s="113"/>
      <c r="K405" s="36"/>
      <c r="L405" s="117"/>
      <c r="N405" s="117"/>
      <c r="R405" s="117"/>
      <c r="T405" s="117"/>
      <c r="V405" s="117"/>
      <c r="X405" s="117"/>
      <c r="Y405" s="10"/>
      <c r="Z405" s="11"/>
      <c r="AA405" s="36"/>
      <c r="AB405" s="36"/>
      <c r="AC405" s="13"/>
      <c r="AD405" s="13"/>
      <c r="AE405" s="37"/>
      <c r="AF405" s="37"/>
      <c r="AG405" s="14"/>
      <c r="AH405" s="14"/>
      <c r="AI405" s="14"/>
      <c r="AZ405" s="24"/>
    </row>
    <row r="406">
      <c r="B406" s="24"/>
      <c r="E406" s="113"/>
      <c r="F406" s="266"/>
      <c r="G406" s="113"/>
      <c r="K406" s="36"/>
      <c r="L406" s="117"/>
      <c r="N406" s="117"/>
      <c r="R406" s="117"/>
      <c r="T406" s="117"/>
      <c r="V406" s="117"/>
      <c r="X406" s="117"/>
      <c r="Y406" s="10"/>
      <c r="Z406" s="11"/>
      <c r="AA406" s="36"/>
      <c r="AB406" s="36"/>
      <c r="AC406" s="13"/>
      <c r="AD406" s="13"/>
      <c r="AE406" s="37"/>
      <c r="AF406" s="37"/>
      <c r="AG406" s="14"/>
      <c r="AH406" s="14"/>
      <c r="AI406" s="14"/>
      <c r="AZ406" s="24"/>
    </row>
    <row r="407">
      <c r="B407" s="24"/>
      <c r="E407" s="113"/>
      <c r="F407" s="266"/>
      <c r="G407" s="113"/>
      <c r="K407" s="36"/>
      <c r="L407" s="117"/>
      <c r="N407" s="117"/>
      <c r="R407" s="117"/>
      <c r="T407" s="117"/>
      <c r="V407" s="117"/>
      <c r="X407" s="117"/>
      <c r="Y407" s="10"/>
      <c r="Z407" s="11"/>
      <c r="AA407" s="36"/>
      <c r="AB407" s="36"/>
      <c r="AC407" s="13"/>
      <c r="AD407" s="13"/>
      <c r="AE407" s="37"/>
      <c r="AF407" s="37"/>
      <c r="AG407" s="14"/>
      <c r="AH407" s="14"/>
      <c r="AI407" s="14"/>
      <c r="AZ407" s="24"/>
    </row>
    <row r="408">
      <c r="B408" s="24"/>
      <c r="E408" s="113"/>
      <c r="F408" s="266"/>
      <c r="G408" s="113"/>
      <c r="K408" s="36"/>
      <c r="L408" s="117"/>
      <c r="N408" s="117"/>
      <c r="R408" s="117"/>
      <c r="T408" s="117"/>
      <c r="V408" s="117"/>
      <c r="X408" s="117"/>
      <c r="Y408" s="10"/>
      <c r="Z408" s="11"/>
      <c r="AA408" s="36"/>
      <c r="AB408" s="36"/>
      <c r="AC408" s="13"/>
      <c r="AD408" s="13"/>
      <c r="AE408" s="37"/>
      <c r="AF408" s="37"/>
      <c r="AG408" s="14"/>
      <c r="AH408" s="14"/>
      <c r="AI408" s="14"/>
      <c r="AZ408" s="24"/>
    </row>
    <row r="409">
      <c r="B409" s="24"/>
      <c r="E409" s="113"/>
      <c r="F409" s="266"/>
      <c r="G409" s="113"/>
      <c r="K409" s="36"/>
      <c r="L409" s="117"/>
      <c r="N409" s="117"/>
      <c r="R409" s="117"/>
      <c r="T409" s="117"/>
      <c r="V409" s="117"/>
      <c r="X409" s="117"/>
      <c r="Y409" s="10"/>
      <c r="Z409" s="11"/>
      <c r="AA409" s="36"/>
      <c r="AB409" s="36"/>
      <c r="AC409" s="13"/>
      <c r="AD409" s="13"/>
      <c r="AE409" s="37"/>
      <c r="AF409" s="37"/>
      <c r="AG409" s="14"/>
      <c r="AH409" s="14"/>
      <c r="AI409" s="14"/>
      <c r="AZ409" s="24"/>
    </row>
    <row r="410">
      <c r="B410" s="24"/>
      <c r="E410" s="113"/>
      <c r="F410" s="266"/>
      <c r="G410" s="113"/>
      <c r="K410" s="36"/>
      <c r="L410" s="117"/>
      <c r="N410" s="117"/>
      <c r="R410" s="117"/>
      <c r="T410" s="117"/>
      <c r="V410" s="117"/>
      <c r="X410" s="117"/>
      <c r="Y410" s="10"/>
      <c r="Z410" s="11"/>
      <c r="AA410" s="36"/>
      <c r="AB410" s="36"/>
      <c r="AC410" s="13"/>
      <c r="AD410" s="13"/>
      <c r="AE410" s="37"/>
      <c r="AF410" s="37"/>
      <c r="AG410" s="14"/>
      <c r="AH410" s="14"/>
      <c r="AI410" s="14"/>
      <c r="AZ410" s="24"/>
    </row>
    <row r="411">
      <c r="B411" s="24"/>
      <c r="E411" s="113"/>
      <c r="F411" s="266"/>
      <c r="G411" s="113"/>
      <c r="K411" s="36"/>
      <c r="L411" s="117"/>
      <c r="N411" s="117"/>
      <c r="R411" s="117"/>
      <c r="T411" s="117"/>
      <c r="V411" s="117"/>
      <c r="X411" s="117"/>
      <c r="Y411" s="10"/>
      <c r="Z411" s="11"/>
      <c r="AA411" s="36"/>
      <c r="AB411" s="36"/>
      <c r="AC411" s="13"/>
      <c r="AD411" s="13"/>
      <c r="AE411" s="37"/>
      <c r="AF411" s="37"/>
      <c r="AG411" s="14"/>
      <c r="AH411" s="14"/>
      <c r="AI411" s="14"/>
      <c r="AZ411" s="24"/>
    </row>
    <row r="412">
      <c r="B412" s="24"/>
      <c r="E412" s="113"/>
      <c r="F412" s="266"/>
      <c r="G412" s="113"/>
      <c r="K412" s="36"/>
      <c r="L412" s="117"/>
      <c r="N412" s="117"/>
      <c r="R412" s="117"/>
      <c r="T412" s="117"/>
      <c r="V412" s="117"/>
      <c r="X412" s="117"/>
      <c r="Y412" s="10"/>
      <c r="Z412" s="11"/>
      <c r="AA412" s="36"/>
      <c r="AB412" s="36"/>
      <c r="AC412" s="13"/>
      <c r="AD412" s="13"/>
      <c r="AE412" s="37"/>
      <c r="AF412" s="37"/>
      <c r="AG412" s="14"/>
      <c r="AH412" s="14"/>
      <c r="AI412" s="14"/>
      <c r="AZ412" s="24"/>
    </row>
    <row r="413">
      <c r="B413" s="24"/>
      <c r="E413" s="113"/>
      <c r="F413" s="266"/>
      <c r="G413" s="113"/>
      <c r="K413" s="36"/>
      <c r="L413" s="117"/>
      <c r="N413" s="117"/>
      <c r="R413" s="117"/>
      <c r="T413" s="117"/>
      <c r="V413" s="117"/>
      <c r="X413" s="117"/>
      <c r="Y413" s="10"/>
      <c r="Z413" s="11"/>
      <c r="AA413" s="36"/>
      <c r="AB413" s="36"/>
      <c r="AC413" s="13"/>
      <c r="AD413" s="13"/>
      <c r="AE413" s="37"/>
      <c r="AF413" s="37"/>
      <c r="AG413" s="14"/>
      <c r="AH413" s="14"/>
      <c r="AI413" s="14"/>
      <c r="AZ413" s="24"/>
    </row>
    <row r="414">
      <c r="B414" s="24"/>
      <c r="E414" s="113"/>
      <c r="F414" s="266"/>
      <c r="G414" s="113"/>
      <c r="K414" s="36"/>
      <c r="L414" s="117"/>
      <c r="N414" s="117"/>
      <c r="R414" s="117"/>
      <c r="T414" s="117"/>
      <c r="V414" s="117"/>
      <c r="X414" s="117"/>
      <c r="Y414" s="10"/>
      <c r="Z414" s="11"/>
      <c r="AA414" s="36"/>
      <c r="AB414" s="36"/>
      <c r="AC414" s="13"/>
      <c r="AD414" s="13"/>
      <c r="AE414" s="37"/>
      <c r="AF414" s="37"/>
      <c r="AG414" s="14"/>
      <c r="AH414" s="14"/>
      <c r="AI414" s="14"/>
      <c r="AZ414" s="24"/>
    </row>
    <row r="415">
      <c r="B415" s="24"/>
      <c r="E415" s="113"/>
      <c r="F415" s="266"/>
      <c r="G415" s="113"/>
      <c r="K415" s="36"/>
      <c r="L415" s="117"/>
      <c r="N415" s="117"/>
      <c r="R415" s="117"/>
      <c r="T415" s="117"/>
      <c r="V415" s="117"/>
      <c r="X415" s="117"/>
      <c r="Y415" s="10"/>
      <c r="Z415" s="11"/>
      <c r="AA415" s="36"/>
      <c r="AB415" s="36"/>
      <c r="AC415" s="13"/>
      <c r="AD415" s="13"/>
      <c r="AE415" s="37"/>
      <c r="AF415" s="37"/>
      <c r="AG415" s="14"/>
      <c r="AH415" s="14"/>
      <c r="AI415" s="14"/>
      <c r="AZ415" s="24"/>
    </row>
    <row r="416">
      <c r="B416" s="24"/>
      <c r="E416" s="113"/>
      <c r="F416" s="266"/>
      <c r="G416" s="113"/>
      <c r="K416" s="36"/>
      <c r="L416" s="117"/>
      <c r="N416" s="117"/>
      <c r="R416" s="117"/>
      <c r="T416" s="117"/>
      <c r="V416" s="117"/>
      <c r="X416" s="117"/>
      <c r="Y416" s="10"/>
      <c r="Z416" s="11"/>
      <c r="AA416" s="36"/>
      <c r="AB416" s="36"/>
      <c r="AC416" s="13"/>
      <c r="AD416" s="13"/>
      <c r="AE416" s="37"/>
      <c r="AF416" s="37"/>
      <c r="AG416" s="14"/>
      <c r="AH416" s="14"/>
      <c r="AI416" s="14"/>
      <c r="AZ416" s="24"/>
    </row>
    <row r="417">
      <c r="B417" s="24"/>
      <c r="E417" s="113"/>
      <c r="F417" s="266"/>
      <c r="G417" s="113"/>
      <c r="K417" s="36"/>
      <c r="L417" s="117"/>
      <c r="N417" s="117"/>
      <c r="R417" s="117"/>
      <c r="T417" s="117"/>
      <c r="V417" s="117"/>
      <c r="X417" s="117"/>
      <c r="Y417" s="10"/>
      <c r="Z417" s="11"/>
      <c r="AA417" s="36"/>
      <c r="AB417" s="36"/>
      <c r="AC417" s="13"/>
      <c r="AD417" s="13"/>
      <c r="AE417" s="37"/>
      <c r="AF417" s="37"/>
      <c r="AG417" s="14"/>
      <c r="AH417" s="14"/>
      <c r="AI417" s="14"/>
      <c r="AZ417" s="24"/>
    </row>
    <row r="418">
      <c r="B418" s="24"/>
      <c r="E418" s="113"/>
      <c r="F418" s="266"/>
      <c r="G418" s="113"/>
      <c r="K418" s="36"/>
      <c r="L418" s="117"/>
      <c r="N418" s="117"/>
      <c r="R418" s="117"/>
      <c r="T418" s="117"/>
      <c r="V418" s="117"/>
      <c r="X418" s="117"/>
      <c r="Y418" s="10"/>
      <c r="Z418" s="11"/>
      <c r="AA418" s="36"/>
      <c r="AB418" s="36"/>
      <c r="AC418" s="13"/>
      <c r="AD418" s="13"/>
      <c r="AE418" s="37"/>
      <c r="AF418" s="37"/>
      <c r="AG418" s="14"/>
      <c r="AH418" s="14"/>
      <c r="AI418" s="14"/>
      <c r="AZ418" s="24"/>
    </row>
    <row r="419">
      <c r="B419" s="24"/>
      <c r="E419" s="113"/>
      <c r="F419" s="266"/>
      <c r="G419" s="113"/>
      <c r="K419" s="36"/>
      <c r="L419" s="117"/>
      <c r="N419" s="117"/>
      <c r="R419" s="117"/>
      <c r="T419" s="117"/>
      <c r="V419" s="117"/>
      <c r="X419" s="117"/>
      <c r="Y419" s="10"/>
      <c r="Z419" s="11"/>
      <c r="AA419" s="36"/>
      <c r="AB419" s="36"/>
      <c r="AC419" s="13"/>
      <c r="AD419" s="13"/>
      <c r="AE419" s="37"/>
      <c r="AF419" s="37"/>
      <c r="AG419" s="14"/>
      <c r="AH419" s="14"/>
      <c r="AI419" s="14"/>
      <c r="AZ419" s="24"/>
    </row>
    <row r="420">
      <c r="B420" s="24"/>
      <c r="E420" s="113"/>
      <c r="F420" s="266"/>
      <c r="G420" s="113"/>
      <c r="K420" s="36"/>
      <c r="L420" s="117"/>
      <c r="N420" s="117"/>
      <c r="R420" s="117"/>
      <c r="T420" s="117"/>
      <c r="V420" s="117"/>
      <c r="X420" s="117"/>
      <c r="Y420" s="10"/>
      <c r="Z420" s="11"/>
      <c r="AA420" s="36"/>
      <c r="AB420" s="36"/>
      <c r="AC420" s="13"/>
      <c r="AD420" s="13"/>
      <c r="AE420" s="37"/>
      <c r="AF420" s="37"/>
      <c r="AG420" s="14"/>
      <c r="AH420" s="14"/>
      <c r="AI420" s="14"/>
      <c r="AZ420" s="24"/>
    </row>
    <row r="421">
      <c r="B421" s="24"/>
      <c r="E421" s="113"/>
      <c r="F421" s="266"/>
      <c r="G421" s="113"/>
      <c r="K421" s="36"/>
      <c r="L421" s="117"/>
      <c r="N421" s="117"/>
      <c r="R421" s="117"/>
      <c r="T421" s="117"/>
      <c r="V421" s="117"/>
      <c r="X421" s="117"/>
      <c r="Y421" s="10"/>
      <c r="Z421" s="11"/>
      <c r="AA421" s="36"/>
      <c r="AB421" s="36"/>
      <c r="AC421" s="13"/>
      <c r="AD421" s="13"/>
      <c r="AE421" s="37"/>
      <c r="AF421" s="37"/>
      <c r="AG421" s="14"/>
      <c r="AH421" s="14"/>
      <c r="AI421" s="14"/>
      <c r="AZ421" s="24"/>
    </row>
    <row r="422">
      <c r="B422" s="24"/>
      <c r="E422" s="113"/>
      <c r="F422" s="266"/>
      <c r="G422" s="113"/>
      <c r="K422" s="36"/>
      <c r="L422" s="117"/>
      <c r="N422" s="117"/>
      <c r="R422" s="117"/>
      <c r="T422" s="117"/>
      <c r="V422" s="117"/>
      <c r="X422" s="117"/>
      <c r="Y422" s="10"/>
      <c r="Z422" s="11"/>
      <c r="AA422" s="36"/>
      <c r="AB422" s="36"/>
      <c r="AC422" s="13"/>
      <c r="AD422" s="13"/>
      <c r="AE422" s="37"/>
      <c r="AF422" s="37"/>
      <c r="AG422" s="14"/>
      <c r="AH422" s="14"/>
      <c r="AI422" s="14"/>
      <c r="AZ422" s="24"/>
    </row>
    <row r="423">
      <c r="B423" s="24"/>
      <c r="E423" s="113"/>
      <c r="F423" s="266"/>
      <c r="G423" s="113"/>
      <c r="K423" s="36"/>
      <c r="L423" s="117"/>
      <c r="N423" s="117"/>
      <c r="R423" s="117"/>
      <c r="T423" s="117"/>
      <c r="V423" s="117"/>
      <c r="X423" s="117"/>
      <c r="Y423" s="10"/>
      <c r="Z423" s="11"/>
      <c r="AA423" s="36"/>
      <c r="AB423" s="36"/>
      <c r="AC423" s="13"/>
      <c r="AD423" s="13"/>
      <c r="AE423" s="37"/>
      <c r="AF423" s="37"/>
      <c r="AG423" s="14"/>
      <c r="AH423" s="14"/>
      <c r="AI423" s="14"/>
      <c r="AZ423" s="24"/>
    </row>
    <row r="424">
      <c r="B424" s="24"/>
      <c r="E424" s="113"/>
      <c r="F424" s="266"/>
      <c r="G424" s="113"/>
      <c r="K424" s="36"/>
      <c r="L424" s="117"/>
      <c r="N424" s="117"/>
      <c r="R424" s="117"/>
      <c r="T424" s="117"/>
      <c r="V424" s="117"/>
      <c r="X424" s="117"/>
      <c r="Y424" s="10"/>
      <c r="Z424" s="11"/>
      <c r="AA424" s="36"/>
      <c r="AB424" s="36"/>
      <c r="AC424" s="13"/>
      <c r="AD424" s="13"/>
      <c r="AE424" s="37"/>
      <c r="AF424" s="37"/>
      <c r="AG424" s="14"/>
      <c r="AH424" s="14"/>
      <c r="AI424" s="14"/>
      <c r="AZ424" s="24"/>
    </row>
    <row r="425">
      <c r="B425" s="24"/>
      <c r="E425" s="113"/>
      <c r="F425" s="266"/>
      <c r="G425" s="113"/>
      <c r="K425" s="36"/>
      <c r="L425" s="117"/>
      <c r="N425" s="117"/>
      <c r="R425" s="117"/>
      <c r="T425" s="117"/>
      <c r="V425" s="117"/>
      <c r="X425" s="117"/>
      <c r="Y425" s="10"/>
      <c r="Z425" s="11"/>
      <c r="AA425" s="36"/>
      <c r="AB425" s="36"/>
      <c r="AC425" s="13"/>
      <c r="AD425" s="13"/>
      <c r="AE425" s="37"/>
      <c r="AF425" s="37"/>
      <c r="AG425" s="14"/>
      <c r="AH425" s="14"/>
      <c r="AI425" s="14"/>
      <c r="AZ425" s="24"/>
    </row>
    <row r="426">
      <c r="B426" s="24"/>
      <c r="E426" s="113"/>
      <c r="F426" s="266"/>
      <c r="G426" s="113"/>
      <c r="K426" s="36"/>
      <c r="L426" s="117"/>
      <c r="N426" s="117"/>
      <c r="R426" s="117"/>
      <c r="T426" s="117"/>
      <c r="V426" s="117"/>
      <c r="X426" s="117"/>
      <c r="Y426" s="10"/>
      <c r="Z426" s="11"/>
      <c r="AA426" s="36"/>
      <c r="AB426" s="36"/>
      <c r="AC426" s="13"/>
      <c r="AD426" s="13"/>
      <c r="AE426" s="37"/>
      <c r="AF426" s="37"/>
      <c r="AG426" s="14"/>
      <c r="AH426" s="14"/>
      <c r="AI426" s="14"/>
      <c r="AZ426" s="24"/>
    </row>
    <row r="427">
      <c r="B427" s="24"/>
      <c r="E427" s="113"/>
      <c r="F427" s="266"/>
      <c r="G427" s="113"/>
      <c r="K427" s="36"/>
      <c r="L427" s="117"/>
      <c r="N427" s="117"/>
      <c r="R427" s="117"/>
      <c r="T427" s="117"/>
      <c r="V427" s="117"/>
      <c r="X427" s="117"/>
      <c r="Y427" s="10"/>
      <c r="Z427" s="11"/>
      <c r="AA427" s="36"/>
      <c r="AB427" s="36"/>
      <c r="AC427" s="13"/>
      <c r="AD427" s="13"/>
      <c r="AE427" s="37"/>
      <c r="AF427" s="37"/>
      <c r="AG427" s="14"/>
      <c r="AH427" s="14"/>
      <c r="AI427" s="14"/>
      <c r="AZ427" s="24"/>
    </row>
    <row r="428">
      <c r="B428" s="24"/>
      <c r="E428" s="113"/>
      <c r="F428" s="266"/>
      <c r="G428" s="113"/>
      <c r="K428" s="36"/>
      <c r="L428" s="117"/>
      <c r="N428" s="117"/>
      <c r="R428" s="117"/>
      <c r="T428" s="117"/>
      <c r="V428" s="117"/>
      <c r="X428" s="117"/>
      <c r="Y428" s="10"/>
      <c r="Z428" s="11"/>
      <c r="AA428" s="36"/>
      <c r="AB428" s="36"/>
      <c r="AC428" s="13"/>
      <c r="AD428" s="13"/>
      <c r="AE428" s="37"/>
      <c r="AF428" s="37"/>
      <c r="AG428" s="14"/>
      <c r="AH428" s="14"/>
      <c r="AI428" s="14"/>
      <c r="AZ428" s="24"/>
    </row>
    <row r="429">
      <c r="B429" s="24"/>
      <c r="E429" s="113"/>
      <c r="F429" s="266"/>
      <c r="G429" s="113"/>
      <c r="K429" s="36"/>
      <c r="L429" s="117"/>
      <c r="N429" s="117"/>
      <c r="R429" s="117"/>
      <c r="T429" s="117"/>
      <c r="V429" s="117"/>
      <c r="X429" s="117"/>
      <c r="Y429" s="10"/>
      <c r="Z429" s="11"/>
      <c r="AA429" s="36"/>
      <c r="AB429" s="36"/>
      <c r="AC429" s="13"/>
      <c r="AD429" s="13"/>
      <c r="AE429" s="37"/>
      <c r="AF429" s="37"/>
      <c r="AG429" s="14"/>
      <c r="AH429" s="14"/>
      <c r="AI429" s="14"/>
      <c r="AZ429" s="24"/>
    </row>
    <row r="430">
      <c r="B430" s="24"/>
      <c r="E430" s="113"/>
      <c r="F430" s="266"/>
      <c r="G430" s="113"/>
      <c r="K430" s="36"/>
      <c r="L430" s="117"/>
      <c r="N430" s="117"/>
      <c r="R430" s="117"/>
      <c r="T430" s="117"/>
      <c r="V430" s="117"/>
      <c r="X430" s="117"/>
      <c r="Y430" s="10"/>
      <c r="Z430" s="11"/>
      <c r="AA430" s="36"/>
      <c r="AB430" s="36"/>
      <c r="AC430" s="13"/>
      <c r="AD430" s="13"/>
      <c r="AE430" s="37"/>
      <c r="AF430" s="37"/>
      <c r="AG430" s="14"/>
      <c r="AH430" s="14"/>
      <c r="AI430" s="14"/>
      <c r="AZ430" s="24"/>
    </row>
    <row r="431">
      <c r="B431" s="24"/>
      <c r="E431" s="113"/>
      <c r="F431" s="266"/>
      <c r="G431" s="113"/>
      <c r="K431" s="36"/>
      <c r="L431" s="117"/>
      <c r="N431" s="117"/>
      <c r="R431" s="117"/>
      <c r="T431" s="117"/>
      <c r="V431" s="117"/>
      <c r="X431" s="117"/>
      <c r="Y431" s="10"/>
      <c r="Z431" s="11"/>
      <c r="AA431" s="36"/>
      <c r="AB431" s="36"/>
      <c r="AC431" s="13"/>
      <c r="AD431" s="13"/>
      <c r="AE431" s="37"/>
      <c r="AF431" s="37"/>
      <c r="AG431" s="14"/>
      <c r="AH431" s="14"/>
      <c r="AI431" s="14"/>
      <c r="AZ431" s="24"/>
    </row>
    <row r="432">
      <c r="B432" s="24"/>
      <c r="E432" s="113"/>
      <c r="F432" s="266"/>
      <c r="G432" s="113"/>
      <c r="K432" s="36"/>
      <c r="L432" s="117"/>
      <c r="N432" s="117"/>
      <c r="R432" s="117"/>
      <c r="T432" s="117"/>
      <c r="V432" s="117"/>
      <c r="X432" s="117"/>
      <c r="Y432" s="10"/>
      <c r="Z432" s="11"/>
      <c r="AA432" s="36"/>
      <c r="AB432" s="36"/>
      <c r="AC432" s="13"/>
      <c r="AD432" s="13"/>
      <c r="AE432" s="37"/>
      <c r="AF432" s="37"/>
      <c r="AG432" s="14"/>
      <c r="AH432" s="14"/>
      <c r="AI432" s="14"/>
      <c r="AZ432" s="24"/>
    </row>
    <row r="433">
      <c r="B433" s="24"/>
      <c r="E433" s="113"/>
      <c r="F433" s="266"/>
      <c r="G433" s="113"/>
      <c r="K433" s="36"/>
      <c r="L433" s="117"/>
      <c r="N433" s="117"/>
      <c r="R433" s="117"/>
      <c r="T433" s="117"/>
      <c r="V433" s="117"/>
      <c r="X433" s="117"/>
      <c r="Y433" s="10"/>
      <c r="Z433" s="11"/>
      <c r="AA433" s="36"/>
      <c r="AB433" s="36"/>
      <c r="AC433" s="13"/>
      <c r="AD433" s="13"/>
      <c r="AE433" s="37"/>
      <c r="AF433" s="37"/>
      <c r="AG433" s="14"/>
      <c r="AH433" s="14"/>
      <c r="AI433" s="14"/>
      <c r="AZ433" s="24"/>
    </row>
    <row r="434">
      <c r="B434" s="24"/>
      <c r="E434" s="113"/>
      <c r="F434" s="266"/>
      <c r="G434" s="113"/>
      <c r="K434" s="36"/>
      <c r="L434" s="117"/>
      <c r="N434" s="117"/>
      <c r="R434" s="117"/>
      <c r="T434" s="117"/>
      <c r="V434" s="117"/>
      <c r="X434" s="117"/>
      <c r="Y434" s="10"/>
      <c r="Z434" s="11"/>
      <c r="AA434" s="36"/>
      <c r="AB434" s="36"/>
      <c r="AC434" s="13"/>
      <c r="AD434" s="13"/>
      <c r="AE434" s="37"/>
      <c r="AF434" s="37"/>
      <c r="AG434" s="14"/>
      <c r="AH434" s="14"/>
      <c r="AI434" s="14"/>
      <c r="AZ434" s="24"/>
    </row>
    <row r="435">
      <c r="B435" s="24"/>
      <c r="E435" s="113"/>
      <c r="F435" s="266"/>
      <c r="G435" s="113"/>
      <c r="K435" s="36"/>
      <c r="L435" s="117"/>
      <c r="N435" s="117"/>
      <c r="R435" s="117"/>
      <c r="T435" s="117"/>
      <c r="V435" s="117"/>
      <c r="X435" s="117"/>
      <c r="Y435" s="10"/>
      <c r="Z435" s="11"/>
      <c r="AA435" s="36"/>
      <c r="AB435" s="36"/>
      <c r="AC435" s="13"/>
      <c r="AD435" s="13"/>
      <c r="AE435" s="37"/>
      <c r="AF435" s="37"/>
      <c r="AG435" s="14"/>
      <c r="AH435" s="14"/>
      <c r="AI435" s="14"/>
      <c r="AZ435" s="24"/>
    </row>
    <row r="436">
      <c r="B436" s="24"/>
      <c r="E436" s="113"/>
      <c r="F436" s="266"/>
      <c r="G436" s="113"/>
      <c r="K436" s="36"/>
      <c r="L436" s="117"/>
      <c r="N436" s="117"/>
      <c r="R436" s="117"/>
      <c r="T436" s="117"/>
      <c r="V436" s="117"/>
      <c r="X436" s="117"/>
      <c r="Y436" s="10"/>
      <c r="Z436" s="11"/>
      <c r="AA436" s="36"/>
      <c r="AB436" s="36"/>
      <c r="AC436" s="13"/>
      <c r="AD436" s="13"/>
      <c r="AE436" s="37"/>
      <c r="AF436" s="37"/>
      <c r="AG436" s="14"/>
      <c r="AH436" s="14"/>
      <c r="AI436" s="14"/>
      <c r="AZ436" s="24"/>
    </row>
    <row r="437">
      <c r="B437" s="24"/>
      <c r="E437" s="113"/>
      <c r="F437" s="266"/>
      <c r="G437" s="113"/>
      <c r="K437" s="36"/>
      <c r="L437" s="117"/>
      <c r="N437" s="117"/>
      <c r="R437" s="117"/>
      <c r="T437" s="117"/>
      <c r="V437" s="117"/>
      <c r="X437" s="117"/>
      <c r="Y437" s="10"/>
      <c r="Z437" s="11"/>
      <c r="AA437" s="36"/>
      <c r="AB437" s="36"/>
      <c r="AC437" s="13"/>
      <c r="AD437" s="13"/>
      <c r="AE437" s="37"/>
      <c r="AF437" s="37"/>
      <c r="AG437" s="14"/>
      <c r="AH437" s="14"/>
      <c r="AI437" s="14"/>
      <c r="AZ437" s="24"/>
    </row>
    <row r="438">
      <c r="B438" s="24"/>
      <c r="E438" s="113"/>
      <c r="F438" s="266"/>
      <c r="G438" s="113"/>
      <c r="K438" s="36"/>
      <c r="L438" s="117"/>
      <c r="N438" s="117"/>
      <c r="R438" s="117"/>
      <c r="T438" s="117"/>
      <c r="V438" s="117"/>
      <c r="X438" s="117"/>
      <c r="Y438" s="10"/>
      <c r="Z438" s="11"/>
      <c r="AA438" s="36"/>
      <c r="AB438" s="36"/>
      <c r="AC438" s="13"/>
      <c r="AD438" s="13"/>
      <c r="AE438" s="37"/>
      <c r="AF438" s="37"/>
      <c r="AG438" s="14"/>
      <c r="AH438" s="14"/>
      <c r="AI438" s="14"/>
      <c r="AZ438" s="24"/>
    </row>
    <row r="439">
      <c r="B439" s="24"/>
      <c r="E439" s="113"/>
      <c r="F439" s="266"/>
      <c r="G439" s="113"/>
      <c r="K439" s="36"/>
      <c r="L439" s="117"/>
      <c r="N439" s="117"/>
      <c r="R439" s="117"/>
      <c r="T439" s="117"/>
      <c r="V439" s="117"/>
      <c r="X439" s="117"/>
      <c r="Y439" s="10"/>
      <c r="Z439" s="11"/>
      <c r="AA439" s="36"/>
      <c r="AB439" s="36"/>
      <c r="AC439" s="13"/>
      <c r="AD439" s="13"/>
      <c r="AE439" s="37"/>
      <c r="AF439" s="37"/>
      <c r="AG439" s="14"/>
      <c r="AH439" s="14"/>
      <c r="AI439" s="14"/>
      <c r="AZ439" s="24"/>
    </row>
    <row r="440">
      <c r="B440" s="24"/>
      <c r="E440" s="113"/>
      <c r="F440" s="266"/>
      <c r="G440" s="113"/>
      <c r="K440" s="36"/>
      <c r="L440" s="117"/>
      <c r="N440" s="117"/>
      <c r="R440" s="117"/>
      <c r="T440" s="117"/>
      <c r="V440" s="117"/>
      <c r="X440" s="117"/>
      <c r="Y440" s="10"/>
      <c r="Z440" s="11"/>
      <c r="AA440" s="36"/>
      <c r="AB440" s="36"/>
      <c r="AC440" s="13"/>
      <c r="AD440" s="13"/>
      <c r="AE440" s="37"/>
      <c r="AF440" s="37"/>
      <c r="AG440" s="14"/>
      <c r="AH440" s="14"/>
      <c r="AI440" s="14"/>
      <c r="AZ440" s="24"/>
    </row>
    <row r="441">
      <c r="B441" s="24"/>
      <c r="E441" s="113"/>
      <c r="F441" s="266"/>
      <c r="G441" s="113"/>
      <c r="K441" s="36"/>
      <c r="L441" s="117"/>
      <c r="N441" s="117"/>
      <c r="R441" s="117"/>
      <c r="T441" s="117"/>
      <c r="V441" s="117"/>
      <c r="X441" s="117"/>
      <c r="Y441" s="10"/>
      <c r="Z441" s="11"/>
      <c r="AA441" s="36"/>
      <c r="AB441" s="36"/>
      <c r="AC441" s="13"/>
      <c r="AD441" s="13"/>
      <c r="AE441" s="37"/>
      <c r="AF441" s="37"/>
      <c r="AG441" s="14"/>
      <c r="AH441" s="14"/>
      <c r="AI441" s="14"/>
      <c r="AZ441" s="24"/>
    </row>
    <row r="442">
      <c r="B442" s="24"/>
      <c r="E442" s="113"/>
      <c r="F442" s="266"/>
      <c r="G442" s="113"/>
      <c r="K442" s="36"/>
      <c r="L442" s="117"/>
      <c r="N442" s="117"/>
      <c r="R442" s="117"/>
      <c r="T442" s="117"/>
      <c r="V442" s="117"/>
      <c r="X442" s="117"/>
      <c r="Y442" s="10"/>
      <c r="Z442" s="11"/>
      <c r="AA442" s="36"/>
      <c r="AB442" s="36"/>
      <c r="AC442" s="13"/>
      <c r="AD442" s="13"/>
      <c r="AE442" s="37"/>
      <c r="AF442" s="37"/>
      <c r="AG442" s="14"/>
      <c r="AH442" s="14"/>
      <c r="AI442" s="14"/>
      <c r="AZ442" s="24"/>
    </row>
    <row r="443">
      <c r="B443" s="24"/>
      <c r="E443" s="113"/>
      <c r="F443" s="266"/>
      <c r="G443" s="113"/>
      <c r="K443" s="36"/>
      <c r="L443" s="117"/>
      <c r="N443" s="117"/>
      <c r="R443" s="117"/>
      <c r="T443" s="117"/>
      <c r="V443" s="117"/>
      <c r="X443" s="117"/>
      <c r="Y443" s="10"/>
      <c r="Z443" s="11"/>
      <c r="AA443" s="36"/>
      <c r="AB443" s="36"/>
      <c r="AC443" s="13"/>
      <c r="AD443" s="13"/>
      <c r="AE443" s="37"/>
      <c r="AF443" s="37"/>
      <c r="AG443" s="14"/>
      <c r="AH443" s="14"/>
      <c r="AI443" s="14"/>
      <c r="AZ443" s="24"/>
    </row>
    <row r="444">
      <c r="B444" s="24"/>
      <c r="E444" s="113"/>
      <c r="F444" s="266"/>
      <c r="G444" s="113"/>
      <c r="K444" s="36"/>
      <c r="L444" s="117"/>
      <c r="N444" s="117"/>
      <c r="R444" s="117"/>
      <c r="T444" s="117"/>
      <c r="V444" s="117"/>
      <c r="X444" s="117"/>
      <c r="Y444" s="10"/>
      <c r="Z444" s="11"/>
      <c r="AA444" s="36"/>
      <c r="AB444" s="36"/>
      <c r="AC444" s="13"/>
      <c r="AD444" s="13"/>
      <c r="AE444" s="37"/>
      <c r="AF444" s="37"/>
      <c r="AG444" s="14"/>
      <c r="AH444" s="14"/>
      <c r="AI444" s="14"/>
      <c r="AZ444" s="24"/>
    </row>
    <row r="445">
      <c r="B445" s="24"/>
      <c r="E445" s="113"/>
      <c r="F445" s="266"/>
      <c r="G445" s="113"/>
      <c r="K445" s="36"/>
      <c r="L445" s="117"/>
      <c r="N445" s="117"/>
      <c r="R445" s="117"/>
      <c r="T445" s="117"/>
      <c r="V445" s="117"/>
      <c r="X445" s="117"/>
      <c r="Y445" s="10"/>
      <c r="Z445" s="11"/>
      <c r="AA445" s="36"/>
      <c r="AB445" s="36"/>
      <c r="AC445" s="13"/>
      <c r="AD445" s="13"/>
      <c r="AE445" s="37"/>
      <c r="AF445" s="37"/>
      <c r="AG445" s="14"/>
      <c r="AH445" s="14"/>
      <c r="AI445" s="14"/>
      <c r="AZ445" s="24"/>
    </row>
    <row r="446">
      <c r="B446" s="24"/>
      <c r="E446" s="113"/>
      <c r="F446" s="266"/>
      <c r="G446" s="113"/>
      <c r="K446" s="36"/>
      <c r="L446" s="117"/>
      <c r="N446" s="117"/>
      <c r="R446" s="117"/>
      <c r="T446" s="117"/>
      <c r="V446" s="117"/>
      <c r="X446" s="117"/>
      <c r="Y446" s="10"/>
      <c r="Z446" s="11"/>
      <c r="AA446" s="36"/>
      <c r="AB446" s="36"/>
      <c r="AC446" s="13"/>
      <c r="AD446" s="13"/>
      <c r="AE446" s="37"/>
      <c r="AF446" s="37"/>
      <c r="AG446" s="14"/>
      <c r="AH446" s="14"/>
      <c r="AI446" s="14"/>
      <c r="AZ446" s="24"/>
    </row>
    <row r="447">
      <c r="B447" s="24"/>
      <c r="E447" s="113"/>
      <c r="F447" s="266"/>
      <c r="G447" s="113"/>
      <c r="K447" s="36"/>
      <c r="L447" s="117"/>
      <c r="N447" s="117"/>
      <c r="R447" s="117"/>
      <c r="T447" s="117"/>
      <c r="V447" s="117"/>
      <c r="X447" s="117"/>
      <c r="Y447" s="10"/>
      <c r="Z447" s="11"/>
      <c r="AA447" s="36"/>
      <c r="AB447" s="36"/>
      <c r="AC447" s="13"/>
      <c r="AD447" s="13"/>
      <c r="AE447" s="37"/>
      <c r="AF447" s="37"/>
      <c r="AG447" s="14"/>
      <c r="AH447" s="14"/>
      <c r="AI447" s="14"/>
      <c r="AZ447" s="24"/>
    </row>
    <row r="448">
      <c r="B448" s="24"/>
      <c r="E448" s="113"/>
      <c r="F448" s="266"/>
      <c r="G448" s="113"/>
      <c r="K448" s="36"/>
      <c r="L448" s="117"/>
      <c r="N448" s="117"/>
      <c r="R448" s="117"/>
      <c r="T448" s="117"/>
      <c r="V448" s="117"/>
      <c r="X448" s="117"/>
      <c r="Y448" s="10"/>
      <c r="Z448" s="11"/>
      <c r="AA448" s="36"/>
      <c r="AB448" s="36"/>
      <c r="AC448" s="13"/>
      <c r="AD448" s="13"/>
      <c r="AE448" s="37"/>
      <c r="AF448" s="37"/>
      <c r="AG448" s="14"/>
      <c r="AH448" s="14"/>
      <c r="AI448" s="14"/>
      <c r="AZ448" s="24"/>
    </row>
    <row r="449">
      <c r="B449" s="24"/>
      <c r="E449" s="113"/>
      <c r="F449" s="266"/>
      <c r="G449" s="113"/>
      <c r="K449" s="36"/>
      <c r="L449" s="117"/>
      <c r="N449" s="117"/>
      <c r="R449" s="117"/>
      <c r="T449" s="117"/>
      <c r="V449" s="117"/>
      <c r="X449" s="117"/>
      <c r="Y449" s="10"/>
      <c r="Z449" s="11"/>
      <c r="AA449" s="36"/>
      <c r="AB449" s="36"/>
      <c r="AC449" s="13"/>
      <c r="AD449" s="13"/>
      <c r="AE449" s="37"/>
      <c r="AF449" s="37"/>
      <c r="AG449" s="14"/>
      <c r="AH449" s="14"/>
      <c r="AI449" s="14"/>
      <c r="AZ449" s="24"/>
    </row>
    <row r="450">
      <c r="B450" s="24"/>
      <c r="E450" s="113"/>
      <c r="F450" s="266"/>
      <c r="G450" s="113"/>
      <c r="K450" s="36"/>
      <c r="L450" s="117"/>
      <c r="N450" s="117"/>
      <c r="R450" s="117"/>
      <c r="T450" s="117"/>
      <c r="V450" s="117"/>
      <c r="X450" s="117"/>
      <c r="Y450" s="10"/>
      <c r="Z450" s="11"/>
      <c r="AA450" s="36"/>
      <c r="AB450" s="36"/>
      <c r="AC450" s="13"/>
      <c r="AD450" s="13"/>
      <c r="AE450" s="37"/>
      <c r="AF450" s="37"/>
      <c r="AG450" s="14"/>
      <c r="AH450" s="14"/>
      <c r="AI450" s="14"/>
      <c r="AZ450" s="24"/>
    </row>
    <row r="451">
      <c r="B451" s="24"/>
      <c r="E451" s="113"/>
      <c r="F451" s="266"/>
      <c r="G451" s="113"/>
      <c r="K451" s="36"/>
      <c r="L451" s="117"/>
      <c r="N451" s="117"/>
      <c r="R451" s="117"/>
      <c r="T451" s="117"/>
      <c r="V451" s="117"/>
      <c r="X451" s="117"/>
      <c r="Y451" s="10"/>
      <c r="Z451" s="11"/>
      <c r="AA451" s="36"/>
      <c r="AB451" s="36"/>
      <c r="AC451" s="13"/>
      <c r="AD451" s="13"/>
      <c r="AE451" s="37"/>
      <c r="AF451" s="37"/>
      <c r="AG451" s="14"/>
      <c r="AH451" s="14"/>
      <c r="AI451" s="14"/>
      <c r="AZ451" s="24"/>
    </row>
    <row r="452">
      <c r="B452" s="24"/>
      <c r="E452" s="113"/>
      <c r="F452" s="266"/>
      <c r="G452" s="113"/>
      <c r="K452" s="36"/>
      <c r="L452" s="117"/>
      <c r="N452" s="117"/>
      <c r="R452" s="117"/>
      <c r="T452" s="117"/>
      <c r="V452" s="117"/>
      <c r="X452" s="117"/>
      <c r="Y452" s="10"/>
      <c r="Z452" s="11"/>
      <c r="AA452" s="36"/>
      <c r="AB452" s="36"/>
      <c r="AC452" s="13"/>
      <c r="AD452" s="13"/>
      <c r="AE452" s="37"/>
      <c r="AF452" s="37"/>
      <c r="AG452" s="14"/>
      <c r="AH452" s="14"/>
      <c r="AI452" s="14"/>
      <c r="AZ452" s="24"/>
    </row>
    <row r="453">
      <c r="B453" s="24"/>
      <c r="E453" s="113"/>
      <c r="F453" s="266"/>
      <c r="G453" s="113"/>
      <c r="K453" s="36"/>
      <c r="L453" s="117"/>
      <c r="N453" s="117"/>
      <c r="R453" s="117"/>
      <c r="T453" s="117"/>
      <c r="V453" s="117"/>
      <c r="X453" s="117"/>
      <c r="Y453" s="10"/>
      <c r="Z453" s="11"/>
      <c r="AA453" s="36"/>
      <c r="AB453" s="36"/>
      <c r="AC453" s="13"/>
      <c r="AD453" s="13"/>
      <c r="AE453" s="37"/>
      <c r="AF453" s="37"/>
      <c r="AG453" s="14"/>
      <c r="AH453" s="14"/>
      <c r="AI453" s="14"/>
      <c r="AZ453" s="24"/>
    </row>
    <row r="454">
      <c r="B454" s="24"/>
      <c r="E454" s="113"/>
      <c r="F454" s="266"/>
      <c r="G454" s="113"/>
      <c r="K454" s="36"/>
      <c r="L454" s="117"/>
      <c r="N454" s="117"/>
      <c r="R454" s="117"/>
      <c r="T454" s="117"/>
      <c r="V454" s="117"/>
      <c r="X454" s="117"/>
      <c r="Y454" s="10"/>
      <c r="Z454" s="11"/>
      <c r="AA454" s="36"/>
      <c r="AB454" s="36"/>
      <c r="AC454" s="13"/>
      <c r="AD454" s="13"/>
      <c r="AE454" s="37"/>
      <c r="AF454" s="37"/>
      <c r="AG454" s="14"/>
      <c r="AH454" s="14"/>
      <c r="AI454" s="14"/>
      <c r="AZ454" s="24"/>
    </row>
    <row r="455">
      <c r="B455" s="24"/>
      <c r="E455" s="113"/>
      <c r="F455" s="266"/>
      <c r="G455" s="113"/>
      <c r="K455" s="36"/>
      <c r="L455" s="117"/>
      <c r="N455" s="117"/>
      <c r="R455" s="117"/>
      <c r="T455" s="117"/>
      <c r="V455" s="117"/>
      <c r="X455" s="117"/>
      <c r="Y455" s="10"/>
      <c r="Z455" s="11"/>
      <c r="AA455" s="36"/>
      <c r="AB455" s="36"/>
      <c r="AC455" s="13"/>
      <c r="AD455" s="13"/>
      <c r="AE455" s="37"/>
      <c r="AF455" s="37"/>
      <c r="AG455" s="14"/>
      <c r="AH455" s="14"/>
      <c r="AI455" s="14"/>
      <c r="AZ455" s="24"/>
    </row>
    <row r="456">
      <c r="B456" s="24"/>
      <c r="E456" s="113"/>
      <c r="F456" s="266"/>
      <c r="G456" s="113"/>
      <c r="K456" s="36"/>
      <c r="L456" s="117"/>
      <c r="N456" s="117"/>
      <c r="R456" s="117"/>
      <c r="T456" s="117"/>
      <c r="V456" s="117"/>
      <c r="X456" s="117"/>
      <c r="Y456" s="10"/>
      <c r="Z456" s="11"/>
      <c r="AA456" s="36"/>
      <c r="AB456" s="36"/>
      <c r="AC456" s="13"/>
      <c r="AD456" s="13"/>
      <c r="AE456" s="37"/>
      <c r="AF456" s="37"/>
      <c r="AG456" s="14"/>
      <c r="AH456" s="14"/>
      <c r="AI456" s="14"/>
      <c r="AZ456" s="24"/>
    </row>
    <row r="457">
      <c r="B457" s="24"/>
      <c r="E457" s="113"/>
      <c r="F457" s="266"/>
      <c r="G457" s="113"/>
      <c r="K457" s="36"/>
      <c r="L457" s="117"/>
      <c r="N457" s="117"/>
      <c r="R457" s="117"/>
      <c r="T457" s="117"/>
      <c r="V457" s="117"/>
      <c r="X457" s="117"/>
      <c r="Y457" s="10"/>
      <c r="Z457" s="11"/>
      <c r="AA457" s="36"/>
      <c r="AB457" s="36"/>
      <c r="AC457" s="13"/>
      <c r="AD457" s="13"/>
      <c r="AE457" s="37"/>
      <c r="AF457" s="37"/>
      <c r="AG457" s="14"/>
      <c r="AH457" s="14"/>
      <c r="AI457" s="14"/>
      <c r="AZ457" s="24"/>
    </row>
    <row r="458">
      <c r="B458" s="24"/>
      <c r="E458" s="113"/>
      <c r="F458" s="266"/>
      <c r="G458" s="113"/>
      <c r="K458" s="36"/>
      <c r="L458" s="117"/>
      <c r="N458" s="117"/>
      <c r="R458" s="117"/>
      <c r="T458" s="117"/>
      <c r="V458" s="117"/>
      <c r="X458" s="117"/>
      <c r="Y458" s="10"/>
      <c r="Z458" s="11"/>
      <c r="AA458" s="36"/>
      <c r="AB458" s="36"/>
      <c r="AC458" s="13"/>
      <c r="AD458" s="13"/>
      <c r="AE458" s="37"/>
      <c r="AF458" s="37"/>
      <c r="AG458" s="14"/>
      <c r="AH458" s="14"/>
      <c r="AI458" s="14"/>
      <c r="AZ458" s="24"/>
    </row>
    <row r="459">
      <c r="B459" s="24"/>
      <c r="E459" s="113"/>
      <c r="F459" s="266"/>
      <c r="G459" s="113"/>
      <c r="K459" s="36"/>
      <c r="L459" s="117"/>
      <c r="N459" s="117"/>
      <c r="R459" s="117"/>
      <c r="T459" s="117"/>
      <c r="V459" s="117"/>
      <c r="X459" s="117"/>
      <c r="Y459" s="10"/>
      <c r="Z459" s="11"/>
      <c r="AA459" s="36"/>
      <c r="AB459" s="36"/>
      <c r="AC459" s="13"/>
      <c r="AD459" s="13"/>
      <c r="AE459" s="37"/>
      <c r="AF459" s="37"/>
      <c r="AG459" s="14"/>
      <c r="AH459" s="14"/>
      <c r="AI459" s="14"/>
      <c r="AZ459" s="24"/>
    </row>
    <row r="460">
      <c r="B460" s="24"/>
      <c r="E460" s="113"/>
      <c r="F460" s="266"/>
      <c r="G460" s="113"/>
      <c r="K460" s="36"/>
      <c r="L460" s="117"/>
      <c r="N460" s="117"/>
      <c r="R460" s="117"/>
      <c r="T460" s="117"/>
      <c r="V460" s="117"/>
      <c r="X460" s="117"/>
      <c r="Y460" s="10"/>
      <c r="Z460" s="11"/>
      <c r="AA460" s="36"/>
      <c r="AB460" s="36"/>
      <c r="AC460" s="13"/>
      <c r="AD460" s="13"/>
      <c r="AE460" s="37"/>
      <c r="AF460" s="37"/>
      <c r="AG460" s="14"/>
      <c r="AH460" s="14"/>
      <c r="AI460" s="14"/>
      <c r="AZ460" s="24"/>
    </row>
    <row r="461">
      <c r="B461" s="24"/>
      <c r="E461" s="113"/>
      <c r="F461" s="266"/>
      <c r="G461" s="113"/>
      <c r="K461" s="36"/>
      <c r="L461" s="117"/>
      <c r="N461" s="117"/>
      <c r="R461" s="117"/>
      <c r="T461" s="117"/>
      <c r="V461" s="117"/>
      <c r="X461" s="117"/>
      <c r="Y461" s="10"/>
      <c r="Z461" s="11"/>
      <c r="AA461" s="36"/>
      <c r="AB461" s="36"/>
      <c r="AC461" s="13"/>
      <c r="AD461" s="13"/>
      <c r="AE461" s="37"/>
      <c r="AF461" s="37"/>
      <c r="AG461" s="14"/>
      <c r="AH461" s="14"/>
      <c r="AI461" s="14"/>
      <c r="AZ461" s="24"/>
    </row>
    <row r="462">
      <c r="B462" s="24"/>
      <c r="E462" s="113"/>
      <c r="F462" s="266"/>
      <c r="G462" s="113"/>
      <c r="K462" s="36"/>
      <c r="L462" s="117"/>
      <c r="N462" s="117"/>
      <c r="R462" s="117"/>
      <c r="T462" s="117"/>
      <c r="V462" s="117"/>
      <c r="X462" s="117"/>
      <c r="Y462" s="10"/>
      <c r="Z462" s="11"/>
      <c r="AA462" s="36"/>
      <c r="AB462" s="36"/>
      <c r="AC462" s="13"/>
      <c r="AD462" s="13"/>
      <c r="AE462" s="37"/>
      <c r="AF462" s="37"/>
      <c r="AG462" s="14"/>
      <c r="AH462" s="14"/>
      <c r="AI462" s="14"/>
      <c r="AZ462" s="24"/>
    </row>
    <row r="463">
      <c r="B463" s="24"/>
      <c r="E463" s="113"/>
      <c r="F463" s="266"/>
      <c r="G463" s="113"/>
      <c r="K463" s="36"/>
      <c r="L463" s="117"/>
      <c r="N463" s="117"/>
      <c r="R463" s="117"/>
      <c r="T463" s="117"/>
      <c r="V463" s="117"/>
      <c r="X463" s="117"/>
      <c r="Y463" s="10"/>
      <c r="Z463" s="11"/>
      <c r="AA463" s="36"/>
      <c r="AB463" s="36"/>
      <c r="AC463" s="13"/>
      <c r="AD463" s="13"/>
      <c r="AE463" s="37"/>
      <c r="AF463" s="37"/>
      <c r="AG463" s="14"/>
      <c r="AH463" s="14"/>
      <c r="AI463" s="14"/>
      <c r="AZ463" s="24"/>
    </row>
    <row r="464">
      <c r="B464" s="24"/>
      <c r="E464" s="113"/>
      <c r="F464" s="266"/>
      <c r="G464" s="113"/>
      <c r="K464" s="36"/>
      <c r="L464" s="117"/>
      <c r="N464" s="117"/>
      <c r="R464" s="117"/>
      <c r="T464" s="117"/>
      <c r="V464" s="117"/>
      <c r="X464" s="117"/>
      <c r="Y464" s="10"/>
      <c r="Z464" s="11"/>
      <c r="AA464" s="36"/>
      <c r="AB464" s="36"/>
      <c r="AC464" s="13"/>
      <c r="AD464" s="13"/>
      <c r="AE464" s="37"/>
      <c r="AF464" s="37"/>
      <c r="AG464" s="14"/>
      <c r="AH464" s="14"/>
      <c r="AI464" s="14"/>
      <c r="AZ464" s="24"/>
    </row>
    <row r="465">
      <c r="B465" s="24"/>
      <c r="E465" s="113"/>
      <c r="F465" s="266"/>
      <c r="G465" s="113"/>
      <c r="K465" s="36"/>
      <c r="L465" s="117"/>
      <c r="N465" s="117"/>
      <c r="R465" s="117"/>
      <c r="T465" s="117"/>
      <c r="V465" s="117"/>
      <c r="X465" s="117"/>
      <c r="Y465" s="10"/>
      <c r="Z465" s="11"/>
      <c r="AA465" s="36"/>
      <c r="AB465" s="36"/>
      <c r="AC465" s="13"/>
      <c r="AD465" s="13"/>
      <c r="AE465" s="37"/>
      <c r="AF465" s="37"/>
      <c r="AG465" s="14"/>
      <c r="AH465" s="14"/>
      <c r="AI465" s="14"/>
      <c r="AZ465" s="24"/>
    </row>
    <row r="466">
      <c r="B466" s="24"/>
      <c r="E466" s="113"/>
      <c r="F466" s="266"/>
      <c r="G466" s="113"/>
      <c r="K466" s="36"/>
      <c r="L466" s="117"/>
      <c r="N466" s="117"/>
      <c r="R466" s="117"/>
      <c r="T466" s="117"/>
      <c r="V466" s="117"/>
      <c r="X466" s="117"/>
      <c r="Y466" s="10"/>
      <c r="Z466" s="11"/>
      <c r="AA466" s="36"/>
      <c r="AB466" s="36"/>
      <c r="AC466" s="13"/>
      <c r="AD466" s="13"/>
      <c r="AE466" s="37"/>
      <c r="AF466" s="37"/>
      <c r="AG466" s="14"/>
      <c r="AH466" s="14"/>
      <c r="AI466" s="14"/>
      <c r="AZ466" s="24"/>
    </row>
    <row r="467">
      <c r="B467" s="24"/>
      <c r="E467" s="113"/>
      <c r="F467" s="266"/>
      <c r="G467" s="113"/>
      <c r="K467" s="36"/>
      <c r="L467" s="117"/>
      <c r="N467" s="117"/>
      <c r="R467" s="117"/>
      <c r="T467" s="117"/>
      <c r="V467" s="117"/>
      <c r="X467" s="117"/>
      <c r="Y467" s="10"/>
      <c r="Z467" s="11"/>
      <c r="AA467" s="36"/>
      <c r="AB467" s="36"/>
      <c r="AC467" s="13"/>
      <c r="AD467" s="13"/>
      <c r="AE467" s="37"/>
      <c r="AF467" s="37"/>
      <c r="AG467" s="14"/>
      <c r="AH467" s="14"/>
      <c r="AI467" s="14"/>
      <c r="AZ467" s="24"/>
    </row>
    <row r="468">
      <c r="B468" s="24"/>
      <c r="E468" s="113"/>
      <c r="F468" s="266"/>
      <c r="G468" s="113"/>
      <c r="K468" s="36"/>
      <c r="L468" s="117"/>
      <c r="N468" s="117"/>
      <c r="R468" s="117"/>
      <c r="T468" s="117"/>
      <c r="V468" s="117"/>
      <c r="X468" s="117"/>
      <c r="Y468" s="10"/>
      <c r="Z468" s="11"/>
      <c r="AA468" s="36"/>
      <c r="AB468" s="36"/>
      <c r="AC468" s="13"/>
      <c r="AD468" s="13"/>
      <c r="AE468" s="37"/>
      <c r="AF468" s="37"/>
      <c r="AG468" s="14"/>
      <c r="AH468" s="14"/>
      <c r="AI468" s="14"/>
      <c r="AZ468" s="24"/>
    </row>
    <row r="469">
      <c r="B469" s="24"/>
      <c r="E469" s="113"/>
      <c r="F469" s="266"/>
      <c r="G469" s="113"/>
      <c r="K469" s="36"/>
      <c r="L469" s="117"/>
      <c r="N469" s="117"/>
      <c r="R469" s="117"/>
      <c r="T469" s="117"/>
      <c r="V469" s="117"/>
      <c r="X469" s="117"/>
      <c r="Y469" s="10"/>
      <c r="Z469" s="11"/>
      <c r="AA469" s="36"/>
      <c r="AB469" s="36"/>
      <c r="AC469" s="13"/>
      <c r="AD469" s="13"/>
      <c r="AE469" s="37"/>
      <c r="AF469" s="37"/>
      <c r="AG469" s="14"/>
      <c r="AH469" s="14"/>
      <c r="AI469" s="14"/>
      <c r="AZ469" s="24"/>
    </row>
    <row r="470">
      <c r="B470" s="24"/>
      <c r="E470" s="113"/>
      <c r="F470" s="266"/>
      <c r="G470" s="113"/>
      <c r="K470" s="36"/>
      <c r="L470" s="117"/>
      <c r="N470" s="117"/>
      <c r="R470" s="117"/>
      <c r="T470" s="117"/>
      <c r="V470" s="117"/>
      <c r="X470" s="117"/>
      <c r="Y470" s="10"/>
      <c r="Z470" s="11"/>
      <c r="AA470" s="36"/>
      <c r="AB470" s="36"/>
      <c r="AC470" s="13"/>
      <c r="AD470" s="13"/>
      <c r="AE470" s="37"/>
      <c r="AF470" s="37"/>
      <c r="AG470" s="14"/>
      <c r="AH470" s="14"/>
      <c r="AI470" s="14"/>
      <c r="AZ470" s="24"/>
    </row>
    <row r="471">
      <c r="B471" s="24"/>
      <c r="E471" s="113"/>
      <c r="F471" s="266"/>
      <c r="G471" s="113"/>
      <c r="K471" s="36"/>
      <c r="L471" s="117"/>
      <c r="N471" s="117"/>
      <c r="R471" s="117"/>
      <c r="T471" s="117"/>
      <c r="V471" s="117"/>
      <c r="X471" s="117"/>
      <c r="Y471" s="10"/>
      <c r="Z471" s="11"/>
      <c r="AA471" s="36"/>
      <c r="AB471" s="36"/>
      <c r="AC471" s="13"/>
      <c r="AD471" s="13"/>
      <c r="AE471" s="37"/>
      <c r="AF471" s="37"/>
      <c r="AG471" s="14"/>
      <c r="AH471" s="14"/>
      <c r="AI471" s="14"/>
      <c r="AZ471" s="24"/>
    </row>
    <row r="472">
      <c r="B472" s="24"/>
      <c r="E472" s="113"/>
      <c r="F472" s="266"/>
      <c r="G472" s="113"/>
      <c r="K472" s="36"/>
      <c r="L472" s="117"/>
      <c r="N472" s="117"/>
      <c r="R472" s="117"/>
      <c r="T472" s="117"/>
      <c r="V472" s="117"/>
      <c r="X472" s="117"/>
      <c r="Y472" s="10"/>
      <c r="Z472" s="11"/>
      <c r="AA472" s="36"/>
      <c r="AB472" s="36"/>
      <c r="AC472" s="13"/>
      <c r="AD472" s="13"/>
      <c r="AE472" s="37"/>
      <c r="AF472" s="37"/>
      <c r="AG472" s="14"/>
      <c r="AH472" s="14"/>
      <c r="AI472" s="14"/>
      <c r="AZ472" s="24"/>
    </row>
    <row r="473">
      <c r="B473" s="24"/>
      <c r="E473" s="113"/>
      <c r="F473" s="266"/>
      <c r="G473" s="113"/>
      <c r="K473" s="36"/>
      <c r="L473" s="117"/>
      <c r="N473" s="117"/>
      <c r="R473" s="117"/>
      <c r="T473" s="117"/>
      <c r="V473" s="117"/>
      <c r="X473" s="117"/>
      <c r="Y473" s="10"/>
      <c r="Z473" s="11"/>
      <c r="AA473" s="36"/>
      <c r="AB473" s="36"/>
      <c r="AC473" s="13"/>
      <c r="AD473" s="13"/>
      <c r="AE473" s="37"/>
      <c r="AF473" s="37"/>
      <c r="AG473" s="14"/>
      <c r="AH473" s="14"/>
      <c r="AI473" s="14"/>
      <c r="AZ473" s="24"/>
    </row>
    <row r="474">
      <c r="B474" s="24"/>
      <c r="E474" s="113"/>
      <c r="F474" s="266"/>
      <c r="G474" s="113"/>
      <c r="K474" s="36"/>
      <c r="L474" s="117"/>
      <c r="N474" s="117"/>
      <c r="R474" s="117"/>
      <c r="T474" s="117"/>
      <c r="V474" s="117"/>
      <c r="X474" s="117"/>
      <c r="Y474" s="10"/>
      <c r="Z474" s="11"/>
      <c r="AA474" s="36"/>
      <c r="AB474" s="36"/>
      <c r="AC474" s="13"/>
      <c r="AD474" s="13"/>
      <c r="AE474" s="37"/>
      <c r="AF474" s="37"/>
      <c r="AG474" s="14"/>
      <c r="AH474" s="14"/>
      <c r="AI474" s="14"/>
      <c r="AZ474" s="24"/>
    </row>
    <row r="475">
      <c r="B475" s="24"/>
      <c r="E475" s="113"/>
      <c r="F475" s="266"/>
      <c r="G475" s="113"/>
      <c r="K475" s="36"/>
      <c r="L475" s="117"/>
      <c r="N475" s="117"/>
      <c r="R475" s="117"/>
      <c r="T475" s="117"/>
      <c r="V475" s="117"/>
      <c r="X475" s="117"/>
      <c r="Y475" s="10"/>
      <c r="Z475" s="11"/>
      <c r="AA475" s="36"/>
      <c r="AB475" s="36"/>
      <c r="AC475" s="13"/>
      <c r="AD475" s="13"/>
      <c r="AE475" s="37"/>
      <c r="AF475" s="37"/>
      <c r="AG475" s="14"/>
      <c r="AH475" s="14"/>
      <c r="AI475" s="14"/>
      <c r="AZ475" s="24"/>
    </row>
    <row r="476">
      <c r="B476" s="24"/>
      <c r="E476" s="113"/>
      <c r="F476" s="266"/>
      <c r="G476" s="113"/>
      <c r="K476" s="36"/>
      <c r="L476" s="117"/>
      <c r="N476" s="117"/>
      <c r="R476" s="117"/>
      <c r="T476" s="117"/>
      <c r="V476" s="117"/>
      <c r="X476" s="117"/>
      <c r="Y476" s="10"/>
      <c r="Z476" s="11"/>
      <c r="AA476" s="36"/>
      <c r="AB476" s="36"/>
      <c r="AC476" s="13"/>
      <c r="AD476" s="13"/>
      <c r="AE476" s="37"/>
      <c r="AF476" s="37"/>
      <c r="AG476" s="14"/>
      <c r="AH476" s="14"/>
      <c r="AI476" s="14"/>
      <c r="AZ476" s="24"/>
    </row>
    <row r="477">
      <c r="B477" s="24"/>
      <c r="E477" s="113"/>
      <c r="F477" s="266"/>
      <c r="G477" s="113"/>
      <c r="K477" s="36"/>
      <c r="L477" s="117"/>
      <c r="N477" s="117"/>
      <c r="R477" s="117"/>
      <c r="T477" s="117"/>
      <c r="V477" s="117"/>
      <c r="X477" s="117"/>
      <c r="Y477" s="10"/>
      <c r="Z477" s="11"/>
      <c r="AA477" s="36"/>
      <c r="AB477" s="36"/>
      <c r="AC477" s="13"/>
      <c r="AD477" s="13"/>
      <c r="AE477" s="37"/>
      <c r="AF477" s="37"/>
      <c r="AG477" s="14"/>
      <c r="AH477" s="14"/>
      <c r="AI477" s="14"/>
      <c r="AZ477" s="24"/>
    </row>
    <row r="478">
      <c r="B478" s="24"/>
      <c r="E478" s="113"/>
      <c r="F478" s="266"/>
      <c r="G478" s="113"/>
      <c r="K478" s="36"/>
      <c r="L478" s="117"/>
      <c r="N478" s="117"/>
      <c r="R478" s="117"/>
      <c r="T478" s="117"/>
      <c r="V478" s="117"/>
      <c r="X478" s="117"/>
      <c r="Y478" s="10"/>
      <c r="Z478" s="11"/>
      <c r="AA478" s="36"/>
      <c r="AB478" s="36"/>
      <c r="AC478" s="13"/>
      <c r="AD478" s="13"/>
      <c r="AE478" s="37"/>
      <c r="AF478" s="37"/>
      <c r="AG478" s="14"/>
      <c r="AH478" s="14"/>
      <c r="AI478" s="14"/>
      <c r="AZ478" s="24"/>
    </row>
    <row r="479">
      <c r="B479" s="24"/>
      <c r="E479" s="113"/>
      <c r="F479" s="266"/>
      <c r="G479" s="113"/>
      <c r="K479" s="36"/>
      <c r="L479" s="117"/>
      <c r="N479" s="117"/>
      <c r="R479" s="117"/>
      <c r="T479" s="117"/>
      <c r="V479" s="117"/>
      <c r="X479" s="117"/>
      <c r="Y479" s="10"/>
      <c r="Z479" s="11"/>
      <c r="AA479" s="36"/>
      <c r="AB479" s="36"/>
      <c r="AC479" s="13"/>
      <c r="AD479" s="13"/>
      <c r="AE479" s="37"/>
      <c r="AF479" s="37"/>
      <c r="AG479" s="14"/>
      <c r="AH479" s="14"/>
      <c r="AI479" s="14"/>
      <c r="AZ479" s="24"/>
    </row>
    <row r="480">
      <c r="B480" s="24"/>
      <c r="E480" s="113"/>
      <c r="F480" s="266"/>
      <c r="G480" s="113"/>
      <c r="K480" s="36"/>
      <c r="L480" s="117"/>
      <c r="N480" s="117"/>
      <c r="R480" s="117"/>
      <c r="T480" s="117"/>
      <c r="V480" s="117"/>
      <c r="X480" s="117"/>
      <c r="Y480" s="10"/>
      <c r="Z480" s="11"/>
      <c r="AA480" s="36"/>
      <c r="AB480" s="36"/>
      <c r="AC480" s="13"/>
      <c r="AD480" s="13"/>
      <c r="AE480" s="37"/>
      <c r="AF480" s="37"/>
      <c r="AG480" s="14"/>
      <c r="AH480" s="14"/>
      <c r="AI480" s="14"/>
      <c r="AZ480" s="24"/>
    </row>
    <row r="481">
      <c r="B481" s="24"/>
      <c r="E481" s="113"/>
      <c r="F481" s="266"/>
      <c r="G481" s="113"/>
      <c r="K481" s="36"/>
      <c r="L481" s="117"/>
      <c r="N481" s="117"/>
      <c r="R481" s="117"/>
      <c r="T481" s="117"/>
      <c r="V481" s="117"/>
      <c r="X481" s="117"/>
      <c r="Y481" s="10"/>
      <c r="Z481" s="11"/>
      <c r="AA481" s="36"/>
      <c r="AB481" s="36"/>
      <c r="AC481" s="13"/>
      <c r="AD481" s="13"/>
      <c r="AE481" s="37"/>
      <c r="AF481" s="37"/>
      <c r="AG481" s="14"/>
      <c r="AH481" s="14"/>
      <c r="AI481" s="14"/>
      <c r="AZ481" s="24"/>
    </row>
    <row r="482">
      <c r="B482" s="24"/>
      <c r="E482" s="113"/>
      <c r="F482" s="266"/>
      <c r="G482" s="113"/>
      <c r="K482" s="36"/>
      <c r="L482" s="117"/>
      <c r="N482" s="117"/>
      <c r="R482" s="117"/>
      <c r="T482" s="117"/>
      <c r="V482" s="117"/>
      <c r="X482" s="117"/>
      <c r="Y482" s="10"/>
      <c r="Z482" s="11"/>
      <c r="AA482" s="36"/>
      <c r="AB482" s="36"/>
      <c r="AC482" s="13"/>
      <c r="AD482" s="13"/>
      <c r="AE482" s="37"/>
      <c r="AF482" s="37"/>
      <c r="AG482" s="14"/>
      <c r="AH482" s="14"/>
      <c r="AI482" s="14"/>
      <c r="AZ482" s="24"/>
    </row>
    <row r="483">
      <c r="B483" s="24"/>
      <c r="E483" s="113"/>
      <c r="F483" s="266"/>
      <c r="G483" s="113"/>
      <c r="K483" s="36"/>
      <c r="L483" s="117"/>
      <c r="N483" s="117"/>
      <c r="R483" s="117"/>
      <c r="T483" s="117"/>
      <c r="V483" s="117"/>
      <c r="X483" s="117"/>
      <c r="Y483" s="10"/>
      <c r="Z483" s="11"/>
      <c r="AA483" s="36"/>
      <c r="AB483" s="36"/>
      <c r="AC483" s="13"/>
      <c r="AD483" s="13"/>
      <c r="AE483" s="37"/>
      <c r="AF483" s="37"/>
      <c r="AG483" s="14"/>
      <c r="AH483" s="14"/>
      <c r="AI483" s="14"/>
      <c r="AZ483" s="24"/>
    </row>
    <row r="484">
      <c r="B484" s="24"/>
      <c r="E484" s="113"/>
      <c r="F484" s="266"/>
      <c r="G484" s="113"/>
      <c r="K484" s="36"/>
      <c r="L484" s="117"/>
      <c r="N484" s="117"/>
      <c r="R484" s="117"/>
      <c r="T484" s="117"/>
      <c r="V484" s="117"/>
      <c r="X484" s="117"/>
      <c r="Y484" s="10"/>
      <c r="Z484" s="11"/>
      <c r="AA484" s="36"/>
      <c r="AB484" s="36"/>
      <c r="AC484" s="13"/>
      <c r="AD484" s="13"/>
      <c r="AE484" s="37"/>
      <c r="AF484" s="37"/>
      <c r="AG484" s="14"/>
      <c r="AH484" s="14"/>
      <c r="AI484" s="14"/>
      <c r="AZ484" s="24"/>
    </row>
    <row r="485">
      <c r="B485" s="24"/>
      <c r="E485" s="113"/>
      <c r="F485" s="266"/>
      <c r="G485" s="113"/>
      <c r="K485" s="36"/>
      <c r="L485" s="117"/>
      <c r="N485" s="117"/>
      <c r="R485" s="117"/>
      <c r="T485" s="117"/>
      <c r="V485" s="117"/>
      <c r="X485" s="117"/>
      <c r="Y485" s="10"/>
      <c r="Z485" s="11"/>
      <c r="AA485" s="36"/>
      <c r="AB485" s="36"/>
      <c r="AC485" s="13"/>
      <c r="AD485" s="13"/>
      <c r="AE485" s="37"/>
      <c r="AF485" s="37"/>
      <c r="AG485" s="14"/>
      <c r="AH485" s="14"/>
      <c r="AI485" s="14"/>
      <c r="AZ485" s="24"/>
    </row>
    <row r="486">
      <c r="B486" s="24"/>
      <c r="E486" s="113"/>
      <c r="F486" s="266"/>
      <c r="G486" s="113"/>
      <c r="K486" s="36"/>
      <c r="L486" s="117"/>
      <c r="N486" s="117"/>
      <c r="R486" s="117"/>
      <c r="T486" s="117"/>
      <c r="V486" s="117"/>
      <c r="X486" s="117"/>
      <c r="Y486" s="10"/>
      <c r="Z486" s="11"/>
      <c r="AA486" s="36"/>
      <c r="AB486" s="36"/>
      <c r="AC486" s="13"/>
      <c r="AD486" s="13"/>
      <c r="AE486" s="37"/>
      <c r="AF486" s="37"/>
      <c r="AG486" s="14"/>
      <c r="AH486" s="14"/>
      <c r="AI486" s="14"/>
      <c r="AZ486" s="24"/>
    </row>
    <row r="487">
      <c r="B487" s="24"/>
      <c r="E487" s="113"/>
      <c r="F487" s="266"/>
      <c r="G487" s="113"/>
      <c r="K487" s="36"/>
      <c r="L487" s="117"/>
      <c r="N487" s="117"/>
      <c r="R487" s="117"/>
      <c r="T487" s="117"/>
      <c r="V487" s="117"/>
      <c r="X487" s="117"/>
      <c r="Y487" s="10"/>
      <c r="Z487" s="11"/>
      <c r="AA487" s="36"/>
      <c r="AB487" s="36"/>
      <c r="AC487" s="13"/>
      <c r="AD487" s="13"/>
      <c r="AE487" s="37"/>
      <c r="AF487" s="37"/>
      <c r="AG487" s="14"/>
      <c r="AH487" s="14"/>
      <c r="AI487" s="14"/>
      <c r="AZ487" s="24"/>
    </row>
    <row r="488">
      <c r="B488" s="24"/>
      <c r="E488" s="113"/>
      <c r="F488" s="266"/>
      <c r="G488" s="113"/>
      <c r="K488" s="36"/>
      <c r="L488" s="117"/>
      <c r="N488" s="117"/>
      <c r="R488" s="117"/>
      <c r="T488" s="117"/>
      <c r="V488" s="117"/>
      <c r="X488" s="117"/>
      <c r="Y488" s="10"/>
      <c r="Z488" s="11"/>
      <c r="AA488" s="36"/>
      <c r="AB488" s="36"/>
      <c r="AC488" s="13"/>
      <c r="AD488" s="13"/>
      <c r="AE488" s="37"/>
      <c r="AF488" s="37"/>
      <c r="AG488" s="14"/>
      <c r="AH488" s="14"/>
      <c r="AI488" s="14"/>
      <c r="AZ488" s="24"/>
    </row>
    <row r="489">
      <c r="B489" s="24"/>
      <c r="E489" s="113"/>
      <c r="F489" s="266"/>
      <c r="G489" s="113"/>
      <c r="K489" s="36"/>
      <c r="L489" s="117"/>
      <c r="N489" s="117"/>
      <c r="R489" s="117"/>
      <c r="T489" s="117"/>
      <c r="V489" s="117"/>
      <c r="X489" s="117"/>
      <c r="Y489" s="10"/>
      <c r="Z489" s="11"/>
      <c r="AA489" s="36"/>
      <c r="AB489" s="36"/>
      <c r="AC489" s="13"/>
      <c r="AD489" s="13"/>
      <c r="AE489" s="37"/>
      <c r="AF489" s="37"/>
      <c r="AG489" s="14"/>
      <c r="AH489" s="14"/>
      <c r="AI489" s="14"/>
      <c r="AZ489" s="24"/>
    </row>
    <row r="490">
      <c r="B490" s="24"/>
      <c r="E490" s="113"/>
      <c r="F490" s="266"/>
      <c r="G490" s="113"/>
      <c r="K490" s="36"/>
      <c r="L490" s="117"/>
      <c r="N490" s="117"/>
      <c r="R490" s="117"/>
      <c r="T490" s="117"/>
      <c r="V490" s="117"/>
      <c r="X490" s="117"/>
      <c r="Y490" s="10"/>
      <c r="Z490" s="11"/>
      <c r="AA490" s="36"/>
      <c r="AB490" s="36"/>
      <c r="AC490" s="13"/>
      <c r="AD490" s="13"/>
      <c r="AE490" s="37"/>
      <c r="AF490" s="37"/>
      <c r="AG490" s="14"/>
      <c r="AH490" s="14"/>
      <c r="AI490" s="14"/>
      <c r="AZ490" s="24"/>
    </row>
    <row r="491">
      <c r="B491" s="24"/>
      <c r="E491" s="113"/>
      <c r="F491" s="266"/>
      <c r="G491" s="113"/>
      <c r="K491" s="36"/>
      <c r="L491" s="117"/>
      <c r="N491" s="117"/>
      <c r="R491" s="117"/>
      <c r="T491" s="117"/>
      <c r="V491" s="117"/>
      <c r="X491" s="117"/>
      <c r="Y491" s="10"/>
      <c r="Z491" s="11"/>
      <c r="AA491" s="36"/>
      <c r="AB491" s="36"/>
      <c r="AC491" s="13"/>
      <c r="AD491" s="13"/>
      <c r="AE491" s="37"/>
      <c r="AF491" s="37"/>
      <c r="AG491" s="14"/>
      <c r="AH491" s="14"/>
      <c r="AI491" s="14"/>
      <c r="AZ491" s="24"/>
    </row>
    <row r="492">
      <c r="B492" s="24"/>
      <c r="E492" s="113"/>
      <c r="F492" s="266"/>
      <c r="G492" s="113"/>
      <c r="K492" s="36"/>
      <c r="L492" s="117"/>
      <c r="N492" s="117"/>
      <c r="R492" s="117"/>
      <c r="T492" s="117"/>
      <c r="V492" s="117"/>
      <c r="X492" s="117"/>
      <c r="Y492" s="10"/>
      <c r="Z492" s="11"/>
      <c r="AA492" s="36"/>
      <c r="AB492" s="36"/>
      <c r="AC492" s="13"/>
      <c r="AD492" s="13"/>
      <c r="AE492" s="37"/>
      <c r="AF492" s="37"/>
      <c r="AG492" s="14"/>
      <c r="AH492" s="14"/>
      <c r="AI492" s="14"/>
      <c r="AZ492" s="24"/>
    </row>
    <row r="493">
      <c r="B493" s="24"/>
      <c r="E493" s="113"/>
      <c r="F493" s="266"/>
      <c r="G493" s="113"/>
      <c r="K493" s="36"/>
      <c r="L493" s="117"/>
      <c r="N493" s="117"/>
      <c r="R493" s="117"/>
      <c r="T493" s="117"/>
      <c r="V493" s="117"/>
      <c r="X493" s="117"/>
      <c r="Y493" s="10"/>
      <c r="Z493" s="11"/>
      <c r="AA493" s="36"/>
      <c r="AB493" s="36"/>
      <c r="AC493" s="13"/>
      <c r="AD493" s="13"/>
      <c r="AE493" s="37"/>
      <c r="AF493" s="37"/>
      <c r="AG493" s="14"/>
      <c r="AH493" s="14"/>
      <c r="AI493" s="14"/>
      <c r="AZ493" s="24"/>
    </row>
    <row r="494">
      <c r="B494" s="24"/>
      <c r="E494" s="113"/>
      <c r="F494" s="266"/>
      <c r="G494" s="113"/>
      <c r="K494" s="36"/>
      <c r="L494" s="117"/>
      <c r="N494" s="117"/>
      <c r="R494" s="117"/>
      <c r="T494" s="117"/>
      <c r="V494" s="117"/>
      <c r="X494" s="117"/>
      <c r="Y494" s="10"/>
      <c r="Z494" s="11"/>
      <c r="AA494" s="36"/>
      <c r="AB494" s="36"/>
      <c r="AC494" s="13"/>
      <c r="AD494" s="13"/>
      <c r="AE494" s="37"/>
      <c r="AF494" s="37"/>
      <c r="AG494" s="14"/>
      <c r="AH494" s="14"/>
      <c r="AI494" s="14"/>
      <c r="AZ494" s="24"/>
    </row>
    <row r="495">
      <c r="B495" s="24"/>
      <c r="E495" s="113"/>
      <c r="F495" s="266"/>
      <c r="G495" s="113"/>
      <c r="K495" s="36"/>
      <c r="L495" s="117"/>
      <c r="N495" s="117"/>
      <c r="R495" s="117"/>
      <c r="T495" s="117"/>
      <c r="V495" s="117"/>
      <c r="X495" s="117"/>
      <c r="Y495" s="10"/>
      <c r="Z495" s="11"/>
      <c r="AA495" s="36"/>
      <c r="AB495" s="36"/>
      <c r="AC495" s="13"/>
      <c r="AD495" s="13"/>
      <c r="AE495" s="37"/>
      <c r="AF495" s="37"/>
      <c r="AG495" s="14"/>
      <c r="AH495" s="14"/>
      <c r="AI495" s="14"/>
      <c r="AZ495" s="24"/>
    </row>
    <row r="496">
      <c r="B496" s="24"/>
      <c r="E496" s="113"/>
      <c r="F496" s="266"/>
      <c r="G496" s="113"/>
      <c r="K496" s="36"/>
      <c r="L496" s="117"/>
      <c r="N496" s="117"/>
      <c r="R496" s="117"/>
      <c r="T496" s="117"/>
      <c r="V496" s="117"/>
      <c r="X496" s="117"/>
      <c r="Y496" s="10"/>
      <c r="Z496" s="11"/>
      <c r="AA496" s="36"/>
      <c r="AB496" s="36"/>
      <c r="AC496" s="13"/>
      <c r="AD496" s="13"/>
      <c r="AE496" s="37"/>
      <c r="AF496" s="37"/>
      <c r="AG496" s="14"/>
      <c r="AH496" s="14"/>
      <c r="AI496" s="14"/>
      <c r="AZ496" s="24"/>
    </row>
    <row r="497">
      <c r="B497" s="24"/>
      <c r="E497" s="113"/>
      <c r="F497" s="266"/>
      <c r="G497" s="113"/>
      <c r="K497" s="36"/>
      <c r="L497" s="117"/>
      <c r="N497" s="117"/>
      <c r="R497" s="117"/>
      <c r="T497" s="117"/>
      <c r="V497" s="117"/>
      <c r="X497" s="117"/>
      <c r="Y497" s="10"/>
      <c r="Z497" s="11"/>
      <c r="AA497" s="36"/>
      <c r="AB497" s="36"/>
      <c r="AC497" s="13"/>
      <c r="AD497" s="13"/>
      <c r="AE497" s="37"/>
      <c r="AF497" s="37"/>
      <c r="AG497" s="14"/>
      <c r="AH497" s="14"/>
      <c r="AI497" s="14"/>
      <c r="AZ497" s="24"/>
    </row>
    <row r="498">
      <c r="B498" s="24"/>
      <c r="E498" s="113"/>
      <c r="F498" s="266"/>
      <c r="G498" s="113"/>
      <c r="K498" s="36"/>
      <c r="L498" s="117"/>
      <c r="N498" s="117"/>
      <c r="R498" s="117"/>
      <c r="T498" s="117"/>
      <c r="V498" s="117"/>
      <c r="X498" s="117"/>
      <c r="Y498" s="10"/>
      <c r="Z498" s="11"/>
      <c r="AA498" s="36"/>
      <c r="AB498" s="36"/>
      <c r="AC498" s="13"/>
      <c r="AD498" s="13"/>
      <c r="AE498" s="37"/>
      <c r="AF498" s="37"/>
      <c r="AG498" s="14"/>
      <c r="AH498" s="14"/>
      <c r="AI498" s="14"/>
      <c r="AZ498" s="24"/>
    </row>
    <row r="499">
      <c r="B499" s="24"/>
      <c r="E499" s="113"/>
      <c r="F499" s="266"/>
      <c r="G499" s="113"/>
      <c r="K499" s="36"/>
      <c r="L499" s="117"/>
      <c r="N499" s="117"/>
      <c r="R499" s="117"/>
      <c r="T499" s="117"/>
      <c r="V499" s="117"/>
      <c r="X499" s="117"/>
      <c r="Y499" s="10"/>
      <c r="Z499" s="11"/>
      <c r="AA499" s="36"/>
      <c r="AB499" s="36"/>
      <c r="AC499" s="13"/>
      <c r="AD499" s="13"/>
      <c r="AE499" s="37"/>
      <c r="AF499" s="37"/>
      <c r="AG499" s="14"/>
      <c r="AH499" s="14"/>
      <c r="AI499" s="14"/>
      <c r="AZ499" s="24"/>
    </row>
    <row r="500">
      <c r="B500" s="24"/>
      <c r="E500" s="113"/>
      <c r="F500" s="266"/>
      <c r="G500" s="113"/>
      <c r="K500" s="36"/>
      <c r="L500" s="117"/>
      <c r="N500" s="117"/>
      <c r="R500" s="117"/>
      <c r="T500" s="117"/>
      <c r="V500" s="117"/>
      <c r="X500" s="117"/>
      <c r="Y500" s="10"/>
      <c r="Z500" s="11"/>
      <c r="AA500" s="36"/>
      <c r="AB500" s="36"/>
      <c r="AC500" s="13"/>
      <c r="AD500" s="13"/>
      <c r="AE500" s="37"/>
      <c r="AF500" s="37"/>
      <c r="AG500" s="14"/>
      <c r="AH500" s="14"/>
      <c r="AI500" s="14"/>
      <c r="AZ500" s="24"/>
    </row>
    <row r="501">
      <c r="B501" s="24"/>
      <c r="E501" s="113"/>
      <c r="F501" s="266"/>
      <c r="G501" s="113"/>
      <c r="K501" s="36"/>
      <c r="L501" s="117"/>
      <c r="N501" s="117"/>
      <c r="R501" s="117"/>
      <c r="T501" s="117"/>
      <c r="V501" s="117"/>
      <c r="X501" s="117"/>
      <c r="Y501" s="10"/>
      <c r="Z501" s="11"/>
      <c r="AA501" s="36"/>
      <c r="AB501" s="36"/>
      <c r="AC501" s="13"/>
      <c r="AD501" s="13"/>
      <c r="AE501" s="37"/>
      <c r="AF501" s="37"/>
      <c r="AG501" s="14"/>
      <c r="AH501" s="14"/>
      <c r="AI501" s="14"/>
      <c r="AZ501" s="24"/>
    </row>
    <row r="502">
      <c r="B502" s="24"/>
      <c r="E502" s="113"/>
      <c r="F502" s="266"/>
      <c r="G502" s="113"/>
      <c r="K502" s="36"/>
      <c r="L502" s="117"/>
      <c r="N502" s="117"/>
      <c r="R502" s="117"/>
      <c r="T502" s="117"/>
      <c r="V502" s="117"/>
      <c r="X502" s="117"/>
      <c r="Y502" s="10"/>
      <c r="Z502" s="11"/>
      <c r="AA502" s="36"/>
      <c r="AB502" s="36"/>
      <c r="AC502" s="13"/>
      <c r="AD502" s="13"/>
      <c r="AE502" s="37"/>
      <c r="AF502" s="37"/>
      <c r="AG502" s="14"/>
      <c r="AH502" s="14"/>
      <c r="AI502" s="14"/>
      <c r="AZ502" s="24"/>
    </row>
    <row r="503">
      <c r="B503" s="24"/>
      <c r="E503" s="113"/>
      <c r="F503" s="266"/>
      <c r="G503" s="113"/>
      <c r="K503" s="36"/>
      <c r="L503" s="117"/>
      <c r="N503" s="117"/>
      <c r="R503" s="117"/>
      <c r="T503" s="117"/>
      <c r="V503" s="117"/>
      <c r="X503" s="117"/>
      <c r="Y503" s="10"/>
      <c r="Z503" s="11"/>
      <c r="AA503" s="36"/>
      <c r="AB503" s="36"/>
      <c r="AC503" s="13"/>
      <c r="AD503" s="13"/>
      <c r="AE503" s="37"/>
      <c r="AF503" s="37"/>
      <c r="AG503" s="14"/>
      <c r="AH503" s="14"/>
      <c r="AI503" s="14"/>
      <c r="AZ503" s="24"/>
    </row>
    <row r="504">
      <c r="B504" s="24"/>
      <c r="E504" s="113"/>
      <c r="F504" s="266"/>
      <c r="G504" s="113"/>
      <c r="K504" s="36"/>
      <c r="L504" s="117"/>
      <c r="N504" s="117"/>
      <c r="R504" s="117"/>
      <c r="T504" s="117"/>
      <c r="V504" s="117"/>
      <c r="X504" s="117"/>
      <c r="Y504" s="10"/>
      <c r="Z504" s="11"/>
      <c r="AA504" s="36"/>
      <c r="AB504" s="36"/>
      <c r="AC504" s="13"/>
      <c r="AD504" s="13"/>
      <c r="AE504" s="37"/>
      <c r="AF504" s="37"/>
      <c r="AG504" s="14"/>
      <c r="AH504" s="14"/>
      <c r="AI504" s="14"/>
      <c r="AZ504" s="24"/>
    </row>
    <row r="505">
      <c r="B505" s="24"/>
      <c r="E505" s="113"/>
      <c r="F505" s="266"/>
      <c r="G505" s="113"/>
      <c r="K505" s="36"/>
      <c r="L505" s="117"/>
      <c r="N505" s="117"/>
      <c r="R505" s="117"/>
      <c r="T505" s="117"/>
      <c r="V505" s="117"/>
      <c r="X505" s="117"/>
      <c r="Y505" s="10"/>
      <c r="Z505" s="11"/>
      <c r="AA505" s="36"/>
      <c r="AB505" s="36"/>
      <c r="AC505" s="13"/>
      <c r="AD505" s="13"/>
      <c r="AE505" s="37"/>
      <c r="AF505" s="37"/>
      <c r="AG505" s="14"/>
      <c r="AH505" s="14"/>
      <c r="AI505" s="14"/>
      <c r="AZ505" s="24"/>
    </row>
    <row r="506">
      <c r="B506" s="24"/>
      <c r="E506" s="113"/>
      <c r="F506" s="266"/>
      <c r="G506" s="113"/>
      <c r="K506" s="36"/>
      <c r="L506" s="117"/>
      <c r="N506" s="117"/>
      <c r="R506" s="117"/>
      <c r="T506" s="117"/>
      <c r="V506" s="117"/>
      <c r="X506" s="117"/>
      <c r="Y506" s="10"/>
      <c r="Z506" s="11"/>
      <c r="AA506" s="36"/>
      <c r="AB506" s="36"/>
      <c r="AC506" s="13"/>
      <c r="AD506" s="13"/>
      <c r="AE506" s="37"/>
      <c r="AF506" s="37"/>
      <c r="AG506" s="14"/>
      <c r="AH506" s="14"/>
      <c r="AI506" s="14"/>
      <c r="AZ506" s="24"/>
    </row>
    <row r="507">
      <c r="B507" s="24"/>
      <c r="E507" s="113"/>
      <c r="F507" s="266"/>
      <c r="G507" s="113"/>
      <c r="K507" s="36"/>
      <c r="L507" s="117"/>
      <c r="N507" s="117"/>
      <c r="R507" s="117"/>
      <c r="T507" s="117"/>
      <c r="V507" s="117"/>
      <c r="X507" s="117"/>
      <c r="Y507" s="10"/>
      <c r="Z507" s="11"/>
      <c r="AA507" s="36"/>
      <c r="AB507" s="36"/>
      <c r="AC507" s="13"/>
      <c r="AD507" s="13"/>
      <c r="AE507" s="37"/>
      <c r="AF507" s="37"/>
      <c r="AG507" s="14"/>
      <c r="AH507" s="14"/>
      <c r="AI507" s="14"/>
      <c r="AZ507" s="24"/>
    </row>
    <row r="508">
      <c r="B508" s="24"/>
      <c r="E508" s="113"/>
      <c r="F508" s="266"/>
      <c r="G508" s="113"/>
      <c r="K508" s="36"/>
      <c r="L508" s="117"/>
      <c r="N508" s="117"/>
      <c r="R508" s="117"/>
      <c r="T508" s="117"/>
      <c r="V508" s="117"/>
      <c r="X508" s="117"/>
      <c r="Y508" s="10"/>
      <c r="Z508" s="11"/>
      <c r="AA508" s="36"/>
      <c r="AB508" s="36"/>
      <c r="AC508" s="13"/>
      <c r="AD508" s="13"/>
      <c r="AE508" s="37"/>
      <c r="AF508" s="37"/>
      <c r="AG508" s="14"/>
      <c r="AH508" s="14"/>
      <c r="AI508" s="14"/>
      <c r="AZ508" s="24"/>
    </row>
    <row r="509">
      <c r="B509" s="24"/>
      <c r="E509" s="113"/>
      <c r="F509" s="266"/>
      <c r="G509" s="113"/>
      <c r="K509" s="36"/>
      <c r="L509" s="117"/>
      <c r="N509" s="117"/>
      <c r="R509" s="117"/>
      <c r="T509" s="117"/>
      <c r="V509" s="117"/>
      <c r="X509" s="117"/>
      <c r="Y509" s="10"/>
      <c r="Z509" s="11"/>
      <c r="AA509" s="36"/>
      <c r="AB509" s="36"/>
      <c r="AC509" s="13"/>
      <c r="AD509" s="13"/>
      <c r="AE509" s="37"/>
      <c r="AF509" s="37"/>
      <c r="AG509" s="14"/>
      <c r="AH509" s="14"/>
      <c r="AI509" s="14"/>
      <c r="AZ509" s="24"/>
    </row>
    <row r="510">
      <c r="B510" s="24"/>
      <c r="E510" s="113"/>
      <c r="F510" s="266"/>
      <c r="G510" s="113"/>
      <c r="K510" s="36"/>
      <c r="L510" s="117"/>
      <c r="N510" s="117"/>
      <c r="R510" s="117"/>
      <c r="T510" s="117"/>
      <c r="V510" s="117"/>
      <c r="X510" s="117"/>
      <c r="Y510" s="10"/>
      <c r="Z510" s="11"/>
      <c r="AA510" s="36"/>
      <c r="AB510" s="36"/>
      <c r="AC510" s="13"/>
      <c r="AD510" s="13"/>
      <c r="AE510" s="37"/>
      <c r="AF510" s="37"/>
      <c r="AG510" s="14"/>
      <c r="AH510" s="14"/>
      <c r="AI510" s="14"/>
      <c r="AZ510" s="24"/>
    </row>
    <row r="511">
      <c r="B511" s="24"/>
      <c r="E511" s="113"/>
      <c r="F511" s="266"/>
      <c r="G511" s="113"/>
      <c r="K511" s="36"/>
      <c r="L511" s="117"/>
      <c r="N511" s="117"/>
      <c r="R511" s="117"/>
      <c r="T511" s="117"/>
      <c r="V511" s="117"/>
      <c r="X511" s="117"/>
      <c r="Y511" s="10"/>
      <c r="Z511" s="11"/>
      <c r="AA511" s="36"/>
      <c r="AB511" s="36"/>
      <c r="AC511" s="13"/>
      <c r="AD511" s="13"/>
      <c r="AE511" s="37"/>
      <c r="AF511" s="37"/>
      <c r="AG511" s="14"/>
      <c r="AH511" s="14"/>
      <c r="AI511" s="14"/>
      <c r="AZ511" s="24"/>
    </row>
    <row r="512">
      <c r="B512" s="24"/>
      <c r="E512" s="113"/>
      <c r="F512" s="266"/>
      <c r="G512" s="113"/>
      <c r="K512" s="36"/>
      <c r="L512" s="117"/>
      <c r="N512" s="117"/>
      <c r="R512" s="117"/>
      <c r="T512" s="117"/>
      <c r="V512" s="117"/>
      <c r="X512" s="117"/>
      <c r="Y512" s="10"/>
      <c r="Z512" s="11"/>
      <c r="AA512" s="36"/>
      <c r="AB512" s="36"/>
      <c r="AC512" s="13"/>
      <c r="AD512" s="13"/>
      <c r="AE512" s="37"/>
      <c r="AF512" s="37"/>
      <c r="AG512" s="14"/>
      <c r="AH512" s="14"/>
      <c r="AI512" s="14"/>
      <c r="AZ512" s="24"/>
    </row>
    <row r="513">
      <c r="B513" s="24"/>
      <c r="E513" s="113"/>
      <c r="F513" s="266"/>
      <c r="G513" s="113"/>
      <c r="K513" s="36"/>
      <c r="L513" s="117"/>
      <c r="N513" s="117"/>
      <c r="R513" s="117"/>
      <c r="T513" s="117"/>
      <c r="V513" s="117"/>
      <c r="X513" s="117"/>
      <c r="Y513" s="10"/>
      <c r="Z513" s="11"/>
      <c r="AA513" s="36"/>
      <c r="AB513" s="36"/>
      <c r="AC513" s="13"/>
      <c r="AD513" s="13"/>
      <c r="AE513" s="37"/>
      <c r="AF513" s="37"/>
      <c r="AG513" s="14"/>
      <c r="AH513" s="14"/>
      <c r="AI513" s="14"/>
      <c r="AZ513" s="24"/>
    </row>
    <row r="514">
      <c r="B514" s="24"/>
      <c r="E514" s="113"/>
      <c r="F514" s="266"/>
      <c r="G514" s="113"/>
      <c r="K514" s="36"/>
      <c r="L514" s="117"/>
      <c r="N514" s="117"/>
      <c r="R514" s="117"/>
      <c r="T514" s="117"/>
      <c r="V514" s="117"/>
      <c r="X514" s="117"/>
      <c r="Y514" s="10"/>
      <c r="Z514" s="11"/>
      <c r="AA514" s="36"/>
      <c r="AB514" s="36"/>
      <c r="AC514" s="13"/>
      <c r="AD514" s="13"/>
      <c r="AE514" s="37"/>
      <c r="AF514" s="37"/>
      <c r="AG514" s="14"/>
      <c r="AH514" s="14"/>
      <c r="AI514" s="14"/>
      <c r="AZ514" s="24"/>
    </row>
    <row r="515">
      <c r="B515" s="24"/>
      <c r="E515" s="113"/>
      <c r="F515" s="266"/>
      <c r="G515" s="113"/>
      <c r="K515" s="36"/>
      <c r="L515" s="117"/>
      <c r="N515" s="117"/>
      <c r="R515" s="117"/>
      <c r="T515" s="117"/>
      <c r="V515" s="117"/>
      <c r="X515" s="117"/>
      <c r="Y515" s="10"/>
      <c r="Z515" s="11"/>
      <c r="AA515" s="36"/>
      <c r="AB515" s="36"/>
      <c r="AC515" s="13"/>
      <c r="AD515" s="13"/>
      <c r="AE515" s="37"/>
      <c r="AF515" s="37"/>
      <c r="AG515" s="14"/>
      <c r="AH515" s="14"/>
      <c r="AI515" s="14"/>
      <c r="AZ515" s="24"/>
    </row>
    <row r="516">
      <c r="B516" s="24"/>
      <c r="E516" s="113"/>
      <c r="F516" s="266"/>
      <c r="G516" s="113"/>
      <c r="K516" s="36"/>
      <c r="L516" s="117"/>
      <c r="N516" s="117"/>
      <c r="R516" s="117"/>
      <c r="T516" s="117"/>
      <c r="V516" s="117"/>
      <c r="X516" s="117"/>
      <c r="Y516" s="10"/>
      <c r="Z516" s="11"/>
      <c r="AA516" s="36"/>
      <c r="AB516" s="36"/>
      <c r="AC516" s="13"/>
      <c r="AD516" s="13"/>
      <c r="AE516" s="37"/>
      <c r="AF516" s="37"/>
      <c r="AG516" s="14"/>
      <c r="AH516" s="14"/>
      <c r="AI516" s="14"/>
      <c r="AZ516" s="24"/>
    </row>
    <row r="517">
      <c r="B517" s="24"/>
      <c r="E517" s="113"/>
      <c r="F517" s="266"/>
      <c r="G517" s="113"/>
      <c r="K517" s="36"/>
      <c r="L517" s="117"/>
      <c r="N517" s="117"/>
      <c r="R517" s="117"/>
      <c r="T517" s="117"/>
      <c r="V517" s="117"/>
      <c r="X517" s="117"/>
      <c r="Y517" s="10"/>
      <c r="Z517" s="11"/>
      <c r="AA517" s="36"/>
      <c r="AB517" s="36"/>
      <c r="AC517" s="13"/>
      <c r="AD517" s="13"/>
      <c r="AE517" s="37"/>
      <c r="AF517" s="37"/>
      <c r="AG517" s="14"/>
      <c r="AH517" s="14"/>
      <c r="AI517" s="14"/>
      <c r="AZ517" s="24"/>
    </row>
    <row r="518">
      <c r="B518" s="24"/>
      <c r="E518" s="113"/>
      <c r="F518" s="266"/>
      <c r="G518" s="113"/>
      <c r="K518" s="36"/>
      <c r="L518" s="117"/>
      <c r="N518" s="117"/>
      <c r="R518" s="117"/>
      <c r="T518" s="117"/>
      <c r="V518" s="117"/>
      <c r="X518" s="117"/>
      <c r="Y518" s="10"/>
      <c r="Z518" s="11"/>
      <c r="AA518" s="36"/>
      <c r="AB518" s="36"/>
      <c r="AC518" s="13"/>
      <c r="AD518" s="13"/>
      <c r="AE518" s="37"/>
      <c r="AF518" s="37"/>
      <c r="AG518" s="14"/>
      <c r="AH518" s="14"/>
      <c r="AI518" s="14"/>
      <c r="AZ518" s="24"/>
    </row>
    <row r="519">
      <c r="B519" s="24"/>
      <c r="E519" s="113"/>
      <c r="F519" s="266"/>
      <c r="G519" s="113"/>
      <c r="K519" s="36"/>
      <c r="L519" s="117"/>
      <c r="N519" s="117"/>
      <c r="R519" s="117"/>
      <c r="T519" s="117"/>
      <c r="V519" s="117"/>
      <c r="X519" s="117"/>
      <c r="Y519" s="10"/>
      <c r="Z519" s="11"/>
      <c r="AA519" s="36"/>
      <c r="AB519" s="36"/>
      <c r="AC519" s="13"/>
      <c r="AD519" s="13"/>
      <c r="AE519" s="37"/>
      <c r="AF519" s="37"/>
      <c r="AG519" s="14"/>
      <c r="AH519" s="14"/>
      <c r="AI519" s="14"/>
      <c r="AZ519" s="24"/>
    </row>
    <row r="520">
      <c r="B520" s="24"/>
      <c r="E520" s="113"/>
      <c r="F520" s="266"/>
      <c r="G520" s="113"/>
      <c r="K520" s="36"/>
      <c r="L520" s="117"/>
      <c r="N520" s="117"/>
      <c r="R520" s="117"/>
      <c r="T520" s="117"/>
      <c r="V520" s="117"/>
      <c r="X520" s="117"/>
      <c r="Y520" s="10"/>
      <c r="Z520" s="11"/>
      <c r="AA520" s="36"/>
      <c r="AB520" s="36"/>
      <c r="AC520" s="13"/>
      <c r="AD520" s="13"/>
      <c r="AE520" s="37"/>
      <c r="AF520" s="37"/>
      <c r="AG520" s="14"/>
      <c r="AH520" s="14"/>
      <c r="AI520" s="14"/>
      <c r="AZ520" s="24"/>
    </row>
    <row r="521">
      <c r="B521" s="24"/>
      <c r="E521" s="113"/>
      <c r="F521" s="266"/>
      <c r="G521" s="113"/>
      <c r="K521" s="36"/>
      <c r="L521" s="117"/>
      <c r="N521" s="117"/>
      <c r="R521" s="117"/>
      <c r="T521" s="117"/>
      <c r="V521" s="117"/>
      <c r="X521" s="117"/>
      <c r="Y521" s="10"/>
      <c r="Z521" s="11"/>
      <c r="AA521" s="36"/>
      <c r="AB521" s="36"/>
      <c r="AC521" s="13"/>
      <c r="AD521" s="13"/>
      <c r="AE521" s="37"/>
      <c r="AF521" s="37"/>
      <c r="AG521" s="14"/>
      <c r="AH521" s="14"/>
      <c r="AI521" s="14"/>
      <c r="AZ521" s="24"/>
    </row>
    <row r="522">
      <c r="B522" s="24"/>
      <c r="E522" s="113"/>
      <c r="F522" s="266"/>
      <c r="G522" s="113"/>
      <c r="K522" s="36"/>
      <c r="L522" s="117"/>
      <c r="N522" s="117"/>
      <c r="R522" s="117"/>
      <c r="T522" s="117"/>
      <c r="V522" s="117"/>
      <c r="X522" s="117"/>
      <c r="Y522" s="10"/>
      <c r="Z522" s="11"/>
      <c r="AA522" s="36"/>
      <c r="AB522" s="36"/>
      <c r="AC522" s="13"/>
      <c r="AD522" s="13"/>
      <c r="AE522" s="37"/>
      <c r="AF522" s="37"/>
      <c r="AG522" s="14"/>
      <c r="AH522" s="14"/>
      <c r="AI522" s="14"/>
      <c r="AZ522" s="24"/>
    </row>
    <row r="523">
      <c r="B523" s="24"/>
      <c r="E523" s="113"/>
      <c r="F523" s="266"/>
      <c r="G523" s="113"/>
      <c r="K523" s="36"/>
      <c r="L523" s="117"/>
      <c r="N523" s="117"/>
      <c r="R523" s="117"/>
      <c r="T523" s="117"/>
      <c r="V523" s="117"/>
      <c r="X523" s="117"/>
      <c r="Y523" s="10"/>
      <c r="Z523" s="11"/>
      <c r="AA523" s="36"/>
      <c r="AB523" s="36"/>
      <c r="AC523" s="13"/>
      <c r="AD523" s="13"/>
      <c r="AE523" s="37"/>
      <c r="AF523" s="37"/>
      <c r="AG523" s="14"/>
      <c r="AH523" s="14"/>
      <c r="AI523" s="14"/>
      <c r="AZ523" s="24"/>
    </row>
    <row r="524">
      <c r="B524" s="24"/>
      <c r="E524" s="113"/>
      <c r="F524" s="266"/>
      <c r="G524" s="113"/>
      <c r="K524" s="36"/>
      <c r="L524" s="117"/>
      <c r="N524" s="117"/>
      <c r="R524" s="117"/>
      <c r="T524" s="117"/>
      <c r="V524" s="117"/>
      <c r="X524" s="117"/>
      <c r="Y524" s="10"/>
      <c r="Z524" s="11"/>
      <c r="AA524" s="36"/>
      <c r="AB524" s="36"/>
      <c r="AC524" s="13"/>
      <c r="AD524" s="13"/>
      <c r="AE524" s="37"/>
      <c r="AF524" s="37"/>
      <c r="AG524" s="14"/>
      <c r="AH524" s="14"/>
      <c r="AI524" s="14"/>
      <c r="AZ524" s="24"/>
    </row>
    <row r="525">
      <c r="B525" s="24"/>
      <c r="E525" s="113"/>
      <c r="F525" s="266"/>
      <c r="G525" s="113"/>
      <c r="K525" s="36"/>
      <c r="L525" s="117"/>
      <c r="N525" s="117"/>
      <c r="R525" s="117"/>
      <c r="T525" s="117"/>
      <c r="V525" s="117"/>
      <c r="X525" s="117"/>
      <c r="Y525" s="10"/>
      <c r="Z525" s="11"/>
      <c r="AA525" s="36"/>
      <c r="AB525" s="36"/>
      <c r="AC525" s="13"/>
      <c r="AD525" s="13"/>
      <c r="AE525" s="37"/>
      <c r="AF525" s="37"/>
      <c r="AG525" s="14"/>
      <c r="AH525" s="14"/>
      <c r="AI525" s="14"/>
      <c r="AZ525" s="24"/>
    </row>
    <row r="526">
      <c r="B526" s="24"/>
      <c r="E526" s="113"/>
      <c r="F526" s="266"/>
      <c r="G526" s="113"/>
      <c r="K526" s="36"/>
      <c r="L526" s="117"/>
      <c r="N526" s="117"/>
      <c r="R526" s="117"/>
      <c r="T526" s="117"/>
      <c r="V526" s="117"/>
      <c r="X526" s="117"/>
      <c r="Y526" s="10"/>
      <c r="Z526" s="11"/>
      <c r="AA526" s="36"/>
      <c r="AB526" s="36"/>
      <c r="AC526" s="13"/>
      <c r="AD526" s="13"/>
      <c r="AE526" s="37"/>
      <c r="AF526" s="37"/>
      <c r="AG526" s="14"/>
      <c r="AH526" s="14"/>
      <c r="AI526" s="14"/>
      <c r="AZ526" s="24"/>
    </row>
    <row r="527">
      <c r="B527" s="24"/>
      <c r="E527" s="113"/>
      <c r="F527" s="266"/>
      <c r="G527" s="113"/>
      <c r="K527" s="36"/>
      <c r="L527" s="117"/>
      <c r="N527" s="117"/>
      <c r="R527" s="117"/>
      <c r="T527" s="117"/>
      <c r="V527" s="117"/>
      <c r="X527" s="117"/>
      <c r="Y527" s="10"/>
      <c r="Z527" s="11"/>
      <c r="AA527" s="36"/>
      <c r="AB527" s="36"/>
      <c r="AC527" s="13"/>
      <c r="AD527" s="13"/>
      <c r="AE527" s="37"/>
      <c r="AF527" s="37"/>
      <c r="AG527" s="14"/>
      <c r="AH527" s="14"/>
      <c r="AI527" s="14"/>
      <c r="AZ527" s="24"/>
    </row>
    <row r="528">
      <c r="B528" s="24"/>
      <c r="E528" s="113"/>
      <c r="F528" s="266"/>
      <c r="G528" s="113"/>
      <c r="K528" s="36"/>
      <c r="L528" s="117"/>
      <c r="N528" s="117"/>
      <c r="R528" s="117"/>
      <c r="T528" s="117"/>
      <c r="V528" s="117"/>
      <c r="X528" s="117"/>
      <c r="Y528" s="10"/>
      <c r="Z528" s="11"/>
      <c r="AA528" s="36"/>
      <c r="AB528" s="36"/>
      <c r="AC528" s="13"/>
      <c r="AD528" s="13"/>
      <c r="AE528" s="37"/>
      <c r="AF528" s="37"/>
      <c r="AG528" s="14"/>
      <c r="AH528" s="14"/>
      <c r="AI528" s="14"/>
      <c r="AZ528" s="24"/>
    </row>
    <row r="529">
      <c r="B529" s="24"/>
      <c r="E529" s="113"/>
      <c r="F529" s="266"/>
      <c r="G529" s="113"/>
      <c r="K529" s="36"/>
      <c r="L529" s="117"/>
      <c r="N529" s="117"/>
      <c r="R529" s="117"/>
      <c r="T529" s="117"/>
      <c r="V529" s="117"/>
      <c r="X529" s="117"/>
      <c r="Y529" s="10"/>
      <c r="Z529" s="11"/>
      <c r="AA529" s="36"/>
      <c r="AB529" s="36"/>
      <c r="AC529" s="13"/>
      <c r="AD529" s="13"/>
      <c r="AE529" s="37"/>
      <c r="AF529" s="37"/>
      <c r="AG529" s="14"/>
      <c r="AH529" s="14"/>
      <c r="AI529" s="14"/>
      <c r="AZ529" s="24"/>
    </row>
    <row r="530">
      <c r="B530" s="24"/>
      <c r="E530" s="113"/>
      <c r="F530" s="266"/>
      <c r="G530" s="113"/>
      <c r="K530" s="36"/>
      <c r="L530" s="117"/>
      <c r="N530" s="117"/>
      <c r="R530" s="117"/>
      <c r="T530" s="117"/>
      <c r="V530" s="117"/>
      <c r="X530" s="117"/>
      <c r="Y530" s="10"/>
      <c r="Z530" s="11"/>
      <c r="AA530" s="36"/>
      <c r="AB530" s="36"/>
      <c r="AC530" s="13"/>
      <c r="AD530" s="13"/>
      <c r="AE530" s="37"/>
      <c r="AF530" s="37"/>
      <c r="AG530" s="14"/>
      <c r="AH530" s="14"/>
      <c r="AI530" s="14"/>
      <c r="AZ530" s="24"/>
    </row>
    <row r="531">
      <c r="B531" s="24"/>
      <c r="E531" s="113"/>
      <c r="F531" s="266"/>
      <c r="G531" s="113"/>
      <c r="K531" s="36"/>
      <c r="L531" s="117"/>
      <c r="N531" s="117"/>
      <c r="R531" s="117"/>
      <c r="T531" s="117"/>
      <c r="V531" s="117"/>
      <c r="X531" s="117"/>
      <c r="Y531" s="10"/>
      <c r="Z531" s="11"/>
      <c r="AA531" s="36"/>
      <c r="AB531" s="36"/>
      <c r="AC531" s="13"/>
      <c r="AD531" s="13"/>
      <c r="AE531" s="37"/>
      <c r="AF531" s="37"/>
      <c r="AG531" s="14"/>
      <c r="AH531" s="14"/>
      <c r="AI531" s="14"/>
      <c r="AZ531" s="24"/>
    </row>
    <row r="532">
      <c r="B532" s="24"/>
      <c r="E532" s="113"/>
      <c r="F532" s="266"/>
      <c r="G532" s="113"/>
      <c r="K532" s="36"/>
      <c r="L532" s="117"/>
      <c r="N532" s="117"/>
      <c r="R532" s="117"/>
      <c r="T532" s="117"/>
      <c r="V532" s="117"/>
      <c r="X532" s="117"/>
      <c r="Y532" s="10"/>
      <c r="Z532" s="11"/>
      <c r="AA532" s="36"/>
      <c r="AB532" s="36"/>
      <c r="AC532" s="13"/>
      <c r="AD532" s="13"/>
      <c r="AE532" s="37"/>
      <c r="AF532" s="37"/>
      <c r="AG532" s="14"/>
      <c r="AH532" s="14"/>
      <c r="AI532" s="14"/>
      <c r="AZ532" s="24"/>
    </row>
    <row r="533">
      <c r="B533" s="24"/>
      <c r="E533" s="113"/>
      <c r="F533" s="266"/>
      <c r="G533" s="113"/>
      <c r="K533" s="36"/>
      <c r="L533" s="117"/>
      <c r="N533" s="117"/>
      <c r="R533" s="117"/>
      <c r="T533" s="117"/>
      <c r="V533" s="117"/>
      <c r="X533" s="117"/>
      <c r="Y533" s="10"/>
      <c r="Z533" s="11"/>
      <c r="AA533" s="36"/>
      <c r="AB533" s="36"/>
      <c r="AC533" s="13"/>
      <c r="AD533" s="13"/>
      <c r="AE533" s="37"/>
      <c r="AF533" s="37"/>
      <c r="AG533" s="14"/>
      <c r="AH533" s="14"/>
      <c r="AI533" s="14"/>
      <c r="AZ533" s="24"/>
    </row>
    <row r="534">
      <c r="B534" s="24"/>
      <c r="E534" s="113"/>
      <c r="F534" s="266"/>
      <c r="G534" s="113"/>
      <c r="K534" s="36"/>
      <c r="L534" s="117"/>
      <c r="N534" s="117"/>
      <c r="R534" s="117"/>
      <c r="T534" s="117"/>
      <c r="V534" s="117"/>
      <c r="X534" s="117"/>
      <c r="Y534" s="10"/>
      <c r="Z534" s="11"/>
      <c r="AA534" s="36"/>
      <c r="AB534" s="36"/>
      <c r="AC534" s="13"/>
      <c r="AD534" s="13"/>
      <c r="AE534" s="37"/>
      <c r="AF534" s="37"/>
      <c r="AG534" s="14"/>
      <c r="AH534" s="14"/>
      <c r="AI534" s="14"/>
      <c r="AZ534" s="24"/>
    </row>
    <row r="535">
      <c r="B535" s="24"/>
      <c r="E535" s="113"/>
      <c r="F535" s="266"/>
      <c r="G535" s="113"/>
      <c r="K535" s="36"/>
      <c r="L535" s="117"/>
      <c r="N535" s="117"/>
      <c r="R535" s="117"/>
      <c r="T535" s="117"/>
      <c r="V535" s="117"/>
      <c r="X535" s="117"/>
      <c r="Y535" s="10"/>
      <c r="Z535" s="11"/>
      <c r="AA535" s="36"/>
      <c r="AB535" s="36"/>
      <c r="AC535" s="13"/>
      <c r="AD535" s="13"/>
      <c r="AE535" s="37"/>
      <c r="AF535" s="37"/>
      <c r="AG535" s="14"/>
      <c r="AH535" s="14"/>
      <c r="AI535" s="14"/>
      <c r="AZ535" s="24"/>
    </row>
    <row r="536">
      <c r="B536" s="24"/>
      <c r="E536" s="113"/>
      <c r="F536" s="266"/>
      <c r="G536" s="113"/>
      <c r="K536" s="36"/>
      <c r="L536" s="117"/>
      <c r="N536" s="117"/>
      <c r="R536" s="117"/>
      <c r="T536" s="117"/>
      <c r="V536" s="117"/>
      <c r="X536" s="117"/>
      <c r="Y536" s="10"/>
      <c r="Z536" s="11"/>
      <c r="AA536" s="36"/>
      <c r="AB536" s="36"/>
      <c r="AC536" s="13"/>
      <c r="AD536" s="13"/>
      <c r="AE536" s="37"/>
      <c r="AF536" s="37"/>
      <c r="AG536" s="14"/>
      <c r="AH536" s="14"/>
      <c r="AI536" s="14"/>
      <c r="AZ536" s="24"/>
    </row>
    <row r="537">
      <c r="B537" s="24"/>
      <c r="E537" s="113"/>
      <c r="F537" s="266"/>
      <c r="G537" s="113"/>
      <c r="K537" s="36"/>
      <c r="L537" s="117"/>
      <c r="N537" s="117"/>
      <c r="R537" s="117"/>
      <c r="T537" s="117"/>
      <c r="V537" s="117"/>
      <c r="X537" s="117"/>
      <c r="Y537" s="10"/>
      <c r="Z537" s="11"/>
      <c r="AA537" s="36"/>
      <c r="AB537" s="36"/>
      <c r="AC537" s="13"/>
      <c r="AD537" s="13"/>
      <c r="AE537" s="37"/>
      <c r="AF537" s="37"/>
      <c r="AG537" s="14"/>
      <c r="AH537" s="14"/>
      <c r="AI537" s="14"/>
      <c r="AZ537" s="24"/>
    </row>
    <row r="538">
      <c r="B538" s="24"/>
      <c r="E538" s="113"/>
      <c r="F538" s="266"/>
      <c r="G538" s="113"/>
      <c r="K538" s="36"/>
      <c r="L538" s="117"/>
      <c r="N538" s="117"/>
      <c r="R538" s="117"/>
      <c r="T538" s="117"/>
      <c r="V538" s="117"/>
      <c r="X538" s="117"/>
      <c r="Y538" s="10"/>
      <c r="Z538" s="11"/>
      <c r="AA538" s="36"/>
      <c r="AB538" s="36"/>
      <c r="AC538" s="13"/>
      <c r="AD538" s="13"/>
      <c r="AE538" s="37"/>
      <c r="AF538" s="37"/>
      <c r="AG538" s="14"/>
      <c r="AH538" s="14"/>
      <c r="AI538" s="14"/>
      <c r="AZ538" s="24"/>
    </row>
    <row r="539">
      <c r="B539" s="24"/>
      <c r="E539" s="113"/>
      <c r="F539" s="266"/>
      <c r="G539" s="113"/>
      <c r="K539" s="36"/>
      <c r="L539" s="117"/>
      <c r="N539" s="117"/>
      <c r="R539" s="117"/>
      <c r="T539" s="117"/>
      <c r="V539" s="117"/>
      <c r="X539" s="117"/>
      <c r="Y539" s="10"/>
      <c r="Z539" s="11"/>
      <c r="AA539" s="36"/>
      <c r="AB539" s="36"/>
      <c r="AC539" s="13"/>
      <c r="AD539" s="13"/>
      <c r="AE539" s="37"/>
      <c r="AF539" s="37"/>
      <c r="AG539" s="14"/>
      <c r="AH539" s="14"/>
      <c r="AI539" s="14"/>
      <c r="AZ539" s="24"/>
    </row>
    <row r="540">
      <c r="B540" s="24"/>
      <c r="E540" s="113"/>
      <c r="F540" s="266"/>
      <c r="G540" s="113"/>
      <c r="K540" s="36"/>
      <c r="L540" s="117"/>
      <c r="N540" s="117"/>
      <c r="R540" s="117"/>
      <c r="T540" s="117"/>
      <c r="V540" s="117"/>
      <c r="X540" s="117"/>
      <c r="Y540" s="10"/>
      <c r="Z540" s="11"/>
      <c r="AA540" s="36"/>
      <c r="AB540" s="36"/>
      <c r="AC540" s="13"/>
      <c r="AD540" s="13"/>
      <c r="AE540" s="37"/>
      <c r="AF540" s="37"/>
      <c r="AG540" s="14"/>
      <c r="AH540" s="14"/>
      <c r="AI540" s="14"/>
      <c r="AZ540" s="24"/>
    </row>
    <row r="541">
      <c r="B541" s="24"/>
      <c r="E541" s="113"/>
      <c r="F541" s="266"/>
      <c r="G541" s="113"/>
      <c r="K541" s="36"/>
      <c r="L541" s="117"/>
      <c r="N541" s="117"/>
      <c r="R541" s="117"/>
      <c r="T541" s="117"/>
      <c r="V541" s="117"/>
      <c r="X541" s="117"/>
      <c r="Y541" s="10"/>
      <c r="Z541" s="11"/>
      <c r="AA541" s="36"/>
      <c r="AB541" s="36"/>
      <c r="AC541" s="13"/>
      <c r="AD541" s="13"/>
      <c r="AE541" s="37"/>
      <c r="AF541" s="37"/>
      <c r="AG541" s="14"/>
      <c r="AH541" s="14"/>
      <c r="AI541" s="14"/>
      <c r="AZ541" s="24"/>
    </row>
    <row r="542">
      <c r="B542" s="24"/>
      <c r="E542" s="113"/>
      <c r="F542" s="266"/>
      <c r="G542" s="113"/>
      <c r="K542" s="36"/>
      <c r="L542" s="117"/>
      <c r="N542" s="117"/>
      <c r="R542" s="117"/>
      <c r="T542" s="117"/>
      <c r="V542" s="117"/>
      <c r="X542" s="117"/>
      <c r="Y542" s="10"/>
      <c r="Z542" s="11"/>
      <c r="AA542" s="36"/>
      <c r="AB542" s="36"/>
      <c r="AC542" s="13"/>
      <c r="AD542" s="13"/>
      <c r="AE542" s="37"/>
      <c r="AF542" s="37"/>
      <c r="AG542" s="14"/>
      <c r="AH542" s="14"/>
      <c r="AI542" s="14"/>
      <c r="AZ542" s="24"/>
    </row>
    <row r="543">
      <c r="B543" s="24"/>
      <c r="E543" s="113"/>
      <c r="F543" s="266"/>
      <c r="G543" s="113"/>
      <c r="K543" s="36"/>
      <c r="L543" s="117"/>
      <c r="N543" s="117"/>
      <c r="R543" s="117"/>
      <c r="T543" s="117"/>
      <c r="V543" s="117"/>
      <c r="X543" s="117"/>
      <c r="Y543" s="10"/>
      <c r="Z543" s="11"/>
      <c r="AA543" s="36"/>
      <c r="AB543" s="36"/>
      <c r="AC543" s="13"/>
      <c r="AD543" s="13"/>
      <c r="AE543" s="37"/>
      <c r="AF543" s="37"/>
      <c r="AG543" s="14"/>
      <c r="AH543" s="14"/>
      <c r="AI543" s="14"/>
      <c r="AZ543" s="24"/>
    </row>
    <row r="544">
      <c r="B544" s="24"/>
      <c r="E544" s="113"/>
      <c r="F544" s="266"/>
      <c r="G544" s="113"/>
      <c r="K544" s="36"/>
      <c r="L544" s="117"/>
      <c r="N544" s="117"/>
      <c r="R544" s="117"/>
      <c r="T544" s="117"/>
      <c r="V544" s="117"/>
      <c r="X544" s="117"/>
      <c r="Y544" s="10"/>
      <c r="Z544" s="11"/>
      <c r="AA544" s="36"/>
      <c r="AB544" s="36"/>
      <c r="AC544" s="13"/>
      <c r="AD544" s="13"/>
      <c r="AE544" s="37"/>
      <c r="AF544" s="37"/>
      <c r="AG544" s="14"/>
      <c r="AH544" s="14"/>
      <c r="AI544" s="14"/>
      <c r="AZ544" s="24"/>
    </row>
    <row r="545">
      <c r="B545" s="24"/>
      <c r="E545" s="113"/>
      <c r="F545" s="266"/>
      <c r="G545" s="113"/>
      <c r="K545" s="36"/>
      <c r="L545" s="117"/>
      <c r="N545" s="117"/>
      <c r="R545" s="117"/>
      <c r="T545" s="117"/>
      <c r="V545" s="117"/>
      <c r="X545" s="117"/>
      <c r="Y545" s="10"/>
      <c r="Z545" s="11"/>
      <c r="AA545" s="36"/>
      <c r="AB545" s="36"/>
      <c r="AC545" s="13"/>
      <c r="AD545" s="13"/>
      <c r="AE545" s="37"/>
      <c r="AF545" s="37"/>
      <c r="AG545" s="14"/>
      <c r="AH545" s="14"/>
      <c r="AI545" s="14"/>
      <c r="AZ545" s="24"/>
    </row>
    <row r="546">
      <c r="B546" s="24"/>
      <c r="E546" s="113"/>
      <c r="F546" s="266"/>
      <c r="G546" s="113"/>
      <c r="K546" s="36"/>
      <c r="L546" s="117"/>
      <c r="N546" s="117"/>
      <c r="R546" s="117"/>
      <c r="T546" s="117"/>
      <c r="V546" s="117"/>
      <c r="X546" s="117"/>
      <c r="Y546" s="10"/>
      <c r="Z546" s="11"/>
      <c r="AA546" s="36"/>
      <c r="AB546" s="36"/>
      <c r="AC546" s="13"/>
      <c r="AD546" s="13"/>
      <c r="AE546" s="37"/>
      <c r="AF546" s="37"/>
      <c r="AG546" s="14"/>
      <c r="AH546" s="14"/>
      <c r="AI546" s="14"/>
      <c r="AZ546" s="24"/>
    </row>
    <row r="547">
      <c r="B547" s="24"/>
      <c r="E547" s="113"/>
      <c r="F547" s="266"/>
      <c r="G547" s="113"/>
      <c r="K547" s="36"/>
      <c r="L547" s="117"/>
      <c r="N547" s="117"/>
      <c r="R547" s="117"/>
      <c r="T547" s="117"/>
      <c r="V547" s="117"/>
      <c r="X547" s="117"/>
      <c r="Y547" s="10"/>
      <c r="Z547" s="11"/>
      <c r="AA547" s="36"/>
      <c r="AB547" s="36"/>
      <c r="AC547" s="13"/>
      <c r="AD547" s="13"/>
      <c r="AE547" s="37"/>
      <c r="AF547" s="37"/>
      <c r="AG547" s="14"/>
      <c r="AH547" s="14"/>
      <c r="AI547" s="14"/>
      <c r="AZ547" s="24"/>
    </row>
    <row r="548">
      <c r="B548" s="24"/>
      <c r="E548" s="113"/>
      <c r="F548" s="266"/>
      <c r="G548" s="113"/>
      <c r="K548" s="36"/>
      <c r="L548" s="117"/>
      <c r="N548" s="117"/>
      <c r="R548" s="117"/>
      <c r="T548" s="117"/>
      <c r="V548" s="117"/>
      <c r="X548" s="117"/>
      <c r="Y548" s="10"/>
      <c r="Z548" s="11"/>
      <c r="AA548" s="36"/>
      <c r="AB548" s="36"/>
      <c r="AC548" s="13"/>
      <c r="AD548" s="13"/>
      <c r="AE548" s="37"/>
      <c r="AF548" s="37"/>
      <c r="AG548" s="14"/>
      <c r="AH548" s="14"/>
      <c r="AI548" s="14"/>
      <c r="AZ548" s="24"/>
    </row>
    <row r="549">
      <c r="B549" s="24"/>
      <c r="E549" s="113"/>
      <c r="F549" s="266"/>
      <c r="G549" s="113"/>
      <c r="K549" s="36"/>
      <c r="L549" s="117"/>
      <c r="N549" s="117"/>
      <c r="R549" s="117"/>
      <c r="T549" s="117"/>
      <c r="V549" s="117"/>
      <c r="X549" s="117"/>
      <c r="Y549" s="10"/>
      <c r="Z549" s="11"/>
      <c r="AA549" s="36"/>
      <c r="AB549" s="36"/>
      <c r="AC549" s="13"/>
      <c r="AD549" s="13"/>
      <c r="AE549" s="37"/>
      <c r="AF549" s="37"/>
      <c r="AG549" s="14"/>
      <c r="AH549" s="14"/>
      <c r="AI549" s="14"/>
      <c r="AZ549" s="24"/>
    </row>
    <row r="550">
      <c r="B550" s="24"/>
      <c r="E550" s="113"/>
      <c r="F550" s="266"/>
      <c r="G550" s="113"/>
      <c r="K550" s="36"/>
      <c r="L550" s="117"/>
      <c r="N550" s="117"/>
      <c r="R550" s="117"/>
      <c r="T550" s="117"/>
      <c r="V550" s="117"/>
      <c r="X550" s="117"/>
      <c r="Y550" s="10"/>
      <c r="Z550" s="11"/>
      <c r="AA550" s="36"/>
      <c r="AB550" s="36"/>
      <c r="AC550" s="13"/>
      <c r="AD550" s="13"/>
      <c r="AE550" s="37"/>
      <c r="AF550" s="37"/>
      <c r="AG550" s="14"/>
      <c r="AH550" s="14"/>
      <c r="AI550" s="14"/>
      <c r="AZ550" s="24"/>
    </row>
    <row r="551">
      <c r="B551" s="24"/>
      <c r="E551" s="113"/>
      <c r="F551" s="266"/>
      <c r="G551" s="113"/>
      <c r="K551" s="36"/>
      <c r="L551" s="117"/>
      <c r="N551" s="117"/>
      <c r="R551" s="117"/>
      <c r="T551" s="117"/>
      <c r="V551" s="117"/>
      <c r="X551" s="117"/>
      <c r="Y551" s="10"/>
      <c r="Z551" s="11"/>
      <c r="AA551" s="36"/>
      <c r="AB551" s="36"/>
      <c r="AC551" s="13"/>
      <c r="AD551" s="13"/>
      <c r="AE551" s="37"/>
      <c r="AF551" s="37"/>
      <c r="AG551" s="14"/>
      <c r="AH551" s="14"/>
      <c r="AI551" s="14"/>
      <c r="AZ551" s="24"/>
    </row>
    <row r="552">
      <c r="B552" s="24"/>
      <c r="E552" s="113"/>
      <c r="F552" s="266"/>
      <c r="G552" s="113"/>
      <c r="K552" s="36"/>
      <c r="L552" s="117"/>
      <c r="N552" s="117"/>
      <c r="R552" s="117"/>
      <c r="T552" s="117"/>
      <c r="V552" s="117"/>
      <c r="X552" s="117"/>
      <c r="Y552" s="10"/>
      <c r="Z552" s="11"/>
      <c r="AA552" s="36"/>
      <c r="AB552" s="36"/>
      <c r="AC552" s="13"/>
      <c r="AD552" s="13"/>
      <c r="AE552" s="37"/>
      <c r="AF552" s="37"/>
      <c r="AG552" s="14"/>
      <c r="AH552" s="14"/>
      <c r="AI552" s="14"/>
      <c r="AZ552" s="24"/>
    </row>
    <row r="553">
      <c r="B553" s="24"/>
      <c r="E553" s="113"/>
      <c r="F553" s="266"/>
      <c r="G553" s="113"/>
      <c r="K553" s="36"/>
      <c r="L553" s="117"/>
      <c r="N553" s="117"/>
      <c r="R553" s="117"/>
      <c r="T553" s="117"/>
      <c r="V553" s="117"/>
      <c r="X553" s="117"/>
      <c r="Y553" s="10"/>
      <c r="Z553" s="11"/>
      <c r="AA553" s="36"/>
      <c r="AB553" s="36"/>
      <c r="AC553" s="13"/>
      <c r="AD553" s="13"/>
      <c r="AE553" s="37"/>
      <c r="AF553" s="37"/>
      <c r="AG553" s="14"/>
      <c r="AH553" s="14"/>
      <c r="AI553" s="14"/>
      <c r="AZ553" s="24"/>
    </row>
    <row r="554">
      <c r="B554" s="24"/>
      <c r="E554" s="113"/>
      <c r="F554" s="266"/>
      <c r="G554" s="113"/>
      <c r="K554" s="36"/>
      <c r="L554" s="117"/>
      <c r="N554" s="117"/>
      <c r="R554" s="117"/>
      <c r="T554" s="117"/>
      <c r="V554" s="117"/>
      <c r="X554" s="117"/>
      <c r="Y554" s="10"/>
      <c r="Z554" s="11"/>
      <c r="AA554" s="36"/>
      <c r="AB554" s="36"/>
      <c r="AC554" s="13"/>
      <c r="AD554" s="13"/>
      <c r="AE554" s="37"/>
      <c r="AF554" s="37"/>
      <c r="AG554" s="14"/>
      <c r="AH554" s="14"/>
      <c r="AI554" s="14"/>
      <c r="AZ554" s="24"/>
    </row>
    <row r="555">
      <c r="B555" s="24"/>
      <c r="E555" s="113"/>
      <c r="F555" s="266"/>
      <c r="G555" s="113"/>
      <c r="K555" s="36"/>
      <c r="L555" s="117"/>
      <c r="N555" s="117"/>
      <c r="R555" s="117"/>
      <c r="T555" s="117"/>
      <c r="V555" s="117"/>
      <c r="X555" s="117"/>
      <c r="Y555" s="10"/>
      <c r="Z555" s="11"/>
      <c r="AA555" s="36"/>
      <c r="AB555" s="36"/>
      <c r="AC555" s="13"/>
      <c r="AD555" s="13"/>
      <c r="AE555" s="37"/>
      <c r="AF555" s="37"/>
      <c r="AG555" s="14"/>
      <c r="AH555" s="14"/>
      <c r="AI555" s="14"/>
      <c r="AZ555" s="24"/>
    </row>
    <row r="556">
      <c r="B556" s="24"/>
      <c r="E556" s="113"/>
      <c r="F556" s="266"/>
      <c r="G556" s="113"/>
      <c r="K556" s="36"/>
      <c r="L556" s="117"/>
      <c r="N556" s="117"/>
      <c r="R556" s="117"/>
      <c r="T556" s="117"/>
      <c r="V556" s="117"/>
      <c r="X556" s="117"/>
      <c r="Y556" s="10"/>
      <c r="Z556" s="11"/>
      <c r="AA556" s="36"/>
      <c r="AB556" s="36"/>
      <c r="AC556" s="13"/>
      <c r="AD556" s="13"/>
      <c r="AE556" s="37"/>
      <c r="AF556" s="37"/>
      <c r="AG556" s="14"/>
      <c r="AH556" s="14"/>
      <c r="AI556" s="14"/>
      <c r="AZ556" s="24"/>
    </row>
    <row r="557">
      <c r="B557" s="24"/>
      <c r="E557" s="113"/>
      <c r="F557" s="266"/>
      <c r="G557" s="113"/>
      <c r="K557" s="36"/>
      <c r="L557" s="117"/>
      <c r="N557" s="117"/>
      <c r="R557" s="117"/>
      <c r="T557" s="117"/>
      <c r="V557" s="117"/>
      <c r="X557" s="117"/>
      <c r="Y557" s="10"/>
      <c r="Z557" s="11"/>
      <c r="AA557" s="36"/>
      <c r="AB557" s="36"/>
      <c r="AC557" s="13"/>
      <c r="AD557" s="13"/>
      <c r="AE557" s="37"/>
      <c r="AF557" s="37"/>
      <c r="AG557" s="14"/>
      <c r="AH557" s="14"/>
      <c r="AI557" s="14"/>
      <c r="AZ557" s="24"/>
    </row>
    <row r="558">
      <c r="B558" s="24"/>
      <c r="E558" s="113"/>
      <c r="F558" s="266"/>
      <c r="G558" s="113"/>
      <c r="K558" s="36"/>
      <c r="L558" s="117"/>
      <c r="N558" s="117"/>
      <c r="R558" s="117"/>
      <c r="T558" s="117"/>
      <c r="V558" s="117"/>
      <c r="X558" s="117"/>
      <c r="Y558" s="10"/>
      <c r="Z558" s="11"/>
      <c r="AA558" s="36"/>
      <c r="AB558" s="36"/>
      <c r="AC558" s="13"/>
      <c r="AD558" s="13"/>
      <c r="AE558" s="37"/>
      <c r="AF558" s="37"/>
      <c r="AG558" s="14"/>
      <c r="AH558" s="14"/>
      <c r="AI558" s="14"/>
      <c r="AZ558" s="24"/>
    </row>
    <row r="559">
      <c r="B559" s="24"/>
      <c r="E559" s="113"/>
      <c r="F559" s="266"/>
      <c r="G559" s="113"/>
      <c r="K559" s="36"/>
      <c r="L559" s="117"/>
      <c r="N559" s="117"/>
      <c r="R559" s="117"/>
      <c r="T559" s="117"/>
      <c r="V559" s="117"/>
      <c r="X559" s="117"/>
      <c r="Y559" s="10"/>
      <c r="Z559" s="11"/>
      <c r="AA559" s="36"/>
      <c r="AB559" s="36"/>
      <c r="AC559" s="13"/>
      <c r="AD559" s="13"/>
      <c r="AE559" s="37"/>
      <c r="AF559" s="37"/>
      <c r="AG559" s="14"/>
      <c r="AH559" s="14"/>
      <c r="AI559" s="14"/>
      <c r="AZ559" s="24"/>
    </row>
    <row r="560">
      <c r="B560" s="24"/>
      <c r="E560" s="113"/>
      <c r="F560" s="266"/>
      <c r="G560" s="113"/>
      <c r="K560" s="36"/>
      <c r="L560" s="117"/>
      <c r="N560" s="117"/>
      <c r="R560" s="117"/>
      <c r="T560" s="117"/>
      <c r="V560" s="117"/>
      <c r="X560" s="117"/>
      <c r="Y560" s="10"/>
      <c r="Z560" s="11"/>
      <c r="AA560" s="36"/>
      <c r="AB560" s="36"/>
      <c r="AC560" s="13"/>
      <c r="AD560" s="13"/>
      <c r="AE560" s="37"/>
      <c r="AF560" s="37"/>
      <c r="AG560" s="14"/>
      <c r="AH560" s="14"/>
      <c r="AI560" s="14"/>
      <c r="AZ560" s="24"/>
    </row>
    <row r="561">
      <c r="B561" s="24"/>
      <c r="E561" s="113"/>
      <c r="F561" s="266"/>
      <c r="G561" s="113"/>
      <c r="K561" s="36"/>
      <c r="L561" s="117"/>
      <c r="N561" s="117"/>
      <c r="R561" s="117"/>
      <c r="T561" s="117"/>
      <c r="V561" s="117"/>
      <c r="X561" s="117"/>
      <c r="Y561" s="10"/>
      <c r="Z561" s="11"/>
      <c r="AA561" s="36"/>
      <c r="AB561" s="36"/>
      <c r="AC561" s="13"/>
      <c r="AD561" s="13"/>
      <c r="AE561" s="37"/>
      <c r="AF561" s="37"/>
      <c r="AG561" s="14"/>
      <c r="AH561" s="14"/>
      <c r="AI561" s="14"/>
      <c r="AZ561" s="24"/>
    </row>
    <row r="562">
      <c r="B562" s="24"/>
      <c r="E562" s="113"/>
      <c r="F562" s="266"/>
      <c r="G562" s="113"/>
      <c r="K562" s="36"/>
      <c r="L562" s="117"/>
      <c r="N562" s="117"/>
      <c r="R562" s="117"/>
      <c r="T562" s="117"/>
      <c r="V562" s="117"/>
      <c r="X562" s="117"/>
      <c r="Y562" s="10"/>
      <c r="Z562" s="11"/>
      <c r="AA562" s="36"/>
      <c r="AB562" s="36"/>
      <c r="AC562" s="13"/>
      <c r="AD562" s="13"/>
      <c r="AE562" s="37"/>
      <c r="AF562" s="37"/>
      <c r="AG562" s="14"/>
      <c r="AH562" s="14"/>
      <c r="AI562" s="14"/>
      <c r="AZ562" s="24"/>
    </row>
    <row r="563">
      <c r="B563" s="24"/>
      <c r="E563" s="113"/>
      <c r="F563" s="266"/>
      <c r="G563" s="113"/>
      <c r="K563" s="36"/>
      <c r="L563" s="117"/>
      <c r="N563" s="117"/>
      <c r="R563" s="117"/>
      <c r="T563" s="117"/>
      <c r="V563" s="117"/>
      <c r="X563" s="117"/>
      <c r="Y563" s="10"/>
      <c r="Z563" s="11"/>
      <c r="AA563" s="36"/>
      <c r="AB563" s="36"/>
      <c r="AC563" s="13"/>
      <c r="AD563" s="13"/>
      <c r="AE563" s="37"/>
      <c r="AF563" s="37"/>
      <c r="AG563" s="14"/>
      <c r="AH563" s="14"/>
      <c r="AI563" s="14"/>
      <c r="AZ563" s="24"/>
    </row>
    <row r="564">
      <c r="B564" s="24"/>
      <c r="E564" s="113"/>
      <c r="F564" s="266"/>
      <c r="G564" s="113"/>
      <c r="K564" s="36"/>
      <c r="L564" s="117"/>
      <c r="N564" s="117"/>
      <c r="R564" s="117"/>
      <c r="T564" s="117"/>
      <c r="V564" s="117"/>
      <c r="X564" s="117"/>
      <c r="Y564" s="10"/>
      <c r="Z564" s="11"/>
      <c r="AA564" s="36"/>
      <c r="AB564" s="36"/>
      <c r="AC564" s="13"/>
      <c r="AD564" s="13"/>
      <c r="AE564" s="37"/>
      <c r="AF564" s="37"/>
      <c r="AG564" s="14"/>
      <c r="AH564" s="14"/>
      <c r="AI564" s="14"/>
      <c r="AZ564" s="24"/>
    </row>
    <row r="565">
      <c r="B565" s="24"/>
      <c r="E565" s="113"/>
      <c r="F565" s="266"/>
      <c r="G565" s="113"/>
      <c r="K565" s="36"/>
      <c r="L565" s="117"/>
      <c r="N565" s="117"/>
      <c r="R565" s="117"/>
      <c r="T565" s="117"/>
      <c r="V565" s="117"/>
      <c r="X565" s="117"/>
      <c r="Y565" s="10"/>
      <c r="Z565" s="11"/>
      <c r="AA565" s="36"/>
      <c r="AB565" s="36"/>
      <c r="AC565" s="13"/>
      <c r="AD565" s="13"/>
      <c r="AE565" s="37"/>
      <c r="AF565" s="37"/>
      <c r="AG565" s="14"/>
      <c r="AH565" s="14"/>
      <c r="AI565" s="14"/>
      <c r="AZ565" s="24"/>
    </row>
    <row r="566">
      <c r="B566" s="24"/>
      <c r="E566" s="113"/>
      <c r="F566" s="266"/>
      <c r="G566" s="113"/>
      <c r="K566" s="36"/>
      <c r="L566" s="117"/>
      <c r="N566" s="117"/>
      <c r="R566" s="117"/>
      <c r="T566" s="117"/>
      <c r="V566" s="117"/>
      <c r="X566" s="117"/>
      <c r="Y566" s="10"/>
      <c r="Z566" s="11"/>
      <c r="AA566" s="36"/>
      <c r="AB566" s="36"/>
      <c r="AC566" s="13"/>
      <c r="AD566" s="13"/>
      <c r="AE566" s="37"/>
      <c r="AF566" s="37"/>
      <c r="AG566" s="14"/>
      <c r="AH566" s="14"/>
      <c r="AI566" s="14"/>
      <c r="AZ566" s="24"/>
    </row>
    <row r="567">
      <c r="B567" s="24"/>
      <c r="E567" s="113"/>
      <c r="F567" s="266"/>
      <c r="G567" s="113"/>
      <c r="K567" s="36"/>
      <c r="L567" s="117"/>
      <c r="N567" s="117"/>
      <c r="R567" s="117"/>
      <c r="T567" s="117"/>
      <c r="V567" s="117"/>
      <c r="X567" s="117"/>
      <c r="Y567" s="10"/>
      <c r="Z567" s="11"/>
      <c r="AA567" s="36"/>
      <c r="AB567" s="36"/>
      <c r="AC567" s="13"/>
      <c r="AD567" s="13"/>
      <c r="AE567" s="37"/>
      <c r="AF567" s="37"/>
      <c r="AG567" s="14"/>
      <c r="AH567" s="14"/>
      <c r="AI567" s="14"/>
      <c r="AZ567" s="24"/>
    </row>
    <row r="568">
      <c r="B568" s="24"/>
      <c r="E568" s="113"/>
      <c r="F568" s="266"/>
      <c r="G568" s="113"/>
      <c r="K568" s="36"/>
      <c r="L568" s="117"/>
      <c r="N568" s="117"/>
      <c r="R568" s="117"/>
      <c r="T568" s="117"/>
      <c r="V568" s="117"/>
      <c r="X568" s="117"/>
      <c r="Y568" s="10"/>
      <c r="Z568" s="11"/>
      <c r="AA568" s="36"/>
      <c r="AB568" s="36"/>
      <c r="AC568" s="13"/>
      <c r="AD568" s="13"/>
      <c r="AE568" s="37"/>
      <c r="AF568" s="37"/>
      <c r="AG568" s="14"/>
      <c r="AH568" s="14"/>
      <c r="AI568" s="14"/>
      <c r="AZ568" s="24"/>
    </row>
    <row r="569">
      <c r="B569" s="24"/>
      <c r="E569" s="113"/>
      <c r="F569" s="266"/>
      <c r="G569" s="113"/>
      <c r="K569" s="36"/>
      <c r="L569" s="117"/>
      <c r="N569" s="117"/>
      <c r="R569" s="117"/>
      <c r="T569" s="117"/>
      <c r="V569" s="117"/>
      <c r="X569" s="117"/>
      <c r="Y569" s="10"/>
      <c r="Z569" s="11"/>
      <c r="AA569" s="36"/>
      <c r="AB569" s="36"/>
      <c r="AC569" s="13"/>
      <c r="AD569" s="13"/>
      <c r="AE569" s="37"/>
      <c r="AF569" s="37"/>
      <c r="AG569" s="14"/>
      <c r="AH569" s="14"/>
      <c r="AI569" s="14"/>
      <c r="AZ569" s="24"/>
    </row>
    <row r="570">
      <c r="B570" s="24"/>
      <c r="E570" s="113"/>
      <c r="F570" s="266"/>
      <c r="G570" s="113"/>
      <c r="K570" s="36"/>
      <c r="L570" s="117"/>
      <c r="N570" s="117"/>
      <c r="R570" s="117"/>
      <c r="T570" s="117"/>
      <c r="V570" s="117"/>
      <c r="X570" s="117"/>
      <c r="Y570" s="10"/>
      <c r="Z570" s="11"/>
      <c r="AA570" s="36"/>
      <c r="AB570" s="36"/>
      <c r="AC570" s="13"/>
      <c r="AD570" s="13"/>
      <c r="AE570" s="37"/>
      <c r="AF570" s="37"/>
      <c r="AG570" s="14"/>
      <c r="AH570" s="14"/>
      <c r="AI570" s="14"/>
      <c r="AZ570" s="24"/>
    </row>
    <row r="571">
      <c r="B571" s="24"/>
      <c r="E571" s="113"/>
      <c r="F571" s="266"/>
      <c r="G571" s="113"/>
      <c r="K571" s="36"/>
      <c r="L571" s="117"/>
      <c r="N571" s="117"/>
      <c r="R571" s="117"/>
      <c r="T571" s="117"/>
      <c r="V571" s="117"/>
      <c r="X571" s="117"/>
      <c r="Y571" s="10"/>
      <c r="Z571" s="11"/>
      <c r="AA571" s="36"/>
      <c r="AB571" s="36"/>
      <c r="AC571" s="13"/>
      <c r="AD571" s="13"/>
      <c r="AE571" s="37"/>
      <c r="AF571" s="37"/>
      <c r="AG571" s="14"/>
      <c r="AH571" s="14"/>
      <c r="AI571" s="14"/>
      <c r="AZ571" s="24"/>
    </row>
    <row r="572">
      <c r="B572" s="24"/>
      <c r="E572" s="113"/>
      <c r="F572" s="266"/>
      <c r="G572" s="113"/>
      <c r="K572" s="36"/>
      <c r="L572" s="117"/>
      <c r="N572" s="117"/>
      <c r="R572" s="117"/>
      <c r="T572" s="117"/>
      <c r="V572" s="117"/>
      <c r="X572" s="117"/>
      <c r="Y572" s="10"/>
      <c r="Z572" s="11"/>
      <c r="AA572" s="36"/>
      <c r="AB572" s="36"/>
      <c r="AC572" s="13"/>
      <c r="AD572" s="13"/>
      <c r="AE572" s="37"/>
      <c r="AF572" s="37"/>
      <c r="AG572" s="14"/>
      <c r="AH572" s="14"/>
      <c r="AI572" s="14"/>
      <c r="AZ572" s="24"/>
    </row>
    <row r="573">
      <c r="B573" s="24"/>
      <c r="E573" s="113"/>
      <c r="F573" s="266"/>
      <c r="G573" s="113"/>
      <c r="K573" s="36"/>
      <c r="L573" s="117"/>
      <c r="N573" s="117"/>
      <c r="R573" s="117"/>
      <c r="T573" s="117"/>
      <c r="V573" s="117"/>
      <c r="X573" s="117"/>
      <c r="Y573" s="10"/>
      <c r="Z573" s="11"/>
      <c r="AA573" s="36"/>
      <c r="AB573" s="36"/>
      <c r="AC573" s="13"/>
      <c r="AD573" s="13"/>
      <c r="AE573" s="37"/>
      <c r="AF573" s="37"/>
      <c r="AG573" s="14"/>
      <c r="AH573" s="14"/>
      <c r="AI573" s="14"/>
      <c r="AZ573" s="24"/>
    </row>
    <row r="574">
      <c r="B574" s="24"/>
      <c r="E574" s="113"/>
      <c r="F574" s="266"/>
      <c r="G574" s="113"/>
      <c r="K574" s="36"/>
      <c r="L574" s="117"/>
      <c r="N574" s="117"/>
      <c r="R574" s="117"/>
      <c r="T574" s="117"/>
      <c r="V574" s="117"/>
      <c r="X574" s="117"/>
      <c r="Y574" s="10"/>
      <c r="Z574" s="11"/>
      <c r="AA574" s="36"/>
      <c r="AB574" s="36"/>
      <c r="AC574" s="13"/>
      <c r="AD574" s="13"/>
      <c r="AE574" s="37"/>
      <c r="AF574" s="37"/>
      <c r="AG574" s="14"/>
      <c r="AH574" s="14"/>
      <c r="AI574" s="14"/>
      <c r="AZ574" s="24"/>
    </row>
    <row r="575">
      <c r="B575" s="24"/>
      <c r="E575" s="113"/>
      <c r="F575" s="266"/>
      <c r="G575" s="113"/>
      <c r="K575" s="36"/>
      <c r="L575" s="117"/>
      <c r="N575" s="117"/>
      <c r="R575" s="117"/>
      <c r="T575" s="117"/>
      <c r="V575" s="117"/>
      <c r="X575" s="117"/>
      <c r="Y575" s="10"/>
      <c r="Z575" s="11"/>
      <c r="AA575" s="36"/>
      <c r="AB575" s="36"/>
      <c r="AC575" s="13"/>
      <c r="AD575" s="13"/>
      <c r="AE575" s="37"/>
      <c r="AF575" s="37"/>
      <c r="AG575" s="14"/>
      <c r="AH575" s="14"/>
      <c r="AI575" s="14"/>
      <c r="AZ575" s="24"/>
    </row>
    <row r="576">
      <c r="B576" s="24"/>
      <c r="E576" s="113"/>
      <c r="F576" s="266"/>
      <c r="G576" s="113"/>
      <c r="K576" s="36"/>
      <c r="L576" s="117"/>
      <c r="N576" s="117"/>
      <c r="R576" s="117"/>
      <c r="T576" s="117"/>
      <c r="V576" s="117"/>
      <c r="X576" s="117"/>
      <c r="Y576" s="10"/>
      <c r="Z576" s="11"/>
      <c r="AA576" s="36"/>
      <c r="AB576" s="36"/>
      <c r="AC576" s="13"/>
      <c r="AD576" s="13"/>
      <c r="AE576" s="37"/>
      <c r="AF576" s="37"/>
      <c r="AG576" s="14"/>
      <c r="AH576" s="14"/>
      <c r="AI576" s="14"/>
      <c r="AZ576" s="24"/>
    </row>
    <row r="577">
      <c r="B577" s="24"/>
      <c r="E577" s="113"/>
      <c r="F577" s="266"/>
      <c r="G577" s="113"/>
      <c r="K577" s="36"/>
      <c r="L577" s="117"/>
      <c r="N577" s="117"/>
      <c r="R577" s="117"/>
      <c r="T577" s="117"/>
      <c r="V577" s="117"/>
      <c r="X577" s="117"/>
      <c r="Y577" s="10"/>
      <c r="Z577" s="11"/>
      <c r="AA577" s="36"/>
      <c r="AB577" s="36"/>
      <c r="AC577" s="13"/>
      <c r="AD577" s="13"/>
      <c r="AE577" s="37"/>
      <c r="AF577" s="37"/>
      <c r="AG577" s="14"/>
      <c r="AH577" s="14"/>
      <c r="AI577" s="14"/>
      <c r="AZ577" s="24"/>
    </row>
    <row r="578">
      <c r="B578" s="24"/>
      <c r="E578" s="113"/>
      <c r="F578" s="266"/>
      <c r="G578" s="113"/>
      <c r="K578" s="36"/>
      <c r="L578" s="117"/>
      <c r="N578" s="117"/>
      <c r="R578" s="117"/>
      <c r="T578" s="117"/>
      <c r="V578" s="117"/>
      <c r="X578" s="117"/>
      <c r="Y578" s="10"/>
      <c r="Z578" s="11"/>
      <c r="AA578" s="36"/>
      <c r="AB578" s="36"/>
      <c r="AC578" s="13"/>
      <c r="AD578" s="13"/>
      <c r="AE578" s="37"/>
      <c r="AF578" s="37"/>
      <c r="AG578" s="14"/>
      <c r="AH578" s="14"/>
      <c r="AI578" s="14"/>
      <c r="AZ578" s="24"/>
    </row>
    <row r="579">
      <c r="B579" s="24"/>
      <c r="E579" s="113"/>
      <c r="F579" s="266"/>
      <c r="G579" s="113"/>
      <c r="K579" s="36"/>
      <c r="L579" s="117"/>
      <c r="N579" s="117"/>
      <c r="R579" s="117"/>
      <c r="T579" s="117"/>
      <c r="V579" s="117"/>
      <c r="X579" s="117"/>
      <c r="Y579" s="10"/>
      <c r="Z579" s="11"/>
      <c r="AA579" s="36"/>
      <c r="AB579" s="36"/>
      <c r="AC579" s="13"/>
      <c r="AD579" s="13"/>
      <c r="AE579" s="37"/>
      <c r="AF579" s="37"/>
      <c r="AG579" s="14"/>
      <c r="AH579" s="14"/>
      <c r="AI579" s="14"/>
      <c r="AZ579" s="24"/>
    </row>
    <row r="580">
      <c r="B580" s="24"/>
      <c r="E580" s="113"/>
      <c r="F580" s="266"/>
      <c r="G580" s="113"/>
      <c r="K580" s="36"/>
      <c r="L580" s="117"/>
      <c r="N580" s="117"/>
      <c r="R580" s="117"/>
      <c r="T580" s="117"/>
      <c r="V580" s="117"/>
      <c r="X580" s="117"/>
      <c r="Y580" s="10"/>
      <c r="Z580" s="11"/>
      <c r="AA580" s="36"/>
      <c r="AB580" s="36"/>
      <c r="AC580" s="13"/>
      <c r="AD580" s="13"/>
      <c r="AE580" s="37"/>
      <c r="AF580" s="37"/>
      <c r="AG580" s="14"/>
      <c r="AH580" s="14"/>
      <c r="AI580" s="14"/>
      <c r="AZ580" s="24"/>
    </row>
    <row r="581">
      <c r="B581" s="24"/>
      <c r="E581" s="113"/>
      <c r="F581" s="266"/>
      <c r="G581" s="113"/>
      <c r="K581" s="36"/>
      <c r="L581" s="117"/>
      <c r="N581" s="117"/>
      <c r="R581" s="117"/>
      <c r="T581" s="117"/>
      <c r="V581" s="117"/>
      <c r="X581" s="117"/>
      <c r="Y581" s="10"/>
      <c r="Z581" s="11"/>
      <c r="AA581" s="36"/>
      <c r="AB581" s="36"/>
      <c r="AC581" s="13"/>
      <c r="AD581" s="13"/>
      <c r="AE581" s="37"/>
      <c r="AF581" s="37"/>
      <c r="AG581" s="14"/>
      <c r="AH581" s="14"/>
      <c r="AI581" s="14"/>
      <c r="AZ581" s="24"/>
    </row>
    <row r="582">
      <c r="B582" s="24"/>
      <c r="E582" s="113"/>
      <c r="F582" s="266"/>
      <c r="G582" s="113"/>
      <c r="K582" s="36"/>
      <c r="L582" s="117"/>
      <c r="N582" s="117"/>
      <c r="R582" s="117"/>
      <c r="T582" s="117"/>
      <c r="V582" s="117"/>
      <c r="X582" s="117"/>
      <c r="Y582" s="10"/>
      <c r="Z582" s="11"/>
      <c r="AA582" s="36"/>
      <c r="AB582" s="36"/>
      <c r="AC582" s="13"/>
      <c r="AD582" s="13"/>
      <c r="AE582" s="37"/>
      <c r="AF582" s="37"/>
      <c r="AG582" s="14"/>
      <c r="AH582" s="14"/>
      <c r="AI582" s="14"/>
      <c r="AZ582" s="24"/>
    </row>
    <row r="583">
      <c r="B583" s="24"/>
      <c r="E583" s="113"/>
      <c r="F583" s="266"/>
      <c r="G583" s="113"/>
      <c r="K583" s="36"/>
      <c r="L583" s="117"/>
      <c r="N583" s="117"/>
      <c r="R583" s="117"/>
      <c r="T583" s="117"/>
      <c r="V583" s="117"/>
      <c r="X583" s="117"/>
      <c r="Y583" s="10"/>
      <c r="Z583" s="11"/>
      <c r="AA583" s="36"/>
      <c r="AB583" s="36"/>
      <c r="AC583" s="13"/>
      <c r="AD583" s="13"/>
      <c r="AE583" s="37"/>
      <c r="AF583" s="37"/>
      <c r="AG583" s="14"/>
      <c r="AH583" s="14"/>
      <c r="AI583" s="14"/>
      <c r="AZ583" s="24"/>
    </row>
    <row r="584">
      <c r="B584" s="24"/>
      <c r="E584" s="113"/>
      <c r="F584" s="266"/>
      <c r="G584" s="113"/>
      <c r="K584" s="36"/>
      <c r="L584" s="117"/>
      <c r="N584" s="117"/>
      <c r="R584" s="117"/>
      <c r="T584" s="117"/>
      <c r="V584" s="117"/>
      <c r="X584" s="117"/>
      <c r="Y584" s="10"/>
      <c r="Z584" s="11"/>
      <c r="AA584" s="36"/>
      <c r="AB584" s="36"/>
      <c r="AC584" s="13"/>
      <c r="AD584" s="13"/>
      <c r="AE584" s="37"/>
      <c r="AF584" s="37"/>
      <c r="AG584" s="14"/>
      <c r="AH584" s="14"/>
      <c r="AI584" s="14"/>
      <c r="AZ584" s="24"/>
    </row>
    <row r="585">
      <c r="B585" s="24"/>
      <c r="E585" s="113"/>
      <c r="F585" s="266"/>
      <c r="G585" s="113"/>
      <c r="K585" s="36"/>
      <c r="L585" s="117"/>
      <c r="N585" s="117"/>
      <c r="R585" s="117"/>
      <c r="T585" s="117"/>
      <c r="V585" s="117"/>
      <c r="X585" s="117"/>
      <c r="Y585" s="10"/>
      <c r="Z585" s="11"/>
      <c r="AA585" s="36"/>
      <c r="AB585" s="36"/>
      <c r="AC585" s="13"/>
      <c r="AD585" s="13"/>
      <c r="AE585" s="37"/>
      <c r="AF585" s="37"/>
      <c r="AG585" s="14"/>
      <c r="AH585" s="14"/>
      <c r="AI585" s="14"/>
      <c r="AZ585" s="24"/>
    </row>
    <row r="586">
      <c r="B586" s="24"/>
      <c r="E586" s="113"/>
      <c r="F586" s="266"/>
      <c r="G586" s="113"/>
      <c r="K586" s="36"/>
      <c r="L586" s="117"/>
      <c r="N586" s="117"/>
      <c r="R586" s="117"/>
      <c r="T586" s="117"/>
      <c r="V586" s="117"/>
      <c r="X586" s="117"/>
      <c r="Y586" s="10"/>
      <c r="Z586" s="11"/>
      <c r="AA586" s="36"/>
      <c r="AB586" s="36"/>
      <c r="AC586" s="13"/>
      <c r="AD586" s="13"/>
      <c r="AE586" s="37"/>
      <c r="AF586" s="37"/>
      <c r="AG586" s="14"/>
      <c r="AH586" s="14"/>
      <c r="AI586" s="14"/>
      <c r="AZ586" s="24"/>
    </row>
    <row r="587">
      <c r="B587" s="24"/>
      <c r="E587" s="113"/>
      <c r="F587" s="266"/>
      <c r="G587" s="113"/>
      <c r="K587" s="36"/>
      <c r="L587" s="117"/>
      <c r="N587" s="117"/>
      <c r="R587" s="117"/>
      <c r="T587" s="117"/>
      <c r="V587" s="117"/>
      <c r="X587" s="117"/>
      <c r="Y587" s="10"/>
      <c r="Z587" s="11"/>
      <c r="AA587" s="36"/>
      <c r="AB587" s="36"/>
      <c r="AC587" s="13"/>
      <c r="AD587" s="13"/>
      <c r="AE587" s="37"/>
      <c r="AF587" s="37"/>
      <c r="AG587" s="14"/>
      <c r="AH587" s="14"/>
      <c r="AI587" s="14"/>
      <c r="AZ587" s="24"/>
    </row>
    <row r="588">
      <c r="B588" s="24"/>
      <c r="E588" s="113"/>
      <c r="F588" s="266"/>
      <c r="G588" s="113"/>
      <c r="K588" s="36"/>
      <c r="L588" s="117"/>
      <c r="N588" s="117"/>
      <c r="R588" s="117"/>
      <c r="T588" s="117"/>
      <c r="V588" s="117"/>
      <c r="X588" s="117"/>
      <c r="Y588" s="10"/>
      <c r="Z588" s="11"/>
      <c r="AA588" s="36"/>
      <c r="AB588" s="36"/>
      <c r="AC588" s="13"/>
      <c r="AD588" s="13"/>
      <c r="AE588" s="37"/>
      <c r="AF588" s="37"/>
      <c r="AG588" s="14"/>
      <c r="AH588" s="14"/>
      <c r="AI588" s="14"/>
      <c r="AZ588" s="24"/>
    </row>
    <row r="589">
      <c r="B589" s="24"/>
      <c r="E589" s="113"/>
      <c r="F589" s="266"/>
      <c r="G589" s="113"/>
      <c r="K589" s="36"/>
      <c r="L589" s="117"/>
      <c r="N589" s="117"/>
      <c r="R589" s="117"/>
      <c r="T589" s="117"/>
      <c r="V589" s="117"/>
      <c r="X589" s="117"/>
      <c r="Y589" s="10"/>
      <c r="Z589" s="11"/>
      <c r="AA589" s="36"/>
      <c r="AB589" s="36"/>
      <c r="AC589" s="13"/>
      <c r="AD589" s="13"/>
      <c r="AE589" s="37"/>
      <c r="AF589" s="37"/>
      <c r="AG589" s="14"/>
      <c r="AH589" s="14"/>
      <c r="AI589" s="14"/>
      <c r="AZ589" s="24"/>
    </row>
    <row r="590">
      <c r="B590" s="24"/>
      <c r="E590" s="113"/>
      <c r="F590" s="266"/>
      <c r="G590" s="113"/>
      <c r="K590" s="36"/>
      <c r="L590" s="117"/>
      <c r="N590" s="117"/>
      <c r="R590" s="117"/>
      <c r="T590" s="117"/>
      <c r="V590" s="117"/>
      <c r="X590" s="117"/>
      <c r="Y590" s="10"/>
      <c r="Z590" s="11"/>
      <c r="AA590" s="36"/>
      <c r="AB590" s="36"/>
      <c r="AC590" s="13"/>
      <c r="AD590" s="13"/>
      <c r="AE590" s="37"/>
      <c r="AF590" s="37"/>
      <c r="AG590" s="14"/>
      <c r="AH590" s="14"/>
      <c r="AI590" s="14"/>
      <c r="AZ590" s="24"/>
    </row>
    <row r="591">
      <c r="B591" s="24"/>
      <c r="E591" s="113"/>
      <c r="F591" s="266"/>
      <c r="G591" s="113"/>
      <c r="K591" s="36"/>
      <c r="L591" s="117"/>
      <c r="N591" s="117"/>
      <c r="R591" s="117"/>
      <c r="T591" s="117"/>
      <c r="V591" s="117"/>
      <c r="X591" s="117"/>
      <c r="Y591" s="10"/>
      <c r="Z591" s="11"/>
      <c r="AA591" s="36"/>
      <c r="AB591" s="36"/>
      <c r="AC591" s="13"/>
      <c r="AD591" s="13"/>
      <c r="AE591" s="37"/>
      <c r="AF591" s="37"/>
      <c r="AG591" s="14"/>
      <c r="AH591" s="14"/>
      <c r="AI591" s="14"/>
      <c r="AZ591" s="24"/>
    </row>
    <row r="592">
      <c r="B592" s="24"/>
      <c r="E592" s="113"/>
      <c r="F592" s="266"/>
      <c r="G592" s="113"/>
      <c r="K592" s="36"/>
      <c r="L592" s="117"/>
      <c r="N592" s="117"/>
      <c r="R592" s="117"/>
      <c r="T592" s="117"/>
      <c r="V592" s="117"/>
      <c r="X592" s="117"/>
      <c r="Y592" s="10"/>
      <c r="Z592" s="11"/>
      <c r="AA592" s="36"/>
      <c r="AB592" s="36"/>
      <c r="AC592" s="13"/>
      <c r="AD592" s="13"/>
      <c r="AE592" s="37"/>
      <c r="AF592" s="37"/>
      <c r="AG592" s="14"/>
      <c r="AH592" s="14"/>
      <c r="AI592" s="14"/>
      <c r="AZ592" s="24"/>
    </row>
    <row r="593">
      <c r="B593" s="24"/>
      <c r="E593" s="113"/>
      <c r="F593" s="266"/>
      <c r="G593" s="113"/>
      <c r="K593" s="36"/>
      <c r="L593" s="117"/>
      <c r="N593" s="117"/>
      <c r="R593" s="117"/>
      <c r="T593" s="117"/>
      <c r="V593" s="117"/>
      <c r="X593" s="117"/>
      <c r="Y593" s="10"/>
      <c r="Z593" s="11"/>
      <c r="AA593" s="36"/>
      <c r="AB593" s="36"/>
      <c r="AC593" s="13"/>
      <c r="AD593" s="13"/>
      <c r="AE593" s="37"/>
      <c r="AF593" s="37"/>
      <c r="AG593" s="14"/>
      <c r="AH593" s="14"/>
      <c r="AI593" s="14"/>
      <c r="AZ593" s="24"/>
    </row>
    <row r="594">
      <c r="B594" s="24"/>
      <c r="E594" s="113"/>
      <c r="F594" s="266"/>
      <c r="G594" s="113"/>
      <c r="K594" s="36"/>
      <c r="L594" s="117"/>
      <c r="N594" s="117"/>
      <c r="R594" s="117"/>
      <c r="T594" s="117"/>
      <c r="V594" s="117"/>
      <c r="X594" s="117"/>
      <c r="Y594" s="10"/>
      <c r="Z594" s="11"/>
      <c r="AA594" s="36"/>
      <c r="AB594" s="36"/>
      <c r="AC594" s="13"/>
      <c r="AD594" s="13"/>
      <c r="AE594" s="37"/>
      <c r="AF594" s="37"/>
      <c r="AG594" s="14"/>
      <c r="AH594" s="14"/>
      <c r="AI594" s="14"/>
      <c r="AZ594" s="24"/>
    </row>
    <row r="595">
      <c r="B595" s="24"/>
      <c r="E595" s="113"/>
      <c r="F595" s="266"/>
      <c r="G595" s="113"/>
      <c r="K595" s="36"/>
      <c r="L595" s="117"/>
      <c r="N595" s="117"/>
      <c r="R595" s="117"/>
      <c r="T595" s="117"/>
      <c r="V595" s="117"/>
      <c r="X595" s="117"/>
      <c r="Y595" s="10"/>
      <c r="Z595" s="11"/>
      <c r="AA595" s="36"/>
      <c r="AB595" s="36"/>
      <c r="AC595" s="13"/>
      <c r="AD595" s="13"/>
      <c r="AE595" s="37"/>
      <c r="AF595" s="37"/>
      <c r="AG595" s="14"/>
      <c r="AH595" s="14"/>
      <c r="AI595" s="14"/>
      <c r="AZ595" s="24"/>
    </row>
    <row r="596">
      <c r="B596" s="24"/>
      <c r="E596" s="113"/>
      <c r="F596" s="266"/>
      <c r="G596" s="113"/>
      <c r="K596" s="36"/>
      <c r="L596" s="117"/>
      <c r="N596" s="117"/>
      <c r="R596" s="117"/>
      <c r="T596" s="117"/>
      <c r="V596" s="117"/>
      <c r="X596" s="117"/>
      <c r="Y596" s="10"/>
      <c r="Z596" s="11"/>
      <c r="AA596" s="36"/>
      <c r="AB596" s="36"/>
      <c r="AC596" s="13"/>
      <c r="AD596" s="13"/>
      <c r="AE596" s="37"/>
      <c r="AF596" s="37"/>
      <c r="AG596" s="14"/>
      <c r="AH596" s="14"/>
      <c r="AI596" s="14"/>
      <c r="AZ596" s="24"/>
    </row>
    <row r="597">
      <c r="B597" s="24"/>
      <c r="E597" s="113"/>
      <c r="F597" s="266"/>
      <c r="G597" s="113"/>
      <c r="K597" s="36"/>
      <c r="L597" s="117"/>
      <c r="N597" s="117"/>
      <c r="R597" s="117"/>
      <c r="T597" s="117"/>
      <c r="V597" s="117"/>
      <c r="X597" s="117"/>
      <c r="Y597" s="10"/>
      <c r="Z597" s="11"/>
      <c r="AA597" s="36"/>
      <c r="AB597" s="36"/>
      <c r="AC597" s="13"/>
      <c r="AD597" s="13"/>
      <c r="AE597" s="37"/>
      <c r="AF597" s="37"/>
      <c r="AG597" s="14"/>
      <c r="AH597" s="14"/>
      <c r="AI597" s="14"/>
      <c r="AZ597" s="24"/>
    </row>
    <row r="598">
      <c r="B598" s="24"/>
      <c r="E598" s="113"/>
      <c r="F598" s="266"/>
      <c r="G598" s="113"/>
      <c r="K598" s="36"/>
      <c r="L598" s="117"/>
      <c r="N598" s="117"/>
      <c r="R598" s="117"/>
      <c r="T598" s="117"/>
      <c r="V598" s="117"/>
      <c r="X598" s="117"/>
      <c r="Y598" s="10"/>
      <c r="Z598" s="11"/>
      <c r="AA598" s="36"/>
      <c r="AB598" s="36"/>
      <c r="AC598" s="13"/>
      <c r="AD598" s="13"/>
      <c r="AE598" s="37"/>
      <c r="AF598" s="37"/>
      <c r="AG598" s="14"/>
      <c r="AH598" s="14"/>
      <c r="AI598" s="14"/>
      <c r="AZ598" s="24"/>
    </row>
    <row r="599">
      <c r="B599" s="24"/>
      <c r="E599" s="113"/>
      <c r="F599" s="266"/>
      <c r="G599" s="113"/>
      <c r="K599" s="36"/>
      <c r="L599" s="117"/>
      <c r="N599" s="117"/>
      <c r="R599" s="117"/>
      <c r="T599" s="117"/>
      <c r="V599" s="117"/>
      <c r="X599" s="117"/>
      <c r="Y599" s="10"/>
      <c r="Z599" s="11"/>
      <c r="AA599" s="36"/>
      <c r="AB599" s="36"/>
      <c r="AC599" s="13"/>
      <c r="AD599" s="13"/>
      <c r="AE599" s="37"/>
      <c r="AF599" s="37"/>
      <c r="AG599" s="14"/>
      <c r="AH599" s="14"/>
      <c r="AI599" s="14"/>
      <c r="AZ599" s="24"/>
    </row>
    <row r="600">
      <c r="B600" s="24"/>
      <c r="E600" s="113"/>
      <c r="F600" s="266"/>
      <c r="G600" s="113"/>
      <c r="K600" s="36"/>
      <c r="L600" s="117"/>
      <c r="N600" s="117"/>
      <c r="R600" s="117"/>
      <c r="T600" s="117"/>
      <c r="V600" s="117"/>
      <c r="X600" s="117"/>
      <c r="Y600" s="10"/>
      <c r="Z600" s="11"/>
      <c r="AA600" s="36"/>
      <c r="AB600" s="36"/>
      <c r="AC600" s="13"/>
      <c r="AD600" s="13"/>
      <c r="AE600" s="37"/>
      <c r="AF600" s="37"/>
      <c r="AG600" s="14"/>
      <c r="AH600" s="14"/>
      <c r="AI600" s="14"/>
      <c r="AZ600" s="24"/>
    </row>
    <row r="601">
      <c r="B601" s="24"/>
      <c r="E601" s="113"/>
      <c r="F601" s="266"/>
      <c r="G601" s="113"/>
      <c r="K601" s="36"/>
      <c r="L601" s="117"/>
      <c r="N601" s="117"/>
      <c r="R601" s="117"/>
      <c r="T601" s="117"/>
      <c r="V601" s="117"/>
      <c r="X601" s="117"/>
      <c r="Y601" s="10"/>
      <c r="Z601" s="11"/>
      <c r="AA601" s="36"/>
      <c r="AB601" s="36"/>
      <c r="AC601" s="13"/>
      <c r="AD601" s="13"/>
      <c r="AE601" s="37"/>
      <c r="AF601" s="37"/>
      <c r="AG601" s="14"/>
      <c r="AH601" s="14"/>
      <c r="AI601" s="14"/>
      <c r="AZ601" s="24"/>
    </row>
    <row r="602">
      <c r="B602" s="24"/>
      <c r="E602" s="113"/>
      <c r="F602" s="266"/>
      <c r="G602" s="113"/>
      <c r="K602" s="36"/>
      <c r="L602" s="117"/>
      <c r="N602" s="117"/>
      <c r="R602" s="117"/>
      <c r="T602" s="117"/>
      <c r="V602" s="117"/>
      <c r="X602" s="117"/>
      <c r="Y602" s="10"/>
      <c r="Z602" s="11"/>
      <c r="AA602" s="36"/>
      <c r="AB602" s="36"/>
      <c r="AC602" s="13"/>
      <c r="AD602" s="13"/>
      <c r="AE602" s="37"/>
      <c r="AF602" s="37"/>
      <c r="AG602" s="14"/>
      <c r="AH602" s="14"/>
      <c r="AI602" s="14"/>
      <c r="AZ602" s="24"/>
    </row>
    <row r="603">
      <c r="B603" s="24"/>
      <c r="E603" s="113"/>
      <c r="F603" s="266"/>
      <c r="G603" s="113"/>
      <c r="K603" s="36"/>
      <c r="L603" s="117"/>
      <c r="N603" s="117"/>
      <c r="R603" s="117"/>
      <c r="T603" s="117"/>
      <c r="V603" s="117"/>
      <c r="X603" s="117"/>
      <c r="Y603" s="10"/>
      <c r="Z603" s="11"/>
      <c r="AA603" s="36"/>
      <c r="AB603" s="36"/>
      <c r="AC603" s="13"/>
      <c r="AD603" s="13"/>
      <c r="AE603" s="37"/>
      <c r="AF603" s="37"/>
      <c r="AG603" s="14"/>
      <c r="AH603" s="14"/>
      <c r="AI603" s="14"/>
      <c r="AZ603" s="24"/>
    </row>
    <row r="604">
      <c r="B604" s="24"/>
      <c r="E604" s="113"/>
      <c r="F604" s="266"/>
      <c r="G604" s="113"/>
      <c r="K604" s="36"/>
      <c r="L604" s="117"/>
      <c r="N604" s="117"/>
      <c r="R604" s="117"/>
      <c r="T604" s="117"/>
      <c r="V604" s="117"/>
      <c r="X604" s="117"/>
      <c r="Y604" s="10"/>
      <c r="Z604" s="11"/>
      <c r="AA604" s="36"/>
      <c r="AB604" s="36"/>
      <c r="AC604" s="13"/>
      <c r="AD604" s="13"/>
      <c r="AE604" s="37"/>
      <c r="AF604" s="37"/>
      <c r="AG604" s="14"/>
      <c r="AH604" s="14"/>
      <c r="AI604" s="14"/>
      <c r="AZ604" s="24"/>
    </row>
    <row r="605">
      <c r="B605" s="24"/>
      <c r="E605" s="113"/>
      <c r="F605" s="266"/>
      <c r="G605" s="113"/>
      <c r="K605" s="36"/>
      <c r="L605" s="117"/>
      <c r="N605" s="117"/>
      <c r="R605" s="117"/>
      <c r="T605" s="117"/>
      <c r="V605" s="117"/>
      <c r="X605" s="117"/>
      <c r="Y605" s="10"/>
      <c r="Z605" s="11"/>
      <c r="AA605" s="36"/>
      <c r="AB605" s="36"/>
      <c r="AC605" s="13"/>
      <c r="AD605" s="13"/>
      <c r="AE605" s="37"/>
      <c r="AF605" s="37"/>
      <c r="AG605" s="14"/>
      <c r="AH605" s="14"/>
      <c r="AI605" s="14"/>
      <c r="AZ605" s="24"/>
    </row>
    <row r="606">
      <c r="B606" s="24"/>
      <c r="E606" s="113"/>
      <c r="F606" s="266"/>
      <c r="G606" s="113"/>
      <c r="K606" s="36"/>
      <c r="L606" s="117"/>
      <c r="N606" s="117"/>
      <c r="R606" s="117"/>
      <c r="T606" s="117"/>
      <c r="V606" s="117"/>
      <c r="X606" s="117"/>
      <c r="Y606" s="10"/>
      <c r="Z606" s="11"/>
      <c r="AA606" s="36"/>
      <c r="AB606" s="36"/>
      <c r="AC606" s="13"/>
      <c r="AD606" s="13"/>
      <c r="AE606" s="37"/>
      <c r="AF606" s="37"/>
      <c r="AG606" s="14"/>
      <c r="AH606" s="14"/>
      <c r="AI606" s="14"/>
      <c r="AZ606" s="24"/>
    </row>
    <row r="607">
      <c r="B607" s="24"/>
      <c r="E607" s="113"/>
      <c r="F607" s="266"/>
      <c r="G607" s="113"/>
      <c r="K607" s="36"/>
      <c r="L607" s="117"/>
      <c r="N607" s="117"/>
      <c r="R607" s="117"/>
      <c r="T607" s="117"/>
      <c r="V607" s="117"/>
      <c r="X607" s="117"/>
      <c r="Y607" s="10"/>
      <c r="Z607" s="11"/>
      <c r="AA607" s="36"/>
      <c r="AB607" s="36"/>
      <c r="AC607" s="13"/>
      <c r="AD607" s="13"/>
      <c r="AE607" s="37"/>
      <c r="AF607" s="37"/>
      <c r="AG607" s="14"/>
      <c r="AH607" s="14"/>
      <c r="AI607" s="14"/>
      <c r="AZ607" s="24"/>
    </row>
    <row r="608">
      <c r="B608" s="24"/>
      <c r="E608" s="113"/>
      <c r="F608" s="266"/>
      <c r="G608" s="113"/>
      <c r="K608" s="36"/>
      <c r="L608" s="117"/>
      <c r="N608" s="117"/>
      <c r="R608" s="117"/>
      <c r="T608" s="117"/>
      <c r="V608" s="117"/>
      <c r="X608" s="117"/>
      <c r="Y608" s="10"/>
      <c r="Z608" s="11"/>
      <c r="AA608" s="36"/>
      <c r="AB608" s="36"/>
      <c r="AC608" s="13"/>
      <c r="AD608" s="13"/>
      <c r="AE608" s="37"/>
      <c r="AF608" s="37"/>
      <c r="AG608" s="14"/>
      <c r="AH608" s="14"/>
      <c r="AI608" s="14"/>
      <c r="AZ608" s="24"/>
    </row>
    <row r="609">
      <c r="B609" s="24"/>
      <c r="E609" s="113"/>
      <c r="F609" s="266"/>
      <c r="G609" s="113"/>
      <c r="K609" s="36"/>
      <c r="L609" s="117"/>
      <c r="N609" s="117"/>
      <c r="R609" s="117"/>
      <c r="T609" s="117"/>
      <c r="V609" s="117"/>
      <c r="X609" s="117"/>
      <c r="Y609" s="10"/>
      <c r="Z609" s="11"/>
      <c r="AA609" s="36"/>
      <c r="AB609" s="36"/>
      <c r="AC609" s="13"/>
      <c r="AD609" s="13"/>
      <c r="AE609" s="37"/>
      <c r="AF609" s="37"/>
      <c r="AG609" s="14"/>
      <c r="AH609" s="14"/>
      <c r="AI609" s="14"/>
      <c r="AZ609" s="24"/>
    </row>
    <row r="610">
      <c r="B610" s="24"/>
      <c r="E610" s="113"/>
      <c r="F610" s="266"/>
      <c r="G610" s="113"/>
      <c r="K610" s="36"/>
      <c r="L610" s="117"/>
      <c r="N610" s="117"/>
      <c r="R610" s="117"/>
      <c r="T610" s="117"/>
      <c r="V610" s="117"/>
      <c r="X610" s="117"/>
      <c r="Y610" s="10"/>
      <c r="Z610" s="11"/>
      <c r="AA610" s="36"/>
      <c r="AB610" s="36"/>
      <c r="AC610" s="13"/>
      <c r="AD610" s="13"/>
      <c r="AE610" s="37"/>
      <c r="AF610" s="37"/>
      <c r="AG610" s="14"/>
      <c r="AH610" s="14"/>
      <c r="AI610" s="14"/>
      <c r="AZ610" s="24"/>
    </row>
    <row r="611">
      <c r="B611" s="24"/>
      <c r="E611" s="113"/>
      <c r="F611" s="266"/>
      <c r="G611" s="113"/>
      <c r="K611" s="36"/>
      <c r="L611" s="117"/>
      <c r="N611" s="117"/>
      <c r="R611" s="117"/>
      <c r="T611" s="117"/>
      <c r="V611" s="117"/>
      <c r="X611" s="117"/>
      <c r="Y611" s="10"/>
      <c r="Z611" s="11"/>
      <c r="AA611" s="36"/>
      <c r="AB611" s="36"/>
      <c r="AC611" s="13"/>
      <c r="AD611" s="13"/>
      <c r="AE611" s="37"/>
      <c r="AF611" s="37"/>
      <c r="AG611" s="14"/>
      <c r="AH611" s="14"/>
      <c r="AI611" s="14"/>
      <c r="AZ611" s="24"/>
    </row>
    <row r="612">
      <c r="B612" s="24"/>
      <c r="E612" s="113"/>
      <c r="F612" s="266"/>
      <c r="G612" s="113"/>
      <c r="K612" s="36"/>
      <c r="L612" s="117"/>
      <c r="N612" s="117"/>
      <c r="R612" s="117"/>
      <c r="T612" s="117"/>
      <c r="V612" s="117"/>
      <c r="X612" s="117"/>
      <c r="Y612" s="10"/>
      <c r="Z612" s="11"/>
      <c r="AA612" s="36"/>
      <c r="AB612" s="36"/>
      <c r="AC612" s="13"/>
      <c r="AD612" s="13"/>
      <c r="AE612" s="37"/>
      <c r="AF612" s="37"/>
      <c r="AG612" s="14"/>
      <c r="AH612" s="14"/>
      <c r="AI612" s="14"/>
      <c r="AZ612" s="24"/>
    </row>
    <row r="613">
      <c r="B613" s="24"/>
      <c r="E613" s="113"/>
      <c r="F613" s="266"/>
      <c r="G613" s="113"/>
      <c r="K613" s="36"/>
      <c r="L613" s="117"/>
      <c r="N613" s="117"/>
      <c r="R613" s="117"/>
      <c r="T613" s="117"/>
      <c r="V613" s="117"/>
      <c r="X613" s="117"/>
      <c r="Y613" s="10"/>
      <c r="Z613" s="11"/>
      <c r="AA613" s="36"/>
      <c r="AB613" s="36"/>
      <c r="AC613" s="13"/>
      <c r="AD613" s="13"/>
      <c r="AE613" s="37"/>
      <c r="AF613" s="37"/>
      <c r="AG613" s="14"/>
      <c r="AH613" s="14"/>
      <c r="AI613" s="14"/>
      <c r="AZ613" s="24"/>
    </row>
    <row r="614">
      <c r="B614" s="24"/>
      <c r="E614" s="113"/>
      <c r="F614" s="266"/>
      <c r="G614" s="113"/>
      <c r="K614" s="36"/>
      <c r="L614" s="117"/>
      <c r="N614" s="117"/>
      <c r="R614" s="117"/>
      <c r="T614" s="117"/>
      <c r="V614" s="117"/>
      <c r="X614" s="117"/>
      <c r="Y614" s="10"/>
      <c r="Z614" s="11"/>
      <c r="AA614" s="36"/>
      <c r="AB614" s="36"/>
      <c r="AC614" s="13"/>
      <c r="AD614" s="13"/>
      <c r="AE614" s="37"/>
      <c r="AF614" s="37"/>
      <c r="AG614" s="14"/>
      <c r="AH614" s="14"/>
      <c r="AI614" s="14"/>
      <c r="AZ614" s="24"/>
    </row>
    <row r="615">
      <c r="B615" s="24"/>
      <c r="E615" s="113"/>
      <c r="F615" s="266"/>
      <c r="G615" s="113"/>
      <c r="K615" s="36"/>
      <c r="L615" s="117"/>
      <c r="N615" s="117"/>
      <c r="R615" s="117"/>
      <c r="T615" s="117"/>
      <c r="V615" s="117"/>
      <c r="X615" s="117"/>
      <c r="Y615" s="10"/>
      <c r="Z615" s="11"/>
      <c r="AA615" s="36"/>
      <c r="AB615" s="36"/>
      <c r="AC615" s="13"/>
      <c r="AD615" s="13"/>
      <c r="AE615" s="37"/>
      <c r="AF615" s="37"/>
      <c r="AG615" s="14"/>
      <c r="AH615" s="14"/>
      <c r="AI615" s="14"/>
      <c r="AZ615" s="24"/>
    </row>
    <row r="616">
      <c r="B616" s="24"/>
      <c r="E616" s="113"/>
      <c r="F616" s="266"/>
      <c r="G616" s="113"/>
      <c r="K616" s="36"/>
      <c r="L616" s="117"/>
      <c r="N616" s="117"/>
      <c r="R616" s="117"/>
      <c r="T616" s="117"/>
      <c r="V616" s="117"/>
      <c r="X616" s="117"/>
      <c r="Y616" s="10"/>
      <c r="Z616" s="11"/>
      <c r="AA616" s="36"/>
      <c r="AB616" s="36"/>
      <c r="AC616" s="13"/>
      <c r="AD616" s="13"/>
      <c r="AE616" s="37"/>
      <c r="AF616" s="37"/>
      <c r="AG616" s="14"/>
      <c r="AH616" s="14"/>
      <c r="AI616" s="14"/>
      <c r="AZ616" s="24"/>
    </row>
    <row r="617">
      <c r="B617" s="24"/>
      <c r="E617" s="113"/>
      <c r="F617" s="266"/>
      <c r="G617" s="113"/>
      <c r="K617" s="36"/>
      <c r="L617" s="117"/>
      <c r="N617" s="117"/>
      <c r="R617" s="117"/>
      <c r="T617" s="117"/>
      <c r="V617" s="117"/>
      <c r="X617" s="117"/>
      <c r="Y617" s="10"/>
      <c r="Z617" s="11"/>
      <c r="AA617" s="36"/>
      <c r="AB617" s="36"/>
      <c r="AC617" s="13"/>
      <c r="AD617" s="13"/>
      <c r="AE617" s="37"/>
      <c r="AF617" s="37"/>
      <c r="AG617" s="14"/>
      <c r="AH617" s="14"/>
      <c r="AI617" s="14"/>
      <c r="AZ617" s="24"/>
    </row>
    <row r="618">
      <c r="B618" s="24"/>
      <c r="E618" s="113"/>
      <c r="F618" s="266"/>
      <c r="G618" s="113"/>
      <c r="K618" s="36"/>
      <c r="L618" s="117"/>
      <c r="N618" s="117"/>
      <c r="R618" s="117"/>
      <c r="T618" s="117"/>
      <c r="V618" s="117"/>
      <c r="X618" s="117"/>
      <c r="Y618" s="10"/>
      <c r="Z618" s="11"/>
      <c r="AA618" s="36"/>
      <c r="AB618" s="36"/>
      <c r="AC618" s="13"/>
      <c r="AD618" s="13"/>
      <c r="AE618" s="37"/>
      <c r="AF618" s="37"/>
      <c r="AG618" s="14"/>
      <c r="AH618" s="14"/>
      <c r="AI618" s="14"/>
      <c r="AZ618" s="24"/>
    </row>
    <row r="619">
      <c r="B619" s="24"/>
      <c r="E619" s="113"/>
      <c r="F619" s="266"/>
      <c r="G619" s="113"/>
      <c r="K619" s="36"/>
      <c r="L619" s="117"/>
      <c r="N619" s="117"/>
      <c r="R619" s="117"/>
      <c r="T619" s="117"/>
      <c r="V619" s="117"/>
      <c r="X619" s="117"/>
      <c r="Y619" s="10"/>
      <c r="Z619" s="11"/>
      <c r="AA619" s="36"/>
      <c r="AB619" s="36"/>
      <c r="AC619" s="13"/>
      <c r="AD619" s="13"/>
      <c r="AE619" s="37"/>
      <c r="AF619" s="37"/>
      <c r="AG619" s="14"/>
      <c r="AH619" s="14"/>
      <c r="AI619" s="14"/>
      <c r="AZ619" s="24"/>
    </row>
    <row r="620">
      <c r="B620" s="24"/>
      <c r="E620" s="113"/>
      <c r="F620" s="266"/>
      <c r="G620" s="113"/>
      <c r="K620" s="36"/>
      <c r="L620" s="117"/>
      <c r="N620" s="117"/>
      <c r="R620" s="117"/>
      <c r="T620" s="117"/>
      <c r="V620" s="117"/>
      <c r="X620" s="117"/>
      <c r="Y620" s="10"/>
      <c r="Z620" s="11"/>
      <c r="AA620" s="36"/>
      <c r="AB620" s="36"/>
      <c r="AC620" s="13"/>
      <c r="AD620" s="13"/>
      <c r="AE620" s="37"/>
      <c r="AF620" s="37"/>
      <c r="AG620" s="14"/>
      <c r="AH620" s="14"/>
      <c r="AI620" s="14"/>
      <c r="AZ620" s="24"/>
    </row>
    <row r="621">
      <c r="B621" s="24"/>
      <c r="E621" s="113"/>
      <c r="F621" s="266"/>
      <c r="G621" s="113"/>
      <c r="K621" s="36"/>
      <c r="L621" s="117"/>
      <c r="N621" s="117"/>
      <c r="R621" s="117"/>
      <c r="T621" s="117"/>
      <c r="V621" s="117"/>
      <c r="X621" s="117"/>
      <c r="Y621" s="10"/>
      <c r="Z621" s="11"/>
      <c r="AA621" s="36"/>
      <c r="AB621" s="36"/>
      <c r="AC621" s="13"/>
      <c r="AD621" s="13"/>
      <c r="AE621" s="37"/>
      <c r="AF621" s="37"/>
      <c r="AG621" s="14"/>
      <c r="AH621" s="14"/>
      <c r="AI621" s="14"/>
      <c r="AZ621" s="24"/>
    </row>
    <row r="622">
      <c r="B622" s="24"/>
      <c r="E622" s="113"/>
      <c r="F622" s="266"/>
      <c r="G622" s="113"/>
      <c r="K622" s="36"/>
      <c r="L622" s="117"/>
      <c r="N622" s="117"/>
      <c r="R622" s="117"/>
      <c r="T622" s="117"/>
      <c r="V622" s="117"/>
      <c r="X622" s="117"/>
      <c r="Y622" s="10"/>
      <c r="Z622" s="11"/>
      <c r="AA622" s="36"/>
      <c r="AB622" s="36"/>
      <c r="AC622" s="13"/>
      <c r="AD622" s="13"/>
      <c r="AE622" s="37"/>
      <c r="AF622" s="37"/>
      <c r="AG622" s="14"/>
      <c r="AH622" s="14"/>
      <c r="AI622" s="14"/>
      <c r="AZ622" s="24"/>
    </row>
    <row r="623">
      <c r="B623" s="24"/>
      <c r="E623" s="113"/>
      <c r="F623" s="266"/>
      <c r="G623" s="113"/>
      <c r="K623" s="36"/>
      <c r="L623" s="117"/>
      <c r="N623" s="117"/>
      <c r="R623" s="117"/>
      <c r="T623" s="117"/>
      <c r="V623" s="117"/>
      <c r="X623" s="117"/>
      <c r="Y623" s="10"/>
      <c r="Z623" s="11"/>
      <c r="AA623" s="36"/>
      <c r="AB623" s="36"/>
      <c r="AC623" s="13"/>
      <c r="AD623" s="13"/>
      <c r="AE623" s="37"/>
      <c r="AF623" s="37"/>
      <c r="AG623" s="14"/>
      <c r="AH623" s="14"/>
      <c r="AI623" s="14"/>
      <c r="AZ623" s="24"/>
    </row>
    <row r="624">
      <c r="B624" s="24"/>
      <c r="E624" s="113"/>
      <c r="F624" s="266"/>
      <c r="G624" s="113"/>
      <c r="K624" s="36"/>
      <c r="L624" s="117"/>
      <c r="N624" s="117"/>
      <c r="R624" s="117"/>
      <c r="T624" s="117"/>
      <c r="V624" s="117"/>
      <c r="X624" s="117"/>
      <c r="Y624" s="10"/>
      <c r="Z624" s="11"/>
      <c r="AA624" s="36"/>
      <c r="AB624" s="36"/>
      <c r="AC624" s="13"/>
      <c r="AD624" s="13"/>
      <c r="AE624" s="37"/>
      <c r="AF624" s="37"/>
      <c r="AG624" s="14"/>
      <c r="AH624" s="14"/>
      <c r="AI624" s="14"/>
      <c r="AZ624" s="24"/>
    </row>
    <row r="625">
      <c r="B625" s="24"/>
      <c r="E625" s="113"/>
      <c r="F625" s="266"/>
      <c r="G625" s="113"/>
      <c r="K625" s="36"/>
      <c r="L625" s="117"/>
      <c r="N625" s="117"/>
      <c r="R625" s="117"/>
      <c r="T625" s="117"/>
      <c r="V625" s="117"/>
      <c r="X625" s="117"/>
      <c r="Y625" s="10"/>
      <c r="Z625" s="11"/>
      <c r="AA625" s="36"/>
      <c r="AB625" s="36"/>
      <c r="AC625" s="13"/>
      <c r="AD625" s="13"/>
      <c r="AE625" s="37"/>
      <c r="AF625" s="37"/>
      <c r="AG625" s="14"/>
      <c r="AH625" s="14"/>
      <c r="AI625" s="14"/>
      <c r="AZ625" s="24"/>
    </row>
    <row r="626">
      <c r="B626" s="24"/>
      <c r="E626" s="113"/>
      <c r="F626" s="266"/>
      <c r="G626" s="113"/>
      <c r="K626" s="36"/>
      <c r="L626" s="117"/>
      <c r="N626" s="117"/>
      <c r="R626" s="117"/>
      <c r="T626" s="117"/>
      <c r="V626" s="117"/>
      <c r="X626" s="117"/>
      <c r="Y626" s="10"/>
      <c r="Z626" s="11"/>
      <c r="AA626" s="36"/>
      <c r="AB626" s="36"/>
      <c r="AC626" s="13"/>
      <c r="AD626" s="13"/>
      <c r="AE626" s="37"/>
      <c r="AF626" s="37"/>
      <c r="AG626" s="14"/>
      <c r="AH626" s="14"/>
      <c r="AI626" s="14"/>
      <c r="AZ626" s="24"/>
    </row>
    <row r="627">
      <c r="B627" s="24"/>
      <c r="E627" s="113"/>
      <c r="F627" s="266"/>
      <c r="G627" s="113"/>
      <c r="K627" s="36"/>
      <c r="L627" s="117"/>
      <c r="N627" s="117"/>
      <c r="R627" s="117"/>
      <c r="T627" s="117"/>
      <c r="V627" s="117"/>
      <c r="X627" s="117"/>
      <c r="Y627" s="10"/>
      <c r="Z627" s="11"/>
      <c r="AA627" s="36"/>
      <c r="AB627" s="36"/>
      <c r="AC627" s="13"/>
      <c r="AD627" s="13"/>
      <c r="AE627" s="37"/>
      <c r="AF627" s="37"/>
      <c r="AG627" s="14"/>
      <c r="AH627" s="14"/>
      <c r="AI627" s="14"/>
      <c r="AZ627" s="24"/>
    </row>
    <row r="628">
      <c r="B628" s="24"/>
      <c r="E628" s="113"/>
      <c r="F628" s="266"/>
      <c r="G628" s="113"/>
      <c r="K628" s="36"/>
      <c r="L628" s="117"/>
      <c r="N628" s="117"/>
      <c r="R628" s="117"/>
      <c r="T628" s="117"/>
      <c r="V628" s="117"/>
      <c r="X628" s="117"/>
      <c r="Y628" s="10"/>
      <c r="Z628" s="11"/>
      <c r="AA628" s="36"/>
      <c r="AB628" s="36"/>
      <c r="AC628" s="13"/>
      <c r="AD628" s="13"/>
      <c r="AE628" s="37"/>
      <c r="AF628" s="37"/>
      <c r="AG628" s="14"/>
      <c r="AH628" s="14"/>
      <c r="AI628" s="14"/>
      <c r="AZ628" s="24"/>
    </row>
    <row r="629">
      <c r="B629" s="24"/>
      <c r="E629" s="113"/>
      <c r="F629" s="266"/>
      <c r="G629" s="113"/>
      <c r="K629" s="36"/>
      <c r="L629" s="117"/>
      <c r="N629" s="117"/>
      <c r="R629" s="117"/>
      <c r="T629" s="117"/>
      <c r="V629" s="117"/>
      <c r="X629" s="117"/>
      <c r="Y629" s="10"/>
      <c r="Z629" s="11"/>
      <c r="AA629" s="36"/>
      <c r="AB629" s="36"/>
      <c r="AC629" s="13"/>
      <c r="AD629" s="13"/>
      <c r="AE629" s="37"/>
      <c r="AF629" s="37"/>
      <c r="AG629" s="14"/>
      <c r="AH629" s="14"/>
      <c r="AI629" s="14"/>
      <c r="AZ629" s="24"/>
    </row>
    <row r="630">
      <c r="B630" s="24"/>
      <c r="E630" s="113"/>
      <c r="F630" s="266"/>
      <c r="G630" s="113"/>
      <c r="K630" s="36"/>
      <c r="L630" s="117"/>
      <c r="N630" s="117"/>
      <c r="R630" s="117"/>
      <c r="T630" s="117"/>
      <c r="V630" s="117"/>
      <c r="X630" s="117"/>
      <c r="Y630" s="10"/>
      <c r="Z630" s="11"/>
      <c r="AA630" s="36"/>
      <c r="AB630" s="36"/>
      <c r="AC630" s="13"/>
      <c r="AD630" s="13"/>
      <c r="AE630" s="37"/>
      <c r="AF630" s="37"/>
      <c r="AG630" s="14"/>
      <c r="AH630" s="14"/>
      <c r="AI630" s="14"/>
      <c r="AZ630" s="24"/>
    </row>
    <row r="631">
      <c r="B631" s="24"/>
      <c r="E631" s="113"/>
      <c r="F631" s="266"/>
      <c r="G631" s="113"/>
      <c r="K631" s="36"/>
      <c r="L631" s="117"/>
      <c r="N631" s="117"/>
      <c r="R631" s="117"/>
      <c r="T631" s="117"/>
      <c r="V631" s="117"/>
      <c r="X631" s="117"/>
      <c r="Y631" s="10"/>
      <c r="Z631" s="11"/>
      <c r="AA631" s="36"/>
      <c r="AB631" s="36"/>
      <c r="AC631" s="13"/>
      <c r="AD631" s="13"/>
      <c r="AE631" s="37"/>
      <c r="AF631" s="37"/>
      <c r="AG631" s="14"/>
      <c r="AH631" s="14"/>
      <c r="AI631" s="14"/>
      <c r="AZ631" s="24"/>
    </row>
    <row r="632">
      <c r="B632" s="24"/>
      <c r="E632" s="113"/>
      <c r="F632" s="266"/>
      <c r="G632" s="113"/>
      <c r="K632" s="36"/>
      <c r="L632" s="117"/>
      <c r="N632" s="117"/>
      <c r="R632" s="117"/>
      <c r="T632" s="117"/>
      <c r="V632" s="117"/>
      <c r="X632" s="117"/>
      <c r="Y632" s="10"/>
      <c r="Z632" s="11"/>
      <c r="AA632" s="36"/>
      <c r="AB632" s="36"/>
      <c r="AC632" s="13"/>
      <c r="AD632" s="13"/>
      <c r="AE632" s="37"/>
      <c r="AF632" s="37"/>
      <c r="AG632" s="14"/>
      <c r="AH632" s="14"/>
      <c r="AI632" s="14"/>
      <c r="AZ632" s="24"/>
    </row>
    <row r="633">
      <c r="B633" s="24"/>
      <c r="E633" s="113"/>
      <c r="F633" s="266"/>
      <c r="G633" s="113"/>
      <c r="K633" s="36"/>
      <c r="L633" s="117"/>
      <c r="N633" s="117"/>
      <c r="R633" s="117"/>
      <c r="T633" s="117"/>
      <c r="V633" s="117"/>
      <c r="X633" s="117"/>
      <c r="Y633" s="10"/>
      <c r="Z633" s="11"/>
      <c r="AA633" s="36"/>
      <c r="AB633" s="36"/>
      <c r="AC633" s="13"/>
      <c r="AD633" s="13"/>
      <c r="AE633" s="37"/>
      <c r="AF633" s="37"/>
      <c r="AG633" s="14"/>
      <c r="AH633" s="14"/>
      <c r="AI633" s="14"/>
      <c r="AZ633" s="24"/>
    </row>
    <row r="634">
      <c r="B634" s="24"/>
      <c r="E634" s="113"/>
      <c r="F634" s="266"/>
      <c r="G634" s="113"/>
      <c r="K634" s="36"/>
      <c r="L634" s="117"/>
      <c r="N634" s="117"/>
      <c r="R634" s="117"/>
      <c r="T634" s="117"/>
      <c r="V634" s="117"/>
      <c r="X634" s="117"/>
      <c r="Y634" s="10"/>
      <c r="Z634" s="11"/>
      <c r="AA634" s="36"/>
      <c r="AB634" s="36"/>
      <c r="AC634" s="13"/>
      <c r="AD634" s="13"/>
      <c r="AE634" s="37"/>
      <c r="AF634" s="37"/>
      <c r="AG634" s="14"/>
      <c r="AH634" s="14"/>
      <c r="AI634" s="14"/>
      <c r="AZ634" s="24"/>
    </row>
    <row r="635">
      <c r="B635" s="24"/>
      <c r="E635" s="113"/>
      <c r="F635" s="266"/>
      <c r="G635" s="113"/>
      <c r="K635" s="36"/>
      <c r="L635" s="117"/>
      <c r="N635" s="117"/>
      <c r="R635" s="117"/>
      <c r="T635" s="117"/>
      <c r="V635" s="117"/>
      <c r="X635" s="117"/>
      <c r="Y635" s="10"/>
      <c r="Z635" s="11"/>
      <c r="AA635" s="36"/>
      <c r="AB635" s="36"/>
      <c r="AC635" s="13"/>
      <c r="AD635" s="13"/>
      <c r="AE635" s="37"/>
      <c r="AF635" s="37"/>
      <c r="AG635" s="14"/>
      <c r="AH635" s="14"/>
      <c r="AI635" s="14"/>
      <c r="AZ635" s="24"/>
    </row>
    <row r="636">
      <c r="B636" s="24"/>
      <c r="E636" s="113"/>
      <c r="F636" s="266"/>
      <c r="G636" s="113"/>
      <c r="K636" s="36"/>
      <c r="L636" s="117"/>
      <c r="N636" s="117"/>
      <c r="R636" s="117"/>
      <c r="T636" s="117"/>
      <c r="V636" s="117"/>
      <c r="X636" s="117"/>
      <c r="Y636" s="10"/>
      <c r="Z636" s="11"/>
      <c r="AA636" s="36"/>
      <c r="AB636" s="36"/>
      <c r="AC636" s="13"/>
      <c r="AD636" s="13"/>
      <c r="AE636" s="37"/>
      <c r="AF636" s="37"/>
      <c r="AG636" s="14"/>
      <c r="AH636" s="14"/>
      <c r="AI636" s="14"/>
      <c r="AZ636" s="24"/>
    </row>
    <row r="637">
      <c r="B637" s="24"/>
      <c r="E637" s="113"/>
      <c r="F637" s="266"/>
      <c r="G637" s="113"/>
      <c r="K637" s="36"/>
      <c r="L637" s="117"/>
      <c r="N637" s="117"/>
      <c r="R637" s="117"/>
      <c r="T637" s="117"/>
      <c r="V637" s="117"/>
      <c r="X637" s="117"/>
      <c r="Y637" s="10"/>
      <c r="Z637" s="11"/>
      <c r="AA637" s="36"/>
      <c r="AB637" s="36"/>
      <c r="AC637" s="13"/>
      <c r="AD637" s="13"/>
      <c r="AE637" s="37"/>
      <c r="AF637" s="37"/>
      <c r="AG637" s="14"/>
      <c r="AH637" s="14"/>
      <c r="AI637" s="14"/>
      <c r="AZ637" s="24"/>
    </row>
    <row r="638">
      <c r="B638" s="24"/>
      <c r="E638" s="113"/>
      <c r="F638" s="266"/>
      <c r="G638" s="113"/>
      <c r="K638" s="36"/>
      <c r="L638" s="117"/>
      <c r="N638" s="117"/>
      <c r="R638" s="117"/>
      <c r="T638" s="117"/>
      <c r="V638" s="117"/>
      <c r="X638" s="117"/>
      <c r="Y638" s="10"/>
      <c r="Z638" s="11"/>
      <c r="AA638" s="36"/>
      <c r="AB638" s="36"/>
      <c r="AC638" s="13"/>
      <c r="AD638" s="13"/>
      <c r="AE638" s="37"/>
      <c r="AF638" s="37"/>
      <c r="AG638" s="14"/>
      <c r="AH638" s="14"/>
      <c r="AI638" s="14"/>
      <c r="AZ638" s="24"/>
    </row>
    <row r="639">
      <c r="B639" s="24"/>
      <c r="E639" s="113"/>
      <c r="F639" s="266"/>
      <c r="G639" s="113"/>
      <c r="K639" s="36"/>
      <c r="L639" s="117"/>
      <c r="N639" s="117"/>
      <c r="R639" s="117"/>
      <c r="T639" s="117"/>
      <c r="V639" s="117"/>
      <c r="X639" s="117"/>
      <c r="Y639" s="10"/>
      <c r="Z639" s="11"/>
      <c r="AA639" s="36"/>
      <c r="AB639" s="36"/>
      <c r="AC639" s="13"/>
      <c r="AD639" s="13"/>
      <c r="AE639" s="37"/>
      <c r="AF639" s="37"/>
      <c r="AG639" s="14"/>
      <c r="AH639" s="14"/>
      <c r="AI639" s="14"/>
      <c r="AZ639" s="24"/>
    </row>
    <row r="640">
      <c r="B640" s="24"/>
      <c r="E640" s="113"/>
      <c r="F640" s="266"/>
      <c r="G640" s="113"/>
      <c r="K640" s="36"/>
      <c r="L640" s="117"/>
      <c r="N640" s="117"/>
      <c r="R640" s="117"/>
      <c r="T640" s="117"/>
      <c r="V640" s="117"/>
      <c r="X640" s="117"/>
      <c r="Y640" s="10"/>
      <c r="Z640" s="11"/>
      <c r="AA640" s="36"/>
      <c r="AB640" s="36"/>
      <c r="AC640" s="13"/>
      <c r="AD640" s="13"/>
      <c r="AE640" s="37"/>
      <c r="AF640" s="37"/>
      <c r="AG640" s="14"/>
      <c r="AH640" s="14"/>
      <c r="AI640" s="14"/>
      <c r="AZ640" s="24"/>
    </row>
    <row r="641">
      <c r="B641" s="24"/>
      <c r="E641" s="113"/>
      <c r="F641" s="266"/>
      <c r="G641" s="113"/>
      <c r="K641" s="36"/>
      <c r="L641" s="117"/>
      <c r="N641" s="117"/>
      <c r="R641" s="117"/>
      <c r="T641" s="117"/>
      <c r="V641" s="117"/>
      <c r="X641" s="117"/>
      <c r="Y641" s="10"/>
      <c r="Z641" s="11"/>
      <c r="AA641" s="36"/>
      <c r="AB641" s="36"/>
      <c r="AC641" s="13"/>
      <c r="AD641" s="13"/>
      <c r="AE641" s="37"/>
      <c r="AF641" s="37"/>
      <c r="AG641" s="14"/>
      <c r="AH641" s="14"/>
      <c r="AI641" s="14"/>
      <c r="AZ641" s="24"/>
    </row>
    <row r="642">
      <c r="B642" s="24"/>
      <c r="E642" s="113"/>
      <c r="F642" s="266"/>
      <c r="G642" s="113"/>
      <c r="K642" s="36"/>
      <c r="L642" s="117"/>
      <c r="N642" s="117"/>
      <c r="R642" s="117"/>
      <c r="T642" s="117"/>
      <c r="V642" s="117"/>
      <c r="X642" s="117"/>
      <c r="Y642" s="10"/>
      <c r="Z642" s="11"/>
      <c r="AA642" s="36"/>
      <c r="AB642" s="36"/>
      <c r="AC642" s="13"/>
      <c r="AD642" s="13"/>
      <c r="AE642" s="37"/>
      <c r="AF642" s="37"/>
      <c r="AG642" s="14"/>
      <c r="AH642" s="14"/>
      <c r="AI642" s="14"/>
      <c r="AZ642" s="24"/>
    </row>
    <row r="643">
      <c r="B643" s="24"/>
      <c r="E643" s="113"/>
      <c r="F643" s="266"/>
      <c r="G643" s="113"/>
      <c r="K643" s="36"/>
      <c r="L643" s="117"/>
      <c r="N643" s="117"/>
      <c r="R643" s="117"/>
      <c r="T643" s="117"/>
      <c r="V643" s="117"/>
      <c r="X643" s="117"/>
      <c r="Y643" s="10"/>
      <c r="Z643" s="11"/>
      <c r="AA643" s="36"/>
      <c r="AB643" s="36"/>
      <c r="AC643" s="13"/>
      <c r="AD643" s="13"/>
      <c r="AE643" s="37"/>
      <c r="AF643" s="37"/>
      <c r="AG643" s="14"/>
      <c r="AH643" s="14"/>
      <c r="AI643" s="14"/>
      <c r="AZ643" s="24"/>
    </row>
    <row r="644">
      <c r="B644" s="24"/>
      <c r="E644" s="113"/>
      <c r="F644" s="266"/>
      <c r="G644" s="113"/>
      <c r="K644" s="36"/>
      <c r="L644" s="117"/>
      <c r="N644" s="117"/>
      <c r="R644" s="117"/>
      <c r="T644" s="117"/>
      <c r="V644" s="117"/>
      <c r="X644" s="117"/>
      <c r="Y644" s="10"/>
      <c r="Z644" s="11"/>
      <c r="AA644" s="36"/>
      <c r="AB644" s="36"/>
      <c r="AC644" s="13"/>
      <c r="AD644" s="13"/>
      <c r="AE644" s="37"/>
      <c r="AF644" s="37"/>
      <c r="AG644" s="14"/>
      <c r="AH644" s="14"/>
      <c r="AI644" s="14"/>
      <c r="AZ644" s="24"/>
    </row>
    <row r="645">
      <c r="B645" s="24"/>
      <c r="E645" s="113"/>
      <c r="F645" s="266"/>
      <c r="G645" s="113"/>
      <c r="K645" s="36"/>
      <c r="L645" s="117"/>
      <c r="N645" s="117"/>
      <c r="R645" s="117"/>
      <c r="T645" s="117"/>
      <c r="V645" s="117"/>
      <c r="X645" s="117"/>
      <c r="Y645" s="10"/>
      <c r="Z645" s="11"/>
      <c r="AA645" s="36"/>
      <c r="AB645" s="36"/>
      <c r="AC645" s="13"/>
      <c r="AD645" s="13"/>
      <c r="AE645" s="37"/>
      <c r="AF645" s="37"/>
      <c r="AG645" s="14"/>
      <c r="AH645" s="14"/>
      <c r="AI645" s="14"/>
      <c r="AZ645" s="24"/>
    </row>
    <row r="646">
      <c r="B646" s="24"/>
      <c r="E646" s="113"/>
      <c r="F646" s="266"/>
      <c r="G646" s="113"/>
      <c r="K646" s="36"/>
      <c r="L646" s="117"/>
      <c r="N646" s="117"/>
      <c r="R646" s="117"/>
      <c r="T646" s="117"/>
      <c r="V646" s="117"/>
      <c r="X646" s="117"/>
      <c r="Y646" s="10"/>
      <c r="Z646" s="11"/>
      <c r="AA646" s="36"/>
      <c r="AB646" s="36"/>
      <c r="AC646" s="13"/>
      <c r="AD646" s="13"/>
      <c r="AE646" s="37"/>
      <c r="AF646" s="37"/>
      <c r="AG646" s="14"/>
      <c r="AH646" s="14"/>
      <c r="AI646" s="14"/>
      <c r="AZ646" s="24"/>
    </row>
    <row r="647">
      <c r="B647" s="24"/>
      <c r="E647" s="113"/>
      <c r="F647" s="266"/>
      <c r="G647" s="113"/>
      <c r="K647" s="36"/>
      <c r="L647" s="117"/>
      <c r="N647" s="117"/>
      <c r="R647" s="117"/>
      <c r="T647" s="117"/>
      <c r="V647" s="117"/>
      <c r="X647" s="117"/>
      <c r="Y647" s="10"/>
      <c r="Z647" s="11"/>
      <c r="AA647" s="36"/>
      <c r="AB647" s="36"/>
      <c r="AC647" s="13"/>
      <c r="AD647" s="13"/>
      <c r="AE647" s="37"/>
      <c r="AF647" s="37"/>
      <c r="AG647" s="14"/>
      <c r="AH647" s="14"/>
      <c r="AI647" s="14"/>
      <c r="AZ647" s="24"/>
    </row>
    <row r="648">
      <c r="B648" s="24"/>
      <c r="E648" s="113"/>
      <c r="F648" s="266"/>
      <c r="G648" s="113"/>
      <c r="K648" s="36"/>
      <c r="L648" s="117"/>
      <c r="N648" s="117"/>
      <c r="R648" s="117"/>
      <c r="T648" s="117"/>
      <c r="V648" s="117"/>
      <c r="X648" s="117"/>
      <c r="Y648" s="10"/>
      <c r="Z648" s="11"/>
      <c r="AA648" s="36"/>
      <c r="AB648" s="36"/>
      <c r="AC648" s="13"/>
      <c r="AD648" s="13"/>
      <c r="AE648" s="37"/>
      <c r="AF648" s="37"/>
      <c r="AG648" s="14"/>
      <c r="AH648" s="14"/>
      <c r="AI648" s="14"/>
      <c r="AZ648" s="24"/>
    </row>
    <row r="649">
      <c r="B649" s="24"/>
      <c r="E649" s="113"/>
      <c r="F649" s="266"/>
      <c r="G649" s="113"/>
      <c r="K649" s="36"/>
      <c r="L649" s="117"/>
      <c r="N649" s="117"/>
      <c r="R649" s="117"/>
      <c r="T649" s="117"/>
      <c r="V649" s="117"/>
      <c r="X649" s="117"/>
      <c r="Y649" s="10"/>
      <c r="Z649" s="11"/>
      <c r="AA649" s="36"/>
      <c r="AB649" s="36"/>
      <c r="AC649" s="13"/>
      <c r="AD649" s="13"/>
      <c r="AE649" s="37"/>
      <c r="AF649" s="37"/>
      <c r="AG649" s="14"/>
      <c r="AH649" s="14"/>
      <c r="AI649" s="14"/>
      <c r="AZ649" s="24"/>
    </row>
    <row r="650">
      <c r="B650" s="24"/>
      <c r="E650" s="113"/>
      <c r="F650" s="266"/>
      <c r="G650" s="113"/>
      <c r="K650" s="36"/>
      <c r="L650" s="117"/>
      <c r="N650" s="117"/>
      <c r="R650" s="117"/>
      <c r="T650" s="117"/>
      <c r="V650" s="117"/>
      <c r="X650" s="117"/>
      <c r="Y650" s="10"/>
      <c r="Z650" s="11"/>
      <c r="AA650" s="36"/>
      <c r="AB650" s="36"/>
      <c r="AC650" s="13"/>
      <c r="AD650" s="13"/>
      <c r="AE650" s="37"/>
      <c r="AF650" s="37"/>
      <c r="AG650" s="14"/>
      <c r="AH650" s="14"/>
      <c r="AI650" s="14"/>
      <c r="AZ650" s="24"/>
    </row>
    <row r="651">
      <c r="B651" s="24"/>
      <c r="E651" s="113"/>
      <c r="F651" s="266"/>
      <c r="G651" s="113"/>
      <c r="K651" s="36"/>
      <c r="L651" s="117"/>
      <c r="N651" s="117"/>
      <c r="R651" s="117"/>
      <c r="T651" s="117"/>
      <c r="V651" s="117"/>
      <c r="X651" s="117"/>
      <c r="Y651" s="10"/>
      <c r="Z651" s="11"/>
      <c r="AA651" s="36"/>
      <c r="AB651" s="36"/>
      <c r="AC651" s="13"/>
      <c r="AD651" s="13"/>
      <c r="AE651" s="37"/>
      <c r="AF651" s="37"/>
      <c r="AG651" s="14"/>
      <c r="AH651" s="14"/>
      <c r="AI651" s="14"/>
      <c r="AZ651" s="24"/>
    </row>
    <row r="652">
      <c r="B652" s="24"/>
      <c r="E652" s="113"/>
      <c r="F652" s="266"/>
      <c r="G652" s="113"/>
      <c r="K652" s="36"/>
      <c r="L652" s="117"/>
      <c r="N652" s="117"/>
      <c r="R652" s="117"/>
      <c r="T652" s="117"/>
      <c r="V652" s="117"/>
      <c r="X652" s="117"/>
      <c r="Y652" s="10"/>
      <c r="Z652" s="11"/>
      <c r="AA652" s="36"/>
      <c r="AB652" s="36"/>
      <c r="AC652" s="13"/>
      <c r="AD652" s="13"/>
      <c r="AE652" s="37"/>
      <c r="AF652" s="37"/>
      <c r="AG652" s="14"/>
      <c r="AH652" s="14"/>
      <c r="AI652" s="14"/>
      <c r="AZ652" s="24"/>
    </row>
    <row r="653">
      <c r="B653" s="24"/>
      <c r="E653" s="113"/>
      <c r="F653" s="266"/>
      <c r="G653" s="113"/>
      <c r="K653" s="36"/>
      <c r="L653" s="117"/>
      <c r="N653" s="117"/>
      <c r="R653" s="117"/>
      <c r="T653" s="117"/>
      <c r="V653" s="117"/>
      <c r="X653" s="117"/>
      <c r="Y653" s="10"/>
      <c r="Z653" s="11"/>
      <c r="AA653" s="36"/>
      <c r="AB653" s="36"/>
      <c r="AC653" s="13"/>
      <c r="AD653" s="13"/>
      <c r="AE653" s="37"/>
      <c r="AF653" s="37"/>
      <c r="AG653" s="14"/>
      <c r="AH653" s="14"/>
      <c r="AI653" s="14"/>
      <c r="AZ653" s="24"/>
    </row>
    <row r="654">
      <c r="B654" s="24"/>
      <c r="E654" s="113"/>
      <c r="F654" s="266"/>
      <c r="G654" s="113"/>
      <c r="K654" s="36"/>
      <c r="L654" s="117"/>
      <c r="N654" s="117"/>
      <c r="R654" s="117"/>
      <c r="T654" s="117"/>
      <c r="V654" s="117"/>
      <c r="X654" s="117"/>
      <c r="Y654" s="10"/>
      <c r="Z654" s="11"/>
      <c r="AA654" s="36"/>
      <c r="AB654" s="36"/>
      <c r="AC654" s="13"/>
      <c r="AD654" s="13"/>
      <c r="AE654" s="37"/>
      <c r="AF654" s="37"/>
      <c r="AG654" s="14"/>
      <c r="AH654" s="14"/>
      <c r="AI654" s="14"/>
      <c r="AZ654" s="24"/>
    </row>
    <row r="655">
      <c r="B655" s="24"/>
      <c r="E655" s="113"/>
      <c r="F655" s="266"/>
      <c r="G655" s="113"/>
      <c r="K655" s="36"/>
      <c r="L655" s="117"/>
      <c r="N655" s="117"/>
      <c r="R655" s="117"/>
      <c r="T655" s="117"/>
      <c r="V655" s="117"/>
      <c r="X655" s="117"/>
      <c r="Y655" s="10"/>
      <c r="Z655" s="11"/>
      <c r="AA655" s="36"/>
      <c r="AB655" s="36"/>
      <c r="AC655" s="13"/>
      <c r="AD655" s="13"/>
      <c r="AE655" s="37"/>
      <c r="AF655" s="37"/>
      <c r="AG655" s="14"/>
      <c r="AH655" s="14"/>
      <c r="AI655" s="14"/>
      <c r="AZ655" s="24"/>
    </row>
    <row r="656">
      <c r="B656" s="24"/>
      <c r="E656" s="113"/>
      <c r="F656" s="266"/>
      <c r="G656" s="113"/>
      <c r="K656" s="36"/>
      <c r="L656" s="117"/>
      <c r="N656" s="117"/>
      <c r="R656" s="117"/>
      <c r="T656" s="117"/>
      <c r="V656" s="117"/>
      <c r="X656" s="117"/>
      <c r="Y656" s="10"/>
      <c r="Z656" s="11"/>
      <c r="AA656" s="36"/>
      <c r="AB656" s="36"/>
      <c r="AC656" s="13"/>
      <c r="AD656" s="13"/>
      <c r="AE656" s="37"/>
      <c r="AF656" s="37"/>
      <c r="AG656" s="14"/>
      <c r="AH656" s="14"/>
      <c r="AI656" s="14"/>
      <c r="AZ656" s="24"/>
    </row>
    <row r="657">
      <c r="B657" s="24"/>
      <c r="E657" s="113"/>
      <c r="F657" s="266"/>
      <c r="G657" s="113"/>
      <c r="K657" s="36"/>
      <c r="L657" s="117"/>
      <c r="N657" s="117"/>
      <c r="R657" s="117"/>
      <c r="T657" s="117"/>
      <c r="V657" s="117"/>
      <c r="X657" s="117"/>
      <c r="Y657" s="10"/>
      <c r="Z657" s="11"/>
      <c r="AA657" s="36"/>
      <c r="AB657" s="36"/>
      <c r="AC657" s="13"/>
      <c r="AD657" s="13"/>
      <c r="AE657" s="37"/>
      <c r="AF657" s="37"/>
      <c r="AG657" s="14"/>
      <c r="AH657" s="14"/>
      <c r="AI657" s="14"/>
      <c r="AZ657" s="24"/>
    </row>
    <row r="658">
      <c r="B658" s="24"/>
      <c r="E658" s="113"/>
      <c r="F658" s="266"/>
      <c r="G658" s="113"/>
      <c r="K658" s="36"/>
      <c r="L658" s="117"/>
      <c r="N658" s="117"/>
      <c r="R658" s="117"/>
      <c r="T658" s="117"/>
      <c r="V658" s="117"/>
      <c r="X658" s="117"/>
      <c r="Y658" s="10"/>
      <c r="Z658" s="11"/>
      <c r="AA658" s="36"/>
      <c r="AB658" s="36"/>
      <c r="AC658" s="13"/>
      <c r="AD658" s="13"/>
      <c r="AE658" s="37"/>
      <c r="AF658" s="37"/>
      <c r="AG658" s="14"/>
      <c r="AH658" s="14"/>
      <c r="AI658" s="14"/>
      <c r="AZ658" s="24"/>
    </row>
    <row r="659">
      <c r="B659" s="24"/>
      <c r="E659" s="113"/>
      <c r="F659" s="266"/>
      <c r="G659" s="113"/>
      <c r="K659" s="36"/>
      <c r="L659" s="117"/>
      <c r="N659" s="117"/>
      <c r="R659" s="117"/>
      <c r="T659" s="117"/>
      <c r="V659" s="117"/>
      <c r="X659" s="117"/>
      <c r="Y659" s="10"/>
      <c r="Z659" s="11"/>
      <c r="AA659" s="36"/>
      <c r="AB659" s="36"/>
      <c r="AC659" s="13"/>
      <c r="AD659" s="13"/>
      <c r="AE659" s="37"/>
      <c r="AF659" s="37"/>
      <c r="AG659" s="14"/>
      <c r="AH659" s="14"/>
      <c r="AI659" s="14"/>
      <c r="AZ659" s="24"/>
    </row>
    <row r="660">
      <c r="B660" s="24"/>
      <c r="E660" s="113"/>
      <c r="F660" s="266"/>
      <c r="G660" s="113"/>
      <c r="K660" s="36"/>
      <c r="L660" s="117"/>
      <c r="N660" s="117"/>
      <c r="R660" s="117"/>
      <c r="T660" s="117"/>
      <c r="V660" s="117"/>
      <c r="X660" s="117"/>
      <c r="Y660" s="10"/>
      <c r="Z660" s="11"/>
      <c r="AA660" s="36"/>
      <c r="AB660" s="36"/>
      <c r="AC660" s="13"/>
      <c r="AD660" s="13"/>
      <c r="AE660" s="37"/>
      <c r="AF660" s="37"/>
      <c r="AG660" s="14"/>
      <c r="AH660" s="14"/>
      <c r="AI660" s="14"/>
      <c r="AZ660" s="24"/>
    </row>
    <row r="661">
      <c r="B661" s="24"/>
      <c r="E661" s="113"/>
      <c r="F661" s="266"/>
      <c r="G661" s="113"/>
      <c r="K661" s="36"/>
      <c r="L661" s="117"/>
      <c r="N661" s="117"/>
      <c r="R661" s="117"/>
      <c r="T661" s="117"/>
      <c r="V661" s="117"/>
      <c r="X661" s="117"/>
      <c r="Y661" s="10"/>
      <c r="Z661" s="11"/>
      <c r="AA661" s="36"/>
      <c r="AB661" s="36"/>
      <c r="AC661" s="13"/>
      <c r="AD661" s="13"/>
      <c r="AE661" s="37"/>
      <c r="AF661" s="37"/>
      <c r="AG661" s="14"/>
      <c r="AH661" s="14"/>
      <c r="AI661" s="14"/>
      <c r="AZ661" s="24"/>
    </row>
    <row r="662">
      <c r="B662" s="24"/>
      <c r="E662" s="113"/>
      <c r="F662" s="266"/>
      <c r="G662" s="113"/>
      <c r="K662" s="36"/>
      <c r="L662" s="117"/>
      <c r="N662" s="117"/>
      <c r="R662" s="117"/>
      <c r="T662" s="117"/>
      <c r="V662" s="117"/>
      <c r="X662" s="117"/>
      <c r="Y662" s="10"/>
      <c r="Z662" s="11"/>
      <c r="AA662" s="36"/>
      <c r="AB662" s="36"/>
      <c r="AC662" s="13"/>
      <c r="AD662" s="13"/>
      <c r="AE662" s="37"/>
      <c r="AF662" s="37"/>
      <c r="AG662" s="14"/>
      <c r="AH662" s="14"/>
      <c r="AI662" s="14"/>
      <c r="AZ662" s="24"/>
    </row>
    <row r="663">
      <c r="B663" s="24"/>
      <c r="E663" s="113"/>
      <c r="F663" s="266"/>
      <c r="G663" s="113"/>
      <c r="K663" s="36"/>
      <c r="L663" s="117"/>
      <c r="N663" s="117"/>
      <c r="R663" s="117"/>
      <c r="T663" s="117"/>
      <c r="V663" s="117"/>
      <c r="X663" s="117"/>
      <c r="Y663" s="10"/>
      <c r="Z663" s="11"/>
      <c r="AA663" s="36"/>
      <c r="AB663" s="36"/>
      <c r="AC663" s="13"/>
      <c r="AD663" s="13"/>
      <c r="AE663" s="37"/>
      <c r="AF663" s="37"/>
      <c r="AG663" s="14"/>
      <c r="AH663" s="14"/>
      <c r="AI663" s="14"/>
      <c r="AZ663" s="24"/>
    </row>
    <row r="664">
      <c r="B664" s="24"/>
      <c r="E664" s="113"/>
      <c r="F664" s="266"/>
      <c r="G664" s="113"/>
      <c r="K664" s="36"/>
      <c r="L664" s="117"/>
      <c r="N664" s="117"/>
      <c r="R664" s="117"/>
      <c r="T664" s="117"/>
      <c r="V664" s="117"/>
      <c r="X664" s="117"/>
      <c r="Y664" s="10"/>
      <c r="Z664" s="11"/>
      <c r="AA664" s="36"/>
      <c r="AB664" s="36"/>
      <c r="AC664" s="13"/>
      <c r="AD664" s="13"/>
      <c r="AE664" s="37"/>
      <c r="AF664" s="37"/>
      <c r="AG664" s="14"/>
      <c r="AH664" s="14"/>
      <c r="AI664" s="14"/>
      <c r="AZ664" s="24"/>
    </row>
    <row r="665">
      <c r="B665" s="24"/>
      <c r="E665" s="113"/>
      <c r="F665" s="266"/>
      <c r="G665" s="113"/>
      <c r="K665" s="36"/>
      <c r="L665" s="117"/>
      <c r="N665" s="117"/>
      <c r="R665" s="117"/>
      <c r="T665" s="117"/>
      <c r="V665" s="117"/>
      <c r="X665" s="117"/>
      <c r="Y665" s="10"/>
      <c r="Z665" s="11"/>
      <c r="AA665" s="36"/>
      <c r="AB665" s="36"/>
      <c r="AC665" s="13"/>
      <c r="AD665" s="13"/>
      <c r="AE665" s="37"/>
      <c r="AF665" s="37"/>
      <c r="AG665" s="14"/>
      <c r="AH665" s="14"/>
      <c r="AI665" s="14"/>
      <c r="AZ665" s="24"/>
    </row>
    <row r="666">
      <c r="B666" s="24"/>
      <c r="E666" s="113"/>
      <c r="F666" s="266"/>
      <c r="G666" s="113"/>
      <c r="K666" s="36"/>
      <c r="L666" s="117"/>
      <c r="N666" s="117"/>
      <c r="R666" s="117"/>
      <c r="T666" s="117"/>
      <c r="V666" s="117"/>
      <c r="X666" s="117"/>
      <c r="Y666" s="10"/>
      <c r="Z666" s="11"/>
      <c r="AA666" s="36"/>
      <c r="AB666" s="36"/>
      <c r="AC666" s="13"/>
      <c r="AD666" s="13"/>
      <c r="AE666" s="37"/>
      <c r="AF666" s="37"/>
      <c r="AG666" s="14"/>
      <c r="AH666" s="14"/>
      <c r="AI666" s="14"/>
      <c r="AZ666" s="24"/>
    </row>
    <row r="667">
      <c r="B667" s="24"/>
      <c r="E667" s="113"/>
      <c r="F667" s="266"/>
      <c r="G667" s="113"/>
      <c r="K667" s="36"/>
      <c r="L667" s="117"/>
      <c r="N667" s="117"/>
      <c r="R667" s="117"/>
      <c r="T667" s="117"/>
      <c r="V667" s="117"/>
      <c r="X667" s="117"/>
      <c r="Y667" s="10"/>
      <c r="Z667" s="11"/>
      <c r="AA667" s="36"/>
      <c r="AB667" s="36"/>
      <c r="AC667" s="13"/>
      <c r="AD667" s="13"/>
      <c r="AE667" s="37"/>
      <c r="AF667" s="37"/>
      <c r="AG667" s="14"/>
      <c r="AH667" s="14"/>
      <c r="AI667" s="14"/>
      <c r="AZ667" s="24"/>
    </row>
    <row r="668">
      <c r="B668" s="24"/>
      <c r="E668" s="113"/>
      <c r="F668" s="266"/>
      <c r="G668" s="113"/>
      <c r="K668" s="36"/>
      <c r="L668" s="117"/>
      <c r="N668" s="117"/>
      <c r="R668" s="117"/>
      <c r="T668" s="117"/>
      <c r="V668" s="117"/>
      <c r="X668" s="117"/>
      <c r="Y668" s="10"/>
      <c r="Z668" s="11"/>
      <c r="AA668" s="36"/>
      <c r="AB668" s="36"/>
      <c r="AC668" s="13"/>
      <c r="AD668" s="13"/>
      <c r="AE668" s="37"/>
      <c r="AF668" s="37"/>
      <c r="AG668" s="14"/>
      <c r="AH668" s="14"/>
      <c r="AI668" s="14"/>
      <c r="AZ668" s="24"/>
    </row>
    <row r="669">
      <c r="B669" s="24"/>
      <c r="E669" s="113"/>
      <c r="F669" s="266"/>
      <c r="G669" s="113"/>
      <c r="K669" s="36"/>
      <c r="L669" s="117"/>
      <c r="N669" s="117"/>
      <c r="R669" s="117"/>
      <c r="T669" s="117"/>
      <c r="V669" s="117"/>
      <c r="X669" s="117"/>
      <c r="Y669" s="10"/>
      <c r="Z669" s="11"/>
      <c r="AA669" s="36"/>
      <c r="AB669" s="36"/>
      <c r="AC669" s="13"/>
      <c r="AD669" s="13"/>
      <c r="AE669" s="37"/>
      <c r="AF669" s="37"/>
      <c r="AG669" s="14"/>
      <c r="AH669" s="14"/>
      <c r="AI669" s="14"/>
      <c r="AZ669" s="24"/>
    </row>
    <row r="670">
      <c r="B670" s="24"/>
      <c r="E670" s="113"/>
      <c r="F670" s="266"/>
      <c r="G670" s="113"/>
      <c r="K670" s="36"/>
      <c r="L670" s="117"/>
      <c r="N670" s="117"/>
      <c r="R670" s="117"/>
      <c r="T670" s="117"/>
      <c r="V670" s="117"/>
      <c r="X670" s="117"/>
      <c r="Y670" s="10"/>
      <c r="Z670" s="11"/>
      <c r="AA670" s="36"/>
      <c r="AB670" s="36"/>
      <c r="AC670" s="13"/>
      <c r="AD670" s="13"/>
      <c r="AE670" s="37"/>
      <c r="AF670" s="37"/>
      <c r="AG670" s="14"/>
      <c r="AH670" s="14"/>
      <c r="AI670" s="14"/>
      <c r="AZ670" s="24"/>
    </row>
    <row r="671">
      <c r="B671" s="24"/>
      <c r="E671" s="113"/>
      <c r="F671" s="266"/>
      <c r="G671" s="113"/>
      <c r="K671" s="36"/>
      <c r="L671" s="117"/>
      <c r="N671" s="117"/>
      <c r="R671" s="117"/>
      <c r="T671" s="117"/>
      <c r="V671" s="117"/>
      <c r="X671" s="117"/>
      <c r="Y671" s="10"/>
      <c r="Z671" s="11"/>
      <c r="AA671" s="36"/>
      <c r="AB671" s="36"/>
      <c r="AC671" s="13"/>
      <c r="AD671" s="13"/>
      <c r="AE671" s="37"/>
      <c r="AF671" s="37"/>
      <c r="AG671" s="14"/>
      <c r="AH671" s="14"/>
      <c r="AI671" s="14"/>
      <c r="AZ671" s="24"/>
    </row>
    <row r="672">
      <c r="B672" s="24"/>
      <c r="E672" s="113"/>
      <c r="F672" s="266"/>
      <c r="G672" s="113"/>
      <c r="K672" s="36"/>
      <c r="L672" s="117"/>
      <c r="N672" s="117"/>
      <c r="R672" s="117"/>
      <c r="T672" s="117"/>
      <c r="V672" s="117"/>
      <c r="X672" s="117"/>
      <c r="Y672" s="10"/>
      <c r="Z672" s="11"/>
      <c r="AA672" s="36"/>
      <c r="AB672" s="36"/>
      <c r="AC672" s="13"/>
      <c r="AD672" s="13"/>
      <c r="AE672" s="37"/>
      <c r="AF672" s="37"/>
      <c r="AG672" s="14"/>
      <c r="AH672" s="14"/>
      <c r="AI672" s="14"/>
      <c r="AZ672" s="24"/>
    </row>
    <row r="673">
      <c r="B673" s="24"/>
      <c r="E673" s="113"/>
      <c r="F673" s="266"/>
      <c r="G673" s="113"/>
      <c r="K673" s="36"/>
      <c r="L673" s="117"/>
      <c r="N673" s="117"/>
      <c r="R673" s="117"/>
      <c r="T673" s="117"/>
      <c r="V673" s="117"/>
      <c r="X673" s="117"/>
      <c r="Y673" s="10"/>
      <c r="Z673" s="11"/>
      <c r="AA673" s="36"/>
      <c r="AB673" s="36"/>
      <c r="AC673" s="13"/>
      <c r="AD673" s="13"/>
      <c r="AE673" s="37"/>
      <c r="AF673" s="37"/>
      <c r="AG673" s="14"/>
      <c r="AH673" s="14"/>
      <c r="AI673" s="14"/>
      <c r="AZ673" s="24"/>
    </row>
    <row r="674">
      <c r="B674" s="24"/>
      <c r="E674" s="113"/>
      <c r="F674" s="266"/>
      <c r="G674" s="113"/>
      <c r="K674" s="36"/>
      <c r="L674" s="117"/>
      <c r="N674" s="117"/>
      <c r="R674" s="117"/>
      <c r="T674" s="117"/>
      <c r="V674" s="117"/>
      <c r="X674" s="117"/>
      <c r="Y674" s="10"/>
      <c r="Z674" s="11"/>
      <c r="AA674" s="36"/>
      <c r="AB674" s="36"/>
      <c r="AC674" s="13"/>
      <c r="AD674" s="13"/>
      <c r="AE674" s="37"/>
      <c r="AF674" s="37"/>
      <c r="AG674" s="14"/>
      <c r="AH674" s="14"/>
      <c r="AI674" s="14"/>
      <c r="AZ674" s="24"/>
    </row>
    <row r="675">
      <c r="B675" s="24"/>
      <c r="E675" s="113"/>
      <c r="F675" s="266"/>
      <c r="G675" s="113"/>
      <c r="K675" s="36"/>
      <c r="L675" s="117"/>
      <c r="N675" s="117"/>
      <c r="R675" s="117"/>
      <c r="T675" s="117"/>
      <c r="V675" s="117"/>
      <c r="X675" s="117"/>
      <c r="Y675" s="10"/>
      <c r="Z675" s="11"/>
      <c r="AA675" s="36"/>
      <c r="AB675" s="36"/>
      <c r="AC675" s="13"/>
      <c r="AD675" s="13"/>
      <c r="AE675" s="37"/>
      <c r="AF675" s="37"/>
      <c r="AG675" s="14"/>
      <c r="AH675" s="14"/>
      <c r="AI675" s="14"/>
      <c r="AZ675" s="24"/>
    </row>
    <row r="676">
      <c r="B676" s="24"/>
      <c r="E676" s="113"/>
      <c r="F676" s="266"/>
      <c r="G676" s="113"/>
      <c r="K676" s="36"/>
      <c r="L676" s="117"/>
      <c r="N676" s="117"/>
      <c r="R676" s="117"/>
      <c r="T676" s="117"/>
      <c r="V676" s="117"/>
      <c r="X676" s="117"/>
      <c r="Y676" s="10"/>
      <c r="Z676" s="11"/>
      <c r="AA676" s="36"/>
      <c r="AB676" s="36"/>
      <c r="AC676" s="13"/>
      <c r="AD676" s="13"/>
      <c r="AE676" s="37"/>
      <c r="AF676" s="37"/>
      <c r="AG676" s="14"/>
      <c r="AH676" s="14"/>
      <c r="AI676" s="14"/>
      <c r="AZ676" s="24"/>
    </row>
    <row r="677">
      <c r="B677" s="24"/>
      <c r="E677" s="113"/>
      <c r="F677" s="266"/>
      <c r="G677" s="113"/>
      <c r="K677" s="36"/>
      <c r="L677" s="117"/>
      <c r="N677" s="117"/>
      <c r="R677" s="117"/>
      <c r="T677" s="117"/>
      <c r="V677" s="117"/>
      <c r="X677" s="117"/>
      <c r="Y677" s="10"/>
      <c r="Z677" s="11"/>
      <c r="AA677" s="36"/>
      <c r="AB677" s="36"/>
      <c r="AC677" s="13"/>
      <c r="AD677" s="13"/>
      <c r="AE677" s="37"/>
      <c r="AF677" s="37"/>
      <c r="AG677" s="14"/>
      <c r="AH677" s="14"/>
      <c r="AI677" s="14"/>
      <c r="AZ677" s="24"/>
    </row>
    <row r="678">
      <c r="B678" s="24"/>
      <c r="E678" s="113"/>
      <c r="F678" s="266"/>
      <c r="G678" s="113"/>
      <c r="K678" s="36"/>
      <c r="L678" s="117"/>
      <c r="N678" s="117"/>
      <c r="R678" s="117"/>
      <c r="T678" s="117"/>
      <c r="V678" s="117"/>
      <c r="X678" s="117"/>
      <c r="Y678" s="10"/>
      <c r="Z678" s="11"/>
      <c r="AA678" s="36"/>
      <c r="AB678" s="36"/>
      <c r="AC678" s="13"/>
      <c r="AD678" s="13"/>
      <c r="AE678" s="37"/>
      <c r="AF678" s="37"/>
      <c r="AG678" s="14"/>
      <c r="AH678" s="14"/>
      <c r="AI678" s="14"/>
      <c r="AZ678" s="24"/>
    </row>
    <row r="679">
      <c r="B679" s="24"/>
      <c r="E679" s="113"/>
      <c r="F679" s="266"/>
      <c r="G679" s="113"/>
      <c r="K679" s="36"/>
      <c r="L679" s="117"/>
      <c r="N679" s="117"/>
      <c r="R679" s="117"/>
      <c r="T679" s="117"/>
      <c r="V679" s="117"/>
      <c r="X679" s="117"/>
      <c r="Y679" s="10"/>
      <c r="Z679" s="11"/>
      <c r="AA679" s="36"/>
      <c r="AB679" s="36"/>
      <c r="AC679" s="13"/>
      <c r="AD679" s="13"/>
      <c r="AE679" s="37"/>
      <c r="AF679" s="37"/>
      <c r="AG679" s="14"/>
      <c r="AH679" s="14"/>
      <c r="AI679" s="14"/>
      <c r="AZ679" s="24"/>
    </row>
    <row r="680">
      <c r="B680" s="24"/>
      <c r="E680" s="113"/>
      <c r="F680" s="266"/>
      <c r="G680" s="113"/>
      <c r="K680" s="36"/>
      <c r="L680" s="117"/>
      <c r="N680" s="117"/>
      <c r="R680" s="117"/>
      <c r="T680" s="117"/>
      <c r="V680" s="117"/>
      <c r="X680" s="117"/>
      <c r="Y680" s="10"/>
      <c r="Z680" s="11"/>
      <c r="AA680" s="36"/>
      <c r="AB680" s="36"/>
      <c r="AC680" s="13"/>
      <c r="AD680" s="13"/>
      <c r="AE680" s="37"/>
      <c r="AF680" s="37"/>
      <c r="AG680" s="14"/>
      <c r="AH680" s="14"/>
      <c r="AI680" s="14"/>
      <c r="AZ680" s="24"/>
    </row>
    <row r="681">
      <c r="B681" s="24"/>
      <c r="E681" s="113"/>
      <c r="F681" s="266"/>
      <c r="G681" s="113"/>
      <c r="K681" s="36"/>
      <c r="L681" s="117"/>
      <c r="N681" s="117"/>
      <c r="R681" s="117"/>
      <c r="T681" s="117"/>
      <c r="V681" s="117"/>
      <c r="X681" s="117"/>
      <c r="Y681" s="10"/>
      <c r="Z681" s="11"/>
      <c r="AA681" s="36"/>
      <c r="AB681" s="36"/>
      <c r="AC681" s="13"/>
      <c r="AD681" s="13"/>
      <c r="AE681" s="37"/>
      <c r="AF681" s="37"/>
      <c r="AG681" s="14"/>
      <c r="AH681" s="14"/>
      <c r="AI681" s="14"/>
      <c r="AZ681" s="24"/>
    </row>
    <row r="682">
      <c r="B682" s="24"/>
      <c r="E682" s="113"/>
      <c r="F682" s="266"/>
      <c r="G682" s="113"/>
      <c r="K682" s="36"/>
      <c r="L682" s="117"/>
      <c r="N682" s="117"/>
      <c r="R682" s="117"/>
      <c r="T682" s="117"/>
      <c r="V682" s="117"/>
      <c r="X682" s="117"/>
      <c r="Y682" s="10"/>
      <c r="Z682" s="11"/>
      <c r="AA682" s="36"/>
      <c r="AB682" s="36"/>
      <c r="AC682" s="13"/>
      <c r="AD682" s="13"/>
      <c r="AE682" s="37"/>
      <c r="AF682" s="37"/>
      <c r="AG682" s="14"/>
      <c r="AH682" s="14"/>
      <c r="AI682" s="14"/>
      <c r="AZ682" s="24"/>
    </row>
    <row r="683">
      <c r="B683" s="24"/>
      <c r="E683" s="113"/>
      <c r="F683" s="266"/>
      <c r="G683" s="113"/>
      <c r="K683" s="36"/>
      <c r="L683" s="117"/>
      <c r="N683" s="117"/>
      <c r="R683" s="117"/>
      <c r="T683" s="117"/>
      <c r="V683" s="117"/>
      <c r="X683" s="117"/>
      <c r="Y683" s="10"/>
      <c r="Z683" s="11"/>
      <c r="AA683" s="36"/>
      <c r="AB683" s="36"/>
      <c r="AC683" s="13"/>
      <c r="AD683" s="13"/>
      <c r="AE683" s="37"/>
      <c r="AF683" s="37"/>
      <c r="AG683" s="14"/>
      <c r="AH683" s="14"/>
      <c r="AI683" s="14"/>
      <c r="AZ683" s="24"/>
    </row>
    <row r="684">
      <c r="B684" s="24"/>
      <c r="E684" s="113"/>
      <c r="F684" s="266"/>
      <c r="G684" s="113"/>
      <c r="K684" s="36"/>
      <c r="L684" s="117"/>
      <c r="N684" s="117"/>
      <c r="R684" s="117"/>
      <c r="T684" s="117"/>
      <c r="V684" s="117"/>
      <c r="X684" s="117"/>
      <c r="Y684" s="10"/>
      <c r="Z684" s="11"/>
      <c r="AA684" s="36"/>
      <c r="AB684" s="36"/>
      <c r="AC684" s="13"/>
      <c r="AD684" s="13"/>
      <c r="AE684" s="37"/>
      <c r="AF684" s="37"/>
      <c r="AG684" s="14"/>
      <c r="AH684" s="14"/>
      <c r="AI684" s="14"/>
      <c r="AZ684" s="24"/>
    </row>
    <row r="685">
      <c r="B685" s="24"/>
      <c r="E685" s="113"/>
      <c r="F685" s="266"/>
      <c r="G685" s="113"/>
      <c r="K685" s="36"/>
      <c r="L685" s="117"/>
      <c r="N685" s="117"/>
      <c r="R685" s="117"/>
      <c r="T685" s="117"/>
      <c r="V685" s="117"/>
      <c r="X685" s="117"/>
      <c r="Y685" s="10"/>
      <c r="Z685" s="11"/>
      <c r="AA685" s="36"/>
      <c r="AB685" s="36"/>
      <c r="AC685" s="13"/>
      <c r="AD685" s="13"/>
      <c r="AE685" s="37"/>
      <c r="AF685" s="37"/>
      <c r="AG685" s="14"/>
      <c r="AH685" s="14"/>
      <c r="AI685" s="14"/>
      <c r="AZ685" s="24"/>
    </row>
    <row r="686">
      <c r="B686" s="24"/>
      <c r="E686" s="113"/>
      <c r="F686" s="266"/>
      <c r="G686" s="113"/>
      <c r="K686" s="36"/>
      <c r="L686" s="117"/>
      <c r="N686" s="117"/>
      <c r="R686" s="117"/>
      <c r="T686" s="117"/>
      <c r="V686" s="117"/>
      <c r="X686" s="117"/>
      <c r="Y686" s="10"/>
      <c r="Z686" s="11"/>
      <c r="AA686" s="36"/>
      <c r="AB686" s="36"/>
      <c r="AC686" s="13"/>
      <c r="AD686" s="13"/>
      <c r="AE686" s="37"/>
      <c r="AF686" s="37"/>
      <c r="AG686" s="14"/>
      <c r="AH686" s="14"/>
      <c r="AI686" s="14"/>
      <c r="AZ686" s="24"/>
    </row>
    <row r="687">
      <c r="B687" s="24"/>
      <c r="E687" s="113"/>
      <c r="F687" s="266"/>
      <c r="G687" s="113"/>
      <c r="K687" s="36"/>
      <c r="L687" s="117"/>
      <c r="N687" s="117"/>
      <c r="R687" s="117"/>
      <c r="T687" s="117"/>
      <c r="V687" s="117"/>
      <c r="X687" s="117"/>
      <c r="Y687" s="10"/>
      <c r="Z687" s="11"/>
      <c r="AA687" s="36"/>
      <c r="AB687" s="36"/>
      <c r="AC687" s="13"/>
      <c r="AD687" s="13"/>
      <c r="AE687" s="37"/>
      <c r="AF687" s="37"/>
      <c r="AG687" s="14"/>
      <c r="AH687" s="14"/>
      <c r="AI687" s="14"/>
      <c r="AZ687" s="24"/>
    </row>
    <row r="688">
      <c r="B688" s="24"/>
      <c r="E688" s="113"/>
      <c r="F688" s="266"/>
      <c r="G688" s="113"/>
      <c r="K688" s="36"/>
      <c r="L688" s="117"/>
      <c r="N688" s="117"/>
      <c r="R688" s="117"/>
      <c r="T688" s="117"/>
      <c r="V688" s="117"/>
      <c r="X688" s="117"/>
      <c r="Y688" s="10"/>
      <c r="Z688" s="11"/>
      <c r="AA688" s="36"/>
      <c r="AB688" s="36"/>
      <c r="AC688" s="13"/>
      <c r="AD688" s="13"/>
      <c r="AE688" s="37"/>
      <c r="AF688" s="37"/>
      <c r="AG688" s="14"/>
      <c r="AH688" s="14"/>
      <c r="AI688" s="14"/>
      <c r="AZ688" s="24"/>
    </row>
    <row r="689">
      <c r="B689" s="24"/>
      <c r="E689" s="113"/>
      <c r="F689" s="266"/>
      <c r="G689" s="113"/>
      <c r="K689" s="36"/>
      <c r="L689" s="117"/>
      <c r="N689" s="117"/>
      <c r="R689" s="117"/>
      <c r="T689" s="117"/>
      <c r="V689" s="117"/>
      <c r="X689" s="117"/>
      <c r="Y689" s="10"/>
      <c r="Z689" s="11"/>
      <c r="AA689" s="36"/>
      <c r="AB689" s="36"/>
      <c r="AC689" s="13"/>
      <c r="AD689" s="13"/>
      <c r="AE689" s="37"/>
      <c r="AF689" s="37"/>
      <c r="AG689" s="14"/>
      <c r="AH689" s="14"/>
      <c r="AI689" s="14"/>
      <c r="AZ689" s="24"/>
    </row>
    <row r="690">
      <c r="B690" s="24"/>
      <c r="E690" s="113"/>
      <c r="F690" s="266"/>
      <c r="G690" s="113"/>
      <c r="K690" s="36"/>
      <c r="L690" s="117"/>
      <c r="N690" s="117"/>
      <c r="R690" s="117"/>
      <c r="T690" s="117"/>
      <c r="V690" s="117"/>
      <c r="X690" s="117"/>
      <c r="Y690" s="10"/>
      <c r="Z690" s="11"/>
      <c r="AA690" s="36"/>
      <c r="AB690" s="36"/>
      <c r="AC690" s="13"/>
      <c r="AD690" s="13"/>
      <c r="AE690" s="37"/>
      <c r="AF690" s="37"/>
      <c r="AG690" s="14"/>
      <c r="AH690" s="14"/>
      <c r="AI690" s="14"/>
      <c r="AZ690" s="24"/>
    </row>
    <row r="691">
      <c r="B691" s="24"/>
      <c r="E691" s="113"/>
      <c r="F691" s="266"/>
      <c r="G691" s="113"/>
      <c r="K691" s="36"/>
      <c r="L691" s="117"/>
      <c r="N691" s="117"/>
      <c r="R691" s="117"/>
      <c r="T691" s="117"/>
      <c r="V691" s="117"/>
      <c r="X691" s="117"/>
      <c r="Y691" s="10"/>
      <c r="Z691" s="11"/>
      <c r="AA691" s="36"/>
      <c r="AB691" s="36"/>
      <c r="AC691" s="13"/>
      <c r="AD691" s="13"/>
      <c r="AE691" s="37"/>
      <c r="AF691" s="37"/>
      <c r="AG691" s="14"/>
      <c r="AH691" s="14"/>
      <c r="AI691" s="14"/>
      <c r="AZ691" s="24"/>
    </row>
    <row r="692">
      <c r="B692" s="24"/>
      <c r="E692" s="113"/>
      <c r="F692" s="266"/>
      <c r="G692" s="113"/>
      <c r="K692" s="36"/>
      <c r="L692" s="117"/>
      <c r="N692" s="117"/>
      <c r="R692" s="117"/>
      <c r="T692" s="117"/>
      <c r="V692" s="117"/>
      <c r="X692" s="117"/>
      <c r="Y692" s="10"/>
      <c r="Z692" s="11"/>
      <c r="AA692" s="36"/>
      <c r="AB692" s="36"/>
      <c r="AC692" s="13"/>
      <c r="AD692" s="13"/>
      <c r="AE692" s="37"/>
      <c r="AF692" s="37"/>
      <c r="AG692" s="14"/>
      <c r="AH692" s="14"/>
      <c r="AI692" s="14"/>
      <c r="AZ692" s="24"/>
    </row>
    <row r="693">
      <c r="B693" s="24"/>
      <c r="E693" s="113"/>
      <c r="F693" s="266"/>
      <c r="G693" s="113"/>
      <c r="K693" s="36"/>
      <c r="L693" s="117"/>
      <c r="N693" s="117"/>
      <c r="R693" s="117"/>
      <c r="T693" s="117"/>
      <c r="V693" s="117"/>
      <c r="X693" s="117"/>
      <c r="Y693" s="10"/>
      <c r="Z693" s="11"/>
      <c r="AA693" s="36"/>
      <c r="AB693" s="36"/>
      <c r="AC693" s="13"/>
      <c r="AD693" s="13"/>
      <c r="AE693" s="37"/>
      <c r="AF693" s="37"/>
      <c r="AG693" s="14"/>
      <c r="AH693" s="14"/>
      <c r="AI693" s="14"/>
      <c r="AZ693" s="24"/>
    </row>
    <row r="694">
      <c r="B694" s="24"/>
      <c r="E694" s="113"/>
      <c r="F694" s="266"/>
      <c r="G694" s="113"/>
      <c r="K694" s="36"/>
      <c r="L694" s="117"/>
      <c r="N694" s="117"/>
      <c r="R694" s="117"/>
      <c r="T694" s="117"/>
      <c r="V694" s="117"/>
      <c r="X694" s="117"/>
      <c r="Y694" s="10"/>
      <c r="Z694" s="11"/>
      <c r="AA694" s="36"/>
      <c r="AB694" s="36"/>
      <c r="AC694" s="13"/>
      <c r="AD694" s="13"/>
      <c r="AE694" s="37"/>
      <c r="AF694" s="37"/>
      <c r="AG694" s="14"/>
      <c r="AH694" s="14"/>
      <c r="AI694" s="14"/>
      <c r="AZ694" s="24"/>
    </row>
    <row r="695">
      <c r="B695" s="24"/>
      <c r="E695" s="113"/>
      <c r="F695" s="266"/>
      <c r="G695" s="113"/>
      <c r="K695" s="36"/>
      <c r="L695" s="117"/>
      <c r="N695" s="117"/>
      <c r="R695" s="117"/>
      <c r="T695" s="117"/>
      <c r="V695" s="117"/>
      <c r="X695" s="117"/>
      <c r="Y695" s="10"/>
      <c r="Z695" s="11"/>
      <c r="AA695" s="36"/>
      <c r="AB695" s="36"/>
      <c r="AC695" s="13"/>
      <c r="AD695" s="13"/>
      <c r="AE695" s="37"/>
      <c r="AF695" s="37"/>
      <c r="AG695" s="14"/>
      <c r="AH695" s="14"/>
      <c r="AI695" s="14"/>
      <c r="AZ695" s="24"/>
    </row>
    <row r="696">
      <c r="B696" s="24"/>
      <c r="E696" s="113"/>
      <c r="F696" s="266"/>
      <c r="G696" s="113"/>
      <c r="K696" s="36"/>
      <c r="L696" s="117"/>
      <c r="N696" s="117"/>
      <c r="R696" s="117"/>
      <c r="T696" s="117"/>
      <c r="V696" s="117"/>
      <c r="X696" s="117"/>
      <c r="Y696" s="10"/>
      <c r="Z696" s="11"/>
      <c r="AA696" s="36"/>
      <c r="AB696" s="36"/>
      <c r="AC696" s="13"/>
      <c r="AD696" s="13"/>
      <c r="AE696" s="37"/>
      <c r="AF696" s="37"/>
      <c r="AG696" s="14"/>
      <c r="AH696" s="14"/>
      <c r="AI696" s="14"/>
      <c r="AZ696" s="24"/>
    </row>
    <row r="697">
      <c r="B697" s="24"/>
      <c r="E697" s="113"/>
      <c r="F697" s="266"/>
      <c r="G697" s="113"/>
      <c r="K697" s="36"/>
      <c r="L697" s="117"/>
      <c r="N697" s="117"/>
      <c r="R697" s="117"/>
      <c r="T697" s="117"/>
      <c r="V697" s="117"/>
      <c r="X697" s="117"/>
      <c r="Y697" s="10"/>
      <c r="Z697" s="11"/>
      <c r="AA697" s="36"/>
      <c r="AB697" s="36"/>
      <c r="AC697" s="13"/>
      <c r="AD697" s="13"/>
      <c r="AE697" s="37"/>
      <c r="AF697" s="37"/>
      <c r="AG697" s="14"/>
      <c r="AH697" s="14"/>
      <c r="AI697" s="14"/>
      <c r="AZ697" s="24"/>
    </row>
    <row r="698">
      <c r="B698" s="24"/>
      <c r="E698" s="113"/>
      <c r="F698" s="266"/>
      <c r="G698" s="113"/>
      <c r="K698" s="36"/>
      <c r="L698" s="117"/>
      <c r="N698" s="117"/>
      <c r="R698" s="117"/>
      <c r="T698" s="117"/>
      <c r="V698" s="117"/>
      <c r="X698" s="117"/>
      <c r="Y698" s="10"/>
      <c r="Z698" s="11"/>
      <c r="AA698" s="36"/>
      <c r="AB698" s="36"/>
      <c r="AC698" s="13"/>
      <c r="AD698" s="13"/>
      <c r="AE698" s="37"/>
      <c r="AF698" s="37"/>
      <c r="AG698" s="14"/>
      <c r="AH698" s="14"/>
      <c r="AI698" s="14"/>
      <c r="AZ698" s="24"/>
    </row>
    <row r="699">
      <c r="B699" s="24"/>
      <c r="E699" s="113"/>
      <c r="F699" s="266"/>
      <c r="G699" s="113"/>
      <c r="K699" s="36"/>
      <c r="L699" s="117"/>
      <c r="N699" s="117"/>
      <c r="R699" s="117"/>
      <c r="T699" s="117"/>
      <c r="V699" s="117"/>
      <c r="X699" s="117"/>
      <c r="Y699" s="10"/>
      <c r="Z699" s="11"/>
      <c r="AA699" s="36"/>
      <c r="AB699" s="36"/>
      <c r="AC699" s="13"/>
      <c r="AD699" s="13"/>
      <c r="AE699" s="37"/>
      <c r="AF699" s="37"/>
      <c r="AG699" s="14"/>
      <c r="AH699" s="14"/>
      <c r="AI699" s="14"/>
      <c r="AZ699" s="24"/>
    </row>
    <row r="700">
      <c r="B700" s="24"/>
      <c r="E700" s="113"/>
      <c r="F700" s="266"/>
      <c r="G700" s="113"/>
      <c r="K700" s="36"/>
      <c r="L700" s="117"/>
      <c r="N700" s="117"/>
      <c r="R700" s="117"/>
      <c r="T700" s="117"/>
      <c r="V700" s="117"/>
      <c r="X700" s="117"/>
      <c r="Y700" s="10"/>
      <c r="Z700" s="11"/>
      <c r="AA700" s="36"/>
      <c r="AB700" s="36"/>
      <c r="AC700" s="13"/>
      <c r="AD700" s="13"/>
      <c r="AE700" s="37"/>
      <c r="AF700" s="37"/>
      <c r="AG700" s="14"/>
      <c r="AH700" s="14"/>
      <c r="AI700" s="14"/>
      <c r="AZ700" s="24"/>
    </row>
    <row r="701">
      <c r="B701" s="24"/>
      <c r="E701" s="113"/>
      <c r="F701" s="266"/>
      <c r="G701" s="113"/>
      <c r="K701" s="36"/>
      <c r="L701" s="117"/>
      <c r="N701" s="117"/>
      <c r="R701" s="117"/>
      <c r="T701" s="117"/>
      <c r="V701" s="117"/>
      <c r="X701" s="117"/>
      <c r="Y701" s="10"/>
      <c r="Z701" s="11"/>
      <c r="AA701" s="36"/>
      <c r="AB701" s="36"/>
      <c r="AC701" s="13"/>
      <c r="AD701" s="13"/>
      <c r="AE701" s="37"/>
      <c r="AF701" s="37"/>
      <c r="AG701" s="14"/>
      <c r="AH701" s="14"/>
      <c r="AI701" s="14"/>
      <c r="AZ701" s="24"/>
    </row>
    <row r="702">
      <c r="B702" s="24"/>
      <c r="E702" s="113"/>
      <c r="F702" s="266"/>
      <c r="G702" s="113"/>
      <c r="K702" s="36"/>
      <c r="L702" s="117"/>
      <c r="N702" s="117"/>
      <c r="R702" s="117"/>
      <c r="T702" s="117"/>
      <c r="V702" s="117"/>
      <c r="X702" s="117"/>
      <c r="Y702" s="10"/>
      <c r="Z702" s="11"/>
      <c r="AA702" s="36"/>
      <c r="AB702" s="36"/>
      <c r="AC702" s="13"/>
      <c r="AD702" s="13"/>
      <c r="AE702" s="37"/>
      <c r="AF702" s="37"/>
      <c r="AG702" s="14"/>
      <c r="AH702" s="14"/>
      <c r="AI702" s="14"/>
      <c r="AZ702" s="24"/>
    </row>
    <row r="703">
      <c r="B703" s="24"/>
      <c r="E703" s="113"/>
      <c r="F703" s="266"/>
      <c r="G703" s="113"/>
      <c r="K703" s="36"/>
      <c r="L703" s="117"/>
      <c r="N703" s="117"/>
      <c r="R703" s="117"/>
      <c r="T703" s="117"/>
      <c r="V703" s="117"/>
      <c r="X703" s="117"/>
      <c r="Y703" s="10"/>
      <c r="Z703" s="11"/>
      <c r="AA703" s="36"/>
      <c r="AB703" s="36"/>
      <c r="AC703" s="13"/>
      <c r="AD703" s="13"/>
      <c r="AE703" s="37"/>
      <c r="AF703" s="37"/>
      <c r="AG703" s="14"/>
      <c r="AH703" s="14"/>
      <c r="AI703" s="14"/>
      <c r="AZ703" s="24"/>
    </row>
    <row r="704">
      <c r="B704" s="24"/>
      <c r="E704" s="113"/>
      <c r="F704" s="266"/>
      <c r="G704" s="113"/>
      <c r="K704" s="36"/>
      <c r="L704" s="117"/>
      <c r="N704" s="117"/>
      <c r="R704" s="117"/>
      <c r="T704" s="117"/>
      <c r="V704" s="117"/>
      <c r="X704" s="117"/>
      <c r="Y704" s="10"/>
      <c r="Z704" s="11"/>
      <c r="AA704" s="36"/>
      <c r="AB704" s="36"/>
      <c r="AC704" s="13"/>
      <c r="AD704" s="13"/>
      <c r="AE704" s="37"/>
      <c r="AF704" s="37"/>
      <c r="AG704" s="14"/>
      <c r="AH704" s="14"/>
      <c r="AI704" s="14"/>
      <c r="AZ704" s="24"/>
    </row>
    <row r="705">
      <c r="B705" s="24"/>
      <c r="E705" s="113"/>
      <c r="F705" s="266"/>
      <c r="G705" s="113"/>
      <c r="K705" s="36"/>
      <c r="L705" s="117"/>
      <c r="N705" s="117"/>
      <c r="R705" s="117"/>
      <c r="T705" s="117"/>
      <c r="V705" s="117"/>
      <c r="X705" s="117"/>
      <c r="Y705" s="10"/>
      <c r="Z705" s="11"/>
      <c r="AA705" s="36"/>
      <c r="AB705" s="36"/>
      <c r="AC705" s="13"/>
      <c r="AD705" s="13"/>
      <c r="AE705" s="37"/>
      <c r="AF705" s="37"/>
      <c r="AG705" s="14"/>
      <c r="AH705" s="14"/>
      <c r="AI705" s="14"/>
      <c r="AZ705" s="24"/>
    </row>
    <row r="706">
      <c r="B706" s="24"/>
      <c r="E706" s="113"/>
      <c r="F706" s="266"/>
      <c r="G706" s="113"/>
      <c r="K706" s="36"/>
      <c r="L706" s="117"/>
      <c r="N706" s="117"/>
      <c r="R706" s="117"/>
      <c r="T706" s="117"/>
      <c r="V706" s="117"/>
      <c r="X706" s="117"/>
      <c r="Y706" s="10"/>
      <c r="Z706" s="11"/>
      <c r="AA706" s="36"/>
      <c r="AB706" s="36"/>
      <c r="AC706" s="13"/>
      <c r="AD706" s="13"/>
      <c r="AE706" s="37"/>
      <c r="AF706" s="37"/>
      <c r="AG706" s="14"/>
      <c r="AH706" s="14"/>
      <c r="AI706" s="14"/>
      <c r="AZ706" s="24"/>
    </row>
    <row r="707">
      <c r="B707" s="24"/>
      <c r="E707" s="113"/>
      <c r="F707" s="266"/>
      <c r="G707" s="113"/>
      <c r="K707" s="36"/>
      <c r="L707" s="117"/>
      <c r="N707" s="117"/>
      <c r="R707" s="117"/>
      <c r="T707" s="117"/>
      <c r="V707" s="117"/>
      <c r="X707" s="117"/>
      <c r="Y707" s="10"/>
      <c r="Z707" s="11"/>
      <c r="AA707" s="36"/>
      <c r="AB707" s="36"/>
      <c r="AC707" s="13"/>
      <c r="AD707" s="13"/>
      <c r="AE707" s="37"/>
      <c r="AF707" s="37"/>
      <c r="AG707" s="14"/>
      <c r="AH707" s="14"/>
      <c r="AI707" s="14"/>
      <c r="AZ707" s="24"/>
    </row>
    <row r="708">
      <c r="B708" s="24"/>
      <c r="E708" s="113"/>
      <c r="F708" s="266"/>
      <c r="G708" s="113"/>
      <c r="K708" s="36"/>
      <c r="L708" s="117"/>
      <c r="N708" s="117"/>
      <c r="R708" s="117"/>
      <c r="T708" s="117"/>
      <c r="V708" s="117"/>
      <c r="X708" s="117"/>
      <c r="Y708" s="10"/>
      <c r="Z708" s="11"/>
      <c r="AA708" s="36"/>
      <c r="AB708" s="36"/>
      <c r="AC708" s="13"/>
      <c r="AD708" s="13"/>
      <c r="AE708" s="37"/>
      <c r="AF708" s="37"/>
      <c r="AG708" s="14"/>
      <c r="AH708" s="14"/>
      <c r="AI708" s="14"/>
      <c r="AZ708" s="24"/>
    </row>
    <row r="709">
      <c r="B709" s="24"/>
      <c r="E709" s="113"/>
      <c r="F709" s="266"/>
      <c r="G709" s="113"/>
      <c r="K709" s="36"/>
      <c r="L709" s="117"/>
      <c r="N709" s="117"/>
      <c r="R709" s="117"/>
      <c r="T709" s="117"/>
      <c r="V709" s="117"/>
      <c r="X709" s="117"/>
      <c r="Y709" s="10"/>
      <c r="Z709" s="11"/>
      <c r="AA709" s="36"/>
      <c r="AB709" s="36"/>
      <c r="AC709" s="13"/>
      <c r="AD709" s="13"/>
      <c r="AE709" s="37"/>
      <c r="AF709" s="37"/>
      <c r="AG709" s="14"/>
      <c r="AH709" s="14"/>
      <c r="AI709" s="14"/>
      <c r="AZ709" s="24"/>
    </row>
    <row r="710">
      <c r="B710" s="24"/>
      <c r="E710" s="113"/>
      <c r="F710" s="266"/>
      <c r="G710" s="113"/>
      <c r="K710" s="36"/>
      <c r="L710" s="117"/>
      <c r="N710" s="117"/>
      <c r="R710" s="117"/>
      <c r="T710" s="117"/>
      <c r="V710" s="117"/>
      <c r="X710" s="117"/>
      <c r="Y710" s="10"/>
      <c r="Z710" s="11"/>
      <c r="AA710" s="36"/>
      <c r="AB710" s="36"/>
      <c r="AC710" s="13"/>
      <c r="AD710" s="13"/>
      <c r="AE710" s="37"/>
      <c r="AF710" s="37"/>
      <c r="AG710" s="14"/>
      <c r="AH710" s="14"/>
      <c r="AI710" s="14"/>
      <c r="AZ710" s="24"/>
    </row>
    <row r="711">
      <c r="B711" s="24"/>
      <c r="E711" s="113"/>
      <c r="F711" s="266"/>
      <c r="G711" s="113"/>
      <c r="K711" s="36"/>
      <c r="L711" s="117"/>
      <c r="N711" s="117"/>
      <c r="R711" s="117"/>
      <c r="T711" s="117"/>
      <c r="V711" s="117"/>
      <c r="X711" s="117"/>
      <c r="Y711" s="10"/>
      <c r="Z711" s="11"/>
      <c r="AA711" s="36"/>
      <c r="AB711" s="36"/>
      <c r="AC711" s="13"/>
      <c r="AD711" s="13"/>
      <c r="AE711" s="37"/>
      <c r="AF711" s="37"/>
      <c r="AG711" s="14"/>
      <c r="AH711" s="14"/>
      <c r="AI711" s="14"/>
      <c r="AZ711" s="24"/>
    </row>
    <row r="712">
      <c r="B712" s="24"/>
      <c r="E712" s="113"/>
      <c r="F712" s="266"/>
      <c r="G712" s="113"/>
      <c r="K712" s="36"/>
      <c r="L712" s="117"/>
      <c r="N712" s="117"/>
      <c r="R712" s="117"/>
      <c r="T712" s="117"/>
      <c r="V712" s="117"/>
      <c r="X712" s="117"/>
      <c r="Y712" s="10"/>
      <c r="Z712" s="11"/>
      <c r="AA712" s="36"/>
      <c r="AB712" s="36"/>
      <c r="AC712" s="13"/>
      <c r="AD712" s="13"/>
      <c r="AE712" s="37"/>
      <c r="AF712" s="37"/>
      <c r="AG712" s="14"/>
      <c r="AH712" s="14"/>
      <c r="AI712" s="14"/>
      <c r="AZ712" s="24"/>
    </row>
    <row r="713">
      <c r="B713" s="24"/>
      <c r="E713" s="113"/>
      <c r="F713" s="266"/>
      <c r="G713" s="113"/>
      <c r="K713" s="36"/>
      <c r="L713" s="117"/>
      <c r="N713" s="117"/>
      <c r="R713" s="117"/>
      <c r="T713" s="117"/>
      <c r="V713" s="117"/>
      <c r="X713" s="117"/>
      <c r="Y713" s="10"/>
      <c r="Z713" s="11"/>
      <c r="AA713" s="36"/>
      <c r="AB713" s="36"/>
      <c r="AC713" s="13"/>
      <c r="AD713" s="13"/>
      <c r="AE713" s="37"/>
      <c r="AF713" s="37"/>
      <c r="AG713" s="14"/>
      <c r="AH713" s="14"/>
      <c r="AI713" s="14"/>
      <c r="AZ713" s="24"/>
    </row>
    <row r="714">
      <c r="B714" s="24"/>
      <c r="E714" s="113"/>
      <c r="F714" s="266"/>
      <c r="G714" s="113"/>
      <c r="K714" s="36"/>
      <c r="L714" s="117"/>
      <c r="N714" s="117"/>
      <c r="R714" s="117"/>
      <c r="T714" s="117"/>
      <c r="V714" s="117"/>
      <c r="X714" s="117"/>
      <c r="Y714" s="10"/>
      <c r="Z714" s="11"/>
      <c r="AA714" s="36"/>
      <c r="AB714" s="36"/>
      <c r="AC714" s="13"/>
      <c r="AD714" s="13"/>
      <c r="AE714" s="37"/>
      <c r="AF714" s="37"/>
      <c r="AG714" s="14"/>
      <c r="AH714" s="14"/>
      <c r="AI714" s="14"/>
      <c r="AZ714" s="24"/>
    </row>
    <row r="715">
      <c r="B715" s="24"/>
      <c r="E715" s="113"/>
      <c r="F715" s="266"/>
      <c r="G715" s="113"/>
      <c r="K715" s="36"/>
      <c r="L715" s="117"/>
      <c r="N715" s="117"/>
      <c r="R715" s="117"/>
      <c r="T715" s="117"/>
      <c r="V715" s="117"/>
      <c r="X715" s="117"/>
      <c r="Y715" s="10"/>
      <c r="Z715" s="11"/>
      <c r="AA715" s="36"/>
      <c r="AB715" s="36"/>
      <c r="AC715" s="13"/>
      <c r="AD715" s="13"/>
      <c r="AE715" s="37"/>
      <c r="AF715" s="37"/>
      <c r="AG715" s="14"/>
      <c r="AH715" s="14"/>
      <c r="AI715" s="14"/>
      <c r="AZ715" s="24"/>
    </row>
    <row r="716">
      <c r="B716" s="24"/>
      <c r="E716" s="113"/>
      <c r="F716" s="266"/>
      <c r="G716" s="113"/>
      <c r="K716" s="36"/>
      <c r="L716" s="117"/>
      <c r="N716" s="117"/>
      <c r="R716" s="117"/>
      <c r="T716" s="117"/>
      <c r="V716" s="117"/>
      <c r="X716" s="117"/>
      <c r="Y716" s="10"/>
      <c r="Z716" s="11"/>
      <c r="AA716" s="36"/>
      <c r="AB716" s="36"/>
      <c r="AC716" s="13"/>
      <c r="AD716" s="13"/>
      <c r="AE716" s="37"/>
      <c r="AF716" s="37"/>
      <c r="AG716" s="14"/>
      <c r="AH716" s="14"/>
      <c r="AI716" s="14"/>
      <c r="AZ716" s="24"/>
    </row>
    <row r="717">
      <c r="B717" s="24"/>
      <c r="E717" s="113"/>
      <c r="F717" s="266"/>
      <c r="G717" s="113"/>
      <c r="K717" s="36"/>
      <c r="L717" s="117"/>
      <c r="N717" s="117"/>
      <c r="R717" s="117"/>
      <c r="T717" s="117"/>
      <c r="V717" s="117"/>
      <c r="X717" s="117"/>
      <c r="Y717" s="10"/>
      <c r="Z717" s="11"/>
      <c r="AA717" s="36"/>
      <c r="AB717" s="36"/>
      <c r="AC717" s="13"/>
      <c r="AD717" s="13"/>
      <c r="AE717" s="37"/>
      <c r="AF717" s="37"/>
      <c r="AG717" s="14"/>
      <c r="AH717" s="14"/>
      <c r="AI717" s="14"/>
      <c r="AZ717" s="24"/>
    </row>
    <row r="718">
      <c r="B718" s="24"/>
      <c r="E718" s="113"/>
      <c r="F718" s="266"/>
      <c r="G718" s="113"/>
      <c r="K718" s="36"/>
      <c r="L718" s="117"/>
      <c r="N718" s="117"/>
      <c r="R718" s="117"/>
      <c r="T718" s="117"/>
      <c r="V718" s="117"/>
      <c r="X718" s="117"/>
      <c r="Y718" s="10"/>
      <c r="Z718" s="11"/>
      <c r="AA718" s="36"/>
      <c r="AB718" s="36"/>
      <c r="AC718" s="13"/>
      <c r="AD718" s="13"/>
      <c r="AE718" s="37"/>
      <c r="AF718" s="37"/>
      <c r="AG718" s="14"/>
      <c r="AH718" s="14"/>
      <c r="AI718" s="14"/>
      <c r="AZ718" s="24"/>
    </row>
    <row r="719">
      <c r="B719" s="24"/>
      <c r="E719" s="113"/>
      <c r="F719" s="266"/>
      <c r="G719" s="113"/>
      <c r="K719" s="36"/>
      <c r="L719" s="117"/>
      <c r="N719" s="117"/>
      <c r="R719" s="117"/>
      <c r="T719" s="117"/>
      <c r="V719" s="117"/>
      <c r="X719" s="117"/>
      <c r="Y719" s="10"/>
      <c r="Z719" s="11"/>
      <c r="AA719" s="36"/>
      <c r="AB719" s="36"/>
      <c r="AC719" s="13"/>
      <c r="AD719" s="13"/>
      <c r="AE719" s="37"/>
      <c r="AF719" s="37"/>
      <c r="AG719" s="14"/>
      <c r="AH719" s="14"/>
      <c r="AI719" s="14"/>
      <c r="AZ719" s="24"/>
    </row>
    <row r="720">
      <c r="B720" s="24"/>
      <c r="E720" s="113"/>
      <c r="F720" s="266"/>
      <c r="G720" s="113"/>
      <c r="K720" s="36"/>
      <c r="L720" s="117"/>
      <c r="N720" s="117"/>
      <c r="R720" s="117"/>
      <c r="T720" s="117"/>
      <c r="V720" s="117"/>
      <c r="X720" s="117"/>
      <c r="Y720" s="10"/>
      <c r="Z720" s="11"/>
      <c r="AA720" s="36"/>
      <c r="AB720" s="36"/>
      <c r="AC720" s="13"/>
      <c r="AD720" s="13"/>
      <c r="AE720" s="37"/>
      <c r="AF720" s="37"/>
      <c r="AG720" s="14"/>
      <c r="AH720" s="14"/>
      <c r="AI720" s="14"/>
      <c r="AZ720" s="24"/>
    </row>
    <row r="721">
      <c r="B721" s="24"/>
      <c r="E721" s="113"/>
      <c r="F721" s="266"/>
      <c r="G721" s="113"/>
      <c r="K721" s="36"/>
      <c r="L721" s="117"/>
      <c r="N721" s="117"/>
      <c r="R721" s="117"/>
      <c r="T721" s="117"/>
      <c r="V721" s="117"/>
      <c r="X721" s="117"/>
      <c r="Y721" s="10"/>
      <c r="Z721" s="11"/>
      <c r="AA721" s="36"/>
      <c r="AB721" s="36"/>
      <c r="AC721" s="13"/>
      <c r="AD721" s="13"/>
      <c r="AE721" s="37"/>
      <c r="AF721" s="37"/>
      <c r="AG721" s="14"/>
      <c r="AH721" s="14"/>
      <c r="AI721" s="14"/>
      <c r="AZ721" s="24"/>
    </row>
    <row r="722">
      <c r="B722" s="24"/>
      <c r="E722" s="113"/>
      <c r="F722" s="266"/>
      <c r="G722" s="113"/>
      <c r="K722" s="36"/>
      <c r="L722" s="117"/>
      <c r="N722" s="117"/>
      <c r="R722" s="117"/>
      <c r="T722" s="117"/>
      <c r="V722" s="117"/>
      <c r="X722" s="117"/>
      <c r="Y722" s="10"/>
      <c r="Z722" s="11"/>
      <c r="AA722" s="36"/>
      <c r="AB722" s="36"/>
      <c r="AC722" s="13"/>
      <c r="AD722" s="13"/>
      <c r="AE722" s="37"/>
      <c r="AF722" s="37"/>
      <c r="AG722" s="14"/>
      <c r="AH722" s="14"/>
      <c r="AI722" s="14"/>
      <c r="AZ722" s="24"/>
    </row>
    <row r="723">
      <c r="B723" s="24"/>
      <c r="E723" s="113"/>
      <c r="F723" s="266"/>
      <c r="G723" s="113"/>
      <c r="K723" s="36"/>
      <c r="L723" s="117"/>
      <c r="N723" s="117"/>
      <c r="R723" s="117"/>
      <c r="T723" s="117"/>
      <c r="V723" s="117"/>
      <c r="X723" s="117"/>
      <c r="Y723" s="10"/>
      <c r="Z723" s="11"/>
      <c r="AA723" s="36"/>
      <c r="AB723" s="36"/>
      <c r="AC723" s="13"/>
      <c r="AD723" s="13"/>
      <c r="AE723" s="37"/>
      <c r="AF723" s="37"/>
      <c r="AG723" s="14"/>
      <c r="AH723" s="14"/>
      <c r="AI723" s="14"/>
      <c r="AZ723" s="24"/>
    </row>
    <row r="724">
      <c r="B724" s="24"/>
      <c r="E724" s="113"/>
      <c r="F724" s="266"/>
      <c r="G724" s="113"/>
      <c r="K724" s="36"/>
      <c r="L724" s="117"/>
      <c r="N724" s="117"/>
      <c r="R724" s="117"/>
      <c r="T724" s="117"/>
      <c r="V724" s="117"/>
      <c r="X724" s="117"/>
      <c r="Y724" s="10"/>
      <c r="Z724" s="11"/>
      <c r="AA724" s="36"/>
      <c r="AB724" s="36"/>
      <c r="AC724" s="13"/>
      <c r="AD724" s="13"/>
      <c r="AE724" s="37"/>
      <c r="AF724" s="37"/>
      <c r="AG724" s="14"/>
      <c r="AH724" s="14"/>
      <c r="AI724" s="14"/>
      <c r="AZ724" s="24"/>
    </row>
    <row r="725">
      <c r="B725" s="24"/>
      <c r="E725" s="113"/>
      <c r="F725" s="266"/>
      <c r="G725" s="113"/>
      <c r="K725" s="36"/>
      <c r="L725" s="117"/>
      <c r="N725" s="117"/>
      <c r="R725" s="117"/>
      <c r="T725" s="117"/>
      <c r="V725" s="117"/>
      <c r="X725" s="117"/>
      <c r="Y725" s="10"/>
      <c r="Z725" s="11"/>
      <c r="AA725" s="36"/>
      <c r="AB725" s="36"/>
      <c r="AC725" s="13"/>
      <c r="AD725" s="13"/>
      <c r="AE725" s="37"/>
      <c r="AF725" s="37"/>
      <c r="AG725" s="14"/>
      <c r="AH725" s="14"/>
      <c r="AI725" s="14"/>
      <c r="AZ725" s="24"/>
    </row>
    <row r="726">
      <c r="B726" s="24"/>
      <c r="E726" s="113"/>
      <c r="F726" s="266"/>
      <c r="G726" s="113"/>
      <c r="K726" s="36"/>
      <c r="L726" s="117"/>
      <c r="N726" s="117"/>
      <c r="R726" s="117"/>
      <c r="T726" s="117"/>
      <c r="V726" s="117"/>
      <c r="X726" s="117"/>
      <c r="Y726" s="10"/>
      <c r="Z726" s="11"/>
      <c r="AA726" s="36"/>
      <c r="AB726" s="36"/>
      <c r="AC726" s="13"/>
      <c r="AD726" s="13"/>
      <c r="AE726" s="37"/>
      <c r="AF726" s="37"/>
      <c r="AG726" s="14"/>
      <c r="AH726" s="14"/>
      <c r="AI726" s="14"/>
      <c r="AZ726" s="24"/>
    </row>
    <row r="727">
      <c r="B727" s="24"/>
      <c r="E727" s="113"/>
      <c r="F727" s="266"/>
      <c r="G727" s="113"/>
      <c r="K727" s="36"/>
      <c r="L727" s="117"/>
      <c r="N727" s="117"/>
      <c r="R727" s="117"/>
      <c r="T727" s="117"/>
      <c r="V727" s="117"/>
      <c r="X727" s="117"/>
      <c r="Y727" s="10"/>
      <c r="Z727" s="11"/>
      <c r="AA727" s="36"/>
      <c r="AB727" s="36"/>
      <c r="AC727" s="13"/>
      <c r="AD727" s="13"/>
      <c r="AE727" s="37"/>
      <c r="AF727" s="37"/>
      <c r="AG727" s="14"/>
      <c r="AH727" s="14"/>
      <c r="AI727" s="14"/>
      <c r="AZ727" s="24"/>
    </row>
    <row r="728">
      <c r="B728" s="24"/>
      <c r="E728" s="113"/>
      <c r="F728" s="266"/>
      <c r="G728" s="113"/>
      <c r="K728" s="36"/>
      <c r="L728" s="117"/>
      <c r="N728" s="117"/>
      <c r="R728" s="117"/>
      <c r="T728" s="117"/>
      <c r="V728" s="117"/>
      <c r="X728" s="117"/>
      <c r="Y728" s="10"/>
      <c r="Z728" s="11"/>
      <c r="AA728" s="36"/>
      <c r="AB728" s="36"/>
      <c r="AC728" s="13"/>
      <c r="AD728" s="13"/>
      <c r="AE728" s="37"/>
      <c r="AF728" s="37"/>
      <c r="AG728" s="14"/>
      <c r="AH728" s="14"/>
      <c r="AI728" s="14"/>
      <c r="AZ728" s="24"/>
    </row>
    <row r="729">
      <c r="B729" s="24"/>
      <c r="E729" s="113"/>
      <c r="F729" s="266"/>
      <c r="G729" s="113"/>
      <c r="K729" s="36"/>
      <c r="L729" s="117"/>
      <c r="N729" s="117"/>
      <c r="R729" s="117"/>
      <c r="T729" s="117"/>
      <c r="V729" s="117"/>
      <c r="X729" s="117"/>
      <c r="Y729" s="10"/>
      <c r="Z729" s="11"/>
      <c r="AA729" s="36"/>
      <c r="AB729" s="36"/>
      <c r="AC729" s="13"/>
      <c r="AD729" s="13"/>
      <c r="AE729" s="37"/>
      <c r="AF729" s="37"/>
      <c r="AG729" s="14"/>
      <c r="AH729" s="14"/>
      <c r="AI729" s="14"/>
      <c r="AZ729" s="24"/>
    </row>
    <row r="730">
      <c r="B730" s="24"/>
      <c r="E730" s="113"/>
      <c r="F730" s="266"/>
      <c r="G730" s="113"/>
      <c r="K730" s="36"/>
      <c r="L730" s="117"/>
      <c r="N730" s="117"/>
      <c r="R730" s="117"/>
      <c r="T730" s="117"/>
      <c r="V730" s="117"/>
      <c r="X730" s="117"/>
      <c r="Y730" s="10"/>
      <c r="Z730" s="11"/>
      <c r="AA730" s="36"/>
      <c r="AB730" s="36"/>
      <c r="AC730" s="13"/>
      <c r="AD730" s="13"/>
      <c r="AE730" s="37"/>
      <c r="AF730" s="37"/>
      <c r="AG730" s="14"/>
      <c r="AH730" s="14"/>
      <c r="AI730" s="14"/>
      <c r="AZ730" s="24"/>
    </row>
    <row r="731">
      <c r="B731" s="24"/>
      <c r="E731" s="113"/>
      <c r="F731" s="266"/>
      <c r="G731" s="113"/>
      <c r="K731" s="36"/>
      <c r="L731" s="117"/>
      <c r="N731" s="117"/>
      <c r="R731" s="117"/>
      <c r="T731" s="117"/>
      <c r="V731" s="117"/>
      <c r="X731" s="117"/>
      <c r="Y731" s="10"/>
      <c r="Z731" s="11"/>
      <c r="AA731" s="36"/>
      <c r="AB731" s="36"/>
      <c r="AC731" s="13"/>
      <c r="AD731" s="13"/>
      <c r="AE731" s="37"/>
      <c r="AF731" s="37"/>
      <c r="AG731" s="14"/>
      <c r="AH731" s="14"/>
      <c r="AI731" s="14"/>
      <c r="AZ731" s="24"/>
    </row>
    <row r="732">
      <c r="B732" s="24"/>
      <c r="E732" s="113"/>
      <c r="F732" s="266"/>
      <c r="G732" s="113"/>
      <c r="K732" s="36"/>
      <c r="L732" s="117"/>
      <c r="N732" s="117"/>
      <c r="R732" s="117"/>
      <c r="T732" s="117"/>
      <c r="V732" s="117"/>
      <c r="X732" s="117"/>
      <c r="Y732" s="10"/>
      <c r="Z732" s="11"/>
      <c r="AA732" s="36"/>
      <c r="AB732" s="36"/>
      <c r="AC732" s="13"/>
      <c r="AD732" s="13"/>
      <c r="AE732" s="37"/>
      <c r="AF732" s="37"/>
      <c r="AG732" s="14"/>
      <c r="AH732" s="14"/>
      <c r="AI732" s="14"/>
      <c r="AZ732" s="24"/>
    </row>
    <row r="733">
      <c r="B733" s="24"/>
      <c r="E733" s="113"/>
      <c r="F733" s="266"/>
      <c r="G733" s="113"/>
      <c r="K733" s="36"/>
      <c r="L733" s="117"/>
      <c r="N733" s="117"/>
      <c r="R733" s="117"/>
      <c r="T733" s="117"/>
      <c r="V733" s="117"/>
      <c r="X733" s="117"/>
      <c r="Y733" s="10"/>
      <c r="Z733" s="11"/>
      <c r="AA733" s="36"/>
      <c r="AB733" s="36"/>
      <c r="AC733" s="13"/>
      <c r="AD733" s="13"/>
      <c r="AE733" s="37"/>
      <c r="AF733" s="37"/>
      <c r="AG733" s="14"/>
      <c r="AH733" s="14"/>
      <c r="AI733" s="14"/>
      <c r="AZ733" s="24"/>
    </row>
    <row r="734">
      <c r="B734" s="24"/>
      <c r="E734" s="113"/>
      <c r="F734" s="266"/>
      <c r="G734" s="113"/>
      <c r="K734" s="36"/>
      <c r="L734" s="117"/>
      <c r="N734" s="117"/>
      <c r="R734" s="117"/>
      <c r="T734" s="117"/>
      <c r="V734" s="117"/>
      <c r="X734" s="117"/>
      <c r="Y734" s="10"/>
      <c r="Z734" s="11"/>
      <c r="AA734" s="36"/>
      <c r="AB734" s="36"/>
      <c r="AC734" s="13"/>
      <c r="AD734" s="13"/>
      <c r="AE734" s="37"/>
      <c r="AF734" s="37"/>
      <c r="AG734" s="14"/>
      <c r="AH734" s="14"/>
      <c r="AI734" s="14"/>
      <c r="AZ734" s="24"/>
    </row>
    <row r="735">
      <c r="B735" s="24"/>
      <c r="E735" s="113"/>
      <c r="F735" s="266"/>
      <c r="G735" s="113"/>
      <c r="K735" s="36"/>
      <c r="L735" s="117"/>
      <c r="N735" s="117"/>
      <c r="R735" s="117"/>
      <c r="T735" s="117"/>
      <c r="V735" s="117"/>
      <c r="X735" s="117"/>
      <c r="Y735" s="10"/>
      <c r="Z735" s="11"/>
      <c r="AA735" s="36"/>
      <c r="AB735" s="36"/>
      <c r="AC735" s="13"/>
      <c r="AD735" s="13"/>
      <c r="AE735" s="37"/>
      <c r="AF735" s="37"/>
      <c r="AG735" s="14"/>
      <c r="AH735" s="14"/>
      <c r="AI735" s="14"/>
      <c r="AZ735" s="24"/>
    </row>
    <row r="736">
      <c r="B736" s="24"/>
      <c r="E736" s="113"/>
      <c r="F736" s="266"/>
      <c r="G736" s="113"/>
      <c r="K736" s="36"/>
      <c r="L736" s="117"/>
      <c r="N736" s="117"/>
      <c r="R736" s="117"/>
      <c r="T736" s="117"/>
      <c r="V736" s="117"/>
      <c r="X736" s="117"/>
      <c r="Y736" s="10"/>
      <c r="Z736" s="11"/>
      <c r="AA736" s="36"/>
      <c r="AB736" s="36"/>
      <c r="AC736" s="13"/>
      <c r="AD736" s="13"/>
      <c r="AE736" s="37"/>
      <c r="AF736" s="37"/>
      <c r="AG736" s="14"/>
      <c r="AH736" s="14"/>
      <c r="AI736" s="14"/>
      <c r="AZ736" s="24"/>
    </row>
    <row r="737">
      <c r="B737" s="24"/>
      <c r="E737" s="113"/>
      <c r="F737" s="266"/>
      <c r="G737" s="113"/>
      <c r="K737" s="36"/>
      <c r="L737" s="117"/>
      <c r="N737" s="117"/>
      <c r="R737" s="117"/>
      <c r="T737" s="117"/>
      <c r="V737" s="117"/>
      <c r="X737" s="117"/>
      <c r="Y737" s="10"/>
      <c r="Z737" s="11"/>
      <c r="AA737" s="36"/>
      <c r="AB737" s="36"/>
      <c r="AC737" s="13"/>
      <c r="AD737" s="13"/>
      <c r="AE737" s="37"/>
      <c r="AF737" s="37"/>
      <c r="AG737" s="14"/>
      <c r="AH737" s="14"/>
      <c r="AI737" s="14"/>
      <c r="AZ737" s="24"/>
    </row>
    <row r="738">
      <c r="B738" s="24"/>
      <c r="E738" s="113"/>
      <c r="F738" s="266"/>
      <c r="G738" s="113"/>
      <c r="K738" s="36"/>
      <c r="L738" s="117"/>
      <c r="N738" s="117"/>
      <c r="R738" s="117"/>
      <c r="T738" s="117"/>
      <c r="V738" s="117"/>
      <c r="X738" s="117"/>
      <c r="Y738" s="10"/>
      <c r="Z738" s="11"/>
      <c r="AA738" s="36"/>
      <c r="AB738" s="36"/>
      <c r="AC738" s="13"/>
      <c r="AD738" s="13"/>
      <c r="AE738" s="37"/>
      <c r="AF738" s="37"/>
      <c r="AG738" s="14"/>
      <c r="AH738" s="14"/>
      <c r="AI738" s="14"/>
      <c r="AZ738" s="24"/>
    </row>
    <row r="739">
      <c r="B739" s="24"/>
      <c r="E739" s="113"/>
      <c r="F739" s="266"/>
      <c r="G739" s="113"/>
      <c r="K739" s="36"/>
      <c r="L739" s="117"/>
      <c r="N739" s="117"/>
      <c r="R739" s="117"/>
      <c r="T739" s="117"/>
      <c r="V739" s="117"/>
      <c r="X739" s="117"/>
      <c r="Y739" s="10"/>
      <c r="Z739" s="11"/>
      <c r="AA739" s="36"/>
      <c r="AB739" s="36"/>
      <c r="AC739" s="13"/>
      <c r="AD739" s="13"/>
      <c r="AE739" s="37"/>
      <c r="AF739" s="37"/>
      <c r="AG739" s="14"/>
      <c r="AH739" s="14"/>
      <c r="AI739" s="14"/>
      <c r="AZ739" s="24"/>
    </row>
    <row r="740">
      <c r="B740" s="24"/>
      <c r="E740" s="113"/>
      <c r="F740" s="266"/>
      <c r="G740" s="113"/>
      <c r="K740" s="36"/>
      <c r="L740" s="117"/>
      <c r="N740" s="117"/>
      <c r="R740" s="117"/>
      <c r="T740" s="117"/>
      <c r="V740" s="117"/>
      <c r="X740" s="117"/>
      <c r="Y740" s="10"/>
      <c r="Z740" s="11"/>
      <c r="AA740" s="36"/>
      <c r="AB740" s="36"/>
      <c r="AC740" s="13"/>
      <c r="AD740" s="13"/>
      <c r="AE740" s="37"/>
      <c r="AF740" s="37"/>
      <c r="AG740" s="14"/>
      <c r="AH740" s="14"/>
      <c r="AI740" s="14"/>
      <c r="AZ740" s="24"/>
    </row>
    <row r="741">
      <c r="B741" s="24"/>
      <c r="E741" s="113"/>
      <c r="F741" s="266"/>
      <c r="G741" s="113"/>
      <c r="K741" s="36"/>
      <c r="L741" s="117"/>
      <c r="N741" s="117"/>
      <c r="R741" s="117"/>
      <c r="T741" s="117"/>
      <c r="V741" s="117"/>
      <c r="X741" s="117"/>
      <c r="Y741" s="10"/>
      <c r="Z741" s="11"/>
      <c r="AA741" s="36"/>
      <c r="AB741" s="36"/>
      <c r="AC741" s="13"/>
      <c r="AD741" s="13"/>
      <c r="AE741" s="37"/>
      <c r="AF741" s="37"/>
      <c r="AG741" s="14"/>
      <c r="AH741" s="14"/>
      <c r="AI741" s="14"/>
      <c r="AZ741" s="24"/>
    </row>
    <row r="742">
      <c r="B742" s="24"/>
      <c r="E742" s="113"/>
      <c r="F742" s="266"/>
      <c r="G742" s="113"/>
      <c r="K742" s="36"/>
      <c r="L742" s="117"/>
      <c r="N742" s="117"/>
      <c r="R742" s="117"/>
      <c r="T742" s="117"/>
      <c r="V742" s="117"/>
      <c r="X742" s="117"/>
      <c r="Y742" s="10"/>
      <c r="Z742" s="11"/>
      <c r="AA742" s="36"/>
      <c r="AB742" s="36"/>
      <c r="AC742" s="13"/>
      <c r="AD742" s="13"/>
      <c r="AE742" s="37"/>
      <c r="AF742" s="37"/>
      <c r="AG742" s="14"/>
      <c r="AH742" s="14"/>
      <c r="AI742" s="14"/>
      <c r="AZ742" s="24"/>
    </row>
    <row r="743">
      <c r="B743" s="24"/>
      <c r="E743" s="113"/>
      <c r="F743" s="266"/>
      <c r="G743" s="113"/>
      <c r="K743" s="36"/>
      <c r="L743" s="117"/>
      <c r="N743" s="117"/>
      <c r="R743" s="117"/>
      <c r="T743" s="117"/>
      <c r="V743" s="117"/>
      <c r="X743" s="117"/>
      <c r="Y743" s="10"/>
      <c r="Z743" s="11"/>
      <c r="AA743" s="36"/>
      <c r="AB743" s="36"/>
      <c r="AC743" s="13"/>
      <c r="AD743" s="13"/>
      <c r="AE743" s="37"/>
      <c r="AF743" s="37"/>
      <c r="AG743" s="14"/>
      <c r="AH743" s="14"/>
      <c r="AI743" s="14"/>
      <c r="AZ743" s="24"/>
    </row>
    <row r="744">
      <c r="B744" s="24"/>
      <c r="E744" s="113"/>
      <c r="F744" s="266"/>
      <c r="G744" s="113"/>
      <c r="K744" s="36"/>
      <c r="L744" s="117"/>
      <c r="N744" s="117"/>
      <c r="R744" s="117"/>
      <c r="T744" s="117"/>
      <c r="V744" s="117"/>
      <c r="X744" s="117"/>
      <c r="Y744" s="10"/>
      <c r="Z744" s="11"/>
      <c r="AA744" s="36"/>
      <c r="AB744" s="36"/>
      <c r="AC744" s="13"/>
      <c r="AD744" s="13"/>
      <c r="AE744" s="37"/>
      <c r="AF744" s="37"/>
      <c r="AG744" s="14"/>
      <c r="AH744" s="14"/>
      <c r="AI744" s="14"/>
      <c r="AZ744" s="24"/>
    </row>
    <row r="745">
      <c r="B745" s="24"/>
      <c r="E745" s="113"/>
      <c r="F745" s="266"/>
      <c r="G745" s="113"/>
      <c r="K745" s="36"/>
      <c r="L745" s="117"/>
      <c r="N745" s="117"/>
      <c r="R745" s="117"/>
      <c r="T745" s="117"/>
      <c r="V745" s="117"/>
      <c r="X745" s="117"/>
      <c r="Y745" s="10"/>
      <c r="Z745" s="11"/>
      <c r="AA745" s="36"/>
      <c r="AB745" s="36"/>
      <c r="AC745" s="13"/>
      <c r="AD745" s="13"/>
      <c r="AE745" s="37"/>
      <c r="AF745" s="37"/>
      <c r="AG745" s="14"/>
      <c r="AH745" s="14"/>
      <c r="AI745" s="14"/>
      <c r="AZ745" s="24"/>
    </row>
    <row r="746">
      <c r="B746" s="24"/>
      <c r="E746" s="113"/>
      <c r="F746" s="266"/>
      <c r="G746" s="113"/>
      <c r="K746" s="36"/>
      <c r="L746" s="117"/>
      <c r="N746" s="117"/>
      <c r="R746" s="117"/>
      <c r="T746" s="117"/>
      <c r="V746" s="117"/>
      <c r="X746" s="117"/>
      <c r="Y746" s="10"/>
      <c r="Z746" s="11"/>
      <c r="AA746" s="36"/>
      <c r="AB746" s="36"/>
      <c r="AC746" s="13"/>
      <c r="AD746" s="13"/>
      <c r="AE746" s="37"/>
      <c r="AF746" s="37"/>
      <c r="AG746" s="14"/>
      <c r="AH746" s="14"/>
      <c r="AI746" s="14"/>
      <c r="AZ746" s="24"/>
    </row>
    <row r="747">
      <c r="B747" s="24"/>
      <c r="E747" s="113"/>
      <c r="F747" s="266"/>
      <c r="G747" s="113"/>
      <c r="K747" s="36"/>
      <c r="L747" s="117"/>
      <c r="N747" s="117"/>
      <c r="R747" s="117"/>
      <c r="T747" s="117"/>
      <c r="V747" s="117"/>
      <c r="X747" s="117"/>
      <c r="Y747" s="10"/>
      <c r="Z747" s="11"/>
      <c r="AA747" s="36"/>
      <c r="AB747" s="36"/>
      <c r="AC747" s="13"/>
      <c r="AD747" s="13"/>
      <c r="AE747" s="37"/>
      <c r="AF747" s="37"/>
      <c r="AG747" s="14"/>
      <c r="AH747" s="14"/>
      <c r="AI747" s="14"/>
      <c r="AZ747" s="24"/>
    </row>
    <row r="748">
      <c r="B748" s="24"/>
      <c r="E748" s="113"/>
      <c r="F748" s="266"/>
      <c r="G748" s="113"/>
      <c r="K748" s="36"/>
      <c r="L748" s="117"/>
      <c r="N748" s="117"/>
      <c r="R748" s="117"/>
      <c r="T748" s="117"/>
      <c r="V748" s="117"/>
      <c r="X748" s="117"/>
      <c r="Y748" s="10"/>
      <c r="Z748" s="11"/>
      <c r="AA748" s="36"/>
      <c r="AB748" s="36"/>
      <c r="AC748" s="13"/>
      <c r="AD748" s="13"/>
      <c r="AE748" s="37"/>
      <c r="AF748" s="37"/>
      <c r="AG748" s="14"/>
      <c r="AH748" s="14"/>
      <c r="AI748" s="14"/>
      <c r="AZ748" s="24"/>
    </row>
    <row r="749">
      <c r="B749" s="24"/>
      <c r="E749" s="113"/>
      <c r="F749" s="266"/>
      <c r="G749" s="113"/>
      <c r="K749" s="36"/>
      <c r="L749" s="117"/>
      <c r="N749" s="117"/>
      <c r="R749" s="117"/>
      <c r="T749" s="117"/>
      <c r="V749" s="117"/>
      <c r="X749" s="117"/>
      <c r="Y749" s="10"/>
      <c r="Z749" s="11"/>
      <c r="AA749" s="36"/>
      <c r="AB749" s="36"/>
      <c r="AC749" s="13"/>
      <c r="AD749" s="13"/>
      <c r="AE749" s="37"/>
      <c r="AF749" s="37"/>
      <c r="AG749" s="14"/>
      <c r="AH749" s="14"/>
      <c r="AI749" s="14"/>
      <c r="AZ749" s="24"/>
    </row>
    <row r="750">
      <c r="B750" s="24"/>
      <c r="E750" s="113"/>
      <c r="F750" s="266"/>
      <c r="G750" s="113"/>
      <c r="K750" s="36"/>
      <c r="L750" s="117"/>
      <c r="N750" s="117"/>
      <c r="R750" s="117"/>
      <c r="T750" s="117"/>
      <c r="V750" s="117"/>
      <c r="X750" s="117"/>
      <c r="Y750" s="10"/>
      <c r="Z750" s="11"/>
      <c r="AA750" s="36"/>
      <c r="AB750" s="36"/>
      <c r="AC750" s="13"/>
      <c r="AD750" s="13"/>
      <c r="AE750" s="37"/>
      <c r="AF750" s="37"/>
      <c r="AG750" s="14"/>
      <c r="AH750" s="14"/>
      <c r="AI750" s="14"/>
      <c r="AZ750" s="24"/>
    </row>
    <row r="751">
      <c r="B751" s="24"/>
      <c r="E751" s="113"/>
      <c r="F751" s="266"/>
      <c r="G751" s="113"/>
      <c r="K751" s="36"/>
      <c r="L751" s="117"/>
      <c r="N751" s="117"/>
      <c r="R751" s="117"/>
      <c r="T751" s="117"/>
      <c r="V751" s="117"/>
      <c r="X751" s="117"/>
      <c r="Y751" s="10"/>
      <c r="Z751" s="11"/>
      <c r="AA751" s="36"/>
      <c r="AB751" s="36"/>
      <c r="AC751" s="13"/>
      <c r="AD751" s="13"/>
      <c r="AE751" s="37"/>
      <c r="AF751" s="37"/>
      <c r="AG751" s="14"/>
      <c r="AH751" s="14"/>
      <c r="AI751" s="14"/>
      <c r="AZ751" s="24"/>
    </row>
    <row r="752">
      <c r="B752" s="24"/>
      <c r="E752" s="113"/>
      <c r="F752" s="266"/>
      <c r="G752" s="113"/>
      <c r="K752" s="36"/>
      <c r="L752" s="117"/>
      <c r="N752" s="117"/>
      <c r="R752" s="117"/>
      <c r="T752" s="117"/>
      <c r="V752" s="117"/>
      <c r="X752" s="117"/>
      <c r="Y752" s="10"/>
      <c r="Z752" s="11"/>
      <c r="AA752" s="36"/>
      <c r="AB752" s="36"/>
      <c r="AC752" s="13"/>
      <c r="AD752" s="13"/>
      <c r="AE752" s="37"/>
      <c r="AF752" s="37"/>
      <c r="AG752" s="14"/>
      <c r="AH752" s="14"/>
      <c r="AI752" s="14"/>
      <c r="AZ752" s="24"/>
    </row>
    <row r="753">
      <c r="B753" s="24"/>
      <c r="E753" s="113"/>
      <c r="F753" s="266"/>
      <c r="G753" s="113"/>
      <c r="K753" s="36"/>
      <c r="L753" s="117"/>
      <c r="N753" s="117"/>
      <c r="R753" s="117"/>
      <c r="T753" s="117"/>
      <c r="V753" s="117"/>
      <c r="X753" s="117"/>
      <c r="Y753" s="10"/>
      <c r="Z753" s="11"/>
      <c r="AA753" s="36"/>
      <c r="AB753" s="36"/>
      <c r="AC753" s="13"/>
      <c r="AD753" s="13"/>
      <c r="AE753" s="37"/>
      <c r="AF753" s="37"/>
      <c r="AG753" s="14"/>
      <c r="AH753" s="14"/>
      <c r="AI753" s="14"/>
      <c r="AZ753" s="24"/>
    </row>
    <row r="754">
      <c r="B754" s="24"/>
      <c r="E754" s="113"/>
      <c r="F754" s="266"/>
      <c r="G754" s="113"/>
      <c r="K754" s="36"/>
      <c r="L754" s="117"/>
      <c r="N754" s="117"/>
      <c r="R754" s="117"/>
      <c r="T754" s="117"/>
      <c r="V754" s="117"/>
      <c r="X754" s="117"/>
      <c r="Y754" s="10"/>
      <c r="Z754" s="11"/>
      <c r="AA754" s="36"/>
      <c r="AB754" s="36"/>
      <c r="AC754" s="13"/>
      <c r="AD754" s="13"/>
      <c r="AE754" s="37"/>
      <c r="AF754" s="37"/>
      <c r="AG754" s="14"/>
      <c r="AH754" s="14"/>
      <c r="AI754" s="14"/>
      <c r="AZ754" s="24"/>
    </row>
    <row r="755">
      <c r="B755" s="24"/>
      <c r="E755" s="113"/>
      <c r="F755" s="266"/>
      <c r="G755" s="113"/>
      <c r="K755" s="36"/>
      <c r="L755" s="117"/>
      <c r="N755" s="117"/>
      <c r="R755" s="117"/>
      <c r="T755" s="117"/>
      <c r="V755" s="117"/>
      <c r="X755" s="117"/>
      <c r="Y755" s="10"/>
      <c r="Z755" s="11"/>
      <c r="AA755" s="36"/>
      <c r="AB755" s="36"/>
      <c r="AC755" s="13"/>
      <c r="AD755" s="13"/>
      <c r="AE755" s="37"/>
      <c r="AF755" s="37"/>
      <c r="AG755" s="14"/>
      <c r="AH755" s="14"/>
      <c r="AI755" s="14"/>
      <c r="AZ755" s="24"/>
    </row>
    <row r="756">
      <c r="B756" s="24"/>
      <c r="E756" s="113"/>
      <c r="F756" s="266"/>
      <c r="G756" s="113"/>
      <c r="K756" s="36"/>
      <c r="L756" s="117"/>
      <c r="N756" s="117"/>
      <c r="R756" s="117"/>
      <c r="T756" s="117"/>
      <c r="V756" s="117"/>
      <c r="X756" s="117"/>
      <c r="Y756" s="10"/>
      <c r="Z756" s="11"/>
      <c r="AA756" s="36"/>
      <c r="AB756" s="36"/>
      <c r="AC756" s="13"/>
      <c r="AD756" s="13"/>
      <c r="AE756" s="37"/>
      <c r="AF756" s="37"/>
      <c r="AG756" s="14"/>
      <c r="AH756" s="14"/>
      <c r="AI756" s="14"/>
      <c r="AZ756" s="24"/>
    </row>
    <row r="757">
      <c r="B757" s="24"/>
      <c r="E757" s="113"/>
      <c r="F757" s="266"/>
      <c r="G757" s="113"/>
      <c r="K757" s="36"/>
      <c r="L757" s="117"/>
      <c r="N757" s="117"/>
      <c r="R757" s="117"/>
      <c r="T757" s="117"/>
      <c r="V757" s="117"/>
      <c r="X757" s="117"/>
      <c r="Y757" s="10"/>
      <c r="Z757" s="11"/>
      <c r="AA757" s="36"/>
      <c r="AB757" s="36"/>
      <c r="AC757" s="13"/>
      <c r="AD757" s="13"/>
      <c r="AE757" s="37"/>
      <c r="AF757" s="37"/>
      <c r="AG757" s="14"/>
      <c r="AH757" s="14"/>
      <c r="AI757" s="14"/>
      <c r="AZ757" s="24"/>
    </row>
    <row r="758">
      <c r="B758" s="24"/>
      <c r="E758" s="113"/>
      <c r="F758" s="266"/>
      <c r="G758" s="113"/>
      <c r="K758" s="36"/>
      <c r="L758" s="117"/>
      <c r="N758" s="117"/>
      <c r="R758" s="117"/>
      <c r="T758" s="117"/>
      <c r="V758" s="117"/>
      <c r="X758" s="117"/>
      <c r="Y758" s="10"/>
      <c r="Z758" s="11"/>
      <c r="AA758" s="36"/>
      <c r="AB758" s="36"/>
      <c r="AC758" s="13"/>
      <c r="AD758" s="13"/>
      <c r="AE758" s="37"/>
      <c r="AF758" s="37"/>
      <c r="AG758" s="14"/>
      <c r="AH758" s="14"/>
      <c r="AI758" s="14"/>
      <c r="AZ758" s="24"/>
    </row>
    <row r="759">
      <c r="B759" s="24"/>
      <c r="E759" s="113"/>
      <c r="F759" s="266"/>
      <c r="G759" s="113"/>
      <c r="K759" s="36"/>
      <c r="L759" s="117"/>
      <c r="N759" s="117"/>
      <c r="R759" s="117"/>
      <c r="T759" s="117"/>
      <c r="V759" s="117"/>
      <c r="X759" s="117"/>
      <c r="Y759" s="10"/>
      <c r="Z759" s="11"/>
      <c r="AA759" s="36"/>
      <c r="AB759" s="36"/>
      <c r="AC759" s="13"/>
      <c r="AD759" s="13"/>
      <c r="AE759" s="37"/>
      <c r="AF759" s="37"/>
      <c r="AG759" s="14"/>
      <c r="AH759" s="14"/>
      <c r="AI759" s="14"/>
      <c r="AZ759" s="24"/>
    </row>
    <row r="760">
      <c r="B760" s="24"/>
      <c r="E760" s="113"/>
      <c r="F760" s="266"/>
      <c r="G760" s="113"/>
      <c r="K760" s="36"/>
      <c r="L760" s="117"/>
      <c r="N760" s="117"/>
      <c r="R760" s="117"/>
      <c r="T760" s="117"/>
      <c r="V760" s="117"/>
      <c r="X760" s="117"/>
      <c r="Y760" s="10"/>
      <c r="Z760" s="11"/>
      <c r="AA760" s="36"/>
      <c r="AB760" s="36"/>
      <c r="AC760" s="13"/>
      <c r="AD760" s="13"/>
      <c r="AE760" s="37"/>
      <c r="AF760" s="37"/>
      <c r="AG760" s="14"/>
      <c r="AH760" s="14"/>
      <c r="AI760" s="14"/>
      <c r="AZ760" s="24"/>
    </row>
    <row r="761">
      <c r="B761" s="24"/>
      <c r="E761" s="113"/>
      <c r="F761" s="266"/>
      <c r="G761" s="113"/>
      <c r="K761" s="36"/>
      <c r="L761" s="117"/>
      <c r="N761" s="117"/>
      <c r="R761" s="117"/>
      <c r="T761" s="117"/>
      <c r="V761" s="117"/>
      <c r="X761" s="117"/>
      <c r="Y761" s="10"/>
      <c r="Z761" s="11"/>
      <c r="AA761" s="36"/>
      <c r="AB761" s="36"/>
      <c r="AC761" s="13"/>
      <c r="AD761" s="13"/>
      <c r="AE761" s="37"/>
      <c r="AF761" s="37"/>
      <c r="AG761" s="14"/>
      <c r="AH761" s="14"/>
      <c r="AI761" s="14"/>
      <c r="AZ761" s="24"/>
    </row>
    <row r="762">
      <c r="B762" s="24"/>
      <c r="E762" s="113"/>
      <c r="F762" s="266"/>
      <c r="G762" s="113"/>
      <c r="K762" s="36"/>
      <c r="L762" s="117"/>
      <c r="N762" s="117"/>
      <c r="R762" s="117"/>
      <c r="T762" s="117"/>
      <c r="V762" s="117"/>
      <c r="X762" s="117"/>
      <c r="Y762" s="10"/>
      <c r="Z762" s="11"/>
      <c r="AA762" s="36"/>
      <c r="AB762" s="36"/>
      <c r="AC762" s="13"/>
      <c r="AD762" s="13"/>
      <c r="AE762" s="37"/>
      <c r="AF762" s="37"/>
      <c r="AG762" s="14"/>
      <c r="AH762" s="14"/>
      <c r="AI762" s="14"/>
      <c r="AZ762" s="24"/>
    </row>
    <row r="763">
      <c r="B763" s="24"/>
      <c r="E763" s="113"/>
      <c r="F763" s="266"/>
      <c r="G763" s="113"/>
      <c r="K763" s="36"/>
      <c r="L763" s="117"/>
      <c r="N763" s="117"/>
      <c r="R763" s="117"/>
      <c r="T763" s="117"/>
      <c r="V763" s="117"/>
      <c r="X763" s="117"/>
      <c r="Y763" s="10"/>
      <c r="Z763" s="11"/>
      <c r="AA763" s="36"/>
      <c r="AB763" s="36"/>
      <c r="AC763" s="13"/>
      <c r="AD763" s="13"/>
      <c r="AE763" s="37"/>
      <c r="AF763" s="37"/>
      <c r="AG763" s="14"/>
      <c r="AH763" s="14"/>
      <c r="AI763" s="14"/>
      <c r="AZ763" s="24"/>
    </row>
    <row r="764">
      <c r="B764" s="24"/>
      <c r="E764" s="113"/>
      <c r="F764" s="266"/>
      <c r="G764" s="113"/>
      <c r="K764" s="36"/>
      <c r="L764" s="117"/>
      <c r="N764" s="117"/>
      <c r="R764" s="117"/>
      <c r="T764" s="117"/>
      <c r="V764" s="117"/>
      <c r="X764" s="117"/>
      <c r="Y764" s="10"/>
      <c r="Z764" s="11"/>
      <c r="AA764" s="36"/>
      <c r="AB764" s="36"/>
      <c r="AC764" s="13"/>
      <c r="AD764" s="13"/>
      <c r="AE764" s="37"/>
      <c r="AF764" s="37"/>
      <c r="AG764" s="14"/>
      <c r="AH764" s="14"/>
      <c r="AI764" s="14"/>
      <c r="AZ764" s="24"/>
    </row>
    <row r="765">
      <c r="B765" s="24"/>
      <c r="E765" s="113"/>
      <c r="F765" s="266"/>
      <c r="G765" s="113"/>
      <c r="K765" s="36"/>
      <c r="L765" s="117"/>
      <c r="N765" s="117"/>
      <c r="R765" s="117"/>
      <c r="T765" s="117"/>
      <c r="V765" s="117"/>
      <c r="X765" s="117"/>
      <c r="Y765" s="10"/>
      <c r="Z765" s="11"/>
      <c r="AA765" s="36"/>
      <c r="AB765" s="36"/>
      <c r="AC765" s="13"/>
      <c r="AD765" s="13"/>
      <c r="AE765" s="37"/>
      <c r="AF765" s="37"/>
      <c r="AG765" s="14"/>
      <c r="AH765" s="14"/>
      <c r="AI765" s="14"/>
      <c r="AZ765" s="24"/>
    </row>
    <row r="766">
      <c r="B766" s="24"/>
      <c r="E766" s="113"/>
      <c r="F766" s="266"/>
      <c r="G766" s="113"/>
      <c r="K766" s="36"/>
      <c r="L766" s="117"/>
      <c r="N766" s="117"/>
      <c r="R766" s="117"/>
      <c r="T766" s="117"/>
      <c r="V766" s="117"/>
      <c r="X766" s="117"/>
      <c r="Y766" s="10"/>
      <c r="Z766" s="11"/>
      <c r="AA766" s="36"/>
      <c r="AB766" s="36"/>
      <c r="AC766" s="13"/>
      <c r="AD766" s="13"/>
      <c r="AE766" s="37"/>
      <c r="AF766" s="37"/>
      <c r="AG766" s="14"/>
      <c r="AH766" s="14"/>
      <c r="AI766" s="14"/>
      <c r="AZ766" s="24"/>
    </row>
    <row r="767">
      <c r="B767" s="24"/>
      <c r="E767" s="113"/>
      <c r="F767" s="266"/>
      <c r="G767" s="113"/>
      <c r="K767" s="36"/>
      <c r="L767" s="117"/>
      <c r="N767" s="117"/>
      <c r="R767" s="117"/>
      <c r="T767" s="117"/>
      <c r="V767" s="117"/>
      <c r="X767" s="117"/>
      <c r="Y767" s="10"/>
      <c r="Z767" s="11"/>
      <c r="AA767" s="36"/>
      <c r="AB767" s="36"/>
      <c r="AC767" s="13"/>
      <c r="AD767" s="13"/>
      <c r="AE767" s="37"/>
      <c r="AF767" s="37"/>
      <c r="AG767" s="14"/>
      <c r="AH767" s="14"/>
      <c r="AI767" s="14"/>
      <c r="AZ767" s="24"/>
    </row>
    <row r="768">
      <c r="B768" s="24"/>
      <c r="E768" s="113"/>
      <c r="F768" s="266"/>
      <c r="G768" s="113"/>
      <c r="K768" s="36"/>
      <c r="L768" s="117"/>
      <c r="N768" s="117"/>
      <c r="R768" s="117"/>
      <c r="T768" s="117"/>
      <c r="V768" s="117"/>
      <c r="X768" s="117"/>
      <c r="Y768" s="10"/>
      <c r="Z768" s="11"/>
      <c r="AA768" s="36"/>
      <c r="AB768" s="36"/>
      <c r="AC768" s="13"/>
      <c r="AD768" s="13"/>
      <c r="AE768" s="37"/>
      <c r="AF768" s="37"/>
      <c r="AG768" s="14"/>
      <c r="AH768" s="14"/>
      <c r="AI768" s="14"/>
      <c r="AZ768" s="24"/>
    </row>
    <row r="769">
      <c r="B769" s="24"/>
      <c r="E769" s="113"/>
      <c r="F769" s="266"/>
      <c r="G769" s="113"/>
      <c r="K769" s="36"/>
      <c r="L769" s="117"/>
      <c r="N769" s="117"/>
      <c r="R769" s="117"/>
      <c r="T769" s="117"/>
      <c r="V769" s="117"/>
      <c r="X769" s="117"/>
      <c r="Y769" s="10"/>
      <c r="Z769" s="11"/>
      <c r="AA769" s="36"/>
      <c r="AB769" s="36"/>
      <c r="AC769" s="13"/>
      <c r="AD769" s="13"/>
      <c r="AE769" s="37"/>
      <c r="AF769" s="37"/>
      <c r="AG769" s="14"/>
      <c r="AH769" s="14"/>
      <c r="AI769" s="14"/>
      <c r="AZ769" s="24"/>
    </row>
    <row r="770">
      <c r="B770" s="24"/>
      <c r="E770" s="113"/>
      <c r="F770" s="266"/>
      <c r="G770" s="113"/>
      <c r="K770" s="36"/>
      <c r="L770" s="117"/>
      <c r="N770" s="117"/>
      <c r="R770" s="117"/>
      <c r="T770" s="117"/>
      <c r="V770" s="117"/>
      <c r="X770" s="117"/>
      <c r="Y770" s="10"/>
      <c r="Z770" s="11"/>
      <c r="AA770" s="36"/>
      <c r="AB770" s="36"/>
      <c r="AC770" s="13"/>
      <c r="AD770" s="13"/>
      <c r="AE770" s="37"/>
      <c r="AF770" s="37"/>
      <c r="AG770" s="14"/>
      <c r="AH770" s="14"/>
      <c r="AI770" s="14"/>
      <c r="AZ770" s="24"/>
    </row>
    <row r="771">
      <c r="B771" s="24"/>
      <c r="E771" s="113"/>
      <c r="F771" s="266"/>
      <c r="G771" s="113"/>
      <c r="K771" s="36"/>
      <c r="L771" s="117"/>
      <c r="N771" s="117"/>
      <c r="R771" s="117"/>
      <c r="T771" s="117"/>
      <c r="V771" s="117"/>
      <c r="X771" s="117"/>
      <c r="Y771" s="10"/>
      <c r="Z771" s="11"/>
      <c r="AA771" s="36"/>
      <c r="AB771" s="36"/>
      <c r="AC771" s="13"/>
      <c r="AD771" s="13"/>
      <c r="AE771" s="37"/>
      <c r="AF771" s="37"/>
      <c r="AG771" s="14"/>
      <c r="AH771" s="14"/>
      <c r="AI771" s="14"/>
      <c r="AZ771" s="24"/>
    </row>
    <row r="772">
      <c r="B772" s="24"/>
      <c r="E772" s="113"/>
      <c r="F772" s="266"/>
      <c r="G772" s="113"/>
      <c r="K772" s="36"/>
      <c r="L772" s="117"/>
      <c r="N772" s="117"/>
      <c r="R772" s="117"/>
      <c r="T772" s="117"/>
      <c r="V772" s="117"/>
      <c r="X772" s="117"/>
      <c r="Y772" s="10"/>
      <c r="Z772" s="11"/>
      <c r="AA772" s="36"/>
      <c r="AB772" s="36"/>
      <c r="AC772" s="13"/>
      <c r="AD772" s="13"/>
      <c r="AE772" s="37"/>
      <c r="AF772" s="37"/>
      <c r="AG772" s="14"/>
      <c r="AH772" s="14"/>
      <c r="AI772" s="14"/>
      <c r="AZ772" s="24"/>
    </row>
    <row r="773">
      <c r="B773" s="24"/>
      <c r="E773" s="113"/>
      <c r="F773" s="266"/>
      <c r="G773" s="113"/>
      <c r="K773" s="36"/>
      <c r="L773" s="117"/>
      <c r="N773" s="117"/>
      <c r="R773" s="117"/>
      <c r="T773" s="117"/>
      <c r="V773" s="117"/>
      <c r="X773" s="117"/>
      <c r="Y773" s="10"/>
      <c r="Z773" s="11"/>
      <c r="AA773" s="36"/>
      <c r="AB773" s="36"/>
      <c r="AC773" s="13"/>
      <c r="AD773" s="13"/>
      <c r="AE773" s="37"/>
      <c r="AF773" s="37"/>
      <c r="AG773" s="14"/>
      <c r="AH773" s="14"/>
      <c r="AI773" s="14"/>
      <c r="AZ773" s="24"/>
    </row>
    <row r="774">
      <c r="B774" s="24"/>
      <c r="E774" s="113"/>
      <c r="F774" s="266"/>
      <c r="G774" s="113"/>
      <c r="K774" s="36"/>
      <c r="L774" s="117"/>
      <c r="N774" s="117"/>
      <c r="R774" s="117"/>
      <c r="T774" s="117"/>
      <c r="V774" s="117"/>
      <c r="X774" s="117"/>
      <c r="Y774" s="10"/>
      <c r="Z774" s="11"/>
      <c r="AA774" s="36"/>
      <c r="AB774" s="36"/>
      <c r="AC774" s="13"/>
      <c r="AD774" s="13"/>
      <c r="AE774" s="37"/>
      <c r="AF774" s="37"/>
      <c r="AG774" s="14"/>
      <c r="AH774" s="14"/>
      <c r="AI774" s="14"/>
      <c r="AZ774" s="24"/>
    </row>
    <row r="775">
      <c r="B775" s="24"/>
      <c r="E775" s="113"/>
      <c r="F775" s="266"/>
      <c r="G775" s="113"/>
      <c r="K775" s="36"/>
      <c r="L775" s="117"/>
      <c r="N775" s="117"/>
      <c r="R775" s="117"/>
      <c r="T775" s="117"/>
      <c r="V775" s="117"/>
      <c r="X775" s="117"/>
      <c r="Y775" s="10"/>
      <c r="Z775" s="11"/>
      <c r="AA775" s="36"/>
      <c r="AB775" s="36"/>
      <c r="AC775" s="13"/>
      <c r="AD775" s="13"/>
      <c r="AE775" s="37"/>
      <c r="AF775" s="37"/>
      <c r="AG775" s="14"/>
      <c r="AH775" s="14"/>
      <c r="AI775" s="14"/>
      <c r="AZ775" s="24"/>
    </row>
    <row r="776">
      <c r="B776" s="24"/>
      <c r="E776" s="113"/>
      <c r="F776" s="266"/>
      <c r="G776" s="113"/>
      <c r="K776" s="36"/>
      <c r="L776" s="117"/>
      <c r="N776" s="117"/>
      <c r="R776" s="117"/>
      <c r="T776" s="117"/>
      <c r="V776" s="117"/>
      <c r="X776" s="117"/>
      <c r="Y776" s="10"/>
      <c r="Z776" s="11"/>
      <c r="AA776" s="36"/>
      <c r="AB776" s="36"/>
      <c r="AC776" s="13"/>
      <c r="AD776" s="13"/>
      <c r="AE776" s="37"/>
      <c r="AF776" s="37"/>
      <c r="AG776" s="14"/>
      <c r="AH776" s="14"/>
      <c r="AI776" s="14"/>
      <c r="AZ776" s="24"/>
    </row>
    <row r="777">
      <c r="B777" s="24"/>
      <c r="E777" s="113"/>
      <c r="F777" s="266"/>
      <c r="G777" s="113"/>
      <c r="K777" s="36"/>
      <c r="L777" s="117"/>
      <c r="N777" s="117"/>
      <c r="R777" s="117"/>
      <c r="T777" s="117"/>
      <c r="V777" s="117"/>
      <c r="X777" s="117"/>
      <c r="Y777" s="10"/>
      <c r="Z777" s="11"/>
      <c r="AA777" s="36"/>
      <c r="AB777" s="36"/>
      <c r="AC777" s="13"/>
      <c r="AD777" s="13"/>
      <c r="AE777" s="37"/>
      <c r="AF777" s="37"/>
      <c r="AG777" s="14"/>
      <c r="AH777" s="14"/>
      <c r="AI777" s="14"/>
      <c r="AZ777" s="24"/>
    </row>
    <row r="778">
      <c r="B778" s="24"/>
      <c r="E778" s="113"/>
      <c r="F778" s="266"/>
      <c r="G778" s="113"/>
      <c r="K778" s="36"/>
      <c r="L778" s="117"/>
      <c r="N778" s="117"/>
      <c r="R778" s="117"/>
      <c r="T778" s="117"/>
      <c r="V778" s="117"/>
      <c r="X778" s="117"/>
      <c r="Y778" s="10"/>
      <c r="Z778" s="11"/>
      <c r="AA778" s="36"/>
      <c r="AB778" s="36"/>
      <c r="AC778" s="13"/>
      <c r="AD778" s="13"/>
      <c r="AE778" s="37"/>
      <c r="AF778" s="37"/>
      <c r="AG778" s="14"/>
      <c r="AH778" s="14"/>
      <c r="AI778" s="14"/>
      <c r="AZ778" s="24"/>
    </row>
    <row r="779">
      <c r="B779" s="24"/>
      <c r="E779" s="113"/>
      <c r="F779" s="266"/>
      <c r="G779" s="113"/>
      <c r="K779" s="36"/>
      <c r="L779" s="117"/>
      <c r="N779" s="117"/>
      <c r="R779" s="117"/>
      <c r="T779" s="117"/>
      <c r="V779" s="117"/>
      <c r="X779" s="117"/>
      <c r="Y779" s="10"/>
      <c r="Z779" s="11"/>
      <c r="AA779" s="36"/>
      <c r="AB779" s="36"/>
      <c r="AC779" s="13"/>
      <c r="AD779" s="13"/>
      <c r="AE779" s="37"/>
      <c r="AF779" s="37"/>
      <c r="AG779" s="14"/>
      <c r="AH779" s="14"/>
      <c r="AI779" s="14"/>
      <c r="AZ779" s="24"/>
    </row>
    <row r="780">
      <c r="B780" s="24"/>
      <c r="E780" s="113"/>
      <c r="F780" s="266"/>
      <c r="G780" s="113"/>
      <c r="K780" s="36"/>
      <c r="L780" s="117"/>
      <c r="N780" s="117"/>
      <c r="R780" s="117"/>
      <c r="T780" s="117"/>
      <c r="V780" s="117"/>
      <c r="X780" s="117"/>
      <c r="Y780" s="10"/>
      <c r="Z780" s="11"/>
      <c r="AA780" s="36"/>
      <c r="AB780" s="36"/>
      <c r="AC780" s="13"/>
      <c r="AD780" s="13"/>
      <c r="AE780" s="37"/>
      <c r="AF780" s="37"/>
      <c r="AG780" s="14"/>
      <c r="AH780" s="14"/>
      <c r="AI780" s="14"/>
      <c r="AZ780" s="24"/>
    </row>
    <row r="781">
      <c r="B781" s="24"/>
      <c r="E781" s="113"/>
      <c r="F781" s="266"/>
      <c r="G781" s="113"/>
      <c r="K781" s="36"/>
      <c r="L781" s="117"/>
      <c r="N781" s="117"/>
      <c r="R781" s="117"/>
      <c r="T781" s="117"/>
      <c r="V781" s="117"/>
      <c r="X781" s="117"/>
      <c r="Y781" s="10"/>
      <c r="Z781" s="11"/>
      <c r="AA781" s="36"/>
      <c r="AB781" s="36"/>
      <c r="AC781" s="13"/>
      <c r="AD781" s="13"/>
      <c r="AE781" s="37"/>
      <c r="AF781" s="37"/>
      <c r="AG781" s="14"/>
      <c r="AH781" s="14"/>
      <c r="AI781" s="14"/>
      <c r="AZ781" s="24"/>
    </row>
    <row r="782">
      <c r="B782" s="24"/>
      <c r="E782" s="113"/>
      <c r="F782" s="266"/>
      <c r="G782" s="113"/>
      <c r="K782" s="36"/>
      <c r="L782" s="117"/>
      <c r="N782" s="117"/>
      <c r="R782" s="117"/>
      <c r="T782" s="117"/>
      <c r="V782" s="117"/>
      <c r="X782" s="117"/>
      <c r="Y782" s="10"/>
      <c r="Z782" s="11"/>
      <c r="AA782" s="36"/>
      <c r="AB782" s="36"/>
      <c r="AC782" s="13"/>
      <c r="AD782" s="13"/>
      <c r="AE782" s="37"/>
      <c r="AF782" s="37"/>
      <c r="AG782" s="14"/>
      <c r="AH782" s="14"/>
      <c r="AI782" s="14"/>
      <c r="AZ782" s="24"/>
    </row>
    <row r="783">
      <c r="B783" s="24"/>
      <c r="E783" s="113"/>
      <c r="F783" s="266"/>
      <c r="G783" s="113"/>
      <c r="K783" s="36"/>
      <c r="L783" s="117"/>
      <c r="N783" s="117"/>
      <c r="R783" s="117"/>
      <c r="T783" s="117"/>
      <c r="V783" s="117"/>
      <c r="X783" s="117"/>
      <c r="Y783" s="10"/>
      <c r="Z783" s="11"/>
      <c r="AA783" s="36"/>
      <c r="AB783" s="36"/>
      <c r="AC783" s="13"/>
      <c r="AD783" s="13"/>
      <c r="AE783" s="37"/>
      <c r="AF783" s="37"/>
      <c r="AG783" s="14"/>
      <c r="AH783" s="14"/>
      <c r="AI783" s="14"/>
      <c r="AZ783" s="24"/>
    </row>
    <row r="784">
      <c r="B784" s="24"/>
      <c r="E784" s="113"/>
      <c r="F784" s="266"/>
      <c r="G784" s="113"/>
      <c r="K784" s="36"/>
      <c r="L784" s="117"/>
      <c r="N784" s="117"/>
      <c r="R784" s="117"/>
      <c r="T784" s="117"/>
      <c r="V784" s="117"/>
      <c r="X784" s="117"/>
      <c r="Y784" s="10"/>
      <c r="Z784" s="11"/>
      <c r="AA784" s="36"/>
      <c r="AB784" s="36"/>
      <c r="AC784" s="13"/>
      <c r="AD784" s="13"/>
      <c r="AE784" s="37"/>
      <c r="AF784" s="37"/>
      <c r="AG784" s="14"/>
      <c r="AH784" s="14"/>
      <c r="AI784" s="14"/>
      <c r="AZ784" s="24"/>
    </row>
    <row r="785">
      <c r="B785" s="24"/>
      <c r="E785" s="113"/>
      <c r="F785" s="266"/>
      <c r="G785" s="113"/>
      <c r="K785" s="36"/>
      <c r="L785" s="117"/>
      <c r="N785" s="117"/>
      <c r="R785" s="117"/>
      <c r="T785" s="117"/>
      <c r="V785" s="117"/>
      <c r="X785" s="117"/>
      <c r="Y785" s="10"/>
      <c r="Z785" s="11"/>
      <c r="AA785" s="36"/>
      <c r="AB785" s="36"/>
      <c r="AC785" s="13"/>
      <c r="AD785" s="13"/>
      <c r="AE785" s="37"/>
      <c r="AF785" s="37"/>
      <c r="AG785" s="14"/>
      <c r="AH785" s="14"/>
      <c r="AI785" s="14"/>
      <c r="AZ785" s="24"/>
    </row>
    <row r="786">
      <c r="B786" s="24"/>
      <c r="E786" s="113"/>
      <c r="F786" s="266"/>
      <c r="G786" s="113"/>
      <c r="K786" s="36"/>
      <c r="L786" s="117"/>
      <c r="N786" s="117"/>
      <c r="R786" s="117"/>
      <c r="T786" s="117"/>
      <c r="V786" s="117"/>
      <c r="X786" s="117"/>
      <c r="Y786" s="10"/>
      <c r="Z786" s="11"/>
      <c r="AA786" s="36"/>
      <c r="AB786" s="36"/>
      <c r="AC786" s="13"/>
      <c r="AD786" s="13"/>
      <c r="AE786" s="37"/>
      <c r="AF786" s="37"/>
      <c r="AG786" s="14"/>
      <c r="AH786" s="14"/>
      <c r="AI786" s="14"/>
      <c r="AZ786" s="24"/>
    </row>
    <row r="787">
      <c r="B787" s="24"/>
      <c r="E787" s="113"/>
      <c r="F787" s="266"/>
      <c r="G787" s="113"/>
      <c r="K787" s="36"/>
      <c r="L787" s="117"/>
      <c r="N787" s="117"/>
      <c r="R787" s="117"/>
      <c r="T787" s="117"/>
      <c r="V787" s="117"/>
      <c r="X787" s="117"/>
      <c r="Y787" s="10"/>
      <c r="Z787" s="11"/>
      <c r="AA787" s="36"/>
      <c r="AB787" s="36"/>
      <c r="AC787" s="13"/>
      <c r="AD787" s="13"/>
      <c r="AE787" s="37"/>
      <c r="AF787" s="37"/>
      <c r="AG787" s="14"/>
      <c r="AH787" s="14"/>
      <c r="AI787" s="14"/>
      <c r="AZ787" s="24"/>
    </row>
    <row r="788">
      <c r="B788" s="24"/>
      <c r="E788" s="113"/>
      <c r="F788" s="266"/>
      <c r="G788" s="113"/>
      <c r="K788" s="36"/>
      <c r="L788" s="117"/>
      <c r="N788" s="117"/>
      <c r="R788" s="117"/>
      <c r="T788" s="117"/>
      <c r="V788" s="117"/>
      <c r="X788" s="117"/>
      <c r="Y788" s="10"/>
      <c r="Z788" s="11"/>
      <c r="AA788" s="36"/>
      <c r="AB788" s="36"/>
      <c r="AC788" s="13"/>
      <c r="AD788" s="13"/>
      <c r="AE788" s="37"/>
      <c r="AF788" s="37"/>
      <c r="AG788" s="14"/>
      <c r="AH788" s="14"/>
      <c r="AI788" s="14"/>
      <c r="AZ788" s="24"/>
    </row>
    <row r="789">
      <c r="B789" s="24"/>
      <c r="E789" s="113"/>
      <c r="F789" s="266"/>
      <c r="G789" s="113"/>
      <c r="K789" s="36"/>
      <c r="L789" s="117"/>
      <c r="N789" s="117"/>
      <c r="R789" s="117"/>
      <c r="T789" s="117"/>
      <c r="V789" s="117"/>
      <c r="X789" s="117"/>
      <c r="Y789" s="10"/>
      <c r="Z789" s="11"/>
      <c r="AA789" s="36"/>
      <c r="AB789" s="36"/>
      <c r="AC789" s="13"/>
      <c r="AD789" s="13"/>
      <c r="AE789" s="37"/>
      <c r="AF789" s="37"/>
      <c r="AG789" s="14"/>
      <c r="AH789" s="14"/>
      <c r="AI789" s="14"/>
      <c r="AZ789" s="24"/>
    </row>
    <row r="790">
      <c r="B790" s="24"/>
      <c r="E790" s="113"/>
      <c r="F790" s="266"/>
      <c r="G790" s="113"/>
      <c r="K790" s="36"/>
      <c r="L790" s="117"/>
      <c r="N790" s="117"/>
      <c r="R790" s="117"/>
      <c r="T790" s="117"/>
      <c r="V790" s="117"/>
      <c r="X790" s="117"/>
      <c r="Y790" s="10"/>
      <c r="Z790" s="11"/>
      <c r="AA790" s="36"/>
      <c r="AB790" s="36"/>
      <c r="AC790" s="13"/>
      <c r="AD790" s="13"/>
      <c r="AE790" s="37"/>
      <c r="AF790" s="37"/>
      <c r="AG790" s="14"/>
      <c r="AH790" s="14"/>
      <c r="AI790" s="14"/>
      <c r="AZ790" s="24"/>
    </row>
    <row r="791">
      <c r="B791" s="24"/>
      <c r="E791" s="113"/>
      <c r="F791" s="266"/>
      <c r="G791" s="113"/>
      <c r="K791" s="36"/>
      <c r="L791" s="117"/>
      <c r="N791" s="117"/>
      <c r="R791" s="117"/>
      <c r="T791" s="117"/>
      <c r="V791" s="117"/>
      <c r="X791" s="117"/>
      <c r="Y791" s="10"/>
      <c r="Z791" s="11"/>
      <c r="AA791" s="36"/>
      <c r="AB791" s="36"/>
      <c r="AC791" s="13"/>
      <c r="AD791" s="13"/>
      <c r="AE791" s="37"/>
      <c r="AF791" s="37"/>
      <c r="AG791" s="14"/>
      <c r="AH791" s="14"/>
      <c r="AI791" s="14"/>
      <c r="AZ791" s="24"/>
    </row>
    <row r="792">
      <c r="B792" s="24"/>
      <c r="E792" s="113"/>
      <c r="F792" s="266"/>
      <c r="G792" s="113"/>
      <c r="K792" s="36"/>
      <c r="L792" s="117"/>
      <c r="N792" s="117"/>
      <c r="R792" s="117"/>
      <c r="T792" s="117"/>
      <c r="V792" s="117"/>
      <c r="X792" s="117"/>
      <c r="Y792" s="10"/>
      <c r="Z792" s="11"/>
      <c r="AA792" s="36"/>
      <c r="AB792" s="36"/>
      <c r="AC792" s="13"/>
      <c r="AD792" s="13"/>
      <c r="AE792" s="37"/>
      <c r="AF792" s="37"/>
      <c r="AG792" s="14"/>
      <c r="AH792" s="14"/>
      <c r="AI792" s="14"/>
      <c r="AZ792" s="24"/>
    </row>
    <row r="793">
      <c r="B793" s="24"/>
      <c r="E793" s="113"/>
      <c r="F793" s="266"/>
      <c r="G793" s="113"/>
      <c r="K793" s="36"/>
      <c r="L793" s="117"/>
      <c r="N793" s="117"/>
      <c r="R793" s="117"/>
      <c r="T793" s="117"/>
      <c r="V793" s="117"/>
      <c r="X793" s="117"/>
      <c r="Y793" s="10"/>
      <c r="Z793" s="11"/>
      <c r="AA793" s="36"/>
      <c r="AB793" s="36"/>
      <c r="AC793" s="13"/>
      <c r="AD793" s="13"/>
      <c r="AE793" s="37"/>
      <c r="AF793" s="37"/>
      <c r="AG793" s="14"/>
      <c r="AH793" s="14"/>
      <c r="AI793" s="14"/>
      <c r="AZ793" s="24"/>
    </row>
    <row r="794">
      <c r="B794" s="24"/>
      <c r="E794" s="113"/>
      <c r="F794" s="266"/>
      <c r="G794" s="113"/>
      <c r="K794" s="36"/>
      <c r="L794" s="117"/>
      <c r="N794" s="117"/>
      <c r="R794" s="117"/>
      <c r="T794" s="117"/>
      <c r="V794" s="117"/>
      <c r="X794" s="117"/>
      <c r="Y794" s="10"/>
      <c r="Z794" s="11"/>
      <c r="AA794" s="36"/>
      <c r="AB794" s="36"/>
      <c r="AC794" s="13"/>
      <c r="AD794" s="13"/>
      <c r="AE794" s="37"/>
      <c r="AF794" s="37"/>
      <c r="AG794" s="14"/>
      <c r="AH794" s="14"/>
      <c r="AI794" s="14"/>
      <c r="AZ794" s="24"/>
    </row>
    <row r="795">
      <c r="B795" s="24"/>
      <c r="E795" s="113"/>
      <c r="F795" s="266"/>
      <c r="G795" s="113"/>
      <c r="K795" s="36"/>
      <c r="L795" s="117"/>
      <c r="N795" s="117"/>
      <c r="R795" s="117"/>
      <c r="T795" s="117"/>
      <c r="V795" s="117"/>
      <c r="X795" s="117"/>
      <c r="Y795" s="10"/>
      <c r="Z795" s="11"/>
      <c r="AA795" s="36"/>
      <c r="AB795" s="36"/>
      <c r="AC795" s="13"/>
      <c r="AD795" s="13"/>
      <c r="AE795" s="37"/>
      <c r="AF795" s="37"/>
      <c r="AG795" s="14"/>
      <c r="AH795" s="14"/>
      <c r="AI795" s="14"/>
      <c r="AZ795" s="24"/>
    </row>
    <row r="796">
      <c r="B796" s="24"/>
      <c r="E796" s="113"/>
      <c r="F796" s="266"/>
      <c r="G796" s="113"/>
      <c r="K796" s="36"/>
      <c r="L796" s="117"/>
      <c r="N796" s="117"/>
      <c r="R796" s="117"/>
      <c r="T796" s="117"/>
      <c r="V796" s="117"/>
      <c r="X796" s="117"/>
      <c r="Y796" s="10"/>
      <c r="Z796" s="11"/>
      <c r="AA796" s="36"/>
      <c r="AB796" s="36"/>
      <c r="AC796" s="13"/>
      <c r="AD796" s="13"/>
      <c r="AE796" s="37"/>
      <c r="AF796" s="37"/>
      <c r="AG796" s="14"/>
      <c r="AH796" s="14"/>
      <c r="AI796" s="14"/>
      <c r="AZ796" s="24"/>
    </row>
    <row r="797">
      <c r="B797" s="24"/>
      <c r="E797" s="113"/>
      <c r="F797" s="266"/>
      <c r="G797" s="113"/>
      <c r="K797" s="36"/>
      <c r="L797" s="117"/>
      <c r="N797" s="117"/>
      <c r="R797" s="117"/>
      <c r="T797" s="117"/>
      <c r="V797" s="117"/>
      <c r="X797" s="117"/>
      <c r="Y797" s="10"/>
      <c r="Z797" s="11"/>
      <c r="AA797" s="36"/>
      <c r="AB797" s="36"/>
      <c r="AC797" s="13"/>
      <c r="AD797" s="13"/>
      <c r="AE797" s="37"/>
      <c r="AF797" s="37"/>
      <c r="AG797" s="14"/>
      <c r="AH797" s="14"/>
      <c r="AI797" s="14"/>
      <c r="AZ797" s="24"/>
    </row>
    <row r="798">
      <c r="B798" s="24"/>
      <c r="E798" s="113"/>
      <c r="F798" s="266"/>
      <c r="G798" s="113"/>
      <c r="K798" s="36"/>
      <c r="L798" s="117"/>
      <c r="N798" s="117"/>
      <c r="R798" s="117"/>
      <c r="T798" s="117"/>
      <c r="V798" s="117"/>
      <c r="X798" s="117"/>
      <c r="Y798" s="10"/>
      <c r="Z798" s="11"/>
      <c r="AA798" s="36"/>
      <c r="AB798" s="36"/>
      <c r="AC798" s="13"/>
      <c r="AD798" s="13"/>
      <c r="AE798" s="37"/>
      <c r="AF798" s="37"/>
      <c r="AG798" s="14"/>
      <c r="AH798" s="14"/>
      <c r="AI798" s="14"/>
      <c r="AZ798" s="24"/>
    </row>
    <row r="799">
      <c r="B799" s="24"/>
      <c r="E799" s="113"/>
      <c r="F799" s="266"/>
      <c r="G799" s="113"/>
      <c r="K799" s="36"/>
      <c r="L799" s="117"/>
      <c r="N799" s="117"/>
      <c r="R799" s="117"/>
      <c r="T799" s="117"/>
      <c r="V799" s="117"/>
      <c r="X799" s="117"/>
      <c r="Y799" s="10"/>
      <c r="Z799" s="11"/>
      <c r="AA799" s="36"/>
      <c r="AB799" s="36"/>
      <c r="AC799" s="13"/>
      <c r="AD799" s="13"/>
      <c r="AE799" s="37"/>
      <c r="AF799" s="37"/>
      <c r="AG799" s="14"/>
      <c r="AH799" s="14"/>
      <c r="AI799" s="14"/>
      <c r="AZ799" s="24"/>
    </row>
    <row r="800">
      <c r="B800" s="24"/>
      <c r="E800" s="113"/>
      <c r="F800" s="266"/>
      <c r="G800" s="113"/>
      <c r="K800" s="36"/>
      <c r="L800" s="117"/>
      <c r="N800" s="117"/>
      <c r="R800" s="117"/>
      <c r="T800" s="117"/>
      <c r="V800" s="117"/>
      <c r="X800" s="117"/>
      <c r="Y800" s="10"/>
      <c r="Z800" s="11"/>
      <c r="AA800" s="36"/>
      <c r="AB800" s="36"/>
      <c r="AC800" s="13"/>
      <c r="AD800" s="13"/>
      <c r="AE800" s="37"/>
      <c r="AF800" s="37"/>
      <c r="AG800" s="14"/>
      <c r="AH800" s="14"/>
      <c r="AI800" s="14"/>
      <c r="AZ800" s="24"/>
    </row>
    <row r="801">
      <c r="B801" s="24"/>
      <c r="E801" s="113"/>
      <c r="F801" s="266"/>
      <c r="G801" s="113"/>
      <c r="K801" s="36"/>
      <c r="L801" s="117"/>
      <c r="N801" s="117"/>
      <c r="R801" s="117"/>
      <c r="T801" s="117"/>
      <c r="V801" s="117"/>
      <c r="X801" s="117"/>
      <c r="Y801" s="10"/>
      <c r="Z801" s="11"/>
      <c r="AA801" s="36"/>
      <c r="AB801" s="36"/>
      <c r="AC801" s="13"/>
      <c r="AD801" s="13"/>
      <c r="AE801" s="37"/>
      <c r="AF801" s="37"/>
      <c r="AG801" s="14"/>
      <c r="AH801" s="14"/>
      <c r="AI801" s="14"/>
      <c r="AZ801" s="24"/>
    </row>
    <row r="802">
      <c r="B802" s="24"/>
      <c r="E802" s="113"/>
      <c r="F802" s="266"/>
      <c r="G802" s="113"/>
      <c r="K802" s="36"/>
      <c r="L802" s="117"/>
      <c r="N802" s="117"/>
      <c r="R802" s="117"/>
      <c r="T802" s="117"/>
      <c r="V802" s="117"/>
      <c r="X802" s="117"/>
      <c r="Y802" s="10"/>
      <c r="Z802" s="11"/>
      <c r="AA802" s="36"/>
      <c r="AB802" s="36"/>
      <c r="AC802" s="13"/>
      <c r="AD802" s="13"/>
      <c r="AE802" s="37"/>
      <c r="AF802" s="37"/>
      <c r="AG802" s="14"/>
      <c r="AH802" s="14"/>
      <c r="AI802" s="14"/>
      <c r="AZ802" s="24"/>
    </row>
    <row r="803">
      <c r="B803" s="24"/>
      <c r="E803" s="113"/>
      <c r="F803" s="266"/>
      <c r="G803" s="113"/>
      <c r="K803" s="36"/>
      <c r="L803" s="117"/>
      <c r="N803" s="117"/>
      <c r="R803" s="117"/>
      <c r="T803" s="117"/>
      <c r="V803" s="117"/>
      <c r="X803" s="117"/>
      <c r="Y803" s="10"/>
      <c r="Z803" s="11"/>
      <c r="AA803" s="36"/>
      <c r="AB803" s="36"/>
      <c r="AC803" s="13"/>
      <c r="AD803" s="13"/>
      <c r="AE803" s="37"/>
      <c r="AF803" s="37"/>
      <c r="AG803" s="14"/>
      <c r="AH803" s="14"/>
      <c r="AI803" s="14"/>
      <c r="AZ803" s="24"/>
    </row>
    <row r="804">
      <c r="B804" s="24"/>
      <c r="E804" s="113"/>
      <c r="F804" s="266"/>
      <c r="G804" s="113"/>
      <c r="K804" s="36"/>
      <c r="L804" s="117"/>
      <c r="N804" s="117"/>
      <c r="R804" s="117"/>
      <c r="T804" s="117"/>
      <c r="V804" s="117"/>
      <c r="X804" s="117"/>
      <c r="Y804" s="10"/>
      <c r="Z804" s="11"/>
      <c r="AA804" s="36"/>
      <c r="AB804" s="36"/>
      <c r="AC804" s="13"/>
      <c r="AD804" s="13"/>
      <c r="AE804" s="37"/>
      <c r="AF804" s="37"/>
      <c r="AG804" s="14"/>
      <c r="AH804" s="14"/>
      <c r="AI804" s="14"/>
      <c r="AZ804" s="24"/>
    </row>
    <row r="805">
      <c r="B805" s="24"/>
      <c r="E805" s="113"/>
      <c r="F805" s="266"/>
      <c r="G805" s="113"/>
      <c r="K805" s="36"/>
      <c r="L805" s="117"/>
      <c r="N805" s="117"/>
      <c r="R805" s="117"/>
      <c r="T805" s="117"/>
      <c r="V805" s="117"/>
      <c r="X805" s="117"/>
      <c r="Y805" s="10"/>
      <c r="Z805" s="11"/>
      <c r="AA805" s="36"/>
      <c r="AB805" s="36"/>
      <c r="AC805" s="13"/>
      <c r="AD805" s="13"/>
      <c r="AE805" s="37"/>
      <c r="AF805" s="37"/>
      <c r="AG805" s="14"/>
      <c r="AH805" s="14"/>
      <c r="AI805" s="14"/>
      <c r="AZ805" s="24"/>
    </row>
    <row r="806">
      <c r="B806" s="24"/>
      <c r="E806" s="113"/>
      <c r="F806" s="266"/>
      <c r="G806" s="113"/>
      <c r="K806" s="36"/>
      <c r="L806" s="117"/>
      <c r="N806" s="117"/>
      <c r="R806" s="117"/>
      <c r="T806" s="117"/>
      <c r="V806" s="117"/>
      <c r="X806" s="117"/>
      <c r="Y806" s="10"/>
      <c r="Z806" s="11"/>
      <c r="AA806" s="36"/>
      <c r="AB806" s="36"/>
      <c r="AC806" s="13"/>
      <c r="AD806" s="13"/>
      <c r="AE806" s="37"/>
      <c r="AF806" s="37"/>
      <c r="AG806" s="14"/>
      <c r="AH806" s="14"/>
      <c r="AI806" s="14"/>
      <c r="AZ806" s="24"/>
    </row>
    <row r="807">
      <c r="B807" s="24"/>
      <c r="E807" s="113"/>
      <c r="F807" s="266"/>
      <c r="G807" s="113"/>
      <c r="K807" s="36"/>
      <c r="L807" s="117"/>
      <c r="N807" s="117"/>
      <c r="R807" s="117"/>
      <c r="T807" s="117"/>
      <c r="V807" s="117"/>
      <c r="X807" s="117"/>
      <c r="Y807" s="10"/>
      <c r="Z807" s="11"/>
      <c r="AA807" s="36"/>
      <c r="AB807" s="36"/>
      <c r="AC807" s="13"/>
      <c r="AD807" s="13"/>
      <c r="AE807" s="37"/>
      <c r="AF807" s="37"/>
      <c r="AG807" s="14"/>
      <c r="AH807" s="14"/>
      <c r="AI807" s="14"/>
      <c r="AZ807" s="24"/>
    </row>
    <row r="808">
      <c r="B808" s="24"/>
      <c r="E808" s="113"/>
      <c r="F808" s="266"/>
      <c r="G808" s="113"/>
      <c r="K808" s="36"/>
      <c r="L808" s="117"/>
      <c r="N808" s="117"/>
      <c r="R808" s="117"/>
      <c r="T808" s="117"/>
      <c r="V808" s="117"/>
      <c r="X808" s="117"/>
      <c r="Y808" s="10"/>
      <c r="Z808" s="11"/>
      <c r="AA808" s="36"/>
      <c r="AB808" s="36"/>
      <c r="AC808" s="13"/>
      <c r="AD808" s="13"/>
      <c r="AE808" s="37"/>
      <c r="AF808" s="37"/>
      <c r="AG808" s="14"/>
      <c r="AH808" s="14"/>
      <c r="AI808" s="14"/>
      <c r="AZ808" s="24"/>
    </row>
    <row r="809">
      <c r="B809" s="24"/>
      <c r="E809" s="113"/>
      <c r="F809" s="266"/>
      <c r="G809" s="113"/>
      <c r="K809" s="36"/>
      <c r="L809" s="117"/>
      <c r="N809" s="117"/>
      <c r="R809" s="117"/>
      <c r="T809" s="117"/>
      <c r="V809" s="117"/>
      <c r="X809" s="117"/>
      <c r="Y809" s="10"/>
      <c r="Z809" s="11"/>
      <c r="AA809" s="36"/>
      <c r="AB809" s="36"/>
      <c r="AC809" s="13"/>
      <c r="AD809" s="13"/>
      <c r="AE809" s="37"/>
      <c r="AF809" s="37"/>
      <c r="AG809" s="14"/>
      <c r="AH809" s="14"/>
      <c r="AI809" s="14"/>
      <c r="AZ809" s="24"/>
    </row>
    <row r="810">
      <c r="B810" s="24"/>
      <c r="E810" s="113"/>
      <c r="F810" s="266"/>
      <c r="G810" s="113"/>
      <c r="K810" s="36"/>
      <c r="L810" s="117"/>
      <c r="N810" s="117"/>
      <c r="R810" s="117"/>
      <c r="T810" s="117"/>
      <c r="V810" s="117"/>
      <c r="X810" s="117"/>
      <c r="Y810" s="10"/>
      <c r="Z810" s="11"/>
      <c r="AA810" s="36"/>
      <c r="AB810" s="36"/>
      <c r="AC810" s="13"/>
      <c r="AD810" s="13"/>
      <c r="AE810" s="37"/>
      <c r="AF810" s="37"/>
      <c r="AG810" s="14"/>
      <c r="AH810" s="14"/>
      <c r="AI810" s="14"/>
      <c r="AZ810" s="24"/>
    </row>
    <row r="811">
      <c r="B811" s="24"/>
      <c r="E811" s="113"/>
      <c r="F811" s="266"/>
      <c r="G811" s="113"/>
      <c r="K811" s="36"/>
      <c r="L811" s="117"/>
      <c r="N811" s="117"/>
      <c r="R811" s="117"/>
      <c r="T811" s="117"/>
      <c r="V811" s="117"/>
      <c r="X811" s="117"/>
      <c r="Y811" s="10"/>
      <c r="Z811" s="11"/>
      <c r="AA811" s="36"/>
      <c r="AB811" s="36"/>
      <c r="AC811" s="13"/>
      <c r="AD811" s="13"/>
      <c r="AE811" s="37"/>
      <c r="AF811" s="37"/>
      <c r="AG811" s="14"/>
      <c r="AH811" s="14"/>
      <c r="AI811" s="14"/>
      <c r="AZ811" s="24"/>
    </row>
    <row r="812">
      <c r="B812" s="24"/>
      <c r="E812" s="113"/>
      <c r="F812" s="266"/>
      <c r="G812" s="113"/>
      <c r="K812" s="36"/>
      <c r="L812" s="117"/>
      <c r="N812" s="117"/>
      <c r="R812" s="117"/>
      <c r="T812" s="117"/>
      <c r="V812" s="117"/>
      <c r="X812" s="117"/>
      <c r="Y812" s="10"/>
      <c r="Z812" s="11"/>
      <c r="AA812" s="36"/>
      <c r="AB812" s="36"/>
      <c r="AC812" s="13"/>
      <c r="AD812" s="13"/>
      <c r="AE812" s="37"/>
      <c r="AF812" s="37"/>
      <c r="AG812" s="14"/>
      <c r="AH812" s="14"/>
      <c r="AI812" s="14"/>
      <c r="AZ812" s="24"/>
    </row>
    <row r="813">
      <c r="B813" s="24"/>
      <c r="E813" s="113"/>
      <c r="F813" s="266"/>
      <c r="G813" s="113"/>
      <c r="K813" s="36"/>
      <c r="L813" s="117"/>
      <c r="N813" s="117"/>
      <c r="R813" s="117"/>
      <c r="T813" s="117"/>
      <c r="V813" s="117"/>
      <c r="X813" s="117"/>
      <c r="Y813" s="10"/>
      <c r="Z813" s="11"/>
      <c r="AA813" s="36"/>
      <c r="AB813" s="36"/>
      <c r="AC813" s="13"/>
      <c r="AD813" s="13"/>
      <c r="AE813" s="37"/>
      <c r="AF813" s="37"/>
      <c r="AG813" s="14"/>
      <c r="AH813" s="14"/>
      <c r="AI813" s="14"/>
      <c r="AZ813" s="24"/>
    </row>
    <row r="814">
      <c r="B814" s="24"/>
      <c r="E814" s="113"/>
      <c r="F814" s="266"/>
      <c r="G814" s="113"/>
      <c r="K814" s="36"/>
      <c r="L814" s="117"/>
      <c r="N814" s="117"/>
      <c r="R814" s="117"/>
      <c r="T814" s="117"/>
      <c r="V814" s="117"/>
      <c r="X814" s="117"/>
      <c r="Y814" s="10"/>
      <c r="Z814" s="11"/>
      <c r="AA814" s="36"/>
      <c r="AB814" s="36"/>
      <c r="AC814" s="13"/>
      <c r="AD814" s="13"/>
      <c r="AE814" s="37"/>
      <c r="AF814" s="37"/>
      <c r="AG814" s="14"/>
      <c r="AH814" s="14"/>
      <c r="AI814" s="14"/>
      <c r="AZ814" s="24"/>
    </row>
    <row r="815">
      <c r="B815" s="24"/>
      <c r="E815" s="113"/>
      <c r="F815" s="266"/>
      <c r="G815" s="113"/>
      <c r="K815" s="36"/>
      <c r="L815" s="117"/>
      <c r="N815" s="117"/>
      <c r="R815" s="117"/>
      <c r="T815" s="117"/>
      <c r="V815" s="117"/>
      <c r="X815" s="117"/>
      <c r="Y815" s="10"/>
      <c r="Z815" s="11"/>
      <c r="AA815" s="36"/>
      <c r="AB815" s="36"/>
      <c r="AC815" s="13"/>
      <c r="AD815" s="13"/>
      <c r="AE815" s="37"/>
      <c r="AF815" s="37"/>
      <c r="AG815" s="14"/>
      <c r="AH815" s="14"/>
      <c r="AI815" s="14"/>
      <c r="AZ815" s="24"/>
    </row>
    <row r="816">
      <c r="B816" s="24"/>
      <c r="E816" s="113"/>
      <c r="F816" s="266"/>
      <c r="G816" s="113"/>
      <c r="K816" s="36"/>
      <c r="L816" s="117"/>
      <c r="N816" s="117"/>
      <c r="R816" s="117"/>
      <c r="T816" s="117"/>
      <c r="V816" s="117"/>
      <c r="X816" s="117"/>
      <c r="Y816" s="10"/>
      <c r="Z816" s="11"/>
      <c r="AA816" s="36"/>
      <c r="AB816" s="36"/>
      <c r="AC816" s="13"/>
      <c r="AD816" s="13"/>
      <c r="AE816" s="37"/>
      <c r="AF816" s="37"/>
      <c r="AG816" s="14"/>
      <c r="AH816" s="14"/>
      <c r="AI816" s="14"/>
      <c r="AZ816" s="24"/>
    </row>
    <row r="817">
      <c r="B817" s="24"/>
      <c r="E817" s="113"/>
      <c r="F817" s="266"/>
      <c r="G817" s="113"/>
      <c r="K817" s="36"/>
      <c r="L817" s="117"/>
      <c r="N817" s="117"/>
      <c r="R817" s="117"/>
      <c r="T817" s="117"/>
      <c r="V817" s="117"/>
      <c r="X817" s="117"/>
      <c r="Y817" s="10"/>
      <c r="Z817" s="11"/>
      <c r="AA817" s="36"/>
      <c r="AB817" s="36"/>
      <c r="AC817" s="13"/>
      <c r="AD817" s="13"/>
      <c r="AE817" s="37"/>
      <c r="AF817" s="37"/>
      <c r="AG817" s="14"/>
      <c r="AH817" s="14"/>
      <c r="AI817" s="14"/>
      <c r="AZ817" s="24"/>
    </row>
    <row r="818">
      <c r="B818" s="24"/>
      <c r="E818" s="113"/>
      <c r="F818" s="266"/>
      <c r="G818" s="113"/>
      <c r="K818" s="36"/>
      <c r="L818" s="117"/>
      <c r="N818" s="117"/>
      <c r="R818" s="117"/>
      <c r="T818" s="117"/>
      <c r="V818" s="117"/>
      <c r="X818" s="117"/>
      <c r="Y818" s="10"/>
      <c r="Z818" s="11"/>
      <c r="AA818" s="36"/>
      <c r="AB818" s="36"/>
      <c r="AC818" s="13"/>
      <c r="AD818" s="13"/>
      <c r="AE818" s="37"/>
      <c r="AF818" s="37"/>
      <c r="AG818" s="14"/>
      <c r="AH818" s="14"/>
      <c r="AI818" s="14"/>
      <c r="AZ818" s="24"/>
    </row>
    <row r="819">
      <c r="B819" s="24"/>
      <c r="E819" s="113"/>
      <c r="F819" s="266"/>
      <c r="G819" s="113"/>
      <c r="K819" s="36"/>
      <c r="L819" s="117"/>
      <c r="N819" s="117"/>
      <c r="R819" s="117"/>
      <c r="T819" s="117"/>
      <c r="V819" s="117"/>
      <c r="X819" s="117"/>
      <c r="Y819" s="10"/>
      <c r="Z819" s="11"/>
      <c r="AA819" s="36"/>
      <c r="AB819" s="36"/>
      <c r="AC819" s="13"/>
      <c r="AD819" s="13"/>
      <c r="AE819" s="37"/>
      <c r="AF819" s="37"/>
      <c r="AG819" s="14"/>
      <c r="AH819" s="14"/>
      <c r="AI819" s="14"/>
      <c r="AZ819" s="24"/>
    </row>
    <row r="820">
      <c r="B820" s="24"/>
      <c r="E820" s="113"/>
      <c r="F820" s="266"/>
      <c r="G820" s="113"/>
      <c r="K820" s="36"/>
      <c r="L820" s="117"/>
      <c r="N820" s="117"/>
      <c r="R820" s="117"/>
      <c r="T820" s="117"/>
      <c r="V820" s="117"/>
      <c r="X820" s="117"/>
      <c r="Y820" s="10"/>
      <c r="Z820" s="11"/>
      <c r="AA820" s="36"/>
      <c r="AB820" s="36"/>
      <c r="AC820" s="13"/>
      <c r="AD820" s="13"/>
      <c r="AE820" s="37"/>
      <c r="AF820" s="37"/>
      <c r="AG820" s="14"/>
      <c r="AH820" s="14"/>
      <c r="AI820" s="14"/>
      <c r="AZ820" s="24"/>
    </row>
    <row r="821">
      <c r="B821" s="24"/>
      <c r="E821" s="113"/>
      <c r="F821" s="266"/>
      <c r="G821" s="113"/>
      <c r="K821" s="36"/>
      <c r="L821" s="117"/>
      <c r="N821" s="117"/>
      <c r="R821" s="117"/>
      <c r="T821" s="117"/>
      <c r="V821" s="117"/>
      <c r="X821" s="117"/>
      <c r="Y821" s="10"/>
      <c r="Z821" s="11"/>
      <c r="AA821" s="36"/>
      <c r="AB821" s="36"/>
      <c r="AC821" s="13"/>
      <c r="AD821" s="13"/>
      <c r="AE821" s="37"/>
      <c r="AF821" s="37"/>
      <c r="AG821" s="14"/>
      <c r="AH821" s="14"/>
      <c r="AI821" s="14"/>
      <c r="AZ821" s="24"/>
    </row>
    <row r="822">
      <c r="B822" s="24"/>
      <c r="E822" s="113"/>
      <c r="F822" s="266"/>
      <c r="G822" s="113"/>
      <c r="K822" s="36"/>
      <c r="L822" s="117"/>
      <c r="N822" s="117"/>
      <c r="R822" s="117"/>
      <c r="T822" s="117"/>
      <c r="V822" s="117"/>
      <c r="X822" s="117"/>
      <c r="Y822" s="10"/>
      <c r="Z822" s="11"/>
      <c r="AA822" s="36"/>
      <c r="AB822" s="36"/>
      <c r="AC822" s="13"/>
      <c r="AD822" s="13"/>
      <c r="AE822" s="37"/>
      <c r="AF822" s="37"/>
      <c r="AG822" s="14"/>
      <c r="AH822" s="14"/>
      <c r="AI822" s="14"/>
      <c r="AZ822" s="24"/>
    </row>
    <row r="823">
      <c r="B823" s="24"/>
      <c r="E823" s="113"/>
      <c r="F823" s="266"/>
      <c r="G823" s="113"/>
      <c r="K823" s="36"/>
      <c r="L823" s="117"/>
      <c r="N823" s="117"/>
      <c r="R823" s="117"/>
      <c r="T823" s="117"/>
      <c r="V823" s="117"/>
      <c r="X823" s="117"/>
      <c r="Y823" s="10"/>
      <c r="Z823" s="11"/>
      <c r="AA823" s="36"/>
      <c r="AB823" s="36"/>
      <c r="AC823" s="13"/>
      <c r="AD823" s="13"/>
      <c r="AE823" s="37"/>
      <c r="AF823" s="37"/>
      <c r="AG823" s="14"/>
      <c r="AH823" s="14"/>
      <c r="AI823" s="14"/>
      <c r="AZ823" s="24"/>
    </row>
    <row r="824">
      <c r="B824" s="24"/>
      <c r="E824" s="113"/>
      <c r="F824" s="266"/>
      <c r="G824" s="113"/>
      <c r="K824" s="36"/>
      <c r="L824" s="117"/>
      <c r="N824" s="117"/>
      <c r="R824" s="117"/>
      <c r="T824" s="117"/>
      <c r="V824" s="117"/>
      <c r="X824" s="117"/>
      <c r="Y824" s="10"/>
      <c r="Z824" s="11"/>
      <c r="AA824" s="36"/>
      <c r="AB824" s="36"/>
      <c r="AC824" s="13"/>
      <c r="AD824" s="13"/>
      <c r="AE824" s="37"/>
      <c r="AF824" s="37"/>
      <c r="AG824" s="14"/>
      <c r="AH824" s="14"/>
      <c r="AI824" s="14"/>
      <c r="AZ824" s="24"/>
    </row>
    <row r="825">
      <c r="B825" s="24"/>
      <c r="E825" s="113"/>
      <c r="F825" s="266"/>
      <c r="G825" s="113"/>
      <c r="K825" s="36"/>
      <c r="L825" s="117"/>
      <c r="N825" s="117"/>
      <c r="R825" s="117"/>
      <c r="T825" s="117"/>
      <c r="V825" s="117"/>
      <c r="X825" s="117"/>
      <c r="Y825" s="10"/>
      <c r="Z825" s="11"/>
      <c r="AA825" s="36"/>
      <c r="AB825" s="36"/>
      <c r="AC825" s="13"/>
      <c r="AD825" s="13"/>
      <c r="AE825" s="37"/>
      <c r="AF825" s="37"/>
      <c r="AG825" s="14"/>
      <c r="AH825" s="14"/>
      <c r="AI825" s="14"/>
      <c r="AZ825" s="24"/>
    </row>
    <row r="826">
      <c r="B826" s="24"/>
      <c r="E826" s="113"/>
      <c r="F826" s="266"/>
      <c r="G826" s="113"/>
      <c r="K826" s="36"/>
      <c r="L826" s="117"/>
      <c r="N826" s="117"/>
      <c r="R826" s="117"/>
      <c r="T826" s="117"/>
      <c r="V826" s="117"/>
      <c r="X826" s="117"/>
      <c r="Y826" s="10"/>
      <c r="Z826" s="11"/>
      <c r="AA826" s="36"/>
      <c r="AB826" s="36"/>
      <c r="AC826" s="13"/>
      <c r="AD826" s="13"/>
      <c r="AE826" s="37"/>
      <c r="AF826" s="37"/>
      <c r="AG826" s="14"/>
      <c r="AH826" s="14"/>
      <c r="AI826" s="14"/>
      <c r="AZ826" s="24"/>
    </row>
    <row r="827">
      <c r="B827" s="24"/>
      <c r="E827" s="113"/>
      <c r="F827" s="266"/>
      <c r="G827" s="113"/>
      <c r="K827" s="36"/>
      <c r="L827" s="117"/>
      <c r="N827" s="117"/>
      <c r="R827" s="117"/>
      <c r="T827" s="117"/>
      <c r="V827" s="117"/>
      <c r="X827" s="117"/>
      <c r="Y827" s="10"/>
      <c r="Z827" s="11"/>
      <c r="AA827" s="36"/>
      <c r="AB827" s="36"/>
      <c r="AC827" s="13"/>
      <c r="AD827" s="13"/>
      <c r="AE827" s="37"/>
      <c r="AF827" s="37"/>
      <c r="AG827" s="14"/>
      <c r="AH827" s="14"/>
      <c r="AI827" s="14"/>
      <c r="AZ827" s="24"/>
    </row>
    <row r="828">
      <c r="B828" s="24"/>
      <c r="E828" s="113"/>
      <c r="F828" s="266"/>
      <c r="G828" s="113"/>
      <c r="K828" s="36"/>
      <c r="L828" s="117"/>
      <c r="N828" s="117"/>
      <c r="R828" s="117"/>
      <c r="T828" s="117"/>
      <c r="V828" s="117"/>
      <c r="X828" s="117"/>
      <c r="Y828" s="10"/>
      <c r="Z828" s="11"/>
      <c r="AA828" s="36"/>
      <c r="AB828" s="36"/>
      <c r="AC828" s="13"/>
      <c r="AD828" s="13"/>
      <c r="AE828" s="37"/>
      <c r="AF828" s="37"/>
      <c r="AG828" s="14"/>
      <c r="AH828" s="14"/>
      <c r="AI828" s="14"/>
      <c r="AZ828" s="24"/>
    </row>
    <row r="829">
      <c r="B829" s="24"/>
      <c r="E829" s="113"/>
      <c r="F829" s="266"/>
      <c r="G829" s="113"/>
      <c r="K829" s="36"/>
      <c r="L829" s="117"/>
      <c r="N829" s="117"/>
      <c r="R829" s="117"/>
      <c r="T829" s="117"/>
      <c r="V829" s="117"/>
      <c r="X829" s="117"/>
      <c r="Y829" s="10"/>
      <c r="Z829" s="11"/>
      <c r="AA829" s="36"/>
      <c r="AB829" s="36"/>
      <c r="AC829" s="13"/>
      <c r="AD829" s="13"/>
      <c r="AE829" s="37"/>
      <c r="AF829" s="37"/>
      <c r="AG829" s="14"/>
      <c r="AH829" s="14"/>
      <c r="AI829" s="14"/>
      <c r="AZ829" s="24"/>
    </row>
    <row r="830">
      <c r="B830" s="24"/>
      <c r="E830" s="113"/>
      <c r="F830" s="266"/>
      <c r="G830" s="113"/>
      <c r="K830" s="36"/>
      <c r="L830" s="117"/>
      <c r="N830" s="117"/>
      <c r="R830" s="117"/>
      <c r="T830" s="117"/>
      <c r="V830" s="117"/>
      <c r="X830" s="117"/>
      <c r="Y830" s="10"/>
      <c r="Z830" s="11"/>
      <c r="AA830" s="36"/>
      <c r="AB830" s="36"/>
      <c r="AC830" s="13"/>
      <c r="AD830" s="13"/>
      <c r="AE830" s="37"/>
      <c r="AF830" s="37"/>
      <c r="AG830" s="14"/>
      <c r="AH830" s="14"/>
      <c r="AI830" s="14"/>
      <c r="AZ830" s="24"/>
    </row>
    <row r="831">
      <c r="B831" s="24"/>
      <c r="E831" s="113"/>
      <c r="F831" s="266"/>
      <c r="G831" s="113"/>
      <c r="K831" s="36"/>
      <c r="L831" s="117"/>
      <c r="N831" s="117"/>
      <c r="R831" s="117"/>
      <c r="T831" s="117"/>
      <c r="V831" s="117"/>
      <c r="X831" s="117"/>
      <c r="Y831" s="10"/>
      <c r="Z831" s="11"/>
      <c r="AA831" s="36"/>
      <c r="AB831" s="36"/>
      <c r="AC831" s="13"/>
      <c r="AD831" s="13"/>
      <c r="AE831" s="37"/>
      <c r="AF831" s="37"/>
      <c r="AG831" s="14"/>
      <c r="AH831" s="14"/>
      <c r="AI831" s="14"/>
      <c r="AZ831" s="24"/>
    </row>
    <row r="832">
      <c r="B832" s="24"/>
      <c r="E832" s="113"/>
      <c r="F832" s="266"/>
      <c r="G832" s="113"/>
      <c r="K832" s="36"/>
      <c r="L832" s="117"/>
      <c r="N832" s="117"/>
      <c r="R832" s="117"/>
      <c r="T832" s="117"/>
      <c r="V832" s="117"/>
      <c r="X832" s="117"/>
      <c r="Y832" s="10"/>
      <c r="Z832" s="11"/>
      <c r="AA832" s="36"/>
      <c r="AB832" s="36"/>
      <c r="AC832" s="13"/>
      <c r="AD832" s="13"/>
      <c r="AE832" s="37"/>
      <c r="AF832" s="37"/>
      <c r="AG832" s="14"/>
      <c r="AH832" s="14"/>
      <c r="AI832" s="14"/>
      <c r="AZ832" s="24"/>
    </row>
    <row r="833">
      <c r="B833" s="24"/>
      <c r="E833" s="113"/>
      <c r="F833" s="266"/>
      <c r="G833" s="113"/>
      <c r="K833" s="36"/>
      <c r="L833" s="117"/>
      <c r="N833" s="117"/>
      <c r="R833" s="117"/>
      <c r="T833" s="117"/>
      <c r="V833" s="117"/>
      <c r="X833" s="117"/>
      <c r="Y833" s="10"/>
      <c r="Z833" s="11"/>
      <c r="AA833" s="36"/>
      <c r="AB833" s="36"/>
      <c r="AC833" s="13"/>
      <c r="AD833" s="13"/>
      <c r="AE833" s="37"/>
      <c r="AF833" s="37"/>
      <c r="AG833" s="14"/>
      <c r="AH833" s="14"/>
      <c r="AI833" s="14"/>
      <c r="AZ833" s="24"/>
    </row>
    <row r="834">
      <c r="B834" s="24"/>
      <c r="E834" s="113"/>
      <c r="F834" s="266"/>
      <c r="G834" s="113"/>
      <c r="K834" s="36"/>
      <c r="L834" s="117"/>
      <c r="N834" s="117"/>
      <c r="R834" s="117"/>
      <c r="T834" s="117"/>
      <c r="V834" s="117"/>
      <c r="X834" s="117"/>
      <c r="Y834" s="10"/>
      <c r="Z834" s="11"/>
      <c r="AA834" s="36"/>
      <c r="AB834" s="36"/>
      <c r="AC834" s="13"/>
      <c r="AD834" s="13"/>
      <c r="AE834" s="37"/>
      <c r="AF834" s="37"/>
      <c r="AG834" s="14"/>
      <c r="AH834" s="14"/>
      <c r="AI834" s="14"/>
      <c r="AZ834" s="24"/>
    </row>
    <row r="835">
      <c r="B835" s="24"/>
      <c r="E835" s="113"/>
      <c r="F835" s="266"/>
      <c r="G835" s="113"/>
      <c r="K835" s="36"/>
      <c r="L835" s="117"/>
      <c r="N835" s="117"/>
      <c r="R835" s="117"/>
      <c r="T835" s="117"/>
      <c r="V835" s="117"/>
      <c r="X835" s="117"/>
      <c r="Y835" s="10"/>
      <c r="Z835" s="11"/>
      <c r="AA835" s="36"/>
      <c r="AB835" s="36"/>
      <c r="AC835" s="13"/>
      <c r="AD835" s="13"/>
      <c r="AE835" s="37"/>
      <c r="AF835" s="37"/>
      <c r="AG835" s="14"/>
      <c r="AH835" s="14"/>
      <c r="AI835" s="14"/>
      <c r="AZ835" s="24"/>
    </row>
    <row r="836">
      <c r="B836" s="24"/>
      <c r="E836" s="113"/>
      <c r="F836" s="266"/>
      <c r="G836" s="113"/>
      <c r="K836" s="36"/>
      <c r="L836" s="117"/>
      <c r="N836" s="117"/>
      <c r="R836" s="117"/>
      <c r="T836" s="117"/>
      <c r="V836" s="117"/>
      <c r="X836" s="117"/>
      <c r="Y836" s="10"/>
      <c r="Z836" s="11"/>
      <c r="AA836" s="36"/>
      <c r="AB836" s="36"/>
      <c r="AC836" s="13"/>
      <c r="AD836" s="13"/>
      <c r="AE836" s="37"/>
      <c r="AF836" s="37"/>
      <c r="AG836" s="14"/>
      <c r="AH836" s="14"/>
      <c r="AI836" s="14"/>
      <c r="AZ836" s="24"/>
    </row>
    <row r="837">
      <c r="B837" s="24"/>
      <c r="E837" s="113"/>
      <c r="F837" s="266"/>
      <c r="G837" s="113"/>
      <c r="K837" s="36"/>
      <c r="L837" s="117"/>
      <c r="N837" s="117"/>
      <c r="R837" s="117"/>
      <c r="T837" s="117"/>
      <c r="V837" s="117"/>
      <c r="X837" s="117"/>
      <c r="Y837" s="10"/>
      <c r="Z837" s="11"/>
      <c r="AA837" s="36"/>
      <c r="AB837" s="36"/>
      <c r="AC837" s="13"/>
      <c r="AD837" s="13"/>
      <c r="AE837" s="37"/>
      <c r="AF837" s="37"/>
      <c r="AG837" s="14"/>
      <c r="AH837" s="14"/>
      <c r="AI837" s="14"/>
      <c r="AZ837" s="24"/>
    </row>
    <row r="838">
      <c r="B838" s="24"/>
      <c r="E838" s="113"/>
      <c r="F838" s="266"/>
      <c r="G838" s="113"/>
      <c r="K838" s="36"/>
      <c r="L838" s="117"/>
      <c r="N838" s="117"/>
      <c r="R838" s="117"/>
      <c r="T838" s="117"/>
      <c r="V838" s="117"/>
      <c r="X838" s="117"/>
      <c r="Y838" s="10"/>
      <c r="Z838" s="11"/>
      <c r="AA838" s="36"/>
      <c r="AB838" s="36"/>
      <c r="AC838" s="13"/>
      <c r="AD838" s="13"/>
      <c r="AE838" s="37"/>
      <c r="AF838" s="37"/>
      <c r="AG838" s="14"/>
      <c r="AH838" s="14"/>
      <c r="AI838" s="14"/>
      <c r="AZ838" s="24"/>
    </row>
    <row r="839">
      <c r="B839" s="24"/>
      <c r="E839" s="113"/>
      <c r="F839" s="266"/>
      <c r="G839" s="113"/>
      <c r="K839" s="36"/>
      <c r="L839" s="117"/>
      <c r="N839" s="117"/>
      <c r="R839" s="117"/>
      <c r="T839" s="117"/>
      <c r="V839" s="117"/>
      <c r="X839" s="117"/>
      <c r="Y839" s="10"/>
      <c r="Z839" s="11"/>
      <c r="AA839" s="36"/>
      <c r="AB839" s="36"/>
      <c r="AC839" s="13"/>
      <c r="AD839" s="13"/>
      <c r="AE839" s="37"/>
      <c r="AF839" s="37"/>
      <c r="AG839" s="14"/>
      <c r="AH839" s="14"/>
      <c r="AI839" s="14"/>
      <c r="AZ839" s="24"/>
    </row>
    <row r="840">
      <c r="B840" s="24"/>
      <c r="E840" s="113"/>
      <c r="F840" s="266"/>
      <c r="G840" s="113"/>
      <c r="K840" s="36"/>
      <c r="L840" s="117"/>
      <c r="N840" s="117"/>
      <c r="R840" s="117"/>
      <c r="T840" s="117"/>
      <c r="V840" s="117"/>
      <c r="X840" s="117"/>
      <c r="Y840" s="10"/>
      <c r="Z840" s="11"/>
      <c r="AA840" s="36"/>
      <c r="AB840" s="36"/>
      <c r="AC840" s="13"/>
      <c r="AD840" s="13"/>
      <c r="AE840" s="37"/>
      <c r="AF840" s="37"/>
      <c r="AG840" s="14"/>
      <c r="AH840" s="14"/>
      <c r="AI840" s="14"/>
      <c r="AZ840" s="24"/>
    </row>
    <row r="841">
      <c r="B841" s="24"/>
      <c r="E841" s="113"/>
      <c r="F841" s="266"/>
      <c r="G841" s="113"/>
      <c r="K841" s="36"/>
      <c r="L841" s="117"/>
      <c r="N841" s="117"/>
      <c r="R841" s="117"/>
      <c r="T841" s="117"/>
      <c r="V841" s="117"/>
      <c r="X841" s="117"/>
      <c r="Y841" s="10"/>
      <c r="Z841" s="11"/>
      <c r="AA841" s="36"/>
      <c r="AB841" s="36"/>
      <c r="AC841" s="13"/>
      <c r="AD841" s="13"/>
      <c r="AE841" s="37"/>
      <c r="AF841" s="37"/>
      <c r="AG841" s="14"/>
      <c r="AH841" s="14"/>
      <c r="AI841" s="14"/>
      <c r="AZ841" s="24"/>
    </row>
    <row r="842">
      <c r="B842" s="24"/>
      <c r="E842" s="113"/>
      <c r="F842" s="266"/>
      <c r="G842" s="113"/>
      <c r="K842" s="36"/>
      <c r="L842" s="117"/>
      <c r="N842" s="117"/>
      <c r="R842" s="117"/>
      <c r="T842" s="117"/>
      <c r="V842" s="117"/>
      <c r="X842" s="117"/>
      <c r="Y842" s="10"/>
      <c r="Z842" s="11"/>
      <c r="AA842" s="36"/>
      <c r="AB842" s="36"/>
      <c r="AC842" s="13"/>
      <c r="AD842" s="13"/>
      <c r="AE842" s="37"/>
      <c r="AF842" s="37"/>
      <c r="AG842" s="14"/>
      <c r="AH842" s="14"/>
      <c r="AI842" s="14"/>
      <c r="AZ842" s="24"/>
    </row>
    <row r="843">
      <c r="B843" s="24"/>
      <c r="E843" s="113"/>
      <c r="F843" s="266"/>
      <c r="G843" s="113"/>
      <c r="K843" s="36"/>
      <c r="L843" s="117"/>
      <c r="N843" s="117"/>
      <c r="R843" s="117"/>
      <c r="T843" s="117"/>
      <c r="V843" s="117"/>
      <c r="X843" s="117"/>
      <c r="Y843" s="10"/>
      <c r="Z843" s="11"/>
      <c r="AA843" s="36"/>
      <c r="AB843" s="36"/>
      <c r="AC843" s="13"/>
      <c r="AD843" s="13"/>
      <c r="AE843" s="37"/>
      <c r="AF843" s="37"/>
      <c r="AG843" s="14"/>
      <c r="AH843" s="14"/>
      <c r="AI843" s="14"/>
      <c r="AZ843" s="24"/>
    </row>
    <row r="844">
      <c r="B844" s="24"/>
      <c r="E844" s="113"/>
      <c r="F844" s="266"/>
      <c r="G844" s="113"/>
      <c r="K844" s="36"/>
      <c r="L844" s="117"/>
      <c r="N844" s="117"/>
      <c r="R844" s="117"/>
      <c r="T844" s="117"/>
      <c r="V844" s="117"/>
      <c r="X844" s="117"/>
      <c r="Y844" s="10"/>
      <c r="Z844" s="11"/>
      <c r="AA844" s="36"/>
      <c r="AB844" s="36"/>
      <c r="AC844" s="13"/>
      <c r="AD844" s="13"/>
      <c r="AE844" s="37"/>
      <c r="AF844" s="37"/>
      <c r="AG844" s="14"/>
      <c r="AH844" s="14"/>
      <c r="AI844" s="14"/>
      <c r="AZ844" s="24"/>
    </row>
    <row r="845">
      <c r="B845" s="24"/>
      <c r="E845" s="113"/>
      <c r="F845" s="266"/>
      <c r="G845" s="113"/>
      <c r="K845" s="36"/>
      <c r="L845" s="117"/>
      <c r="N845" s="117"/>
      <c r="R845" s="117"/>
      <c r="T845" s="117"/>
      <c r="V845" s="117"/>
      <c r="X845" s="117"/>
      <c r="Y845" s="10"/>
      <c r="Z845" s="11"/>
      <c r="AA845" s="36"/>
      <c r="AB845" s="36"/>
      <c r="AC845" s="13"/>
      <c r="AD845" s="13"/>
      <c r="AE845" s="37"/>
      <c r="AF845" s="37"/>
      <c r="AG845" s="14"/>
      <c r="AH845" s="14"/>
      <c r="AI845" s="14"/>
      <c r="AZ845" s="24"/>
    </row>
    <row r="846">
      <c r="B846" s="24"/>
      <c r="E846" s="113"/>
      <c r="F846" s="266"/>
      <c r="G846" s="113"/>
      <c r="K846" s="36"/>
      <c r="L846" s="117"/>
      <c r="N846" s="117"/>
      <c r="R846" s="117"/>
      <c r="T846" s="117"/>
      <c r="V846" s="117"/>
      <c r="X846" s="117"/>
      <c r="Y846" s="10"/>
      <c r="Z846" s="11"/>
      <c r="AA846" s="36"/>
      <c r="AB846" s="36"/>
      <c r="AC846" s="13"/>
      <c r="AD846" s="13"/>
      <c r="AE846" s="37"/>
      <c r="AF846" s="37"/>
      <c r="AG846" s="14"/>
      <c r="AH846" s="14"/>
      <c r="AI846" s="14"/>
      <c r="AZ846" s="24"/>
    </row>
    <row r="847">
      <c r="B847" s="24"/>
      <c r="E847" s="113"/>
      <c r="F847" s="266"/>
      <c r="G847" s="113"/>
      <c r="K847" s="36"/>
      <c r="L847" s="117"/>
      <c r="N847" s="117"/>
      <c r="R847" s="117"/>
      <c r="T847" s="117"/>
      <c r="V847" s="117"/>
      <c r="X847" s="117"/>
      <c r="Y847" s="10"/>
      <c r="Z847" s="11"/>
      <c r="AA847" s="36"/>
      <c r="AB847" s="36"/>
      <c r="AC847" s="13"/>
      <c r="AD847" s="13"/>
      <c r="AE847" s="37"/>
      <c r="AF847" s="37"/>
      <c r="AG847" s="14"/>
      <c r="AH847" s="14"/>
      <c r="AI847" s="14"/>
      <c r="AZ847" s="24"/>
    </row>
    <row r="848">
      <c r="B848" s="24"/>
      <c r="E848" s="113"/>
      <c r="F848" s="266"/>
      <c r="G848" s="113"/>
      <c r="K848" s="36"/>
      <c r="L848" s="117"/>
      <c r="N848" s="117"/>
      <c r="R848" s="117"/>
      <c r="T848" s="117"/>
      <c r="V848" s="117"/>
      <c r="X848" s="117"/>
      <c r="Y848" s="10"/>
      <c r="Z848" s="11"/>
      <c r="AA848" s="36"/>
      <c r="AB848" s="36"/>
      <c r="AC848" s="13"/>
      <c r="AD848" s="13"/>
      <c r="AE848" s="37"/>
      <c r="AF848" s="37"/>
      <c r="AG848" s="14"/>
      <c r="AH848" s="14"/>
      <c r="AI848" s="14"/>
      <c r="AZ848" s="24"/>
    </row>
    <row r="849">
      <c r="B849" s="24"/>
      <c r="E849" s="113"/>
      <c r="F849" s="266"/>
      <c r="G849" s="113"/>
      <c r="K849" s="36"/>
      <c r="L849" s="117"/>
      <c r="N849" s="117"/>
      <c r="R849" s="117"/>
      <c r="T849" s="117"/>
      <c r="V849" s="117"/>
      <c r="X849" s="117"/>
      <c r="Y849" s="10"/>
      <c r="Z849" s="11"/>
      <c r="AA849" s="36"/>
      <c r="AB849" s="36"/>
      <c r="AC849" s="13"/>
      <c r="AD849" s="13"/>
      <c r="AE849" s="37"/>
      <c r="AF849" s="37"/>
      <c r="AG849" s="14"/>
      <c r="AH849" s="14"/>
      <c r="AI849" s="14"/>
      <c r="AZ849" s="24"/>
    </row>
    <row r="850">
      <c r="B850" s="24"/>
      <c r="E850" s="113"/>
      <c r="F850" s="266"/>
      <c r="G850" s="113"/>
      <c r="K850" s="36"/>
      <c r="L850" s="117"/>
      <c r="N850" s="117"/>
      <c r="R850" s="117"/>
      <c r="T850" s="117"/>
      <c r="V850" s="117"/>
      <c r="X850" s="117"/>
      <c r="Y850" s="10"/>
      <c r="Z850" s="11"/>
      <c r="AA850" s="36"/>
      <c r="AB850" s="36"/>
      <c r="AC850" s="13"/>
      <c r="AD850" s="13"/>
      <c r="AE850" s="37"/>
      <c r="AF850" s="37"/>
      <c r="AG850" s="14"/>
      <c r="AH850" s="14"/>
      <c r="AI850" s="14"/>
      <c r="AZ850" s="24"/>
    </row>
    <row r="851">
      <c r="B851" s="24"/>
      <c r="E851" s="113"/>
      <c r="F851" s="266"/>
      <c r="G851" s="113"/>
      <c r="K851" s="36"/>
      <c r="L851" s="117"/>
      <c r="N851" s="117"/>
      <c r="R851" s="117"/>
      <c r="T851" s="117"/>
      <c r="V851" s="117"/>
      <c r="X851" s="117"/>
      <c r="Y851" s="10"/>
      <c r="Z851" s="11"/>
      <c r="AA851" s="36"/>
      <c r="AB851" s="36"/>
      <c r="AC851" s="13"/>
      <c r="AD851" s="13"/>
      <c r="AE851" s="37"/>
      <c r="AF851" s="37"/>
      <c r="AG851" s="14"/>
      <c r="AH851" s="14"/>
      <c r="AI851" s="14"/>
      <c r="AZ851" s="24"/>
    </row>
    <row r="852">
      <c r="B852" s="24"/>
      <c r="E852" s="113"/>
      <c r="F852" s="266"/>
      <c r="G852" s="113"/>
      <c r="K852" s="36"/>
      <c r="L852" s="117"/>
      <c r="N852" s="117"/>
      <c r="R852" s="117"/>
      <c r="T852" s="117"/>
      <c r="V852" s="117"/>
      <c r="X852" s="117"/>
      <c r="Y852" s="10"/>
      <c r="Z852" s="11"/>
      <c r="AA852" s="36"/>
      <c r="AB852" s="36"/>
      <c r="AC852" s="13"/>
      <c r="AD852" s="13"/>
      <c r="AE852" s="37"/>
      <c r="AF852" s="37"/>
      <c r="AG852" s="14"/>
      <c r="AH852" s="14"/>
      <c r="AI852" s="14"/>
      <c r="AZ852" s="24"/>
    </row>
    <row r="853">
      <c r="B853" s="24"/>
      <c r="E853" s="113"/>
      <c r="F853" s="266"/>
      <c r="G853" s="113"/>
      <c r="K853" s="36"/>
      <c r="L853" s="117"/>
      <c r="N853" s="117"/>
      <c r="R853" s="117"/>
      <c r="T853" s="117"/>
      <c r="V853" s="117"/>
      <c r="X853" s="117"/>
      <c r="Y853" s="10"/>
      <c r="Z853" s="11"/>
      <c r="AA853" s="36"/>
      <c r="AB853" s="36"/>
      <c r="AC853" s="13"/>
      <c r="AD853" s="13"/>
      <c r="AE853" s="37"/>
      <c r="AF853" s="37"/>
      <c r="AG853" s="14"/>
      <c r="AH853" s="14"/>
      <c r="AI853" s="14"/>
      <c r="AZ853" s="24"/>
    </row>
    <row r="854">
      <c r="B854" s="24"/>
      <c r="E854" s="113"/>
      <c r="F854" s="266"/>
      <c r="G854" s="113"/>
      <c r="K854" s="36"/>
      <c r="L854" s="117"/>
      <c r="N854" s="117"/>
      <c r="R854" s="117"/>
      <c r="T854" s="117"/>
      <c r="V854" s="117"/>
      <c r="X854" s="117"/>
      <c r="Y854" s="10"/>
      <c r="Z854" s="11"/>
      <c r="AA854" s="36"/>
      <c r="AB854" s="36"/>
      <c r="AC854" s="13"/>
      <c r="AD854" s="13"/>
      <c r="AE854" s="37"/>
      <c r="AF854" s="37"/>
      <c r="AG854" s="14"/>
      <c r="AH854" s="14"/>
      <c r="AI854" s="14"/>
      <c r="AZ854" s="24"/>
    </row>
    <row r="855">
      <c r="B855" s="24"/>
      <c r="E855" s="113"/>
      <c r="F855" s="266"/>
      <c r="G855" s="113"/>
      <c r="K855" s="36"/>
      <c r="L855" s="117"/>
      <c r="N855" s="117"/>
      <c r="R855" s="117"/>
      <c r="T855" s="117"/>
      <c r="V855" s="117"/>
      <c r="X855" s="117"/>
      <c r="Y855" s="10"/>
      <c r="Z855" s="11"/>
      <c r="AA855" s="36"/>
      <c r="AB855" s="36"/>
      <c r="AC855" s="13"/>
      <c r="AD855" s="13"/>
      <c r="AE855" s="37"/>
      <c r="AF855" s="37"/>
      <c r="AG855" s="14"/>
      <c r="AH855" s="14"/>
      <c r="AI855" s="14"/>
      <c r="AZ855" s="24"/>
    </row>
    <row r="856">
      <c r="B856" s="24"/>
      <c r="E856" s="113"/>
      <c r="F856" s="266"/>
      <c r="G856" s="113"/>
      <c r="K856" s="36"/>
      <c r="L856" s="117"/>
      <c r="N856" s="117"/>
      <c r="R856" s="117"/>
      <c r="T856" s="117"/>
      <c r="V856" s="117"/>
      <c r="X856" s="117"/>
      <c r="Y856" s="10"/>
      <c r="Z856" s="11"/>
      <c r="AA856" s="36"/>
      <c r="AB856" s="36"/>
      <c r="AC856" s="13"/>
      <c r="AD856" s="13"/>
      <c r="AE856" s="37"/>
      <c r="AF856" s="37"/>
      <c r="AG856" s="14"/>
      <c r="AH856" s="14"/>
      <c r="AI856" s="14"/>
      <c r="AZ856" s="24"/>
    </row>
    <row r="857">
      <c r="B857" s="24"/>
      <c r="E857" s="113"/>
      <c r="F857" s="266"/>
      <c r="G857" s="113"/>
      <c r="K857" s="36"/>
      <c r="L857" s="117"/>
      <c r="N857" s="117"/>
      <c r="R857" s="117"/>
      <c r="T857" s="117"/>
      <c r="V857" s="117"/>
      <c r="X857" s="117"/>
      <c r="Y857" s="10"/>
      <c r="Z857" s="11"/>
      <c r="AA857" s="36"/>
      <c r="AB857" s="36"/>
      <c r="AC857" s="13"/>
      <c r="AD857" s="13"/>
      <c r="AE857" s="37"/>
      <c r="AF857" s="37"/>
      <c r="AG857" s="14"/>
      <c r="AH857" s="14"/>
      <c r="AI857" s="14"/>
      <c r="AZ857" s="24"/>
    </row>
    <row r="858">
      <c r="B858" s="24"/>
      <c r="E858" s="113"/>
      <c r="F858" s="266"/>
      <c r="G858" s="113"/>
      <c r="K858" s="36"/>
      <c r="L858" s="117"/>
      <c r="N858" s="117"/>
      <c r="R858" s="117"/>
      <c r="T858" s="117"/>
      <c r="V858" s="117"/>
      <c r="X858" s="117"/>
      <c r="Y858" s="10"/>
      <c r="Z858" s="11"/>
      <c r="AA858" s="36"/>
      <c r="AB858" s="36"/>
      <c r="AC858" s="13"/>
      <c r="AD858" s="13"/>
      <c r="AE858" s="37"/>
      <c r="AF858" s="37"/>
      <c r="AG858" s="14"/>
      <c r="AH858" s="14"/>
      <c r="AI858" s="14"/>
      <c r="AZ858" s="24"/>
    </row>
    <row r="859">
      <c r="B859" s="24"/>
      <c r="E859" s="113"/>
      <c r="F859" s="266"/>
      <c r="G859" s="113"/>
      <c r="K859" s="36"/>
      <c r="L859" s="117"/>
      <c r="N859" s="117"/>
      <c r="R859" s="117"/>
      <c r="T859" s="117"/>
      <c r="V859" s="117"/>
      <c r="X859" s="117"/>
      <c r="Y859" s="10"/>
      <c r="Z859" s="11"/>
      <c r="AA859" s="36"/>
      <c r="AB859" s="36"/>
      <c r="AC859" s="13"/>
      <c r="AD859" s="13"/>
      <c r="AE859" s="37"/>
      <c r="AF859" s="37"/>
      <c r="AG859" s="14"/>
      <c r="AH859" s="14"/>
      <c r="AI859" s="14"/>
      <c r="AZ859" s="24"/>
    </row>
    <row r="860">
      <c r="B860" s="24"/>
      <c r="E860" s="113"/>
      <c r="F860" s="266"/>
      <c r="G860" s="113"/>
      <c r="K860" s="36"/>
      <c r="L860" s="117"/>
      <c r="N860" s="117"/>
      <c r="R860" s="117"/>
      <c r="T860" s="117"/>
      <c r="V860" s="117"/>
      <c r="X860" s="117"/>
      <c r="Y860" s="10"/>
      <c r="Z860" s="11"/>
      <c r="AA860" s="36"/>
      <c r="AB860" s="36"/>
      <c r="AC860" s="13"/>
      <c r="AD860" s="13"/>
      <c r="AE860" s="37"/>
      <c r="AF860" s="37"/>
      <c r="AG860" s="14"/>
      <c r="AH860" s="14"/>
      <c r="AI860" s="14"/>
      <c r="AZ860" s="24"/>
    </row>
    <row r="861">
      <c r="B861" s="24"/>
      <c r="E861" s="113"/>
      <c r="F861" s="266"/>
      <c r="G861" s="113"/>
      <c r="K861" s="36"/>
      <c r="L861" s="117"/>
      <c r="N861" s="117"/>
      <c r="R861" s="117"/>
      <c r="T861" s="117"/>
      <c r="V861" s="117"/>
      <c r="X861" s="117"/>
      <c r="Y861" s="10"/>
      <c r="Z861" s="11"/>
      <c r="AA861" s="36"/>
      <c r="AB861" s="36"/>
      <c r="AC861" s="13"/>
      <c r="AD861" s="13"/>
      <c r="AE861" s="37"/>
      <c r="AF861" s="37"/>
      <c r="AG861" s="14"/>
      <c r="AH861" s="14"/>
      <c r="AI861" s="14"/>
      <c r="AZ861" s="24"/>
    </row>
    <row r="862">
      <c r="B862" s="24"/>
      <c r="E862" s="113"/>
      <c r="F862" s="266"/>
      <c r="G862" s="113"/>
      <c r="K862" s="36"/>
      <c r="L862" s="117"/>
      <c r="N862" s="117"/>
      <c r="R862" s="117"/>
      <c r="T862" s="117"/>
      <c r="V862" s="117"/>
      <c r="X862" s="117"/>
      <c r="Y862" s="10"/>
      <c r="Z862" s="11"/>
      <c r="AA862" s="36"/>
      <c r="AB862" s="36"/>
      <c r="AC862" s="13"/>
      <c r="AD862" s="13"/>
      <c r="AE862" s="37"/>
      <c r="AF862" s="37"/>
      <c r="AG862" s="14"/>
      <c r="AH862" s="14"/>
      <c r="AI862" s="14"/>
      <c r="AZ862" s="24"/>
    </row>
    <row r="863">
      <c r="B863" s="24"/>
      <c r="E863" s="113"/>
      <c r="F863" s="266"/>
      <c r="G863" s="113"/>
      <c r="K863" s="36"/>
      <c r="L863" s="117"/>
      <c r="N863" s="117"/>
      <c r="R863" s="117"/>
      <c r="T863" s="117"/>
      <c r="V863" s="117"/>
      <c r="X863" s="117"/>
      <c r="Y863" s="10"/>
      <c r="Z863" s="11"/>
      <c r="AA863" s="36"/>
      <c r="AB863" s="36"/>
      <c r="AC863" s="13"/>
      <c r="AD863" s="13"/>
      <c r="AE863" s="37"/>
      <c r="AF863" s="37"/>
      <c r="AG863" s="14"/>
      <c r="AH863" s="14"/>
      <c r="AI863" s="14"/>
      <c r="AZ863" s="24"/>
    </row>
    <row r="864">
      <c r="B864" s="24"/>
      <c r="E864" s="113"/>
      <c r="F864" s="266"/>
      <c r="G864" s="113"/>
      <c r="K864" s="36"/>
      <c r="L864" s="117"/>
      <c r="N864" s="117"/>
      <c r="R864" s="117"/>
      <c r="T864" s="117"/>
      <c r="V864" s="117"/>
      <c r="X864" s="117"/>
      <c r="Y864" s="10"/>
      <c r="Z864" s="11"/>
      <c r="AA864" s="36"/>
      <c r="AB864" s="36"/>
      <c r="AC864" s="13"/>
      <c r="AD864" s="13"/>
      <c r="AE864" s="37"/>
      <c r="AF864" s="37"/>
      <c r="AG864" s="14"/>
      <c r="AH864" s="14"/>
      <c r="AI864" s="14"/>
      <c r="AZ864" s="24"/>
    </row>
    <row r="865">
      <c r="B865" s="24"/>
      <c r="E865" s="113"/>
      <c r="F865" s="266"/>
      <c r="G865" s="113"/>
      <c r="K865" s="36"/>
      <c r="L865" s="117"/>
      <c r="N865" s="117"/>
      <c r="R865" s="117"/>
      <c r="T865" s="117"/>
      <c r="V865" s="117"/>
      <c r="X865" s="117"/>
      <c r="Y865" s="10"/>
      <c r="Z865" s="11"/>
      <c r="AA865" s="36"/>
      <c r="AB865" s="36"/>
      <c r="AC865" s="13"/>
      <c r="AD865" s="13"/>
      <c r="AE865" s="37"/>
      <c r="AF865" s="37"/>
      <c r="AG865" s="14"/>
      <c r="AH865" s="14"/>
      <c r="AI865" s="14"/>
      <c r="AZ865" s="24"/>
    </row>
    <row r="866">
      <c r="B866" s="24"/>
      <c r="E866" s="113"/>
      <c r="F866" s="266"/>
      <c r="G866" s="113"/>
      <c r="K866" s="36"/>
      <c r="L866" s="117"/>
      <c r="N866" s="117"/>
      <c r="R866" s="117"/>
      <c r="T866" s="117"/>
      <c r="V866" s="117"/>
      <c r="X866" s="117"/>
      <c r="Y866" s="10"/>
      <c r="Z866" s="11"/>
      <c r="AA866" s="36"/>
      <c r="AB866" s="36"/>
      <c r="AC866" s="13"/>
      <c r="AD866" s="13"/>
      <c r="AE866" s="37"/>
      <c r="AF866" s="37"/>
      <c r="AG866" s="14"/>
      <c r="AH866" s="14"/>
      <c r="AI866" s="14"/>
      <c r="AZ866" s="24"/>
    </row>
    <row r="867">
      <c r="B867" s="24"/>
      <c r="E867" s="113"/>
      <c r="F867" s="266"/>
      <c r="G867" s="113"/>
      <c r="K867" s="36"/>
      <c r="L867" s="117"/>
      <c r="N867" s="117"/>
      <c r="R867" s="117"/>
      <c r="T867" s="117"/>
      <c r="V867" s="117"/>
      <c r="X867" s="117"/>
      <c r="Y867" s="10"/>
      <c r="Z867" s="11"/>
      <c r="AA867" s="36"/>
      <c r="AB867" s="36"/>
      <c r="AC867" s="13"/>
      <c r="AD867" s="13"/>
      <c r="AE867" s="37"/>
      <c r="AF867" s="37"/>
      <c r="AG867" s="14"/>
      <c r="AH867" s="14"/>
      <c r="AI867" s="14"/>
      <c r="AZ867" s="24"/>
    </row>
    <row r="868">
      <c r="B868" s="24"/>
      <c r="E868" s="113"/>
      <c r="F868" s="266"/>
      <c r="G868" s="113"/>
      <c r="K868" s="36"/>
      <c r="L868" s="117"/>
      <c r="N868" s="117"/>
      <c r="R868" s="117"/>
      <c r="T868" s="117"/>
      <c r="V868" s="117"/>
      <c r="X868" s="117"/>
      <c r="Y868" s="10"/>
      <c r="Z868" s="11"/>
      <c r="AA868" s="36"/>
      <c r="AB868" s="36"/>
      <c r="AC868" s="13"/>
      <c r="AD868" s="13"/>
      <c r="AE868" s="37"/>
      <c r="AF868" s="37"/>
      <c r="AG868" s="14"/>
      <c r="AH868" s="14"/>
      <c r="AI868" s="14"/>
      <c r="AZ868" s="24"/>
    </row>
    <row r="869">
      <c r="B869" s="24"/>
      <c r="E869" s="113"/>
      <c r="F869" s="266"/>
      <c r="G869" s="113"/>
      <c r="K869" s="36"/>
      <c r="L869" s="117"/>
      <c r="N869" s="117"/>
      <c r="R869" s="117"/>
      <c r="T869" s="117"/>
      <c r="V869" s="117"/>
      <c r="X869" s="117"/>
      <c r="Y869" s="10"/>
      <c r="Z869" s="11"/>
      <c r="AA869" s="36"/>
      <c r="AB869" s="36"/>
      <c r="AC869" s="13"/>
      <c r="AD869" s="13"/>
      <c r="AE869" s="37"/>
      <c r="AF869" s="37"/>
      <c r="AG869" s="14"/>
      <c r="AH869" s="14"/>
      <c r="AI869" s="14"/>
      <c r="AZ869" s="24"/>
    </row>
    <row r="870">
      <c r="B870" s="24"/>
      <c r="E870" s="113"/>
      <c r="F870" s="266"/>
      <c r="G870" s="113"/>
      <c r="K870" s="36"/>
      <c r="L870" s="117"/>
      <c r="N870" s="117"/>
      <c r="R870" s="117"/>
      <c r="T870" s="117"/>
      <c r="V870" s="117"/>
      <c r="X870" s="117"/>
      <c r="Y870" s="10"/>
      <c r="Z870" s="11"/>
      <c r="AA870" s="36"/>
      <c r="AB870" s="36"/>
      <c r="AC870" s="13"/>
      <c r="AD870" s="13"/>
      <c r="AE870" s="37"/>
      <c r="AF870" s="37"/>
      <c r="AG870" s="14"/>
      <c r="AH870" s="14"/>
      <c r="AI870" s="14"/>
      <c r="AZ870" s="24"/>
    </row>
    <row r="871">
      <c r="B871" s="24"/>
      <c r="E871" s="113"/>
      <c r="F871" s="266"/>
      <c r="G871" s="113"/>
      <c r="K871" s="36"/>
      <c r="L871" s="117"/>
      <c r="N871" s="117"/>
      <c r="R871" s="117"/>
      <c r="T871" s="117"/>
      <c r="V871" s="117"/>
      <c r="X871" s="117"/>
      <c r="Y871" s="10"/>
      <c r="Z871" s="11"/>
      <c r="AA871" s="36"/>
      <c r="AB871" s="36"/>
      <c r="AC871" s="13"/>
      <c r="AD871" s="13"/>
      <c r="AE871" s="37"/>
      <c r="AF871" s="37"/>
      <c r="AG871" s="14"/>
      <c r="AH871" s="14"/>
      <c r="AI871" s="14"/>
      <c r="AZ871" s="24"/>
    </row>
    <row r="872">
      <c r="B872" s="24"/>
      <c r="E872" s="113"/>
      <c r="F872" s="266"/>
      <c r="G872" s="113"/>
      <c r="K872" s="36"/>
      <c r="L872" s="117"/>
      <c r="N872" s="117"/>
      <c r="R872" s="117"/>
      <c r="T872" s="117"/>
      <c r="V872" s="117"/>
      <c r="X872" s="117"/>
      <c r="Y872" s="10"/>
      <c r="Z872" s="11"/>
      <c r="AA872" s="36"/>
      <c r="AB872" s="36"/>
      <c r="AC872" s="13"/>
      <c r="AD872" s="13"/>
      <c r="AE872" s="37"/>
      <c r="AF872" s="37"/>
      <c r="AG872" s="14"/>
      <c r="AH872" s="14"/>
      <c r="AI872" s="14"/>
      <c r="AZ872" s="24"/>
    </row>
    <row r="873">
      <c r="B873" s="24"/>
      <c r="E873" s="113"/>
      <c r="F873" s="266"/>
      <c r="G873" s="113"/>
      <c r="K873" s="36"/>
      <c r="L873" s="117"/>
      <c r="N873" s="117"/>
      <c r="R873" s="117"/>
      <c r="T873" s="117"/>
      <c r="V873" s="117"/>
      <c r="X873" s="117"/>
      <c r="Y873" s="10"/>
      <c r="Z873" s="11"/>
      <c r="AA873" s="36"/>
      <c r="AB873" s="36"/>
      <c r="AC873" s="13"/>
      <c r="AD873" s="13"/>
      <c r="AE873" s="37"/>
      <c r="AF873" s="37"/>
      <c r="AG873" s="14"/>
      <c r="AH873" s="14"/>
      <c r="AI873" s="14"/>
      <c r="AZ873" s="24"/>
    </row>
    <row r="874">
      <c r="B874" s="24"/>
      <c r="E874" s="113"/>
      <c r="F874" s="266"/>
      <c r="G874" s="113"/>
      <c r="K874" s="36"/>
      <c r="L874" s="117"/>
      <c r="N874" s="117"/>
      <c r="R874" s="117"/>
      <c r="T874" s="117"/>
      <c r="V874" s="117"/>
      <c r="X874" s="117"/>
      <c r="Y874" s="10"/>
      <c r="Z874" s="11"/>
      <c r="AA874" s="36"/>
      <c r="AB874" s="36"/>
      <c r="AC874" s="13"/>
      <c r="AD874" s="13"/>
      <c r="AE874" s="37"/>
      <c r="AF874" s="37"/>
      <c r="AG874" s="14"/>
      <c r="AH874" s="14"/>
      <c r="AI874" s="14"/>
      <c r="AZ874" s="24"/>
    </row>
    <row r="875">
      <c r="B875" s="24"/>
      <c r="E875" s="113"/>
      <c r="F875" s="266"/>
      <c r="G875" s="113"/>
      <c r="K875" s="36"/>
      <c r="L875" s="117"/>
      <c r="N875" s="117"/>
      <c r="R875" s="117"/>
      <c r="T875" s="117"/>
      <c r="V875" s="117"/>
      <c r="X875" s="117"/>
      <c r="Y875" s="10"/>
      <c r="Z875" s="11"/>
      <c r="AA875" s="36"/>
      <c r="AB875" s="36"/>
      <c r="AC875" s="13"/>
      <c r="AD875" s="13"/>
      <c r="AE875" s="37"/>
      <c r="AF875" s="37"/>
      <c r="AG875" s="14"/>
      <c r="AH875" s="14"/>
      <c r="AI875" s="14"/>
      <c r="AZ875" s="24"/>
    </row>
    <row r="876">
      <c r="B876" s="24"/>
      <c r="E876" s="113"/>
      <c r="F876" s="266"/>
      <c r="G876" s="113"/>
      <c r="K876" s="36"/>
      <c r="L876" s="117"/>
      <c r="N876" s="117"/>
      <c r="R876" s="117"/>
      <c r="T876" s="117"/>
      <c r="V876" s="117"/>
      <c r="X876" s="117"/>
      <c r="Y876" s="10"/>
      <c r="Z876" s="11"/>
      <c r="AA876" s="36"/>
      <c r="AB876" s="36"/>
      <c r="AC876" s="13"/>
      <c r="AD876" s="13"/>
      <c r="AE876" s="37"/>
      <c r="AF876" s="37"/>
      <c r="AG876" s="14"/>
      <c r="AH876" s="14"/>
      <c r="AI876" s="14"/>
      <c r="AZ876" s="24"/>
    </row>
    <row r="877">
      <c r="B877" s="24"/>
      <c r="E877" s="113"/>
      <c r="F877" s="266"/>
      <c r="G877" s="113"/>
      <c r="K877" s="36"/>
      <c r="L877" s="117"/>
      <c r="N877" s="117"/>
      <c r="R877" s="117"/>
      <c r="T877" s="117"/>
      <c r="V877" s="117"/>
      <c r="X877" s="117"/>
      <c r="Y877" s="10"/>
      <c r="Z877" s="11"/>
      <c r="AA877" s="36"/>
      <c r="AB877" s="36"/>
      <c r="AC877" s="13"/>
      <c r="AD877" s="13"/>
      <c r="AE877" s="37"/>
      <c r="AF877" s="37"/>
      <c r="AG877" s="14"/>
      <c r="AH877" s="14"/>
      <c r="AI877" s="14"/>
      <c r="AZ877" s="24"/>
    </row>
    <row r="878">
      <c r="B878" s="24"/>
      <c r="E878" s="113"/>
      <c r="F878" s="266"/>
      <c r="G878" s="113"/>
      <c r="K878" s="36"/>
      <c r="L878" s="117"/>
      <c r="N878" s="117"/>
      <c r="R878" s="117"/>
      <c r="T878" s="117"/>
      <c r="V878" s="117"/>
      <c r="X878" s="117"/>
      <c r="Y878" s="10"/>
      <c r="Z878" s="11"/>
      <c r="AA878" s="36"/>
      <c r="AB878" s="36"/>
      <c r="AC878" s="13"/>
      <c r="AD878" s="13"/>
      <c r="AE878" s="37"/>
      <c r="AF878" s="37"/>
      <c r="AG878" s="14"/>
      <c r="AH878" s="14"/>
      <c r="AI878" s="14"/>
      <c r="AZ878" s="24"/>
    </row>
    <row r="879">
      <c r="B879" s="24"/>
      <c r="E879" s="113"/>
      <c r="F879" s="266"/>
      <c r="G879" s="113"/>
      <c r="K879" s="36"/>
      <c r="L879" s="117"/>
      <c r="N879" s="117"/>
      <c r="R879" s="117"/>
      <c r="T879" s="117"/>
      <c r="V879" s="117"/>
      <c r="X879" s="117"/>
      <c r="Y879" s="10"/>
      <c r="Z879" s="11"/>
      <c r="AA879" s="36"/>
      <c r="AB879" s="36"/>
      <c r="AC879" s="13"/>
      <c r="AD879" s="13"/>
      <c r="AE879" s="37"/>
      <c r="AF879" s="37"/>
      <c r="AG879" s="14"/>
      <c r="AH879" s="14"/>
      <c r="AI879" s="14"/>
      <c r="AZ879" s="24"/>
    </row>
    <row r="880">
      <c r="B880" s="24"/>
      <c r="E880" s="113"/>
      <c r="F880" s="266"/>
      <c r="G880" s="113"/>
      <c r="K880" s="36"/>
      <c r="L880" s="117"/>
      <c r="N880" s="117"/>
      <c r="R880" s="117"/>
      <c r="T880" s="117"/>
      <c r="V880" s="117"/>
      <c r="X880" s="117"/>
      <c r="Y880" s="10"/>
      <c r="Z880" s="11"/>
      <c r="AA880" s="36"/>
      <c r="AB880" s="36"/>
      <c r="AC880" s="13"/>
      <c r="AD880" s="13"/>
      <c r="AE880" s="37"/>
      <c r="AF880" s="37"/>
      <c r="AG880" s="14"/>
      <c r="AH880" s="14"/>
      <c r="AI880" s="14"/>
      <c r="AZ880" s="24"/>
    </row>
    <row r="881">
      <c r="B881" s="24"/>
      <c r="E881" s="113"/>
      <c r="F881" s="266"/>
      <c r="G881" s="113"/>
      <c r="K881" s="36"/>
      <c r="L881" s="117"/>
      <c r="N881" s="117"/>
      <c r="R881" s="117"/>
      <c r="T881" s="117"/>
      <c r="V881" s="117"/>
      <c r="X881" s="117"/>
      <c r="Y881" s="10"/>
      <c r="Z881" s="11"/>
      <c r="AA881" s="36"/>
      <c r="AB881" s="36"/>
      <c r="AC881" s="13"/>
      <c r="AD881" s="13"/>
      <c r="AE881" s="37"/>
      <c r="AF881" s="37"/>
      <c r="AG881" s="14"/>
      <c r="AH881" s="14"/>
      <c r="AI881" s="14"/>
      <c r="AZ881" s="24"/>
    </row>
    <row r="882">
      <c r="B882" s="24"/>
      <c r="E882" s="113"/>
      <c r="F882" s="266"/>
      <c r="G882" s="113"/>
      <c r="K882" s="36"/>
      <c r="L882" s="117"/>
      <c r="N882" s="117"/>
      <c r="R882" s="117"/>
      <c r="T882" s="117"/>
      <c r="V882" s="117"/>
      <c r="X882" s="117"/>
      <c r="Y882" s="10"/>
      <c r="Z882" s="11"/>
      <c r="AA882" s="36"/>
      <c r="AB882" s="36"/>
      <c r="AC882" s="13"/>
      <c r="AD882" s="13"/>
      <c r="AE882" s="37"/>
      <c r="AF882" s="37"/>
      <c r="AG882" s="14"/>
      <c r="AH882" s="14"/>
      <c r="AI882" s="14"/>
      <c r="AZ882" s="24"/>
    </row>
    <row r="883">
      <c r="B883" s="24"/>
      <c r="E883" s="113"/>
      <c r="F883" s="266"/>
      <c r="G883" s="113"/>
      <c r="K883" s="36"/>
      <c r="L883" s="117"/>
      <c r="N883" s="117"/>
      <c r="R883" s="117"/>
      <c r="T883" s="117"/>
      <c r="V883" s="117"/>
      <c r="X883" s="117"/>
      <c r="Y883" s="10"/>
      <c r="Z883" s="11"/>
      <c r="AA883" s="36"/>
      <c r="AB883" s="36"/>
      <c r="AC883" s="13"/>
      <c r="AD883" s="13"/>
      <c r="AE883" s="37"/>
      <c r="AF883" s="37"/>
      <c r="AG883" s="14"/>
      <c r="AH883" s="14"/>
      <c r="AI883" s="14"/>
      <c r="AZ883" s="24"/>
    </row>
    <row r="884">
      <c r="B884" s="24"/>
      <c r="E884" s="113"/>
      <c r="F884" s="266"/>
      <c r="G884" s="113"/>
      <c r="K884" s="36"/>
      <c r="L884" s="117"/>
      <c r="N884" s="117"/>
      <c r="R884" s="117"/>
      <c r="T884" s="117"/>
      <c r="V884" s="117"/>
      <c r="X884" s="117"/>
      <c r="Y884" s="10"/>
      <c r="Z884" s="11"/>
      <c r="AA884" s="36"/>
      <c r="AB884" s="36"/>
      <c r="AC884" s="13"/>
      <c r="AD884" s="13"/>
      <c r="AE884" s="37"/>
      <c r="AF884" s="37"/>
      <c r="AG884" s="14"/>
      <c r="AH884" s="14"/>
      <c r="AI884" s="14"/>
      <c r="AZ884" s="24"/>
    </row>
    <row r="885">
      <c r="B885" s="24"/>
      <c r="E885" s="113"/>
      <c r="F885" s="266"/>
      <c r="G885" s="113"/>
      <c r="K885" s="36"/>
      <c r="L885" s="117"/>
      <c r="N885" s="117"/>
      <c r="R885" s="117"/>
      <c r="T885" s="117"/>
      <c r="V885" s="117"/>
      <c r="X885" s="117"/>
      <c r="Y885" s="10"/>
      <c r="Z885" s="11"/>
      <c r="AA885" s="36"/>
      <c r="AB885" s="36"/>
      <c r="AC885" s="13"/>
      <c r="AD885" s="13"/>
      <c r="AE885" s="37"/>
      <c r="AF885" s="37"/>
      <c r="AG885" s="14"/>
      <c r="AH885" s="14"/>
      <c r="AI885" s="14"/>
      <c r="AZ885" s="24"/>
    </row>
    <row r="886">
      <c r="B886" s="24"/>
      <c r="E886" s="113"/>
      <c r="F886" s="266"/>
      <c r="G886" s="113"/>
      <c r="K886" s="36"/>
      <c r="L886" s="117"/>
      <c r="N886" s="117"/>
      <c r="R886" s="117"/>
      <c r="T886" s="117"/>
      <c r="V886" s="117"/>
      <c r="X886" s="117"/>
      <c r="Y886" s="10"/>
      <c r="Z886" s="11"/>
      <c r="AA886" s="36"/>
      <c r="AB886" s="36"/>
      <c r="AC886" s="13"/>
      <c r="AD886" s="13"/>
      <c r="AE886" s="37"/>
      <c r="AF886" s="37"/>
      <c r="AG886" s="14"/>
      <c r="AH886" s="14"/>
      <c r="AI886" s="14"/>
      <c r="AZ886" s="24"/>
    </row>
    <row r="887">
      <c r="B887" s="24"/>
      <c r="E887" s="113"/>
      <c r="F887" s="266"/>
      <c r="G887" s="113"/>
      <c r="K887" s="36"/>
      <c r="L887" s="117"/>
      <c r="N887" s="117"/>
      <c r="R887" s="117"/>
      <c r="T887" s="117"/>
      <c r="V887" s="117"/>
      <c r="X887" s="117"/>
      <c r="Y887" s="10"/>
      <c r="Z887" s="11"/>
      <c r="AA887" s="36"/>
      <c r="AB887" s="36"/>
      <c r="AC887" s="13"/>
      <c r="AD887" s="13"/>
      <c r="AE887" s="37"/>
      <c r="AF887" s="37"/>
      <c r="AG887" s="14"/>
      <c r="AH887" s="14"/>
      <c r="AI887" s="14"/>
      <c r="AZ887" s="24"/>
    </row>
    <row r="888">
      <c r="B888" s="24"/>
      <c r="E888" s="113"/>
      <c r="F888" s="266"/>
      <c r="G888" s="113"/>
      <c r="K888" s="36"/>
      <c r="L888" s="117"/>
      <c r="N888" s="117"/>
      <c r="R888" s="117"/>
      <c r="T888" s="117"/>
      <c r="V888" s="117"/>
      <c r="X888" s="117"/>
      <c r="Y888" s="10"/>
      <c r="Z888" s="11"/>
      <c r="AA888" s="36"/>
      <c r="AB888" s="36"/>
      <c r="AC888" s="13"/>
      <c r="AD888" s="13"/>
      <c r="AE888" s="37"/>
      <c r="AF888" s="37"/>
      <c r="AG888" s="14"/>
      <c r="AH888" s="14"/>
      <c r="AI888" s="14"/>
      <c r="AZ888" s="24"/>
    </row>
    <row r="889">
      <c r="B889" s="24"/>
      <c r="E889" s="113"/>
      <c r="F889" s="266"/>
      <c r="G889" s="113"/>
      <c r="K889" s="36"/>
      <c r="L889" s="117"/>
      <c r="N889" s="117"/>
      <c r="R889" s="117"/>
      <c r="T889" s="117"/>
      <c r="V889" s="117"/>
      <c r="X889" s="117"/>
      <c r="Y889" s="10"/>
      <c r="Z889" s="11"/>
      <c r="AA889" s="36"/>
      <c r="AB889" s="36"/>
      <c r="AC889" s="13"/>
      <c r="AD889" s="13"/>
      <c r="AE889" s="37"/>
      <c r="AF889" s="37"/>
      <c r="AG889" s="14"/>
      <c r="AH889" s="14"/>
      <c r="AI889" s="14"/>
      <c r="AZ889" s="24"/>
    </row>
    <row r="890">
      <c r="B890" s="24"/>
      <c r="E890" s="113"/>
      <c r="F890" s="266"/>
      <c r="G890" s="113"/>
      <c r="K890" s="36"/>
      <c r="L890" s="117"/>
      <c r="N890" s="117"/>
      <c r="R890" s="117"/>
      <c r="T890" s="117"/>
      <c r="V890" s="117"/>
      <c r="X890" s="117"/>
      <c r="Y890" s="10"/>
      <c r="Z890" s="11"/>
      <c r="AA890" s="36"/>
      <c r="AB890" s="36"/>
      <c r="AC890" s="13"/>
      <c r="AD890" s="13"/>
      <c r="AE890" s="37"/>
      <c r="AF890" s="37"/>
      <c r="AG890" s="14"/>
      <c r="AH890" s="14"/>
      <c r="AI890" s="14"/>
      <c r="AZ890" s="24"/>
    </row>
    <row r="891">
      <c r="B891" s="24"/>
      <c r="E891" s="113"/>
      <c r="F891" s="266"/>
      <c r="G891" s="113"/>
      <c r="K891" s="36"/>
      <c r="L891" s="117"/>
      <c r="N891" s="117"/>
      <c r="R891" s="117"/>
      <c r="T891" s="117"/>
      <c r="V891" s="117"/>
      <c r="X891" s="117"/>
      <c r="Y891" s="10"/>
      <c r="Z891" s="11"/>
      <c r="AA891" s="36"/>
      <c r="AB891" s="36"/>
      <c r="AC891" s="13"/>
      <c r="AD891" s="13"/>
      <c r="AE891" s="37"/>
      <c r="AF891" s="37"/>
      <c r="AG891" s="14"/>
      <c r="AH891" s="14"/>
      <c r="AI891" s="14"/>
      <c r="AZ891" s="24"/>
    </row>
    <row r="892">
      <c r="B892" s="24"/>
      <c r="E892" s="113"/>
      <c r="F892" s="266"/>
      <c r="G892" s="113"/>
      <c r="K892" s="36"/>
      <c r="L892" s="117"/>
      <c r="N892" s="117"/>
      <c r="R892" s="117"/>
      <c r="T892" s="117"/>
      <c r="V892" s="117"/>
      <c r="X892" s="117"/>
      <c r="Y892" s="10"/>
      <c r="Z892" s="11"/>
      <c r="AA892" s="36"/>
      <c r="AB892" s="36"/>
      <c r="AC892" s="13"/>
      <c r="AD892" s="13"/>
      <c r="AE892" s="37"/>
      <c r="AF892" s="37"/>
      <c r="AG892" s="14"/>
      <c r="AH892" s="14"/>
      <c r="AI892" s="14"/>
      <c r="AZ892" s="24"/>
    </row>
    <row r="893">
      <c r="B893" s="24"/>
      <c r="E893" s="113"/>
      <c r="F893" s="266"/>
      <c r="G893" s="113"/>
      <c r="K893" s="36"/>
      <c r="L893" s="117"/>
      <c r="N893" s="117"/>
      <c r="R893" s="117"/>
      <c r="T893" s="117"/>
      <c r="V893" s="117"/>
      <c r="X893" s="117"/>
      <c r="Y893" s="10"/>
      <c r="Z893" s="11"/>
      <c r="AA893" s="36"/>
      <c r="AB893" s="36"/>
      <c r="AC893" s="13"/>
      <c r="AD893" s="13"/>
      <c r="AE893" s="37"/>
      <c r="AF893" s="37"/>
      <c r="AG893" s="14"/>
      <c r="AH893" s="14"/>
      <c r="AI893" s="14"/>
      <c r="AZ893" s="24"/>
    </row>
    <row r="894">
      <c r="B894" s="24"/>
      <c r="E894" s="113"/>
      <c r="F894" s="266"/>
      <c r="G894" s="113"/>
      <c r="K894" s="36"/>
      <c r="L894" s="117"/>
      <c r="N894" s="117"/>
      <c r="R894" s="117"/>
      <c r="T894" s="117"/>
      <c r="V894" s="117"/>
      <c r="X894" s="117"/>
      <c r="Y894" s="10"/>
      <c r="Z894" s="11"/>
      <c r="AA894" s="36"/>
      <c r="AB894" s="36"/>
      <c r="AC894" s="13"/>
      <c r="AD894" s="13"/>
      <c r="AE894" s="37"/>
      <c r="AF894" s="37"/>
      <c r="AG894" s="14"/>
      <c r="AH894" s="14"/>
      <c r="AI894" s="14"/>
      <c r="AZ894" s="24"/>
    </row>
    <row r="895">
      <c r="B895" s="24"/>
      <c r="E895" s="113"/>
      <c r="F895" s="266"/>
      <c r="G895" s="113"/>
      <c r="K895" s="36"/>
      <c r="L895" s="117"/>
      <c r="N895" s="117"/>
      <c r="R895" s="117"/>
      <c r="T895" s="117"/>
      <c r="V895" s="117"/>
      <c r="X895" s="117"/>
      <c r="Y895" s="10"/>
      <c r="Z895" s="11"/>
      <c r="AA895" s="36"/>
      <c r="AB895" s="36"/>
      <c r="AC895" s="13"/>
      <c r="AD895" s="13"/>
      <c r="AE895" s="37"/>
      <c r="AF895" s="37"/>
      <c r="AG895" s="14"/>
      <c r="AH895" s="14"/>
      <c r="AI895" s="14"/>
      <c r="AZ895" s="24"/>
    </row>
    <row r="896">
      <c r="B896" s="24"/>
      <c r="E896" s="113"/>
      <c r="F896" s="266"/>
      <c r="G896" s="113"/>
      <c r="K896" s="36"/>
      <c r="L896" s="117"/>
      <c r="N896" s="117"/>
      <c r="R896" s="117"/>
      <c r="T896" s="117"/>
      <c r="V896" s="117"/>
      <c r="X896" s="117"/>
      <c r="Y896" s="10"/>
      <c r="Z896" s="11"/>
      <c r="AA896" s="36"/>
      <c r="AB896" s="36"/>
      <c r="AC896" s="13"/>
      <c r="AD896" s="13"/>
      <c r="AE896" s="37"/>
      <c r="AF896" s="37"/>
      <c r="AG896" s="14"/>
      <c r="AH896" s="14"/>
      <c r="AI896" s="14"/>
      <c r="AZ896" s="24"/>
    </row>
    <row r="897">
      <c r="B897" s="24"/>
      <c r="E897" s="113"/>
      <c r="F897" s="266"/>
      <c r="G897" s="113"/>
      <c r="K897" s="36"/>
      <c r="L897" s="117"/>
      <c r="N897" s="117"/>
      <c r="R897" s="117"/>
      <c r="T897" s="117"/>
      <c r="V897" s="117"/>
      <c r="X897" s="117"/>
      <c r="Y897" s="10"/>
      <c r="Z897" s="11"/>
      <c r="AA897" s="36"/>
      <c r="AB897" s="36"/>
      <c r="AC897" s="13"/>
      <c r="AD897" s="13"/>
      <c r="AE897" s="37"/>
      <c r="AF897" s="37"/>
      <c r="AG897" s="14"/>
      <c r="AH897" s="14"/>
      <c r="AI897" s="14"/>
      <c r="AZ897" s="24"/>
    </row>
    <row r="898">
      <c r="B898" s="24"/>
      <c r="E898" s="113"/>
      <c r="F898" s="266"/>
      <c r="G898" s="113"/>
      <c r="K898" s="36"/>
      <c r="L898" s="117"/>
      <c r="N898" s="117"/>
      <c r="R898" s="117"/>
      <c r="T898" s="117"/>
      <c r="V898" s="117"/>
      <c r="X898" s="117"/>
      <c r="Y898" s="10"/>
      <c r="Z898" s="11"/>
      <c r="AA898" s="36"/>
      <c r="AB898" s="36"/>
      <c r="AC898" s="13"/>
      <c r="AD898" s="13"/>
      <c r="AE898" s="37"/>
      <c r="AF898" s="37"/>
      <c r="AG898" s="14"/>
      <c r="AH898" s="14"/>
      <c r="AI898" s="14"/>
      <c r="AZ898" s="24"/>
    </row>
    <row r="899">
      <c r="B899" s="24"/>
      <c r="E899" s="113"/>
      <c r="F899" s="266"/>
      <c r="G899" s="113"/>
      <c r="K899" s="36"/>
      <c r="L899" s="117"/>
      <c r="N899" s="117"/>
      <c r="R899" s="117"/>
      <c r="T899" s="117"/>
      <c r="V899" s="117"/>
      <c r="X899" s="117"/>
      <c r="Y899" s="10"/>
      <c r="Z899" s="11"/>
      <c r="AA899" s="36"/>
      <c r="AB899" s="36"/>
      <c r="AC899" s="13"/>
      <c r="AD899" s="13"/>
      <c r="AE899" s="37"/>
      <c r="AF899" s="37"/>
      <c r="AG899" s="14"/>
      <c r="AH899" s="14"/>
      <c r="AI899" s="14"/>
      <c r="AZ899" s="24"/>
    </row>
    <row r="900">
      <c r="B900" s="24"/>
      <c r="E900" s="113"/>
      <c r="F900" s="266"/>
      <c r="G900" s="113"/>
      <c r="K900" s="36"/>
      <c r="L900" s="117"/>
      <c r="N900" s="117"/>
      <c r="R900" s="117"/>
      <c r="T900" s="117"/>
      <c r="V900" s="117"/>
      <c r="X900" s="117"/>
      <c r="Y900" s="10"/>
      <c r="Z900" s="11"/>
      <c r="AA900" s="36"/>
      <c r="AB900" s="36"/>
      <c r="AC900" s="13"/>
      <c r="AD900" s="13"/>
      <c r="AE900" s="37"/>
      <c r="AF900" s="37"/>
      <c r="AG900" s="14"/>
      <c r="AH900" s="14"/>
      <c r="AI900" s="14"/>
      <c r="AZ900" s="24"/>
    </row>
    <row r="901">
      <c r="B901" s="24"/>
      <c r="E901" s="113"/>
      <c r="F901" s="266"/>
      <c r="G901" s="113"/>
      <c r="K901" s="36"/>
      <c r="L901" s="117"/>
      <c r="N901" s="117"/>
      <c r="R901" s="117"/>
      <c r="T901" s="117"/>
      <c r="V901" s="117"/>
      <c r="X901" s="117"/>
      <c r="Y901" s="10"/>
      <c r="Z901" s="11"/>
      <c r="AA901" s="36"/>
      <c r="AB901" s="36"/>
      <c r="AC901" s="13"/>
      <c r="AD901" s="13"/>
      <c r="AE901" s="37"/>
      <c r="AF901" s="37"/>
      <c r="AG901" s="14"/>
      <c r="AH901" s="14"/>
      <c r="AI901" s="14"/>
      <c r="AZ901" s="24"/>
    </row>
    <row r="902">
      <c r="B902" s="24"/>
      <c r="E902" s="113"/>
      <c r="F902" s="266"/>
      <c r="G902" s="113"/>
      <c r="K902" s="36"/>
      <c r="L902" s="117"/>
      <c r="N902" s="117"/>
      <c r="R902" s="117"/>
      <c r="T902" s="117"/>
      <c r="V902" s="117"/>
      <c r="X902" s="117"/>
      <c r="Y902" s="10"/>
      <c r="Z902" s="11"/>
      <c r="AA902" s="36"/>
      <c r="AB902" s="36"/>
      <c r="AC902" s="13"/>
      <c r="AD902" s="13"/>
      <c r="AE902" s="37"/>
      <c r="AF902" s="37"/>
      <c r="AG902" s="14"/>
      <c r="AH902" s="14"/>
      <c r="AI902" s="14"/>
      <c r="AZ902" s="24"/>
    </row>
    <row r="903">
      <c r="B903" s="24"/>
      <c r="E903" s="113"/>
      <c r="F903" s="266"/>
      <c r="G903" s="113"/>
      <c r="K903" s="36"/>
      <c r="L903" s="117"/>
      <c r="N903" s="117"/>
      <c r="R903" s="117"/>
      <c r="T903" s="117"/>
      <c r="V903" s="117"/>
      <c r="X903" s="117"/>
      <c r="Y903" s="10"/>
      <c r="Z903" s="11"/>
      <c r="AA903" s="36"/>
      <c r="AB903" s="36"/>
      <c r="AC903" s="13"/>
      <c r="AD903" s="13"/>
      <c r="AE903" s="37"/>
      <c r="AF903" s="37"/>
      <c r="AG903" s="14"/>
      <c r="AH903" s="14"/>
      <c r="AI903" s="14"/>
      <c r="AZ903" s="24"/>
    </row>
    <row r="904">
      <c r="B904" s="24"/>
      <c r="E904" s="113"/>
      <c r="F904" s="266"/>
      <c r="G904" s="113"/>
      <c r="K904" s="36"/>
      <c r="L904" s="117"/>
      <c r="N904" s="117"/>
      <c r="R904" s="117"/>
      <c r="T904" s="117"/>
      <c r="V904" s="117"/>
      <c r="X904" s="117"/>
      <c r="Y904" s="10"/>
      <c r="Z904" s="11"/>
      <c r="AA904" s="36"/>
      <c r="AB904" s="36"/>
      <c r="AC904" s="13"/>
      <c r="AD904" s="13"/>
      <c r="AE904" s="37"/>
      <c r="AF904" s="37"/>
      <c r="AG904" s="14"/>
      <c r="AH904" s="14"/>
      <c r="AI904" s="14"/>
      <c r="AZ904" s="24"/>
    </row>
    <row r="905">
      <c r="B905" s="24"/>
      <c r="E905" s="113"/>
      <c r="F905" s="266"/>
      <c r="G905" s="113"/>
      <c r="K905" s="36"/>
      <c r="L905" s="117"/>
      <c r="N905" s="117"/>
      <c r="R905" s="117"/>
      <c r="T905" s="117"/>
      <c r="V905" s="117"/>
      <c r="X905" s="117"/>
      <c r="Y905" s="10"/>
      <c r="Z905" s="11"/>
      <c r="AA905" s="36"/>
      <c r="AB905" s="36"/>
      <c r="AC905" s="13"/>
      <c r="AD905" s="13"/>
      <c r="AE905" s="37"/>
      <c r="AF905" s="37"/>
      <c r="AG905" s="14"/>
      <c r="AH905" s="14"/>
      <c r="AI905" s="14"/>
      <c r="AZ905" s="24"/>
    </row>
    <row r="906">
      <c r="B906" s="24"/>
      <c r="E906" s="113"/>
      <c r="F906" s="266"/>
      <c r="G906" s="113"/>
      <c r="K906" s="36"/>
      <c r="L906" s="117"/>
      <c r="N906" s="117"/>
      <c r="R906" s="117"/>
      <c r="T906" s="117"/>
      <c r="V906" s="117"/>
      <c r="X906" s="117"/>
      <c r="Y906" s="10"/>
      <c r="Z906" s="11"/>
      <c r="AA906" s="36"/>
      <c r="AB906" s="36"/>
      <c r="AC906" s="13"/>
      <c r="AD906" s="13"/>
      <c r="AE906" s="37"/>
      <c r="AF906" s="37"/>
      <c r="AG906" s="14"/>
      <c r="AH906" s="14"/>
      <c r="AI906" s="14"/>
      <c r="AZ906" s="24"/>
    </row>
    <row r="907">
      <c r="B907" s="24"/>
      <c r="E907" s="113"/>
      <c r="F907" s="266"/>
      <c r="G907" s="113"/>
      <c r="K907" s="36"/>
      <c r="L907" s="117"/>
      <c r="N907" s="117"/>
      <c r="R907" s="117"/>
      <c r="T907" s="117"/>
      <c r="V907" s="117"/>
      <c r="X907" s="117"/>
      <c r="Y907" s="10"/>
      <c r="Z907" s="11"/>
      <c r="AA907" s="36"/>
      <c r="AB907" s="36"/>
      <c r="AC907" s="13"/>
      <c r="AD907" s="13"/>
      <c r="AE907" s="37"/>
      <c r="AF907" s="37"/>
      <c r="AG907" s="14"/>
      <c r="AH907" s="14"/>
      <c r="AI907" s="14"/>
      <c r="AZ907" s="24"/>
    </row>
    <row r="908">
      <c r="B908" s="24"/>
      <c r="E908" s="113"/>
      <c r="F908" s="266"/>
      <c r="G908" s="113"/>
      <c r="K908" s="36"/>
      <c r="L908" s="117"/>
      <c r="N908" s="117"/>
      <c r="R908" s="117"/>
      <c r="T908" s="117"/>
      <c r="V908" s="117"/>
      <c r="X908" s="117"/>
      <c r="Y908" s="10"/>
      <c r="Z908" s="11"/>
      <c r="AA908" s="36"/>
      <c r="AB908" s="36"/>
      <c r="AC908" s="13"/>
      <c r="AD908" s="13"/>
      <c r="AE908" s="37"/>
      <c r="AF908" s="37"/>
      <c r="AG908" s="14"/>
      <c r="AH908" s="14"/>
      <c r="AI908" s="14"/>
      <c r="AZ908" s="24"/>
    </row>
    <row r="909">
      <c r="B909" s="24"/>
      <c r="E909" s="113"/>
      <c r="F909" s="266"/>
      <c r="G909" s="113"/>
      <c r="K909" s="36"/>
      <c r="L909" s="117"/>
      <c r="N909" s="117"/>
      <c r="R909" s="117"/>
      <c r="T909" s="117"/>
      <c r="V909" s="117"/>
      <c r="X909" s="117"/>
      <c r="Y909" s="10"/>
      <c r="Z909" s="11"/>
      <c r="AA909" s="36"/>
      <c r="AB909" s="36"/>
      <c r="AC909" s="13"/>
      <c r="AD909" s="13"/>
      <c r="AE909" s="37"/>
      <c r="AF909" s="37"/>
      <c r="AG909" s="14"/>
      <c r="AH909" s="14"/>
      <c r="AI909" s="14"/>
      <c r="AZ909" s="24"/>
    </row>
    <row r="910">
      <c r="B910" s="24"/>
      <c r="E910" s="113"/>
      <c r="F910" s="266"/>
      <c r="G910" s="113"/>
      <c r="K910" s="36"/>
      <c r="L910" s="117"/>
      <c r="N910" s="117"/>
      <c r="R910" s="117"/>
      <c r="T910" s="117"/>
      <c r="V910" s="117"/>
      <c r="X910" s="117"/>
      <c r="Y910" s="10"/>
      <c r="Z910" s="11"/>
      <c r="AA910" s="36"/>
      <c r="AB910" s="36"/>
      <c r="AC910" s="13"/>
      <c r="AD910" s="13"/>
      <c r="AE910" s="37"/>
      <c r="AF910" s="37"/>
      <c r="AG910" s="14"/>
      <c r="AH910" s="14"/>
      <c r="AI910" s="14"/>
      <c r="AZ910" s="24"/>
    </row>
    <row r="911">
      <c r="B911" s="24"/>
      <c r="E911" s="113"/>
      <c r="F911" s="266"/>
      <c r="G911" s="113"/>
      <c r="K911" s="36"/>
      <c r="L911" s="117"/>
      <c r="N911" s="117"/>
      <c r="R911" s="117"/>
      <c r="T911" s="117"/>
      <c r="V911" s="117"/>
      <c r="X911" s="117"/>
      <c r="Y911" s="10"/>
      <c r="Z911" s="11"/>
      <c r="AA911" s="36"/>
      <c r="AB911" s="36"/>
      <c r="AC911" s="13"/>
      <c r="AD911" s="13"/>
      <c r="AE911" s="37"/>
      <c r="AF911" s="37"/>
      <c r="AG911" s="14"/>
      <c r="AH911" s="14"/>
      <c r="AI911" s="14"/>
      <c r="AZ911" s="24"/>
    </row>
    <row r="912">
      <c r="B912" s="24"/>
      <c r="E912" s="113"/>
      <c r="F912" s="266"/>
      <c r="G912" s="113"/>
      <c r="K912" s="36"/>
      <c r="L912" s="117"/>
      <c r="N912" s="117"/>
      <c r="R912" s="117"/>
      <c r="T912" s="117"/>
      <c r="V912" s="117"/>
      <c r="X912" s="117"/>
      <c r="Y912" s="10"/>
      <c r="Z912" s="11"/>
      <c r="AA912" s="36"/>
      <c r="AB912" s="36"/>
      <c r="AC912" s="13"/>
      <c r="AD912" s="13"/>
      <c r="AE912" s="37"/>
      <c r="AF912" s="37"/>
      <c r="AG912" s="14"/>
      <c r="AH912" s="14"/>
      <c r="AI912" s="14"/>
      <c r="AZ912" s="24"/>
    </row>
    <row r="913">
      <c r="B913" s="24"/>
      <c r="E913" s="113"/>
      <c r="F913" s="266"/>
      <c r="G913" s="113"/>
      <c r="K913" s="36"/>
      <c r="L913" s="117"/>
      <c r="N913" s="117"/>
      <c r="R913" s="117"/>
      <c r="T913" s="117"/>
      <c r="V913" s="117"/>
      <c r="X913" s="117"/>
      <c r="Y913" s="10"/>
      <c r="Z913" s="11"/>
      <c r="AA913" s="36"/>
      <c r="AB913" s="36"/>
      <c r="AC913" s="13"/>
      <c r="AD913" s="13"/>
      <c r="AE913" s="37"/>
      <c r="AF913" s="37"/>
      <c r="AG913" s="14"/>
      <c r="AH913" s="14"/>
      <c r="AI913" s="14"/>
      <c r="AZ913" s="24"/>
    </row>
    <row r="914">
      <c r="B914" s="24"/>
      <c r="E914" s="113"/>
      <c r="F914" s="266"/>
      <c r="G914" s="113"/>
      <c r="K914" s="36"/>
      <c r="L914" s="117"/>
      <c r="N914" s="117"/>
      <c r="R914" s="117"/>
      <c r="T914" s="117"/>
      <c r="V914" s="117"/>
      <c r="X914" s="117"/>
      <c r="Y914" s="10"/>
      <c r="Z914" s="11"/>
      <c r="AA914" s="36"/>
      <c r="AB914" s="36"/>
      <c r="AC914" s="13"/>
      <c r="AD914" s="13"/>
      <c r="AE914" s="37"/>
      <c r="AF914" s="37"/>
      <c r="AG914" s="14"/>
      <c r="AH914" s="14"/>
      <c r="AI914" s="14"/>
      <c r="AZ914" s="24"/>
    </row>
    <row r="915">
      <c r="B915" s="24"/>
      <c r="E915" s="113"/>
      <c r="F915" s="266"/>
      <c r="G915" s="113"/>
      <c r="K915" s="36"/>
      <c r="L915" s="117"/>
      <c r="N915" s="117"/>
      <c r="R915" s="117"/>
      <c r="T915" s="117"/>
      <c r="V915" s="117"/>
      <c r="X915" s="117"/>
      <c r="Y915" s="10"/>
      <c r="Z915" s="11"/>
      <c r="AA915" s="36"/>
      <c r="AB915" s="36"/>
      <c r="AC915" s="13"/>
      <c r="AD915" s="13"/>
      <c r="AE915" s="37"/>
      <c r="AF915" s="37"/>
      <c r="AG915" s="14"/>
      <c r="AH915" s="14"/>
      <c r="AI915" s="14"/>
      <c r="AZ915" s="24"/>
    </row>
    <row r="916">
      <c r="B916" s="24"/>
      <c r="E916" s="113"/>
      <c r="F916" s="266"/>
      <c r="G916" s="113"/>
      <c r="K916" s="36"/>
      <c r="L916" s="117"/>
      <c r="N916" s="117"/>
      <c r="R916" s="117"/>
      <c r="T916" s="117"/>
      <c r="V916" s="117"/>
      <c r="X916" s="117"/>
      <c r="Y916" s="10"/>
      <c r="Z916" s="11"/>
      <c r="AA916" s="36"/>
      <c r="AB916" s="36"/>
      <c r="AC916" s="13"/>
      <c r="AD916" s="13"/>
      <c r="AE916" s="37"/>
      <c r="AF916" s="37"/>
      <c r="AG916" s="14"/>
      <c r="AH916" s="14"/>
      <c r="AI916" s="14"/>
      <c r="AZ916" s="24"/>
    </row>
    <row r="917">
      <c r="B917" s="24"/>
      <c r="E917" s="113"/>
      <c r="F917" s="266"/>
      <c r="G917" s="113"/>
      <c r="K917" s="36"/>
      <c r="L917" s="117"/>
      <c r="N917" s="117"/>
      <c r="R917" s="117"/>
      <c r="T917" s="117"/>
      <c r="V917" s="117"/>
      <c r="X917" s="117"/>
      <c r="Y917" s="10"/>
      <c r="Z917" s="11"/>
      <c r="AA917" s="36"/>
      <c r="AB917" s="36"/>
      <c r="AC917" s="13"/>
      <c r="AD917" s="13"/>
      <c r="AE917" s="37"/>
      <c r="AF917" s="37"/>
      <c r="AG917" s="14"/>
      <c r="AH917" s="14"/>
      <c r="AI917" s="14"/>
      <c r="AZ917" s="24"/>
    </row>
    <row r="918">
      <c r="B918" s="24"/>
      <c r="E918" s="113"/>
      <c r="F918" s="266"/>
      <c r="G918" s="113"/>
      <c r="K918" s="36"/>
      <c r="L918" s="117"/>
      <c r="N918" s="117"/>
      <c r="R918" s="117"/>
      <c r="T918" s="117"/>
      <c r="V918" s="117"/>
      <c r="X918" s="117"/>
      <c r="Y918" s="10"/>
      <c r="Z918" s="11"/>
      <c r="AA918" s="36"/>
      <c r="AB918" s="36"/>
      <c r="AC918" s="13"/>
      <c r="AD918" s="13"/>
      <c r="AE918" s="37"/>
      <c r="AF918" s="37"/>
      <c r="AG918" s="14"/>
      <c r="AH918" s="14"/>
      <c r="AI918" s="14"/>
      <c r="AZ918" s="24"/>
    </row>
    <row r="919">
      <c r="B919" s="24"/>
      <c r="E919" s="113"/>
      <c r="F919" s="266"/>
      <c r="G919" s="113"/>
      <c r="K919" s="36"/>
      <c r="L919" s="117"/>
      <c r="N919" s="117"/>
      <c r="R919" s="117"/>
      <c r="T919" s="117"/>
      <c r="V919" s="117"/>
      <c r="X919" s="117"/>
      <c r="Y919" s="10"/>
      <c r="Z919" s="11"/>
      <c r="AA919" s="36"/>
      <c r="AB919" s="36"/>
      <c r="AC919" s="13"/>
      <c r="AD919" s="13"/>
      <c r="AE919" s="37"/>
      <c r="AF919" s="37"/>
      <c r="AG919" s="14"/>
      <c r="AH919" s="14"/>
      <c r="AI919" s="14"/>
      <c r="AZ919" s="24"/>
    </row>
    <row r="920">
      <c r="B920" s="24"/>
      <c r="E920" s="113"/>
      <c r="F920" s="266"/>
      <c r="G920" s="113"/>
      <c r="K920" s="36"/>
      <c r="L920" s="117"/>
      <c r="N920" s="117"/>
      <c r="R920" s="117"/>
      <c r="T920" s="117"/>
      <c r="V920" s="117"/>
      <c r="X920" s="117"/>
      <c r="Y920" s="10"/>
      <c r="Z920" s="11"/>
      <c r="AA920" s="36"/>
      <c r="AB920" s="36"/>
      <c r="AC920" s="13"/>
      <c r="AD920" s="13"/>
      <c r="AE920" s="37"/>
      <c r="AF920" s="37"/>
      <c r="AG920" s="14"/>
      <c r="AH920" s="14"/>
      <c r="AI920" s="14"/>
      <c r="AZ920" s="24"/>
    </row>
    <row r="921">
      <c r="B921" s="24"/>
      <c r="E921" s="113"/>
      <c r="F921" s="266"/>
      <c r="G921" s="113"/>
      <c r="K921" s="36"/>
      <c r="L921" s="117"/>
      <c r="N921" s="117"/>
      <c r="R921" s="117"/>
      <c r="T921" s="117"/>
      <c r="V921" s="117"/>
      <c r="X921" s="117"/>
      <c r="Y921" s="10"/>
      <c r="Z921" s="11"/>
      <c r="AA921" s="36"/>
      <c r="AB921" s="36"/>
      <c r="AC921" s="13"/>
      <c r="AD921" s="13"/>
      <c r="AE921" s="37"/>
      <c r="AF921" s="37"/>
      <c r="AG921" s="14"/>
      <c r="AH921" s="14"/>
      <c r="AI921" s="14"/>
      <c r="AZ921" s="24"/>
    </row>
    <row r="922">
      <c r="B922" s="24"/>
      <c r="E922" s="113"/>
      <c r="F922" s="266"/>
      <c r="G922" s="113"/>
      <c r="K922" s="36"/>
      <c r="L922" s="117"/>
      <c r="N922" s="117"/>
      <c r="R922" s="117"/>
      <c r="T922" s="117"/>
      <c r="V922" s="117"/>
      <c r="X922" s="117"/>
      <c r="Y922" s="10"/>
      <c r="Z922" s="11"/>
      <c r="AA922" s="36"/>
      <c r="AB922" s="36"/>
      <c r="AC922" s="13"/>
      <c r="AD922" s="13"/>
      <c r="AE922" s="37"/>
      <c r="AF922" s="37"/>
      <c r="AG922" s="14"/>
      <c r="AH922" s="14"/>
      <c r="AI922" s="14"/>
      <c r="AZ922" s="24"/>
    </row>
    <row r="923">
      <c r="B923" s="24"/>
      <c r="E923" s="113"/>
      <c r="F923" s="266"/>
      <c r="G923" s="113"/>
      <c r="K923" s="36"/>
      <c r="L923" s="117"/>
      <c r="N923" s="117"/>
      <c r="R923" s="117"/>
      <c r="T923" s="117"/>
      <c r="V923" s="117"/>
      <c r="X923" s="117"/>
      <c r="Y923" s="10"/>
      <c r="Z923" s="11"/>
      <c r="AA923" s="36"/>
      <c r="AB923" s="36"/>
      <c r="AC923" s="13"/>
      <c r="AD923" s="13"/>
      <c r="AE923" s="37"/>
      <c r="AF923" s="37"/>
      <c r="AG923" s="14"/>
      <c r="AH923" s="14"/>
      <c r="AI923" s="14"/>
      <c r="AZ923" s="24"/>
    </row>
    <row r="924">
      <c r="B924" s="24"/>
      <c r="E924" s="113"/>
      <c r="F924" s="266"/>
      <c r="G924" s="113"/>
      <c r="K924" s="36"/>
      <c r="L924" s="117"/>
      <c r="N924" s="117"/>
      <c r="R924" s="117"/>
      <c r="T924" s="117"/>
      <c r="V924" s="117"/>
      <c r="X924" s="117"/>
      <c r="Y924" s="10"/>
      <c r="Z924" s="11"/>
      <c r="AA924" s="36"/>
      <c r="AB924" s="36"/>
      <c r="AC924" s="13"/>
      <c r="AD924" s="13"/>
      <c r="AE924" s="37"/>
      <c r="AF924" s="37"/>
      <c r="AG924" s="14"/>
      <c r="AH924" s="14"/>
      <c r="AI924" s="14"/>
      <c r="AZ924" s="24"/>
    </row>
    <row r="925">
      <c r="B925" s="24"/>
      <c r="E925" s="113"/>
      <c r="F925" s="266"/>
      <c r="G925" s="113"/>
      <c r="K925" s="36"/>
      <c r="L925" s="117"/>
      <c r="N925" s="117"/>
      <c r="R925" s="117"/>
      <c r="T925" s="117"/>
      <c r="V925" s="117"/>
      <c r="X925" s="117"/>
      <c r="Y925" s="10"/>
      <c r="Z925" s="11"/>
      <c r="AA925" s="36"/>
      <c r="AB925" s="36"/>
      <c r="AC925" s="13"/>
      <c r="AD925" s="13"/>
      <c r="AE925" s="37"/>
      <c r="AF925" s="37"/>
      <c r="AG925" s="14"/>
      <c r="AH925" s="14"/>
      <c r="AI925" s="14"/>
      <c r="AZ925" s="24"/>
    </row>
    <row r="926">
      <c r="B926" s="24"/>
      <c r="E926" s="113"/>
      <c r="F926" s="266"/>
      <c r="G926" s="113"/>
      <c r="K926" s="36"/>
      <c r="L926" s="117"/>
      <c r="N926" s="117"/>
      <c r="R926" s="117"/>
      <c r="T926" s="117"/>
      <c r="V926" s="117"/>
      <c r="X926" s="117"/>
      <c r="Y926" s="10"/>
      <c r="Z926" s="11"/>
      <c r="AA926" s="36"/>
      <c r="AB926" s="36"/>
      <c r="AC926" s="13"/>
      <c r="AD926" s="13"/>
      <c r="AE926" s="37"/>
      <c r="AF926" s="37"/>
      <c r="AG926" s="14"/>
      <c r="AH926" s="14"/>
      <c r="AI926" s="14"/>
      <c r="AZ926" s="24"/>
    </row>
    <row r="927">
      <c r="B927" s="24"/>
      <c r="E927" s="113"/>
      <c r="F927" s="266"/>
      <c r="G927" s="113"/>
      <c r="K927" s="36"/>
      <c r="L927" s="117"/>
      <c r="N927" s="117"/>
      <c r="R927" s="117"/>
      <c r="T927" s="117"/>
      <c r="V927" s="117"/>
      <c r="X927" s="117"/>
      <c r="Y927" s="10"/>
      <c r="Z927" s="11"/>
      <c r="AA927" s="36"/>
      <c r="AB927" s="36"/>
      <c r="AC927" s="13"/>
      <c r="AD927" s="13"/>
      <c r="AE927" s="37"/>
      <c r="AF927" s="37"/>
      <c r="AG927" s="14"/>
      <c r="AH927" s="14"/>
      <c r="AI927" s="14"/>
      <c r="AZ927" s="24"/>
    </row>
    <row r="928">
      <c r="B928" s="24"/>
      <c r="E928" s="113"/>
      <c r="F928" s="266"/>
      <c r="G928" s="113"/>
      <c r="K928" s="36"/>
      <c r="L928" s="117"/>
      <c r="N928" s="117"/>
      <c r="R928" s="117"/>
      <c r="T928" s="117"/>
      <c r="V928" s="117"/>
      <c r="X928" s="117"/>
      <c r="Y928" s="10"/>
      <c r="Z928" s="11"/>
      <c r="AA928" s="36"/>
      <c r="AB928" s="36"/>
      <c r="AC928" s="13"/>
      <c r="AD928" s="13"/>
      <c r="AE928" s="37"/>
      <c r="AF928" s="37"/>
      <c r="AG928" s="14"/>
      <c r="AH928" s="14"/>
      <c r="AI928" s="14"/>
      <c r="AZ928" s="24"/>
    </row>
    <row r="929">
      <c r="B929" s="24"/>
      <c r="E929" s="113"/>
      <c r="F929" s="266"/>
      <c r="G929" s="113"/>
      <c r="K929" s="36"/>
      <c r="L929" s="117"/>
      <c r="N929" s="117"/>
      <c r="R929" s="117"/>
      <c r="T929" s="117"/>
      <c r="V929" s="117"/>
      <c r="X929" s="117"/>
      <c r="Y929" s="10"/>
      <c r="Z929" s="11"/>
      <c r="AA929" s="36"/>
      <c r="AB929" s="36"/>
      <c r="AC929" s="13"/>
      <c r="AD929" s="13"/>
      <c r="AE929" s="37"/>
      <c r="AF929" s="37"/>
      <c r="AG929" s="14"/>
      <c r="AH929" s="14"/>
      <c r="AI929" s="14"/>
      <c r="AZ929" s="24"/>
    </row>
    <row r="930">
      <c r="B930" s="24"/>
      <c r="E930" s="113"/>
      <c r="F930" s="266"/>
      <c r="G930" s="113"/>
      <c r="K930" s="36"/>
      <c r="L930" s="117"/>
      <c r="N930" s="117"/>
      <c r="R930" s="117"/>
      <c r="T930" s="117"/>
      <c r="V930" s="117"/>
      <c r="X930" s="117"/>
      <c r="Y930" s="10"/>
      <c r="Z930" s="11"/>
      <c r="AA930" s="36"/>
      <c r="AB930" s="36"/>
      <c r="AC930" s="13"/>
      <c r="AD930" s="13"/>
      <c r="AE930" s="37"/>
      <c r="AF930" s="37"/>
      <c r="AG930" s="14"/>
      <c r="AH930" s="14"/>
      <c r="AI930" s="14"/>
      <c r="AZ930" s="24"/>
    </row>
    <row r="931">
      <c r="B931" s="24"/>
      <c r="E931" s="113"/>
      <c r="F931" s="266"/>
      <c r="G931" s="113"/>
      <c r="K931" s="36"/>
      <c r="L931" s="117"/>
      <c r="N931" s="117"/>
      <c r="R931" s="117"/>
      <c r="T931" s="117"/>
      <c r="V931" s="117"/>
      <c r="X931" s="117"/>
      <c r="Y931" s="10"/>
      <c r="Z931" s="11"/>
      <c r="AA931" s="36"/>
      <c r="AB931" s="36"/>
      <c r="AC931" s="13"/>
      <c r="AD931" s="13"/>
      <c r="AE931" s="37"/>
      <c r="AF931" s="37"/>
      <c r="AG931" s="14"/>
      <c r="AH931" s="14"/>
      <c r="AI931" s="14"/>
      <c r="AZ931" s="24"/>
    </row>
    <row r="932">
      <c r="B932" s="24"/>
      <c r="E932" s="113"/>
      <c r="F932" s="266"/>
      <c r="G932" s="113"/>
      <c r="K932" s="36"/>
      <c r="L932" s="117"/>
      <c r="N932" s="117"/>
      <c r="R932" s="117"/>
      <c r="T932" s="117"/>
      <c r="V932" s="117"/>
      <c r="X932" s="117"/>
      <c r="Y932" s="10"/>
      <c r="Z932" s="11"/>
      <c r="AA932" s="36"/>
      <c r="AB932" s="36"/>
      <c r="AC932" s="13"/>
      <c r="AD932" s="13"/>
      <c r="AE932" s="37"/>
      <c r="AF932" s="37"/>
      <c r="AG932" s="14"/>
      <c r="AH932" s="14"/>
      <c r="AI932" s="14"/>
      <c r="AZ932" s="24"/>
    </row>
    <row r="933">
      <c r="B933" s="24"/>
      <c r="E933" s="113"/>
      <c r="F933" s="266"/>
      <c r="G933" s="113"/>
      <c r="K933" s="36"/>
      <c r="L933" s="117"/>
      <c r="N933" s="117"/>
      <c r="R933" s="117"/>
      <c r="T933" s="117"/>
      <c r="V933" s="117"/>
      <c r="X933" s="117"/>
      <c r="Y933" s="10"/>
      <c r="Z933" s="11"/>
      <c r="AA933" s="36"/>
      <c r="AB933" s="36"/>
      <c r="AC933" s="13"/>
      <c r="AD933" s="13"/>
      <c r="AE933" s="37"/>
      <c r="AF933" s="37"/>
      <c r="AG933" s="14"/>
      <c r="AH933" s="14"/>
      <c r="AI933" s="14"/>
      <c r="AZ933" s="24"/>
    </row>
    <row r="934">
      <c r="B934" s="24"/>
      <c r="E934" s="113"/>
      <c r="F934" s="266"/>
      <c r="G934" s="113"/>
      <c r="K934" s="36"/>
      <c r="L934" s="117"/>
      <c r="N934" s="117"/>
      <c r="R934" s="117"/>
      <c r="T934" s="117"/>
      <c r="V934" s="117"/>
      <c r="X934" s="117"/>
      <c r="Y934" s="10"/>
      <c r="Z934" s="11"/>
      <c r="AA934" s="36"/>
      <c r="AB934" s="36"/>
      <c r="AC934" s="13"/>
      <c r="AD934" s="13"/>
      <c r="AE934" s="37"/>
      <c r="AF934" s="37"/>
      <c r="AG934" s="14"/>
      <c r="AH934" s="14"/>
      <c r="AI934" s="14"/>
      <c r="AZ934" s="24"/>
    </row>
    <row r="935">
      <c r="B935" s="24"/>
      <c r="E935" s="113"/>
      <c r="F935" s="266"/>
      <c r="G935" s="113"/>
      <c r="K935" s="36"/>
      <c r="L935" s="117"/>
      <c r="N935" s="117"/>
      <c r="R935" s="117"/>
      <c r="T935" s="117"/>
      <c r="V935" s="117"/>
      <c r="X935" s="117"/>
      <c r="Y935" s="10"/>
      <c r="Z935" s="11"/>
      <c r="AA935" s="36"/>
      <c r="AB935" s="36"/>
      <c r="AC935" s="13"/>
      <c r="AD935" s="13"/>
      <c r="AE935" s="37"/>
      <c r="AF935" s="37"/>
      <c r="AG935" s="14"/>
      <c r="AH935" s="14"/>
      <c r="AI935" s="14"/>
      <c r="AZ935" s="24"/>
    </row>
    <row r="936">
      <c r="B936" s="24"/>
      <c r="E936" s="113"/>
      <c r="F936" s="266"/>
      <c r="G936" s="113"/>
      <c r="K936" s="36"/>
      <c r="L936" s="117"/>
      <c r="N936" s="117"/>
      <c r="R936" s="117"/>
      <c r="T936" s="117"/>
      <c r="V936" s="117"/>
      <c r="X936" s="117"/>
      <c r="Y936" s="10"/>
      <c r="Z936" s="11"/>
      <c r="AA936" s="36"/>
      <c r="AB936" s="36"/>
      <c r="AC936" s="13"/>
      <c r="AD936" s="13"/>
      <c r="AE936" s="37"/>
      <c r="AF936" s="37"/>
      <c r="AG936" s="14"/>
      <c r="AH936" s="14"/>
      <c r="AI936" s="14"/>
      <c r="AZ936" s="24"/>
    </row>
    <row r="937">
      <c r="B937" s="24"/>
      <c r="E937" s="113"/>
      <c r="F937" s="266"/>
      <c r="G937" s="113"/>
      <c r="K937" s="36"/>
      <c r="L937" s="117"/>
      <c r="N937" s="117"/>
      <c r="R937" s="117"/>
      <c r="T937" s="117"/>
      <c r="V937" s="117"/>
      <c r="X937" s="117"/>
      <c r="Y937" s="10"/>
      <c r="Z937" s="11"/>
      <c r="AA937" s="36"/>
      <c r="AB937" s="36"/>
      <c r="AC937" s="13"/>
      <c r="AD937" s="13"/>
      <c r="AE937" s="37"/>
      <c r="AF937" s="37"/>
      <c r="AG937" s="14"/>
      <c r="AH937" s="14"/>
      <c r="AI937" s="14"/>
      <c r="AZ937" s="24"/>
    </row>
    <row r="938">
      <c r="B938" s="24"/>
      <c r="E938" s="113"/>
      <c r="F938" s="266"/>
      <c r="G938" s="113"/>
      <c r="K938" s="36"/>
      <c r="L938" s="117"/>
      <c r="N938" s="117"/>
      <c r="R938" s="117"/>
      <c r="T938" s="117"/>
      <c r="V938" s="117"/>
      <c r="X938" s="117"/>
      <c r="Y938" s="10"/>
      <c r="Z938" s="11"/>
      <c r="AA938" s="36"/>
      <c r="AB938" s="36"/>
      <c r="AC938" s="13"/>
      <c r="AD938" s="13"/>
      <c r="AE938" s="37"/>
      <c r="AF938" s="37"/>
      <c r="AG938" s="14"/>
      <c r="AH938" s="14"/>
      <c r="AI938" s="14"/>
      <c r="AZ938" s="24"/>
    </row>
    <row r="939">
      <c r="B939" s="24"/>
      <c r="E939" s="113"/>
      <c r="F939" s="266"/>
      <c r="G939" s="113"/>
      <c r="K939" s="36"/>
      <c r="L939" s="117"/>
      <c r="N939" s="117"/>
      <c r="R939" s="117"/>
      <c r="T939" s="117"/>
      <c r="V939" s="117"/>
      <c r="X939" s="117"/>
      <c r="Y939" s="10"/>
      <c r="Z939" s="11"/>
      <c r="AA939" s="36"/>
      <c r="AB939" s="36"/>
      <c r="AC939" s="13"/>
      <c r="AD939" s="13"/>
      <c r="AE939" s="37"/>
      <c r="AF939" s="37"/>
      <c r="AG939" s="14"/>
      <c r="AH939" s="14"/>
      <c r="AI939" s="14"/>
      <c r="AZ939" s="24"/>
    </row>
    <row r="940">
      <c r="B940" s="24"/>
      <c r="E940" s="113"/>
      <c r="F940" s="266"/>
      <c r="G940" s="113"/>
      <c r="K940" s="36"/>
      <c r="L940" s="117"/>
      <c r="N940" s="117"/>
      <c r="R940" s="117"/>
      <c r="T940" s="117"/>
      <c r="V940" s="117"/>
      <c r="X940" s="117"/>
      <c r="Y940" s="10"/>
      <c r="Z940" s="11"/>
      <c r="AA940" s="36"/>
      <c r="AB940" s="36"/>
      <c r="AC940" s="13"/>
      <c r="AD940" s="13"/>
      <c r="AE940" s="37"/>
      <c r="AF940" s="37"/>
      <c r="AG940" s="14"/>
      <c r="AH940" s="14"/>
      <c r="AI940" s="14"/>
      <c r="AZ940" s="24"/>
    </row>
    <row r="941">
      <c r="B941" s="24"/>
      <c r="E941" s="113"/>
      <c r="F941" s="266"/>
      <c r="G941" s="113"/>
      <c r="K941" s="36"/>
      <c r="L941" s="117"/>
      <c r="N941" s="117"/>
      <c r="R941" s="117"/>
      <c r="T941" s="117"/>
      <c r="V941" s="117"/>
      <c r="X941" s="117"/>
      <c r="Y941" s="10"/>
      <c r="Z941" s="11"/>
      <c r="AA941" s="36"/>
      <c r="AB941" s="36"/>
      <c r="AC941" s="13"/>
      <c r="AD941" s="13"/>
      <c r="AE941" s="37"/>
      <c r="AF941" s="37"/>
      <c r="AG941" s="14"/>
      <c r="AH941" s="14"/>
      <c r="AI941" s="14"/>
      <c r="AZ941" s="24"/>
    </row>
    <row r="942">
      <c r="B942" s="24"/>
      <c r="E942" s="113"/>
      <c r="F942" s="266"/>
      <c r="G942" s="113"/>
      <c r="K942" s="36"/>
      <c r="L942" s="117"/>
      <c r="N942" s="117"/>
      <c r="R942" s="117"/>
      <c r="T942" s="117"/>
      <c r="V942" s="117"/>
      <c r="X942" s="117"/>
      <c r="Y942" s="10"/>
      <c r="Z942" s="11"/>
      <c r="AA942" s="36"/>
      <c r="AB942" s="36"/>
      <c r="AC942" s="13"/>
      <c r="AD942" s="13"/>
      <c r="AE942" s="37"/>
      <c r="AF942" s="37"/>
      <c r="AG942" s="14"/>
      <c r="AH942" s="14"/>
      <c r="AI942" s="14"/>
      <c r="AZ942" s="24"/>
    </row>
    <row r="943">
      <c r="B943" s="24"/>
      <c r="E943" s="113"/>
      <c r="F943" s="266"/>
      <c r="G943" s="113"/>
      <c r="K943" s="36"/>
      <c r="L943" s="117"/>
      <c r="N943" s="117"/>
      <c r="R943" s="117"/>
      <c r="T943" s="117"/>
      <c r="V943" s="117"/>
      <c r="X943" s="117"/>
      <c r="Y943" s="10"/>
      <c r="Z943" s="11"/>
      <c r="AA943" s="36"/>
      <c r="AB943" s="36"/>
      <c r="AC943" s="13"/>
      <c r="AD943" s="13"/>
      <c r="AE943" s="37"/>
      <c r="AF943" s="37"/>
      <c r="AG943" s="14"/>
      <c r="AH943" s="14"/>
      <c r="AI943" s="14"/>
      <c r="AZ943" s="24"/>
    </row>
    <row r="944">
      <c r="B944" s="24"/>
      <c r="E944" s="113"/>
      <c r="F944" s="266"/>
      <c r="G944" s="113"/>
      <c r="K944" s="36"/>
      <c r="L944" s="117"/>
      <c r="N944" s="117"/>
      <c r="R944" s="117"/>
      <c r="T944" s="117"/>
      <c r="V944" s="117"/>
      <c r="X944" s="117"/>
      <c r="Y944" s="10"/>
      <c r="Z944" s="11"/>
      <c r="AA944" s="36"/>
      <c r="AB944" s="36"/>
      <c r="AC944" s="13"/>
      <c r="AD944" s="13"/>
      <c r="AE944" s="37"/>
      <c r="AF944" s="37"/>
      <c r="AG944" s="14"/>
      <c r="AH944" s="14"/>
      <c r="AI944" s="14"/>
      <c r="AZ944" s="24"/>
    </row>
    <row r="945">
      <c r="B945" s="24"/>
      <c r="E945" s="113"/>
      <c r="F945" s="266"/>
      <c r="G945" s="113"/>
      <c r="K945" s="36"/>
      <c r="L945" s="117"/>
      <c r="N945" s="117"/>
      <c r="R945" s="117"/>
      <c r="T945" s="117"/>
      <c r="V945" s="117"/>
      <c r="X945" s="117"/>
      <c r="Y945" s="10"/>
      <c r="Z945" s="11"/>
      <c r="AA945" s="36"/>
      <c r="AB945" s="36"/>
      <c r="AC945" s="13"/>
      <c r="AD945" s="13"/>
      <c r="AE945" s="37"/>
      <c r="AF945" s="37"/>
      <c r="AG945" s="14"/>
      <c r="AH945" s="14"/>
      <c r="AI945" s="14"/>
      <c r="AZ945" s="24"/>
    </row>
    <row r="946">
      <c r="B946" s="24"/>
      <c r="E946" s="113"/>
      <c r="F946" s="266"/>
      <c r="G946" s="113"/>
      <c r="K946" s="36"/>
      <c r="L946" s="117"/>
      <c r="N946" s="117"/>
      <c r="R946" s="117"/>
      <c r="T946" s="117"/>
      <c r="V946" s="117"/>
      <c r="X946" s="117"/>
      <c r="Y946" s="10"/>
      <c r="Z946" s="11"/>
      <c r="AA946" s="36"/>
      <c r="AB946" s="36"/>
      <c r="AC946" s="13"/>
      <c r="AD946" s="13"/>
      <c r="AE946" s="37"/>
      <c r="AF946" s="37"/>
      <c r="AG946" s="14"/>
      <c r="AH946" s="14"/>
      <c r="AI946" s="14"/>
      <c r="AZ946" s="24"/>
    </row>
    <row r="947">
      <c r="B947" s="24"/>
      <c r="E947" s="113"/>
      <c r="F947" s="266"/>
      <c r="G947" s="113"/>
      <c r="K947" s="36"/>
      <c r="L947" s="117"/>
      <c r="N947" s="117"/>
      <c r="R947" s="117"/>
      <c r="T947" s="117"/>
      <c r="V947" s="117"/>
      <c r="X947" s="117"/>
      <c r="Y947" s="10"/>
      <c r="Z947" s="11"/>
      <c r="AA947" s="36"/>
      <c r="AB947" s="36"/>
      <c r="AC947" s="13"/>
      <c r="AD947" s="13"/>
      <c r="AE947" s="37"/>
      <c r="AF947" s="37"/>
      <c r="AG947" s="14"/>
      <c r="AH947" s="14"/>
      <c r="AI947" s="14"/>
      <c r="AZ947" s="24"/>
    </row>
    <row r="948">
      <c r="B948" s="24"/>
      <c r="E948" s="113"/>
      <c r="F948" s="266"/>
      <c r="G948" s="113"/>
      <c r="K948" s="36"/>
      <c r="L948" s="117"/>
      <c r="N948" s="117"/>
      <c r="R948" s="117"/>
      <c r="T948" s="117"/>
      <c r="V948" s="117"/>
      <c r="X948" s="117"/>
      <c r="Y948" s="10"/>
      <c r="Z948" s="11"/>
      <c r="AA948" s="36"/>
      <c r="AB948" s="36"/>
      <c r="AC948" s="13"/>
      <c r="AD948" s="13"/>
      <c r="AE948" s="37"/>
      <c r="AF948" s="37"/>
      <c r="AG948" s="14"/>
      <c r="AH948" s="14"/>
      <c r="AI948" s="14"/>
      <c r="AZ948" s="24"/>
    </row>
    <row r="949">
      <c r="B949" s="24"/>
      <c r="E949" s="113"/>
      <c r="F949" s="266"/>
      <c r="G949" s="113"/>
      <c r="K949" s="36"/>
      <c r="L949" s="117"/>
      <c r="N949" s="117"/>
      <c r="R949" s="117"/>
      <c r="T949" s="117"/>
      <c r="V949" s="117"/>
      <c r="X949" s="117"/>
      <c r="Y949" s="10"/>
      <c r="Z949" s="11"/>
      <c r="AA949" s="36"/>
      <c r="AB949" s="36"/>
      <c r="AC949" s="13"/>
      <c r="AD949" s="13"/>
      <c r="AE949" s="37"/>
      <c r="AF949" s="37"/>
      <c r="AG949" s="14"/>
      <c r="AH949" s="14"/>
      <c r="AI949" s="14"/>
      <c r="AZ949" s="24"/>
    </row>
    <row r="950">
      <c r="B950" s="24"/>
      <c r="E950" s="113"/>
      <c r="F950" s="266"/>
      <c r="G950" s="113"/>
      <c r="K950" s="36"/>
      <c r="L950" s="117"/>
      <c r="N950" s="117"/>
      <c r="R950" s="117"/>
      <c r="T950" s="117"/>
      <c r="V950" s="117"/>
      <c r="X950" s="117"/>
      <c r="Y950" s="10"/>
      <c r="Z950" s="11"/>
      <c r="AA950" s="36"/>
      <c r="AB950" s="36"/>
      <c r="AC950" s="13"/>
      <c r="AD950" s="13"/>
      <c r="AE950" s="37"/>
      <c r="AF950" s="37"/>
      <c r="AG950" s="14"/>
      <c r="AH950" s="14"/>
      <c r="AI950" s="14"/>
      <c r="AZ950" s="24"/>
    </row>
    <row r="951">
      <c r="B951" s="24"/>
      <c r="E951" s="113"/>
      <c r="F951" s="266"/>
      <c r="G951" s="113"/>
      <c r="K951" s="36"/>
      <c r="L951" s="117"/>
      <c r="N951" s="117"/>
      <c r="R951" s="117"/>
      <c r="T951" s="117"/>
      <c r="V951" s="117"/>
      <c r="X951" s="117"/>
      <c r="Y951" s="10"/>
      <c r="Z951" s="11"/>
      <c r="AA951" s="36"/>
      <c r="AB951" s="36"/>
      <c r="AC951" s="13"/>
      <c r="AD951" s="13"/>
      <c r="AE951" s="37"/>
      <c r="AF951" s="37"/>
      <c r="AG951" s="14"/>
      <c r="AH951" s="14"/>
      <c r="AI951" s="14"/>
      <c r="AZ951" s="24"/>
    </row>
    <row r="952">
      <c r="B952" s="24"/>
      <c r="E952" s="113"/>
      <c r="F952" s="266"/>
      <c r="G952" s="113"/>
      <c r="K952" s="36"/>
      <c r="L952" s="117"/>
      <c r="N952" s="117"/>
      <c r="R952" s="117"/>
      <c r="T952" s="117"/>
      <c r="V952" s="117"/>
      <c r="X952" s="117"/>
      <c r="Y952" s="10"/>
      <c r="Z952" s="11"/>
      <c r="AA952" s="36"/>
      <c r="AB952" s="36"/>
      <c r="AC952" s="13"/>
      <c r="AD952" s="13"/>
      <c r="AE952" s="37"/>
      <c r="AF952" s="37"/>
      <c r="AG952" s="14"/>
      <c r="AH952" s="14"/>
      <c r="AI952" s="14"/>
      <c r="AZ952" s="24"/>
    </row>
    <row r="953">
      <c r="B953" s="24"/>
      <c r="E953" s="113"/>
      <c r="F953" s="266"/>
      <c r="G953" s="113"/>
      <c r="K953" s="36"/>
      <c r="L953" s="117"/>
      <c r="N953" s="117"/>
      <c r="R953" s="117"/>
      <c r="T953" s="117"/>
      <c r="V953" s="117"/>
      <c r="X953" s="117"/>
      <c r="Y953" s="10"/>
      <c r="Z953" s="11"/>
      <c r="AA953" s="36"/>
      <c r="AB953" s="36"/>
      <c r="AC953" s="13"/>
      <c r="AD953" s="13"/>
      <c r="AE953" s="37"/>
      <c r="AF953" s="37"/>
      <c r="AG953" s="14"/>
      <c r="AH953" s="14"/>
      <c r="AI953" s="14"/>
      <c r="AZ953" s="24"/>
    </row>
    <row r="954">
      <c r="B954" s="24"/>
      <c r="E954" s="113"/>
      <c r="F954" s="266"/>
      <c r="G954" s="113"/>
      <c r="K954" s="36"/>
      <c r="L954" s="117"/>
      <c r="N954" s="117"/>
      <c r="R954" s="117"/>
      <c r="T954" s="117"/>
      <c r="V954" s="117"/>
      <c r="X954" s="117"/>
      <c r="Y954" s="10"/>
      <c r="Z954" s="11"/>
      <c r="AA954" s="36"/>
      <c r="AB954" s="36"/>
      <c r="AC954" s="13"/>
      <c r="AD954" s="13"/>
      <c r="AE954" s="37"/>
      <c r="AF954" s="37"/>
      <c r="AG954" s="14"/>
      <c r="AH954" s="14"/>
      <c r="AI954" s="14"/>
      <c r="AZ954" s="24"/>
    </row>
    <row r="955">
      <c r="B955" s="24"/>
      <c r="E955" s="113"/>
      <c r="F955" s="266"/>
      <c r="G955" s="113"/>
      <c r="K955" s="36"/>
      <c r="L955" s="117"/>
      <c r="N955" s="117"/>
      <c r="R955" s="117"/>
      <c r="T955" s="117"/>
      <c r="V955" s="117"/>
      <c r="X955" s="117"/>
      <c r="Y955" s="10"/>
      <c r="Z955" s="11"/>
      <c r="AA955" s="36"/>
      <c r="AB955" s="36"/>
      <c r="AC955" s="13"/>
      <c r="AD955" s="13"/>
      <c r="AE955" s="37"/>
      <c r="AF955" s="37"/>
      <c r="AG955" s="14"/>
      <c r="AH955" s="14"/>
      <c r="AI955" s="14"/>
      <c r="AZ955" s="24"/>
    </row>
    <row r="956">
      <c r="B956" s="24"/>
      <c r="E956" s="113"/>
      <c r="F956" s="266"/>
      <c r="G956" s="113"/>
      <c r="K956" s="36"/>
      <c r="L956" s="117"/>
      <c r="N956" s="117"/>
      <c r="R956" s="117"/>
      <c r="T956" s="117"/>
      <c r="V956" s="117"/>
      <c r="X956" s="117"/>
      <c r="Y956" s="10"/>
      <c r="Z956" s="11"/>
      <c r="AA956" s="36"/>
      <c r="AB956" s="36"/>
      <c r="AC956" s="13"/>
      <c r="AD956" s="13"/>
      <c r="AE956" s="37"/>
      <c r="AF956" s="37"/>
      <c r="AG956" s="14"/>
      <c r="AH956" s="14"/>
      <c r="AI956" s="14"/>
      <c r="AZ956" s="24"/>
    </row>
    <row r="957">
      <c r="B957" s="24"/>
      <c r="E957" s="113"/>
      <c r="F957" s="266"/>
      <c r="G957" s="113"/>
      <c r="K957" s="36"/>
      <c r="L957" s="117"/>
      <c r="N957" s="117"/>
      <c r="R957" s="117"/>
      <c r="T957" s="117"/>
      <c r="V957" s="117"/>
      <c r="X957" s="117"/>
      <c r="Y957" s="10"/>
      <c r="Z957" s="11"/>
      <c r="AA957" s="36"/>
      <c r="AB957" s="36"/>
      <c r="AC957" s="13"/>
      <c r="AD957" s="13"/>
      <c r="AE957" s="37"/>
      <c r="AF957" s="37"/>
      <c r="AG957" s="14"/>
      <c r="AH957" s="14"/>
      <c r="AI957" s="14"/>
      <c r="AZ957" s="24"/>
    </row>
    <row r="958">
      <c r="B958" s="24"/>
      <c r="E958" s="113"/>
      <c r="F958" s="266"/>
      <c r="G958" s="113"/>
      <c r="K958" s="36"/>
      <c r="L958" s="117"/>
      <c r="N958" s="117"/>
      <c r="R958" s="117"/>
      <c r="T958" s="117"/>
      <c r="V958" s="117"/>
      <c r="X958" s="117"/>
      <c r="Y958" s="10"/>
      <c r="Z958" s="11"/>
      <c r="AA958" s="36"/>
      <c r="AB958" s="36"/>
      <c r="AC958" s="13"/>
      <c r="AD958" s="13"/>
      <c r="AE958" s="37"/>
      <c r="AF958" s="37"/>
      <c r="AG958" s="14"/>
      <c r="AH958" s="14"/>
      <c r="AI958" s="14"/>
      <c r="AZ958" s="24"/>
    </row>
    <row r="959">
      <c r="B959" s="24"/>
      <c r="E959" s="113"/>
      <c r="F959" s="266"/>
      <c r="G959" s="113"/>
      <c r="K959" s="36"/>
      <c r="L959" s="117"/>
      <c r="N959" s="117"/>
      <c r="R959" s="117"/>
      <c r="T959" s="117"/>
      <c r="V959" s="117"/>
      <c r="X959" s="117"/>
      <c r="Y959" s="10"/>
      <c r="Z959" s="11"/>
      <c r="AA959" s="36"/>
      <c r="AB959" s="36"/>
      <c r="AC959" s="13"/>
      <c r="AD959" s="13"/>
      <c r="AE959" s="37"/>
      <c r="AF959" s="37"/>
      <c r="AG959" s="14"/>
      <c r="AH959" s="14"/>
      <c r="AI959" s="14"/>
      <c r="AZ959" s="24"/>
    </row>
    <row r="960">
      <c r="B960" s="24"/>
      <c r="E960" s="113"/>
      <c r="F960" s="266"/>
      <c r="G960" s="113"/>
      <c r="K960" s="36"/>
      <c r="L960" s="117"/>
      <c r="N960" s="117"/>
      <c r="R960" s="117"/>
      <c r="T960" s="117"/>
      <c r="V960" s="117"/>
      <c r="X960" s="117"/>
      <c r="Y960" s="10"/>
      <c r="Z960" s="11"/>
      <c r="AA960" s="36"/>
      <c r="AB960" s="36"/>
      <c r="AC960" s="13"/>
      <c r="AD960" s="13"/>
      <c r="AE960" s="37"/>
      <c r="AF960" s="37"/>
      <c r="AG960" s="14"/>
      <c r="AH960" s="14"/>
      <c r="AI960" s="14"/>
      <c r="AZ960" s="24"/>
    </row>
    <row r="961">
      <c r="B961" s="24"/>
      <c r="E961" s="113"/>
      <c r="F961" s="266"/>
      <c r="G961" s="113"/>
      <c r="K961" s="36"/>
      <c r="L961" s="117"/>
      <c r="N961" s="117"/>
      <c r="R961" s="117"/>
      <c r="T961" s="117"/>
      <c r="V961" s="117"/>
      <c r="X961" s="117"/>
      <c r="Y961" s="10"/>
      <c r="Z961" s="11"/>
      <c r="AA961" s="36"/>
      <c r="AB961" s="36"/>
      <c r="AC961" s="13"/>
      <c r="AD961" s="13"/>
      <c r="AE961" s="37"/>
      <c r="AF961" s="37"/>
      <c r="AG961" s="14"/>
      <c r="AH961" s="14"/>
      <c r="AI961" s="14"/>
      <c r="AZ961" s="24"/>
    </row>
    <row r="962">
      <c r="B962" s="24"/>
      <c r="E962" s="113"/>
      <c r="F962" s="266"/>
      <c r="G962" s="113"/>
      <c r="K962" s="36"/>
      <c r="L962" s="117"/>
      <c r="N962" s="117"/>
      <c r="R962" s="117"/>
      <c r="T962" s="117"/>
      <c r="V962" s="117"/>
      <c r="X962" s="117"/>
      <c r="Y962" s="10"/>
      <c r="Z962" s="11"/>
      <c r="AA962" s="36"/>
      <c r="AB962" s="36"/>
      <c r="AC962" s="13"/>
      <c r="AD962" s="13"/>
      <c r="AE962" s="37"/>
      <c r="AF962" s="37"/>
      <c r="AG962" s="14"/>
      <c r="AH962" s="14"/>
      <c r="AI962" s="14"/>
      <c r="AZ962" s="24"/>
    </row>
    <row r="963">
      <c r="B963" s="24"/>
      <c r="E963" s="113"/>
      <c r="F963" s="266"/>
      <c r="G963" s="113"/>
      <c r="K963" s="36"/>
      <c r="L963" s="117"/>
      <c r="N963" s="117"/>
      <c r="R963" s="117"/>
      <c r="T963" s="117"/>
      <c r="V963" s="117"/>
      <c r="X963" s="117"/>
      <c r="Y963" s="10"/>
      <c r="Z963" s="11"/>
      <c r="AA963" s="36"/>
      <c r="AB963" s="36"/>
      <c r="AC963" s="13"/>
      <c r="AD963" s="13"/>
      <c r="AE963" s="37"/>
      <c r="AF963" s="37"/>
      <c r="AG963" s="14"/>
      <c r="AH963" s="14"/>
      <c r="AI963" s="14"/>
      <c r="AZ963" s="24"/>
    </row>
    <row r="964">
      <c r="B964" s="24"/>
      <c r="E964" s="113"/>
      <c r="F964" s="266"/>
      <c r="G964" s="113"/>
      <c r="K964" s="36"/>
      <c r="L964" s="117"/>
      <c r="N964" s="117"/>
      <c r="R964" s="117"/>
      <c r="T964" s="117"/>
      <c r="V964" s="117"/>
      <c r="X964" s="117"/>
      <c r="Y964" s="10"/>
      <c r="Z964" s="11"/>
      <c r="AA964" s="36"/>
      <c r="AB964" s="36"/>
      <c r="AC964" s="13"/>
      <c r="AD964" s="13"/>
      <c r="AE964" s="37"/>
      <c r="AF964" s="37"/>
      <c r="AG964" s="14"/>
      <c r="AH964" s="14"/>
      <c r="AI964" s="14"/>
      <c r="AZ964" s="24"/>
    </row>
    <row r="965">
      <c r="B965" s="24"/>
      <c r="E965" s="113"/>
      <c r="F965" s="266"/>
      <c r="G965" s="113"/>
      <c r="K965" s="36"/>
      <c r="L965" s="117"/>
      <c r="N965" s="117"/>
      <c r="R965" s="117"/>
      <c r="T965" s="117"/>
      <c r="V965" s="117"/>
      <c r="X965" s="117"/>
      <c r="Y965" s="10"/>
      <c r="Z965" s="11"/>
      <c r="AA965" s="36"/>
      <c r="AB965" s="36"/>
      <c r="AC965" s="13"/>
      <c r="AD965" s="13"/>
      <c r="AE965" s="37"/>
      <c r="AF965" s="37"/>
      <c r="AG965" s="14"/>
      <c r="AH965" s="14"/>
      <c r="AI965" s="14"/>
      <c r="AZ965" s="24"/>
    </row>
    <row r="966">
      <c r="B966" s="24"/>
      <c r="E966" s="113"/>
      <c r="F966" s="266"/>
      <c r="G966" s="113"/>
      <c r="K966" s="36"/>
      <c r="L966" s="117"/>
      <c r="N966" s="117"/>
      <c r="R966" s="117"/>
      <c r="T966" s="117"/>
      <c r="V966" s="117"/>
      <c r="X966" s="117"/>
      <c r="Y966" s="10"/>
      <c r="Z966" s="11"/>
      <c r="AA966" s="36"/>
      <c r="AB966" s="36"/>
      <c r="AC966" s="13"/>
      <c r="AD966" s="13"/>
      <c r="AE966" s="37"/>
      <c r="AF966" s="37"/>
      <c r="AG966" s="14"/>
      <c r="AH966" s="14"/>
      <c r="AI966" s="14"/>
      <c r="AZ966" s="24"/>
    </row>
    <row r="967">
      <c r="B967" s="24"/>
      <c r="E967" s="113"/>
      <c r="F967" s="266"/>
      <c r="G967" s="113"/>
      <c r="K967" s="36"/>
      <c r="L967" s="117"/>
      <c r="N967" s="117"/>
      <c r="R967" s="117"/>
      <c r="T967" s="117"/>
      <c r="V967" s="117"/>
      <c r="X967" s="117"/>
      <c r="Y967" s="10"/>
      <c r="Z967" s="11"/>
      <c r="AA967" s="36"/>
      <c r="AB967" s="36"/>
      <c r="AC967" s="13"/>
      <c r="AD967" s="13"/>
      <c r="AE967" s="37"/>
      <c r="AF967" s="37"/>
      <c r="AG967" s="14"/>
      <c r="AH967" s="14"/>
      <c r="AI967" s="14"/>
      <c r="AZ967" s="24"/>
    </row>
    <row r="968">
      <c r="B968" s="24"/>
      <c r="E968" s="113"/>
      <c r="F968" s="266"/>
      <c r="G968" s="113"/>
      <c r="K968" s="36"/>
      <c r="L968" s="117"/>
      <c r="N968" s="117"/>
      <c r="R968" s="117"/>
      <c r="T968" s="117"/>
      <c r="V968" s="117"/>
      <c r="X968" s="117"/>
      <c r="Y968" s="10"/>
      <c r="Z968" s="11"/>
      <c r="AA968" s="36"/>
      <c r="AB968" s="36"/>
      <c r="AC968" s="13"/>
      <c r="AD968" s="13"/>
      <c r="AE968" s="37"/>
      <c r="AF968" s="37"/>
      <c r="AG968" s="14"/>
      <c r="AH968" s="14"/>
      <c r="AI968" s="14"/>
      <c r="AZ968" s="24"/>
    </row>
    <row r="969">
      <c r="B969" s="24"/>
      <c r="E969" s="113"/>
      <c r="F969" s="266"/>
      <c r="G969" s="113"/>
      <c r="K969" s="36"/>
      <c r="L969" s="117"/>
      <c r="N969" s="117"/>
      <c r="R969" s="117"/>
      <c r="T969" s="117"/>
      <c r="V969" s="117"/>
      <c r="X969" s="117"/>
      <c r="Y969" s="10"/>
      <c r="Z969" s="11"/>
      <c r="AA969" s="36"/>
      <c r="AB969" s="36"/>
      <c r="AC969" s="13"/>
      <c r="AD969" s="13"/>
      <c r="AE969" s="37"/>
      <c r="AF969" s="37"/>
      <c r="AG969" s="14"/>
      <c r="AH969" s="14"/>
      <c r="AI969" s="14"/>
      <c r="AZ969" s="24"/>
    </row>
    <row r="970">
      <c r="B970" s="24"/>
      <c r="E970" s="113"/>
      <c r="F970" s="266"/>
      <c r="G970" s="113"/>
      <c r="K970" s="36"/>
      <c r="L970" s="117"/>
      <c r="N970" s="117"/>
      <c r="R970" s="117"/>
      <c r="T970" s="117"/>
      <c r="V970" s="117"/>
      <c r="X970" s="117"/>
      <c r="Y970" s="10"/>
      <c r="Z970" s="11"/>
      <c r="AA970" s="36"/>
      <c r="AB970" s="36"/>
      <c r="AC970" s="13"/>
      <c r="AD970" s="13"/>
      <c r="AE970" s="37"/>
      <c r="AF970" s="37"/>
      <c r="AG970" s="14"/>
      <c r="AH970" s="14"/>
      <c r="AI970" s="14"/>
      <c r="AZ970" s="24"/>
    </row>
    <row r="971">
      <c r="B971" s="24"/>
      <c r="E971" s="113"/>
      <c r="F971" s="266"/>
      <c r="G971" s="113"/>
      <c r="K971" s="36"/>
      <c r="L971" s="117"/>
      <c r="N971" s="117"/>
      <c r="R971" s="117"/>
      <c r="T971" s="117"/>
      <c r="V971" s="117"/>
      <c r="X971" s="117"/>
      <c r="Y971" s="10"/>
      <c r="Z971" s="11"/>
      <c r="AA971" s="36"/>
      <c r="AB971" s="36"/>
      <c r="AC971" s="13"/>
      <c r="AD971" s="13"/>
      <c r="AE971" s="37"/>
      <c r="AF971" s="37"/>
      <c r="AG971" s="14"/>
      <c r="AH971" s="14"/>
      <c r="AI971" s="14"/>
      <c r="AZ971" s="24"/>
    </row>
    <row r="972">
      <c r="B972" s="24"/>
      <c r="E972" s="113"/>
      <c r="F972" s="266"/>
      <c r="G972" s="113"/>
      <c r="K972" s="36"/>
      <c r="L972" s="117"/>
      <c r="N972" s="117"/>
      <c r="R972" s="117"/>
      <c r="T972" s="117"/>
      <c r="V972" s="117"/>
      <c r="X972" s="117"/>
      <c r="Y972" s="10"/>
      <c r="Z972" s="11"/>
      <c r="AA972" s="36"/>
      <c r="AB972" s="36"/>
      <c r="AC972" s="13"/>
      <c r="AD972" s="13"/>
      <c r="AE972" s="37"/>
      <c r="AF972" s="37"/>
      <c r="AG972" s="14"/>
      <c r="AH972" s="14"/>
      <c r="AI972" s="14"/>
      <c r="AZ972" s="24"/>
    </row>
    <row r="973">
      <c r="B973" s="24"/>
      <c r="E973" s="113"/>
      <c r="F973" s="266"/>
      <c r="G973" s="113"/>
      <c r="K973" s="36"/>
      <c r="L973" s="117"/>
      <c r="N973" s="117"/>
      <c r="R973" s="117"/>
      <c r="T973" s="117"/>
      <c r="V973" s="117"/>
      <c r="X973" s="117"/>
      <c r="Y973" s="10"/>
      <c r="Z973" s="11"/>
      <c r="AA973" s="36"/>
      <c r="AB973" s="36"/>
      <c r="AC973" s="13"/>
      <c r="AD973" s="13"/>
      <c r="AE973" s="37"/>
      <c r="AF973" s="37"/>
      <c r="AG973" s="14"/>
      <c r="AH973" s="14"/>
      <c r="AI973" s="14"/>
      <c r="AZ973" s="24"/>
    </row>
    <row r="974">
      <c r="B974" s="24"/>
      <c r="E974" s="113"/>
      <c r="F974" s="266"/>
      <c r="G974" s="113"/>
      <c r="K974" s="36"/>
      <c r="L974" s="117"/>
      <c r="N974" s="117"/>
      <c r="R974" s="117"/>
      <c r="T974" s="117"/>
      <c r="V974" s="117"/>
      <c r="X974" s="117"/>
      <c r="Y974" s="10"/>
      <c r="Z974" s="11"/>
      <c r="AA974" s="36"/>
      <c r="AB974" s="36"/>
      <c r="AC974" s="13"/>
      <c r="AD974" s="13"/>
      <c r="AE974" s="37"/>
      <c r="AF974" s="37"/>
      <c r="AG974" s="14"/>
      <c r="AH974" s="14"/>
      <c r="AI974" s="14"/>
      <c r="AZ974" s="24"/>
    </row>
    <row r="975">
      <c r="B975" s="24"/>
      <c r="E975" s="113"/>
      <c r="F975" s="266"/>
      <c r="G975" s="113"/>
      <c r="K975" s="36"/>
      <c r="L975" s="117"/>
      <c r="N975" s="117"/>
      <c r="R975" s="117"/>
      <c r="T975" s="117"/>
      <c r="V975" s="117"/>
      <c r="X975" s="117"/>
      <c r="Y975" s="10"/>
      <c r="Z975" s="11"/>
      <c r="AA975" s="36"/>
      <c r="AB975" s="36"/>
      <c r="AC975" s="13"/>
      <c r="AD975" s="13"/>
      <c r="AE975" s="37"/>
      <c r="AF975" s="37"/>
      <c r="AG975" s="14"/>
      <c r="AH975" s="14"/>
      <c r="AI975" s="14"/>
      <c r="AZ975" s="24"/>
    </row>
    <row r="976">
      <c r="B976" s="24"/>
      <c r="E976" s="113"/>
      <c r="F976" s="266"/>
      <c r="G976" s="113"/>
      <c r="K976" s="36"/>
      <c r="L976" s="117"/>
      <c r="N976" s="117"/>
      <c r="R976" s="117"/>
      <c r="T976" s="117"/>
      <c r="V976" s="117"/>
      <c r="X976" s="117"/>
      <c r="Y976" s="10"/>
      <c r="Z976" s="11"/>
      <c r="AA976" s="36"/>
      <c r="AB976" s="36"/>
      <c r="AC976" s="13"/>
      <c r="AD976" s="13"/>
      <c r="AE976" s="37"/>
      <c r="AF976" s="37"/>
      <c r="AG976" s="14"/>
      <c r="AH976" s="14"/>
      <c r="AI976" s="14"/>
      <c r="AZ976" s="24"/>
    </row>
    <row r="977">
      <c r="B977" s="24"/>
      <c r="E977" s="113"/>
      <c r="F977" s="266"/>
      <c r="G977" s="113"/>
      <c r="K977" s="36"/>
      <c r="L977" s="117"/>
      <c r="N977" s="117"/>
      <c r="R977" s="117"/>
      <c r="T977" s="117"/>
      <c r="V977" s="117"/>
      <c r="X977" s="117"/>
      <c r="Y977" s="10"/>
      <c r="Z977" s="11"/>
      <c r="AA977" s="36"/>
      <c r="AB977" s="36"/>
      <c r="AC977" s="13"/>
      <c r="AD977" s="13"/>
      <c r="AE977" s="37"/>
      <c r="AF977" s="37"/>
      <c r="AG977" s="14"/>
      <c r="AH977" s="14"/>
      <c r="AI977" s="14"/>
      <c r="AZ977" s="24"/>
    </row>
    <row r="978">
      <c r="B978" s="24"/>
      <c r="E978" s="113"/>
      <c r="F978" s="266"/>
      <c r="G978" s="113"/>
      <c r="K978" s="36"/>
      <c r="L978" s="117"/>
      <c r="N978" s="117"/>
      <c r="R978" s="117"/>
      <c r="T978" s="117"/>
      <c r="V978" s="117"/>
      <c r="X978" s="117"/>
      <c r="Y978" s="10"/>
      <c r="Z978" s="11"/>
      <c r="AA978" s="36"/>
      <c r="AB978" s="36"/>
      <c r="AC978" s="13"/>
      <c r="AD978" s="13"/>
      <c r="AE978" s="37"/>
      <c r="AF978" s="37"/>
      <c r="AG978" s="14"/>
      <c r="AH978" s="14"/>
      <c r="AI978" s="14"/>
      <c r="AZ978" s="24"/>
    </row>
    <row r="979">
      <c r="B979" s="24"/>
      <c r="E979" s="113"/>
      <c r="F979" s="266"/>
      <c r="G979" s="113"/>
      <c r="K979" s="36"/>
      <c r="L979" s="117"/>
      <c r="N979" s="117"/>
      <c r="R979" s="117"/>
      <c r="T979" s="117"/>
      <c r="V979" s="117"/>
      <c r="X979" s="117"/>
      <c r="Y979" s="10"/>
      <c r="Z979" s="11"/>
      <c r="AA979" s="36"/>
      <c r="AB979" s="36"/>
      <c r="AC979" s="13"/>
      <c r="AD979" s="13"/>
      <c r="AE979" s="37"/>
      <c r="AF979" s="37"/>
      <c r="AG979" s="14"/>
      <c r="AH979" s="14"/>
      <c r="AI979" s="14"/>
      <c r="AZ979" s="24"/>
    </row>
    <row r="980">
      <c r="B980" s="24"/>
      <c r="E980" s="113"/>
      <c r="F980" s="266"/>
      <c r="G980" s="113"/>
      <c r="K980" s="36"/>
      <c r="L980" s="117"/>
      <c r="N980" s="117"/>
      <c r="R980" s="117"/>
      <c r="T980" s="117"/>
      <c r="V980" s="117"/>
      <c r="X980" s="117"/>
      <c r="Y980" s="10"/>
      <c r="Z980" s="11"/>
      <c r="AA980" s="36"/>
      <c r="AB980" s="36"/>
      <c r="AC980" s="13"/>
      <c r="AD980" s="13"/>
      <c r="AE980" s="37"/>
      <c r="AF980" s="37"/>
      <c r="AG980" s="14"/>
      <c r="AH980" s="14"/>
      <c r="AI980" s="14"/>
      <c r="AZ980" s="24"/>
    </row>
    <row r="981">
      <c r="B981" s="24"/>
      <c r="E981" s="113"/>
      <c r="F981" s="266"/>
      <c r="G981" s="113"/>
      <c r="K981" s="36"/>
      <c r="L981" s="117"/>
      <c r="N981" s="117"/>
      <c r="R981" s="117"/>
      <c r="T981" s="117"/>
      <c r="V981" s="117"/>
      <c r="X981" s="117"/>
      <c r="Y981" s="10"/>
      <c r="Z981" s="11"/>
      <c r="AA981" s="36"/>
      <c r="AB981" s="36"/>
      <c r="AC981" s="13"/>
      <c r="AD981" s="13"/>
      <c r="AE981" s="37"/>
      <c r="AF981" s="37"/>
      <c r="AG981" s="14"/>
      <c r="AH981" s="14"/>
      <c r="AI981" s="14"/>
      <c r="AZ981" s="24"/>
    </row>
    <row r="982">
      <c r="B982" s="24"/>
      <c r="E982" s="113"/>
      <c r="F982" s="266"/>
      <c r="G982" s="113"/>
      <c r="K982" s="36"/>
      <c r="L982" s="117"/>
      <c r="N982" s="117"/>
      <c r="R982" s="117"/>
      <c r="T982" s="117"/>
      <c r="V982" s="117"/>
      <c r="X982" s="117"/>
      <c r="Y982" s="10"/>
      <c r="Z982" s="11"/>
      <c r="AA982" s="36"/>
      <c r="AB982" s="36"/>
      <c r="AC982" s="13"/>
      <c r="AD982" s="13"/>
      <c r="AE982" s="37"/>
      <c r="AF982" s="37"/>
      <c r="AG982" s="14"/>
      <c r="AH982" s="14"/>
      <c r="AI982" s="14"/>
      <c r="AZ982" s="24"/>
    </row>
    <row r="983">
      <c r="B983" s="24"/>
      <c r="E983" s="113"/>
      <c r="F983" s="266"/>
      <c r="G983" s="113"/>
      <c r="K983" s="36"/>
      <c r="L983" s="117"/>
      <c r="N983" s="117"/>
      <c r="R983" s="117"/>
      <c r="T983" s="117"/>
      <c r="V983" s="117"/>
      <c r="X983" s="117"/>
      <c r="Y983" s="10"/>
      <c r="Z983" s="11"/>
      <c r="AA983" s="36"/>
      <c r="AB983" s="36"/>
      <c r="AC983" s="13"/>
      <c r="AD983" s="13"/>
      <c r="AE983" s="37"/>
      <c r="AF983" s="37"/>
      <c r="AG983" s="14"/>
      <c r="AH983" s="14"/>
      <c r="AI983" s="14"/>
      <c r="AZ983" s="24"/>
    </row>
    <row r="984">
      <c r="B984" s="24"/>
      <c r="E984" s="113"/>
      <c r="F984" s="266"/>
      <c r="G984" s="113"/>
      <c r="K984" s="36"/>
      <c r="L984" s="117"/>
      <c r="N984" s="117"/>
      <c r="R984" s="117"/>
      <c r="T984" s="117"/>
      <c r="V984" s="117"/>
      <c r="X984" s="117"/>
      <c r="Y984" s="10"/>
      <c r="Z984" s="11"/>
      <c r="AA984" s="36"/>
      <c r="AB984" s="36"/>
      <c r="AC984" s="13"/>
      <c r="AD984" s="13"/>
      <c r="AE984" s="37"/>
      <c r="AF984" s="37"/>
      <c r="AG984" s="14"/>
      <c r="AH984" s="14"/>
      <c r="AI984" s="14"/>
      <c r="AZ984" s="24"/>
    </row>
    <row r="985">
      <c r="B985" s="24"/>
      <c r="E985" s="113"/>
      <c r="F985" s="266"/>
      <c r="G985" s="113"/>
      <c r="K985" s="36"/>
      <c r="L985" s="117"/>
      <c r="N985" s="117"/>
      <c r="R985" s="117"/>
      <c r="T985" s="117"/>
      <c r="V985" s="117"/>
      <c r="X985" s="117"/>
      <c r="Y985" s="10"/>
      <c r="Z985" s="11"/>
      <c r="AA985" s="36"/>
      <c r="AB985" s="36"/>
      <c r="AC985" s="13"/>
      <c r="AD985" s="13"/>
      <c r="AE985" s="37"/>
      <c r="AF985" s="37"/>
      <c r="AG985" s="14"/>
      <c r="AH985" s="14"/>
      <c r="AI985" s="14"/>
      <c r="AZ985" s="24"/>
    </row>
    <row r="986">
      <c r="B986" s="24"/>
      <c r="E986" s="113"/>
      <c r="F986" s="266"/>
      <c r="G986" s="113"/>
      <c r="K986" s="36"/>
      <c r="L986" s="117"/>
      <c r="N986" s="117"/>
      <c r="R986" s="117"/>
      <c r="T986" s="117"/>
      <c r="V986" s="117"/>
      <c r="X986" s="117"/>
      <c r="Y986" s="10"/>
      <c r="Z986" s="11"/>
      <c r="AA986" s="36"/>
      <c r="AB986" s="36"/>
      <c r="AC986" s="13"/>
      <c r="AD986" s="13"/>
      <c r="AE986" s="37"/>
      <c r="AF986" s="37"/>
      <c r="AG986" s="14"/>
      <c r="AH986" s="14"/>
      <c r="AI986" s="14"/>
      <c r="AZ986" s="24"/>
    </row>
    <row r="987">
      <c r="B987" s="24"/>
      <c r="E987" s="113"/>
      <c r="F987" s="266"/>
      <c r="G987" s="113"/>
      <c r="K987" s="36"/>
      <c r="L987" s="117"/>
      <c r="N987" s="117"/>
      <c r="R987" s="117"/>
      <c r="T987" s="117"/>
      <c r="V987" s="117"/>
      <c r="X987" s="117"/>
      <c r="Y987" s="10"/>
      <c r="Z987" s="11"/>
      <c r="AA987" s="36"/>
      <c r="AB987" s="36"/>
      <c r="AC987" s="13"/>
      <c r="AD987" s="13"/>
      <c r="AE987" s="37"/>
      <c r="AF987" s="37"/>
      <c r="AG987" s="14"/>
      <c r="AH987" s="14"/>
      <c r="AI987" s="14"/>
      <c r="AZ987" s="24"/>
    </row>
    <row r="988">
      <c r="B988" s="24"/>
      <c r="E988" s="113"/>
      <c r="F988" s="266"/>
      <c r="G988" s="113"/>
      <c r="K988" s="36"/>
      <c r="L988" s="117"/>
      <c r="N988" s="117"/>
      <c r="R988" s="117"/>
      <c r="T988" s="117"/>
      <c r="V988" s="117"/>
      <c r="X988" s="117"/>
      <c r="Y988" s="10"/>
      <c r="Z988" s="11"/>
      <c r="AA988" s="36"/>
      <c r="AB988" s="36"/>
      <c r="AC988" s="13"/>
      <c r="AD988" s="13"/>
      <c r="AE988" s="37"/>
      <c r="AF988" s="37"/>
      <c r="AG988" s="14"/>
      <c r="AH988" s="14"/>
      <c r="AI988" s="14"/>
      <c r="AZ988" s="24"/>
    </row>
    <row r="989">
      <c r="B989" s="24"/>
      <c r="E989" s="113"/>
      <c r="F989" s="266"/>
      <c r="G989" s="113"/>
      <c r="K989" s="36"/>
      <c r="L989" s="117"/>
      <c r="N989" s="117"/>
      <c r="R989" s="117"/>
      <c r="T989" s="117"/>
      <c r="V989" s="117"/>
      <c r="X989" s="117"/>
      <c r="Y989" s="10"/>
      <c r="Z989" s="11"/>
      <c r="AA989" s="36"/>
      <c r="AB989" s="36"/>
      <c r="AC989" s="13"/>
      <c r="AD989" s="13"/>
      <c r="AE989" s="37"/>
      <c r="AF989" s="37"/>
      <c r="AG989" s="14"/>
      <c r="AH989" s="14"/>
      <c r="AI989" s="14"/>
      <c r="AZ989" s="24"/>
    </row>
    <row r="990">
      <c r="B990" s="24"/>
      <c r="E990" s="113"/>
      <c r="F990" s="266"/>
      <c r="G990" s="113"/>
      <c r="K990" s="36"/>
      <c r="L990" s="117"/>
      <c r="N990" s="117"/>
      <c r="R990" s="117"/>
      <c r="T990" s="117"/>
      <c r="V990" s="117"/>
      <c r="X990" s="117"/>
      <c r="Y990" s="10"/>
      <c r="Z990" s="11"/>
      <c r="AA990" s="36"/>
      <c r="AB990" s="36"/>
      <c r="AC990" s="13"/>
      <c r="AD990" s="13"/>
      <c r="AE990" s="37"/>
      <c r="AF990" s="37"/>
      <c r="AG990" s="14"/>
      <c r="AH990" s="14"/>
      <c r="AI990" s="14"/>
      <c r="AZ990" s="24"/>
    </row>
    <row r="991">
      <c r="B991" s="24"/>
      <c r="E991" s="113"/>
      <c r="F991" s="266"/>
      <c r="G991" s="113"/>
      <c r="K991" s="36"/>
      <c r="L991" s="117"/>
      <c r="N991" s="117"/>
      <c r="R991" s="117"/>
      <c r="T991" s="117"/>
      <c r="V991" s="117"/>
      <c r="X991" s="117"/>
      <c r="Y991" s="10"/>
      <c r="Z991" s="11"/>
      <c r="AA991" s="36"/>
      <c r="AB991" s="36"/>
      <c r="AC991" s="13"/>
      <c r="AD991" s="13"/>
      <c r="AE991" s="37"/>
      <c r="AF991" s="37"/>
      <c r="AG991" s="14"/>
      <c r="AH991" s="14"/>
      <c r="AI991" s="14"/>
      <c r="AZ991" s="24"/>
    </row>
    <row r="992">
      <c r="B992" s="24"/>
      <c r="E992" s="113"/>
      <c r="F992" s="266"/>
      <c r="G992" s="113"/>
      <c r="K992" s="36"/>
      <c r="L992" s="117"/>
      <c r="N992" s="117"/>
      <c r="R992" s="117"/>
      <c r="T992" s="117"/>
      <c r="V992" s="117"/>
      <c r="X992" s="117"/>
      <c r="Y992" s="10"/>
      <c r="Z992" s="11"/>
      <c r="AA992" s="36"/>
      <c r="AB992" s="36"/>
      <c r="AC992" s="13"/>
      <c r="AD992" s="13"/>
      <c r="AE992" s="37"/>
      <c r="AF992" s="37"/>
      <c r="AG992" s="14"/>
      <c r="AH992" s="14"/>
      <c r="AI992" s="14"/>
      <c r="AZ992" s="24"/>
    </row>
    <row r="993">
      <c r="B993" s="24"/>
      <c r="E993" s="113"/>
      <c r="F993" s="266"/>
      <c r="G993" s="113"/>
      <c r="K993" s="36"/>
      <c r="L993" s="117"/>
      <c r="N993" s="117"/>
      <c r="R993" s="117"/>
      <c r="T993" s="117"/>
      <c r="V993" s="117"/>
      <c r="X993" s="117"/>
      <c r="Y993" s="10"/>
      <c r="Z993" s="11"/>
      <c r="AA993" s="36"/>
      <c r="AB993" s="36"/>
      <c r="AC993" s="13"/>
      <c r="AD993" s="13"/>
      <c r="AE993" s="37"/>
      <c r="AF993" s="37"/>
      <c r="AG993" s="14"/>
      <c r="AH993" s="14"/>
      <c r="AI993" s="14"/>
      <c r="AZ993" s="24"/>
    </row>
    <row r="994">
      <c r="B994" s="24"/>
      <c r="E994" s="113"/>
      <c r="F994" s="266"/>
      <c r="G994" s="113"/>
      <c r="K994" s="36"/>
      <c r="L994" s="117"/>
      <c r="N994" s="117"/>
      <c r="R994" s="117"/>
      <c r="T994" s="117"/>
      <c r="V994" s="117"/>
      <c r="X994" s="117"/>
      <c r="Y994" s="10"/>
      <c r="Z994" s="11"/>
      <c r="AA994" s="36"/>
      <c r="AB994" s="36"/>
      <c r="AC994" s="13"/>
      <c r="AD994" s="13"/>
      <c r="AE994" s="37"/>
      <c r="AF994" s="37"/>
      <c r="AG994" s="14"/>
      <c r="AH994" s="14"/>
      <c r="AI994" s="14"/>
      <c r="AZ994" s="24"/>
    </row>
    <row r="995">
      <c r="B995" s="24"/>
      <c r="E995" s="113"/>
      <c r="F995" s="266"/>
      <c r="G995" s="113"/>
      <c r="K995" s="36"/>
      <c r="L995" s="117"/>
      <c r="N995" s="117"/>
      <c r="R995" s="117"/>
      <c r="T995" s="117"/>
      <c r="V995" s="117"/>
      <c r="X995" s="117"/>
      <c r="Y995" s="10"/>
      <c r="Z995" s="11"/>
      <c r="AA995" s="36"/>
      <c r="AB995" s="36"/>
      <c r="AC995" s="13"/>
      <c r="AD995" s="13"/>
      <c r="AE995" s="37"/>
      <c r="AF995" s="37"/>
      <c r="AG995" s="14"/>
      <c r="AH995" s="14"/>
      <c r="AI995" s="14"/>
      <c r="AZ995" s="24"/>
    </row>
    <row r="996">
      <c r="B996" s="24"/>
      <c r="E996" s="113"/>
      <c r="F996" s="266"/>
      <c r="G996" s="113"/>
      <c r="K996" s="36"/>
      <c r="L996" s="117"/>
      <c r="N996" s="117"/>
      <c r="R996" s="117"/>
      <c r="T996" s="117"/>
      <c r="V996" s="117"/>
      <c r="X996" s="117"/>
      <c r="Y996" s="10"/>
      <c r="Z996" s="11"/>
      <c r="AA996" s="36"/>
      <c r="AB996" s="36"/>
      <c r="AC996" s="13"/>
      <c r="AD996" s="13"/>
      <c r="AE996" s="37"/>
      <c r="AF996" s="37"/>
      <c r="AG996" s="14"/>
      <c r="AH996" s="14"/>
      <c r="AI996" s="14"/>
      <c r="AZ996" s="24"/>
    </row>
    <row r="997">
      <c r="B997" s="24"/>
      <c r="E997" s="113"/>
      <c r="F997" s="266"/>
      <c r="G997" s="113"/>
      <c r="K997" s="36"/>
      <c r="L997" s="117"/>
      <c r="N997" s="117"/>
      <c r="R997" s="117"/>
      <c r="T997" s="117"/>
      <c r="V997" s="117"/>
      <c r="X997" s="117"/>
      <c r="Y997" s="10"/>
      <c r="Z997" s="11"/>
      <c r="AA997" s="36"/>
      <c r="AB997" s="36"/>
      <c r="AC997" s="13"/>
      <c r="AD997" s="13"/>
      <c r="AE997" s="37"/>
      <c r="AF997" s="37"/>
      <c r="AG997" s="14"/>
      <c r="AH997" s="14"/>
      <c r="AI997" s="14"/>
      <c r="AZ997" s="24"/>
    </row>
    <row r="998">
      <c r="B998" s="24"/>
      <c r="E998" s="113"/>
      <c r="F998" s="266"/>
      <c r="G998" s="113"/>
      <c r="K998" s="36"/>
      <c r="L998" s="117"/>
      <c r="N998" s="117"/>
      <c r="R998" s="117"/>
      <c r="T998" s="117"/>
      <c r="V998" s="117"/>
      <c r="X998" s="117"/>
      <c r="Y998" s="10"/>
      <c r="Z998" s="11"/>
      <c r="AA998" s="36"/>
      <c r="AB998" s="36"/>
      <c r="AC998" s="13"/>
      <c r="AD998" s="13"/>
      <c r="AE998" s="37"/>
      <c r="AF998" s="37"/>
      <c r="AG998" s="14"/>
      <c r="AH998" s="14"/>
      <c r="AI998" s="14"/>
      <c r="AZ998" s="24"/>
    </row>
    <row r="999">
      <c r="B999" s="24"/>
      <c r="E999" s="113"/>
      <c r="F999" s="266"/>
      <c r="G999" s="113"/>
      <c r="K999" s="36"/>
      <c r="L999" s="117"/>
      <c r="N999" s="117"/>
      <c r="R999" s="117"/>
      <c r="T999" s="117"/>
      <c r="V999" s="117"/>
      <c r="X999" s="117"/>
      <c r="Y999" s="10"/>
      <c r="Z999" s="11"/>
      <c r="AA999" s="36"/>
      <c r="AB999" s="36"/>
      <c r="AC999" s="13"/>
      <c r="AD999" s="13"/>
      <c r="AE999" s="37"/>
      <c r="AF999" s="37"/>
      <c r="AG999" s="14"/>
      <c r="AH999" s="14"/>
      <c r="AI999" s="14"/>
      <c r="AZ999" s="24"/>
    </row>
    <row r="1000">
      <c r="B1000" s="24"/>
      <c r="E1000" s="113"/>
      <c r="F1000" s="266"/>
      <c r="G1000" s="113"/>
      <c r="K1000" s="36"/>
      <c r="L1000" s="117"/>
      <c r="N1000" s="117"/>
      <c r="R1000" s="117"/>
      <c r="T1000" s="117"/>
      <c r="V1000" s="117"/>
      <c r="X1000" s="117"/>
      <c r="Y1000" s="10"/>
      <c r="Z1000" s="11"/>
      <c r="AA1000" s="36"/>
      <c r="AB1000" s="36"/>
      <c r="AC1000" s="13"/>
      <c r="AD1000" s="13"/>
      <c r="AE1000" s="37"/>
      <c r="AF1000" s="37"/>
      <c r="AG1000" s="14"/>
      <c r="AH1000" s="14"/>
      <c r="AI1000" s="14"/>
      <c r="AZ1000" s="24"/>
    </row>
    <row r="1001">
      <c r="B1001" s="24"/>
      <c r="E1001" s="113"/>
      <c r="F1001" s="266"/>
      <c r="G1001" s="113"/>
      <c r="K1001" s="36"/>
      <c r="L1001" s="117"/>
      <c r="N1001" s="117"/>
      <c r="R1001" s="117"/>
      <c r="T1001" s="117"/>
      <c r="V1001" s="117"/>
      <c r="X1001" s="117"/>
      <c r="Y1001" s="10"/>
      <c r="Z1001" s="11"/>
      <c r="AA1001" s="36"/>
      <c r="AB1001" s="36"/>
      <c r="AC1001" s="13"/>
      <c r="AD1001" s="13"/>
      <c r="AE1001" s="37"/>
      <c r="AF1001" s="37"/>
      <c r="AG1001" s="14"/>
      <c r="AH1001" s="14"/>
      <c r="AI1001" s="14"/>
      <c r="AZ1001" s="24"/>
    </row>
    <row r="1002">
      <c r="B1002" s="24"/>
      <c r="E1002" s="113"/>
      <c r="F1002" s="266"/>
      <c r="G1002" s="113"/>
      <c r="K1002" s="36"/>
      <c r="L1002" s="117"/>
      <c r="N1002" s="117"/>
      <c r="R1002" s="117"/>
      <c r="T1002" s="117"/>
      <c r="V1002" s="117"/>
      <c r="X1002" s="117"/>
      <c r="Y1002" s="10"/>
      <c r="Z1002" s="11"/>
      <c r="AA1002" s="36"/>
      <c r="AB1002" s="36"/>
      <c r="AC1002" s="13"/>
      <c r="AD1002" s="13"/>
      <c r="AE1002" s="37"/>
      <c r="AF1002" s="37"/>
      <c r="AG1002" s="14"/>
      <c r="AH1002" s="14"/>
      <c r="AI1002" s="14"/>
      <c r="AZ1002" s="24"/>
    </row>
    <row r="1003">
      <c r="B1003" s="24"/>
      <c r="E1003" s="113"/>
      <c r="F1003" s="266"/>
      <c r="G1003" s="113"/>
      <c r="K1003" s="36"/>
      <c r="L1003" s="117"/>
      <c r="N1003" s="117"/>
      <c r="R1003" s="117"/>
      <c r="T1003" s="117"/>
      <c r="V1003" s="117"/>
      <c r="X1003" s="117"/>
      <c r="Y1003" s="10"/>
      <c r="Z1003" s="11"/>
      <c r="AA1003" s="36"/>
      <c r="AB1003" s="36"/>
      <c r="AC1003" s="13"/>
      <c r="AD1003" s="13"/>
      <c r="AE1003" s="37"/>
      <c r="AF1003" s="37"/>
      <c r="AG1003" s="14"/>
      <c r="AH1003" s="14"/>
      <c r="AI1003" s="14"/>
      <c r="AZ1003" s="24"/>
    </row>
    <row r="1004">
      <c r="B1004" s="24"/>
      <c r="E1004" s="113"/>
      <c r="F1004" s="266"/>
      <c r="G1004" s="113"/>
      <c r="K1004" s="36"/>
      <c r="L1004" s="117"/>
      <c r="N1004" s="117"/>
      <c r="R1004" s="117"/>
      <c r="T1004" s="117"/>
      <c r="V1004" s="117"/>
      <c r="X1004" s="117"/>
      <c r="Y1004" s="10"/>
      <c r="Z1004" s="11"/>
      <c r="AA1004" s="36"/>
      <c r="AB1004" s="36"/>
      <c r="AC1004" s="13"/>
      <c r="AD1004" s="13"/>
      <c r="AE1004" s="37"/>
      <c r="AF1004" s="37"/>
      <c r="AG1004" s="14"/>
      <c r="AH1004" s="14"/>
      <c r="AI1004" s="14"/>
      <c r="AZ1004" s="24"/>
    </row>
    <row r="1005">
      <c r="B1005" s="24"/>
      <c r="E1005" s="113"/>
      <c r="F1005" s="266"/>
      <c r="G1005" s="113"/>
      <c r="K1005" s="36"/>
      <c r="L1005" s="117"/>
      <c r="N1005" s="117"/>
      <c r="R1005" s="117"/>
      <c r="T1005" s="117"/>
      <c r="V1005" s="117"/>
      <c r="X1005" s="117"/>
      <c r="Y1005" s="10"/>
      <c r="Z1005" s="11"/>
      <c r="AA1005" s="36"/>
      <c r="AB1005" s="36"/>
      <c r="AC1005" s="13"/>
      <c r="AD1005" s="13"/>
      <c r="AE1005" s="37"/>
      <c r="AF1005" s="37"/>
      <c r="AG1005" s="14"/>
      <c r="AH1005" s="14"/>
      <c r="AI1005" s="14"/>
      <c r="AZ1005" s="24"/>
    </row>
    <row r="1006">
      <c r="B1006" s="24"/>
      <c r="E1006" s="113"/>
      <c r="F1006" s="266"/>
      <c r="G1006" s="113"/>
      <c r="K1006" s="36"/>
      <c r="L1006" s="117"/>
      <c r="N1006" s="117"/>
      <c r="R1006" s="117"/>
      <c r="T1006" s="117"/>
      <c r="V1006" s="117"/>
      <c r="X1006" s="117"/>
      <c r="Y1006" s="10"/>
      <c r="Z1006" s="11"/>
      <c r="AA1006" s="36"/>
      <c r="AB1006" s="36"/>
      <c r="AC1006" s="13"/>
      <c r="AD1006" s="13"/>
      <c r="AE1006" s="37"/>
      <c r="AF1006" s="37"/>
      <c r="AG1006" s="14"/>
      <c r="AH1006" s="14"/>
      <c r="AI1006" s="14"/>
      <c r="AZ1006" s="24"/>
    </row>
    <row r="1007">
      <c r="B1007" s="24"/>
      <c r="E1007" s="113"/>
      <c r="F1007" s="266"/>
      <c r="G1007" s="113"/>
      <c r="K1007" s="36"/>
      <c r="L1007" s="117"/>
      <c r="N1007" s="117"/>
      <c r="R1007" s="117"/>
      <c r="T1007" s="117"/>
      <c r="V1007" s="117"/>
      <c r="X1007" s="117"/>
      <c r="Y1007" s="10"/>
      <c r="Z1007" s="11"/>
      <c r="AA1007" s="36"/>
      <c r="AB1007" s="36"/>
      <c r="AC1007" s="13"/>
      <c r="AD1007" s="13"/>
      <c r="AE1007" s="37"/>
      <c r="AF1007" s="37"/>
      <c r="AG1007" s="14"/>
      <c r="AH1007" s="14"/>
      <c r="AI1007" s="14"/>
      <c r="AZ1007" s="24"/>
    </row>
    <row r="1008">
      <c r="B1008" s="24"/>
      <c r="E1008" s="113"/>
      <c r="F1008" s="266"/>
      <c r="G1008" s="113"/>
      <c r="K1008" s="36"/>
      <c r="L1008" s="117"/>
      <c r="N1008" s="117"/>
      <c r="R1008" s="117"/>
      <c r="T1008" s="117"/>
      <c r="V1008" s="117"/>
      <c r="X1008" s="117"/>
      <c r="Y1008" s="10"/>
      <c r="Z1008" s="11"/>
      <c r="AA1008" s="36"/>
      <c r="AB1008" s="36"/>
      <c r="AC1008" s="13"/>
      <c r="AD1008" s="13"/>
      <c r="AE1008" s="37"/>
      <c r="AF1008" s="37"/>
      <c r="AG1008" s="14"/>
      <c r="AH1008" s="14"/>
      <c r="AI1008" s="14"/>
      <c r="AZ1008" s="24"/>
    </row>
    <row r="1009">
      <c r="B1009" s="24"/>
      <c r="E1009" s="113"/>
      <c r="F1009" s="266"/>
      <c r="G1009" s="113"/>
      <c r="K1009" s="36"/>
      <c r="L1009" s="117"/>
      <c r="N1009" s="117"/>
      <c r="R1009" s="117"/>
      <c r="T1009" s="117"/>
      <c r="V1009" s="117"/>
      <c r="X1009" s="117"/>
      <c r="Y1009" s="10"/>
      <c r="Z1009" s="11"/>
      <c r="AA1009" s="36"/>
      <c r="AB1009" s="36"/>
      <c r="AC1009" s="13"/>
      <c r="AD1009" s="13"/>
      <c r="AE1009" s="37"/>
      <c r="AF1009" s="37"/>
      <c r="AG1009" s="14"/>
      <c r="AH1009" s="14"/>
      <c r="AI1009" s="14"/>
      <c r="AZ1009" s="24"/>
    </row>
    <row r="1010">
      <c r="B1010" s="24"/>
      <c r="E1010" s="113"/>
      <c r="F1010" s="266"/>
      <c r="G1010" s="113"/>
      <c r="K1010" s="36"/>
      <c r="L1010" s="117"/>
      <c r="N1010" s="117"/>
      <c r="R1010" s="117"/>
      <c r="T1010" s="117"/>
      <c r="V1010" s="117"/>
      <c r="X1010" s="117"/>
      <c r="Y1010" s="10"/>
      <c r="Z1010" s="11"/>
      <c r="AA1010" s="36"/>
      <c r="AB1010" s="36"/>
      <c r="AC1010" s="13"/>
      <c r="AD1010" s="13"/>
      <c r="AE1010" s="37"/>
      <c r="AF1010" s="37"/>
      <c r="AG1010" s="14"/>
      <c r="AH1010" s="14"/>
      <c r="AI1010" s="14"/>
      <c r="AZ1010" s="24"/>
    </row>
    <row r="1011">
      <c r="B1011" s="24"/>
      <c r="E1011" s="113"/>
      <c r="F1011" s="266"/>
      <c r="G1011" s="113"/>
      <c r="K1011" s="36"/>
      <c r="L1011" s="117"/>
      <c r="N1011" s="117"/>
      <c r="R1011" s="117"/>
      <c r="T1011" s="117"/>
      <c r="V1011" s="117"/>
      <c r="X1011" s="117"/>
      <c r="Y1011" s="10"/>
      <c r="Z1011" s="11"/>
      <c r="AA1011" s="36"/>
      <c r="AB1011" s="36"/>
      <c r="AC1011" s="13"/>
      <c r="AD1011" s="13"/>
      <c r="AE1011" s="37"/>
      <c r="AF1011" s="37"/>
      <c r="AG1011" s="14"/>
      <c r="AH1011" s="14"/>
      <c r="AI1011" s="14"/>
      <c r="AZ1011" s="24"/>
    </row>
    <row r="1012">
      <c r="B1012" s="24"/>
      <c r="E1012" s="113"/>
      <c r="F1012" s="266"/>
      <c r="G1012" s="113"/>
      <c r="K1012" s="36"/>
      <c r="L1012" s="117"/>
      <c r="N1012" s="117"/>
      <c r="R1012" s="117"/>
      <c r="T1012" s="117"/>
      <c r="V1012" s="117"/>
      <c r="X1012" s="117"/>
      <c r="Y1012" s="10"/>
      <c r="Z1012" s="11"/>
      <c r="AA1012" s="36"/>
      <c r="AB1012" s="36"/>
      <c r="AC1012" s="13"/>
      <c r="AD1012" s="13"/>
      <c r="AE1012" s="37"/>
      <c r="AF1012" s="37"/>
      <c r="AG1012" s="14"/>
      <c r="AH1012" s="14"/>
      <c r="AI1012" s="14"/>
      <c r="AZ1012" s="24"/>
    </row>
    <row r="1013">
      <c r="B1013" s="24"/>
      <c r="E1013" s="113"/>
      <c r="F1013" s="266"/>
      <c r="G1013" s="113"/>
      <c r="K1013" s="36"/>
      <c r="L1013" s="117"/>
      <c r="N1013" s="117"/>
      <c r="R1013" s="117"/>
      <c r="T1013" s="117"/>
      <c r="V1013" s="117"/>
      <c r="X1013" s="117"/>
      <c r="Y1013" s="10"/>
      <c r="Z1013" s="11"/>
      <c r="AA1013" s="36"/>
      <c r="AB1013" s="36"/>
      <c r="AC1013" s="13"/>
      <c r="AD1013" s="13"/>
      <c r="AE1013" s="37"/>
      <c r="AF1013" s="37"/>
      <c r="AG1013" s="14"/>
      <c r="AH1013" s="14"/>
      <c r="AI1013" s="14"/>
      <c r="AZ1013" s="24"/>
    </row>
    <row r="1014">
      <c r="B1014" s="24"/>
      <c r="E1014" s="113"/>
      <c r="F1014" s="266"/>
      <c r="G1014" s="113"/>
      <c r="K1014" s="36"/>
      <c r="L1014" s="117"/>
      <c r="N1014" s="117"/>
      <c r="R1014" s="117"/>
      <c r="T1014" s="117"/>
      <c r="V1014" s="117"/>
      <c r="X1014" s="117"/>
      <c r="Y1014" s="10"/>
      <c r="Z1014" s="11"/>
      <c r="AA1014" s="36"/>
      <c r="AB1014" s="36"/>
      <c r="AC1014" s="13"/>
      <c r="AD1014" s="13"/>
      <c r="AE1014" s="37"/>
      <c r="AF1014" s="37"/>
      <c r="AG1014" s="14"/>
      <c r="AH1014" s="14"/>
      <c r="AI1014" s="14"/>
      <c r="AZ1014" s="24"/>
    </row>
    <row r="1015">
      <c r="B1015" s="24"/>
      <c r="E1015" s="113"/>
      <c r="F1015" s="266"/>
      <c r="G1015" s="113"/>
      <c r="K1015" s="36"/>
      <c r="L1015" s="117"/>
      <c r="N1015" s="117"/>
      <c r="R1015" s="117"/>
      <c r="T1015" s="117"/>
      <c r="V1015" s="117"/>
      <c r="X1015" s="117"/>
      <c r="Y1015" s="10"/>
      <c r="Z1015" s="11"/>
      <c r="AA1015" s="36"/>
      <c r="AB1015" s="36"/>
      <c r="AC1015" s="13"/>
      <c r="AD1015" s="13"/>
      <c r="AE1015" s="37"/>
      <c r="AF1015" s="37"/>
      <c r="AG1015" s="14"/>
      <c r="AH1015" s="14"/>
      <c r="AI1015" s="14"/>
      <c r="AZ1015" s="24"/>
    </row>
    <row r="1016">
      <c r="B1016" s="24"/>
      <c r="E1016" s="113"/>
      <c r="F1016" s="266"/>
      <c r="G1016" s="113"/>
      <c r="K1016" s="36"/>
      <c r="L1016" s="117"/>
      <c r="N1016" s="117"/>
      <c r="R1016" s="117"/>
      <c r="T1016" s="117"/>
      <c r="V1016" s="117"/>
      <c r="X1016" s="117"/>
      <c r="Y1016" s="10"/>
      <c r="Z1016" s="11"/>
      <c r="AA1016" s="36"/>
      <c r="AB1016" s="36"/>
      <c r="AC1016" s="13"/>
      <c r="AD1016" s="13"/>
      <c r="AE1016" s="37"/>
      <c r="AF1016" s="37"/>
      <c r="AG1016" s="14"/>
      <c r="AH1016" s="14"/>
      <c r="AI1016" s="14"/>
      <c r="AZ1016" s="24"/>
    </row>
    <row r="1017">
      <c r="B1017" s="24"/>
      <c r="E1017" s="113"/>
      <c r="F1017" s="266"/>
      <c r="G1017" s="113"/>
      <c r="K1017" s="36"/>
      <c r="L1017" s="117"/>
      <c r="N1017" s="117"/>
      <c r="R1017" s="117"/>
      <c r="T1017" s="117"/>
      <c r="V1017" s="117"/>
      <c r="X1017" s="117"/>
      <c r="Y1017" s="10"/>
      <c r="Z1017" s="11"/>
      <c r="AA1017" s="36"/>
      <c r="AB1017" s="36"/>
      <c r="AC1017" s="13"/>
      <c r="AD1017" s="13"/>
      <c r="AE1017" s="37"/>
      <c r="AF1017" s="37"/>
      <c r="AG1017" s="14"/>
      <c r="AH1017" s="14"/>
      <c r="AI1017" s="14"/>
      <c r="AZ1017" s="24"/>
    </row>
    <row r="1018">
      <c r="B1018" s="24"/>
      <c r="E1018" s="113"/>
      <c r="F1018" s="266"/>
      <c r="G1018" s="113"/>
      <c r="K1018" s="36"/>
      <c r="L1018" s="117"/>
      <c r="N1018" s="117"/>
      <c r="R1018" s="117"/>
      <c r="T1018" s="117"/>
      <c r="V1018" s="117"/>
      <c r="X1018" s="117"/>
      <c r="Y1018" s="10"/>
      <c r="Z1018" s="11"/>
      <c r="AA1018" s="36"/>
      <c r="AB1018" s="36"/>
      <c r="AC1018" s="13"/>
      <c r="AD1018" s="13"/>
      <c r="AE1018" s="37"/>
      <c r="AF1018" s="37"/>
      <c r="AG1018" s="14"/>
      <c r="AH1018" s="14"/>
      <c r="AI1018" s="14"/>
      <c r="AZ1018" s="24"/>
    </row>
    <row r="1019">
      <c r="B1019" s="24"/>
      <c r="E1019" s="113"/>
      <c r="F1019" s="266"/>
      <c r="G1019" s="113"/>
      <c r="K1019" s="36"/>
      <c r="L1019" s="117"/>
      <c r="N1019" s="117"/>
      <c r="R1019" s="117"/>
      <c r="T1019" s="117"/>
      <c r="V1019" s="117"/>
      <c r="X1019" s="117"/>
      <c r="Y1019" s="10"/>
      <c r="Z1019" s="11"/>
      <c r="AA1019" s="36"/>
      <c r="AB1019" s="36"/>
      <c r="AC1019" s="13"/>
      <c r="AD1019" s="13"/>
      <c r="AE1019" s="37"/>
      <c r="AF1019" s="37"/>
      <c r="AG1019" s="14"/>
      <c r="AH1019" s="14"/>
      <c r="AI1019" s="14"/>
      <c r="AZ1019" s="24"/>
    </row>
    <row r="1020">
      <c r="B1020" s="24"/>
      <c r="E1020" s="113"/>
      <c r="F1020" s="266"/>
      <c r="G1020" s="113"/>
      <c r="K1020" s="36"/>
      <c r="L1020" s="117"/>
      <c r="N1020" s="117"/>
      <c r="R1020" s="117"/>
      <c r="T1020" s="117"/>
      <c r="V1020" s="117"/>
      <c r="X1020" s="117"/>
      <c r="Y1020" s="10"/>
      <c r="Z1020" s="11"/>
      <c r="AA1020" s="36"/>
      <c r="AB1020" s="36"/>
      <c r="AC1020" s="13"/>
      <c r="AD1020" s="13"/>
      <c r="AE1020" s="37"/>
      <c r="AF1020" s="37"/>
      <c r="AG1020" s="14"/>
      <c r="AH1020" s="14"/>
      <c r="AI1020" s="14"/>
      <c r="AZ1020" s="24"/>
    </row>
    <row r="1021">
      <c r="B1021" s="24"/>
      <c r="E1021" s="113"/>
      <c r="F1021" s="266"/>
      <c r="G1021" s="113"/>
      <c r="K1021" s="36"/>
      <c r="L1021" s="117"/>
      <c r="N1021" s="117"/>
      <c r="R1021" s="117"/>
      <c r="T1021" s="117"/>
      <c r="V1021" s="117"/>
      <c r="X1021" s="117"/>
      <c r="Y1021" s="10"/>
      <c r="Z1021" s="11"/>
      <c r="AA1021" s="36"/>
      <c r="AB1021" s="36"/>
      <c r="AC1021" s="13"/>
      <c r="AD1021" s="13"/>
      <c r="AE1021" s="37"/>
      <c r="AF1021" s="37"/>
      <c r="AG1021" s="14"/>
      <c r="AH1021" s="14"/>
      <c r="AI1021" s="14"/>
      <c r="AZ1021" s="24"/>
    </row>
    <row r="1022">
      <c r="B1022" s="24"/>
      <c r="E1022" s="113"/>
      <c r="F1022" s="266"/>
      <c r="G1022" s="113"/>
      <c r="K1022" s="36"/>
      <c r="L1022" s="117"/>
      <c r="N1022" s="117"/>
      <c r="R1022" s="117"/>
      <c r="T1022" s="117"/>
      <c r="V1022" s="117"/>
      <c r="X1022" s="117"/>
      <c r="Y1022" s="10"/>
      <c r="Z1022" s="11"/>
      <c r="AA1022" s="36"/>
      <c r="AB1022" s="36"/>
      <c r="AC1022" s="13"/>
      <c r="AD1022" s="13"/>
      <c r="AE1022" s="37"/>
      <c r="AF1022" s="37"/>
      <c r="AG1022" s="14"/>
      <c r="AH1022" s="14"/>
      <c r="AI1022" s="14"/>
      <c r="AZ1022" s="24"/>
    </row>
    <row r="1023">
      <c r="B1023" s="24"/>
      <c r="E1023" s="113"/>
      <c r="F1023" s="266"/>
      <c r="G1023" s="113"/>
      <c r="K1023" s="36"/>
      <c r="L1023" s="117"/>
      <c r="N1023" s="117"/>
      <c r="R1023" s="117"/>
      <c r="T1023" s="117"/>
      <c r="V1023" s="117"/>
      <c r="X1023" s="117"/>
      <c r="Y1023" s="10"/>
      <c r="Z1023" s="11"/>
      <c r="AA1023" s="36"/>
      <c r="AB1023" s="36"/>
      <c r="AC1023" s="13"/>
      <c r="AD1023" s="13"/>
      <c r="AE1023" s="37"/>
      <c r="AF1023" s="37"/>
      <c r="AG1023" s="14"/>
      <c r="AH1023" s="14"/>
      <c r="AI1023" s="14"/>
      <c r="AZ1023" s="24"/>
    </row>
    <row r="1024">
      <c r="B1024" s="24"/>
      <c r="E1024" s="113"/>
      <c r="F1024" s="266"/>
      <c r="G1024" s="113"/>
      <c r="K1024" s="36"/>
      <c r="L1024" s="117"/>
      <c r="N1024" s="117"/>
      <c r="R1024" s="117"/>
      <c r="T1024" s="117"/>
      <c r="V1024" s="117"/>
      <c r="X1024" s="117"/>
      <c r="Y1024" s="10"/>
      <c r="Z1024" s="11"/>
      <c r="AA1024" s="36"/>
      <c r="AB1024" s="36"/>
      <c r="AC1024" s="13"/>
      <c r="AD1024" s="13"/>
      <c r="AE1024" s="37"/>
      <c r="AF1024" s="37"/>
      <c r="AG1024" s="14"/>
      <c r="AH1024" s="14"/>
      <c r="AI1024" s="14"/>
      <c r="AZ1024" s="24"/>
    </row>
    <row r="1025">
      <c r="B1025" s="24"/>
      <c r="E1025" s="113"/>
      <c r="F1025" s="266"/>
      <c r="G1025" s="113"/>
      <c r="K1025" s="36"/>
      <c r="L1025" s="117"/>
      <c r="N1025" s="117"/>
      <c r="R1025" s="117"/>
      <c r="T1025" s="117"/>
      <c r="V1025" s="117"/>
      <c r="X1025" s="117"/>
      <c r="Y1025" s="10"/>
      <c r="Z1025" s="11"/>
      <c r="AA1025" s="36"/>
      <c r="AB1025" s="36"/>
      <c r="AC1025" s="13"/>
      <c r="AD1025" s="13"/>
      <c r="AE1025" s="37"/>
      <c r="AF1025" s="37"/>
      <c r="AG1025" s="14"/>
      <c r="AH1025" s="14"/>
      <c r="AI1025" s="14"/>
      <c r="AZ1025" s="24"/>
    </row>
    <row r="1026">
      <c r="B1026" s="24"/>
      <c r="E1026" s="113"/>
      <c r="F1026" s="266"/>
      <c r="G1026" s="113"/>
      <c r="K1026" s="36"/>
      <c r="L1026" s="117"/>
      <c r="N1026" s="117"/>
      <c r="R1026" s="117"/>
      <c r="T1026" s="117"/>
      <c r="V1026" s="117"/>
      <c r="X1026" s="117"/>
      <c r="Y1026" s="10"/>
      <c r="Z1026" s="11"/>
      <c r="AA1026" s="36"/>
      <c r="AB1026" s="36"/>
      <c r="AC1026" s="13"/>
      <c r="AD1026" s="13"/>
      <c r="AE1026" s="37"/>
      <c r="AF1026" s="37"/>
      <c r="AG1026" s="14"/>
      <c r="AH1026" s="14"/>
      <c r="AI1026" s="14"/>
      <c r="AZ1026" s="24"/>
    </row>
    <row r="1027">
      <c r="B1027" s="24"/>
      <c r="E1027" s="113"/>
      <c r="F1027" s="266"/>
      <c r="G1027" s="113"/>
      <c r="K1027" s="36"/>
      <c r="L1027" s="117"/>
      <c r="N1027" s="117"/>
      <c r="R1027" s="117"/>
      <c r="T1027" s="117"/>
      <c r="V1027" s="117"/>
      <c r="X1027" s="117"/>
      <c r="Y1027" s="10"/>
      <c r="Z1027" s="11"/>
      <c r="AA1027" s="36"/>
      <c r="AB1027" s="36"/>
      <c r="AC1027" s="13"/>
      <c r="AD1027" s="13"/>
      <c r="AE1027" s="37"/>
      <c r="AF1027" s="37"/>
      <c r="AG1027" s="14"/>
      <c r="AH1027" s="14"/>
      <c r="AI1027" s="14"/>
      <c r="AZ1027" s="24"/>
    </row>
    <row r="1028">
      <c r="B1028" s="24"/>
      <c r="E1028" s="113"/>
      <c r="F1028" s="266"/>
      <c r="G1028" s="113"/>
      <c r="K1028" s="36"/>
      <c r="L1028" s="117"/>
      <c r="N1028" s="117"/>
      <c r="R1028" s="117"/>
      <c r="T1028" s="117"/>
      <c r="V1028" s="117"/>
      <c r="X1028" s="117"/>
      <c r="Y1028" s="10"/>
      <c r="Z1028" s="11"/>
      <c r="AA1028" s="36"/>
      <c r="AB1028" s="36"/>
      <c r="AC1028" s="13"/>
      <c r="AD1028" s="13"/>
      <c r="AE1028" s="37"/>
      <c r="AF1028" s="37"/>
      <c r="AG1028" s="14"/>
      <c r="AH1028" s="14"/>
      <c r="AI1028" s="14"/>
      <c r="AZ1028" s="24"/>
    </row>
    <row r="1029">
      <c r="B1029" s="24"/>
      <c r="E1029" s="113"/>
      <c r="F1029" s="266"/>
      <c r="G1029" s="113"/>
      <c r="K1029" s="36"/>
      <c r="L1029" s="117"/>
      <c r="N1029" s="117"/>
      <c r="R1029" s="117"/>
      <c r="T1029" s="117"/>
      <c r="V1029" s="117"/>
      <c r="X1029" s="117"/>
      <c r="Y1029" s="10"/>
      <c r="Z1029" s="11"/>
      <c r="AA1029" s="36"/>
      <c r="AB1029" s="36"/>
      <c r="AC1029" s="13"/>
      <c r="AD1029" s="13"/>
      <c r="AE1029" s="37"/>
      <c r="AF1029" s="37"/>
      <c r="AG1029" s="14"/>
      <c r="AH1029" s="14"/>
      <c r="AI1029" s="14"/>
      <c r="AZ1029" s="24"/>
    </row>
    <row r="1030">
      <c r="B1030" s="24"/>
      <c r="E1030" s="113"/>
      <c r="F1030" s="266"/>
      <c r="G1030" s="113"/>
      <c r="K1030" s="36"/>
      <c r="L1030" s="117"/>
      <c r="N1030" s="117"/>
      <c r="R1030" s="117"/>
      <c r="T1030" s="117"/>
      <c r="V1030" s="117"/>
      <c r="X1030" s="117"/>
      <c r="Y1030" s="10"/>
      <c r="Z1030" s="11"/>
      <c r="AA1030" s="36"/>
      <c r="AB1030" s="36"/>
      <c r="AC1030" s="13"/>
      <c r="AD1030" s="13"/>
      <c r="AE1030" s="37"/>
      <c r="AF1030" s="37"/>
      <c r="AG1030" s="14"/>
      <c r="AH1030" s="14"/>
      <c r="AI1030" s="14"/>
      <c r="AZ1030" s="24"/>
    </row>
    <row r="1031">
      <c r="B1031" s="24"/>
      <c r="E1031" s="113"/>
      <c r="F1031" s="266"/>
      <c r="G1031" s="113"/>
      <c r="K1031" s="36"/>
      <c r="L1031" s="117"/>
      <c r="N1031" s="117"/>
      <c r="R1031" s="117"/>
      <c r="T1031" s="117"/>
      <c r="V1031" s="117"/>
      <c r="X1031" s="117"/>
      <c r="Y1031" s="10"/>
      <c r="Z1031" s="11"/>
      <c r="AA1031" s="36"/>
      <c r="AB1031" s="36"/>
      <c r="AC1031" s="13"/>
      <c r="AD1031" s="13"/>
      <c r="AE1031" s="37"/>
      <c r="AF1031" s="37"/>
      <c r="AG1031" s="14"/>
      <c r="AH1031" s="14"/>
      <c r="AI1031" s="14"/>
      <c r="AZ1031" s="24"/>
    </row>
    <row r="1032">
      <c r="B1032" s="24"/>
      <c r="E1032" s="113"/>
      <c r="F1032" s="266"/>
      <c r="G1032" s="113"/>
      <c r="K1032" s="36"/>
      <c r="L1032" s="117"/>
      <c r="N1032" s="117"/>
      <c r="R1032" s="117"/>
      <c r="T1032" s="117"/>
      <c r="V1032" s="117"/>
      <c r="X1032" s="117"/>
      <c r="Y1032" s="10"/>
      <c r="Z1032" s="11"/>
      <c r="AA1032" s="36"/>
      <c r="AB1032" s="36"/>
      <c r="AC1032" s="13"/>
      <c r="AD1032" s="13"/>
      <c r="AE1032" s="37"/>
      <c r="AF1032" s="37"/>
      <c r="AG1032" s="14"/>
      <c r="AH1032" s="14"/>
      <c r="AI1032" s="14"/>
      <c r="AZ1032" s="24"/>
    </row>
    <row r="1033">
      <c r="B1033" s="24"/>
      <c r="E1033" s="113"/>
      <c r="F1033" s="266"/>
      <c r="G1033" s="113"/>
      <c r="K1033" s="36"/>
      <c r="L1033" s="117"/>
      <c r="N1033" s="117"/>
      <c r="R1033" s="117"/>
      <c r="T1033" s="117"/>
      <c r="V1033" s="117"/>
      <c r="X1033" s="117"/>
      <c r="Y1033" s="10"/>
      <c r="Z1033" s="11"/>
      <c r="AA1033" s="36"/>
      <c r="AB1033" s="36"/>
      <c r="AC1033" s="13"/>
      <c r="AD1033" s="13"/>
      <c r="AE1033" s="37"/>
      <c r="AF1033" s="37"/>
      <c r="AG1033" s="14"/>
      <c r="AH1033" s="14"/>
      <c r="AI1033" s="14"/>
      <c r="AZ1033" s="24"/>
    </row>
    <row r="1034">
      <c r="B1034" s="24"/>
      <c r="E1034" s="113"/>
      <c r="F1034" s="266"/>
      <c r="G1034" s="113"/>
      <c r="K1034" s="36"/>
      <c r="L1034" s="117"/>
      <c r="N1034" s="117"/>
      <c r="R1034" s="117"/>
      <c r="T1034" s="117"/>
      <c r="V1034" s="117"/>
      <c r="X1034" s="117"/>
      <c r="Y1034" s="10"/>
      <c r="Z1034" s="11"/>
      <c r="AA1034" s="36"/>
      <c r="AB1034" s="36"/>
      <c r="AC1034" s="13"/>
      <c r="AD1034" s="13"/>
      <c r="AE1034" s="37"/>
      <c r="AF1034" s="37"/>
      <c r="AG1034" s="14"/>
      <c r="AH1034" s="14"/>
      <c r="AI1034" s="14"/>
      <c r="AZ1034" s="24"/>
    </row>
    <row r="1035">
      <c r="B1035" s="24"/>
      <c r="E1035" s="113"/>
      <c r="F1035" s="266"/>
      <c r="G1035" s="113"/>
      <c r="K1035" s="36"/>
      <c r="L1035" s="117"/>
      <c r="N1035" s="117"/>
      <c r="R1035" s="117"/>
      <c r="T1035" s="117"/>
      <c r="V1035" s="117"/>
      <c r="X1035" s="117"/>
      <c r="Y1035" s="10"/>
      <c r="Z1035" s="11"/>
      <c r="AA1035" s="36"/>
      <c r="AB1035" s="36"/>
      <c r="AC1035" s="13"/>
      <c r="AD1035" s="13"/>
      <c r="AE1035" s="37"/>
      <c r="AF1035" s="37"/>
      <c r="AG1035" s="14"/>
      <c r="AH1035" s="14"/>
      <c r="AI1035" s="14"/>
      <c r="AZ1035" s="24"/>
    </row>
    <row r="1036">
      <c r="B1036" s="24"/>
      <c r="E1036" s="113"/>
      <c r="F1036" s="266"/>
      <c r="G1036" s="113"/>
      <c r="K1036" s="36"/>
      <c r="L1036" s="117"/>
      <c r="N1036" s="117"/>
      <c r="R1036" s="117"/>
      <c r="T1036" s="117"/>
      <c r="V1036" s="117"/>
      <c r="X1036" s="117"/>
      <c r="Y1036" s="10"/>
      <c r="Z1036" s="11"/>
      <c r="AA1036" s="36"/>
      <c r="AB1036" s="36"/>
      <c r="AC1036" s="13"/>
      <c r="AD1036" s="13"/>
      <c r="AE1036" s="37"/>
      <c r="AF1036" s="37"/>
      <c r="AG1036" s="14"/>
      <c r="AH1036" s="14"/>
      <c r="AI1036" s="14"/>
      <c r="AZ1036" s="24"/>
    </row>
    <row r="1037">
      <c r="B1037" s="24"/>
      <c r="E1037" s="113"/>
      <c r="F1037" s="266"/>
      <c r="G1037" s="113"/>
      <c r="K1037" s="36"/>
      <c r="L1037" s="117"/>
      <c r="N1037" s="117"/>
      <c r="R1037" s="117"/>
      <c r="T1037" s="117"/>
      <c r="V1037" s="117"/>
      <c r="X1037" s="117"/>
      <c r="Y1037" s="10"/>
      <c r="Z1037" s="11"/>
      <c r="AA1037" s="36"/>
      <c r="AB1037" s="36"/>
      <c r="AC1037" s="13"/>
      <c r="AD1037" s="13"/>
      <c r="AE1037" s="37"/>
      <c r="AF1037" s="37"/>
      <c r="AG1037" s="14"/>
      <c r="AH1037" s="14"/>
      <c r="AI1037" s="14"/>
      <c r="AZ1037" s="24"/>
    </row>
    <row r="1038">
      <c r="B1038" s="24"/>
      <c r="E1038" s="113"/>
      <c r="F1038" s="266"/>
      <c r="G1038" s="113"/>
      <c r="K1038" s="36"/>
      <c r="L1038" s="117"/>
      <c r="N1038" s="117"/>
      <c r="R1038" s="117"/>
      <c r="T1038" s="117"/>
      <c r="V1038" s="117"/>
      <c r="X1038" s="117"/>
      <c r="Y1038" s="10"/>
      <c r="Z1038" s="11"/>
      <c r="AA1038" s="36"/>
      <c r="AB1038" s="36"/>
      <c r="AC1038" s="13"/>
      <c r="AD1038" s="13"/>
      <c r="AE1038" s="37"/>
      <c r="AF1038" s="37"/>
      <c r="AG1038" s="14"/>
      <c r="AH1038" s="14"/>
      <c r="AI1038" s="14"/>
      <c r="AZ1038" s="24"/>
    </row>
    <row r="1039">
      <c r="B1039" s="24"/>
      <c r="E1039" s="113"/>
      <c r="F1039" s="266"/>
      <c r="G1039" s="113"/>
      <c r="K1039" s="36"/>
      <c r="L1039" s="117"/>
      <c r="N1039" s="117"/>
      <c r="R1039" s="117"/>
      <c r="T1039" s="117"/>
      <c r="V1039" s="117"/>
      <c r="X1039" s="117"/>
      <c r="Y1039" s="10"/>
      <c r="Z1039" s="11"/>
      <c r="AA1039" s="36"/>
      <c r="AB1039" s="36"/>
      <c r="AC1039" s="13"/>
      <c r="AD1039" s="13"/>
      <c r="AE1039" s="37"/>
      <c r="AF1039" s="37"/>
      <c r="AG1039" s="14"/>
      <c r="AH1039" s="14"/>
      <c r="AI1039" s="14"/>
      <c r="AZ1039" s="24"/>
    </row>
    <row r="1040">
      <c r="B1040" s="24"/>
      <c r="E1040" s="113"/>
      <c r="F1040" s="266"/>
      <c r="G1040" s="113"/>
      <c r="K1040" s="36"/>
      <c r="L1040" s="117"/>
      <c r="N1040" s="117"/>
      <c r="R1040" s="117"/>
      <c r="T1040" s="117"/>
      <c r="V1040" s="117"/>
      <c r="X1040" s="117"/>
      <c r="Y1040" s="10"/>
      <c r="Z1040" s="11"/>
      <c r="AA1040" s="36"/>
      <c r="AB1040" s="36"/>
      <c r="AC1040" s="13"/>
      <c r="AD1040" s="13"/>
      <c r="AE1040" s="37"/>
      <c r="AF1040" s="37"/>
      <c r="AG1040" s="14"/>
      <c r="AH1040" s="14"/>
      <c r="AI1040" s="14"/>
      <c r="AZ1040" s="24"/>
    </row>
    <row r="1041">
      <c r="B1041" s="24"/>
      <c r="E1041" s="113"/>
      <c r="F1041" s="266"/>
      <c r="G1041" s="113"/>
      <c r="K1041" s="36"/>
      <c r="L1041" s="117"/>
      <c r="N1041" s="117"/>
      <c r="R1041" s="117"/>
      <c r="T1041" s="117"/>
      <c r="V1041" s="117"/>
      <c r="X1041" s="117"/>
      <c r="Y1041" s="10"/>
      <c r="Z1041" s="11"/>
      <c r="AA1041" s="36"/>
      <c r="AB1041" s="36"/>
      <c r="AC1041" s="13"/>
      <c r="AD1041" s="13"/>
      <c r="AE1041" s="37"/>
      <c r="AF1041" s="37"/>
      <c r="AG1041" s="14"/>
      <c r="AH1041" s="14"/>
      <c r="AI1041" s="14"/>
      <c r="AZ1041" s="24"/>
    </row>
    <row r="1042">
      <c r="B1042" s="24"/>
      <c r="E1042" s="113"/>
      <c r="F1042" s="266"/>
      <c r="G1042" s="113"/>
      <c r="K1042" s="36"/>
      <c r="L1042" s="117"/>
      <c r="N1042" s="117"/>
      <c r="R1042" s="117"/>
      <c r="T1042" s="117"/>
      <c r="V1042" s="117"/>
      <c r="X1042" s="117"/>
      <c r="Y1042" s="10"/>
      <c r="Z1042" s="11"/>
      <c r="AA1042" s="36"/>
      <c r="AB1042" s="36"/>
      <c r="AC1042" s="13"/>
      <c r="AD1042" s="13"/>
      <c r="AE1042" s="37"/>
      <c r="AF1042" s="37"/>
      <c r="AG1042" s="14"/>
      <c r="AH1042" s="14"/>
      <c r="AI1042" s="14"/>
      <c r="AZ1042" s="24"/>
    </row>
    <row r="1043">
      <c r="B1043" s="24"/>
      <c r="E1043" s="113"/>
      <c r="F1043" s="266"/>
      <c r="G1043" s="113"/>
      <c r="K1043" s="36"/>
      <c r="L1043" s="117"/>
      <c r="N1043" s="117"/>
      <c r="R1043" s="117"/>
      <c r="T1043" s="117"/>
      <c r="V1043" s="117"/>
      <c r="X1043" s="117"/>
      <c r="Y1043" s="10"/>
      <c r="Z1043" s="11"/>
      <c r="AA1043" s="36"/>
      <c r="AB1043" s="36"/>
      <c r="AC1043" s="13"/>
      <c r="AD1043" s="13"/>
      <c r="AE1043" s="37"/>
      <c r="AF1043" s="37"/>
      <c r="AG1043" s="14"/>
      <c r="AH1043" s="14"/>
      <c r="AI1043" s="14"/>
      <c r="AZ1043" s="24"/>
    </row>
    <row r="1044">
      <c r="B1044" s="24"/>
      <c r="E1044" s="113"/>
      <c r="F1044" s="266"/>
      <c r="G1044" s="113"/>
      <c r="K1044" s="36"/>
      <c r="L1044" s="117"/>
      <c r="N1044" s="117"/>
      <c r="R1044" s="117"/>
      <c r="T1044" s="117"/>
      <c r="V1044" s="117"/>
      <c r="X1044" s="117"/>
      <c r="Y1044" s="10"/>
      <c r="Z1044" s="11"/>
      <c r="AA1044" s="36"/>
      <c r="AB1044" s="36"/>
      <c r="AC1044" s="13"/>
      <c r="AD1044" s="13"/>
      <c r="AE1044" s="37"/>
      <c r="AF1044" s="37"/>
      <c r="AG1044" s="14"/>
      <c r="AH1044" s="14"/>
      <c r="AI1044" s="14"/>
      <c r="AZ1044" s="24"/>
    </row>
    <row r="1045">
      <c r="B1045" s="24"/>
      <c r="E1045" s="113"/>
      <c r="F1045" s="266"/>
      <c r="G1045" s="113"/>
      <c r="K1045" s="36"/>
      <c r="L1045" s="117"/>
      <c r="N1045" s="117"/>
      <c r="R1045" s="117"/>
      <c r="T1045" s="117"/>
      <c r="V1045" s="117"/>
      <c r="X1045" s="117"/>
      <c r="Y1045" s="10"/>
      <c r="Z1045" s="11"/>
      <c r="AA1045" s="36"/>
      <c r="AB1045" s="36"/>
      <c r="AC1045" s="13"/>
      <c r="AD1045" s="13"/>
      <c r="AE1045" s="37"/>
      <c r="AF1045" s="37"/>
      <c r="AG1045" s="14"/>
      <c r="AH1045" s="14"/>
      <c r="AI1045" s="14"/>
      <c r="AZ1045" s="24"/>
    </row>
    <row r="1046">
      <c r="B1046" s="24"/>
      <c r="E1046" s="113"/>
      <c r="F1046" s="266"/>
      <c r="G1046" s="113"/>
      <c r="K1046" s="36"/>
      <c r="L1046" s="117"/>
      <c r="N1046" s="117"/>
      <c r="R1046" s="117"/>
      <c r="T1046" s="117"/>
      <c r="V1046" s="117"/>
      <c r="X1046" s="117"/>
      <c r="Y1046" s="10"/>
      <c r="Z1046" s="11"/>
      <c r="AA1046" s="36"/>
      <c r="AB1046" s="36"/>
      <c r="AC1046" s="13"/>
      <c r="AD1046" s="13"/>
      <c r="AE1046" s="37"/>
      <c r="AF1046" s="37"/>
      <c r="AG1046" s="14"/>
      <c r="AH1046" s="14"/>
      <c r="AI1046" s="14"/>
      <c r="AZ1046" s="24"/>
    </row>
  </sheetData>
  <mergeCells count="638">
    <mergeCell ref="AL1:AL2"/>
    <mergeCell ref="AN1:AN2"/>
    <mergeCell ref="AP1:AP2"/>
    <mergeCell ref="AR1:AR2"/>
    <mergeCell ref="AT1:AT2"/>
    <mergeCell ref="AV1:AV2"/>
    <mergeCell ref="AX1:AX2"/>
    <mergeCell ref="Y5:Z5"/>
    <mergeCell ref="AA5:AB5"/>
    <mergeCell ref="AC5:AD5"/>
    <mergeCell ref="AG5:AI5"/>
    <mergeCell ref="AJ1:AJ2"/>
    <mergeCell ref="E2:F2"/>
    <mergeCell ref="I2:J2"/>
    <mergeCell ref="AA2:AB2"/>
    <mergeCell ref="G3:H3"/>
    <mergeCell ref="I3:J3"/>
    <mergeCell ref="I4:J4"/>
    <mergeCell ref="U7:V7"/>
    <mergeCell ref="W7:X7"/>
    <mergeCell ref="G4:H4"/>
    <mergeCell ref="G5:H5"/>
    <mergeCell ref="I5:J5"/>
    <mergeCell ref="E7:F7"/>
    <mergeCell ref="M7:N7"/>
    <mergeCell ref="O7:R7"/>
    <mergeCell ref="S7:T7"/>
    <mergeCell ref="O13:R13"/>
    <mergeCell ref="S13:T13"/>
    <mergeCell ref="U13:V13"/>
    <mergeCell ref="W13:X13"/>
    <mergeCell ref="C14:D14"/>
    <mergeCell ref="E14:F14"/>
    <mergeCell ref="G14:H14"/>
    <mergeCell ref="I14:J14"/>
    <mergeCell ref="C21:D22"/>
    <mergeCell ref="C23:D23"/>
    <mergeCell ref="E24:F24"/>
    <mergeCell ref="G24:H24"/>
    <mergeCell ref="I24:J24"/>
    <mergeCell ref="E25:F25"/>
    <mergeCell ref="M25:N25"/>
    <mergeCell ref="C26:D26"/>
    <mergeCell ref="E26:F26"/>
    <mergeCell ref="G26:H26"/>
    <mergeCell ref="I26:J26"/>
    <mergeCell ref="E27:F27"/>
    <mergeCell ref="G27:H27"/>
    <mergeCell ref="I27:J27"/>
    <mergeCell ref="C8:D8"/>
    <mergeCell ref="E8:F8"/>
    <mergeCell ref="G8:H8"/>
    <mergeCell ref="I8:J8"/>
    <mergeCell ref="E9:F9"/>
    <mergeCell ref="G9:H9"/>
    <mergeCell ref="I9:J9"/>
    <mergeCell ref="C9:D10"/>
    <mergeCell ref="C11:D11"/>
    <mergeCell ref="E12:F12"/>
    <mergeCell ref="G12:H12"/>
    <mergeCell ref="I12:J12"/>
    <mergeCell ref="E13:F13"/>
    <mergeCell ref="M13:N13"/>
    <mergeCell ref="E18:F18"/>
    <mergeCell ref="E19:F19"/>
    <mergeCell ref="M19:N19"/>
    <mergeCell ref="O19:R19"/>
    <mergeCell ref="S19:T19"/>
    <mergeCell ref="U19:V19"/>
    <mergeCell ref="W19:X19"/>
    <mergeCell ref="C15:D16"/>
    <mergeCell ref="E15:F15"/>
    <mergeCell ref="G15:H15"/>
    <mergeCell ref="I15:J15"/>
    <mergeCell ref="C17:D17"/>
    <mergeCell ref="G18:H18"/>
    <mergeCell ref="I18:J18"/>
    <mergeCell ref="C20:D20"/>
    <mergeCell ref="E20:F20"/>
    <mergeCell ref="G20:H20"/>
    <mergeCell ref="I20:J20"/>
    <mergeCell ref="E21:F21"/>
    <mergeCell ref="G21:H21"/>
    <mergeCell ref="I21:J21"/>
    <mergeCell ref="O25:R25"/>
    <mergeCell ref="S25:T25"/>
    <mergeCell ref="U25:V25"/>
    <mergeCell ref="W25:X25"/>
    <mergeCell ref="O31:R31"/>
    <mergeCell ref="S31:T31"/>
    <mergeCell ref="U31:V31"/>
    <mergeCell ref="W31:X31"/>
    <mergeCell ref="C39:D40"/>
    <mergeCell ref="C41:D41"/>
    <mergeCell ref="E42:F42"/>
    <mergeCell ref="G42:H42"/>
    <mergeCell ref="I42:J42"/>
    <mergeCell ref="C43:D43"/>
    <mergeCell ref="E43:F43"/>
    <mergeCell ref="C44:D44"/>
    <mergeCell ref="E44:F44"/>
    <mergeCell ref="G44:H44"/>
    <mergeCell ref="I44:J44"/>
    <mergeCell ref="E45:F45"/>
    <mergeCell ref="G45:H45"/>
    <mergeCell ref="I45:J45"/>
    <mergeCell ref="C27:D28"/>
    <mergeCell ref="C29:D29"/>
    <mergeCell ref="E30:F30"/>
    <mergeCell ref="G30:H30"/>
    <mergeCell ref="I30:J30"/>
    <mergeCell ref="E31:F31"/>
    <mergeCell ref="M31:N31"/>
    <mergeCell ref="C32:D32"/>
    <mergeCell ref="E32:F32"/>
    <mergeCell ref="G32:H32"/>
    <mergeCell ref="I32:J32"/>
    <mergeCell ref="E33:F33"/>
    <mergeCell ref="G33:H33"/>
    <mergeCell ref="I33:J33"/>
    <mergeCell ref="O37:R37"/>
    <mergeCell ref="S37:T37"/>
    <mergeCell ref="U37:V37"/>
    <mergeCell ref="W37:X37"/>
    <mergeCell ref="C33:D34"/>
    <mergeCell ref="C35:D35"/>
    <mergeCell ref="E36:F36"/>
    <mergeCell ref="G36:H36"/>
    <mergeCell ref="I36:J36"/>
    <mergeCell ref="E37:F37"/>
    <mergeCell ref="M37:N37"/>
    <mergeCell ref="C38:D38"/>
    <mergeCell ref="E38:F38"/>
    <mergeCell ref="G38:H38"/>
    <mergeCell ref="I38:J38"/>
    <mergeCell ref="E39:F39"/>
    <mergeCell ref="G39:H39"/>
    <mergeCell ref="I39:J39"/>
    <mergeCell ref="M43:N43"/>
    <mergeCell ref="O43:R43"/>
    <mergeCell ref="S43:T43"/>
    <mergeCell ref="U43:V43"/>
    <mergeCell ref="W43:X43"/>
    <mergeCell ref="O49:R49"/>
    <mergeCell ref="S49:T49"/>
    <mergeCell ref="U49:V49"/>
    <mergeCell ref="W49:X49"/>
    <mergeCell ref="C57:D58"/>
    <mergeCell ref="C59:D59"/>
    <mergeCell ref="E60:F60"/>
    <mergeCell ref="G60:H60"/>
    <mergeCell ref="I60:J60"/>
    <mergeCell ref="E61:F61"/>
    <mergeCell ref="G61:H61"/>
    <mergeCell ref="C62:D62"/>
    <mergeCell ref="E62:F62"/>
    <mergeCell ref="G62:H62"/>
    <mergeCell ref="I62:J62"/>
    <mergeCell ref="E63:F63"/>
    <mergeCell ref="G63:H63"/>
    <mergeCell ref="I63:J63"/>
    <mergeCell ref="C75:D76"/>
    <mergeCell ref="C77:D77"/>
    <mergeCell ref="E78:F78"/>
    <mergeCell ref="G78:H78"/>
    <mergeCell ref="I78:J78"/>
    <mergeCell ref="E79:F79"/>
    <mergeCell ref="G79:H79"/>
    <mergeCell ref="C80:D80"/>
    <mergeCell ref="E80:F80"/>
    <mergeCell ref="G80:H80"/>
    <mergeCell ref="I80:J80"/>
    <mergeCell ref="E81:F81"/>
    <mergeCell ref="G81:H81"/>
    <mergeCell ref="I81:J81"/>
    <mergeCell ref="E99:F99"/>
    <mergeCell ref="E102:F102"/>
    <mergeCell ref="G102:H102"/>
    <mergeCell ref="I102:J102"/>
    <mergeCell ref="E103:F103"/>
    <mergeCell ref="G103:H103"/>
    <mergeCell ref="I103:J103"/>
    <mergeCell ref="C104:D104"/>
    <mergeCell ref="E104:F104"/>
    <mergeCell ref="G104:H104"/>
    <mergeCell ref="I104:J104"/>
    <mergeCell ref="E105:F105"/>
    <mergeCell ref="G105:H105"/>
    <mergeCell ref="I105:J105"/>
    <mergeCell ref="I109:J109"/>
    <mergeCell ref="M109:N109"/>
    <mergeCell ref="O109:R109"/>
    <mergeCell ref="S109:T109"/>
    <mergeCell ref="U109:V109"/>
    <mergeCell ref="W109:X109"/>
    <mergeCell ref="C105:D106"/>
    <mergeCell ref="C107:D107"/>
    <mergeCell ref="E108:F108"/>
    <mergeCell ref="G108:H108"/>
    <mergeCell ref="I108:J108"/>
    <mergeCell ref="E109:F109"/>
    <mergeCell ref="G109:H109"/>
    <mergeCell ref="C110:D110"/>
    <mergeCell ref="E110:F110"/>
    <mergeCell ref="G110:H110"/>
    <mergeCell ref="I110:J110"/>
    <mergeCell ref="E111:F111"/>
    <mergeCell ref="G111:H111"/>
    <mergeCell ref="I111:J111"/>
    <mergeCell ref="I115:J115"/>
    <mergeCell ref="M115:N115"/>
    <mergeCell ref="O115:R115"/>
    <mergeCell ref="S115:T115"/>
    <mergeCell ref="U115:V115"/>
    <mergeCell ref="W115:X115"/>
    <mergeCell ref="I121:J121"/>
    <mergeCell ref="M121:N121"/>
    <mergeCell ref="O121:R121"/>
    <mergeCell ref="S121:T121"/>
    <mergeCell ref="U121:V121"/>
    <mergeCell ref="W121:X121"/>
    <mergeCell ref="C117:D118"/>
    <mergeCell ref="C119:D119"/>
    <mergeCell ref="E120:F120"/>
    <mergeCell ref="G120:H120"/>
    <mergeCell ref="I120:J120"/>
    <mergeCell ref="E121:F121"/>
    <mergeCell ref="G121:H121"/>
    <mergeCell ref="C122:D122"/>
    <mergeCell ref="E122:F122"/>
    <mergeCell ref="G122:H122"/>
    <mergeCell ref="I122:J122"/>
    <mergeCell ref="E123:F123"/>
    <mergeCell ref="G123:H123"/>
    <mergeCell ref="I123:J123"/>
    <mergeCell ref="I127:J127"/>
    <mergeCell ref="M127:N127"/>
    <mergeCell ref="O127:R127"/>
    <mergeCell ref="S127:T127"/>
    <mergeCell ref="U127:V127"/>
    <mergeCell ref="W127:X127"/>
    <mergeCell ref="C123:D124"/>
    <mergeCell ref="C125:D125"/>
    <mergeCell ref="E126:F126"/>
    <mergeCell ref="G126:H126"/>
    <mergeCell ref="I126:J126"/>
    <mergeCell ref="E127:F127"/>
    <mergeCell ref="G127:H127"/>
    <mergeCell ref="C128:D128"/>
    <mergeCell ref="E128:F128"/>
    <mergeCell ref="G128:H128"/>
    <mergeCell ref="I128:J128"/>
    <mergeCell ref="E129:F129"/>
    <mergeCell ref="G129:H129"/>
    <mergeCell ref="I129:J129"/>
    <mergeCell ref="I133:J133"/>
    <mergeCell ref="M133:N133"/>
    <mergeCell ref="O133:R133"/>
    <mergeCell ref="S133:T133"/>
    <mergeCell ref="U133:V133"/>
    <mergeCell ref="W133:X133"/>
    <mergeCell ref="I139:J139"/>
    <mergeCell ref="M139:N139"/>
    <mergeCell ref="O139:R139"/>
    <mergeCell ref="S139:T139"/>
    <mergeCell ref="U139:V139"/>
    <mergeCell ref="W139:X139"/>
    <mergeCell ref="C147:D148"/>
    <mergeCell ref="C149:D149"/>
    <mergeCell ref="E150:F150"/>
    <mergeCell ref="G150:H150"/>
    <mergeCell ref="I150:J150"/>
    <mergeCell ref="E151:F151"/>
    <mergeCell ref="G151:H151"/>
    <mergeCell ref="C152:D152"/>
    <mergeCell ref="E152:F152"/>
    <mergeCell ref="G152:H152"/>
    <mergeCell ref="I152:J152"/>
    <mergeCell ref="E153:F153"/>
    <mergeCell ref="G153:H153"/>
    <mergeCell ref="I153:J153"/>
    <mergeCell ref="C135:D136"/>
    <mergeCell ref="C137:D137"/>
    <mergeCell ref="E138:F138"/>
    <mergeCell ref="G138:H138"/>
    <mergeCell ref="I138:J138"/>
    <mergeCell ref="E139:F139"/>
    <mergeCell ref="G139:H139"/>
    <mergeCell ref="C140:D140"/>
    <mergeCell ref="E140:F140"/>
    <mergeCell ref="G140:H140"/>
    <mergeCell ref="I140:J140"/>
    <mergeCell ref="E141:F141"/>
    <mergeCell ref="G141:H141"/>
    <mergeCell ref="I141:J141"/>
    <mergeCell ref="I145:J145"/>
    <mergeCell ref="M145:N145"/>
    <mergeCell ref="O145:R145"/>
    <mergeCell ref="S145:T145"/>
    <mergeCell ref="U145:V145"/>
    <mergeCell ref="W145:X145"/>
    <mergeCell ref="C141:D142"/>
    <mergeCell ref="C143:D143"/>
    <mergeCell ref="E144:F144"/>
    <mergeCell ref="G144:H144"/>
    <mergeCell ref="I144:J144"/>
    <mergeCell ref="E145:F145"/>
    <mergeCell ref="G145:H145"/>
    <mergeCell ref="C146:D146"/>
    <mergeCell ref="E146:F146"/>
    <mergeCell ref="G146:H146"/>
    <mergeCell ref="I146:J146"/>
    <mergeCell ref="E147:F147"/>
    <mergeCell ref="G147:H147"/>
    <mergeCell ref="I147:J147"/>
    <mergeCell ref="I151:J151"/>
    <mergeCell ref="M151:N151"/>
    <mergeCell ref="O151:R151"/>
    <mergeCell ref="S151:T151"/>
    <mergeCell ref="U151:V151"/>
    <mergeCell ref="W151:X151"/>
    <mergeCell ref="I157:J157"/>
    <mergeCell ref="M157:N157"/>
    <mergeCell ref="O157:R157"/>
    <mergeCell ref="S157:T157"/>
    <mergeCell ref="U157:V157"/>
    <mergeCell ref="W157:X157"/>
    <mergeCell ref="C165:D166"/>
    <mergeCell ref="C167:D167"/>
    <mergeCell ref="E168:F168"/>
    <mergeCell ref="G168:H168"/>
    <mergeCell ref="I168:J168"/>
    <mergeCell ref="E169:F169"/>
    <mergeCell ref="G169:H169"/>
    <mergeCell ref="C170:D170"/>
    <mergeCell ref="E170:F170"/>
    <mergeCell ref="G170:H170"/>
    <mergeCell ref="I170:J170"/>
    <mergeCell ref="E171:F171"/>
    <mergeCell ref="G171:H171"/>
    <mergeCell ref="I171:J171"/>
    <mergeCell ref="C153:D154"/>
    <mergeCell ref="C155:D155"/>
    <mergeCell ref="E156:F156"/>
    <mergeCell ref="G156:H156"/>
    <mergeCell ref="I156:J156"/>
    <mergeCell ref="E157:F157"/>
    <mergeCell ref="G157:H157"/>
    <mergeCell ref="C158:D158"/>
    <mergeCell ref="E158:F158"/>
    <mergeCell ref="G158:H158"/>
    <mergeCell ref="I158:J158"/>
    <mergeCell ref="E159:F159"/>
    <mergeCell ref="G159:H159"/>
    <mergeCell ref="I159:J159"/>
    <mergeCell ref="I163:J163"/>
    <mergeCell ref="M163:N163"/>
    <mergeCell ref="O163:R163"/>
    <mergeCell ref="S163:T163"/>
    <mergeCell ref="U163:V163"/>
    <mergeCell ref="W163:X163"/>
    <mergeCell ref="C159:D160"/>
    <mergeCell ref="C161:D161"/>
    <mergeCell ref="E162:F162"/>
    <mergeCell ref="G162:H162"/>
    <mergeCell ref="I162:J162"/>
    <mergeCell ref="E163:F163"/>
    <mergeCell ref="G163:H163"/>
    <mergeCell ref="C164:D164"/>
    <mergeCell ref="E164:F164"/>
    <mergeCell ref="G164:H164"/>
    <mergeCell ref="I164:J164"/>
    <mergeCell ref="E165:F165"/>
    <mergeCell ref="G165:H165"/>
    <mergeCell ref="I165:J165"/>
    <mergeCell ref="I169:J169"/>
    <mergeCell ref="M169:N169"/>
    <mergeCell ref="O169:R169"/>
    <mergeCell ref="S169:T169"/>
    <mergeCell ref="U169:V169"/>
    <mergeCell ref="W169:X169"/>
    <mergeCell ref="I175:J175"/>
    <mergeCell ref="M175:N175"/>
    <mergeCell ref="O175:R175"/>
    <mergeCell ref="S175:T175"/>
    <mergeCell ref="U175:V175"/>
    <mergeCell ref="W175:X175"/>
    <mergeCell ref="C183:D184"/>
    <mergeCell ref="C185:D185"/>
    <mergeCell ref="E186:F186"/>
    <mergeCell ref="G186:H186"/>
    <mergeCell ref="I186:J186"/>
    <mergeCell ref="E187:F187"/>
    <mergeCell ref="M187:N187"/>
    <mergeCell ref="C188:D188"/>
    <mergeCell ref="E188:F188"/>
    <mergeCell ref="G188:H188"/>
    <mergeCell ref="I188:J188"/>
    <mergeCell ref="E189:F189"/>
    <mergeCell ref="G189:H189"/>
    <mergeCell ref="I189:J189"/>
    <mergeCell ref="C171:D172"/>
    <mergeCell ref="C173:D173"/>
    <mergeCell ref="E174:F174"/>
    <mergeCell ref="G174:H174"/>
    <mergeCell ref="I174:J174"/>
    <mergeCell ref="E175:F175"/>
    <mergeCell ref="G175:H175"/>
    <mergeCell ref="C176:D176"/>
    <mergeCell ref="E176:F176"/>
    <mergeCell ref="G176:H176"/>
    <mergeCell ref="I176:J176"/>
    <mergeCell ref="E177:F177"/>
    <mergeCell ref="G177:H177"/>
    <mergeCell ref="I177:J177"/>
    <mergeCell ref="O181:R181"/>
    <mergeCell ref="S181:T181"/>
    <mergeCell ref="U181:V181"/>
    <mergeCell ref="W181:X181"/>
    <mergeCell ref="C177:D178"/>
    <mergeCell ref="C179:D179"/>
    <mergeCell ref="E180:F180"/>
    <mergeCell ref="G180:H180"/>
    <mergeCell ref="I180:J180"/>
    <mergeCell ref="E181:F181"/>
    <mergeCell ref="M181:N181"/>
    <mergeCell ref="C182:D182"/>
    <mergeCell ref="E182:F182"/>
    <mergeCell ref="G182:H182"/>
    <mergeCell ref="I182:J182"/>
    <mergeCell ref="E183:F183"/>
    <mergeCell ref="G183:H183"/>
    <mergeCell ref="I183:J183"/>
    <mergeCell ref="O187:R187"/>
    <mergeCell ref="S187:T187"/>
    <mergeCell ref="U187:V187"/>
    <mergeCell ref="W187:X187"/>
    <mergeCell ref="O193:R193"/>
    <mergeCell ref="S193:T193"/>
    <mergeCell ref="U193:V193"/>
    <mergeCell ref="W193:X193"/>
    <mergeCell ref="C45:D46"/>
    <mergeCell ref="C47:D47"/>
    <mergeCell ref="E48:F48"/>
    <mergeCell ref="G48:H48"/>
    <mergeCell ref="I48:J48"/>
    <mergeCell ref="E49:F49"/>
    <mergeCell ref="M49:N49"/>
    <mergeCell ref="C50:D50"/>
    <mergeCell ref="E50:F50"/>
    <mergeCell ref="G50:H50"/>
    <mergeCell ref="I50:J50"/>
    <mergeCell ref="E51:F51"/>
    <mergeCell ref="G51:H51"/>
    <mergeCell ref="I51:J51"/>
    <mergeCell ref="I55:J55"/>
    <mergeCell ref="M55:N55"/>
    <mergeCell ref="O55:R55"/>
    <mergeCell ref="S55:T55"/>
    <mergeCell ref="U55:V55"/>
    <mergeCell ref="W55:X55"/>
    <mergeCell ref="C51:D52"/>
    <mergeCell ref="C53:D53"/>
    <mergeCell ref="E54:F54"/>
    <mergeCell ref="G54:H54"/>
    <mergeCell ref="I54:J54"/>
    <mergeCell ref="E55:F55"/>
    <mergeCell ref="G55:H55"/>
    <mergeCell ref="C56:D56"/>
    <mergeCell ref="E56:F56"/>
    <mergeCell ref="G56:H56"/>
    <mergeCell ref="I56:J56"/>
    <mergeCell ref="E57:F57"/>
    <mergeCell ref="G57:H57"/>
    <mergeCell ref="I57:J57"/>
    <mergeCell ref="I61:J61"/>
    <mergeCell ref="M61:N61"/>
    <mergeCell ref="O61:R61"/>
    <mergeCell ref="S61:T61"/>
    <mergeCell ref="U61:V61"/>
    <mergeCell ref="W61:X61"/>
    <mergeCell ref="I67:J67"/>
    <mergeCell ref="M67:N67"/>
    <mergeCell ref="O67:R67"/>
    <mergeCell ref="S67:T67"/>
    <mergeCell ref="U67:V67"/>
    <mergeCell ref="W67:X67"/>
    <mergeCell ref="C63:D64"/>
    <mergeCell ref="C65:D65"/>
    <mergeCell ref="E66:F66"/>
    <mergeCell ref="G66:H66"/>
    <mergeCell ref="I66:J66"/>
    <mergeCell ref="E67:F67"/>
    <mergeCell ref="G67:H67"/>
    <mergeCell ref="C68:D68"/>
    <mergeCell ref="E68:F68"/>
    <mergeCell ref="G68:H68"/>
    <mergeCell ref="I68:J68"/>
    <mergeCell ref="E69:F69"/>
    <mergeCell ref="G69:H69"/>
    <mergeCell ref="I69:J69"/>
    <mergeCell ref="I73:J73"/>
    <mergeCell ref="M73:N73"/>
    <mergeCell ref="O73:R73"/>
    <mergeCell ref="S73:T73"/>
    <mergeCell ref="U73:V73"/>
    <mergeCell ref="W73:X73"/>
    <mergeCell ref="C69:D70"/>
    <mergeCell ref="C71:D71"/>
    <mergeCell ref="E72:F72"/>
    <mergeCell ref="G72:H72"/>
    <mergeCell ref="I72:J72"/>
    <mergeCell ref="E73:F73"/>
    <mergeCell ref="G73:H73"/>
    <mergeCell ref="C74:D74"/>
    <mergeCell ref="E74:F74"/>
    <mergeCell ref="G74:H74"/>
    <mergeCell ref="I74:J74"/>
    <mergeCell ref="E75:F75"/>
    <mergeCell ref="G75:H75"/>
    <mergeCell ref="I75:J75"/>
    <mergeCell ref="I79:J79"/>
    <mergeCell ref="M79:N79"/>
    <mergeCell ref="O79:R79"/>
    <mergeCell ref="S79:T79"/>
    <mergeCell ref="U79:V79"/>
    <mergeCell ref="W79:X79"/>
    <mergeCell ref="I85:J85"/>
    <mergeCell ref="M85:N85"/>
    <mergeCell ref="O85:R85"/>
    <mergeCell ref="S85:T85"/>
    <mergeCell ref="U85:V85"/>
    <mergeCell ref="W85:X85"/>
    <mergeCell ref="C93:D94"/>
    <mergeCell ref="C95:D95"/>
    <mergeCell ref="E96:F96"/>
    <mergeCell ref="G96:H96"/>
    <mergeCell ref="I96:J96"/>
    <mergeCell ref="E97:F97"/>
    <mergeCell ref="G97:H97"/>
    <mergeCell ref="C98:D98"/>
    <mergeCell ref="E98:F98"/>
    <mergeCell ref="G98:H98"/>
    <mergeCell ref="I98:J98"/>
    <mergeCell ref="C99:D100"/>
    <mergeCell ref="G99:H99"/>
    <mergeCell ref="I99:J99"/>
    <mergeCell ref="C81:D82"/>
    <mergeCell ref="C83:D83"/>
    <mergeCell ref="E84:F84"/>
    <mergeCell ref="G84:H84"/>
    <mergeCell ref="I84:J84"/>
    <mergeCell ref="E85:F85"/>
    <mergeCell ref="G85:H85"/>
    <mergeCell ref="C86:D86"/>
    <mergeCell ref="E86:F86"/>
    <mergeCell ref="G86:H86"/>
    <mergeCell ref="I86:J86"/>
    <mergeCell ref="E87:F87"/>
    <mergeCell ref="G87:H87"/>
    <mergeCell ref="I87:J87"/>
    <mergeCell ref="I91:J91"/>
    <mergeCell ref="M91:N91"/>
    <mergeCell ref="O91:R91"/>
    <mergeCell ref="S91:T91"/>
    <mergeCell ref="U91:V91"/>
    <mergeCell ref="W91:X91"/>
    <mergeCell ref="C87:D88"/>
    <mergeCell ref="C89:D89"/>
    <mergeCell ref="E90:F90"/>
    <mergeCell ref="G90:H90"/>
    <mergeCell ref="I90:J90"/>
    <mergeCell ref="E91:F91"/>
    <mergeCell ref="G91:H91"/>
    <mergeCell ref="C92:D92"/>
    <mergeCell ref="E92:F92"/>
    <mergeCell ref="G92:H92"/>
    <mergeCell ref="I92:J92"/>
    <mergeCell ref="E93:F93"/>
    <mergeCell ref="G93:H93"/>
    <mergeCell ref="I93:J93"/>
    <mergeCell ref="I97:J97"/>
    <mergeCell ref="M97:N97"/>
    <mergeCell ref="O97:R97"/>
    <mergeCell ref="S97:T97"/>
    <mergeCell ref="U97:V97"/>
    <mergeCell ref="W97:X97"/>
    <mergeCell ref="M103:N103"/>
    <mergeCell ref="O103:R103"/>
    <mergeCell ref="S103:T103"/>
    <mergeCell ref="U103:V103"/>
    <mergeCell ref="W103:X103"/>
    <mergeCell ref="C111:D112"/>
    <mergeCell ref="C113:D113"/>
    <mergeCell ref="E114:F114"/>
    <mergeCell ref="G114:H114"/>
    <mergeCell ref="I114:J114"/>
    <mergeCell ref="E115:F115"/>
    <mergeCell ref="G115:H115"/>
    <mergeCell ref="C116:D116"/>
    <mergeCell ref="E116:F116"/>
    <mergeCell ref="G116:H116"/>
    <mergeCell ref="I116:J116"/>
    <mergeCell ref="E117:F117"/>
    <mergeCell ref="G117:H117"/>
    <mergeCell ref="I117:J117"/>
    <mergeCell ref="C129:D130"/>
    <mergeCell ref="C131:D131"/>
    <mergeCell ref="E132:F132"/>
    <mergeCell ref="G132:H132"/>
    <mergeCell ref="I132:J132"/>
    <mergeCell ref="E133:F133"/>
    <mergeCell ref="G133:H133"/>
    <mergeCell ref="C134:D134"/>
    <mergeCell ref="E134:F134"/>
    <mergeCell ref="G134:H134"/>
    <mergeCell ref="I134:J134"/>
    <mergeCell ref="E135:F135"/>
    <mergeCell ref="G135:H135"/>
    <mergeCell ref="I135:J135"/>
    <mergeCell ref="C189:D190"/>
    <mergeCell ref="C191:D191"/>
    <mergeCell ref="E192:F192"/>
    <mergeCell ref="G192:H192"/>
    <mergeCell ref="I192:J192"/>
    <mergeCell ref="E193:F193"/>
    <mergeCell ref="M193:N193"/>
    <mergeCell ref="E195:F195"/>
    <mergeCell ref="E198:F198"/>
    <mergeCell ref="G198:H198"/>
    <mergeCell ref="I198:J198"/>
    <mergeCell ref="C194:D194"/>
    <mergeCell ref="E194:F194"/>
    <mergeCell ref="G194:H194"/>
    <mergeCell ref="I194:J194"/>
    <mergeCell ref="C195:D196"/>
    <mergeCell ref="G195:H195"/>
    <mergeCell ref="I195:J19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5.0" topLeftCell="G6" activePane="bottomRight" state="frozen"/>
      <selection activeCell="G1" sqref="G1" pane="topRight"/>
      <selection activeCell="A6" sqref="A6" pane="bottomLeft"/>
      <selection activeCell="G6" sqref="G6" pane="bottomRight"/>
    </sheetView>
  </sheetViews>
  <sheetFormatPr customHeight="1" defaultColWidth="12.63" defaultRowHeight="15.75"/>
  <cols>
    <col customWidth="1" min="1" max="1" width="18.88"/>
    <col customWidth="1" min="2" max="2" width="0.88"/>
    <col customWidth="1" min="3" max="3" width="6.25"/>
    <col customWidth="1" min="4" max="4" width="5.5"/>
    <col customWidth="1" min="5" max="5" width="5.0"/>
    <col customWidth="1" min="6" max="6" width="4.88"/>
    <col customWidth="1" min="7" max="7" width="4.0"/>
    <col customWidth="1" min="8" max="8" width="5.13"/>
    <col customWidth="1" min="9" max="9" width="4.13"/>
    <col customWidth="1" min="10" max="10" width="3.75"/>
    <col customWidth="1" min="11" max="11" width="9.38"/>
    <col customWidth="1" min="12" max="12" width="6.75"/>
    <col customWidth="1" min="13" max="15" width="3.63"/>
    <col customWidth="1" min="16" max="16" width="3.75"/>
    <col customWidth="1" min="17" max="17" width="3.63"/>
    <col customWidth="1" min="18" max="20" width="4.5"/>
    <col customWidth="1" min="21" max="21" width="3.25"/>
    <col customWidth="1" min="22" max="22" width="4.25"/>
    <col customWidth="1" min="23" max="23" width="3.88"/>
    <col customWidth="1" min="24" max="24" width="3.75"/>
    <col customWidth="1" min="25" max="25" width="4.0"/>
    <col customWidth="1" min="26" max="26" width="16.38"/>
    <col customWidth="1" min="27" max="27" width="4.38"/>
    <col customWidth="1" min="28" max="28" width="23.0"/>
    <col customWidth="1" min="29" max="29" width="5.63"/>
    <col customWidth="1" min="30" max="30" width="20.38"/>
    <col customWidth="1" min="33" max="33" width="6.38"/>
    <col customWidth="1" min="34" max="34" width="5.13"/>
    <col customWidth="1" min="35" max="35" width="16.13"/>
    <col customWidth="1" min="36" max="36" width="6.88"/>
    <col customWidth="1" min="38" max="38" width="5.88"/>
    <col customWidth="1" min="40" max="40" width="5.38"/>
    <col customWidth="1" min="42" max="42" width="5.63"/>
    <col customWidth="1" min="44" max="44" width="6.63"/>
    <col customWidth="1" min="46" max="46" width="5.13"/>
    <col customWidth="1" min="48" max="48" width="4.63"/>
    <col customWidth="1" min="50" max="50" width="4.75"/>
    <col customWidth="1" min="52" max="52" width="1.25"/>
  </cols>
  <sheetData>
    <row r="1">
      <c r="A1" s="1"/>
      <c r="B1" s="2"/>
      <c r="C1" s="1"/>
      <c r="D1" s="1"/>
      <c r="E1" s="3"/>
      <c r="F1" s="3"/>
      <c r="G1" s="4"/>
      <c r="H1" s="4"/>
      <c r="I1" s="5"/>
      <c r="J1" s="5"/>
      <c r="K1" s="6"/>
      <c r="L1" s="7"/>
      <c r="M1" s="8"/>
      <c r="N1" s="8"/>
      <c r="O1" s="8"/>
      <c r="P1" s="8"/>
      <c r="Q1" s="8"/>
      <c r="R1" s="8"/>
      <c r="S1" s="8"/>
      <c r="T1" s="8"/>
      <c r="U1" s="9"/>
      <c r="V1" s="9"/>
      <c r="W1" s="9"/>
      <c r="X1" s="9"/>
      <c r="Y1" s="10"/>
      <c r="Z1" s="11"/>
      <c r="AA1" s="12"/>
      <c r="AB1" s="12"/>
      <c r="AC1" s="13"/>
      <c r="AD1" s="13"/>
      <c r="AE1" s="1"/>
      <c r="AF1" s="1"/>
      <c r="AG1" s="14"/>
      <c r="AH1" s="14"/>
      <c r="AI1" s="14"/>
      <c r="AJ1" s="15" t="s">
        <v>0</v>
      </c>
      <c r="AK1" s="16" t="s">
        <v>1</v>
      </c>
      <c r="AL1" s="17" t="s">
        <v>2</v>
      </c>
      <c r="AM1" s="16" t="s">
        <v>3</v>
      </c>
      <c r="AN1" s="18" t="s">
        <v>4</v>
      </c>
      <c r="AO1" s="16" t="s">
        <v>5</v>
      </c>
      <c r="AP1" s="19" t="s">
        <v>6</v>
      </c>
      <c r="AQ1" s="16" t="s">
        <v>7</v>
      </c>
      <c r="AR1" s="20" t="s">
        <v>8</v>
      </c>
      <c r="AS1" s="16" t="s">
        <v>9</v>
      </c>
      <c r="AT1" s="21" t="s">
        <v>10</v>
      </c>
      <c r="AU1" s="16" t="s">
        <v>11</v>
      </c>
      <c r="AV1" s="22" t="s">
        <v>12</v>
      </c>
      <c r="AW1" s="16" t="s">
        <v>13</v>
      </c>
      <c r="AX1" s="23" t="s">
        <v>14</v>
      </c>
      <c r="AY1" s="16" t="s">
        <v>15</v>
      </c>
      <c r="AZ1" s="24"/>
    </row>
    <row r="2">
      <c r="A2" s="1"/>
      <c r="B2" s="2"/>
      <c r="C2" s="1"/>
      <c r="D2" s="1"/>
      <c r="E2" s="3"/>
      <c r="G2" s="4" t="s">
        <v>302</v>
      </c>
      <c r="H2" s="4"/>
      <c r="I2" s="5" t="s">
        <v>17</v>
      </c>
      <c r="K2" s="6"/>
      <c r="L2" s="7"/>
      <c r="M2" s="8"/>
      <c r="N2" s="8"/>
      <c r="O2" s="8"/>
      <c r="P2" s="8"/>
      <c r="Q2" s="8"/>
      <c r="R2" s="8"/>
      <c r="S2" s="8"/>
      <c r="T2" s="8"/>
      <c r="U2" s="9"/>
      <c r="V2" s="9"/>
      <c r="W2" s="9"/>
      <c r="X2" s="9"/>
      <c r="Y2" s="10"/>
      <c r="Z2" s="11"/>
      <c r="AA2" s="12" t="s">
        <v>18</v>
      </c>
      <c r="AC2" s="13"/>
      <c r="AD2" s="25" t="s">
        <v>19</v>
      </c>
      <c r="AE2" s="1" t="s">
        <v>20</v>
      </c>
      <c r="AF2" s="1" t="s">
        <v>21</v>
      </c>
      <c r="AG2" s="14"/>
      <c r="AH2" s="14"/>
      <c r="AI2" s="14"/>
      <c r="AK2" s="16" t="s">
        <v>22</v>
      </c>
      <c r="AM2" s="16" t="s">
        <v>23</v>
      </c>
      <c r="AO2" s="16" t="s">
        <v>24</v>
      </c>
      <c r="AQ2" s="16" t="s">
        <v>25</v>
      </c>
      <c r="AS2" s="16" t="s">
        <v>26</v>
      </c>
      <c r="AU2" s="16" t="s">
        <v>27</v>
      </c>
      <c r="AW2" s="16" t="s">
        <v>28</v>
      </c>
      <c r="AY2" s="16" t="s">
        <v>29</v>
      </c>
      <c r="AZ2" s="24"/>
    </row>
    <row r="3">
      <c r="A3" s="1"/>
      <c r="B3" s="2"/>
      <c r="C3" s="1"/>
      <c r="D3" s="1"/>
      <c r="E3" s="26"/>
      <c r="F3" s="26"/>
      <c r="G3" s="267" t="s">
        <v>195</v>
      </c>
      <c r="I3" s="268" t="s">
        <v>147</v>
      </c>
      <c r="K3" s="6"/>
      <c r="L3" s="7"/>
      <c r="M3" s="8"/>
      <c r="N3" s="8"/>
      <c r="O3" s="8"/>
      <c r="P3" s="8"/>
      <c r="Q3" s="8"/>
      <c r="R3" s="8"/>
      <c r="S3" s="8"/>
      <c r="T3" s="8"/>
      <c r="U3" s="9"/>
      <c r="V3" s="9"/>
      <c r="W3" s="9"/>
      <c r="X3" s="9"/>
      <c r="Y3" s="10"/>
      <c r="Z3" s="11"/>
      <c r="AA3" s="29" t="s">
        <v>171</v>
      </c>
      <c r="AB3" s="29" t="s">
        <v>172</v>
      </c>
      <c r="AC3" s="13"/>
      <c r="AD3" s="1" t="s">
        <v>36</v>
      </c>
      <c r="AE3" s="1" t="s">
        <v>303</v>
      </c>
      <c r="AF3" s="1" t="s">
        <v>34</v>
      </c>
      <c r="AG3" s="14"/>
      <c r="AH3" s="14"/>
      <c r="AI3" s="14"/>
      <c r="AJ3" s="30" t="s">
        <v>43</v>
      </c>
      <c r="AK3" s="16" t="s">
        <v>46</v>
      </c>
      <c r="AL3" s="31" t="s">
        <v>45</v>
      </c>
      <c r="AM3" s="16" t="s">
        <v>48</v>
      </c>
      <c r="AN3" s="32" t="s">
        <v>47</v>
      </c>
      <c r="AO3" s="16" t="s">
        <v>50</v>
      </c>
      <c r="AP3" s="30" t="s">
        <v>49</v>
      </c>
      <c r="AQ3" s="16" t="s">
        <v>52</v>
      </c>
      <c r="AR3" s="33" t="s">
        <v>51</v>
      </c>
      <c r="AS3" s="16" t="s">
        <v>38</v>
      </c>
      <c r="AT3" s="30" t="s">
        <v>37</v>
      </c>
      <c r="AU3" s="16" t="s">
        <v>40</v>
      </c>
      <c r="AV3" s="31" t="s">
        <v>39</v>
      </c>
      <c r="AW3" s="16" t="s">
        <v>42</v>
      </c>
      <c r="AX3" s="22" t="s">
        <v>41</v>
      </c>
      <c r="AY3" s="16" t="s">
        <v>44</v>
      </c>
      <c r="AZ3" s="24"/>
    </row>
    <row r="4">
      <c r="A4" s="1"/>
      <c r="B4" s="2"/>
      <c r="C4" s="1"/>
      <c r="D4" s="1"/>
      <c r="E4" s="26"/>
      <c r="F4" s="26"/>
      <c r="G4" s="269" t="s">
        <v>180</v>
      </c>
      <c r="I4" s="35" t="s">
        <v>202</v>
      </c>
      <c r="K4" s="6"/>
      <c r="L4" s="7"/>
      <c r="M4" s="8"/>
      <c r="N4" s="8"/>
      <c r="O4" s="8"/>
      <c r="P4" s="8"/>
      <c r="Q4" s="8"/>
      <c r="R4" s="8"/>
      <c r="S4" s="8"/>
      <c r="T4" s="8"/>
      <c r="U4" s="9"/>
      <c r="V4" s="9"/>
      <c r="W4" s="9"/>
      <c r="X4" s="9"/>
      <c r="Y4" s="10"/>
      <c r="Z4" s="11"/>
      <c r="AA4" s="36"/>
      <c r="AB4" s="36"/>
      <c r="AC4" s="13"/>
      <c r="AD4" s="13"/>
      <c r="AE4" s="37"/>
      <c r="AF4" s="37"/>
      <c r="AG4" s="14"/>
      <c r="AH4" s="14"/>
      <c r="AI4" s="14"/>
      <c r="AJ4" s="30" t="s">
        <v>37</v>
      </c>
      <c r="AK4" s="16" t="s">
        <v>46</v>
      </c>
      <c r="AL4" s="31" t="s">
        <v>39</v>
      </c>
      <c r="AM4" s="16" t="s">
        <v>48</v>
      </c>
      <c r="AN4" s="22" t="s">
        <v>41</v>
      </c>
      <c r="AO4" s="16" t="s">
        <v>50</v>
      </c>
      <c r="AP4" s="30" t="s">
        <v>43</v>
      </c>
      <c r="AQ4" s="16" t="s">
        <v>52</v>
      </c>
      <c r="AR4" s="31" t="s">
        <v>45</v>
      </c>
      <c r="AS4" s="16" t="s">
        <v>38</v>
      </c>
      <c r="AT4" s="32" t="s">
        <v>47</v>
      </c>
      <c r="AU4" s="16" t="s">
        <v>40</v>
      </c>
      <c r="AV4" s="30" t="s">
        <v>49</v>
      </c>
      <c r="AW4" s="16" t="s">
        <v>42</v>
      </c>
      <c r="AX4" s="33" t="s">
        <v>51</v>
      </c>
      <c r="AY4" s="16" t="s">
        <v>44</v>
      </c>
      <c r="AZ4" s="24"/>
    </row>
    <row r="5">
      <c r="A5" s="1"/>
      <c r="B5" s="2"/>
      <c r="C5" s="1"/>
      <c r="D5" s="1"/>
      <c r="E5" s="26"/>
      <c r="F5" s="26"/>
      <c r="G5" s="38" t="s">
        <v>304</v>
      </c>
      <c r="I5" s="39" t="s">
        <v>305</v>
      </c>
      <c r="K5" s="6"/>
      <c r="L5" s="7"/>
      <c r="M5" s="8"/>
      <c r="N5" s="8"/>
      <c r="O5" s="8"/>
      <c r="P5" s="8"/>
      <c r="Q5" s="8"/>
      <c r="R5" s="8"/>
      <c r="S5" s="8"/>
      <c r="T5" s="8"/>
      <c r="U5" s="9"/>
      <c r="V5" s="9"/>
      <c r="W5" s="9"/>
      <c r="X5" s="9"/>
      <c r="Y5" s="40" t="s">
        <v>57</v>
      </c>
      <c r="Z5" s="41"/>
      <c r="AA5" s="42" t="s">
        <v>58</v>
      </c>
      <c r="AB5" s="41"/>
      <c r="AC5" s="40" t="s">
        <v>59</v>
      </c>
      <c r="AD5" s="41"/>
      <c r="AE5" s="43" t="s">
        <v>60</v>
      </c>
      <c r="AF5" s="43" t="s">
        <v>61</v>
      </c>
      <c r="AG5" s="42" t="s">
        <v>306</v>
      </c>
      <c r="AH5" s="44"/>
      <c r="AI5" s="41"/>
      <c r="AJ5" s="45"/>
      <c r="AK5" s="16"/>
      <c r="AL5" s="45"/>
      <c r="AM5" s="16"/>
      <c r="AN5" s="45"/>
      <c r="AO5" s="16"/>
      <c r="AP5" s="45"/>
      <c r="AQ5" s="16"/>
      <c r="AR5" s="46"/>
      <c r="AS5" s="16"/>
      <c r="AT5" s="46"/>
      <c r="AU5" s="16"/>
      <c r="AV5" s="47"/>
      <c r="AW5" s="16"/>
      <c r="AX5" s="47"/>
      <c r="AY5" s="16"/>
      <c r="AZ5" s="48"/>
      <c r="BA5" s="16"/>
      <c r="BB5" s="16"/>
    </row>
    <row r="6" ht="3.75" customHeight="1">
      <c r="A6" s="2"/>
      <c r="B6" s="2"/>
      <c r="C6" s="2"/>
      <c r="D6" s="2"/>
      <c r="E6" s="49"/>
      <c r="F6" s="49"/>
      <c r="G6" s="49"/>
      <c r="H6" s="49"/>
      <c r="I6" s="49"/>
      <c r="J6" s="49"/>
      <c r="K6" s="50"/>
      <c r="L6" s="51"/>
      <c r="M6" s="52"/>
      <c r="N6" s="52"/>
      <c r="O6" s="52"/>
      <c r="P6" s="52"/>
      <c r="Q6" s="52"/>
      <c r="R6" s="52"/>
      <c r="S6" s="52"/>
      <c r="T6" s="52"/>
      <c r="U6" s="53"/>
      <c r="V6" s="53"/>
      <c r="W6" s="53"/>
      <c r="X6" s="53"/>
      <c r="Y6" s="54"/>
      <c r="Z6" s="55"/>
      <c r="AA6" s="56"/>
      <c r="AB6" s="56"/>
      <c r="AC6" s="57"/>
      <c r="AD6" s="57"/>
      <c r="AE6" s="58"/>
      <c r="AF6" s="58"/>
      <c r="AG6" s="59"/>
      <c r="AH6" s="59"/>
      <c r="AI6" s="59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60"/>
      <c r="AY6" s="24"/>
      <c r="AZ6" s="24"/>
      <c r="BA6" s="24"/>
      <c r="BB6" s="24"/>
      <c r="BC6" s="24"/>
      <c r="BD6" s="24"/>
      <c r="BE6" s="24"/>
    </row>
    <row r="7">
      <c r="A7" s="61" t="s">
        <v>63</v>
      </c>
      <c r="B7" s="62"/>
      <c r="C7" s="63"/>
      <c r="D7" s="63"/>
      <c r="E7" s="216">
        <f>(O8+P8+Q8+R8)/(O9+P9+Q9+R9)</f>
        <v>0.75</v>
      </c>
      <c r="F7" s="65"/>
      <c r="G7" s="66"/>
      <c r="H7" s="66"/>
      <c r="I7" s="67"/>
      <c r="J7" s="67"/>
      <c r="K7" s="68"/>
      <c r="L7" s="69"/>
      <c r="M7" s="63" t="s">
        <v>64</v>
      </c>
      <c r="N7" s="70"/>
      <c r="O7" s="71" t="s">
        <v>65</v>
      </c>
      <c r="P7" s="72"/>
      <c r="Q7" s="72"/>
      <c r="R7" s="70"/>
      <c r="S7" s="71" t="s">
        <v>66</v>
      </c>
      <c r="T7" s="70"/>
      <c r="U7" s="71" t="s">
        <v>67</v>
      </c>
      <c r="V7" s="70"/>
      <c r="W7" s="71" t="s">
        <v>68</v>
      </c>
      <c r="X7" s="70"/>
      <c r="Y7" s="134" t="s">
        <v>116</v>
      </c>
      <c r="Z7" s="74" t="s">
        <v>140</v>
      </c>
      <c r="AA7" s="75" t="s">
        <v>201</v>
      </c>
      <c r="AB7" s="75" t="s">
        <v>240</v>
      </c>
      <c r="AC7" s="135" t="s">
        <v>142</v>
      </c>
      <c r="AD7" s="74" t="s">
        <v>143</v>
      </c>
      <c r="AE7" s="63" t="s">
        <v>75</v>
      </c>
      <c r="AF7" s="78" t="s">
        <v>34</v>
      </c>
      <c r="AG7" s="79" t="s">
        <v>32</v>
      </c>
      <c r="AH7" s="79">
        <v>270.0</v>
      </c>
      <c r="AI7" s="79" t="s">
        <v>145</v>
      </c>
      <c r="AJ7" s="80" t="str">
        <f>AJ1</f>
        <v>開</v>
      </c>
      <c r="AK7" s="81" t="s">
        <v>50</v>
      </c>
      <c r="AL7" s="82" t="str">
        <f>AL1</f>
        <v>休</v>
      </c>
      <c r="AM7" s="81" t="s">
        <v>52</v>
      </c>
      <c r="AN7" s="82" t="s">
        <v>4</v>
      </c>
      <c r="AO7" s="81" t="s">
        <v>38</v>
      </c>
      <c r="AP7" s="82" t="str">
        <f>AP1</f>
        <v>傷</v>
      </c>
      <c r="AQ7" s="81" t="s">
        <v>40</v>
      </c>
      <c r="AR7" s="82" t="s">
        <v>8</v>
      </c>
      <c r="AS7" s="81" t="s">
        <v>42</v>
      </c>
      <c r="AT7" s="82" t="str">
        <f>AT1</f>
        <v>景</v>
      </c>
      <c r="AU7" s="81" t="s">
        <v>44</v>
      </c>
      <c r="AV7" s="82" t="str">
        <f>AV1</f>
        <v>死</v>
      </c>
      <c r="AW7" s="81" t="s">
        <v>46</v>
      </c>
      <c r="AX7" s="82" t="str">
        <f>AX1</f>
        <v>驚</v>
      </c>
      <c r="AY7" s="81" t="s">
        <v>48</v>
      </c>
      <c r="AZ7" s="83"/>
      <c r="BA7" s="84"/>
      <c r="BB7" s="84"/>
      <c r="BC7" s="84"/>
    </row>
    <row r="8">
      <c r="A8" s="85">
        <v>1.0</v>
      </c>
      <c r="B8" s="86"/>
      <c r="C8" s="12" t="s">
        <v>270</v>
      </c>
      <c r="E8" s="214" t="s">
        <v>147</v>
      </c>
      <c r="G8" s="270" t="s">
        <v>30</v>
      </c>
      <c r="I8" s="28" t="s">
        <v>31</v>
      </c>
      <c r="K8" s="90">
        <f>L8/L9</f>
        <v>0.655</v>
      </c>
      <c r="L8" s="91">
        <f t="shared" ref="L8:L9" si="1">O8+P8+Q8+U8+V8+W8+X8+R8+M8+N8+S8+T8</f>
        <v>655</v>
      </c>
      <c r="M8" s="92">
        <v>0.0</v>
      </c>
      <c r="N8" s="93">
        <v>0.0</v>
      </c>
      <c r="O8" s="92">
        <v>110.0</v>
      </c>
      <c r="P8" s="92">
        <v>50.0</v>
      </c>
      <c r="Q8" s="92">
        <v>60.0</v>
      </c>
      <c r="R8" s="93">
        <v>80.0</v>
      </c>
      <c r="S8" s="92">
        <v>100.0</v>
      </c>
      <c r="T8" s="93">
        <v>70.0</v>
      </c>
      <c r="U8" s="92">
        <v>50.0</v>
      </c>
      <c r="V8" s="93">
        <v>90.0</v>
      </c>
      <c r="W8" s="92">
        <v>35.0</v>
      </c>
      <c r="X8" s="93">
        <v>10.0</v>
      </c>
      <c r="Y8" s="73" t="s">
        <v>126</v>
      </c>
      <c r="Z8" s="94" t="s">
        <v>70</v>
      </c>
      <c r="AA8" s="29"/>
      <c r="AB8" s="29"/>
      <c r="AC8" s="139" t="s">
        <v>148</v>
      </c>
      <c r="AD8" s="96" t="s">
        <v>149</v>
      </c>
      <c r="AE8" s="37"/>
      <c r="AF8" s="97"/>
      <c r="AG8" s="12" t="s">
        <v>97</v>
      </c>
      <c r="AH8" s="12">
        <v>330.0</v>
      </c>
      <c r="AI8" s="12" t="s">
        <v>150</v>
      </c>
      <c r="AJ8" s="98" t="s">
        <v>41</v>
      </c>
      <c r="AK8" s="103" t="s">
        <v>92</v>
      </c>
      <c r="AL8" s="100" t="s">
        <v>39</v>
      </c>
      <c r="AM8" s="99" t="s">
        <v>93</v>
      </c>
      <c r="AN8" s="100" t="s">
        <v>37</v>
      </c>
      <c r="AO8" s="99" t="s">
        <v>94</v>
      </c>
      <c r="AP8" s="100" t="s">
        <v>51</v>
      </c>
      <c r="AQ8" s="101" t="s">
        <v>95</v>
      </c>
      <c r="AR8" s="100" t="s">
        <v>86</v>
      </c>
      <c r="AS8" s="99" t="s">
        <v>87</v>
      </c>
      <c r="AT8" s="100" t="s">
        <v>88</v>
      </c>
      <c r="AU8" s="101" t="s">
        <v>89</v>
      </c>
      <c r="AV8" s="100" t="s">
        <v>45</v>
      </c>
      <c r="AW8" s="102" t="s">
        <v>90</v>
      </c>
      <c r="AX8" s="100" t="s">
        <v>43</v>
      </c>
      <c r="AY8" s="101" t="s">
        <v>91</v>
      </c>
      <c r="AZ8" s="24"/>
      <c r="BA8" s="47" t="s">
        <v>86</v>
      </c>
      <c r="BB8" s="104" t="s">
        <v>87</v>
      </c>
      <c r="BC8" s="47" t="s">
        <v>88</v>
      </c>
      <c r="BD8" s="105" t="s">
        <v>89</v>
      </c>
      <c r="BE8" s="47"/>
    </row>
    <row r="9">
      <c r="A9" s="85" t="s">
        <v>307</v>
      </c>
      <c r="B9" s="86"/>
      <c r="C9" s="140" t="s">
        <v>308</v>
      </c>
      <c r="E9" s="201" t="s">
        <v>202</v>
      </c>
      <c r="G9" s="162" t="s">
        <v>53</v>
      </c>
      <c r="I9" s="35" t="s">
        <v>54</v>
      </c>
      <c r="K9" s="36"/>
      <c r="L9" s="109">
        <f t="shared" si="1"/>
        <v>1000</v>
      </c>
      <c r="M9" s="9">
        <v>0.0</v>
      </c>
      <c r="N9" s="110">
        <v>0.0</v>
      </c>
      <c r="O9" s="9">
        <v>100.0</v>
      </c>
      <c r="P9" s="9">
        <v>100.0</v>
      </c>
      <c r="Q9" s="9">
        <v>100.0</v>
      </c>
      <c r="R9" s="110">
        <v>100.0</v>
      </c>
      <c r="S9" s="9">
        <v>100.0</v>
      </c>
      <c r="T9" s="110">
        <v>100.0</v>
      </c>
      <c r="U9" s="9">
        <v>100.0</v>
      </c>
      <c r="V9" s="110">
        <v>100.0</v>
      </c>
      <c r="W9" s="9">
        <v>100.0</v>
      </c>
      <c r="X9" s="110">
        <v>100.0</v>
      </c>
      <c r="Y9" s="73" t="s">
        <v>69</v>
      </c>
      <c r="Z9" s="94" t="s">
        <v>152</v>
      </c>
      <c r="AA9" s="36"/>
      <c r="AB9" s="36"/>
      <c r="AC9" s="111"/>
      <c r="AD9" s="112"/>
      <c r="AE9" s="37"/>
      <c r="AF9" s="97"/>
      <c r="AG9" s="14"/>
      <c r="AH9" s="14"/>
      <c r="AI9" s="14"/>
      <c r="AJ9" s="113"/>
      <c r="AK9" s="104" t="s">
        <v>104</v>
      </c>
      <c r="AM9" s="104" t="s">
        <v>105</v>
      </c>
      <c r="AO9" s="104" t="s">
        <v>106</v>
      </c>
      <c r="AQ9" s="105" t="s">
        <v>107</v>
      </c>
      <c r="AS9" s="104" t="s">
        <v>100</v>
      </c>
      <c r="AU9" s="114" t="s">
        <v>101</v>
      </c>
      <c r="AW9" s="105" t="s">
        <v>102</v>
      </c>
      <c r="AY9" s="105" t="s">
        <v>103</v>
      </c>
      <c r="AZ9" s="24"/>
      <c r="BB9" s="104" t="s">
        <v>100</v>
      </c>
      <c r="BD9" s="114" t="s">
        <v>101</v>
      </c>
    </row>
    <row r="10">
      <c r="A10" s="85">
        <v>2569.0</v>
      </c>
      <c r="B10" s="86"/>
      <c r="E10" s="115" t="s">
        <v>204</v>
      </c>
      <c r="F10" s="116" t="s">
        <v>212</v>
      </c>
      <c r="G10" s="9" t="s">
        <v>164</v>
      </c>
      <c r="H10" s="9" t="s">
        <v>69</v>
      </c>
      <c r="I10" s="9" t="s">
        <v>112</v>
      </c>
      <c r="J10" s="9" t="s">
        <v>113</v>
      </c>
      <c r="K10" s="36"/>
      <c r="L10" s="117"/>
      <c r="M10" s="118" t="str">
        <f t="shared" ref="M10:P10" si="2">C10</f>
        <v/>
      </c>
      <c r="N10" s="119" t="str">
        <f t="shared" si="2"/>
        <v/>
      </c>
      <c r="O10" s="118" t="str">
        <f t="shared" si="2"/>
        <v>A5</v>
      </c>
      <c r="P10" s="118" t="str">
        <f t="shared" si="2"/>
        <v>B9</v>
      </c>
      <c r="Q10" s="118" t="str">
        <f t="shared" ref="Q10:R10" si="3">E11</f>
        <v>B11</v>
      </c>
      <c r="R10" s="119" t="str">
        <f t="shared" si="3"/>
        <v>C6</v>
      </c>
      <c r="S10" s="9" t="s">
        <v>213</v>
      </c>
      <c r="T10" s="110" t="s">
        <v>165</v>
      </c>
      <c r="U10" s="9" t="str">
        <f t="shared" ref="U10:X10" si="4">G10</f>
        <v>A9</v>
      </c>
      <c r="V10" s="119" t="str">
        <f t="shared" si="4"/>
        <v>B8</v>
      </c>
      <c r="W10" s="118" t="str">
        <f t="shared" si="4"/>
        <v>A2</v>
      </c>
      <c r="X10" s="120" t="str">
        <f t="shared" si="4"/>
        <v>B12</v>
      </c>
      <c r="Y10" s="73" t="s">
        <v>80</v>
      </c>
      <c r="Z10" s="94" t="s">
        <v>153</v>
      </c>
      <c r="AA10" s="36"/>
      <c r="AB10" s="36"/>
      <c r="AC10" s="111"/>
      <c r="AD10" s="112"/>
      <c r="AE10" s="37"/>
      <c r="AF10" s="97"/>
      <c r="AG10" s="14"/>
      <c r="AH10" s="14"/>
      <c r="AI10" s="14"/>
      <c r="AJ10" s="113"/>
      <c r="AK10" s="104" t="s">
        <v>122</v>
      </c>
      <c r="AM10" s="104" t="s">
        <v>123</v>
      </c>
      <c r="AO10" s="104" t="s">
        <v>124</v>
      </c>
      <c r="AQ10" s="105" t="s">
        <v>125</v>
      </c>
      <c r="AS10" s="104" t="s">
        <v>118</v>
      </c>
      <c r="AU10" s="114" t="s">
        <v>119</v>
      </c>
      <c r="AW10" s="105" t="s">
        <v>120</v>
      </c>
      <c r="AY10" s="105" t="s">
        <v>121</v>
      </c>
      <c r="AZ10" s="24"/>
      <c r="BB10" s="104" t="s">
        <v>118</v>
      </c>
      <c r="BD10" s="114" t="s">
        <v>119</v>
      </c>
    </row>
    <row r="11">
      <c r="A11" s="85">
        <f>A10-543</f>
        <v>2026</v>
      </c>
      <c r="B11" s="86"/>
      <c r="E11" s="115" t="s">
        <v>214</v>
      </c>
      <c r="F11" s="116" t="s">
        <v>215</v>
      </c>
      <c r="G11" s="9"/>
      <c r="H11" s="118"/>
      <c r="I11" s="118"/>
      <c r="J11" s="118"/>
      <c r="K11" s="36"/>
      <c r="L11" s="117"/>
      <c r="M11" s="8"/>
      <c r="N11" s="121"/>
      <c r="O11" s="8"/>
      <c r="P11" s="8"/>
      <c r="Q11" s="8"/>
      <c r="R11" s="121"/>
      <c r="S11" s="8"/>
      <c r="T11" s="121"/>
      <c r="U11" s="9"/>
      <c r="V11" s="110"/>
      <c r="W11" s="9"/>
      <c r="X11" s="110"/>
      <c r="Y11" s="73" t="s">
        <v>98</v>
      </c>
      <c r="Z11" s="94" t="s">
        <v>155</v>
      </c>
      <c r="AA11" s="36"/>
      <c r="AB11" s="36"/>
      <c r="AC11" s="111"/>
      <c r="AD11" s="112"/>
      <c r="AE11" s="37"/>
      <c r="AF11" s="97"/>
      <c r="AG11" s="14"/>
      <c r="AH11" s="14"/>
      <c r="AI11" s="14"/>
      <c r="AJ11" s="113"/>
      <c r="AK11" s="104" t="s">
        <v>133</v>
      </c>
      <c r="AM11" s="104" t="s">
        <v>134</v>
      </c>
      <c r="AO11" s="104" t="s">
        <v>135</v>
      </c>
      <c r="AQ11" s="105" t="s">
        <v>136</v>
      </c>
      <c r="AS11" s="104" t="s">
        <v>129</v>
      </c>
      <c r="AU11" s="114" t="s">
        <v>130</v>
      </c>
      <c r="AW11" s="105" t="s">
        <v>131</v>
      </c>
      <c r="AY11" s="105" t="s">
        <v>132</v>
      </c>
      <c r="AZ11" s="24"/>
      <c r="BB11" s="104" t="s">
        <v>129</v>
      </c>
      <c r="BD11" s="114" t="s">
        <v>130</v>
      </c>
    </row>
    <row r="12">
      <c r="A12" s="122"/>
      <c r="B12" s="2"/>
      <c r="C12" s="1"/>
      <c r="D12" s="123"/>
      <c r="E12" s="124" t="s">
        <v>185</v>
      </c>
      <c r="F12" s="125"/>
      <c r="G12" s="39" t="s">
        <v>138</v>
      </c>
      <c r="I12" s="39" t="s">
        <v>56</v>
      </c>
      <c r="K12" s="90"/>
      <c r="L12" s="126"/>
      <c r="M12" s="8"/>
      <c r="N12" s="121"/>
      <c r="O12" s="8"/>
      <c r="P12" s="8"/>
      <c r="Q12" s="8"/>
      <c r="R12" s="121"/>
      <c r="S12" s="8"/>
      <c r="T12" s="121"/>
      <c r="U12" s="9"/>
      <c r="V12" s="110"/>
      <c r="W12" s="9"/>
      <c r="X12" s="110"/>
      <c r="Y12" s="127"/>
      <c r="Z12" s="155"/>
      <c r="AA12" s="36"/>
      <c r="AB12" s="36"/>
      <c r="AC12" s="111"/>
      <c r="AD12" s="112"/>
      <c r="AE12" s="37"/>
      <c r="AF12" s="97"/>
      <c r="AG12" s="14"/>
      <c r="AH12" s="14"/>
      <c r="AI12" s="14"/>
      <c r="AJ12" s="113"/>
      <c r="AM12" s="128"/>
      <c r="AQ12" s="131"/>
      <c r="AS12" s="187"/>
      <c r="AU12" s="131"/>
      <c r="AW12" s="131"/>
      <c r="AY12" s="131"/>
      <c r="AZ12" s="24"/>
      <c r="BB12" s="129"/>
      <c r="BD12" s="128"/>
    </row>
    <row r="13">
      <c r="A13" s="61" t="s">
        <v>139</v>
      </c>
      <c r="B13" s="62"/>
      <c r="C13" s="63"/>
      <c r="D13" s="63"/>
      <c r="E13" s="271">
        <f>(O14+P14+Q14+R14)/(O15+P15+Q15+R15)</f>
        <v>0.45</v>
      </c>
      <c r="F13" s="88"/>
      <c r="G13" s="133"/>
      <c r="H13" s="66"/>
      <c r="I13" s="67"/>
      <c r="J13" s="67"/>
      <c r="K13" s="68"/>
      <c r="L13" s="69"/>
      <c r="M13" s="63" t="s">
        <v>64</v>
      </c>
      <c r="N13" s="70"/>
      <c r="O13" s="71" t="s">
        <v>65</v>
      </c>
      <c r="P13" s="72"/>
      <c r="Q13" s="72"/>
      <c r="R13" s="70"/>
      <c r="S13" s="71" t="s">
        <v>66</v>
      </c>
      <c r="T13" s="70"/>
      <c r="U13" s="71" t="s">
        <v>67</v>
      </c>
      <c r="V13" s="70"/>
      <c r="W13" s="71" t="s">
        <v>68</v>
      </c>
      <c r="X13" s="70"/>
      <c r="Y13" s="134" t="s">
        <v>116</v>
      </c>
      <c r="Z13" s="74" t="s">
        <v>159</v>
      </c>
      <c r="AA13" s="75" t="s">
        <v>32</v>
      </c>
      <c r="AB13" s="75" t="s">
        <v>33</v>
      </c>
      <c r="AC13" s="135" t="s">
        <v>142</v>
      </c>
      <c r="AD13" s="74" t="s">
        <v>143</v>
      </c>
      <c r="AE13" s="63" t="s">
        <v>75</v>
      </c>
      <c r="AF13" s="78" t="s">
        <v>75</v>
      </c>
      <c r="AG13" s="79" t="s">
        <v>97</v>
      </c>
      <c r="AH13" s="79">
        <v>330.0</v>
      </c>
      <c r="AI13" s="79" t="s">
        <v>150</v>
      </c>
      <c r="AJ13" s="80" t="str">
        <f>AJ7</f>
        <v>開</v>
      </c>
      <c r="AK13" s="81" t="s">
        <v>48</v>
      </c>
      <c r="AL13" s="82" t="str">
        <f>AL7</f>
        <v>休</v>
      </c>
      <c r="AM13" s="81" t="s">
        <v>50</v>
      </c>
      <c r="AN13" s="82" t="s">
        <v>4</v>
      </c>
      <c r="AO13" s="81" t="s">
        <v>52</v>
      </c>
      <c r="AP13" s="82" t="str">
        <f>AP7</f>
        <v>傷</v>
      </c>
      <c r="AQ13" s="81" t="s">
        <v>38</v>
      </c>
      <c r="AR13" s="82" t="s">
        <v>8</v>
      </c>
      <c r="AS13" s="81" t="s">
        <v>40</v>
      </c>
      <c r="AT13" s="82" t="str">
        <f>AT7</f>
        <v>景</v>
      </c>
      <c r="AU13" s="81" t="s">
        <v>42</v>
      </c>
      <c r="AV13" s="82" t="str">
        <f>AV7</f>
        <v>死</v>
      </c>
      <c r="AW13" s="81" t="s">
        <v>44</v>
      </c>
      <c r="AX13" s="82" t="str">
        <f>AX7</f>
        <v>驚</v>
      </c>
      <c r="AY13" s="81" t="s">
        <v>46</v>
      </c>
      <c r="AZ13" s="83"/>
      <c r="BA13" s="84"/>
      <c r="BB13" s="84"/>
      <c r="BC13" s="84"/>
    </row>
    <row r="14">
      <c r="A14" s="85">
        <f>A8+1</f>
        <v>2</v>
      </c>
      <c r="B14" s="86"/>
      <c r="C14" s="12" t="s">
        <v>260</v>
      </c>
      <c r="E14" s="160" t="s">
        <v>161</v>
      </c>
      <c r="F14" s="88"/>
      <c r="G14" s="137" t="str">
        <f t="shared" ref="G14:G15" si="6">G8:H8</f>
        <v>己</v>
      </c>
      <c r="I14" s="138" t="str">
        <f t="shared" ref="I14:I15" si="7">I8:J8</f>
        <v>乙</v>
      </c>
      <c r="K14" s="90">
        <f>L14/L15</f>
        <v>0.505</v>
      </c>
      <c r="L14" s="126">
        <f t="shared" ref="L14:L15" si="8">O14+P14+Q14+U14+V14+W14+X14+R14+M14+N14+S14+T14</f>
        <v>505</v>
      </c>
      <c r="M14" s="92">
        <v>0.0</v>
      </c>
      <c r="N14" s="93">
        <v>0.0</v>
      </c>
      <c r="O14" s="92">
        <v>90.0</v>
      </c>
      <c r="P14" s="92">
        <v>40.0</v>
      </c>
      <c r="Q14" s="92">
        <v>40.0</v>
      </c>
      <c r="R14" s="93">
        <v>10.0</v>
      </c>
      <c r="S14" s="92">
        <v>90.0</v>
      </c>
      <c r="T14" s="93">
        <v>50.0</v>
      </c>
      <c r="U14" s="92">
        <f t="shared" ref="U14:X14" si="5">U8</f>
        <v>50</v>
      </c>
      <c r="V14" s="93">
        <f t="shared" si="5"/>
        <v>90</v>
      </c>
      <c r="W14" s="92">
        <f t="shared" si="5"/>
        <v>35</v>
      </c>
      <c r="X14" s="93">
        <f t="shared" si="5"/>
        <v>10</v>
      </c>
      <c r="Y14" s="73" t="s">
        <v>126</v>
      </c>
      <c r="Z14" s="94" t="s">
        <v>152</v>
      </c>
      <c r="AA14" s="36"/>
      <c r="AB14" s="36"/>
      <c r="AC14" s="139" t="s">
        <v>148</v>
      </c>
      <c r="AD14" s="96" t="s">
        <v>149</v>
      </c>
      <c r="AE14" s="37"/>
      <c r="AF14" s="97"/>
      <c r="AG14" s="12" t="s">
        <v>32</v>
      </c>
      <c r="AH14" s="12">
        <v>270.0</v>
      </c>
      <c r="AI14" s="12" t="s">
        <v>145</v>
      </c>
      <c r="AJ14" s="98" t="s">
        <v>43</v>
      </c>
      <c r="AK14" s="101" t="s">
        <v>91</v>
      </c>
      <c r="AL14" s="100" t="s">
        <v>41</v>
      </c>
      <c r="AM14" s="103" t="s">
        <v>92</v>
      </c>
      <c r="AN14" s="100" t="s">
        <v>39</v>
      </c>
      <c r="AO14" s="99" t="s">
        <v>93</v>
      </c>
      <c r="AP14" s="100" t="s">
        <v>37</v>
      </c>
      <c r="AQ14" s="99" t="s">
        <v>94</v>
      </c>
      <c r="AR14" s="100" t="s">
        <v>51</v>
      </c>
      <c r="AS14" s="101" t="s">
        <v>95</v>
      </c>
      <c r="AT14" s="100" t="s">
        <v>86</v>
      </c>
      <c r="AU14" s="99" t="s">
        <v>87</v>
      </c>
      <c r="AV14" s="100" t="s">
        <v>88</v>
      </c>
      <c r="AW14" s="101" t="s">
        <v>89</v>
      </c>
      <c r="AX14" s="100" t="s">
        <v>45</v>
      </c>
      <c r="AY14" s="102" t="s">
        <v>90</v>
      </c>
      <c r="AZ14" s="24"/>
    </row>
    <row r="15">
      <c r="A15" s="85" t="str">
        <f t="shared" ref="A15:A17" si="9">A9</f>
        <v>มีนาคม</v>
      </c>
      <c r="B15" s="86"/>
      <c r="C15" s="106" t="s">
        <v>217</v>
      </c>
      <c r="E15" s="162" t="s">
        <v>71</v>
      </c>
      <c r="G15" s="180" t="str">
        <f t="shared" si="6"/>
        <v>丑</v>
      </c>
      <c r="I15" s="142" t="str">
        <f t="shared" si="7"/>
        <v>巳</v>
      </c>
      <c r="K15" s="36"/>
      <c r="L15" s="109">
        <f t="shared" si="8"/>
        <v>1000</v>
      </c>
      <c r="M15" s="9">
        <v>0.0</v>
      </c>
      <c r="N15" s="110">
        <v>0.0</v>
      </c>
      <c r="O15" s="9">
        <v>100.0</v>
      </c>
      <c r="P15" s="9">
        <v>100.0</v>
      </c>
      <c r="Q15" s="9">
        <v>100.0</v>
      </c>
      <c r="R15" s="110">
        <v>100.0</v>
      </c>
      <c r="S15" s="9">
        <v>100.0</v>
      </c>
      <c r="T15" s="110">
        <v>100.0</v>
      </c>
      <c r="U15" s="9">
        <v>100.0</v>
      </c>
      <c r="V15" s="110">
        <v>100.0</v>
      </c>
      <c r="W15" s="9">
        <v>100.0</v>
      </c>
      <c r="X15" s="110">
        <v>100.0</v>
      </c>
      <c r="Y15" s="73" t="s">
        <v>69</v>
      </c>
      <c r="Z15" s="94" t="s">
        <v>163</v>
      </c>
      <c r="AA15" s="36"/>
      <c r="AB15" s="36"/>
      <c r="AC15" s="111"/>
      <c r="AD15" s="112"/>
      <c r="AE15" s="37"/>
      <c r="AF15" s="97"/>
      <c r="AG15" s="14"/>
      <c r="AH15" s="14"/>
      <c r="AI15" s="14"/>
      <c r="AJ15" s="113"/>
      <c r="AK15" s="105" t="s">
        <v>103</v>
      </c>
      <c r="AM15" s="104" t="s">
        <v>104</v>
      </c>
      <c r="AO15" s="104" t="s">
        <v>105</v>
      </c>
      <c r="AQ15" s="104" t="s">
        <v>106</v>
      </c>
      <c r="AS15" s="105" t="s">
        <v>107</v>
      </c>
      <c r="AU15" s="104" t="s">
        <v>100</v>
      </c>
      <c r="AW15" s="114" t="s">
        <v>101</v>
      </c>
      <c r="AY15" s="105" t="s">
        <v>102</v>
      </c>
      <c r="AZ15" s="24"/>
    </row>
    <row r="16">
      <c r="A16" s="85">
        <f t="shared" si="9"/>
        <v>2569</v>
      </c>
      <c r="B16" s="86"/>
      <c r="E16" s="115" t="s">
        <v>219</v>
      </c>
      <c r="F16" s="116" t="s">
        <v>218</v>
      </c>
      <c r="G16" s="115" t="str">
        <f t="shared" ref="G16:J16" si="10">G10</f>
        <v>A9</v>
      </c>
      <c r="H16" s="9" t="str">
        <f t="shared" si="10"/>
        <v>B8</v>
      </c>
      <c r="I16" s="9" t="str">
        <f t="shared" si="10"/>
        <v>A2</v>
      </c>
      <c r="J16" s="9" t="str">
        <f t="shared" si="10"/>
        <v>B12</v>
      </c>
      <c r="K16" s="36"/>
      <c r="L16" s="117"/>
      <c r="M16" s="118" t="str">
        <f t="shared" ref="M16:P16" si="11">C16</f>
        <v/>
      </c>
      <c r="N16" s="119" t="str">
        <f t="shared" si="11"/>
        <v/>
      </c>
      <c r="O16" s="118" t="str">
        <f t="shared" si="11"/>
        <v>A3</v>
      </c>
      <c r="P16" s="118" t="str">
        <f t="shared" si="11"/>
        <v>B10</v>
      </c>
      <c r="Q16" s="118" t="str">
        <f t="shared" ref="Q16:R16" si="12">E17</f>
        <v>B10</v>
      </c>
      <c r="R16" s="119" t="str">
        <f t="shared" si="12"/>
        <v>C7</v>
      </c>
      <c r="S16" s="9" t="s">
        <v>219</v>
      </c>
      <c r="T16" s="110" t="s">
        <v>164</v>
      </c>
      <c r="U16" s="9" t="str">
        <f t="shared" ref="U16:W16" si="13">G16</f>
        <v>A9</v>
      </c>
      <c r="V16" s="119" t="str">
        <f t="shared" si="13"/>
        <v>B8</v>
      </c>
      <c r="W16" s="118" t="str">
        <f t="shared" si="13"/>
        <v>A2</v>
      </c>
      <c r="X16" s="120" t="str">
        <f>X10</f>
        <v>B12</v>
      </c>
      <c r="Y16" s="73" t="s">
        <v>80</v>
      </c>
      <c r="Z16" s="94" t="s">
        <v>117</v>
      </c>
      <c r="AA16" s="36"/>
      <c r="AB16" s="36"/>
      <c r="AC16" s="111"/>
      <c r="AD16" s="112"/>
      <c r="AE16" s="37"/>
      <c r="AF16" s="97"/>
      <c r="AG16" s="14"/>
      <c r="AH16" s="14"/>
      <c r="AI16" s="14"/>
      <c r="AJ16" s="113"/>
      <c r="AK16" s="105" t="s">
        <v>121</v>
      </c>
      <c r="AM16" s="104" t="s">
        <v>122</v>
      </c>
      <c r="AO16" s="104" t="s">
        <v>123</v>
      </c>
      <c r="AQ16" s="104" t="s">
        <v>124</v>
      </c>
      <c r="AS16" s="105" t="s">
        <v>125</v>
      </c>
      <c r="AU16" s="104" t="s">
        <v>118</v>
      </c>
      <c r="AW16" s="114" t="s">
        <v>119</v>
      </c>
      <c r="AY16" s="105" t="s">
        <v>120</v>
      </c>
      <c r="AZ16" s="24"/>
    </row>
    <row r="17">
      <c r="A17" s="85">
        <f t="shared" si="9"/>
        <v>2026</v>
      </c>
      <c r="B17" s="86"/>
      <c r="C17" s="12" t="s">
        <v>166</v>
      </c>
      <c r="E17" s="115" t="s">
        <v>218</v>
      </c>
      <c r="F17" s="116" t="s">
        <v>220</v>
      </c>
      <c r="G17" s="115"/>
      <c r="H17" s="118"/>
      <c r="I17" s="118"/>
      <c r="J17" s="118"/>
      <c r="K17" s="36"/>
      <c r="L17" s="117"/>
      <c r="M17" s="8"/>
      <c r="N17" s="121"/>
      <c r="O17" s="8"/>
      <c r="P17" s="8"/>
      <c r="Q17" s="8"/>
      <c r="R17" s="121"/>
      <c r="S17" s="8"/>
      <c r="T17" s="121"/>
      <c r="U17" s="9"/>
      <c r="V17" s="110"/>
      <c r="W17" s="9"/>
      <c r="X17" s="110"/>
      <c r="Y17" s="73" t="s">
        <v>98</v>
      </c>
      <c r="Z17" s="94" t="s">
        <v>128</v>
      </c>
      <c r="AA17" s="36"/>
      <c r="AB17" s="36"/>
      <c r="AC17" s="111"/>
      <c r="AD17" s="112"/>
      <c r="AE17" s="37"/>
      <c r="AF17" s="97"/>
      <c r="AG17" s="14"/>
      <c r="AH17" s="14"/>
      <c r="AI17" s="14"/>
      <c r="AJ17" s="113"/>
      <c r="AK17" s="105" t="s">
        <v>132</v>
      </c>
      <c r="AM17" s="104" t="s">
        <v>133</v>
      </c>
      <c r="AO17" s="104" t="s">
        <v>134</v>
      </c>
      <c r="AQ17" s="104" t="s">
        <v>135</v>
      </c>
      <c r="AS17" s="105" t="s">
        <v>136</v>
      </c>
      <c r="AU17" s="104" t="s">
        <v>129</v>
      </c>
      <c r="AW17" s="114" t="s">
        <v>130</v>
      </c>
      <c r="AY17" s="105" t="s">
        <v>131</v>
      </c>
      <c r="AZ17" s="24"/>
    </row>
    <row r="18">
      <c r="A18" s="272"/>
      <c r="B18" s="144"/>
      <c r="C18" s="1"/>
      <c r="D18" s="123"/>
      <c r="E18" s="145" t="s">
        <v>137</v>
      </c>
      <c r="F18" s="88"/>
      <c r="G18" s="146" t="str">
        <f>G12:H12</f>
        <v>อสูรเดือน S</v>
      </c>
      <c r="H18" s="147"/>
      <c r="I18" s="148" t="str">
        <f>I12:J12</f>
        <v>อสูรปี E</v>
      </c>
      <c r="J18" s="147"/>
      <c r="K18" s="149"/>
      <c r="L18" s="150"/>
      <c r="M18" s="151"/>
      <c r="N18" s="152"/>
      <c r="O18" s="151"/>
      <c r="P18" s="151"/>
      <c r="Q18" s="151"/>
      <c r="R18" s="152"/>
      <c r="S18" s="8"/>
      <c r="T18" s="121"/>
      <c r="U18" s="153"/>
      <c r="V18" s="154"/>
      <c r="W18" s="153"/>
      <c r="X18" s="154"/>
      <c r="Y18" s="127"/>
      <c r="Z18" s="155"/>
      <c r="AA18" s="156"/>
      <c r="AB18" s="156"/>
      <c r="AC18" s="111"/>
      <c r="AD18" s="112"/>
      <c r="AE18" s="37"/>
      <c r="AF18" s="97"/>
      <c r="AG18" s="14"/>
      <c r="AH18" s="14"/>
      <c r="AI18" s="14"/>
      <c r="AJ18" s="113"/>
      <c r="AQ18" s="128"/>
      <c r="AZ18" s="159"/>
      <c r="BA18" s="158"/>
      <c r="BB18" s="158"/>
      <c r="BC18" s="158"/>
    </row>
    <row r="19">
      <c r="A19" s="61" t="s">
        <v>158</v>
      </c>
      <c r="B19" s="62"/>
      <c r="C19" s="63"/>
      <c r="D19" s="63"/>
      <c r="E19" s="64">
        <f>(O20+P20+Q20+R20)/(O21+P21+Q21+R21)</f>
        <v>0.3625</v>
      </c>
      <c r="F19" s="65"/>
      <c r="G19" s="133"/>
      <c r="H19" s="66"/>
      <c r="I19" s="67"/>
      <c r="J19" s="67"/>
      <c r="K19" s="68"/>
      <c r="L19" s="69"/>
      <c r="M19" s="63" t="s">
        <v>64</v>
      </c>
      <c r="N19" s="70"/>
      <c r="O19" s="71" t="s">
        <v>65</v>
      </c>
      <c r="P19" s="72"/>
      <c r="Q19" s="72"/>
      <c r="R19" s="70"/>
      <c r="S19" s="71" t="s">
        <v>66</v>
      </c>
      <c r="T19" s="70"/>
      <c r="U19" s="71" t="s">
        <v>67</v>
      </c>
      <c r="V19" s="70"/>
      <c r="W19" s="71" t="s">
        <v>68</v>
      </c>
      <c r="X19" s="70"/>
      <c r="Y19" s="134" t="s">
        <v>80</v>
      </c>
      <c r="Z19" s="74" t="s">
        <v>170</v>
      </c>
      <c r="AA19" s="75" t="s">
        <v>171</v>
      </c>
      <c r="AB19" s="75" t="s">
        <v>172</v>
      </c>
      <c r="AC19" s="167" t="s">
        <v>173</v>
      </c>
      <c r="AD19" s="74" t="s">
        <v>174</v>
      </c>
      <c r="AE19" s="63" t="s">
        <v>34</v>
      </c>
      <c r="AF19" s="78" t="s">
        <v>144</v>
      </c>
      <c r="AG19" s="79" t="s">
        <v>71</v>
      </c>
      <c r="AH19" s="79">
        <v>210.0</v>
      </c>
      <c r="AI19" s="79" t="s">
        <v>175</v>
      </c>
      <c r="AJ19" s="80" t="str">
        <f>AJ13</f>
        <v>開</v>
      </c>
      <c r="AK19" s="81" t="s">
        <v>50</v>
      </c>
      <c r="AL19" s="82" t="str">
        <f>AL13</f>
        <v>休</v>
      </c>
      <c r="AM19" s="81" t="s">
        <v>52</v>
      </c>
      <c r="AN19" s="82" t="s">
        <v>4</v>
      </c>
      <c r="AO19" s="81" t="s">
        <v>38</v>
      </c>
      <c r="AP19" s="82" t="str">
        <f>AP13</f>
        <v>傷</v>
      </c>
      <c r="AQ19" s="81" t="s">
        <v>40</v>
      </c>
      <c r="AR19" s="82" t="s">
        <v>8</v>
      </c>
      <c r="AS19" s="81" t="s">
        <v>42</v>
      </c>
      <c r="AT19" s="82" t="str">
        <f>AT13</f>
        <v>景</v>
      </c>
      <c r="AU19" s="81" t="s">
        <v>44</v>
      </c>
      <c r="AV19" s="82" t="str">
        <f>AV13</f>
        <v>死</v>
      </c>
      <c r="AW19" s="81" t="s">
        <v>46</v>
      </c>
      <c r="AX19" s="82" t="str">
        <f>AX13</f>
        <v>驚</v>
      </c>
      <c r="AY19" s="81" t="s">
        <v>48</v>
      </c>
      <c r="AZ19" s="83"/>
      <c r="BA19" s="84"/>
      <c r="BB19" s="84"/>
      <c r="BC19" s="84"/>
    </row>
    <row r="20">
      <c r="A20" s="85">
        <f>A14+1</f>
        <v>3</v>
      </c>
      <c r="B20" s="86"/>
      <c r="C20" s="12" t="s">
        <v>187</v>
      </c>
      <c r="E20" s="168" t="s">
        <v>79</v>
      </c>
      <c r="G20" s="137" t="str">
        <f t="shared" ref="G20:G21" si="15">G8:H8</f>
        <v>己</v>
      </c>
      <c r="I20" s="138" t="str">
        <f t="shared" ref="I20:I21" si="16">I8:J8</f>
        <v>乙</v>
      </c>
      <c r="K20" s="90">
        <f>L20/L21</f>
        <v>0.445</v>
      </c>
      <c r="L20" s="126">
        <f t="shared" ref="L20:L21" si="17">O20+P20+Q20+U20+V20+W20+X20+R20+M20+N20+S20+T20</f>
        <v>445</v>
      </c>
      <c r="M20" s="92">
        <v>0.0</v>
      </c>
      <c r="N20" s="93">
        <v>0.0</v>
      </c>
      <c r="O20" s="92">
        <v>15.0</v>
      </c>
      <c r="P20" s="92">
        <v>60.0</v>
      </c>
      <c r="Q20" s="92">
        <v>50.0</v>
      </c>
      <c r="R20" s="93">
        <v>20.0</v>
      </c>
      <c r="S20" s="92">
        <v>40.0</v>
      </c>
      <c r="T20" s="93">
        <v>75.0</v>
      </c>
      <c r="U20" s="92">
        <f t="shared" ref="U20:X20" si="14">U8</f>
        <v>50</v>
      </c>
      <c r="V20" s="93">
        <f t="shared" si="14"/>
        <v>90</v>
      </c>
      <c r="W20" s="92">
        <f t="shared" si="14"/>
        <v>35</v>
      </c>
      <c r="X20" s="92">
        <f t="shared" si="14"/>
        <v>10</v>
      </c>
      <c r="Y20" s="73" t="s">
        <v>98</v>
      </c>
      <c r="Z20" s="94" t="s">
        <v>70</v>
      </c>
      <c r="AA20" s="36"/>
      <c r="AB20" s="169" t="s">
        <v>177</v>
      </c>
      <c r="AC20" s="170" t="s">
        <v>73</v>
      </c>
      <c r="AD20" s="94" t="s">
        <v>74</v>
      </c>
      <c r="AE20" s="37"/>
      <c r="AF20" s="97"/>
      <c r="AG20" s="12" t="s">
        <v>53</v>
      </c>
      <c r="AH20" s="12">
        <v>30.0</v>
      </c>
      <c r="AI20" s="12" t="s">
        <v>178</v>
      </c>
      <c r="AJ20" s="98" t="s">
        <v>39</v>
      </c>
      <c r="AK20" s="99" t="s">
        <v>93</v>
      </c>
      <c r="AL20" s="100" t="s">
        <v>37</v>
      </c>
      <c r="AM20" s="99" t="s">
        <v>94</v>
      </c>
      <c r="AN20" s="100" t="s">
        <v>51</v>
      </c>
      <c r="AO20" s="101" t="s">
        <v>95</v>
      </c>
      <c r="AP20" s="100" t="s">
        <v>86</v>
      </c>
      <c r="AQ20" s="99" t="s">
        <v>87</v>
      </c>
      <c r="AR20" s="100" t="s">
        <v>88</v>
      </c>
      <c r="AS20" s="101" t="s">
        <v>89</v>
      </c>
      <c r="AT20" s="100" t="s">
        <v>45</v>
      </c>
      <c r="AU20" s="102" t="s">
        <v>90</v>
      </c>
      <c r="AV20" s="100" t="s">
        <v>43</v>
      </c>
      <c r="AW20" s="101" t="s">
        <v>91</v>
      </c>
      <c r="AX20" s="100" t="s">
        <v>41</v>
      </c>
      <c r="AY20" s="103" t="s">
        <v>92</v>
      </c>
      <c r="AZ20" s="24"/>
    </row>
    <row r="21">
      <c r="A21" s="85" t="str">
        <f>A15</f>
        <v>มีนาคม</v>
      </c>
      <c r="B21" s="86"/>
      <c r="C21" s="161" t="s">
        <v>223</v>
      </c>
      <c r="E21" s="209" t="s">
        <v>76</v>
      </c>
      <c r="G21" s="180" t="str">
        <f t="shared" si="15"/>
        <v>丑</v>
      </c>
      <c r="I21" s="142" t="str">
        <f t="shared" si="16"/>
        <v>巳</v>
      </c>
      <c r="K21" s="36"/>
      <c r="L21" s="109">
        <f t="shared" si="17"/>
        <v>1000</v>
      </c>
      <c r="M21" s="9">
        <v>0.0</v>
      </c>
      <c r="N21" s="110">
        <v>0.0</v>
      </c>
      <c r="O21" s="9">
        <v>100.0</v>
      </c>
      <c r="P21" s="9">
        <v>100.0</v>
      </c>
      <c r="Q21" s="9">
        <v>100.0</v>
      </c>
      <c r="R21" s="110">
        <v>100.0</v>
      </c>
      <c r="S21" s="9">
        <v>100.0</v>
      </c>
      <c r="T21" s="110">
        <v>100.0</v>
      </c>
      <c r="U21" s="9">
        <v>100.0</v>
      </c>
      <c r="V21" s="110">
        <v>100.0</v>
      </c>
      <c r="W21" s="9">
        <v>100.0</v>
      </c>
      <c r="X21" s="110">
        <v>100.0</v>
      </c>
      <c r="Y21" s="73" t="s">
        <v>116</v>
      </c>
      <c r="Z21" s="94" t="s">
        <v>181</v>
      </c>
      <c r="AA21" s="36"/>
      <c r="AB21" s="36"/>
      <c r="AC21" s="111"/>
      <c r="AD21" s="112"/>
      <c r="AE21" s="37"/>
      <c r="AF21" s="97"/>
      <c r="AG21" s="14"/>
      <c r="AH21" s="14"/>
      <c r="AI21" s="14"/>
      <c r="AJ21" s="113"/>
      <c r="AK21" s="104" t="s">
        <v>105</v>
      </c>
      <c r="AM21" s="104" t="s">
        <v>106</v>
      </c>
      <c r="AO21" s="105" t="s">
        <v>107</v>
      </c>
      <c r="AQ21" s="104" t="s">
        <v>100</v>
      </c>
      <c r="AS21" s="114" t="s">
        <v>101</v>
      </c>
      <c r="AU21" s="105" t="s">
        <v>102</v>
      </c>
      <c r="AW21" s="105" t="s">
        <v>103</v>
      </c>
      <c r="AY21" s="104" t="s">
        <v>104</v>
      </c>
      <c r="AZ21" s="24"/>
    </row>
    <row r="22">
      <c r="A22" s="85">
        <f>A10</f>
        <v>2569</v>
      </c>
      <c r="B22" s="86"/>
      <c r="E22" s="115" t="s">
        <v>115</v>
      </c>
      <c r="F22" s="116" t="s">
        <v>214</v>
      </c>
      <c r="G22" s="115" t="str">
        <f t="shared" ref="G22:J22" si="18">G10</f>
        <v>A9</v>
      </c>
      <c r="H22" s="9" t="str">
        <f t="shared" si="18"/>
        <v>B8</v>
      </c>
      <c r="I22" s="9" t="str">
        <f t="shared" si="18"/>
        <v>A2</v>
      </c>
      <c r="J22" s="9" t="str">
        <f t="shared" si="18"/>
        <v>B12</v>
      </c>
      <c r="K22" s="36"/>
      <c r="L22" s="117"/>
      <c r="M22" s="118" t="str">
        <f t="shared" ref="M22:P22" si="19">C22</f>
        <v/>
      </c>
      <c r="N22" s="119" t="str">
        <f t="shared" si="19"/>
        <v/>
      </c>
      <c r="O22" s="118" t="str">
        <f t="shared" si="19"/>
        <v>A7</v>
      </c>
      <c r="P22" s="118" t="str">
        <f t="shared" si="19"/>
        <v>B11</v>
      </c>
      <c r="Q22" s="118" t="str">
        <f t="shared" ref="Q22:R22" si="20">E23</f>
        <v>B9</v>
      </c>
      <c r="R22" s="119" t="str">
        <f t="shared" si="20"/>
        <v>C8</v>
      </c>
      <c r="S22" s="9" t="s">
        <v>112</v>
      </c>
      <c r="T22" s="110" t="s">
        <v>165</v>
      </c>
      <c r="U22" s="9" t="str">
        <f t="shared" ref="U22:X22" si="21">G22</f>
        <v>A9</v>
      </c>
      <c r="V22" s="119" t="str">
        <f t="shared" si="21"/>
        <v>B8</v>
      </c>
      <c r="W22" s="118" t="str">
        <f t="shared" si="21"/>
        <v>A2</v>
      </c>
      <c r="X22" s="120" t="str">
        <f t="shared" si="21"/>
        <v>B12</v>
      </c>
      <c r="Y22" s="73" t="s">
        <v>126</v>
      </c>
      <c r="Z22" s="94" t="s">
        <v>163</v>
      </c>
      <c r="AA22" s="36"/>
      <c r="AB22" s="36"/>
      <c r="AC22" s="111"/>
      <c r="AD22" s="112"/>
      <c r="AE22" s="37"/>
      <c r="AF22" s="97"/>
      <c r="AG22" s="14"/>
      <c r="AH22" s="14"/>
      <c r="AI22" s="14"/>
      <c r="AJ22" s="113"/>
      <c r="AK22" s="104" t="s">
        <v>123</v>
      </c>
      <c r="AM22" s="104" t="s">
        <v>124</v>
      </c>
      <c r="AO22" s="105" t="s">
        <v>125</v>
      </c>
      <c r="AQ22" s="104" t="s">
        <v>118</v>
      </c>
      <c r="AS22" s="114" t="s">
        <v>119</v>
      </c>
      <c r="AU22" s="105" t="s">
        <v>120</v>
      </c>
      <c r="AW22" s="105" t="s">
        <v>121</v>
      </c>
      <c r="AY22" s="104" t="s">
        <v>122</v>
      </c>
      <c r="AZ22" s="24"/>
    </row>
    <row r="23">
      <c r="A23" s="85">
        <f>A22-543</f>
        <v>2026</v>
      </c>
      <c r="B23" s="86"/>
      <c r="C23" s="163"/>
      <c r="E23" s="115" t="s">
        <v>212</v>
      </c>
      <c r="F23" s="116" t="s">
        <v>225</v>
      </c>
      <c r="G23" s="115"/>
      <c r="H23" s="118"/>
      <c r="I23" s="118"/>
      <c r="J23" s="118"/>
      <c r="K23" s="36"/>
      <c r="L23" s="117"/>
      <c r="M23" s="8"/>
      <c r="N23" s="121"/>
      <c r="O23" s="8"/>
      <c r="P23" s="8"/>
      <c r="Q23" s="8"/>
      <c r="R23" s="121"/>
      <c r="S23" s="8"/>
      <c r="T23" s="121"/>
      <c r="U23" s="9"/>
      <c r="V23" s="110"/>
      <c r="W23" s="9"/>
      <c r="X23" s="110"/>
      <c r="Y23" s="73" t="s">
        <v>69</v>
      </c>
      <c r="Z23" s="94" t="s">
        <v>99</v>
      </c>
      <c r="AA23" s="36"/>
      <c r="AB23" s="36"/>
      <c r="AC23" s="111"/>
      <c r="AD23" s="112"/>
      <c r="AE23" s="37"/>
      <c r="AF23" s="97"/>
      <c r="AG23" s="14"/>
      <c r="AH23" s="14"/>
      <c r="AI23" s="14"/>
      <c r="AJ23" s="113"/>
      <c r="AK23" s="104" t="s">
        <v>134</v>
      </c>
      <c r="AM23" s="104" t="s">
        <v>135</v>
      </c>
      <c r="AO23" s="105" t="s">
        <v>136</v>
      </c>
      <c r="AQ23" s="104" t="s">
        <v>129</v>
      </c>
      <c r="AS23" s="114" t="s">
        <v>130</v>
      </c>
      <c r="AU23" s="105" t="s">
        <v>131</v>
      </c>
      <c r="AW23" s="105" t="s">
        <v>132</v>
      </c>
      <c r="AY23" s="104" t="s">
        <v>133</v>
      </c>
      <c r="AZ23" s="24"/>
    </row>
    <row r="24">
      <c r="A24" s="122"/>
      <c r="B24" s="2"/>
      <c r="C24" s="1"/>
      <c r="D24" s="123"/>
      <c r="E24" s="164" t="s">
        <v>157</v>
      </c>
      <c r="F24" s="88"/>
      <c r="G24" s="165" t="str">
        <f>G12:H12</f>
        <v>อสูรเดือน S</v>
      </c>
      <c r="I24" s="166" t="str">
        <f>I12:J12</f>
        <v>อสูรปี E</v>
      </c>
      <c r="K24" s="90"/>
      <c r="L24" s="126"/>
      <c r="M24" s="8"/>
      <c r="N24" s="121"/>
      <c r="O24" s="8"/>
      <c r="P24" s="8"/>
      <c r="Q24" s="8"/>
      <c r="R24" s="121"/>
      <c r="S24" s="8"/>
      <c r="T24" s="121"/>
      <c r="U24" s="9"/>
      <c r="V24" s="110"/>
      <c r="W24" s="9"/>
      <c r="X24" s="110"/>
      <c r="Y24" s="127"/>
      <c r="Z24" s="155"/>
      <c r="AA24" s="36"/>
      <c r="AB24" s="36"/>
      <c r="AC24" s="111"/>
      <c r="AD24" s="112"/>
      <c r="AE24" s="37"/>
      <c r="AF24" s="97"/>
      <c r="AG24" s="14"/>
      <c r="AH24" s="14"/>
      <c r="AI24" s="14"/>
      <c r="AJ24" s="113"/>
      <c r="AO24" s="128"/>
      <c r="AZ24" s="24"/>
    </row>
    <row r="25">
      <c r="A25" s="61" t="s">
        <v>169</v>
      </c>
      <c r="B25" s="62"/>
      <c r="C25" s="63"/>
      <c r="D25" s="63"/>
      <c r="E25" s="64">
        <f>(O26+P26+Q26+R26)/(O27+P27+Q27+R27)</f>
        <v>0.6875</v>
      </c>
      <c r="F25" s="65"/>
      <c r="G25" s="133"/>
      <c r="H25" s="66"/>
      <c r="I25" s="67"/>
      <c r="J25" s="67"/>
      <c r="K25" s="68"/>
      <c r="L25" s="69"/>
      <c r="M25" s="63" t="s">
        <v>64</v>
      </c>
      <c r="N25" s="70"/>
      <c r="O25" s="71" t="s">
        <v>65</v>
      </c>
      <c r="P25" s="72"/>
      <c r="Q25" s="72"/>
      <c r="R25" s="70"/>
      <c r="S25" s="71" t="s">
        <v>66</v>
      </c>
      <c r="T25" s="70"/>
      <c r="U25" s="71" t="s">
        <v>67</v>
      </c>
      <c r="V25" s="70"/>
      <c r="W25" s="71" t="s">
        <v>68</v>
      </c>
      <c r="X25" s="70"/>
      <c r="Y25" s="134" t="s">
        <v>80</v>
      </c>
      <c r="Z25" s="74" t="s">
        <v>159</v>
      </c>
      <c r="AA25" s="75" t="s">
        <v>54</v>
      </c>
      <c r="AB25" s="75" t="s">
        <v>309</v>
      </c>
      <c r="AC25" s="167" t="s">
        <v>173</v>
      </c>
      <c r="AD25" s="74" t="s">
        <v>174</v>
      </c>
      <c r="AE25" s="63" t="s">
        <v>34</v>
      </c>
      <c r="AF25" s="78" t="s">
        <v>36</v>
      </c>
      <c r="AG25" s="79" t="s">
        <v>84</v>
      </c>
      <c r="AH25" s="79">
        <v>0.0</v>
      </c>
      <c r="AI25" s="79" t="s">
        <v>85</v>
      </c>
      <c r="AJ25" s="80" t="str">
        <f>AJ19</f>
        <v>開</v>
      </c>
      <c r="AK25" s="81" t="s">
        <v>44</v>
      </c>
      <c r="AL25" s="82" t="str">
        <f>AL19</f>
        <v>休</v>
      </c>
      <c r="AM25" s="81" t="s">
        <v>46</v>
      </c>
      <c r="AN25" s="82" t="s">
        <v>4</v>
      </c>
      <c r="AO25" s="81" t="s">
        <v>48</v>
      </c>
      <c r="AP25" s="82" t="str">
        <f>AP19</f>
        <v>傷</v>
      </c>
      <c r="AQ25" s="81" t="s">
        <v>50</v>
      </c>
      <c r="AR25" s="82" t="s">
        <v>8</v>
      </c>
      <c r="AS25" s="81" t="s">
        <v>52</v>
      </c>
      <c r="AT25" s="82" t="str">
        <f>AT19</f>
        <v>景</v>
      </c>
      <c r="AU25" s="81" t="s">
        <v>38</v>
      </c>
      <c r="AV25" s="82" t="str">
        <f>AV19</f>
        <v>死</v>
      </c>
      <c r="AW25" s="81" t="s">
        <v>40</v>
      </c>
      <c r="AX25" s="82" t="str">
        <f>AX19</f>
        <v>驚</v>
      </c>
      <c r="AY25" s="81" t="s">
        <v>42</v>
      </c>
      <c r="AZ25" s="83"/>
      <c r="BA25" s="84"/>
      <c r="BB25" s="84"/>
      <c r="BC25" s="84"/>
    </row>
    <row r="26">
      <c r="A26" s="85">
        <f>A20+1</f>
        <v>4</v>
      </c>
      <c r="B26" s="86"/>
      <c r="C26" s="12" t="s">
        <v>176</v>
      </c>
      <c r="E26" s="168" t="s">
        <v>30</v>
      </c>
      <c r="F26" s="88"/>
      <c r="G26" s="137" t="str">
        <f t="shared" ref="G26:G27" si="23">G8:H8</f>
        <v>己</v>
      </c>
      <c r="I26" s="138" t="str">
        <f t="shared" ref="I26:I27" si="24">I8:J8</f>
        <v>乙</v>
      </c>
      <c r="K26" s="90">
        <f>L26/L27</f>
        <v>0.59</v>
      </c>
      <c r="L26" s="126">
        <f t="shared" ref="L26:L27" si="25">O26+P26+Q26+U26+V26+W26+X26+R26+M26+N26+S26+T26</f>
        <v>590</v>
      </c>
      <c r="M26" s="92">
        <v>0.0</v>
      </c>
      <c r="N26" s="93">
        <v>0.0</v>
      </c>
      <c r="O26" s="92">
        <v>75.0</v>
      </c>
      <c r="P26" s="92">
        <v>10.0</v>
      </c>
      <c r="Q26" s="92">
        <v>90.0</v>
      </c>
      <c r="R26" s="93">
        <v>100.0</v>
      </c>
      <c r="S26" s="92">
        <v>80.0</v>
      </c>
      <c r="T26" s="93">
        <v>50.0</v>
      </c>
      <c r="U26" s="92">
        <f t="shared" ref="U26:X26" si="22">U8</f>
        <v>50</v>
      </c>
      <c r="V26" s="93">
        <f t="shared" si="22"/>
        <v>90</v>
      </c>
      <c r="W26" s="92">
        <f t="shared" si="22"/>
        <v>35</v>
      </c>
      <c r="X26" s="93">
        <f t="shared" si="22"/>
        <v>10</v>
      </c>
      <c r="Y26" s="73" t="s">
        <v>98</v>
      </c>
      <c r="Z26" s="94" t="s">
        <v>152</v>
      </c>
      <c r="AA26" s="36"/>
      <c r="AB26" s="169"/>
      <c r="AC26" s="170" t="s">
        <v>73</v>
      </c>
      <c r="AD26" s="94" t="s">
        <v>74</v>
      </c>
      <c r="AE26" s="37"/>
      <c r="AF26" s="97"/>
      <c r="AG26" s="12" t="s">
        <v>76</v>
      </c>
      <c r="AH26" s="12">
        <v>240.0</v>
      </c>
      <c r="AI26" s="12" t="s">
        <v>77</v>
      </c>
      <c r="AJ26" s="98" t="s">
        <v>88</v>
      </c>
      <c r="AK26" s="101" t="s">
        <v>89</v>
      </c>
      <c r="AL26" s="100" t="s">
        <v>45</v>
      </c>
      <c r="AM26" s="102" t="s">
        <v>90</v>
      </c>
      <c r="AN26" s="100" t="s">
        <v>43</v>
      </c>
      <c r="AO26" s="101" t="s">
        <v>91</v>
      </c>
      <c r="AP26" s="100" t="s">
        <v>41</v>
      </c>
      <c r="AQ26" s="103" t="s">
        <v>92</v>
      </c>
      <c r="AR26" s="100" t="s">
        <v>39</v>
      </c>
      <c r="AS26" s="99" t="s">
        <v>93</v>
      </c>
      <c r="AT26" s="100" t="s">
        <v>37</v>
      </c>
      <c r="AU26" s="99" t="s">
        <v>94</v>
      </c>
      <c r="AV26" s="100" t="s">
        <v>51</v>
      </c>
      <c r="AW26" s="101" t="s">
        <v>95</v>
      </c>
      <c r="AX26" s="100" t="s">
        <v>86</v>
      </c>
      <c r="AY26" s="99" t="s">
        <v>87</v>
      </c>
      <c r="AZ26" s="24"/>
    </row>
    <row r="27">
      <c r="A27" s="85" t="str">
        <f>A15</f>
        <v>มีนาคม</v>
      </c>
      <c r="B27" s="86"/>
      <c r="C27" s="212" t="s">
        <v>228</v>
      </c>
      <c r="E27" s="209" t="s">
        <v>32</v>
      </c>
      <c r="G27" s="180" t="str">
        <f t="shared" si="23"/>
        <v>丑</v>
      </c>
      <c r="I27" s="142" t="str">
        <f t="shared" si="24"/>
        <v>巳</v>
      </c>
      <c r="K27" s="36"/>
      <c r="L27" s="109">
        <f t="shared" si="25"/>
        <v>1000</v>
      </c>
      <c r="M27" s="9">
        <v>0.0</v>
      </c>
      <c r="N27" s="110">
        <v>0.0</v>
      </c>
      <c r="O27" s="9">
        <v>100.0</v>
      </c>
      <c r="P27" s="9">
        <v>100.0</v>
      </c>
      <c r="Q27" s="9">
        <v>100.0</v>
      </c>
      <c r="R27" s="110">
        <v>100.0</v>
      </c>
      <c r="S27" s="9">
        <v>100.0</v>
      </c>
      <c r="T27" s="110">
        <v>100.0</v>
      </c>
      <c r="U27" s="9">
        <v>100.0</v>
      </c>
      <c r="V27" s="110">
        <v>100.0</v>
      </c>
      <c r="W27" s="9">
        <v>100.0</v>
      </c>
      <c r="X27" s="110">
        <v>100.0</v>
      </c>
      <c r="Y27" s="73" t="s">
        <v>116</v>
      </c>
      <c r="Z27" s="94" t="s">
        <v>81</v>
      </c>
      <c r="AA27" s="36"/>
      <c r="AB27" s="36"/>
      <c r="AC27" s="111"/>
      <c r="AD27" s="112"/>
      <c r="AE27" s="37"/>
      <c r="AF27" s="97"/>
      <c r="AG27" s="14"/>
      <c r="AH27" s="14"/>
      <c r="AI27" s="14"/>
      <c r="AJ27" s="113"/>
      <c r="AK27" s="114" t="s">
        <v>101</v>
      </c>
      <c r="AM27" s="105" t="s">
        <v>102</v>
      </c>
      <c r="AO27" s="105" t="s">
        <v>103</v>
      </c>
      <c r="AQ27" s="104" t="s">
        <v>104</v>
      </c>
      <c r="AS27" s="104" t="s">
        <v>105</v>
      </c>
      <c r="AU27" s="104" t="s">
        <v>106</v>
      </c>
      <c r="AW27" s="105" t="s">
        <v>107</v>
      </c>
      <c r="AY27" s="104" t="s">
        <v>100</v>
      </c>
      <c r="AZ27" s="24"/>
    </row>
    <row r="28">
      <c r="A28" s="85">
        <f>A10</f>
        <v>2569</v>
      </c>
      <c r="B28" s="86"/>
      <c r="E28" s="115" t="s">
        <v>182</v>
      </c>
      <c r="F28" s="116" t="s">
        <v>113</v>
      </c>
      <c r="G28" s="115" t="str">
        <f t="shared" ref="G28:J28" si="26">G10</f>
        <v>A9</v>
      </c>
      <c r="H28" s="9" t="str">
        <f t="shared" si="26"/>
        <v>B8</v>
      </c>
      <c r="I28" s="9" t="str">
        <f t="shared" si="26"/>
        <v>A2</v>
      </c>
      <c r="J28" s="9" t="str">
        <f t="shared" si="26"/>
        <v>B12</v>
      </c>
      <c r="K28" s="36"/>
      <c r="L28" s="117"/>
      <c r="M28" s="118" t="str">
        <f t="shared" ref="M28:P28" si="27">C28</f>
        <v/>
      </c>
      <c r="N28" s="119" t="str">
        <f t="shared" si="27"/>
        <v/>
      </c>
      <c r="O28" s="118" t="str">
        <f t="shared" si="27"/>
        <v>A1</v>
      </c>
      <c r="P28" s="118" t="str">
        <f t="shared" si="27"/>
        <v>B12</v>
      </c>
      <c r="Q28" s="118" t="str">
        <f t="shared" ref="Q28:R28" si="28">E29</f>
        <v>B8</v>
      </c>
      <c r="R28" s="119" t="str">
        <f t="shared" si="28"/>
        <v>C9</v>
      </c>
      <c r="S28" s="9" t="s">
        <v>182</v>
      </c>
      <c r="T28" s="110" t="s">
        <v>164</v>
      </c>
      <c r="U28" s="9" t="str">
        <f t="shared" ref="U28:X28" si="29">G28</f>
        <v>A9</v>
      </c>
      <c r="V28" s="119" t="str">
        <f t="shared" si="29"/>
        <v>B8</v>
      </c>
      <c r="W28" s="118" t="str">
        <f t="shared" si="29"/>
        <v>A2</v>
      </c>
      <c r="X28" s="120" t="str">
        <f t="shared" si="29"/>
        <v>B12</v>
      </c>
      <c r="Y28" s="73" t="s">
        <v>126</v>
      </c>
      <c r="Z28" s="94" t="s">
        <v>99</v>
      </c>
      <c r="AA28" s="36"/>
      <c r="AB28" s="36"/>
      <c r="AC28" s="111"/>
      <c r="AD28" s="112"/>
      <c r="AE28" s="37"/>
      <c r="AF28" s="97"/>
      <c r="AG28" s="14"/>
      <c r="AH28" s="14"/>
      <c r="AI28" s="14"/>
      <c r="AJ28" s="113"/>
      <c r="AK28" s="114" t="s">
        <v>119</v>
      </c>
      <c r="AM28" s="105" t="s">
        <v>120</v>
      </c>
      <c r="AO28" s="105" t="s">
        <v>121</v>
      </c>
      <c r="AQ28" s="104" t="s">
        <v>122</v>
      </c>
      <c r="AS28" s="104" t="s">
        <v>123</v>
      </c>
      <c r="AU28" s="104" t="s">
        <v>124</v>
      </c>
      <c r="AW28" s="105" t="s">
        <v>125</v>
      </c>
      <c r="AY28" s="104" t="s">
        <v>118</v>
      </c>
      <c r="AZ28" s="24"/>
    </row>
    <row r="29">
      <c r="A29" s="85">
        <f>A28-543</f>
        <v>2026</v>
      </c>
      <c r="B29" s="86"/>
      <c r="E29" s="115" t="s">
        <v>69</v>
      </c>
      <c r="F29" s="116" t="s">
        <v>229</v>
      </c>
      <c r="G29" s="115"/>
      <c r="H29" s="118"/>
      <c r="I29" s="118"/>
      <c r="J29" s="118"/>
      <c r="K29" s="36"/>
      <c r="L29" s="117"/>
      <c r="M29" s="8"/>
      <c r="N29" s="121"/>
      <c r="O29" s="8"/>
      <c r="P29" s="8"/>
      <c r="Q29" s="8"/>
      <c r="R29" s="121"/>
      <c r="S29" s="8"/>
      <c r="T29" s="121"/>
      <c r="U29" s="9"/>
      <c r="V29" s="110"/>
      <c r="W29" s="9"/>
      <c r="X29" s="110"/>
      <c r="Y29" s="73" t="s">
        <v>69</v>
      </c>
      <c r="Z29" s="94" t="s">
        <v>155</v>
      </c>
      <c r="AA29" s="36"/>
      <c r="AB29" s="36"/>
      <c r="AC29" s="111"/>
      <c r="AD29" s="112"/>
      <c r="AE29" s="37"/>
      <c r="AF29" s="97"/>
      <c r="AG29" s="14"/>
      <c r="AH29" s="14"/>
      <c r="AI29" s="14"/>
      <c r="AJ29" s="113"/>
      <c r="AK29" s="114" t="s">
        <v>130</v>
      </c>
      <c r="AM29" s="105" t="s">
        <v>131</v>
      </c>
      <c r="AO29" s="105" t="s">
        <v>132</v>
      </c>
      <c r="AQ29" s="104" t="s">
        <v>133</v>
      </c>
      <c r="AS29" s="104" t="s">
        <v>134</v>
      </c>
      <c r="AU29" s="104" t="s">
        <v>135</v>
      </c>
      <c r="AW29" s="105" t="s">
        <v>136</v>
      </c>
      <c r="AY29" s="104" t="s">
        <v>129</v>
      </c>
      <c r="AZ29" s="24"/>
    </row>
    <row r="30">
      <c r="A30" s="172"/>
      <c r="B30" s="144"/>
      <c r="C30" s="1"/>
      <c r="D30" s="123"/>
      <c r="E30" s="164" t="s">
        <v>168</v>
      </c>
      <c r="F30" s="88"/>
      <c r="G30" s="173" t="str">
        <f>G12:H12</f>
        <v>อสูรเดือน S</v>
      </c>
      <c r="H30" s="147"/>
      <c r="I30" s="174" t="str">
        <f>I12:J12</f>
        <v>อสูรปี E</v>
      </c>
      <c r="J30" s="147"/>
      <c r="K30" s="149"/>
      <c r="L30" s="150"/>
      <c r="M30" s="151"/>
      <c r="N30" s="152"/>
      <c r="O30" s="151"/>
      <c r="P30" s="151"/>
      <c r="Q30" s="151"/>
      <c r="R30" s="152"/>
      <c r="S30" s="151"/>
      <c r="T30" s="152"/>
      <c r="U30" s="153"/>
      <c r="V30" s="154"/>
      <c r="W30" s="153"/>
      <c r="X30" s="154"/>
      <c r="Y30" s="127"/>
      <c r="Z30" s="155"/>
      <c r="AA30" s="36"/>
      <c r="AB30" s="36"/>
      <c r="AC30" s="111"/>
      <c r="AD30" s="112"/>
      <c r="AE30" s="37"/>
      <c r="AF30" s="97"/>
      <c r="AG30" s="14"/>
      <c r="AH30" s="14"/>
      <c r="AI30" s="14"/>
      <c r="AJ30" s="113"/>
      <c r="AY30" s="128"/>
      <c r="AZ30" s="24"/>
    </row>
    <row r="31">
      <c r="A31" s="61" t="s">
        <v>186</v>
      </c>
      <c r="B31" s="83"/>
      <c r="C31" s="63"/>
      <c r="D31" s="63"/>
      <c r="E31" s="64">
        <f>(O32+P32+Q32+R32)/(O33+P33+Q33+R33)</f>
        <v>0.5625</v>
      </c>
      <c r="F31" s="65"/>
      <c r="G31" s="66"/>
      <c r="H31" s="66"/>
      <c r="I31" s="67"/>
      <c r="J31" s="67"/>
      <c r="K31" s="177"/>
      <c r="L31" s="178"/>
      <c r="M31" s="63" t="s">
        <v>64</v>
      </c>
      <c r="N31" s="70"/>
      <c r="O31" s="71" t="s">
        <v>65</v>
      </c>
      <c r="P31" s="72"/>
      <c r="Q31" s="72"/>
      <c r="R31" s="70"/>
      <c r="S31" s="71" t="s">
        <v>66</v>
      </c>
      <c r="T31" s="70"/>
      <c r="U31" s="71" t="s">
        <v>67</v>
      </c>
      <c r="V31" s="70"/>
      <c r="W31" s="71" t="s">
        <v>68</v>
      </c>
      <c r="X31" s="70"/>
      <c r="Y31" s="134" t="s">
        <v>80</v>
      </c>
      <c r="Z31" s="74" t="s">
        <v>159</v>
      </c>
      <c r="AA31" s="75" t="s">
        <v>54</v>
      </c>
      <c r="AB31" s="75" t="s">
        <v>309</v>
      </c>
      <c r="AC31" s="167" t="s">
        <v>173</v>
      </c>
      <c r="AD31" s="74" t="s">
        <v>174</v>
      </c>
      <c r="AE31" s="63" t="s">
        <v>34</v>
      </c>
      <c r="AF31" s="78" t="s">
        <v>36</v>
      </c>
      <c r="AG31" s="79" t="s">
        <v>84</v>
      </c>
      <c r="AH31" s="79">
        <v>0.0</v>
      </c>
      <c r="AI31" s="79" t="s">
        <v>85</v>
      </c>
      <c r="AJ31" s="80" t="str">
        <f>AJ25</f>
        <v>開</v>
      </c>
      <c r="AK31" s="81" t="s">
        <v>44</v>
      </c>
      <c r="AL31" s="82" t="str">
        <f>AL25</f>
        <v>休</v>
      </c>
      <c r="AM31" s="81" t="s">
        <v>46</v>
      </c>
      <c r="AN31" s="82" t="s">
        <v>4</v>
      </c>
      <c r="AO31" s="81" t="s">
        <v>48</v>
      </c>
      <c r="AP31" s="82" t="str">
        <f>AP25</f>
        <v>傷</v>
      </c>
      <c r="AQ31" s="81" t="s">
        <v>50</v>
      </c>
      <c r="AR31" s="82" t="s">
        <v>8</v>
      </c>
      <c r="AS31" s="81" t="s">
        <v>52</v>
      </c>
      <c r="AT31" s="82" t="str">
        <f>AT25</f>
        <v>景</v>
      </c>
      <c r="AU31" s="81" t="s">
        <v>38</v>
      </c>
      <c r="AV31" s="82" t="str">
        <f>AV25</f>
        <v>死</v>
      </c>
      <c r="AW31" s="81" t="s">
        <v>40</v>
      </c>
      <c r="AX31" s="82" t="str">
        <f>AX25</f>
        <v>驚</v>
      </c>
      <c r="AY31" s="81" t="s">
        <v>42</v>
      </c>
      <c r="AZ31" s="83"/>
      <c r="BA31" s="84"/>
      <c r="BB31" s="84"/>
      <c r="BC31" s="84"/>
    </row>
    <row r="32">
      <c r="A32" s="179">
        <f t="shared" ref="A32:A33" si="30">A26</f>
        <v>4</v>
      </c>
      <c r="B32" s="86"/>
      <c r="C32" s="12" t="s">
        <v>176</v>
      </c>
      <c r="E32" s="168" t="s">
        <v>30</v>
      </c>
      <c r="F32" s="88"/>
      <c r="G32" s="273" t="str">
        <f t="shared" ref="G32:G33" si="31">G3:H3</f>
        <v>庚</v>
      </c>
      <c r="I32" s="268" t="str">
        <f t="shared" ref="I32:I33" si="32">I3:J3</f>
        <v>丙</v>
      </c>
      <c r="K32" s="90">
        <f>L32/L33</f>
        <v>0.51</v>
      </c>
      <c r="L32" s="126">
        <f t="shared" ref="L32:L33" si="33">O32+P32+Q32+U32+V32+W32+X32+R32+M32+N32+S32+T32</f>
        <v>510</v>
      </c>
      <c r="M32" s="92">
        <v>0.0</v>
      </c>
      <c r="N32" s="93">
        <v>0.0</v>
      </c>
      <c r="O32" s="92">
        <v>75.0</v>
      </c>
      <c r="P32" s="92">
        <v>40.0</v>
      </c>
      <c r="Q32" s="92">
        <v>90.0</v>
      </c>
      <c r="R32" s="93">
        <v>20.0</v>
      </c>
      <c r="S32" s="92">
        <v>110.0</v>
      </c>
      <c r="T32" s="93">
        <v>5.0</v>
      </c>
      <c r="U32" s="92">
        <v>0.0</v>
      </c>
      <c r="V32" s="93">
        <v>0.0</v>
      </c>
      <c r="W32" s="92">
        <v>110.0</v>
      </c>
      <c r="X32" s="93">
        <v>60.0</v>
      </c>
      <c r="Y32" s="73" t="s">
        <v>98</v>
      </c>
      <c r="Z32" s="94" t="s">
        <v>152</v>
      </c>
      <c r="AA32" s="36"/>
      <c r="AB32" s="169"/>
      <c r="AC32" s="170" t="s">
        <v>73</v>
      </c>
      <c r="AD32" s="94" t="s">
        <v>74</v>
      </c>
      <c r="AE32" s="37"/>
      <c r="AF32" s="97"/>
      <c r="AG32" s="12" t="s">
        <v>76</v>
      </c>
      <c r="AH32" s="12">
        <v>240.0</v>
      </c>
      <c r="AI32" s="12" t="s">
        <v>77</v>
      </c>
      <c r="AJ32" s="98" t="s">
        <v>88</v>
      </c>
      <c r="AK32" s="101" t="s">
        <v>89</v>
      </c>
      <c r="AL32" s="100" t="s">
        <v>45</v>
      </c>
      <c r="AM32" s="102" t="s">
        <v>90</v>
      </c>
      <c r="AN32" s="100" t="s">
        <v>43</v>
      </c>
      <c r="AO32" s="101" t="s">
        <v>91</v>
      </c>
      <c r="AP32" s="100" t="s">
        <v>41</v>
      </c>
      <c r="AQ32" s="103" t="s">
        <v>92</v>
      </c>
      <c r="AR32" s="100" t="s">
        <v>39</v>
      </c>
      <c r="AS32" s="99" t="s">
        <v>93</v>
      </c>
      <c r="AT32" s="100" t="s">
        <v>37</v>
      </c>
      <c r="AU32" s="99" t="s">
        <v>94</v>
      </c>
      <c r="AV32" s="100" t="s">
        <v>51</v>
      </c>
      <c r="AW32" s="101" t="s">
        <v>95</v>
      </c>
      <c r="AX32" s="100" t="s">
        <v>86</v>
      </c>
      <c r="AY32" s="99" t="s">
        <v>87</v>
      </c>
      <c r="AZ32" s="24"/>
    </row>
    <row r="33">
      <c r="A33" s="85" t="str">
        <f t="shared" si="30"/>
        <v>มีนาคม</v>
      </c>
      <c r="B33" s="86"/>
      <c r="C33" s="140" t="s">
        <v>310</v>
      </c>
      <c r="E33" s="209" t="s">
        <v>32</v>
      </c>
      <c r="G33" s="274" t="str">
        <f t="shared" si="31"/>
        <v>寅</v>
      </c>
      <c r="I33" s="35" t="str">
        <f t="shared" si="32"/>
        <v>午</v>
      </c>
      <c r="K33" s="36"/>
      <c r="L33" s="109">
        <f t="shared" si="33"/>
        <v>1000</v>
      </c>
      <c r="M33" s="9">
        <v>0.0</v>
      </c>
      <c r="N33" s="110">
        <v>0.0</v>
      </c>
      <c r="O33" s="9">
        <v>100.0</v>
      </c>
      <c r="P33" s="9">
        <v>100.0</v>
      </c>
      <c r="Q33" s="9">
        <v>100.0</v>
      </c>
      <c r="R33" s="110">
        <v>100.0</v>
      </c>
      <c r="S33" s="9">
        <v>100.0</v>
      </c>
      <c r="T33" s="110">
        <v>100.0</v>
      </c>
      <c r="U33" s="9">
        <v>100.0</v>
      </c>
      <c r="V33" s="110">
        <v>100.0</v>
      </c>
      <c r="W33" s="9">
        <v>100.0</v>
      </c>
      <c r="X33" s="110">
        <v>100.0</v>
      </c>
      <c r="Y33" s="73" t="s">
        <v>116</v>
      </c>
      <c r="Z33" s="94" t="s">
        <v>81</v>
      </c>
      <c r="AA33" s="36"/>
      <c r="AB33" s="36"/>
      <c r="AC33" s="111"/>
      <c r="AD33" s="112"/>
      <c r="AE33" s="37"/>
      <c r="AF33" s="97"/>
      <c r="AG33" s="14"/>
      <c r="AH33" s="14"/>
      <c r="AI33" s="14"/>
      <c r="AJ33" s="113"/>
      <c r="AK33" s="114" t="s">
        <v>101</v>
      </c>
      <c r="AM33" s="105" t="s">
        <v>102</v>
      </c>
      <c r="AO33" s="105" t="s">
        <v>103</v>
      </c>
      <c r="AQ33" s="104" t="s">
        <v>104</v>
      </c>
      <c r="AS33" s="104" t="s">
        <v>105</v>
      </c>
      <c r="AU33" s="104" t="s">
        <v>106</v>
      </c>
      <c r="AW33" s="105" t="s">
        <v>107</v>
      </c>
      <c r="AY33" s="104" t="s">
        <v>100</v>
      </c>
      <c r="AZ33" s="24"/>
    </row>
    <row r="34">
      <c r="A34" s="85">
        <f>A10</f>
        <v>2569</v>
      </c>
      <c r="B34" s="86"/>
      <c r="E34" s="115" t="s">
        <v>182</v>
      </c>
      <c r="F34" s="116" t="s">
        <v>69</v>
      </c>
      <c r="G34" s="9" t="s">
        <v>114</v>
      </c>
      <c r="H34" s="9" t="s">
        <v>111</v>
      </c>
      <c r="I34" s="9" t="s">
        <v>204</v>
      </c>
      <c r="J34" s="9" t="s">
        <v>214</v>
      </c>
      <c r="K34" s="36"/>
      <c r="L34" s="117"/>
      <c r="M34" s="118" t="str">
        <f t="shared" ref="M34:P34" si="34">C34</f>
        <v/>
      </c>
      <c r="N34" s="119" t="str">
        <f t="shared" si="34"/>
        <v/>
      </c>
      <c r="O34" s="118" t="str">
        <f t="shared" si="34"/>
        <v>A1</v>
      </c>
      <c r="P34" s="118" t="str">
        <f t="shared" si="34"/>
        <v>B8</v>
      </c>
      <c r="Q34" s="118" t="str">
        <f t="shared" ref="Q34:R34" si="35">E35</f>
        <v>B8</v>
      </c>
      <c r="R34" s="119" t="str">
        <f t="shared" si="35"/>
        <v>C8</v>
      </c>
      <c r="S34" s="9" t="s">
        <v>204</v>
      </c>
      <c r="T34" s="110" t="s">
        <v>108</v>
      </c>
      <c r="U34" s="9" t="str">
        <f t="shared" ref="U34:X34" si="36">G34</f>
        <v>A10</v>
      </c>
      <c r="V34" s="110" t="str">
        <f t="shared" si="36"/>
        <v>B7</v>
      </c>
      <c r="W34" s="118" t="str">
        <f t="shared" si="36"/>
        <v>A5</v>
      </c>
      <c r="X34" s="120" t="str">
        <f t="shared" si="36"/>
        <v>B11</v>
      </c>
      <c r="Y34" s="73" t="s">
        <v>126</v>
      </c>
      <c r="Z34" s="94" t="s">
        <v>99</v>
      </c>
      <c r="AA34" s="36"/>
      <c r="AB34" s="36"/>
      <c r="AC34" s="111"/>
      <c r="AD34" s="112"/>
      <c r="AE34" s="37"/>
      <c r="AF34" s="97"/>
      <c r="AG34" s="14"/>
      <c r="AH34" s="14"/>
      <c r="AI34" s="14"/>
      <c r="AJ34" s="113"/>
      <c r="AK34" s="114" t="s">
        <v>119</v>
      </c>
      <c r="AM34" s="105" t="s">
        <v>120</v>
      </c>
      <c r="AO34" s="105" t="s">
        <v>121</v>
      </c>
      <c r="AQ34" s="104" t="s">
        <v>122</v>
      </c>
      <c r="AS34" s="104" t="s">
        <v>123</v>
      </c>
      <c r="AU34" s="104" t="s">
        <v>124</v>
      </c>
      <c r="AW34" s="105" t="s">
        <v>125</v>
      </c>
      <c r="AY34" s="104" t="s">
        <v>118</v>
      </c>
      <c r="AZ34" s="24"/>
    </row>
    <row r="35">
      <c r="A35" s="85">
        <f>A34-543</f>
        <v>2026</v>
      </c>
      <c r="B35" s="86"/>
      <c r="C35" s="181"/>
      <c r="E35" s="115" t="s">
        <v>69</v>
      </c>
      <c r="F35" s="116" t="s">
        <v>225</v>
      </c>
      <c r="G35" s="9"/>
      <c r="H35" s="118"/>
      <c r="I35" s="118"/>
      <c r="J35" s="118"/>
      <c r="K35" s="182"/>
      <c r="L35" s="183"/>
      <c r="M35" s="8"/>
      <c r="N35" s="121"/>
      <c r="O35" s="8"/>
      <c r="P35" s="8"/>
      <c r="Q35" s="8"/>
      <c r="R35" s="121"/>
      <c r="S35" s="8"/>
      <c r="T35" s="121"/>
      <c r="U35" s="9"/>
      <c r="V35" s="110"/>
      <c r="W35" s="9"/>
      <c r="X35" s="110"/>
      <c r="Y35" s="73" t="s">
        <v>69</v>
      </c>
      <c r="Z35" s="94" t="s">
        <v>155</v>
      </c>
      <c r="AA35" s="36"/>
      <c r="AB35" s="36"/>
      <c r="AC35" s="111"/>
      <c r="AD35" s="112"/>
      <c r="AE35" s="37"/>
      <c r="AF35" s="97"/>
      <c r="AG35" s="14"/>
      <c r="AH35" s="14"/>
      <c r="AI35" s="14"/>
      <c r="AJ35" s="113"/>
      <c r="AK35" s="114" t="s">
        <v>130</v>
      </c>
      <c r="AM35" s="105" t="s">
        <v>131</v>
      </c>
      <c r="AO35" s="105" t="s">
        <v>132</v>
      </c>
      <c r="AQ35" s="104" t="s">
        <v>133</v>
      </c>
      <c r="AS35" s="104" t="s">
        <v>134</v>
      </c>
      <c r="AU35" s="104" t="s">
        <v>135</v>
      </c>
      <c r="AW35" s="105" t="s">
        <v>136</v>
      </c>
      <c r="AY35" s="104" t="s">
        <v>129</v>
      </c>
      <c r="AZ35" s="24"/>
    </row>
    <row r="36">
      <c r="A36" s="184">
        <v>0.12569444444444444</v>
      </c>
      <c r="B36" s="2"/>
      <c r="C36" s="185"/>
      <c r="D36" s="186"/>
      <c r="E36" s="176" t="s">
        <v>168</v>
      </c>
      <c r="F36" s="88"/>
      <c r="G36" s="39" t="s">
        <v>304</v>
      </c>
      <c r="I36" s="166" t="str">
        <f>I12:J12</f>
        <v>อสูรปี E</v>
      </c>
      <c r="K36" s="90"/>
      <c r="L36" s="126"/>
      <c r="M36" s="8"/>
      <c r="N36" s="121"/>
      <c r="O36" s="8"/>
      <c r="P36" s="8"/>
      <c r="Q36" s="8"/>
      <c r="R36" s="121"/>
      <c r="S36" s="8"/>
      <c r="T36" s="121"/>
      <c r="U36" s="9"/>
      <c r="V36" s="110"/>
      <c r="W36" s="9"/>
      <c r="X36" s="110"/>
      <c r="Y36" s="127"/>
      <c r="Z36" s="155"/>
      <c r="AA36" s="36"/>
      <c r="AB36" s="36"/>
      <c r="AC36" s="111"/>
      <c r="AD36" s="112"/>
      <c r="AE36" s="37"/>
      <c r="AF36" s="97"/>
      <c r="AG36" s="14"/>
      <c r="AH36" s="14"/>
      <c r="AI36" s="14"/>
      <c r="AJ36" s="113"/>
      <c r="AY36" s="128"/>
      <c r="AZ36" s="24"/>
    </row>
    <row r="37">
      <c r="A37" s="188" t="s">
        <v>191</v>
      </c>
      <c r="B37" s="189"/>
      <c r="C37" s="63"/>
      <c r="D37" s="72"/>
      <c r="E37" s="64">
        <f>(O38+P38+Q38+R38)/(O39+P39+Q39+R39)</f>
        <v>0.475</v>
      </c>
      <c r="F37" s="65"/>
      <c r="G37" s="133"/>
      <c r="H37" s="66"/>
      <c r="I37" s="67"/>
      <c r="J37" s="67"/>
      <c r="K37" s="68"/>
      <c r="L37" s="69"/>
      <c r="M37" s="63" t="s">
        <v>64</v>
      </c>
      <c r="N37" s="70"/>
      <c r="O37" s="71" t="s">
        <v>65</v>
      </c>
      <c r="P37" s="72"/>
      <c r="Q37" s="72"/>
      <c r="R37" s="70"/>
      <c r="S37" s="71" t="s">
        <v>66</v>
      </c>
      <c r="T37" s="70"/>
      <c r="U37" s="71" t="s">
        <v>67</v>
      </c>
      <c r="V37" s="70"/>
      <c r="W37" s="71" t="s">
        <v>68</v>
      </c>
      <c r="X37" s="70"/>
      <c r="Y37" s="134" t="s">
        <v>80</v>
      </c>
      <c r="Z37" s="74" t="s">
        <v>181</v>
      </c>
      <c r="AA37" s="75" t="s">
        <v>197</v>
      </c>
      <c r="AB37" s="75" t="s">
        <v>311</v>
      </c>
      <c r="AC37" s="190" t="s">
        <v>173</v>
      </c>
      <c r="AD37" s="77" t="s">
        <v>193</v>
      </c>
      <c r="AE37" s="63" t="s">
        <v>36</v>
      </c>
      <c r="AF37" s="78" t="s">
        <v>34</v>
      </c>
      <c r="AG37" s="79" t="s">
        <v>53</v>
      </c>
      <c r="AH37" s="79">
        <v>30.0</v>
      </c>
      <c r="AI37" s="79" t="s">
        <v>178</v>
      </c>
      <c r="AJ37" s="80" t="str">
        <f>AJ31</f>
        <v>開</v>
      </c>
      <c r="AK37" s="81" t="s">
        <v>44</v>
      </c>
      <c r="AL37" s="82" t="str">
        <f>AL31</f>
        <v>休</v>
      </c>
      <c r="AM37" s="81" t="s">
        <v>46</v>
      </c>
      <c r="AN37" s="82" t="s">
        <v>4</v>
      </c>
      <c r="AO37" s="81" t="s">
        <v>48</v>
      </c>
      <c r="AP37" s="82" t="str">
        <f>AP31</f>
        <v>傷</v>
      </c>
      <c r="AQ37" s="81" t="s">
        <v>50</v>
      </c>
      <c r="AR37" s="82" t="s">
        <v>8</v>
      </c>
      <c r="AS37" s="81" t="s">
        <v>52</v>
      </c>
      <c r="AT37" s="82" t="str">
        <f>AT31</f>
        <v>景</v>
      </c>
      <c r="AU37" s="81" t="s">
        <v>38</v>
      </c>
      <c r="AV37" s="82" t="str">
        <f>AV31</f>
        <v>死</v>
      </c>
      <c r="AW37" s="81" t="s">
        <v>40</v>
      </c>
      <c r="AX37" s="82" t="str">
        <f>AX31</f>
        <v>驚</v>
      </c>
      <c r="AY37" s="81" t="s">
        <v>42</v>
      </c>
      <c r="AZ37" s="191"/>
      <c r="BA37" s="84"/>
      <c r="BB37" s="84"/>
      <c r="BC37" s="84"/>
    </row>
    <row r="38">
      <c r="A38" s="192">
        <f>A32+1</f>
        <v>5</v>
      </c>
      <c r="B38" s="193"/>
      <c r="C38" s="12" t="s">
        <v>248</v>
      </c>
      <c r="E38" s="194" t="s">
        <v>195</v>
      </c>
      <c r="G38" s="273" t="str">
        <f t="shared" ref="G38:G39" si="38">G32:H32</f>
        <v>庚</v>
      </c>
      <c r="I38" s="275" t="str">
        <f t="shared" ref="I38:I39" si="39">I32:J32</f>
        <v>丙</v>
      </c>
      <c r="K38" s="90">
        <f>L38/L39</f>
        <v>0.39</v>
      </c>
      <c r="L38" s="126">
        <f t="shared" ref="L38:L39" si="40">O38+P38+Q38+U38+V38+W38+X38+R38+M38+N38+S38+T38</f>
        <v>390</v>
      </c>
      <c r="M38" s="92">
        <v>0.0</v>
      </c>
      <c r="N38" s="93">
        <v>0.0</v>
      </c>
      <c r="O38" s="92">
        <v>30.0</v>
      </c>
      <c r="P38" s="92">
        <v>60.0</v>
      </c>
      <c r="Q38" s="92">
        <v>0.0</v>
      </c>
      <c r="R38" s="93">
        <v>100.0</v>
      </c>
      <c r="S38" s="92">
        <v>30.0</v>
      </c>
      <c r="T38" s="93">
        <v>0.0</v>
      </c>
      <c r="U38" s="92">
        <f t="shared" ref="U38:X38" si="37">U32</f>
        <v>0</v>
      </c>
      <c r="V38" s="93">
        <f t="shared" si="37"/>
        <v>0</v>
      </c>
      <c r="W38" s="92">
        <f t="shared" si="37"/>
        <v>110</v>
      </c>
      <c r="X38" s="93">
        <f t="shared" si="37"/>
        <v>60</v>
      </c>
      <c r="Y38" s="73" t="s">
        <v>98</v>
      </c>
      <c r="Z38" s="94" t="s">
        <v>163</v>
      </c>
      <c r="AA38" s="36"/>
      <c r="AB38" s="36"/>
      <c r="AC38" s="195" t="s">
        <v>196</v>
      </c>
      <c r="AD38" s="96" t="s">
        <v>149</v>
      </c>
      <c r="AE38" s="37"/>
      <c r="AF38" s="97"/>
      <c r="AG38" s="12" t="s">
        <v>71</v>
      </c>
      <c r="AH38" s="12">
        <v>210.0</v>
      </c>
      <c r="AI38" s="12" t="s">
        <v>175</v>
      </c>
      <c r="AJ38" s="98" t="s">
        <v>43</v>
      </c>
      <c r="AK38" s="101" t="s">
        <v>91</v>
      </c>
      <c r="AL38" s="100" t="s">
        <v>41</v>
      </c>
      <c r="AM38" s="103" t="s">
        <v>92</v>
      </c>
      <c r="AN38" s="100" t="s">
        <v>39</v>
      </c>
      <c r="AO38" s="99" t="s">
        <v>93</v>
      </c>
      <c r="AP38" s="100" t="s">
        <v>37</v>
      </c>
      <c r="AQ38" s="99" t="s">
        <v>94</v>
      </c>
      <c r="AR38" s="100" t="s">
        <v>51</v>
      </c>
      <c r="AS38" s="101" t="s">
        <v>95</v>
      </c>
      <c r="AT38" s="100" t="s">
        <v>86</v>
      </c>
      <c r="AU38" s="99" t="s">
        <v>87</v>
      </c>
      <c r="AV38" s="100" t="s">
        <v>88</v>
      </c>
      <c r="AW38" s="101" t="s">
        <v>89</v>
      </c>
      <c r="AX38" s="100" t="s">
        <v>45</v>
      </c>
      <c r="AY38" s="102" t="s">
        <v>90</v>
      </c>
      <c r="AZ38" s="24"/>
    </row>
    <row r="39">
      <c r="A39" s="196" t="str">
        <f>A33</f>
        <v>มีนาคม</v>
      </c>
      <c r="B39" s="193"/>
      <c r="C39" s="161" t="s">
        <v>223</v>
      </c>
      <c r="E39" s="162" t="s">
        <v>206</v>
      </c>
      <c r="G39" s="274" t="str">
        <f t="shared" si="38"/>
        <v>寅</v>
      </c>
      <c r="I39" s="142" t="str">
        <f t="shared" si="39"/>
        <v>午</v>
      </c>
      <c r="K39" s="36"/>
      <c r="L39" s="109">
        <f t="shared" si="40"/>
        <v>1000</v>
      </c>
      <c r="M39" s="9">
        <v>0.0</v>
      </c>
      <c r="N39" s="110">
        <v>0.0</v>
      </c>
      <c r="O39" s="9">
        <v>100.0</v>
      </c>
      <c r="P39" s="9">
        <v>100.0</v>
      </c>
      <c r="Q39" s="9">
        <v>100.0</v>
      </c>
      <c r="R39" s="110">
        <v>100.0</v>
      </c>
      <c r="S39" s="9">
        <v>100.0</v>
      </c>
      <c r="T39" s="110">
        <v>100.0</v>
      </c>
      <c r="U39" s="9">
        <v>100.0</v>
      </c>
      <c r="V39" s="110">
        <v>100.0</v>
      </c>
      <c r="W39" s="9">
        <v>100.0</v>
      </c>
      <c r="X39" s="110">
        <v>100.0</v>
      </c>
      <c r="Y39" s="73" t="s">
        <v>116</v>
      </c>
      <c r="Z39" s="94" t="s">
        <v>153</v>
      </c>
      <c r="AA39" s="36"/>
      <c r="AB39" s="36"/>
      <c r="AC39" s="111"/>
      <c r="AD39" s="112"/>
      <c r="AE39" s="37"/>
      <c r="AF39" s="97"/>
      <c r="AG39" s="14"/>
      <c r="AH39" s="14"/>
      <c r="AI39" s="14"/>
      <c r="AJ39" s="113"/>
      <c r="AK39" s="105" t="s">
        <v>103</v>
      </c>
      <c r="AM39" s="104" t="s">
        <v>104</v>
      </c>
      <c r="AO39" s="104" t="s">
        <v>105</v>
      </c>
      <c r="AQ39" s="104" t="s">
        <v>106</v>
      </c>
      <c r="AS39" s="105" t="s">
        <v>107</v>
      </c>
      <c r="AU39" s="104" t="s">
        <v>100</v>
      </c>
      <c r="AW39" s="114" t="s">
        <v>101</v>
      </c>
      <c r="AY39" s="105" t="s">
        <v>102</v>
      </c>
      <c r="AZ39" s="24"/>
    </row>
    <row r="40">
      <c r="A40" s="192">
        <f>A10</f>
        <v>2569</v>
      </c>
      <c r="B40" s="193"/>
      <c r="E40" s="115" t="s">
        <v>198</v>
      </c>
      <c r="F40" s="116" t="s">
        <v>214</v>
      </c>
      <c r="G40" s="115" t="str">
        <f t="shared" ref="G40:J40" si="41">G34</f>
        <v>A10</v>
      </c>
      <c r="H40" s="9" t="str">
        <f t="shared" si="41"/>
        <v>B7</v>
      </c>
      <c r="I40" s="9" t="str">
        <f t="shared" si="41"/>
        <v>A5</v>
      </c>
      <c r="J40" s="9" t="str">
        <f t="shared" si="41"/>
        <v>B11</v>
      </c>
      <c r="K40" s="36"/>
      <c r="L40" s="117"/>
      <c r="M40" s="118" t="str">
        <f t="shared" ref="M40:P40" si="42">C40</f>
        <v/>
      </c>
      <c r="N40" s="119" t="str">
        <f t="shared" si="42"/>
        <v/>
      </c>
      <c r="O40" s="118" t="str">
        <f t="shared" si="42"/>
        <v>A6</v>
      </c>
      <c r="P40" s="118" t="str">
        <f t="shared" si="42"/>
        <v>B11</v>
      </c>
      <c r="Q40" s="118" t="str">
        <f t="shared" ref="Q40:R40" si="43">E41</f>
        <v>B7</v>
      </c>
      <c r="R40" s="119" t="str">
        <f t="shared" si="43"/>
        <v>C9</v>
      </c>
      <c r="S40" s="9" t="s">
        <v>198</v>
      </c>
      <c r="T40" s="110" t="s">
        <v>114</v>
      </c>
      <c r="U40" s="9" t="str">
        <f t="shared" ref="U40:X40" si="44">G40</f>
        <v>A10</v>
      </c>
      <c r="V40" s="119" t="str">
        <f t="shared" si="44"/>
        <v>B7</v>
      </c>
      <c r="W40" s="118" t="str">
        <f t="shared" si="44"/>
        <v>A5</v>
      </c>
      <c r="X40" s="120" t="str">
        <f t="shared" si="44"/>
        <v>B11</v>
      </c>
      <c r="Y40" s="73" t="s">
        <v>126</v>
      </c>
      <c r="Z40" s="94" t="s">
        <v>155</v>
      </c>
      <c r="AA40" s="36"/>
      <c r="AB40" s="36"/>
      <c r="AC40" s="111"/>
      <c r="AD40" s="112"/>
      <c r="AE40" s="37"/>
      <c r="AF40" s="97"/>
      <c r="AG40" s="14"/>
      <c r="AH40" s="14"/>
      <c r="AI40" s="14"/>
      <c r="AJ40" s="113"/>
      <c r="AK40" s="105" t="s">
        <v>121</v>
      </c>
      <c r="AM40" s="104" t="s">
        <v>122</v>
      </c>
      <c r="AO40" s="104" t="s">
        <v>123</v>
      </c>
      <c r="AQ40" s="104" t="s">
        <v>124</v>
      </c>
      <c r="AS40" s="105" t="s">
        <v>125</v>
      </c>
      <c r="AU40" s="104" t="s">
        <v>118</v>
      </c>
      <c r="AW40" s="114" t="s">
        <v>119</v>
      </c>
      <c r="AY40" s="105" t="s">
        <v>120</v>
      </c>
      <c r="AZ40" s="24"/>
    </row>
    <row r="41">
      <c r="A41" s="192">
        <f>A40-543</f>
        <v>2026</v>
      </c>
      <c r="B41" s="193"/>
      <c r="E41" s="115" t="s">
        <v>111</v>
      </c>
      <c r="F41" s="116" t="s">
        <v>229</v>
      </c>
      <c r="G41" s="115"/>
      <c r="H41" s="118"/>
      <c r="I41" s="118"/>
      <c r="J41" s="118"/>
      <c r="K41" s="36"/>
      <c r="L41" s="117"/>
      <c r="M41" s="8"/>
      <c r="N41" s="121"/>
      <c r="O41" s="8"/>
      <c r="P41" s="8"/>
      <c r="Q41" s="8"/>
      <c r="R41" s="121"/>
      <c r="S41" s="8"/>
      <c r="T41" s="121"/>
      <c r="U41" s="9"/>
      <c r="V41" s="110"/>
      <c r="W41" s="9"/>
      <c r="X41" s="110"/>
      <c r="Y41" s="73" t="s">
        <v>69</v>
      </c>
      <c r="Z41" s="94" t="s">
        <v>128</v>
      </c>
      <c r="AA41" s="36"/>
      <c r="AB41" s="36"/>
      <c r="AC41" s="111"/>
      <c r="AD41" s="112"/>
      <c r="AE41" s="37"/>
      <c r="AF41" s="97"/>
      <c r="AG41" s="14"/>
      <c r="AH41" s="14"/>
      <c r="AI41" s="14"/>
      <c r="AJ41" s="113"/>
      <c r="AK41" s="105" t="s">
        <v>132</v>
      </c>
      <c r="AM41" s="104" t="s">
        <v>133</v>
      </c>
      <c r="AO41" s="104" t="s">
        <v>134</v>
      </c>
      <c r="AQ41" s="104" t="s">
        <v>135</v>
      </c>
      <c r="AS41" s="105" t="s">
        <v>136</v>
      </c>
      <c r="AU41" s="104" t="s">
        <v>129</v>
      </c>
      <c r="AW41" s="114" t="s">
        <v>130</v>
      </c>
      <c r="AY41" s="105" t="s">
        <v>131</v>
      </c>
      <c r="AZ41" s="24"/>
    </row>
    <row r="42">
      <c r="A42" s="213" t="s">
        <v>230</v>
      </c>
      <c r="B42" s="197"/>
      <c r="C42" s="123"/>
      <c r="D42" s="123"/>
      <c r="E42" s="198" t="s">
        <v>185</v>
      </c>
      <c r="F42" s="88"/>
      <c r="G42" s="165" t="str">
        <f>G36:H36</f>
        <v>อสูรเดือน N</v>
      </c>
      <c r="I42" s="166" t="str">
        <f>I12:J12</f>
        <v>อสูรปี E</v>
      </c>
      <c r="K42" s="90"/>
      <c r="L42" s="126"/>
      <c r="M42" s="8"/>
      <c r="N42" s="121"/>
      <c r="O42" s="8"/>
      <c r="P42" s="8"/>
      <c r="Q42" s="8"/>
      <c r="R42" s="121"/>
      <c r="S42" s="8"/>
      <c r="T42" s="121"/>
      <c r="U42" s="9"/>
      <c r="V42" s="110"/>
      <c r="W42" s="9"/>
      <c r="X42" s="110"/>
      <c r="Y42" s="127"/>
      <c r="Z42" s="155"/>
      <c r="AA42" s="36"/>
      <c r="AB42" s="36"/>
      <c r="AC42" s="111"/>
      <c r="AD42" s="112"/>
      <c r="AE42" s="37"/>
      <c r="AF42" s="97"/>
      <c r="AG42" s="14"/>
      <c r="AH42" s="14"/>
      <c r="AI42" s="14"/>
      <c r="AJ42" s="113"/>
      <c r="AQ42" s="128"/>
      <c r="AZ42" s="24"/>
    </row>
    <row r="43">
      <c r="A43" s="188" t="s">
        <v>199</v>
      </c>
      <c r="B43" s="189"/>
      <c r="C43" s="63"/>
      <c r="D43" s="63"/>
      <c r="E43" s="64">
        <f>(O44+P44+Q44+R44)/(O45+P45+Q45+R45)</f>
        <v>0.4125</v>
      </c>
      <c r="F43" s="65"/>
      <c r="G43" s="133"/>
      <c r="H43" s="66"/>
      <c r="I43" s="67"/>
      <c r="J43" s="67"/>
      <c r="K43" s="68"/>
      <c r="L43" s="69"/>
      <c r="M43" s="63" t="s">
        <v>64</v>
      </c>
      <c r="N43" s="70"/>
      <c r="O43" s="71" t="s">
        <v>65</v>
      </c>
      <c r="P43" s="72"/>
      <c r="Q43" s="72"/>
      <c r="R43" s="70"/>
      <c r="S43" s="71" t="s">
        <v>66</v>
      </c>
      <c r="T43" s="70"/>
      <c r="U43" s="71" t="s">
        <v>67</v>
      </c>
      <c r="V43" s="70"/>
      <c r="W43" s="71" t="s">
        <v>68</v>
      </c>
      <c r="X43" s="70"/>
      <c r="Y43" s="134" t="s">
        <v>69</v>
      </c>
      <c r="Z43" s="74" t="s">
        <v>70</v>
      </c>
      <c r="AA43" s="75" t="s">
        <v>180</v>
      </c>
      <c r="AB43" s="75" t="s">
        <v>312</v>
      </c>
      <c r="AC43" s="190" t="s">
        <v>173</v>
      </c>
      <c r="AD43" s="77" t="s">
        <v>193</v>
      </c>
      <c r="AE43" s="63" t="s">
        <v>36</v>
      </c>
      <c r="AF43" s="78" t="s">
        <v>75</v>
      </c>
      <c r="AG43" s="79" t="s">
        <v>180</v>
      </c>
      <c r="AH43" s="79">
        <v>60.0</v>
      </c>
      <c r="AI43" s="79" t="s">
        <v>200</v>
      </c>
      <c r="AJ43" s="80" t="str">
        <f>AJ37</f>
        <v>開</v>
      </c>
      <c r="AK43" s="81" t="s">
        <v>52</v>
      </c>
      <c r="AL43" s="82" t="str">
        <f>AL37</f>
        <v>休</v>
      </c>
      <c r="AM43" s="81" t="s">
        <v>38</v>
      </c>
      <c r="AN43" s="82" t="s">
        <v>4</v>
      </c>
      <c r="AO43" s="81" t="s">
        <v>40</v>
      </c>
      <c r="AP43" s="82" t="str">
        <f>AP37</f>
        <v>傷</v>
      </c>
      <c r="AQ43" s="81" t="s">
        <v>42</v>
      </c>
      <c r="AR43" s="82" t="str">
        <f>AR37</f>
        <v>杜</v>
      </c>
      <c r="AS43" s="81" t="s">
        <v>44</v>
      </c>
      <c r="AT43" s="82" t="str">
        <f>AT37</f>
        <v>景</v>
      </c>
      <c r="AU43" s="81" t="s">
        <v>46</v>
      </c>
      <c r="AV43" s="82" t="str">
        <f>AV37</f>
        <v>死</v>
      </c>
      <c r="AW43" s="81" t="s">
        <v>48</v>
      </c>
      <c r="AX43" s="82" t="str">
        <f>AX37</f>
        <v>驚</v>
      </c>
      <c r="AY43" s="81" t="s">
        <v>50</v>
      </c>
      <c r="AZ43" s="83"/>
      <c r="BA43" s="84"/>
      <c r="BB43" s="84"/>
      <c r="BC43" s="84"/>
    </row>
    <row r="44">
      <c r="A44" s="192">
        <f>A38+1</f>
        <v>6</v>
      </c>
      <c r="B44" s="193"/>
      <c r="C44" s="12" t="s">
        <v>249</v>
      </c>
      <c r="E44" s="199" t="s">
        <v>201</v>
      </c>
      <c r="G44" s="273" t="str">
        <f t="shared" ref="G44:G45" si="46">G32:H32</f>
        <v>庚</v>
      </c>
      <c r="I44" s="268" t="str">
        <f t="shared" ref="I44:I45" si="47">I32:J32</f>
        <v>丙</v>
      </c>
      <c r="K44" s="90">
        <f>L44/L45</f>
        <v>0.42</v>
      </c>
      <c r="L44" s="126">
        <f t="shared" ref="L44:L45" si="48">O44+P44+Q44+U44+V44+W44+X44+R44+M44+N44+S44+T44</f>
        <v>420</v>
      </c>
      <c r="M44" s="92">
        <v>0.0</v>
      </c>
      <c r="N44" s="93">
        <v>0.0</v>
      </c>
      <c r="O44" s="92">
        <v>35.0</v>
      </c>
      <c r="P44" s="92">
        <v>10.0</v>
      </c>
      <c r="Q44" s="92">
        <v>90.0</v>
      </c>
      <c r="R44" s="93">
        <v>30.0</v>
      </c>
      <c r="S44" s="92">
        <v>20.0</v>
      </c>
      <c r="T44" s="93">
        <v>65.0</v>
      </c>
      <c r="U44" s="92">
        <f t="shared" ref="U44:X44" si="45">U32</f>
        <v>0</v>
      </c>
      <c r="V44" s="93">
        <f t="shared" si="45"/>
        <v>0</v>
      </c>
      <c r="W44" s="92">
        <f t="shared" si="45"/>
        <v>110</v>
      </c>
      <c r="X44" s="93">
        <f t="shared" si="45"/>
        <v>60</v>
      </c>
      <c r="Y44" s="73" t="s">
        <v>80</v>
      </c>
      <c r="Z44" s="94" t="s">
        <v>81</v>
      </c>
      <c r="AA44" s="36"/>
      <c r="AB44" s="169"/>
      <c r="AC44" s="195" t="s">
        <v>196</v>
      </c>
      <c r="AD44" s="96" t="s">
        <v>149</v>
      </c>
      <c r="AE44" s="37"/>
      <c r="AF44" s="97"/>
      <c r="AG44" s="12" t="s">
        <v>202</v>
      </c>
      <c r="AH44" s="12">
        <v>180.0</v>
      </c>
      <c r="AI44" s="12" t="s">
        <v>203</v>
      </c>
      <c r="AJ44" s="98" t="s">
        <v>43</v>
      </c>
      <c r="AK44" s="101" t="s">
        <v>91</v>
      </c>
      <c r="AL44" s="100" t="s">
        <v>41</v>
      </c>
      <c r="AM44" s="103" t="s">
        <v>92</v>
      </c>
      <c r="AN44" s="100" t="s">
        <v>39</v>
      </c>
      <c r="AO44" s="99" t="s">
        <v>93</v>
      </c>
      <c r="AP44" s="100" t="s">
        <v>37</v>
      </c>
      <c r="AQ44" s="99" t="s">
        <v>94</v>
      </c>
      <c r="AR44" s="100" t="s">
        <v>51</v>
      </c>
      <c r="AS44" s="101" t="s">
        <v>95</v>
      </c>
      <c r="AT44" s="100" t="s">
        <v>86</v>
      </c>
      <c r="AU44" s="99" t="s">
        <v>87</v>
      </c>
      <c r="AV44" s="100" t="s">
        <v>88</v>
      </c>
      <c r="AW44" s="101" t="s">
        <v>89</v>
      </c>
      <c r="AX44" s="100" t="s">
        <v>45</v>
      </c>
      <c r="AY44" s="102" t="s">
        <v>90</v>
      </c>
      <c r="AZ44" s="24"/>
    </row>
    <row r="45">
      <c r="A45" s="200" t="str">
        <f>G2</f>
        <v>กุมภาพันธ์</v>
      </c>
      <c r="B45" s="193"/>
      <c r="C45" s="212" t="s">
        <v>228</v>
      </c>
      <c r="E45" s="107" t="s">
        <v>97</v>
      </c>
      <c r="G45" s="274" t="str">
        <f t="shared" si="46"/>
        <v>寅</v>
      </c>
      <c r="I45" s="142" t="str">
        <f t="shared" si="47"/>
        <v>午</v>
      </c>
      <c r="K45" s="36"/>
      <c r="L45" s="109">
        <f t="shared" si="48"/>
        <v>1000</v>
      </c>
      <c r="M45" s="9">
        <v>0.0</v>
      </c>
      <c r="N45" s="110">
        <v>0.0</v>
      </c>
      <c r="O45" s="9">
        <v>100.0</v>
      </c>
      <c r="P45" s="9">
        <v>100.0</v>
      </c>
      <c r="Q45" s="9">
        <v>100.0</v>
      </c>
      <c r="R45" s="110">
        <v>100.0</v>
      </c>
      <c r="S45" s="9">
        <v>100.0</v>
      </c>
      <c r="T45" s="110">
        <v>100.0</v>
      </c>
      <c r="U45" s="9">
        <v>100.0</v>
      </c>
      <c r="V45" s="110">
        <v>100.0</v>
      </c>
      <c r="W45" s="9">
        <v>100.0</v>
      </c>
      <c r="X45" s="110">
        <v>100.0</v>
      </c>
      <c r="Y45" s="73" t="s">
        <v>98</v>
      </c>
      <c r="Z45" s="94" t="s">
        <v>99</v>
      </c>
      <c r="AA45" s="36"/>
      <c r="AB45" s="36"/>
      <c r="AC45" s="111"/>
      <c r="AD45" s="112"/>
      <c r="AE45" s="37"/>
      <c r="AF45" s="97"/>
      <c r="AG45" s="14"/>
      <c r="AH45" s="14"/>
      <c r="AI45" s="14"/>
      <c r="AJ45" s="113"/>
      <c r="AK45" s="105" t="s">
        <v>103</v>
      </c>
      <c r="AM45" s="104" t="s">
        <v>104</v>
      </c>
      <c r="AO45" s="104" t="s">
        <v>105</v>
      </c>
      <c r="AQ45" s="104" t="s">
        <v>106</v>
      </c>
      <c r="AS45" s="105" t="s">
        <v>107</v>
      </c>
      <c r="AU45" s="104" t="s">
        <v>100</v>
      </c>
      <c r="AW45" s="114" t="s">
        <v>101</v>
      </c>
      <c r="AY45" s="105" t="s">
        <v>102</v>
      </c>
      <c r="AZ45" s="24"/>
    </row>
    <row r="46">
      <c r="A46" s="192">
        <f>A10</f>
        <v>2569</v>
      </c>
      <c r="B46" s="193"/>
      <c r="E46" s="115" t="s">
        <v>112</v>
      </c>
      <c r="F46" s="116" t="s">
        <v>113</v>
      </c>
      <c r="G46" s="115" t="str">
        <f t="shared" ref="G46:J46" si="49">G34</f>
        <v>A10</v>
      </c>
      <c r="H46" s="9" t="str">
        <f t="shared" si="49"/>
        <v>B7</v>
      </c>
      <c r="I46" s="9" t="str">
        <f t="shared" si="49"/>
        <v>A5</v>
      </c>
      <c r="J46" s="9" t="str">
        <f t="shared" si="49"/>
        <v>B11</v>
      </c>
      <c r="K46" s="36"/>
      <c r="L46" s="117"/>
      <c r="M46" s="118" t="str">
        <f t="shared" ref="M46:P46" si="50">C46</f>
        <v/>
      </c>
      <c r="N46" s="119" t="str">
        <f t="shared" si="50"/>
        <v/>
      </c>
      <c r="O46" s="118" t="str">
        <f t="shared" si="50"/>
        <v>A2</v>
      </c>
      <c r="P46" s="118" t="str">
        <f t="shared" si="50"/>
        <v>B12</v>
      </c>
      <c r="Q46" s="118" t="str">
        <f t="shared" ref="Q46:R46" si="51">E47</f>
        <v>B6</v>
      </c>
      <c r="R46" s="119" t="str">
        <f t="shared" si="51"/>
        <v>C10</v>
      </c>
      <c r="S46" s="9" t="s">
        <v>115</v>
      </c>
      <c r="T46" s="110" t="s">
        <v>110</v>
      </c>
      <c r="U46" s="9" t="str">
        <f t="shared" ref="U46:X46" si="52">G46</f>
        <v>A10</v>
      </c>
      <c r="V46" s="119" t="str">
        <f t="shared" si="52"/>
        <v>B7</v>
      </c>
      <c r="W46" s="118" t="str">
        <f t="shared" si="52"/>
        <v>A5</v>
      </c>
      <c r="X46" s="120" t="str">
        <f t="shared" si="52"/>
        <v>B11</v>
      </c>
      <c r="Y46" s="73" t="s">
        <v>116</v>
      </c>
      <c r="Z46" s="94" t="s">
        <v>117</v>
      </c>
      <c r="AA46" s="36"/>
      <c r="AB46" s="36"/>
      <c r="AC46" s="111"/>
      <c r="AD46" s="112"/>
      <c r="AE46" s="37"/>
      <c r="AF46" s="97"/>
      <c r="AG46" s="14"/>
      <c r="AH46" s="14"/>
      <c r="AI46" s="14"/>
      <c r="AJ46" s="113"/>
      <c r="AK46" s="105" t="s">
        <v>121</v>
      </c>
      <c r="AM46" s="104" t="s">
        <v>122</v>
      </c>
      <c r="AO46" s="104" t="s">
        <v>123</v>
      </c>
      <c r="AQ46" s="104" t="s">
        <v>124</v>
      </c>
      <c r="AS46" s="105" t="s">
        <v>125</v>
      </c>
      <c r="AU46" s="104" t="s">
        <v>118</v>
      </c>
      <c r="AW46" s="114" t="s">
        <v>119</v>
      </c>
      <c r="AY46" s="105" t="s">
        <v>120</v>
      </c>
      <c r="AZ46" s="24"/>
    </row>
    <row r="47">
      <c r="A47" s="192">
        <f>A46-543</f>
        <v>2026</v>
      </c>
      <c r="B47" s="193"/>
      <c r="E47" s="115" t="s">
        <v>126</v>
      </c>
      <c r="F47" s="116" t="s">
        <v>232</v>
      </c>
      <c r="G47" s="115"/>
      <c r="H47" s="118"/>
      <c r="I47" s="118"/>
      <c r="J47" s="118"/>
      <c r="K47" s="36"/>
      <c r="L47" s="117"/>
      <c r="N47" s="117"/>
      <c r="O47" s="118"/>
      <c r="P47" s="118"/>
      <c r="Q47" s="118"/>
      <c r="R47" s="119"/>
      <c r="S47" s="118"/>
      <c r="T47" s="119"/>
      <c r="V47" s="117"/>
      <c r="X47" s="117"/>
      <c r="Y47" s="73" t="s">
        <v>126</v>
      </c>
      <c r="Z47" s="94" t="s">
        <v>128</v>
      </c>
      <c r="AA47" s="36"/>
      <c r="AB47" s="36"/>
      <c r="AC47" s="111"/>
      <c r="AD47" s="112"/>
      <c r="AE47" s="37"/>
      <c r="AF47" s="97"/>
      <c r="AG47" s="14"/>
      <c r="AH47" s="14"/>
      <c r="AI47" s="14"/>
      <c r="AJ47" s="113"/>
      <c r="AK47" s="105" t="s">
        <v>132</v>
      </c>
      <c r="AM47" s="104" t="s">
        <v>133</v>
      </c>
      <c r="AO47" s="104" t="s">
        <v>134</v>
      </c>
      <c r="AQ47" s="104" t="s">
        <v>135</v>
      </c>
      <c r="AS47" s="105" t="s">
        <v>136</v>
      </c>
      <c r="AU47" s="104" t="s">
        <v>129</v>
      </c>
      <c r="AW47" s="114" t="s">
        <v>130</v>
      </c>
      <c r="AY47" s="105" t="s">
        <v>131</v>
      </c>
      <c r="AZ47" s="24"/>
    </row>
    <row r="48">
      <c r="A48" s="196"/>
      <c r="B48" s="197"/>
      <c r="C48" s="123"/>
      <c r="D48" s="123"/>
      <c r="E48" s="164" t="s">
        <v>137</v>
      </c>
      <c r="F48" s="88"/>
      <c r="G48" s="165" t="str">
        <f>G36:H36</f>
        <v>อสูรเดือน N</v>
      </c>
      <c r="I48" s="166" t="str">
        <f>I12:J12</f>
        <v>อสูรปี E</v>
      </c>
      <c r="K48" s="90"/>
      <c r="L48" s="126"/>
      <c r="M48" s="8"/>
      <c r="N48" s="121"/>
      <c r="O48" s="9"/>
      <c r="P48" s="9"/>
      <c r="Q48" s="9"/>
      <c r="R48" s="110"/>
      <c r="S48" s="9"/>
      <c r="T48" s="110"/>
      <c r="U48" s="9"/>
      <c r="V48" s="110"/>
      <c r="W48" s="9"/>
      <c r="X48" s="110"/>
      <c r="Y48" s="127"/>
      <c r="Z48" s="155"/>
      <c r="AA48" s="36"/>
      <c r="AB48" s="36"/>
      <c r="AC48" s="111"/>
      <c r="AD48" s="112"/>
      <c r="AE48" s="37"/>
      <c r="AF48" s="97"/>
      <c r="AG48" s="14"/>
      <c r="AH48" s="14"/>
      <c r="AI48" s="14"/>
      <c r="AJ48" s="113"/>
      <c r="AQ48" s="128"/>
      <c r="AZ48" s="24"/>
    </row>
    <row r="49">
      <c r="A49" s="188" t="s">
        <v>63</v>
      </c>
      <c r="B49" s="189"/>
      <c r="C49" s="63"/>
      <c r="D49" s="63"/>
      <c r="E49" s="216">
        <f>(O50+P50+Q50+R50)/(O51+P51+Q51+R51)</f>
        <v>0.9</v>
      </c>
      <c r="F49" s="65"/>
      <c r="G49" s="133"/>
      <c r="H49" s="72"/>
      <c r="I49" s="67"/>
      <c r="J49" s="72"/>
      <c r="K49" s="68"/>
      <c r="L49" s="69"/>
      <c r="M49" s="63" t="s">
        <v>64</v>
      </c>
      <c r="N49" s="70"/>
      <c r="O49" s="71" t="s">
        <v>65</v>
      </c>
      <c r="P49" s="72"/>
      <c r="Q49" s="72"/>
      <c r="R49" s="70"/>
      <c r="S49" s="71" t="s">
        <v>66</v>
      </c>
      <c r="T49" s="70"/>
      <c r="U49" s="71" t="s">
        <v>67</v>
      </c>
      <c r="V49" s="70"/>
      <c r="W49" s="71" t="s">
        <v>68</v>
      </c>
      <c r="X49" s="70"/>
      <c r="Y49" s="134" t="s">
        <v>116</v>
      </c>
      <c r="Z49" s="74" t="s">
        <v>140</v>
      </c>
      <c r="AA49" s="75" t="s">
        <v>76</v>
      </c>
      <c r="AB49" s="75" t="s">
        <v>243</v>
      </c>
      <c r="AC49" s="202" t="s">
        <v>142</v>
      </c>
      <c r="AD49" s="74" t="s">
        <v>143</v>
      </c>
      <c r="AE49" s="63" t="s">
        <v>144</v>
      </c>
      <c r="AF49" s="78" t="s">
        <v>144</v>
      </c>
      <c r="AG49" s="79" t="s">
        <v>189</v>
      </c>
      <c r="AH49" s="79">
        <v>90.0</v>
      </c>
      <c r="AI49" s="79" t="s">
        <v>208</v>
      </c>
      <c r="AJ49" s="80" t="str">
        <f>AJ43</f>
        <v>開</v>
      </c>
      <c r="AK49" s="81" t="s">
        <v>48</v>
      </c>
      <c r="AL49" s="82" t="str">
        <f>AL43</f>
        <v>休</v>
      </c>
      <c r="AM49" s="81" t="s">
        <v>50</v>
      </c>
      <c r="AN49" s="82" t="s">
        <v>4</v>
      </c>
      <c r="AO49" s="81" t="s">
        <v>52</v>
      </c>
      <c r="AP49" s="82" t="str">
        <f>AP43</f>
        <v>傷</v>
      </c>
      <c r="AQ49" s="81" t="s">
        <v>38</v>
      </c>
      <c r="AR49" s="82" t="s">
        <v>8</v>
      </c>
      <c r="AS49" s="81" t="s">
        <v>40</v>
      </c>
      <c r="AT49" s="82" t="str">
        <f>AT43</f>
        <v>景</v>
      </c>
      <c r="AU49" s="81" t="s">
        <v>42</v>
      </c>
      <c r="AV49" s="82" t="str">
        <f>AV43</f>
        <v>死</v>
      </c>
      <c r="AW49" s="81" t="s">
        <v>44</v>
      </c>
      <c r="AX49" s="82" t="str">
        <f>AX43</f>
        <v>驚</v>
      </c>
      <c r="AY49" s="81" t="s">
        <v>46</v>
      </c>
      <c r="AZ49" s="83"/>
      <c r="BA49" s="84"/>
      <c r="BB49" s="84"/>
      <c r="BC49" s="84"/>
    </row>
    <row r="50">
      <c r="A50" s="192">
        <f>A44+1</f>
        <v>7</v>
      </c>
      <c r="B50" s="193"/>
      <c r="C50" s="12" t="s">
        <v>270</v>
      </c>
      <c r="E50" s="203" t="s">
        <v>209</v>
      </c>
      <c r="G50" s="273" t="str">
        <f t="shared" ref="G50:G51" si="54">G32:H32</f>
        <v>庚</v>
      </c>
      <c r="I50" s="268" t="str">
        <f t="shared" ref="I50:I51" si="55">I32:J32</f>
        <v>丙</v>
      </c>
      <c r="K50" s="90">
        <f>L50/L51</f>
        <v>0.56</v>
      </c>
      <c r="L50" s="126">
        <f t="shared" ref="L50:L51" si="56">O50+P50+Q50+U50+V50+W50+X50+R50+M50+N50+S50+T50</f>
        <v>560</v>
      </c>
      <c r="M50" s="92">
        <v>0.0</v>
      </c>
      <c r="N50" s="93">
        <v>0.0</v>
      </c>
      <c r="O50" s="92">
        <v>110.0</v>
      </c>
      <c r="P50" s="92">
        <v>70.0</v>
      </c>
      <c r="Q50" s="92">
        <v>100.0</v>
      </c>
      <c r="R50" s="93">
        <v>80.0</v>
      </c>
      <c r="S50" s="92">
        <v>10.0</v>
      </c>
      <c r="T50" s="93">
        <v>20.0</v>
      </c>
      <c r="U50" s="92">
        <f t="shared" ref="U50:X50" si="53">U32</f>
        <v>0</v>
      </c>
      <c r="V50" s="93">
        <f t="shared" si="53"/>
        <v>0</v>
      </c>
      <c r="W50" s="92">
        <f t="shared" si="53"/>
        <v>110</v>
      </c>
      <c r="X50" s="93">
        <f t="shared" si="53"/>
        <v>60</v>
      </c>
      <c r="Y50" s="73" t="s">
        <v>126</v>
      </c>
      <c r="Z50" s="94" t="s">
        <v>70</v>
      </c>
      <c r="AA50" s="36"/>
      <c r="AB50" s="29"/>
      <c r="AC50" s="204" t="s">
        <v>82</v>
      </c>
      <c r="AD50" s="96" t="s">
        <v>83</v>
      </c>
      <c r="AE50" s="37"/>
      <c r="AF50" s="97"/>
      <c r="AG50" s="12" t="s">
        <v>54</v>
      </c>
      <c r="AH50" s="12">
        <v>150.0</v>
      </c>
      <c r="AI50" s="12" t="s">
        <v>210</v>
      </c>
      <c r="AJ50" s="98" t="s">
        <v>51</v>
      </c>
      <c r="AK50" s="101" t="s">
        <v>95</v>
      </c>
      <c r="AL50" s="100" t="s">
        <v>86</v>
      </c>
      <c r="AM50" s="99" t="s">
        <v>87</v>
      </c>
      <c r="AN50" s="100" t="s">
        <v>88</v>
      </c>
      <c r="AO50" s="101" t="s">
        <v>89</v>
      </c>
      <c r="AP50" s="100" t="s">
        <v>45</v>
      </c>
      <c r="AQ50" s="102" t="s">
        <v>90</v>
      </c>
      <c r="AR50" s="100" t="s">
        <v>43</v>
      </c>
      <c r="AS50" s="101" t="s">
        <v>91</v>
      </c>
      <c r="AT50" s="100" t="s">
        <v>41</v>
      </c>
      <c r="AU50" s="103" t="s">
        <v>92</v>
      </c>
      <c r="AV50" s="100" t="s">
        <v>39</v>
      </c>
      <c r="AW50" s="99" t="s">
        <v>93</v>
      </c>
      <c r="AX50" s="100" t="s">
        <v>37</v>
      </c>
      <c r="AY50" s="99" t="s">
        <v>94</v>
      </c>
      <c r="AZ50" s="24"/>
    </row>
    <row r="51">
      <c r="A51" s="200" t="str">
        <f>G2</f>
        <v>กุมภาพันธ์</v>
      </c>
      <c r="B51" s="193"/>
      <c r="C51" s="140" t="s">
        <v>231</v>
      </c>
      <c r="E51" s="107" t="s">
        <v>84</v>
      </c>
      <c r="G51" s="274" t="str">
        <f t="shared" si="54"/>
        <v>寅</v>
      </c>
      <c r="I51" s="142" t="str">
        <f t="shared" si="55"/>
        <v>午</v>
      </c>
      <c r="K51" s="36"/>
      <c r="L51" s="109">
        <f t="shared" si="56"/>
        <v>1000</v>
      </c>
      <c r="M51" s="9">
        <v>0.0</v>
      </c>
      <c r="N51" s="110">
        <v>0.0</v>
      </c>
      <c r="O51" s="9">
        <v>100.0</v>
      </c>
      <c r="P51" s="9">
        <v>100.0</v>
      </c>
      <c r="Q51" s="9">
        <v>100.0</v>
      </c>
      <c r="R51" s="110">
        <v>100.0</v>
      </c>
      <c r="S51" s="9">
        <v>100.0</v>
      </c>
      <c r="T51" s="110">
        <v>100.0</v>
      </c>
      <c r="U51" s="9">
        <v>100.0</v>
      </c>
      <c r="V51" s="110">
        <v>100.0</v>
      </c>
      <c r="W51" s="9">
        <v>100.0</v>
      </c>
      <c r="X51" s="110">
        <v>100.0</v>
      </c>
      <c r="Y51" s="73" t="s">
        <v>69</v>
      </c>
      <c r="Z51" s="94" t="s">
        <v>152</v>
      </c>
      <c r="AA51" s="36"/>
      <c r="AB51" s="36"/>
      <c r="AC51" s="111"/>
      <c r="AD51" s="112"/>
      <c r="AE51" s="37"/>
      <c r="AF51" s="97"/>
      <c r="AG51" s="14"/>
      <c r="AH51" s="14"/>
      <c r="AI51" s="14"/>
      <c r="AJ51" s="113"/>
      <c r="AK51" s="105" t="s">
        <v>107</v>
      </c>
      <c r="AM51" s="104" t="s">
        <v>100</v>
      </c>
      <c r="AO51" s="114" t="s">
        <v>101</v>
      </c>
      <c r="AQ51" s="105" t="s">
        <v>102</v>
      </c>
      <c r="AS51" s="105" t="s">
        <v>103</v>
      </c>
      <c r="AU51" s="104" t="s">
        <v>104</v>
      </c>
      <c r="AW51" s="104" t="s">
        <v>105</v>
      </c>
      <c r="AY51" s="104" t="s">
        <v>106</v>
      </c>
      <c r="AZ51" s="24"/>
    </row>
    <row r="52">
      <c r="A52" s="192">
        <f>A10</f>
        <v>2569</v>
      </c>
      <c r="B52" s="193"/>
      <c r="E52" s="115" t="s">
        <v>204</v>
      </c>
      <c r="F52" s="116" t="s">
        <v>80</v>
      </c>
      <c r="G52" s="115" t="str">
        <f t="shared" ref="G52:J52" si="57">G34</f>
        <v>A10</v>
      </c>
      <c r="H52" s="9" t="str">
        <f t="shared" si="57"/>
        <v>B7</v>
      </c>
      <c r="I52" s="9" t="str">
        <f t="shared" si="57"/>
        <v>A5</v>
      </c>
      <c r="J52" s="9" t="str">
        <f t="shared" si="57"/>
        <v>B11</v>
      </c>
      <c r="K52" s="36"/>
      <c r="L52" s="117"/>
      <c r="M52" s="118" t="str">
        <f t="shared" ref="M52:P52" si="58">C52</f>
        <v/>
      </c>
      <c r="N52" s="119" t="str">
        <f t="shared" si="58"/>
        <v/>
      </c>
      <c r="O52" s="118" t="str">
        <f t="shared" si="58"/>
        <v>A5</v>
      </c>
      <c r="P52" s="118" t="str">
        <f t="shared" si="58"/>
        <v>B1</v>
      </c>
      <c r="Q52" s="118" t="str">
        <f t="shared" ref="Q52:R52" si="59">E53</f>
        <v>B5</v>
      </c>
      <c r="R52" s="119" t="str">
        <f t="shared" si="59"/>
        <v>C11</v>
      </c>
      <c r="S52" s="9" t="s">
        <v>108</v>
      </c>
      <c r="T52" s="110" t="s">
        <v>115</v>
      </c>
      <c r="U52" s="9" t="str">
        <f t="shared" ref="U52:X52" si="60">G52</f>
        <v>A10</v>
      </c>
      <c r="V52" s="119" t="str">
        <f t="shared" si="60"/>
        <v>B7</v>
      </c>
      <c r="W52" s="118" t="str">
        <f t="shared" si="60"/>
        <v>A5</v>
      </c>
      <c r="X52" s="120" t="str">
        <f t="shared" si="60"/>
        <v>B11</v>
      </c>
      <c r="Y52" s="73" t="s">
        <v>80</v>
      </c>
      <c r="Z52" s="94" t="s">
        <v>153</v>
      </c>
      <c r="AA52" s="36"/>
      <c r="AB52" s="36"/>
      <c r="AC52" s="111"/>
      <c r="AD52" s="112"/>
      <c r="AE52" s="37"/>
      <c r="AF52" s="97"/>
      <c r="AG52" s="14"/>
      <c r="AH52" s="14"/>
      <c r="AI52" s="14"/>
      <c r="AJ52" s="113"/>
      <c r="AK52" s="105" t="s">
        <v>125</v>
      </c>
      <c r="AM52" s="104" t="s">
        <v>118</v>
      </c>
      <c r="AO52" s="114" t="s">
        <v>119</v>
      </c>
      <c r="AQ52" s="105" t="s">
        <v>120</v>
      </c>
      <c r="AS52" s="105" t="s">
        <v>121</v>
      </c>
      <c r="AU52" s="104" t="s">
        <v>122</v>
      </c>
      <c r="AW52" s="104" t="s">
        <v>123</v>
      </c>
      <c r="AY52" s="104" t="s">
        <v>124</v>
      </c>
      <c r="AZ52" s="24"/>
    </row>
    <row r="53">
      <c r="A53" s="192">
        <f>A52-543</f>
        <v>2026</v>
      </c>
      <c r="B53" s="193"/>
      <c r="E53" s="115" t="s">
        <v>116</v>
      </c>
      <c r="F53" s="116" t="s">
        <v>236</v>
      </c>
      <c r="G53" s="115"/>
      <c r="H53" s="118"/>
      <c r="I53" s="118"/>
      <c r="J53" s="118"/>
      <c r="K53" s="36"/>
      <c r="L53" s="117"/>
      <c r="N53" s="117"/>
      <c r="R53" s="117"/>
      <c r="T53" s="117"/>
      <c r="V53" s="117"/>
      <c r="X53" s="117"/>
      <c r="Y53" s="73" t="s">
        <v>98</v>
      </c>
      <c r="Z53" s="94" t="s">
        <v>155</v>
      </c>
      <c r="AA53" s="36"/>
      <c r="AB53" s="36"/>
      <c r="AC53" s="111"/>
      <c r="AD53" s="112"/>
      <c r="AE53" s="37"/>
      <c r="AF53" s="97"/>
      <c r="AG53" s="14"/>
      <c r="AH53" s="14"/>
      <c r="AI53" s="14"/>
      <c r="AJ53" s="113"/>
      <c r="AK53" s="105" t="s">
        <v>136</v>
      </c>
      <c r="AM53" s="104" t="s">
        <v>129</v>
      </c>
      <c r="AO53" s="114" t="s">
        <v>130</v>
      </c>
      <c r="AQ53" s="105" t="s">
        <v>131</v>
      </c>
      <c r="AS53" s="105" t="s">
        <v>132</v>
      </c>
      <c r="AU53" s="104" t="s">
        <v>133</v>
      </c>
      <c r="AW53" s="104" t="s">
        <v>134</v>
      </c>
      <c r="AY53" s="104" t="s">
        <v>135</v>
      </c>
      <c r="AZ53" s="24"/>
    </row>
    <row r="54">
      <c r="A54" s="143" t="s">
        <v>156</v>
      </c>
      <c r="B54" s="197"/>
      <c r="C54" s="123"/>
      <c r="D54" s="123"/>
      <c r="E54" s="164" t="s">
        <v>157</v>
      </c>
      <c r="F54" s="88"/>
      <c r="G54" s="165" t="str">
        <f>G36:H36</f>
        <v>อสูรเดือน N</v>
      </c>
      <c r="I54" s="166" t="str">
        <f>I12:J12</f>
        <v>อสูรปี E</v>
      </c>
      <c r="K54" s="90"/>
      <c r="L54" s="126"/>
      <c r="M54" s="8"/>
      <c r="N54" s="121"/>
      <c r="O54" s="8"/>
      <c r="P54" s="8"/>
      <c r="Q54" s="8"/>
      <c r="R54" s="121"/>
      <c r="S54" s="8"/>
      <c r="T54" s="121"/>
      <c r="U54" s="9"/>
      <c r="V54" s="110"/>
      <c r="W54" s="9"/>
      <c r="X54" s="110"/>
      <c r="Y54" s="127"/>
      <c r="Z54" s="155"/>
      <c r="AA54" s="36"/>
      <c r="AB54" s="36"/>
      <c r="AC54" s="111"/>
      <c r="AD54" s="112"/>
      <c r="AE54" s="37"/>
      <c r="AF54" s="97"/>
      <c r="AG54" s="14"/>
      <c r="AH54" s="14"/>
      <c r="AI54" s="14"/>
      <c r="AJ54" s="113"/>
      <c r="AY54" s="128"/>
      <c r="AZ54" s="24"/>
    </row>
    <row r="55">
      <c r="A55" s="188" t="s">
        <v>139</v>
      </c>
      <c r="B55" s="189"/>
      <c r="C55" s="63"/>
      <c r="D55" s="63"/>
      <c r="E55" s="64">
        <f>(O56+P56+Q56+R56)/(O57+P57+Q57+R57)</f>
        <v>0.5625</v>
      </c>
      <c r="F55" s="65"/>
      <c r="G55" s="133"/>
      <c r="H55" s="72"/>
      <c r="I55" s="67"/>
      <c r="J55" s="72"/>
      <c r="K55" s="68"/>
      <c r="L55" s="69"/>
      <c r="M55" s="63" t="s">
        <v>64</v>
      </c>
      <c r="N55" s="70"/>
      <c r="O55" s="71" t="s">
        <v>65</v>
      </c>
      <c r="P55" s="72"/>
      <c r="Q55" s="72"/>
      <c r="R55" s="70"/>
      <c r="S55" s="71" t="s">
        <v>66</v>
      </c>
      <c r="T55" s="70"/>
      <c r="U55" s="71" t="s">
        <v>67</v>
      </c>
      <c r="V55" s="70"/>
      <c r="W55" s="71" t="s">
        <v>68</v>
      </c>
      <c r="X55" s="70"/>
      <c r="Y55" s="134" t="s">
        <v>116</v>
      </c>
      <c r="Z55" s="74" t="s">
        <v>159</v>
      </c>
      <c r="AA55" s="75" t="s">
        <v>54</v>
      </c>
      <c r="AB55" s="75" t="s">
        <v>309</v>
      </c>
      <c r="AC55" s="202" t="s">
        <v>142</v>
      </c>
      <c r="AD55" s="74" t="s">
        <v>143</v>
      </c>
      <c r="AE55" s="63" t="s">
        <v>144</v>
      </c>
      <c r="AF55" s="78" t="s">
        <v>36</v>
      </c>
      <c r="AG55" s="79" t="s">
        <v>54</v>
      </c>
      <c r="AH55" s="79">
        <v>150.0</v>
      </c>
      <c r="AI55" s="79" t="s">
        <v>210</v>
      </c>
      <c r="AJ55" s="80" t="str">
        <f>AJ49</f>
        <v>開</v>
      </c>
      <c r="AK55" s="81" t="s">
        <v>38</v>
      </c>
      <c r="AL55" s="82" t="str">
        <f>AL49</f>
        <v>休</v>
      </c>
      <c r="AM55" s="81" t="s">
        <v>40</v>
      </c>
      <c r="AN55" s="82" t="s">
        <v>4</v>
      </c>
      <c r="AO55" s="81" t="s">
        <v>42</v>
      </c>
      <c r="AP55" s="82" t="str">
        <f>AP49</f>
        <v>傷</v>
      </c>
      <c r="AQ55" s="81" t="s">
        <v>44</v>
      </c>
      <c r="AR55" s="82" t="s">
        <v>8</v>
      </c>
      <c r="AS55" s="81" t="s">
        <v>46</v>
      </c>
      <c r="AT55" s="82" t="str">
        <f>AT49</f>
        <v>景</v>
      </c>
      <c r="AU55" s="81" t="s">
        <v>48</v>
      </c>
      <c r="AV55" s="82" t="str">
        <f>AV49</f>
        <v>死</v>
      </c>
      <c r="AW55" s="81" t="s">
        <v>50</v>
      </c>
      <c r="AX55" s="82" t="str">
        <f>AX49</f>
        <v>驚</v>
      </c>
      <c r="AY55" s="81" t="s">
        <v>52</v>
      </c>
      <c r="AZ55" s="83"/>
      <c r="BA55" s="84"/>
      <c r="BB55" s="84"/>
      <c r="BC55" s="84"/>
    </row>
    <row r="56">
      <c r="A56" s="192">
        <f>A50+1</f>
        <v>8</v>
      </c>
      <c r="B56" s="193"/>
      <c r="C56" s="12" t="s">
        <v>260</v>
      </c>
      <c r="E56" s="203" t="s">
        <v>171</v>
      </c>
      <c r="G56" s="273" t="str">
        <f t="shared" ref="G56:G57" si="62">G32:H32</f>
        <v>庚</v>
      </c>
      <c r="I56" s="275" t="str">
        <f t="shared" ref="I56:I57" si="63">I32:J32</f>
        <v>丙</v>
      </c>
      <c r="K56" s="90">
        <f>L56/L57</f>
        <v>0.49</v>
      </c>
      <c r="L56" s="126">
        <f t="shared" ref="L56:L57" si="64">O56+P56+Q56+U56+V56+W56+X56+R56+M56+N56+S56+T56</f>
        <v>490</v>
      </c>
      <c r="M56" s="92">
        <v>0.0</v>
      </c>
      <c r="N56" s="93">
        <v>0.0</v>
      </c>
      <c r="O56" s="92">
        <v>85.0</v>
      </c>
      <c r="P56" s="92">
        <v>80.0</v>
      </c>
      <c r="Q56" s="92">
        <v>30.0</v>
      </c>
      <c r="R56" s="93">
        <v>30.0</v>
      </c>
      <c r="S56" s="92">
        <v>55.0</v>
      </c>
      <c r="T56" s="93">
        <v>40.0</v>
      </c>
      <c r="U56" s="92">
        <f t="shared" ref="U56:X56" si="61">U32</f>
        <v>0</v>
      </c>
      <c r="V56" s="93">
        <f t="shared" si="61"/>
        <v>0</v>
      </c>
      <c r="W56" s="92">
        <f t="shared" si="61"/>
        <v>110</v>
      </c>
      <c r="X56" s="93">
        <f t="shared" si="61"/>
        <v>60</v>
      </c>
      <c r="Y56" s="73" t="s">
        <v>126</v>
      </c>
      <c r="Z56" s="94" t="s">
        <v>152</v>
      </c>
      <c r="AA56" s="36"/>
      <c r="AB56" s="36"/>
      <c r="AC56" s="204" t="s">
        <v>82</v>
      </c>
      <c r="AD56" s="96" t="s">
        <v>83</v>
      </c>
      <c r="AE56" s="37"/>
      <c r="AF56" s="97"/>
      <c r="AG56" s="12" t="s">
        <v>189</v>
      </c>
      <c r="AH56" s="12">
        <v>90.0</v>
      </c>
      <c r="AI56" s="12" t="s">
        <v>208</v>
      </c>
      <c r="AJ56" s="98" t="s">
        <v>43</v>
      </c>
      <c r="AK56" s="101" t="s">
        <v>91</v>
      </c>
      <c r="AL56" s="100" t="s">
        <v>41</v>
      </c>
      <c r="AM56" s="103" t="s">
        <v>92</v>
      </c>
      <c r="AN56" s="100" t="s">
        <v>39</v>
      </c>
      <c r="AO56" s="99" t="s">
        <v>93</v>
      </c>
      <c r="AP56" s="100" t="s">
        <v>37</v>
      </c>
      <c r="AQ56" s="99" t="s">
        <v>94</v>
      </c>
      <c r="AR56" s="100" t="s">
        <v>51</v>
      </c>
      <c r="AS56" s="101" t="s">
        <v>95</v>
      </c>
      <c r="AT56" s="100" t="s">
        <v>86</v>
      </c>
      <c r="AU56" s="99" t="s">
        <v>87</v>
      </c>
      <c r="AV56" s="100" t="s">
        <v>88</v>
      </c>
      <c r="AW56" s="101" t="s">
        <v>89</v>
      </c>
      <c r="AX56" s="100" t="s">
        <v>45</v>
      </c>
      <c r="AY56" s="102" t="s">
        <v>90</v>
      </c>
      <c r="AZ56" s="24"/>
    </row>
    <row r="57">
      <c r="A57" s="200" t="str">
        <f>A45</f>
        <v>กุมภาพันธ์</v>
      </c>
      <c r="B57" s="193"/>
      <c r="C57" s="140" t="s">
        <v>235</v>
      </c>
      <c r="E57" s="162" t="s">
        <v>53</v>
      </c>
      <c r="G57" s="274" t="str">
        <f t="shared" si="62"/>
        <v>寅</v>
      </c>
      <c r="I57" s="142" t="str">
        <f t="shared" si="63"/>
        <v>午</v>
      </c>
      <c r="K57" s="36"/>
      <c r="L57" s="109">
        <f t="shared" si="64"/>
        <v>1000</v>
      </c>
      <c r="M57" s="9">
        <v>0.0</v>
      </c>
      <c r="N57" s="110">
        <v>0.0</v>
      </c>
      <c r="O57" s="9">
        <v>100.0</v>
      </c>
      <c r="P57" s="9">
        <v>100.0</v>
      </c>
      <c r="Q57" s="9">
        <v>100.0</v>
      </c>
      <c r="R57" s="110">
        <v>100.0</v>
      </c>
      <c r="S57" s="9">
        <v>100.0</v>
      </c>
      <c r="T57" s="110">
        <v>100.0</v>
      </c>
      <c r="U57" s="9">
        <v>100.0</v>
      </c>
      <c r="V57" s="110">
        <v>100.0</v>
      </c>
      <c r="W57" s="9">
        <v>100.0</v>
      </c>
      <c r="X57" s="110">
        <v>100.0</v>
      </c>
      <c r="Y57" s="73" t="s">
        <v>69</v>
      </c>
      <c r="Z57" s="94" t="s">
        <v>163</v>
      </c>
      <c r="AA57" s="36"/>
      <c r="AB57" s="36"/>
      <c r="AC57" s="111"/>
      <c r="AD57" s="112"/>
      <c r="AE57" s="37"/>
      <c r="AF57" s="97"/>
      <c r="AG57" s="14"/>
      <c r="AH57" s="14"/>
      <c r="AI57" s="14"/>
      <c r="AJ57" s="113"/>
      <c r="AK57" s="105" t="s">
        <v>103</v>
      </c>
      <c r="AM57" s="104" t="s">
        <v>104</v>
      </c>
      <c r="AO57" s="104" t="s">
        <v>105</v>
      </c>
      <c r="AQ57" s="104" t="s">
        <v>106</v>
      </c>
      <c r="AS57" s="105" t="s">
        <v>107</v>
      </c>
      <c r="AU57" s="104" t="s">
        <v>100</v>
      </c>
      <c r="AW57" s="114" t="s">
        <v>101</v>
      </c>
      <c r="AY57" s="105" t="s">
        <v>102</v>
      </c>
      <c r="AZ57" s="24"/>
    </row>
    <row r="58">
      <c r="A58" s="192">
        <f>A10</f>
        <v>2569</v>
      </c>
      <c r="B58" s="193"/>
      <c r="E58" s="115" t="s">
        <v>219</v>
      </c>
      <c r="F58" s="116" t="s">
        <v>98</v>
      </c>
      <c r="G58" s="115" t="str">
        <f t="shared" ref="G58:J58" si="65">G34</f>
        <v>A10</v>
      </c>
      <c r="H58" s="9" t="str">
        <f t="shared" si="65"/>
        <v>B7</v>
      </c>
      <c r="I58" s="9" t="str">
        <f t="shared" si="65"/>
        <v>A5</v>
      </c>
      <c r="J58" s="9" t="str">
        <f t="shared" si="65"/>
        <v>B11</v>
      </c>
      <c r="K58" s="36"/>
      <c r="L58" s="117"/>
      <c r="M58" s="118" t="str">
        <f t="shared" ref="M58:P58" si="66">C58</f>
        <v/>
      </c>
      <c r="N58" s="119" t="str">
        <f t="shared" si="66"/>
        <v/>
      </c>
      <c r="O58" s="118" t="str">
        <f t="shared" si="66"/>
        <v>A3</v>
      </c>
      <c r="P58" s="118" t="str">
        <f t="shared" si="66"/>
        <v>B2</v>
      </c>
      <c r="Q58" s="118" t="str">
        <f t="shared" ref="Q58:R58" si="67">E59</f>
        <v>B4</v>
      </c>
      <c r="R58" s="119" t="str">
        <f t="shared" si="67"/>
        <v>C12</v>
      </c>
      <c r="S58" s="9" t="s">
        <v>164</v>
      </c>
      <c r="T58" s="110" t="s">
        <v>112</v>
      </c>
      <c r="U58" s="9" t="str">
        <f t="shared" ref="U58:X58" si="68">G58</f>
        <v>A10</v>
      </c>
      <c r="V58" s="119" t="str">
        <f t="shared" si="68"/>
        <v>B7</v>
      </c>
      <c r="W58" s="118" t="str">
        <f t="shared" si="68"/>
        <v>A5</v>
      </c>
      <c r="X58" s="120" t="str">
        <f t="shared" si="68"/>
        <v>B11</v>
      </c>
      <c r="Y58" s="73" t="s">
        <v>80</v>
      </c>
      <c r="Z58" s="94" t="s">
        <v>117</v>
      </c>
      <c r="AA58" s="36"/>
      <c r="AB58" s="36"/>
      <c r="AC58" s="111"/>
      <c r="AD58" s="112"/>
      <c r="AE58" s="37"/>
      <c r="AF58" s="97"/>
      <c r="AG58" s="14"/>
      <c r="AH58" s="14"/>
      <c r="AI58" s="14"/>
      <c r="AJ58" s="113"/>
      <c r="AK58" s="105" t="s">
        <v>121</v>
      </c>
      <c r="AM58" s="104" t="s">
        <v>122</v>
      </c>
      <c r="AO58" s="104" t="s">
        <v>123</v>
      </c>
      <c r="AQ58" s="104" t="s">
        <v>124</v>
      </c>
      <c r="AS58" s="105" t="s">
        <v>125</v>
      </c>
      <c r="AU58" s="104" t="s">
        <v>118</v>
      </c>
      <c r="AW58" s="114" t="s">
        <v>119</v>
      </c>
      <c r="AY58" s="105" t="s">
        <v>120</v>
      </c>
      <c r="AZ58" s="24"/>
    </row>
    <row r="59">
      <c r="A59" s="192">
        <f>A58-543</f>
        <v>2026</v>
      </c>
      <c r="B59" s="193"/>
      <c r="E59" s="115" t="s">
        <v>109</v>
      </c>
      <c r="F59" s="116" t="s">
        <v>127</v>
      </c>
      <c r="G59" s="115"/>
      <c r="H59" s="118"/>
      <c r="I59" s="118"/>
      <c r="J59" s="118"/>
      <c r="K59" s="36"/>
      <c r="L59" s="117"/>
      <c r="N59" s="117"/>
      <c r="R59" s="117"/>
      <c r="T59" s="117"/>
      <c r="V59" s="117"/>
      <c r="X59" s="117"/>
      <c r="Y59" s="73" t="s">
        <v>98</v>
      </c>
      <c r="Z59" s="94" t="s">
        <v>128</v>
      </c>
      <c r="AA59" s="36"/>
      <c r="AB59" s="36"/>
      <c r="AC59" s="111"/>
      <c r="AD59" s="112"/>
      <c r="AE59" s="37"/>
      <c r="AF59" s="97"/>
      <c r="AG59" s="14"/>
      <c r="AH59" s="14"/>
      <c r="AI59" s="14"/>
      <c r="AJ59" s="113"/>
      <c r="AK59" s="105" t="s">
        <v>132</v>
      </c>
      <c r="AM59" s="104" t="s">
        <v>133</v>
      </c>
      <c r="AO59" s="104" t="s">
        <v>134</v>
      </c>
      <c r="AQ59" s="104" t="s">
        <v>135</v>
      </c>
      <c r="AS59" s="105" t="s">
        <v>136</v>
      </c>
      <c r="AU59" s="104" t="s">
        <v>129</v>
      </c>
      <c r="AW59" s="114" t="s">
        <v>130</v>
      </c>
      <c r="AY59" s="105" t="s">
        <v>131</v>
      </c>
      <c r="AZ59" s="24"/>
    </row>
    <row r="60">
      <c r="A60" s="113"/>
      <c r="B60" s="206"/>
      <c r="C60" s="123"/>
      <c r="D60" s="123"/>
      <c r="E60" s="198" t="s">
        <v>168</v>
      </c>
      <c r="F60" s="88"/>
      <c r="G60" s="207" t="str">
        <f>G36:H36</f>
        <v>อสูรเดือน N</v>
      </c>
      <c r="I60" s="208" t="str">
        <f>I5:J5</f>
        <v>อสูรปี N</v>
      </c>
      <c r="K60" s="36"/>
      <c r="L60" s="117"/>
      <c r="N60" s="117"/>
      <c r="R60" s="117"/>
      <c r="S60" s="8"/>
      <c r="T60" s="121"/>
      <c r="V60" s="117"/>
      <c r="X60" s="117"/>
      <c r="Y60" s="127"/>
      <c r="Z60" s="155"/>
      <c r="AA60" s="36"/>
      <c r="AB60" s="36"/>
      <c r="AC60" s="111"/>
      <c r="AD60" s="112"/>
      <c r="AE60" s="37"/>
      <c r="AF60" s="97"/>
      <c r="AG60" s="14"/>
      <c r="AH60" s="14"/>
      <c r="AI60" s="14"/>
      <c r="AJ60" s="113"/>
      <c r="AQ60" s="128"/>
      <c r="AZ60" s="24"/>
    </row>
    <row r="61">
      <c r="A61" s="188" t="s">
        <v>158</v>
      </c>
      <c r="B61" s="189"/>
      <c r="C61" s="63"/>
      <c r="D61" s="63"/>
      <c r="E61" s="64">
        <f>(O62+P62+Q62+R62)/(O63+P63+Q63+R63)</f>
        <v>0.45</v>
      </c>
      <c r="F61" s="65"/>
      <c r="G61" s="133"/>
      <c r="H61" s="72"/>
      <c r="I61" s="67"/>
      <c r="J61" s="72"/>
      <c r="K61" s="68"/>
      <c r="L61" s="69"/>
      <c r="M61" s="63" t="s">
        <v>64</v>
      </c>
      <c r="N61" s="70"/>
      <c r="O61" s="71" t="s">
        <v>65</v>
      </c>
      <c r="P61" s="72"/>
      <c r="Q61" s="72"/>
      <c r="R61" s="70"/>
      <c r="S61" s="71" t="s">
        <v>66</v>
      </c>
      <c r="T61" s="70"/>
      <c r="U61" s="71" t="s">
        <v>67</v>
      </c>
      <c r="V61" s="70"/>
      <c r="W61" s="71" t="s">
        <v>68</v>
      </c>
      <c r="X61" s="70"/>
      <c r="Y61" s="134" t="s">
        <v>80</v>
      </c>
      <c r="Z61" s="74" t="s">
        <v>170</v>
      </c>
      <c r="AA61" s="75" t="s">
        <v>71</v>
      </c>
      <c r="AB61" s="75" t="s">
        <v>72</v>
      </c>
      <c r="AC61" s="135" t="s">
        <v>142</v>
      </c>
      <c r="AD61" s="74" t="s">
        <v>143</v>
      </c>
      <c r="AE61" s="63" t="s">
        <v>35</v>
      </c>
      <c r="AF61" s="78" t="s">
        <v>34</v>
      </c>
      <c r="AG61" s="79" t="s">
        <v>71</v>
      </c>
      <c r="AH61" s="79">
        <v>210.0</v>
      </c>
      <c r="AI61" s="79" t="s">
        <v>175</v>
      </c>
      <c r="AJ61" s="80" t="str">
        <f>AJ55</f>
        <v>開</v>
      </c>
      <c r="AK61" s="81" t="s">
        <v>38</v>
      </c>
      <c r="AL61" s="82" t="str">
        <f>AL55</f>
        <v>休</v>
      </c>
      <c r="AM61" s="81" t="s">
        <v>40</v>
      </c>
      <c r="AN61" s="82" t="s">
        <v>4</v>
      </c>
      <c r="AO61" s="81" t="s">
        <v>42</v>
      </c>
      <c r="AP61" s="82" t="str">
        <f>AP55</f>
        <v>傷</v>
      </c>
      <c r="AQ61" s="81" t="s">
        <v>44</v>
      </c>
      <c r="AR61" s="82" t="s">
        <v>8</v>
      </c>
      <c r="AS61" s="81" t="s">
        <v>46</v>
      </c>
      <c r="AT61" s="82" t="str">
        <f>AT55</f>
        <v>景</v>
      </c>
      <c r="AU61" s="81" t="s">
        <v>48</v>
      </c>
      <c r="AV61" s="82" t="str">
        <f>AV55</f>
        <v>死</v>
      </c>
      <c r="AW61" s="81" t="s">
        <v>50</v>
      </c>
      <c r="AX61" s="82" t="str">
        <f>AX55</f>
        <v>驚</v>
      </c>
      <c r="AY61" s="81" t="s">
        <v>52</v>
      </c>
      <c r="AZ61" s="83"/>
      <c r="BA61" s="84"/>
      <c r="BB61" s="84"/>
      <c r="BC61" s="84"/>
    </row>
    <row r="62">
      <c r="A62" s="192">
        <f>A56+1</f>
        <v>9</v>
      </c>
      <c r="B62" s="193"/>
      <c r="C62" s="12" t="s">
        <v>265</v>
      </c>
      <c r="E62" s="87" t="s">
        <v>222</v>
      </c>
      <c r="G62" s="273" t="str">
        <f t="shared" ref="G62:G63" si="70">G32:H32</f>
        <v>庚</v>
      </c>
      <c r="I62" s="275" t="str">
        <f t="shared" ref="I62:I63" si="71">I32:J32</f>
        <v>丙</v>
      </c>
      <c r="K62" s="90">
        <f>L62/L63</f>
        <v>0.45</v>
      </c>
      <c r="L62" s="126">
        <f t="shared" ref="L62:L63" si="72">O62+P62+Q62+U62+V62+W62+X62+R62+M62+N62+S62+T62</f>
        <v>450</v>
      </c>
      <c r="M62" s="92">
        <v>0.0</v>
      </c>
      <c r="N62" s="93">
        <v>0.0</v>
      </c>
      <c r="O62" s="92">
        <v>90.0</v>
      </c>
      <c r="P62" s="92">
        <v>20.0</v>
      </c>
      <c r="Q62" s="92">
        <v>20.0</v>
      </c>
      <c r="R62" s="93">
        <v>50.0</v>
      </c>
      <c r="S62" s="92">
        <v>0.0</v>
      </c>
      <c r="T62" s="93">
        <v>100.0</v>
      </c>
      <c r="U62" s="92">
        <f t="shared" ref="U62:X62" si="69">U32</f>
        <v>0</v>
      </c>
      <c r="V62" s="93">
        <f t="shared" si="69"/>
        <v>0</v>
      </c>
      <c r="W62" s="92">
        <f t="shared" si="69"/>
        <v>110</v>
      </c>
      <c r="X62" s="93">
        <f t="shared" si="69"/>
        <v>60</v>
      </c>
      <c r="Y62" s="73" t="s">
        <v>98</v>
      </c>
      <c r="Z62" s="25" t="s">
        <v>70</v>
      </c>
      <c r="AA62" s="276" t="s">
        <v>53</v>
      </c>
      <c r="AB62" s="277" t="s">
        <v>245</v>
      </c>
      <c r="AC62" s="278" t="s">
        <v>148</v>
      </c>
      <c r="AD62" s="96" t="s">
        <v>149</v>
      </c>
      <c r="AE62" s="37"/>
      <c r="AF62" s="97"/>
      <c r="AG62" s="12" t="s">
        <v>53</v>
      </c>
      <c r="AH62" s="12">
        <v>30.0</v>
      </c>
      <c r="AI62" s="12" t="s">
        <v>178</v>
      </c>
      <c r="AJ62" s="98" t="s">
        <v>37</v>
      </c>
      <c r="AK62" s="99" t="s">
        <v>94</v>
      </c>
      <c r="AL62" s="100" t="s">
        <v>51</v>
      </c>
      <c r="AM62" s="101" t="s">
        <v>95</v>
      </c>
      <c r="AN62" s="100" t="s">
        <v>86</v>
      </c>
      <c r="AO62" s="99" t="s">
        <v>87</v>
      </c>
      <c r="AP62" s="100" t="s">
        <v>88</v>
      </c>
      <c r="AQ62" s="101" t="s">
        <v>89</v>
      </c>
      <c r="AR62" s="100" t="s">
        <v>45</v>
      </c>
      <c r="AS62" s="102" t="s">
        <v>90</v>
      </c>
      <c r="AT62" s="100" t="s">
        <v>43</v>
      </c>
      <c r="AU62" s="101" t="s">
        <v>91</v>
      </c>
      <c r="AV62" s="100" t="s">
        <v>41</v>
      </c>
      <c r="AW62" s="103" t="s">
        <v>92</v>
      </c>
      <c r="AX62" s="100" t="s">
        <v>39</v>
      </c>
      <c r="AY62" s="99" t="s">
        <v>93</v>
      </c>
      <c r="AZ62" s="24"/>
    </row>
    <row r="63">
      <c r="A63" s="200" t="str">
        <f>G2</f>
        <v>กุมภาพันธ์</v>
      </c>
      <c r="B63" s="193"/>
      <c r="C63" s="140" t="s">
        <v>239</v>
      </c>
      <c r="E63" s="218" t="s">
        <v>180</v>
      </c>
      <c r="G63" s="274" t="str">
        <f t="shared" si="70"/>
        <v>寅</v>
      </c>
      <c r="I63" s="142" t="str">
        <f t="shared" si="71"/>
        <v>午</v>
      </c>
      <c r="K63" s="36"/>
      <c r="L63" s="109">
        <f t="shared" si="72"/>
        <v>1000</v>
      </c>
      <c r="M63" s="9">
        <v>0.0</v>
      </c>
      <c r="N63" s="110">
        <v>0.0</v>
      </c>
      <c r="O63" s="9">
        <v>100.0</v>
      </c>
      <c r="P63" s="9">
        <v>100.0</v>
      </c>
      <c r="Q63" s="9">
        <v>100.0</v>
      </c>
      <c r="R63" s="110">
        <v>100.0</v>
      </c>
      <c r="S63" s="9">
        <v>100.0</v>
      </c>
      <c r="T63" s="110">
        <v>100.0</v>
      </c>
      <c r="U63" s="9">
        <v>100.0</v>
      </c>
      <c r="V63" s="110">
        <v>100.0</v>
      </c>
      <c r="W63" s="9">
        <v>100.0</v>
      </c>
      <c r="X63" s="110">
        <v>100.0</v>
      </c>
      <c r="Y63" s="73" t="s">
        <v>116</v>
      </c>
      <c r="Z63" s="94" t="s">
        <v>181</v>
      </c>
      <c r="AA63" s="36"/>
      <c r="AB63" s="36"/>
      <c r="AC63" s="111"/>
      <c r="AD63" s="112"/>
      <c r="AE63" s="37"/>
      <c r="AF63" s="97"/>
      <c r="AG63" s="14"/>
      <c r="AH63" s="14"/>
      <c r="AI63" s="14"/>
      <c r="AJ63" s="113"/>
      <c r="AK63" s="104" t="s">
        <v>106</v>
      </c>
      <c r="AM63" s="105" t="s">
        <v>107</v>
      </c>
      <c r="AO63" s="104" t="s">
        <v>100</v>
      </c>
      <c r="AQ63" s="114" t="s">
        <v>101</v>
      </c>
      <c r="AS63" s="105" t="s">
        <v>102</v>
      </c>
      <c r="AU63" s="105" t="s">
        <v>103</v>
      </c>
      <c r="AW63" s="104" t="s">
        <v>104</v>
      </c>
      <c r="AY63" s="104" t="s">
        <v>105</v>
      </c>
      <c r="AZ63" s="24"/>
    </row>
    <row r="64">
      <c r="A64" s="192">
        <f>A10</f>
        <v>2569</v>
      </c>
      <c r="B64" s="193"/>
      <c r="E64" s="115" t="s">
        <v>213</v>
      </c>
      <c r="F64" s="116" t="s">
        <v>183</v>
      </c>
      <c r="G64" s="115" t="str">
        <f t="shared" ref="G64:J64" si="73">G34</f>
        <v>A10</v>
      </c>
      <c r="H64" s="9" t="str">
        <f t="shared" si="73"/>
        <v>B7</v>
      </c>
      <c r="I64" s="9" t="str">
        <f t="shared" si="73"/>
        <v>A5</v>
      </c>
      <c r="J64" s="9" t="str">
        <f t="shared" si="73"/>
        <v>B11</v>
      </c>
      <c r="K64" s="36"/>
      <c r="L64" s="117"/>
      <c r="M64" s="118" t="str">
        <f t="shared" ref="M64:P64" si="74">C64</f>
        <v/>
      </c>
      <c r="N64" s="119" t="str">
        <f t="shared" si="74"/>
        <v/>
      </c>
      <c r="O64" s="118" t="str">
        <f t="shared" si="74"/>
        <v>A4</v>
      </c>
      <c r="P64" s="118" t="str">
        <f t="shared" si="74"/>
        <v>B3</v>
      </c>
      <c r="Q64" s="118" t="str">
        <f t="shared" ref="Q64:R64" si="75">E65</f>
        <v>B3</v>
      </c>
      <c r="R64" s="119" t="str">
        <f t="shared" si="75"/>
        <v>C1</v>
      </c>
      <c r="S64" s="9" t="s">
        <v>114</v>
      </c>
      <c r="T64" s="110" t="s">
        <v>213</v>
      </c>
      <c r="U64" s="9" t="str">
        <f t="shared" ref="U64:X64" si="76">G64</f>
        <v>A10</v>
      </c>
      <c r="V64" s="119" t="str">
        <f t="shared" si="76"/>
        <v>B7</v>
      </c>
      <c r="W64" s="118" t="str">
        <f t="shared" si="76"/>
        <v>A5</v>
      </c>
      <c r="X64" s="120" t="str">
        <f t="shared" si="76"/>
        <v>B11</v>
      </c>
      <c r="Y64" s="73" t="s">
        <v>126</v>
      </c>
      <c r="Z64" s="94" t="s">
        <v>163</v>
      </c>
      <c r="AA64" s="36"/>
      <c r="AB64" s="36"/>
      <c r="AC64" s="111"/>
      <c r="AD64" s="112"/>
      <c r="AE64" s="37"/>
      <c r="AF64" s="97"/>
      <c r="AG64" s="14"/>
      <c r="AH64" s="14"/>
      <c r="AI64" s="14"/>
      <c r="AJ64" s="113"/>
      <c r="AK64" s="104" t="s">
        <v>124</v>
      </c>
      <c r="AM64" s="105" t="s">
        <v>125</v>
      </c>
      <c r="AO64" s="104" t="s">
        <v>118</v>
      </c>
      <c r="AQ64" s="114" t="s">
        <v>119</v>
      </c>
      <c r="AS64" s="105" t="s">
        <v>120</v>
      </c>
      <c r="AU64" s="105" t="s">
        <v>121</v>
      </c>
      <c r="AW64" s="104" t="s">
        <v>122</v>
      </c>
      <c r="AY64" s="104" t="s">
        <v>123</v>
      </c>
      <c r="AZ64" s="24"/>
    </row>
    <row r="65">
      <c r="A65" s="192">
        <f>A64-543</f>
        <v>2026</v>
      </c>
      <c r="B65" s="193"/>
      <c r="C65" s="12"/>
      <c r="E65" s="115" t="s">
        <v>183</v>
      </c>
      <c r="F65" s="116" t="s">
        <v>154</v>
      </c>
      <c r="G65" s="115"/>
      <c r="H65" s="118"/>
      <c r="I65" s="118"/>
      <c r="J65" s="118"/>
      <c r="K65" s="36"/>
      <c r="L65" s="117"/>
      <c r="N65" s="117"/>
      <c r="R65" s="117"/>
      <c r="T65" s="117"/>
      <c r="V65" s="117"/>
      <c r="X65" s="117"/>
      <c r="Y65" s="73" t="s">
        <v>69</v>
      </c>
      <c r="Z65" s="94" t="s">
        <v>99</v>
      </c>
      <c r="AA65" s="36"/>
      <c r="AB65" s="36"/>
      <c r="AC65" s="111"/>
      <c r="AD65" s="112"/>
      <c r="AE65" s="37"/>
      <c r="AF65" s="97"/>
      <c r="AG65" s="14"/>
      <c r="AH65" s="14"/>
      <c r="AI65" s="14"/>
      <c r="AJ65" s="113"/>
      <c r="AK65" s="104" t="s">
        <v>135</v>
      </c>
      <c r="AM65" s="105" t="s">
        <v>136</v>
      </c>
      <c r="AO65" s="104" t="s">
        <v>129</v>
      </c>
      <c r="AQ65" s="114" t="s">
        <v>130</v>
      </c>
      <c r="AS65" s="105" t="s">
        <v>131</v>
      </c>
      <c r="AU65" s="105" t="s">
        <v>132</v>
      </c>
      <c r="AW65" s="104" t="s">
        <v>133</v>
      </c>
      <c r="AY65" s="104" t="s">
        <v>134</v>
      </c>
      <c r="AZ65" s="24"/>
    </row>
    <row r="66">
      <c r="A66" s="113"/>
      <c r="B66" s="206"/>
      <c r="C66" s="123"/>
      <c r="D66" s="123"/>
      <c r="E66" s="176" t="s">
        <v>185</v>
      </c>
      <c r="F66" s="88"/>
      <c r="G66" s="210" t="str">
        <f>G36:H36</f>
        <v>อสูรเดือน N</v>
      </c>
      <c r="I66" s="211" t="str">
        <f>I5:J5</f>
        <v>อสูรปี N</v>
      </c>
      <c r="K66" s="36"/>
      <c r="L66" s="117"/>
      <c r="N66" s="117"/>
      <c r="R66" s="117"/>
      <c r="S66" s="8"/>
      <c r="T66" s="121"/>
      <c r="V66" s="117"/>
      <c r="X66" s="117"/>
      <c r="Y66" s="127"/>
      <c r="Z66" s="155"/>
      <c r="AA66" s="36"/>
      <c r="AB66" s="36"/>
      <c r="AC66" s="111"/>
      <c r="AD66" s="112"/>
      <c r="AE66" s="37"/>
      <c r="AF66" s="97"/>
      <c r="AG66" s="14"/>
      <c r="AH66" s="14"/>
      <c r="AI66" s="14"/>
      <c r="AJ66" s="113"/>
      <c r="AS66" s="128"/>
      <c r="AZ66" s="24"/>
    </row>
    <row r="67">
      <c r="A67" s="188" t="s">
        <v>169</v>
      </c>
      <c r="B67" s="189"/>
      <c r="C67" s="63"/>
      <c r="D67" s="63"/>
      <c r="E67" s="64">
        <f>(O68+P68+Q68+R68)/(O69+P69+Q69+R69)</f>
        <v>0.575</v>
      </c>
      <c r="F67" s="65"/>
      <c r="G67" s="133"/>
      <c r="H67" s="72"/>
      <c r="I67" s="67"/>
      <c r="J67" s="72"/>
      <c r="K67" s="68"/>
      <c r="L67" s="69"/>
      <c r="M67" s="63" t="s">
        <v>64</v>
      </c>
      <c r="N67" s="70"/>
      <c r="O67" s="71" t="s">
        <v>65</v>
      </c>
      <c r="P67" s="72"/>
      <c r="Q67" s="72"/>
      <c r="R67" s="70"/>
      <c r="S67" s="71" t="s">
        <v>66</v>
      </c>
      <c r="T67" s="70"/>
      <c r="U67" s="71" t="s">
        <v>67</v>
      </c>
      <c r="V67" s="70"/>
      <c r="W67" s="71" t="s">
        <v>68</v>
      </c>
      <c r="X67" s="70"/>
      <c r="Y67" s="134" t="s">
        <v>80</v>
      </c>
      <c r="Z67" s="74" t="s">
        <v>159</v>
      </c>
      <c r="AA67" s="75" t="s">
        <v>206</v>
      </c>
      <c r="AB67" s="75" t="s">
        <v>207</v>
      </c>
      <c r="AC67" s="135" t="s">
        <v>142</v>
      </c>
      <c r="AD67" s="74" t="s">
        <v>143</v>
      </c>
      <c r="AE67" s="63" t="s">
        <v>35</v>
      </c>
      <c r="AF67" s="78" t="s">
        <v>75</v>
      </c>
      <c r="AG67" s="79" t="s">
        <v>76</v>
      </c>
      <c r="AH67" s="79">
        <v>240.0</v>
      </c>
      <c r="AI67" s="79" t="s">
        <v>77</v>
      </c>
      <c r="AJ67" s="80" t="str">
        <f>AJ61</f>
        <v>開</v>
      </c>
      <c r="AK67" s="81" t="s">
        <v>42</v>
      </c>
      <c r="AL67" s="82" t="str">
        <f>AL61</f>
        <v>休</v>
      </c>
      <c r="AM67" s="81" t="s">
        <v>44</v>
      </c>
      <c r="AN67" s="82" t="s">
        <v>4</v>
      </c>
      <c r="AO67" s="81" t="s">
        <v>46</v>
      </c>
      <c r="AP67" s="82" t="str">
        <f>AP61</f>
        <v>傷</v>
      </c>
      <c r="AQ67" s="81" t="s">
        <v>48</v>
      </c>
      <c r="AR67" s="82" t="s">
        <v>8</v>
      </c>
      <c r="AS67" s="81" t="s">
        <v>50</v>
      </c>
      <c r="AT67" s="82" t="str">
        <f>AT61</f>
        <v>景</v>
      </c>
      <c r="AU67" s="81" t="s">
        <v>52</v>
      </c>
      <c r="AV67" s="82" t="str">
        <f>AV61</f>
        <v>死</v>
      </c>
      <c r="AW67" s="81" t="s">
        <v>38</v>
      </c>
      <c r="AX67" s="82" t="str">
        <f>AX61</f>
        <v>驚</v>
      </c>
      <c r="AY67" s="81" t="s">
        <v>40</v>
      </c>
      <c r="AZ67" s="83"/>
      <c r="BA67" s="84"/>
      <c r="BB67" s="84"/>
      <c r="BC67" s="84"/>
    </row>
    <row r="68">
      <c r="A68" s="192">
        <f>A62+1</f>
        <v>10</v>
      </c>
      <c r="B68" s="193"/>
      <c r="C68" s="12" t="s">
        <v>265</v>
      </c>
      <c r="E68" s="87" t="s">
        <v>31</v>
      </c>
      <c r="G68" s="273" t="str">
        <f t="shared" ref="G68:G69" si="78">G32:H32</f>
        <v>庚</v>
      </c>
      <c r="I68" s="275" t="str">
        <f t="shared" ref="I68:I69" si="79">I32:J32</f>
        <v>丙</v>
      </c>
      <c r="K68" s="90">
        <f>L68/L69</f>
        <v>0.575</v>
      </c>
      <c r="L68" s="126">
        <f t="shared" ref="L68:L69" si="80">O68+P68+Q68+U68+V68+W68+X68+R68+M68+N68+S68+T68</f>
        <v>575</v>
      </c>
      <c r="M68" s="92">
        <v>0.0</v>
      </c>
      <c r="N68" s="93">
        <v>0.0</v>
      </c>
      <c r="O68" s="92">
        <v>90.0</v>
      </c>
      <c r="P68" s="92">
        <v>30.0</v>
      </c>
      <c r="Q68" s="92">
        <v>80.0</v>
      </c>
      <c r="R68" s="93">
        <v>30.0</v>
      </c>
      <c r="S68" s="92">
        <v>65.0</v>
      </c>
      <c r="T68" s="93">
        <v>110.0</v>
      </c>
      <c r="U68" s="92">
        <f t="shared" ref="U68:X68" si="77">U32</f>
        <v>0</v>
      </c>
      <c r="V68" s="93">
        <f t="shared" si="77"/>
        <v>0</v>
      </c>
      <c r="W68" s="92">
        <f t="shared" si="77"/>
        <v>110</v>
      </c>
      <c r="X68" s="93">
        <f t="shared" si="77"/>
        <v>60</v>
      </c>
      <c r="Y68" s="73" t="s">
        <v>98</v>
      </c>
      <c r="Z68" s="94" t="s">
        <v>152</v>
      </c>
      <c r="AA68" s="36"/>
      <c r="AB68" s="29"/>
      <c r="AC68" s="139" t="s">
        <v>148</v>
      </c>
      <c r="AD68" s="96" t="s">
        <v>149</v>
      </c>
      <c r="AE68" s="37"/>
      <c r="AF68" s="97"/>
      <c r="AG68" s="12" t="s">
        <v>84</v>
      </c>
      <c r="AH68" s="12">
        <v>0.0</v>
      </c>
      <c r="AI68" s="12" t="s">
        <v>85</v>
      </c>
      <c r="AJ68" s="98" t="s">
        <v>37</v>
      </c>
      <c r="AK68" s="99" t="s">
        <v>94</v>
      </c>
      <c r="AL68" s="100" t="s">
        <v>51</v>
      </c>
      <c r="AM68" s="101" t="s">
        <v>95</v>
      </c>
      <c r="AN68" s="100" t="s">
        <v>86</v>
      </c>
      <c r="AO68" s="99" t="s">
        <v>87</v>
      </c>
      <c r="AP68" s="100" t="s">
        <v>88</v>
      </c>
      <c r="AQ68" s="101" t="s">
        <v>89</v>
      </c>
      <c r="AR68" s="100" t="s">
        <v>45</v>
      </c>
      <c r="AS68" s="102" t="s">
        <v>90</v>
      </c>
      <c r="AT68" s="100" t="s">
        <v>43</v>
      </c>
      <c r="AU68" s="101" t="s">
        <v>91</v>
      </c>
      <c r="AV68" s="100" t="s">
        <v>41</v>
      </c>
      <c r="AW68" s="103" t="s">
        <v>92</v>
      </c>
      <c r="AX68" s="100" t="s">
        <v>39</v>
      </c>
      <c r="AY68" s="99" t="s">
        <v>93</v>
      </c>
      <c r="AZ68" s="24"/>
    </row>
    <row r="69">
      <c r="A69" s="200" t="str">
        <f>A45</f>
        <v>กุมภาพันธ์</v>
      </c>
      <c r="B69" s="193"/>
      <c r="C69" s="161" t="s">
        <v>96</v>
      </c>
      <c r="E69" s="171" t="s">
        <v>189</v>
      </c>
      <c r="G69" s="274" t="str">
        <f t="shared" si="78"/>
        <v>寅</v>
      </c>
      <c r="I69" s="142" t="str">
        <f t="shared" si="79"/>
        <v>午</v>
      </c>
      <c r="K69" s="36"/>
      <c r="L69" s="109">
        <f t="shared" si="80"/>
        <v>1000</v>
      </c>
      <c r="M69" s="9">
        <v>0.0</v>
      </c>
      <c r="N69" s="110">
        <v>0.0</v>
      </c>
      <c r="O69" s="9">
        <v>100.0</v>
      </c>
      <c r="P69" s="9">
        <v>100.0</v>
      </c>
      <c r="Q69" s="9">
        <v>100.0</v>
      </c>
      <c r="R69" s="110">
        <v>100.0</v>
      </c>
      <c r="S69" s="9">
        <v>100.0</v>
      </c>
      <c r="T69" s="110">
        <v>100.0</v>
      </c>
      <c r="U69" s="9">
        <v>100.0</v>
      </c>
      <c r="V69" s="110">
        <v>100.0</v>
      </c>
      <c r="W69" s="9">
        <v>100.0</v>
      </c>
      <c r="X69" s="110">
        <v>100.0</v>
      </c>
      <c r="Y69" s="73" t="s">
        <v>116</v>
      </c>
      <c r="Z69" s="94" t="s">
        <v>81</v>
      </c>
      <c r="AA69" s="36"/>
      <c r="AB69" s="36"/>
      <c r="AC69" s="111"/>
      <c r="AD69" s="112"/>
      <c r="AE69" s="37"/>
      <c r="AF69" s="97"/>
      <c r="AG69" s="14"/>
      <c r="AH69" s="14"/>
      <c r="AI69" s="14"/>
      <c r="AJ69" s="113"/>
      <c r="AK69" s="104" t="s">
        <v>106</v>
      </c>
      <c r="AM69" s="105" t="s">
        <v>107</v>
      </c>
      <c r="AO69" s="104" t="s">
        <v>100</v>
      </c>
      <c r="AQ69" s="114" t="s">
        <v>101</v>
      </c>
      <c r="AS69" s="105" t="s">
        <v>102</v>
      </c>
      <c r="AU69" s="105" t="s">
        <v>103</v>
      </c>
      <c r="AW69" s="104" t="s">
        <v>104</v>
      </c>
      <c r="AY69" s="104" t="s">
        <v>105</v>
      </c>
      <c r="AZ69" s="24"/>
    </row>
    <row r="70">
      <c r="A70" s="192">
        <f>A10</f>
        <v>2569</v>
      </c>
      <c r="B70" s="193"/>
      <c r="E70" s="115" t="s">
        <v>213</v>
      </c>
      <c r="F70" s="116" t="s">
        <v>109</v>
      </c>
      <c r="G70" s="115" t="str">
        <f t="shared" ref="G70:J70" si="81">G34</f>
        <v>A10</v>
      </c>
      <c r="H70" s="9" t="str">
        <f t="shared" si="81"/>
        <v>B7</v>
      </c>
      <c r="I70" s="9" t="str">
        <f t="shared" si="81"/>
        <v>A5</v>
      </c>
      <c r="J70" s="9" t="str">
        <f t="shared" si="81"/>
        <v>B11</v>
      </c>
      <c r="K70" s="36"/>
      <c r="L70" s="117"/>
      <c r="M70" s="118" t="str">
        <f t="shared" ref="M70:P70" si="82">C70</f>
        <v/>
      </c>
      <c r="N70" s="119" t="str">
        <f t="shared" si="82"/>
        <v/>
      </c>
      <c r="O70" s="118" t="str">
        <f t="shared" si="82"/>
        <v>A4</v>
      </c>
      <c r="P70" s="118" t="str">
        <f t="shared" si="82"/>
        <v>B4</v>
      </c>
      <c r="Q70" s="118" t="str">
        <f t="shared" ref="Q70:R70" si="83">E71</f>
        <v>B2</v>
      </c>
      <c r="R70" s="119" t="str">
        <f t="shared" si="83"/>
        <v>C2</v>
      </c>
      <c r="S70" s="9" t="s">
        <v>110</v>
      </c>
      <c r="T70" s="110" t="s">
        <v>204</v>
      </c>
      <c r="U70" s="9" t="str">
        <f t="shared" ref="U70:X70" si="84">G70</f>
        <v>A10</v>
      </c>
      <c r="V70" s="119" t="str">
        <f t="shared" si="84"/>
        <v>B7</v>
      </c>
      <c r="W70" s="118" t="str">
        <f t="shared" si="84"/>
        <v>A5</v>
      </c>
      <c r="X70" s="120" t="str">
        <f t="shared" si="84"/>
        <v>B11</v>
      </c>
      <c r="Y70" s="73" t="s">
        <v>126</v>
      </c>
      <c r="Z70" s="94" t="s">
        <v>99</v>
      </c>
      <c r="AA70" s="36"/>
      <c r="AB70" s="36"/>
      <c r="AC70" s="111"/>
      <c r="AD70" s="112"/>
      <c r="AE70" s="37"/>
      <c r="AF70" s="97"/>
      <c r="AG70" s="14"/>
      <c r="AH70" s="14"/>
      <c r="AI70" s="14"/>
      <c r="AJ70" s="113"/>
      <c r="AK70" s="104" t="s">
        <v>124</v>
      </c>
      <c r="AM70" s="105" t="s">
        <v>125</v>
      </c>
      <c r="AO70" s="104" t="s">
        <v>118</v>
      </c>
      <c r="AQ70" s="114" t="s">
        <v>119</v>
      </c>
      <c r="AS70" s="105" t="s">
        <v>120</v>
      </c>
      <c r="AU70" s="105" t="s">
        <v>121</v>
      </c>
      <c r="AW70" s="104" t="s">
        <v>122</v>
      </c>
      <c r="AY70" s="104" t="s">
        <v>123</v>
      </c>
      <c r="AZ70" s="24"/>
    </row>
    <row r="71">
      <c r="A71" s="192">
        <f>A70-543</f>
        <v>2026</v>
      </c>
      <c r="B71" s="193"/>
      <c r="C71" s="163" t="s">
        <v>166</v>
      </c>
      <c r="E71" s="115" t="s">
        <v>98</v>
      </c>
      <c r="F71" s="116" t="s">
        <v>167</v>
      </c>
      <c r="G71" s="115"/>
      <c r="H71" s="118"/>
      <c r="I71" s="118"/>
      <c r="J71" s="118"/>
      <c r="K71" s="36"/>
      <c r="L71" s="117"/>
      <c r="N71" s="117"/>
      <c r="R71" s="117"/>
      <c r="T71" s="117"/>
      <c r="V71" s="117"/>
      <c r="X71" s="117"/>
      <c r="Y71" s="73" t="s">
        <v>69</v>
      </c>
      <c r="Z71" s="94" t="s">
        <v>155</v>
      </c>
      <c r="AA71" s="36"/>
      <c r="AB71" s="36"/>
      <c r="AC71" s="111"/>
      <c r="AD71" s="112"/>
      <c r="AE71" s="37"/>
      <c r="AF71" s="97"/>
      <c r="AG71" s="14"/>
      <c r="AH71" s="14"/>
      <c r="AI71" s="14"/>
      <c r="AJ71" s="113"/>
      <c r="AK71" s="104" t="s">
        <v>135</v>
      </c>
      <c r="AM71" s="105" t="s">
        <v>136</v>
      </c>
      <c r="AO71" s="104" t="s">
        <v>129</v>
      </c>
      <c r="AQ71" s="114" t="s">
        <v>130</v>
      </c>
      <c r="AS71" s="105" t="s">
        <v>131</v>
      </c>
      <c r="AU71" s="105" t="s">
        <v>132</v>
      </c>
      <c r="AW71" s="104" t="s">
        <v>133</v>
      </c>
      <c r="AY71" s="104" t="s">
        <v>134</v>
      </c>
      <c r="AZ71" s="24"/>
    </row>
    <row r="72">
      <c r="A72" s="279"/>
      <c r="B72" s="206"/>
      <c r="C72" s="123"/>
      <c r="D72" s="123"/>
      <c r="E72" s="164" t="s">
        <v>137</v>
      </c>
      <c r="F72" s="88"/>
      <c r="G72" s="207" t="str">
        <f>G36:H36</f>
        <v>อสูรเดือน N</v>
      </c>
      <c r="I72" s="208" t="str">
        <f>I5:J5</f>
        <v>อสูรปี N</v>
      </c>
      <c r="K72" s="36"/>
      <c r="L72" s="117"/>
      <c r="N72" s="117"/>
      <c r="R72" s="117"/>
      <c r="T72" s="117"/>
      <c r="V72" s="117"/>
      <c r="X72" s="117"/>
      <c r="Y72" s="127"/>
      <c r="Z72" s="155"/>
      <c r="AA72" s="36"/>
      <c r="AB72" s="36"/>
      <c r="AC72" s="111"/>
      <c r="AD72" s="112"/>
      <c r="AE72" s="37"/>
      <c r="AF72" s="97"/>
      <c r="AG72" s="14"/>
      <c r="AH72" s="14"/>
      <c r="AI72" s="14"/>
      <c r="AJ72" s="113"/>
      <c r="AO72" s="128"/>
      <c r="AZ72" s="24"/>
    </row>
    <row r="73">
      <c r="A73" s="188" t="s">
        <v>186</v>
      </c>
      <c r="B73" s="189"/>
      <c r="C73" s="63"/>
      <c r="D73" s="63"/>
      <c r="E73" s="216">
        <f>(O74+P74+Q74+R74)/(O75+P75+Q75+R75)</f>
        <v>0.8375</v>
      </c>
      <c r="F73" s="65"/>
      <c r="G73" s="133"/>
      <c r="H73" s="72"/>
      <c r="I73" s="67"/>
      <c r="J73" s="72"/>
      <c r="K73" s="68"/>
      <c r="L73" s="69"/>
      <c r="M73" s="63" t="s">
        <v>64</v>
      </c>
      <c r="N73" s="70"/>
      <c r="O73" s="71" t="s">
        <v>65</v>
      </c>
      <c r="P73" s="72"/>
      <c r="Q73" s="72"/>
      <c r="R73" s="70"/>
      <c r="S73" s="71" t="s">
        <v>66</v>
      </c>
      <c r="T73" s="70"/>
      <c r="U73" s="71" t="s">
        <v>67</v>
      </c>
      <c r="V73" s="70"/>
      <c r="W73" s="71" t="s">
        <v>68</v>
      </c>
      <c r="X73" s="70"/>
      <c r="Y73" s="134" t="s">
        <v>80</v>
      </c>
      <c r="Z73" s="74" t="s">
        <v>181</v>
      </c>
      <c r="AA73" s="75" t="s">
        <v>32</v>
      </c>
      <c r="AB73" s="75" t="s">
        <v>33</v>
      </c>
      <c r="AC73" s="167" t="s">
        <v>173</v>
      </c>
      <c r="AD73" s="74" t="s">
        <v>174</v>
      </c>
      <c r="AE73" s="63" t="s">
        <v>75</v>
      </c>
      <c r="AF73" s="78" t="s">
        <v>144</v>
      </c>
      <c r="AG73" s="79" t="s">
        <v>32</v>
      </c>
      <c r="AH73" s="79">
        <v>270.0</v>
      </c>
      <c r="AI73" s="79" t="s">
        <v>145</v>
      </c>
      <c r="AJ73" s="80" t="str">
        <f>AJ67</f>
        <v>開</v>
      </c>
      <c r="AK73" s="81" t="s">
        <v>46</v>
      </c>
      <c r="AL73" s="82" t="str">
        <f>AL67</f>
        <v>休</v>
      </c>
      <c r="AM73" s="81" t="s">
        <v>48</v>
      </c>
      <c r="AN73" s="82" t="str">
        <f>AN67</f>
        <v>生</v>
      </c>
      <c r="AO73" s="81" t="s">
        <v>50</v>
      </c>
      <c r="AP73" s="82" t="str">
        <f>AP67</f>
        <v>傷</v>
      </c>
      <c r="AQ73" s="81" t="s">
        <v>52</v>
      </c>
      <c r="AR73" s="82" t="str">
        <f>AR67</f>
        <v>杜</v>
      </c>
      <c r="AS73" s="81" t="s">
        <v>38</v>
      </c>
      <c r="AT73" s="82" t="str">
        <f>AT67</f>
        <v>景</v>
      </c>
      <c r="AU73" s="81" t="s">
        <v>40</v>
      </c>
      <c r="AV73" s="82" t="str">
        <f>AV67</f>
        <v>死</v>
      </c>
      <c r="AW73" s="81" t="s">
        <v>42</v>
      </c>
      <c r="AX73" s="82" t="str">
        <f>AX67</f>
        <v>驚</v>
      </c>
      <c r="AY73" s="81" t="s">
        <v>44</v>
      </c>
      <c r="AZ73" s="83"/>
      <c r="BA73" s="84"/>
      <c r="BB73" s="84"/>
      <c r="BC73" s="84"/>
    </row>
    <row r="74">
      <c r="A74" s="192">
        <f>A68+1</f>
        <v>11</v>
      </c>
      <c r="B74" s="193"/>
      <c r="C74" s="12" t="s">
        <v>260</v>
      </c>
      <c r="E74" s="214" t="s">
        <v>147</v>
      </c>
      <c r="G74" s="273" t="str">
        <f t="shared" ref="G74:G75" si="86">G32:H32</f>
        <v>庚</v>
      </c>
      <c r="I74" s="275" t="str">
        <f t="shared" ref="I74:I75" si="87">I32:J32</f>
        <v>丙</v>
      </c>
      <c r="K74" s="90">
        <f>L74/L75</f>
        <v>0.655</v>
      </c>
      <c r="L74" s="126">
        <f t="shared" ref="L74:L75" si="88">O74+P74+Q74+U74+V74+W74+X74+R74+M74+N74+S74+T74</f>
        <v>655</v>
      </c>
      <c r="M74" s="92">
        <v>0.0</v>
      </c>
      <c r="N74" s="93">
        <v>0.0</v>
      </c>
      <c r="O74" s="92">
        <v>85.0</v>
      </c>
      <c r="P74" s="92">
        <v>100.0</v>
      </c>
      <c r="Q74" s="92">
        <v>70.0</v>
      </c>
      <c r="R74" s="93">
        <v>80.0</v>
      </c>
      <c r="S74" s="92">
        <v>70.0</v>
      </c>
      <c r="T74" s="93">
        <v>80.0</v>
      </c>
      <c r="U74" s="92">
        <f t="shared" ref="U74:X74" si="85">U32</f>
        <v>0</v>
      </c>
      <c r="V74" s="93">
        <f t="shared" si="85"/>
        <v>0</v>
      </c>
      <c r="W74" s="92">
        <f t="shared" si="85"/>
        <v>110</v>
      </c>
      <c r="X74" s="93">
        <f t="shared" si="85"/>
        <v>60</v>
      </c>
      <c r="Y74" s="73" t="s">
        <v>98</v>
      </c>
      <c r="Z74" s="94" t="s">
        <v>163</v>
      </c>
      <c r="AA74" s="36"/>
      <c r="AB74" s="29" t="s">
        <v>234</v>
      </c>
      <c r="AC74" s="170" t="s">
        <v>73</v>
      </c>
      <c r="AD74" s="25" t="s">
        <v>74</v>
      </c>
      <c r="AE74" s="97"/>
      <c r="AF74" s="97"/>
      <c r="AG74" s="12" t="s">
        <v>97</v>
      </c>
      <c r="AH74" s="12">
        <v>330.0</v>
      </c>
      <c r="AI74" s="12" t="s">
        <v>150</v>
      </c>
      <c r="AJ74" s="98" t="s">
        <v>86</v>
      </c>
      <c r="AK74" s="99" t="s">
        <v>87</v>
      </c>
      <c r="AL74" s="100" t="s">
        <v>88</v>
      </c>
      <c r="AM74" s="101" t="s">
        <v>89</v>
      </c>
      <c r="AN74" s="100" t="s">
        <v>45</v>
      </c>
      <c r="AO74" s="102" t="s">
        <v>90</v>
      </c>
      <c r="AP74" s="100" t="s">
        <v>43</v>
      </c>
      <c r="AQ74" s="101" t="s">
        <v>91</v>
      </c>
      <c r="AR74" s="100" t="s">
        <v>41</v>
      </c>
      <c r="AS74" s="103" t="s">
        <v>92</v>
      </c>
      <c r="AT74" s="100" t="s">
        <v>41</v>
      </c>
      <c r="AU74" s="103" t="s">
        <v>92</v>
      </c>
      <c r="AV74" s="100" t="s">
        <v>39</v>
      </c>
      <c r="AW74" s="99" t="s">
        <v>93</v>
      </c>
      <c r="AX74" s="100" t="s">
        <v>51</v>
      </c>
      <c r="AY74" s="101" t="s">
        <v>95</v>
      </c>
      <c r="AZ74" s="24"/>
    </row>
    <row r="75">
      <c r="A75" s="215" t="str">
        <f>G2</f>
        <v>กุมภาพันธ์</v>
      </c>
      <c r="B75" s="193"/>
      <c r="C75" s="140" t="s">
        <v>151</v>
      </c>
      <c r="E75" s="162" t="s">
        <v>197</v>
      </c>
      <c r="G75" s="274" t="str">
        <f t="shared" si="86"/>
        <v>寅</v>
      </c>
      <c r="I75" s="142" t="str">
        <f t="shared" si="87"/>
        <v>午</v>
      </c>
      <c r="K75" s="36"/>
      <c r="L75" s="109">
        <f t="shared" si="88"/>
        <v>1000</v>
      </c>
      <c r="M75" s="9">
        <v>0.0</v>
      </c>
      <c r="N75" s="110">
        <v>0.0</v>
      </c>
      <c r="O75" s="9">
        <v>100.0</v>
      </c>
      <c r="P75" s="9">
        <v>100.0</v>
      </c>
      <c r="Q75" s="9">
        <v>100.0</v>
      </c>
      <c r="R75" s="110">
        <v>100.0</v>
      </c>
      <c r="S75" s="9">
        <v>100.0</v>
      </c>
      <c r="T75" s="110">
        <v>100.0</v>
      </c>
      <c r="U75" s="9">
        <v>100.0</v>
      </c>
      <c r="V75" s="110">
        <v>100.0</v>
      </c>
      <c r="W75" s="9">
        <v>100.0</v>
      </c>
      <c r="X75" s="110">
        <v>100.0</v>
      </c>
      <c r="Y75" s="73" t="s">
        <v>116</v>
      </c>
      <c r="Z75" s="94" t="s">
        <v>153</v>
      </c>
      <c r="AA75" s="36"/>
      <c r="AB75" s="36"/>
      <c r="AC75" s="111"/>
      <c r="AD75" s="13"/>
      <c r="AE75" s="280"/>
      <c r="AF75" s="280"/>
      <c r="AG75" s="14"/>
      <c r="AH75" s="14"/>
      <c r="AI75" s="14"/>
      <c r="AJ75" s="113"/>
      <c r="AK75" s="104" t="s">
        <v>100</v>
      </c>
      <c r="AM75" s="114" t="s">
        <v>101</v>
      </c>
      <c r="AO75" s="105" t="s">
        <v>102</v>
      </c>
      <c r="AQ75" s="105" t="s">
        <v>103</v>
      </c>
      <c r="AS75" s="104" t="s">
        <v>104</v>
      </c>
      <c r="AU75" s="104" t="s">
        <v>104</v>
      </c>
      <c r="AW75" s="104" t="s">
        <v>105</v>
      </c>
      <c r="AY75" s="105" t="s">
        <v>107</v>
      </c>
      <c r="AZ75" s="24"/>
    </row>
    <row r="76">
      <c r="A76" s="192">
        <f>A10</f>
        <v>2569</v>
      </c>
      <c r="B76" s="193"/>
      <c r="E76" s="115" t="s">
        <v>219</v>
      </c>
      <c r="F76" s="116" t="s">
        <v>116</v>
      </c>
      <c r="G76" s="115" t="str">
        <f t="shared" ref="G76:J76" si="89">G34</f>
        <v>A10</v>
      </c>
      <c r="H76" s="9" t="str">
        <f t="shared" si="89"/>
        <v>B7</v>
      </c>
      <c r="I76" s="9" t="str">
        <f t="shared" si="89"/>
        <v>A5</v>
      </c>
      <c r="J76" s="9" t="str">
        <f t="shared" si="89"/>
        <v>B11</v>
      </c>
      <c r="K76" s="36"/>
      <c r="L76" s="117"/>
      <c r="M76" s="118" t="str">
        <f t="shared" ref="M76:P76" si="90">C76</f>
        <v/>
      </c>
      <c r="N76" s="119" t="str">
        <f t="shared" si="90"/>
        <v/>
      </c>
      <c r="O76" s="118" t="str">
        <f t="shared" si="90"/>
        <v>A3</v>
      </c>
      <c r="P76" s="118" t="str">
        <f t="shared" si="90"/>
        <v>B5</v>
      </c>
      <c r="Q76" s="118" t="str">
        <f t="shared" ref="Q76:R76" si="91">E77</f>
        <v>B1</v>
      </c>
      <c r="R76" s="119" t="str">
        <f t="shared" si="91"/>
        <v>C3</v>
      </c>
      <c r="S76" s="9" t="s">
        <v>165</v>
      </c>
      <c r="T76" s="110" t="s">
        <v>182</v>
      </c>
      <c r="U76" s="9" t="str">
        <f t="shared" ref="U76:X76" si="92">G76</f>
        <v>A10</v>
      </c>
      <c r="V76" s="119" t="str">
        <f t="shared" si="92"/>
        <v>B7</v>
      </c>
      <c r="W76" s="118" t="str">
        <f t="shared" si="92"/>
        <v>A5</v>
      </c>
      <c r="X76" s="120" t="str">
        <f t="shared" si="92"/>
        <v>B11</v>
      </c>
      <c r="Y76" s="73" t="s">
        <v>126</v>
      </c>
      <c r="Z76" s="94" t="s">
        <v>155</v>
      </c>
      <c r="AA76" s="36"/>
      <c r="AB76" s="36"/>
      <c r="AC76" s="111"/>
      <c r="AD76" s="112"/>
      <c r="AE76" s="37"/>
      <c r="AF76" s="97"/>
      <c r="AG76" s="14"/>
      <c r="AH76" s="14"/>
      <c r="AI76" s="14"/>
      <c r="AJ76" s="113"/>
      <c r="AK76" s="104" t="s">
        <v>118</v>
      </c>
      <c r="AM76" s="114" t="s">
        <v>119</v>
      </c>
      <c r="AO76" s="105" t="s">
        <v>120</v>
      </c>
      <c r="AQ76" s="105" t="s">
        <v>121</v>
      </c>
      <c r="AS76" s="104" t="s">
        <v>122</v>
      </c>
      <c r="AU76" s="104" t="s">
        <v>122</v>
      </c>
      <c r="AW76" s="104" t="s">
        <v>123</v>
      </c>
      <c r="AY76" s="105" t="s">
        <v>125</v>
      </c>
      <c r="AZ76" s="24"/>
    </row>
    <row r="77">
      <c r="A77" s="192">
        <f>A76-543</f>
        <v>2026</v>
      </c>
      <c r="B77" s="193"/>
      <c r="C77" s="12" t="s">
        <v>313</v>
      </c>
      <c r="E77" s="115" t="s">
        <v>80</v>
      </c>
      <c r="F77" s="116" t="s">
        <v>184</v>
      </c>
      <c r="G77" s="115"/>
      <c r="H77" s="118"/>
      <c r="I77" s="118"/>
      <c r="J77" s="118"/>
      <c r="K77" s="36"/>
      <c r="L77" s="117"/>
      <c r="N77" s="117"/>
      <c r="R77" s="117"/>
      <c r="T77" s="117"/>
      <c r="V77" s="117"/>
      <c r="X77" s="117"/>
      <c r="Y77" s="73" t="s">
        <v>69</v>
      </c>
      <c r="Z77" s="94" t="s">
        <v>128</v>
      </c>
      <c r="AA77" s="36"/>
      <c r="AB77" s="36"/>
      <c r="AC77" s="111"/>
      <c r="AD77" s="112"/>
      <c r="AE77" s="37"/>
      <c r="AF77" s="97"/>
      <c r="AG77" s="14"/>
      <c r="AH77" s="14"/>
      <c r="AI77" s="14"/>
      <c r="AJ77" s="113"/>
      <c r="AK77" s="104" t="s">
        <v>129</v>
      </c>
      <c r="AM77" s="114" t="s">
        <v>130</v>
      </c>
      <c r="AO77" s="105" t="s">
        <v>131</v>
      </c>
      <c r="AQ77" s="105" t="s">
        <v>132</v>
      </c>
      <c r="AS77" s="104" t="s">
        <v>133</v>
      </c>
      <c r="AU77" s="104" t="s">
        <v>133</v>
      </c>
      <c r="AW77" s="104" t="s">
        <v>134</v>
      </c>
      <c r="AY77" s="105" t="s">
        <v>136</v>
      </c>
      <c r="AZ77" s="24"/>
    </row>
    <row r="78">
      <c r="A78" s="281" t="s">
        <v>314</v>
      </c>
      <c r="B78" s="206"/>
      <c r="C78" s="123"/>
      <c r="D78" s="123"/>
      <c r="E78" s="164"/>
      <c r="F78" s="282"/>
      <c r="G78" s="283"/>
      <c r="H78" s="284"/>
      <c r="I78" s="284"/>
      <c r="J78" s="284"/>
      <c r="K78" s="36"/>
      <c r="L78" s="117"/>
      <c r="N78" s="117"/>
      <c r="R78" s="117"/>
      <c r="T78" s="117"/>
      <c r="V78" s="117"/>
      <c r="X78" s="117"/>
      <c r="Y78" s="127"/>
      <c r="Z78" s="155"/>
      <c r="AA78" s="36"/>
      <c r="AB78" s="36"/>
      <c r="AC78" s="111"/>
      <c r="AD78" s="112"/>
      <c r="AE78" s="37"/>
      <c r="AF78" s="97"/>
      <c r="AG78" s="14"/>
      <c r="AH78" s="14"/>
      <c r="AI78" s="14"/>
      <c r="AJ78" s="113"/>
      <c r="AY78" s="128"/>
      <c r="AZ78" s="24"/>
    </row>
    <row r="79">
      <c r="A79" s="217" t="s">
        <v>237</v>
      </c>
      <c r="B79" s="206"/>
      <c r="C79" s="123"/>
      <c r="D79" s="123"/>
      <c r="E79" s="164" t="s">
        <v>157</v>
      </c>
      <c r="F79" s="88"/>
      <c r="G79" s="207" t="str">
        <f>G36:H36</f>
        <v>อสูรเดือน N</v>
      </c>
      <c r="I79" s="208" t="str">
        <f>I5:J5</f>
        <v>อสูรปี N</v>
      </c>
      <c r="K79" s="36"/>
      <c r="L79" s="117"/>
      <c r="N79" s="117"/>
      <c r="R79" s="117"/>
      <c r="T79" s="117"/>
      <c r="V79" s="117"/>
      <c r="X79" s="117"/>
      <c r="Y79" s="127"/>
      <c r="Z79" s="155"/>
      <c r="AA79" s="36"/>
      <c r="AB79" s="36"/>
      <c r="AC79" s="111"/>
      <c r="AD79" s="112"/>
      <c r="AE79" s="37"/>
      <c r="AF79" s="97"/>
      <c r="AG79" s="14"/>
      <c r="AH79" s="14"/>
      <c r="AI79" s="14"/>
      <c r="AJ79" s="113"/>
      <c r="AY79" s="128"/>
      <c r="AZ79" s="24"/>
    </row>
    <row r="80">
      <c r="A80" s="188" t="s">
        <v>191</v>
      </c>
      <c r="B80" s="189"/>
      <c r="C80" s="63"/>
      <c r="D80" s="63"/>
      <c r="E80" s="216">
        <f>(O81+P81+Q81+R81)/(O82+P82+Q82+R82)</f>
        <v>0.65</v>
      </c>
      <c r="F80" s="65"/>
      <c r="G80" s="133"/>
      <c r="H80" s="72"/>
      <c r="I80" s="67"/>
      <c r="J80" s="72"/>
      <c r="K80" s="68"/>
      <c r="L80" s="69"/>
      <c r="M80" s="63" t="s">
        <v>64</v>
      </c>
      <c r="N80" s="70"/>
      <c r="O80" s="71" t="s">
        <v>65</v>
      </c>
      <c r="P80" s="72"/>
      <c r="Q80" s="72"/>
      <c r="R80" s="70"/>
      <c r="S80" s="71" t="s">
        <v>66</v>
      </c>
      <c r="T80" s="70"/>
      <c r="U80" s="71" t="s">
        <v>67</v>
      </c>
      <c r="V80" s="70"/>
      <c r="W80" s="71" t="s">
        <v>68</v>
      </c>
      <c r="X80" s="70"/>
      <c r="Y80" s="134" t="s">
        <v>69</v>
      </c>
      <c r="Z80" s="74" t="s">
        <v>70</v>
      </c>
      <c r="AA80" s="75" t="s">
        <v>32</v>
      </c>
      <c r="AB80" s="75" t="s">
        <v>233</v>
      </c>
      <c r="AC80" s="167" t="s">
        <v>173</v>
      </c>
      <c r="AD80" s="74" t="s">
        <v>174</v>
      </c>
      <c r="AE80" s="63" t="s">
        <v>75</v>
      </c>
      <c r="AF80" s="78" t="s">
        <v>36</v>
      </c>
      <c r="AG80" s="79" t="s">
        <v>97</v>
      </c>
      <c r="AH80" s="79">
        <v>330.0</v>
      </c>
      <c r="AI80" s="79" t="s">
        <v>150</v>
      </c>
      <c r="AJ80" s="80" t="str">
        <f>AJ73</f>
        <v>開</v>
      </c>
      <c r="AK80" s="81" t="s">
        <v>46</v>
      </c>
      <c r="AL80" s="82" t="str">
        <f>AL73</f>
        <v>休</v>
      </c>
      <c r="AM80" s="81" t="s">
        <v>48</v>
      </c>
      <c r="AN80" s="82" t="s">
        <v>4</v>
      </c>
      <c r="AO80" s="81" t="s">
        <v>50</v>
      </c>
      <c r="AP80" s="82" t="str">
        <f>AP73</f>
        <v>傷</v>
      </c>
      <c r="AQ80" s="81" t="s">
        <v>52</v>
      </c>
      <c r="AR80" s="82" t="s">
        <v>8</v>
      </c>
      <c r="AS80" s="81" t="s">
        <v>38</v>
      </c>
      <c r="AT80" s="82" t="str">
        <f>AT73</f>
        <v>景</v>
      </c>
      <c r="AU80" s="81" t="s">
        <v>40</v>
      </c>
      <c r="AV80" s="82" t="str">
        <f>AV73</f>
        <v>死</v>
      </c>
      <c r="AW80" s="81" t="s">
        <v>42</v>
      </c>
      <c r="AX80" s="82" t="str">
        <f>AX73</f>
        <v>驚</v>
      </c>
      <c r="AY80" s="81" t="s">
        <v>44</v>
      </c>
      <c r="AZ80" s="83"/>
      <c r="BA80" s="84"/>
      <c r="BB80" s="84"/>
      <c r="BC80" s="84"/>
    </row>
    <row r="81">
      <c r="A81" s="192">
        <f>A74+1</f>
        <v>12</v>
      </c>
      <c r="B81" s="193"/>
      <c r="C81" s="12" t="s">
        <v>265</v>
      </c>
      <c r="E81" s="160" t="s">
        <v>161</v>
      </c>
      <c r="G81" s="273" t="str">
        <f t="shared" ref="G81:G82" si="94">G32:H32</f>
        <v>庚</v>
      </c>
      <c r="I81" s="275" t="str">
        <f t="shared" ref="I81:I82" si="95">I32:J32</f>
        <v>丙</v>
      </c>
      <c r="K81" s="90">
        <f>L81/L82</f>
        <v>0.52</v>
      </c>
      <c r="L81" s="126">
        <f t="shared" ref="L81:L82" si="96">O81+P81+Q81+U81+V81+W81+X81+R81+M81+N81+S81+T81</f>
        <v>520</v>
      </c>
      <c r="M81" s="92">
        <v>0.0</v>
      </c>
      <c r="N81" s="93">
        <v>0.0</v>
      </c>
      <c r="O81" s="92">
        <v>110.0</v>
      </c>
      <c r="P81" s="92">
        <v>90.0</v>
      </c>
      <c r="Q81" s="92">
        <v>10.0</v>
      </c>
      <c r="R81" s="93">
        <v>50.0</v>
      </c>
      <c r="S81" s="92">
        <v>80.0</v>
      </c>
      <c r="T81" s="93">
        <v>10.0</v>
      </c>
      <c r="U81" s="92">
        <f t="shared" ref="U81:X81" si="93">U32</f>
        <v>0</v>
      </c>
      <c r="V81" s="93">
        <f t="shared" si="93"/>
        <v>0</v>
      </c>
      <c r="W81" s="92">
        <f t="shared" si="93"/>
        <v>110</v>
      </c>
      <c r="X81" s="93">
        <f t="shared" si="93"/>
        <v>60</v>
      </c>
      <c r="Y81" s="73" t="s">
        <v>80</v>
      </c>
      <c r="Z81" s="94" t="s">
        <v>81</v>
      </c>
      <c r="AA81" s="36"/>
      <c r="AB81" s="29" t="s">
        <v>234</v>
      </c>
      <c r="AC81" s="170" t="s">
        <v>73</v>
      </c>
      <c r="AD81" s="94" t="s">
        <v>74</v>
      </c>
      <c r="AE81" s="37"/>
      <c r="AF81" s="97"/>
      <c r="AG81" s="12" t="s">
        <v>32</v>
      </c>
      <c r="AH81" s="12">
        <v>270.0</v>
      </c>
      <c r="AI81" s="12" t="s">
        <v>145</v>
      </c>
      <c r="AJ81" s="98" t="s">
        <v>86</v>
      </c>
      <c r="AK81" s="99" t="s">
        <v>87</v>
      </c>
      <c r="AL81" s="100" t="s">
        <v>88</v>
      </c>
      <c r="AM81" s="101" t="s">
        <v>89</v>
      </c>
      <c r="AN81" s="100" t="s">
        <v>45</v>
      </c>
      <c r="AO81" s="102" t="s">
        <v>90</v>
      </c>
      <c r="AP81" s="100" t="s">
        <v>43</v>
      </c>
      <c r="AQ81" s="101" t="s">
        <v>91</v>
      </c>
      <c r="AR81" s="100" t="s">
        <v>41</v>
      </c>
      <c r="AS81" s="103" t="s">
        <v>92</v>
      </c>
      <c r="AT81" s="100" t="s">
        <v>41</v>
      </c>
      <c r="AU81" s="103" t="s">
        <v>92</v>
      </c>
      <c r="AV81" s="100" t="s">
        <v>39</v>
      </c>
      <c r="AW81" s="99" t="s">
        <v>93</v>
      </c>
      <c r="AX81" s="100" t="s">
        <v>51</v>
      </c>
      <c r="AY81" s="101" t="s">
        <v>95</v>
      </c>
      <c r="AZ81" s="24"/>
    </row>
    <row r="82">
      <c r="A82" s="215" t="str">
        <f>G2</f>
        <v>กุมภาพันธ์</v>
      </c>
      <c r="B82" s="193"/>
      <c r="C82" s="161" t="s">
        <v>162</v>
      </c>
      <c r="E82" s="201" t="s">
        <v>54</v>
      </c>
      <c r="G82" s="274" t="str">
        <f t="shared" si="94"/>
        <v>寅</v>
      </c>
      <c r="I82" s="142" t="str">
        <f t="shared" si="95"/>
        <v>午</v>
      </c>
      <c r="K82" s="36"/>
      <c r="L82" s="109">
        <f t="shared" si="96"/>
        <v>1000</v>
      </c>
      <c r="M82" s="9">
        <v>0.0</v>
      </c>
      <c r="N82" s="110">
        <v>0.0</v>
      </c>
      <c r="O82" s="9">
        <v>100.0</v>
      </c>
      <c r="P82" s="9">
        <v>100.0</v>
      </c>
      <c r="Q82" s="9">
        <v>100.0</v>
      </c>
      <c r="R82" s="110">
        <v>100.0</v>
      </c>
      <c r="S82" s="9">
        <v>100.0</v>
      </c>
      <c r="T82" s="110">
        <v>100.0</v>
      </c>
      <c r="U82" s="9">
        <v>100.0</v>
      </c>
      <c r="V82" s="110">
        <v>100.0</v>
      </c>
      <c r="W82" s="9">
        <v>100.0</v>
      </c>
      <c r="X82" s="110">
        <v>100.0</v>
      </c>
      <c r="Y82" s="73" t="s">
        <v>98</v>
      </c>
      <c r="Z82" s="94" t="s">
        <v>99</v>
      </c>
      <c r="AA82" s="36"/>
      <c r="AB82" s="36"/>
      <c r="AC82" s="111"/>
      <c r="AD82" s="112"/>
      <c r="AE82" s="37"/>
      <c r="AF82" s="97"/>
      <c r="AG82" s="14"/>
      <c r="AH82" s="14"/>
      <c r="AI82" s="14"/>
      <c r="AJ82" s="113"/>
      <c r="AK82" s="104" t="s">
        <v>100</v>
      </c>
      <c r="AM82" s="114" t="s">
        <v>101</v>
      </c>
      <c r="AO82" s="105" t="s">
        <v>102</v>
      </c>
      <c r="AQ82" s="105" t="s">
        <v>103</v>
      </c>
      <c r="AS82" s="104" t="s">
        <v>104</v>
      </c>
      <c r="AU82" s="104" t="s">
        <v>104</v>
      </c>
      <c r="AW82" s="104" t="s">
        <v>105</v>
      </c>
      <c r="AY82" s="105" t="s">
        <v>107</v>
      </c>
      <c r="AZ82" s="24"/>
    </row>
    <row r="83">
      <c r="A83" s="192">
        <f>A10</f>
        <v>2569</v>
      </c>
      <c r="B83" s="193"/>
      <c r="E83" s="115" t="s">
        <v>204</v>
      </c>
      <c r="F83" s="116" t="s">
        <v>126</v>
      </c>
      <c r="G83" s="115" t="str">
        <f t="shared" ref="G83:J83" si="97">G34</f>
        <v>A10</v>
      </c>
      <c r="H83" s="9" t="str">
        <f t="shared" si="97"/>
        <v>B7</v>
      </c>
      <c r="I83" s="9" t="str">
        <f t="shared" si="97"/>
        <v>A5</v>
      </c>
      <c r="J83" s="9" t="str">
        <f t="shared" si="97"/>
        <v>B11</v>
      </c>
      <c r="K83" s="36"/>
      <c r="L83" s="117"/>
      <c r="M83" s="118" t="str">
        <f t="shared" ref="M83:P83" si="98">C83</f>
        <v/>
      </c>
      <c r="N83" s="119" t="str">
        <f t="shared" si="98"/>
        <v/>
      </c>
      <c r="O83" s="118" t="str">
        <f t="shared" si="98"/>
        <v>A5</v>
      </c>
      <c r="P83" s="118" t="str">
        <f t="shared" si="98"/>
        <v>B6</v>
      </c>
      <c r="Q83" s="118" t="str">
        <f t="shared" ref="Q83:R83" si="99">E84</f>
        <v>B12</v>
      </c>
      <c r="R83" s="119" t="str">
        <f t="shared" si="99"/>
        <v>C4</v>
      </c>
      <c r="S83" s="9" t="s">
        <v>182</v>
      </c>
      <c r="T83" s="110" t="s">
        <v>108</v>
      </c>
      <c r="U83" s="9" t="str">
        <f t="shared" ref="U83:X83" si="100">G83</f>
        <v>A10</v>
      </c>
      <c r="V83" s="119" t="str">
        <f t="shared" si="100"/>
        <v>B7</v>
      </c>
      <c r="W83" s="118" t="str">
        <f t="shared" si="100"/>
        <v>A5</v>
      </c>
      <c r="X83" s="120" t="str">
        <f t="shared" si="100"/>
        <v>B11</v>
      </c>
      <c r="Y83" s="73" t="s">
        <v>116</v>
      </c>
      <c r="Z83" s="94" t="s">
        <v>117</v>
      </c>
      <c r="AA83" s="36"/>
      <c r="AB83" s="36"/>
      <c r="AC83" s="111"/>
      <c r="AD83" s="112"/>
      <c r="AE83" s="37"/>
      <c r="AF83" s="97"/>
      <c r="AG83" s="14"/>
      <c r="AH83" s="14"/>
      <c r="AI83" s="14"/>
      <c r="AJ83" s="113"/>
      <c r="AK83" s="104" t="s">
        <v>118</v>
      </c>
      <c r="AM83" s="114" t="s">
        <v>119</v>
      </c>
      <c r="AO83" s="105" t="s">
        <v>120</v>
      </c>
      <c r="AQ83" s="105" t="s">
        <v>121</v>
      </c>
      <c r="AS83" s="104" t="s">
        <v>122</v>
      </c>
      <c r="AU83" s="104" t="s">
        <v>122</v>
      </c>
      <c r="AW83" s="104" t="s">
        <v>123</v>
      </c>
      <c r="AY83" s="105" t="s">
        <v>125</v>
      </c>
      <c r="AZ83" s="24"/>
    </row>
    <row r="84">
      <c r="A84" s="192">
        <f>A83-543</f>
        <v>2026</v>
      </c>
      <c r="B84" s="193"/>
      <c r="C84" s="181"/>
      <c r="E84" s="115" t="s">
        <v>113</v>
      </c>
      <c r="F84" s="116" t="s">
        <v>190</v>
      </c>
      <c r="G84" s="115"/>
      <c r="H84" s="118"/>
      <c r="I84" s="118"/>
      <c r="J84" s="118"/>
      <c r="K84" s="36"/>
      <c r="L84" s="117"/>
      <c r="N84" s="117"/>
      <c r="R84" s="117"/>
      <c r="T84" s="117"/>
      <c r="V84" s="117"/>
      <c r="X84" s="117"/>
      <c r="Y84" s="73" t="s">
        <v>126</v>
      </c>
      <c r="Z84" s="94" t="s">
        <v>128</v>
      </c>
      <c r="AA84" s="36"/>
      <c r="AB84" s="36"/>
      <c r="AC84" s="111"/>
      <c r="AD84" s="112"/>
      <c r="AE84" s="37"/>
      <c r="AF84" s="97"/>
      <c r="AG84" s="14"/>
      <c r="AH84" s="14"/>
      <c r="AI84" s="14"/>
      <c r="AJ84" s="113"/>
      <c r="AK84" s="104" t="s">
        <v>129</v>
      </c>
      <c r="AM84" s="114" t="s">
        <v>130</v>
      </c>
      <c r="AO84" s="105" t="s">
        <v>131</v>
      </c>
      <c r="AQ84" s="105" t="s">
        <v>132</v>
      </c>
      <c r="AS84" s="104" t="s">
        <v>133</v>
      </c>
      <c r="AU84" s="104" t="s">
        <v>133</v>
      </c>
      <c r="AW84" s="104" t="s">
        <v>134</v>
      </c>
      <c r="AY84" s="105" t="s">
        <v>136</v>
      </c>
      <c r="AZ84" s="24"/>
    </row>
    <row r="85">
      <c r="A85" s="217" t="s">
        <v>237</v>
      </c>
      <c r="B85" s="206"/>
      <c r="C85" s="123"/>
      <c r="D85" s="123"/>
      <c r="E85" s="176" t="s">
        <v>168</v>
      </c>
      <c r="F85" s="88"/>
      <c r="G85" s="207" t="str">
        <f>G5:H5</f>
        <v>อสูรเดือน N</v>
      </c>
      <c r="I85" s="208" t="str">
        <f>I5:J5</f>
        <v>อสูรปี N</v>
      </c>
      <c r="K85" s="36"/>
      <c r="L85" s="117"/>
      <c r="N85" s="117"/>
      <c r="R85" s="117"/>
      <c r="T85" s="117"/>
      <c r="V85" s="117"/>
      <c r="X85" s="117"/>
      <c r="Y85" s="127"/>
      <c r="Z85" s="155"/>
      <c r="AA85" s="36"/>
      <c r="AB85" s="36"/>
      <c r="AC85" s="111"/>
      <c r="AD85" s="112"/>
      <c r="AE85" s="37"/>
      <c r="AF85" s="97"/>
      <c r="AG85" s="14"/>
      <c r="AH85" s="14"/>
      <c r="AI85" s="14"/>
      <c r="AJ85" s="113"/>
      <c r="AQ85" s="128"/>
      <c r="AZ85" s="24"/>
    </row>
    <row r="86">
      <c r="A86" s="188" t="s">
        <v>199</v>
      </c>
      <c r="B86" s="189"/>
      <c r="C86" s="63"/>
      <c r="D86" s="63"/>
      <c r="E86" s="64">
        <f>(O87+P87+Q87+R87)/(O88+P88+Q88+R88)</f>
        <v>0.625</v>
      </c>
      <c r="F86" s="65"/>
      <c r="G86" s="133"/>
      <c r="H86" s="72"/>
      <c r="I86" s="67"/>
      <c r="J86" s="72"/>
      <c r="K86" s="68"/>
      <c r="L86" s="69"/>
      <c r="M86" s="63" t="s">
        <v>64</v>
      </c>
      <c r="N86" s="70"/>
      <c r="O86" s="71" t="s">
        <v>65</v>
      </c>
      <c r="P86" s="72"/>
      <c r="Q86" s="72"/>
      <c r="R86" s="70"/>
      <c r="S86" s="71" t="s">
        <v>66</v>
      </c>
      <c r="T86" s="70"/>
      <c r="U86" s="71" t="s">
        <v>67</v>
      </c>
      <c r="V86" s="70"/>
      <c r="W86" s="71" t="s">
        <v>68</v>
      </c>
      <c r="X86" s="70"/>
      <c r="Y86" s="134" t="s">
        <v>116</v>
      </c>
      <c r="Z86" s="74" t="s">
        <v>140</v>
      </c>
      <c r="AA86" s="75" t="s">
        <v>197</v>
      </c>
      <c r="AB86" s="75" t="s">
        <v>311</v>
      </c>
      <c r="AC86" s="76" t="s">
        <v>73</v>
      </c>
      <c r="AD86" s="77" t="s">
        <v>74</v>
      </c>
      <c r="AE86" s="63" t="s">
        <v>34</v>
      </c>
      <c r="AF86" s="78" t="s">
        <v>34</v>
      </c>
      <c r="AG86" s="79" t="s">
        <v>71</v>
      </c>
      <c r="AH86" s="79">
        <v>210.0</v>
      </c>
      <c r="AI86" s="79" t="s">
        <v>175</v>
      </c>
      <c r="AJ86" s="80" t="str">
        <f>AJ80</f>
        <v>開</v>
      </c>
      <c r="AK86" s="81" t="s">
        <v>40</v>
      </c>
      <c r="AL86" s="82" t="str">
        <f>AL80</f>
        <v>休</v>
      </c>
      <c r="AM86" s="81" t="s">
        <v>42</v>
      </c>
      <c r="AN86" s="82" t="s">
        <v>4</v>
      </c>
      <c r="AO86" s="81" t="s">
        <v>44</v>
      </c>
      <c r="AP86" s="82" t="str">
        <f>AP80</f>
        <v>傷</v>
      </c>
      <c r="AQ86" s="81" t="s">
        <v>46</v>
      </c>
      <c r="AR86" s="82" t="s">
        <v>8</v>
      </c>
      <c r="AS86" s="81" t="s">
        <v>48</v>
      </c>
      <c r="AT86" s="82" t="str">
        <f>AT80</f>
        <v>景</v>
      </c>
      <c r="AU86" s="81" t="s">
        <v>50</v>
      </c>
      <c r="AV86" s="82" t="str">
        <f>AV80</f>
        <v>死</v>
      </c>
      <c r="AW86" s="81" t="s">
        <v>52</v>
      </c>
      <c r="AX86" s="82" t="str">
        <f>AX80</f>
        <v>驚</v>
      </c>
      <c r="AY86" s="81" t="s">
        <v>38</v>
      </c>
      <c r="AZ86" s="83"/>
      <c r="BA86" s="84"/>
      <c r="BB86" s="84"/>
      <c r="BC86" s="84"/>
    </row>
    <row r="87">
      <c r="A87" s="192">
        <f>A81+1</f>
        <v>13</v>
      </c>
      <c r="B87" s="193"/>
      <c r="C87" s="12" t="s">
        <v>270</v>
      </c>
      <c r="E87" s="168" t="s">
        <v>79</v>
      </c>
      <c r="G87" s="273" t="str">
        <f t="shared" ref="G87:G88" si="102">G32:H32</f>
        <v>庚</v>
      </c>
      <c r="I87" s="275" t="str">
        <f t="shared" ref="I87:I88" si="103">I32:J32</f>
        <v>丙</v>
      </c>
      <c r="K87" s="90">
        <f>L87/L88</f>
        <v>0.53</v>
      </c>
      <c r="L87" s="126">
        <f t="shared" ref="L87:L88" si="104">O87+P87+Q87+U87+V87+W87+X87+R87+M87+N87+S87+T87</f>
        <v>530</v>
      </c>
      <c r="M87" s="92">
        <v>0.0</v>
      </c>
      <c r="N87" s="93">
        <v>0.0</v>
      </c>
      <c r="O87" s="92">
        <v>110.0</v>
      </c>
      <c r="P87" s="92">
        <v>0.0</v>
      </c>
      <c r="Q87" s="92">
        <v>60.0</v>
      </c>
      <c r="R87" s="93">
        <v>80.0</v>
      </c>
      <c r="S87" s="92">
        <v>35.0</v>
      </c>
      <c r="T87" s="93">
        <v>75.0</v>
      </c>
      <c r="U87" s="92">
        <f t="shared" ref="U87:X87" si="101">U32</f>
        <v>0</v>
      </c>
      <c r="V87" s="93">
        <f t="shared" si="101"/>
        <v>0</v>
      </c>
      <c r="W87" s="92">
        <f t="shared" si="101"/>
        <v>110</v>
      </c>
      <c r="X87" s="93">
        <f t="shared" si="101"/>
        <v>60</v>
      </c>
      <c r="Y87" s="73" t="s">
        <v>126</v>
      </c>
      <c r="Z87" s="94" t="s">
        <v>70</v>
      </c>
      <c r="AA87" s="36"/>
      <c r="AB87" s="36"/>
      <c r="AC87" s="95" t="s">
        <v>82</v>
      </c>
      <c r="AD87" s="96" t="s">
        <v>83</v>
      </c>
      <c r="AE87" s="37"/>
      <c r="AF87" s="97"/>
      <c r="AG87" s="12" t="s">
        <v>53</v>
      </c>
      <c r="AH87" s="12">
        <v>30.0</v>
      </c>
      <c r="AI87" s="12" t="s">
        <v>178</v>
      </c>
      <c r="AJ87" s="98" t="s">
        <v>41</v>
      </c>
      <c r="AK87" s="103" t="s">
        <v>92</v>
      </c>
      <c r="AL87" s="100" t="s">
        <v>39</v>
      </c>
      <c r="AM87" s="99" t="s">
        <v>93</v>
      </c>
      <c r="AN87" s="100" t="s">
        <v>37</v>
      </c>
      <c r="AO87" s="99" t="s">
        <v>94</v>
      </c>
      <c r="AP87" s="100" t="s">
        <v>51</v>
      </c>
      <c r="AQ87" s="101" t="s">
        <v>95</v>
      </c>
      <c r="AR87" s="100" t="s">
        <v>86</v>
      </c>
      <c r="AS87" s="99" t="s">
        <v>87</v>
      </c>
      <c r="AT87" s="100" t="s">
        <v>88</v>
      </c>
      <c r="AU87" s="101" t="s">
        <v>89</v>
      </c>
      <c r="AV87" s="100" t="s">
        <v>45</v>
      </c>
      <c r="AW87" s="102" t="s">
        <v>90</v>
      </c>
      <c r="AX87" s="100" t="s">
        <v>43</v>
      </c>
      <c r="AY87" s="101" t="s">
        <v>91</v>
      </c>
      <c r="AZ87" s="24"/>
    </row>
    <row r="88">
      <c r="A88" s="215" t="str">
        <f>G2</f>
        <v>กุมภาพันธ์</v>
      </c>
      <c r="B88" s="193"/>
      <c r="C88" s="161" t="s">
        <v>179</v>
      </c>
      <c r="E88" s="223" t="s">
        <v>202</v>
      </c>
      <c r="G88" s="274" t="str">
        <f t="shared" si="102"/>
        <v>寅</v>
      </c>
      <c r="I88" s="142" t="str">
        <f t="shared" si="103"/>
        <v>午</v>
      </c>
      <c r="K88" s="36"/>
      <c r="L88" s="109">
        <f t="shared" si="104"/>
        <v>1000</v>
      </c>
      <c r="M88" s="9">
        <v>0.0</v>
      </c>
      <c r="N88" s="110">
        <v>0.0</v>
      </c>
      <c r="O88" s="9">
        <v>100.0</v>
      </c>
      <c r="P88" s="9">
        <v>100.0</v>
      </c>
      <c r="Q88" s="9">
        <v>100.0</v>
      </c>
      <c r="R88" s="110">
        <v>100.0</v>
      </c>
      <c r="S88" s="9">
        <v>100.0</v>
      </c>
      <c r="T88" s="110">
        <v>100.0</v>
      </c>
      <c r="U88" s="9">
        <v>100.0</v>
      </c>
      <c r="V88" s="110">
        <v>100.0</v>
      </c>
      <c r="W88" s="9">
        <v>100.0</v>
      </c>
      <c r="X88" s="110">
        <v>100.0</v>
      </c>
      <c r="Y88" s="73" t="s">
        <v>69</v>
      </c>
      <c r="Z88" s="94" t="s">
        <v>152</v>
      </c>
      <c r="AA88" s="36"/>
      <c r="AB88" s="36"/>
      <c r="AC88" s="111"/>
      <c r="AD88" s="112"/>
      <c r="AE88" s="37"/>
      <c r="AF88" s="97"/>
      <c r="AG88" s="14"/>
      <c r="AH88" s="14"/>
      <c r="AI88" s="14"/>
      <c r="AJ88" s="113"/>
      <c r="AK88" s="104" t="s">
        <v>104</v>
      </c>
      <c r="AM88" s="104" t="s">
        <v>105</v>
      </c>
      <c r="AO88" s="104" t="s">
        <v>106</v>
      </c>
      <c r="AQ88" s="105" t="s">
        <v>107</v>
      </c>
      <c r="AS88" s="104" t="s">
        <v>100</v>
      </c>
      <c r="AU88" s="114" t="s">
        <v>101</v>
      </c>
      <c r="AW88" s="105" t="s">
        <v>102</v>
      </c>
      <c r="AY88" s="105" t="s">
        <v>103</v>
      </c>
      <c r="AZ88" s="24"/>
    </row>
    <row r="89">
      <c r="A89" s="192">
        <f>A10</f>
        <v>2569</v>
      </c>
      <c r="B89" s="193"/>
      <c r="E89" s="115" t="s">
        <v>204</v>
      </c>
      <c r="F89" s="116" t="s">
        <v>111</v>
      </c>
      <c r="G89" s="115" t="str">
        <f t="shared" ref="G89:J89" si="105">G34</f>
        <v>A10</v>
      </c>
      <c r="H89" s="9" t="str">
        <f t="shared" si="105"/>
        <v>B7</v>
      </c>
      <c r="I89" s="9" t="str">
        <f t="shared" si="105"/>
        <v>A5</v>
      </c>
      <c r="J89" s="9" t="str">
        <f t="shared" si="105"/>
        <v>B11</v>
      </c>
      <c r="K89" s="36"/>
      <c r="L89" s="117"/>
      <c r="M89" s="118" t="str">
        <f t="shared" ref="M89:P89" si="106">C89</f>
        <v/>
      </c>
      <c r="N89" s="119" t="str">
        <f t="shared" si="106"/>
        <v/>
      </c>
      <c r="O89" s="118" t="str">
        <f t="shared" si="106"/>
        <v>A5</v>
      </c>
      <c r="P89" s="118" t="str">
        <f t="shared" si="106"/>
        <v>B7</v>
      </c>
      <c r="Q89" s="118" t="str">
        <f t="shared" ref="Q89:R89" si="107">E90</f>
        <v>B11</v>
      </c>
      <c r="R89" s="119" t="str">
        <f t="shared" si="107"/>
        <v>C5</v>
      </c>
      <c r="S89" s="9" t="s">
        <v>112</v>
      </c>
      <c r="T89" s="110" t="s">
        <v>182</v>
      </c>
      <c r="U89" s="9" t="str">
        <f t="shared" ref="U89:X89" si="108">G89</f>
        <v>A10</v>
      </c>
      <c r="V89" s="119" t="str">
        <f t="shared" si="108"/>
        <v>B7</v>
      </c>
      <c r="W89" s="118" t="str">
        <f t="shared" si="108"/>
        <v>A5</v>
      </c>
      <c r="X89" s="120" t="str">
        <f t="shared" si="108"/>
        <v>B11</v>
      </c>
      <c r="Y89" s="73" t="s">
        <v>80</v>
      </c>
      <c r="Z89" s="94" t="s">
        <v>153</v>
      </c>
      <c r="AA89" s="36"/>
      <c r="AB89" s="36"/>
      <c r="AC89" s="111"/>
      <c r="AD89" s="112"/>
      <c r="AE89" s="37"/>
      <c r="AF89" s="97"/>
      <c r="AG89" s="14"/>
      <c r="AH89" s="14"/>
      <c r="AI89" s="14"/>
      <c r="AJ89" s="113"/>
      <c r="AK89" s="104" t="s">
        <v>122</v>
      </c>
      <c r="AM89" s="104" t="s">
        <v>123</v>
      </c>
      <c r="AO89" s="104" t="s">
        <v>124</v>
      </c>
      <c r="AQ89" s="105" t="s">
        <v>125</v>
      </c>
      <c r="AS89" s="104" t="s">
        <v>118</v>
      </c>
      <c r="AU89" s="114" t="s">
        <v>119</v>
      </c>
      <c r="AW89" s="105" t="s">
        <v>120</v>
      </c>
      <c r="AY89" s="105" t="s">
        <v>121</v>
      </c>
      <c r="AZ89" s="24"/>
    </row>
    <row r="90">
      <c r="A90" s="192">
        <f>A89-543</f>
        <v>2026</v>
      </c>
      <c r="B90" s="193"/>
      <c r="E90" s="115" t="s">
        <v>214</v>
      </c>
      <c r="F90" s="116" t="s">
        <v>205</v>
      </c>
      <c r="G90" s="115"/>
      <c r="H90" s="118"/>
      <c r="I90" s="118"/>
      <c r="J90" s="118"/>
      <c r="K90" s="36"/>
      <c r="L90" s="117"/>
      <c r="N90" s="117"/>
      <c r="R90" s="117"/>
      <c r="T90" s="117"/>
      <c r="V90" s="117"/>
      <c r="X90" s="117"/>
      <c r="Y90" s="73" t="s">
        <v>98</v>
      </c>
      <c r="Z90" s="94" t="s">
        <v>155</v>
      </c>
      <c r="AA90" s="36"/>
      <c r="AB90" s="36"/>
      <c r="AC90" s="111"/>
      <c r="AD90" s="112"/>
      <c r="AE90" s="37"/>
      <c r="AF90" s="97"/>
      <c r="AG90" s="14"/>
      <c r="AH90" s="14"/>
      <c r="AI90" s="14"/>
      <c r="AJ90" s="113"/>
      <c r="AK90" s="104" t="s">
        <v>133</v>
      </c>
      <c r="AM90" s="104" t="s">
        <v>134</v>
      </c>
      <c r="AO90" s="104" t="s">
        <v>135</v>
      </c>
      <c r="AQ90" s="105" t="s">
        <v>136</v>
      </c>
      <c r="AS90" s="104" t="s">
        <v>129</v>
      </c>
      <c r="AU90" s="114" t="s">
        <v>130</v>
      </c>
      <c r="AW90" s="105" t="s">
        <v>131</v>
      </c>
      <c r="AY90" s="105" t="s">
        <v>132</v>
      </c>
      <c r="AZ90" s="24"/>
    </row>
    <row r="91">
      <c r="A91" s="113"/>
      <c r="B91" s="206"/>
      <c r="C91" s="123"/>
      <c r="D91" s="123"/>
      <c r="E91" s="176" t="s">
        <v>185</v>
      </c>
      <c r="F91" s="88"/>
      <c r="G91" s="210" t="str">
        <f>G5:H5</f>
        <v>อสูรเดือน N</v>
      </c>
      <c r="I91" s="211" t="str">
        <f>I5:J5</f>
        <v>อสูรปี N</v>
      </c>
      <c r="K91" s="36"/>
      <c r="L91" s="117"/>
      <c r="N91" s="117"/>
      <c r="R91" s="117"/>
      <c r="T91" s="117"/>
      <c r="V91" s="117"/>
      <c r="X91" s="117"/>
      <c r="Y91" s="127"/>
      <c r="Z91" s="155"/>
      <c r="AA91" s="36"/>
      <c r="AB91" s="36"/>
      <c r="AC91" s="111"/>
      <c r="AD91" s="112"/>
      <c r="AE91" s="37"/>
      <c r="AF91" s="97"/>
      <c r="AG91" s="14"/>
      <c r="AH91" s="14"/>
      <c r="AI91" s="14"/>
      <c r="AJ91" s="113"/>
      <c r="AM91" s="128"/>
      <c r="AZ91" s="24"/>
    </row>
    <row r="92">
      <c r="A92" s="188" t="s">
        <v>63</v>
      </c>
      <c r="B92" s="189"/>
      <c r="C92" s="63"/>
      <c r="D92" s="63"/>
      <c r="E92" s="216">
        <f>(O93+P93+Q93+R93)/(O94+P94+Q94+R94)</f>
        <v>0.75</v>
      </c>
      <c r="F92" s="65"/>
      <c r="G92" s="133"/>
      <c r="H92" s="72"/>
      <c r="I92" s="67"/>
      <c r="J92" s="72"/>
      <c r="K92" s="68"/>
      <c r="L92" s="69"/>
      <c r="M92" s="63" t="s">
        <v>64</v>
      </c>
      <c r="N92" s="70"/>
      <c r="O92" s="71" t="s">
        <v>65</v>
      </c>
      <c r="P92" s="72"/>
      <c r="Q92" s="72"/>
      <c r="R92" s="70"/>
      <c r="S92" s="71" t="s">
        <v>66</v>
      </c>
      <c r="T92" s="70"/>
      <c r="U92" s="71" t="s">
        <v>67</v>
      </c>
      <c r="V92" s="70"/>
      <c r="W92" s="71" t="s">
        <v>68</v>
      </c>
      <c r="X92" s="70"/>
      <c r="Y92" s="134" t="s">
        <v>116</v>
      </c>
      <c r="Z92" s="74" t="s">
        <v>159</v>
      </c>
      <c r="AA92" s="75" t="s">
        <v>32</v>
      </c>
      <c r="AB92" s="75" t="s">
        <v>233</v>
      </c>
      <c r="AC92" s="76" t="s">
        <v>73</v>
      </c>
      <c r="AD92" s="77" t="s">
        <v>74</v>
      </c>
      <c r="AE92" s="63" t="s">
        <v>34</v>
      </c>
      <c r="AF92" s="78" t="s">
        <v>75</v>
      </c>
      <c r="AG92" s="79" t="s">
        <v>84</v>
      </c>
      <c r="AH92" s="79">
        <v>0.0</v>
      </c>
      <c r="AI92" s="79" t="s">
        <v>85</v>
      </c>
      <c r="AJ92" s="80" t="str">
        <f>AJ86</f>
        <v>開</v>
      </c>
      <c r="AK92" s="81" t="s">
        <v>46</v>
      </c>
      <c r="AL92" s="82" t="str">
        <f>AL86</f>
        <v>休</v>
      </c>
      <c r="AM92" s="81" t="s">
        <v>48</v>
      </c>
      <c r="AN92" s="82" t="str">
        <f>AN86</f>
        <v>生</v>
      </c>
      <c r="AO92" s="81" t="s">
        <v>50</v>
      </c>
      <c r="AP92" s="82" t="str">
        <f>AP86</f>
        <v>傷</v>
      </c>
      <c r="AQ92" s="81" t="s">
        <v>52</v>
      </c>
      <c r="AR92" s="82" t="str">
        <f>AR86</f>
        <v>杜</v>
      </c>
      <c r="AS92" s="81" t="s">
        <v>38</v>
      </c>
      <c r="AT92" s="82" t="str">
        <f>AT86</f>
        <v>景</v>
      </c>
      <c r="AU92" s="81" t="s">
        <v>40</v>
      </c>
      <c r="AV92" s="82" t="str">
        <f>AV86</f>
        <v>死</v>
      </c>
      <c r="AW92" s="81" t="s">
        <v>42</v>
      </c>
      <c r="AX92" s="82" t="str">
        <f>AX86</f>
        <v>驚</v>
      </c>
      <c r="AY92" s="81" t="s">
        <v>44</v>
      </c>
      <c r="AZ92" s="83"/>
      <c r="BA92" s="84"/>
      <c r="BB92" s="84"/>
      <c r="BC92" s="84"/>
    </row>
    <row r="93">
      <c r="A93" s="192">
        <f>A87+1</f>
        <v>14</v>
      </c>
      <c r="B93" s="193"/>
      <c r="C93" s="12" t="s">
        <v>260</v>
      </c>
      <c r="E93" s="168" t="s">
        <v>30</v>
      </c>
      <c r="G93" s="273" t="str">
        <f t="shared" ref="G93:G94" si="110">G32:H32</f>
        <v>庚</v>
      </c>
      <c r="I93" s="275" t="str">
        <f t="shared" ref="I93:I94" si="111">I32:J32</f>
        <v>丙</v>
      </c>
      <c r="K93" s="90">
        <f>L93/L94</f>
        <v>0.56</v>
      </c>
      <c r="L93" s="126">
        <f t="shared" ref="L93:L94" si="112">O93+P93+Q93+U93+V93+W93+X93+R93+M93+N93+S93+T93</f>
        <v>560</v>
      </c>
      <c r="M93" s="92">
        <v>0.0</v>
      </c>
      <c r="N93" s="93">
        <v>0.0</v>
      </c>
      <c r="O93" s="92">
        <v>90.0</v>
      </c>
      <c r="P93" s="92">
        <v>90.0</v>
      </c>
      <c r="Q93" s="92">
        <v>40.0</v>
      </c>
      <c r="R93" s="93">
        <v>80.0</v>
      </c>
      <c r="S93" s="92">
        <v>85.0</v>
      </c>
      <c r="T93" s="93">
        <v>5.0</v>
      </c>
      <c r="U93" s="92">
        <f t="shared" ref="U93:X93" si="109">U32</f>
        <v>0</v>
      </c>
      <c r="V93" s="93">
        <f t="shared" si="109"/>
        <v>0</v>
      </c>
      <c r="W93" s="92">
        <f t="shared" si="109"/>
        <v>110</v>
      </c>
      <c r="X93" s="93">
        <f t="shared" si="109"/>
        <v>60</v>
      </c>
      <c r="Y93" s="73" t="s">
        <v>126</v>
      </c>
      <c r="Z93" s="94" t="s">
        <v>152</v>
      </c>
      <c r="AA93" s="36"/>
      <c r="AB93" s="29" t="s">
        <v>234</v>
      </c>
      <c r="AC93" s="95" t="s">
        <v>82</v>
      </c>
      <c r="AD93" s="96" t="s">
        <v>83</v>
      </c>
      <c r="AE93" s="37"/>
      <c r="AF93" s="97"/>
      <c r="AG93" s="12" t="s">
        <v>76</v>
      </c>
      <c r="AH93" s="12">
        <v>240.0</v>
      </c>
      <c r="AI93" s="12" t="s">
        <v>77</v>
      </c>
      <c r="AJ93" s="98" t="s">
        <v>39</v>
      </c>
      <c r="AK93" s="99" t="s">
        <v>93</v>
      </c>
      <c r="AL93" s="100" t="s">
        <v>37</v>
      </c>
      <c r="AM93" s="99" t="s">
        <v>94</v>
      </c>
      <c r="AN93" s="100" t="s">
        <v>51</v>
      </c>
      <c r="AO93" s="101" t="s">
        <v>95</v>
      </c>
      <c r="AP93" s="100" t="s">
        <v>86</v>
      </c>
      <c r="AQ93" s="99" t="s">
        <v>87</v>
      </c>
      <c r="AR93" s="100" t="s">
        <v>88</v>
      </c>
      <c r="AS93" s="101" t="s">
        <v>89</v>
      </c>
      <c r="AT93" s="100" t="s">
        <v>45</v>
      </c>
      <c r="AU93" s="102" t="s">
        <v>90</v>
      </c>
      <c r="AV93" s="100" t="s">
        <v>43</v>
      </c>
      <c r="AW93" s="101" t="s">
        <v>91</v>
      </c>
      <c r="AX93" s="100" t="s">
        <v>41</v>
      </c>
      <c r="AY93" s="103" t="s">
        <v>92</v>
      </c>
      <c r="AZ93" s="24"/>
    </row>
    <row r="94">
      <c r="A94" s="215" t="str">
        <f>G2</f>
        <v>กุมภาพันธ์</v>
      </c>
      <c r="B94" s="193"/>
      <c r="C94" s="140" t="s">
        <v>310</v>
      </c>
      <c r="E94" s="162" t="s">
        <v>71</v>
      </c>
      <c r="G94" s="274" t="str">
        <f t="shared" si="110"/>
        <v>寅</v>
      </c>
      <c r="I94" s="142" t="str">
        <f t="shared" si="111"/>
        <v>午</v>
      </c>
      <c r="K94" s="36"/>
      <c r="L94" s="109">
        <f t="shared" si="112"/>
        <v>1000</v>
      </c>
      <c r="M94" s="9">
        <v>0.0</v>
      </c>
      <c r="N94" s="110">
        <v>0.0</v>
      </c>
      <c r="O94" s="9">
        <v>100.0</v>
      </c>
      <c r="P94" s="9">
        <v>100.0</v>
      </c>
      <c r="Q94" s="9">
        <v>100.0</v>
      </c>
      <c r="R94" s="110">
        <v>100.0</v>
      </c>
      <c r="S94" s="9">
        <v>100.0</v>
      </c>
      <c r="T94" s="110">
        <v>100.0</v>
      </c>
      <c r="U94" s="9">
        <v>100.0</v>
      </c>
      <c r="V94" s="110">
        <v>100.0</v>
      </c>
      <c r="W94" s="9">
        <v>100.0</v>
      </c>
      <c r="X94" s="110">
        <v>100.0</v>
      </c>
      <c r="Y94" s="73" t="s">
        <v>69</v>
      </c>
      <c r="Z94" s="94" t="s">
        <v>163</v>
      </c>
      <c r="AA94" s="36"/>
      <c r="AB94" s="36"/>
      <c r="AC94" s="111"/>
      <c r="AD94" s="112"/>
      <c r="AE94" s="37"/>
      <c r="AF94" s="97"/>
      <c r="AG94" s="14"/>
      <c r="AH94" s="14"/>
      <c r="AI94" s="14"/>
      <c r="AJ94" s="113"/>
      <c r="AK94" s="104" t="s">
        <v>105</v>
      </c>
      <c r="AM94" s="104" t="s">
        <v>106</v>
      </c>
      <c r="AO94" s="105" t="s">
        <v>107</v>
      </c>
      <c r="AQ94" s="104" t="s">
        <v>100</v>
      </c>
      <c r="AS94" s="114" t="s">
        <v>101</v>
      </c>
      <c r="AU94" s="105" t="s">
        <v>102</v>
      </c>
      <c r="AW94" s="105" t="s">
        <v>103</v>
      </c>
      <c r="AY94" s="104" t="s">
        <v>104</v>
      </c>
      <c r="AZ94" s="24"/>
    </row>
    <row r="95">
      <c r="A95" s="192">
        <v>2569.0</v>
      </c>
      <c r="B95" s="193"/>
      <c r="E95" s="115" t="s">
        <v>219</v>
      </c>
      <c r="F95" s="116" t="s">
        <v>69</v>
      </c>
      <c r="G95" s="115" t="str">
        <f t="shared" ref="G95:J95" si="113">G34</f>
        <v>A10</v>
      </c>
      <c r="H95" s="9" t="str">
        <f t="shared" si="113"/>
        <v>B7</v>
      </c>
      <c r="I95" s="9" t="str">
        <f t="shared" si="113"/>
        <v>A5</v>
      </c>
      <c r="J95" s="9" t="str">
        <f t="shared" si="113"/>
        <v>B11</v>
      </c>
      <c r="K95" s="36"/>
      <c r="L95" s="117"/>
      <c r="M95" s="118" t="str">
        <f t="shared" ref="M95:P95" si="114">C95</f>
        <v/>
      </c>
      <c r="N95" s="119" t="str">
        <f t="shared" si="114"/>
        <v/>
      </c>
      <c r="O95" s="118" t="str">
        <f t="shared" si="114"/>
        <v>A3</v>
      </c>
      <c r="P95" s="118" t="str">
        <f t="shared" si="114"/>
        <v>B8</v>
      </c>
      <c r="Q95" s="118" t="str">
        <f t="shared" ref="Q95:R95" si="115">E96</f>
        <v>B10</v>
      </c>
      <c r="R95" s="119" t="str">
        <f t="shared" si="115"/>
        <v>C6</v>
      </c>
      <c r="S95" s="9" t="s">
        <v>219</v>
      </c>
      <c r="T95" s="110" t="s">
        <v>108</v>
      </c>
      <c r="U95" s="9" t="str">
        <f t="shared" ref="U95:X95" si="116">G95</f>
        <v>A10</v>
      </c>
      <c r="V95" s="119" t="str">
        <f t="shared" si="116"/>
        <v>B7</v>
      </c>
      <c r="W95" s="118" t="str">
        <f t="shared" si="116"/>
        <v>A5</v>
      </c>
      <c r="X95" s="120" t="str">
        <f t="shared" si="116"/>
        <v>B11</v>
      </c>
      <c r="Y95" s="73" t="s">
        <v>80</v>
      </c>
      <c r="Z95" s="94" t="s">
        <v>117</v>
      </c>
      <c r="AA95" s="36"/>
      <c r="AB95" s="36"/>
      <c r="AC95" s="111"/>
      <c r="AD95" s="112"/>
      <c r="AE95" s="37"/>
      <c r="AF95" s="97"/>
      <c r="AG95" s="14"/>
      <c r="AH95" s="14"/>
      <c r="AI95" s="14"/>
      <c r="AJ95" s="113"/>
      <c r="AK95" s="104" t="s">
        <v>123</v>
      </c>
      <c r="AM95" s="104" t="s">
        <v>124</v>
      </c>
      <c r="AO95" s="105" t="s">
        <v>125</v>
      </c>
      <c r="AQ95" s="104" t="s">
        <v>118</v>
      </c>
      <c r="AS95" s="114" t="s">
        <v>119</v>
      </c>
      <c r="AU95" s="105" t="s">
        <v>120</v>
      </c>
      <c r="AW95" s="105" t="s">
        <v>121</v>
      </c>
      <c r="AY95" s="104" t="s">
        <v>122</v>
      </c>
      <c r="AZ95" s="24"/>
    </row>
    <row r="96">
      <c r="A96" s="192">
        <f>A95-543</f>
        <v>2026</v>
      </c>
      <c r="B96" s="193"/>
      <c r="E96" s="115" t="s">
        <v>218</v>
      </c>
      <c r="F96" s="116" t="s">
        <v>215</v>
      </c>
      <c r="G96" s="115"/>
      <c r="H96" s="118"/>
      <c r="I96" s="118"/>
      <c r="J96" s="118"/>
      <c r="K96" s="36"/>
      <c r="L96" s="117"/>
      <c r="N96" s="117"/>
      <c r="R96" s="117"/>
      <c r="T96" s="117"/>
      <c r="V96" s="117"/>
      <c r="X96" s="117"/>
      <c r="Y96" s="73" t="s">
        <v>98</v>
      </c>
      <c r="Z96" s="94" t="s">
        <v>128</v>
      </c>
      <c r="AA96" s="36"/>
      <c r="AB96" s="36"/>
      <c r="AC96" s="111"/>
      <c r="AD96" s="112"/>
      <c r="AE96" s="37"/>
      <c r="AF96" s="97"/>
      <c r="AG96" s="14"/>
      <c r="AH96" s="14"/>
      <c r="AI96" s="14"/>
      <c r="AJ96" s="113"/>
      <c r="AK96" s="104" t="s">
        <v>134</v>
      </c>
      <c r="AM96" s="104" t="s">
        <v>135</v>
      </c>
      <c r="AO96" s="105" t="s">
        <v>136</v>
      </c>
      <c r="AQ96" s="104" t="s">
        <v>129</v>
      </c>
      <c r="AS96" s="114" t="s">
        <v>130</v>
      </c>
      <c r="AU96" s="105" t="s">
        <v>131</v>
      </c>
      <c r="AW96" s="105" t="s">
        <v>132</v>
      </c>
      <c r="AY96" s="104" t="s">
        <v>133</v>
      </c>
      <c r="AZ96" s="24"/>
    </row>
    <row r="97">
      <c r="A97" s="217" t="s">
        <v>237</v>
      </c>
      <c r="B97" s="206"/>
      <c r="C97" s="123"/>
      <c r="D97" s="123"/>
      <c r="E97" s="164" t="s">
        <v>137</v>
      </c>
      <c r="F97" s="88"/>
      <c r="G97" s="207" t="str">
        <f>G5:H5</f>
        <v>อสูรเดือน N</v>
      </c>
      <c r="I97" s="208" t="str">
        <f>I5:J5</f>
        <v>อสูรปี N</v>
      </c>
      <c r="K97" s="36"/>
      <c r="L97" s="117"/>
      <c r="N97" s="117"/>
      <c r="R97" s="117"/>
      <c r="T97" s="117"/>
      <c r="V97" s="117"/>
      <c r="X97" s="117"/>
      <c r="Y97" s="127"/>
      <c r="Z97" s="155"/>
      <c r="AA97" s="36"/>
      <c r="AB97" s="36"/>
      <c r="AC97" s="111"/>
      <c r="AD97" s="112"/>
      <c r="AE97" s="37"/>
      <c r="AF97" s="97"/>
      <c r="AG97" s="14"/>
      <c r="AH97" s="14"/>
      <c r="AI97" s="14"/>
      <c r="AJ97" s="113"/>
      <c r="AO97" s="128"/>
      <c r="AZ97" s="24"/>
    </row>
    <row r="98">
      <c r="A98" s="188" t="s">
        <v>139</v>
      </c>
      <c r="B98" s="189"/>
      <c r="C98" s="63"/>
      <c r="D98" s="63"/>
      <c r="E98" s="64">
        <f>(O99+P99+Q99+R99)/(O100+P100+Q100+R100)</f>
        <v>0.525</v>
      </c>
      <c r="F98" s="65"/>
      <c r="G98" s="133"/>
      <c r="H98" s="72"/>
      <c r="I98" s="67"/>
      <c r="J98" s="72"/>
      <c r="K98" s="68"/>
      <c r="L98" s="69"/>
      <c r="M98" s="63" t="s">
        <v>64</v>
      </c>
      <c r="N98" s="70"/>
      <c r="O98" s="71" t="s">
        <v>65</v>
      </c>
      <c r="P98" s="72"/>
      <c r="Q98" s="72"/>
      <c r="R98" s="70"/>
      <c r="S98" s="71" t="s">
        <v>66</v>
      </c>
      <c r="T98" s="70"/>
      <c r="U98" s="71" t="s">
        <v>67</v>
      </c>
      <c r="V98" s="70"/>
      <c r="W98" s="71" t="s">
        <v>68</v>
      </c>
      <c r="X98" s="70"/>
      <c r="Y98" s="134" t="s">
        <v>80</v>
      </c>
      <c r="Z98" s="74" t="s">
        <v>170</v>
      </c>
      <c r="AA98" s="75" t="s">
        <v>71</v>
      </c>
      <c r="AB98" s="75" t="s">
        <v>72</v>
      </c>
      <c r="AC98" s="202" t="s">
        <v>142</v>
      </c>
      <c r="AD98" s="74" t="s">
        <v>143</v>
      </c>
      <c r="AE98" s="63" t="s">
        <v>36</v>
      </c>
      <c r="AF98" s="78" t="s">
        <v>144</v>
      </c>
      <c r="AG98" s="79" t="s">
        <v>53</v>
      </c>
      <c r="AH98" s="79">
        <v>30.0</v>
      </c>
      <c r="AI98" s="79" t="s">
        <v>178</v>
      </c>
      <c r="AJ98" s="80" t="str">
        <f>AJ92</f>
        <v>開</v>
      </c>
      <c r="AK98" s="81" t="s">
        <v>46</v>
      </c>
      <c r="AL98" s="82" t="str">
        <f>AL92</f>
        <v>休</v>
      </c>
      <c r="AM98" s="81" t="s">
        <v>48</v>
      </c>
      <c r="AN98" s="82" t="str">
        <f>AN92</f>
        <v>生</v>
      </c>
      <c r="AO98" s="81" t="s">
        <v>50</v>
      </c>
      <c r="AP98" s="82" t="str">
        <f>AP92</f>
        <v>傷</v>
      </c>
      <c r="AQ98" s="81" t="s">
        <v>52</v>
      </c>
      <c r="AR98" s="82" t="str">
        <f>AR92</f>
        <v>杜</v>
      </c>
      <c r="AS98" s="81" t="s">
        <v>38</v>
      </c>
      <c r="AT98" s="82" t="str">
        <f>AT92</f>
        <v>景</v>
      </c>
      <c r="AU98" s="81" t="s">
        <v>40</v>
      </c>
      <c r="AV98" s="82" t="str">
        <f>AV92</f>
        <v>死</v>
      </c>
      <c r="AW98" s="81" t="s">
        <v>42</v>
      </c>
      <c r="AX98" s="82" t="str">
        <f>AX92</f>
        <v>驚</v>
      </c>
      <c r="AY98" s="81" t="s">
        <v>44</v>
      </c>
      <c r="AZ98" s="83"/>
      <c r="BA98" s="84"/>
      <c r="BB98" s="84"/>
      <c r="BC98" s="84"/>
    </row>
    <row r="99">
      <c r="A99" s="192">
        <f>A93+1</f>
        <v>15</v>
      </c>
      <c r="B99" s="193"/>
      <c r="C99" s="12" t="s">
        <v>265</v>
      </c>
      <c r="E99" s="194" t="s">
        <v>195</v>
      </c>
      <c r="G99" s="273" t="str">
        <f t="shared" ref="G99:G100" si="118">G32:H32</f>
        <v>庚</v>
      </c>
      <c r="I99" s="275" t="str">
        <f t="shared" ref="I99:I100" si="119">I32:J32</f>
        <v>丙</v>
      </c>
      <c r="K99" s="90">
        <f>L99/L100</f>
        <v>0.48</v>
      </c>
      <c r="L99" s="126">
        <f t="shared" ref="L99:L100" si="120">O99+P99+Q99+U99+V99+W99+X99+R99+M99+N99+S99+T99</f>
        <v>480</v>
      </c>
      <c r="M99" s="92">
        <v>0.0</v>
      </c>
      <c r="N99" s="93">
        <v>0.0</v>
      </c>
      <c r="O99" s="92">
        <v>100.0</v>
      </c>
      <c r="P99" s="92">
        <v>50.0</v>
      </c>
      <c r="Q99" s="92">
        <v>50.0</v>
      </c>
      <c r="R99" s="93">
        <v>10.0</v>
      </c>
      <c r="S99" s="92">
        <v>100.0</v>
      </c>
      <c r="T99" s="93">
        <v>0.0</v>
      </c>
      <c r="U99" s="92">
        <f t="shared" ref="U99:X99" si="117">U32</f>
        <v>0</v>
      </c>
      <c r="V99" s="93">
        <f t="shared" si="117"/>
        <v>0</v>
      </c>
      <c r="W99" s="92">
        <f t="shared" si="117"/>
        <v>110</v>
      </c>
      <c r="X99" s="93">
        <f t="shared" si="117"/>
        <v>60</v>
      </c>
      <c r="Y99" s="73" t="s">
        <v>98</v>
      </c>
      <c r="Z99" s="94" t="s">
        <v>70</v>
      </c>
      <c r="AA99" s="36"/>
      <c r="AB99" s="36"/>
      <c r="AC99" s="204" t="s">
        <v>82</v>
      </c>
      <c r="AD99" s="96" t="s">
        <v>83</v>
      </c>
      <c r="AE99" s="37"/>
      <c r="AF99" s="97"/>
      <c r="AG99" s="12" t="s">
        <v>71</v>
      </c>
      <c r="AH99" s="12">
        <v>210.0</v>
      </c>
      <c r="AI99" s="12" t="s">
        <v>175</v>
      </c>
      <c r="AJ99" s="98" t="s">
        <v>45</v>
      </c>
      <c r="AK99" s="102" t="s">
        <v>90</v>
      </c>
      <c r="AL99" s="100" t="s">
        <v>43</v>
      </c>
      <c r="AM99" s="101" t="s">
        <v>91</v>
      </c>
      <c r="AN99" s="100" t="s">
        <v>41</v>
      </c>
      <c r="AO99" s="103" t="s">
        <v>92</v>
      </c>
      <c r="AP99" s="100" t="s">
        <v>39</v>
      </c>
      <c r="AQ99" s="99" t="s">
        <v>93</v>
      </c>
      <c r="AR99" s="100" t="s">
        <v>37</v>
      </c>
      <c r="AS99" s="99" t="s">
        <v>94</v>
      </c>
      <c r="AT99" s="100" t="s">
        <v>51</v>
      </c>
      <c r="AU99" s="101" t="s">
        <v>95</v>
      </c>
      <c r="AV99" s="100" t="s">
        <v>86</v>
      </c>
      <c r="AW99" s="99" t="s">
        <v>87</v>
      </c>
      <c r="AX99" s="100" t="s">
        <v>88</v>
      </c>
      <c r="AY99" s="101" t="s">
        <v>89</v>
      </c>
      <c r="AZ99" s="24"/>
    </row>
    <row r="100">
      <c r="A100" s="215" t="str">
        <f>G2</f>
        <v>กุมภาพันธ์</v>
      </c>
      <c r="B100" s="193"/>
      <c r="C100" s="140" t="s">
        <v>308</v>
      </c>
      <c r="E100" s="209" t="s">
        <v>76</v>
      </c>
      <c r="G100" s="274" t="str">
        <f t="shared" si="118"/>
        <v>寅</v>
      </c>
      <c r="I100" s="142" t="str">
        <f t="shared" si="119"/>
        <v>午</v>
      </c>
      <c r="K100" s="36"/>
      <c r="L100" s="109">
        <f t="shared" si="120"/>
        <v>1000</v>
      </c>
      <c r="M100" s="9">
        <v>0.0</v>
      </c>
      <c r="N100" s="110">
        <v>0.0</v>
      </c>
      <c r="O100" s="9">
        <v>100.0</v>
      </c>
      <c r="P100" s="9">
        <v>100.0</v>
      </c>
      <c r="Q100" s="9">
        <v>100.0</v>
      </c>
      <c r="R100" s="110">
        <v>100.0</v>
      </c>
      <c r="S100" s="9">
        <v>100.0</v>
      </c>
      <c r="T100" s="110">
        <v>100.0</v>
      </c>
      <c r="U100" s="9">
        <v>100.0</v>
      </c>
      <c r="V100" s="110">
        <v>100.0</v>
      </c>
      <c r="W100" s="9">
        <v>100.0</v>
      </c>
      <c r="X100" s="110">
        <v>100.0</v>
      </c>
      <c r="Y100" s="73" t="s">
        <v>116</v>
      </c>
      <c r="Z100" s="94" t="s">
        <v>181</v>
      </c>
      <c r="AA100" s="36"/>
      <c r="AB100" s="36"/>
      <c r="AC100" s="111"/>
      <c r="AD100" s="112"/>
      <c r="AE100" s="37"/>
      <c r="AF100" s="97"/>
      <c r="AG100" s="14"/>
      <c r="AH100" s="14"/>
      <c r="AI100" s="14"/>
      <c r="AJ100" s="113"/>
      <c r="AK100" s="105" t="s">
        <v>102</v>
      </c>
      <c r="AM100" s="105" t="s">
        <v>103</v>
      </c>
      <c r="AO100" s="104" t="s">
        <v>104</v>
      </c>
      <c r="AQ100" s="104" t="s">
        <v>105</v>
      </c>
      <c r="AS100" s="104" t="s">
        <v>106</v>
      </c>
      <c r="AU100" s="105" t="s">
        <v>107</v>
      </c>
      <c r="AW100" s="104" t="s">
        <v>100</v>
      </c>
      <c r="AY100" s="114" t="s">
        <v>101</v>
      </c>
      <c r="AZ100" s="24"/>
    </row>
    <row r="101">
      <c r="A101" s="192">
        <v>2569.0</v>
      </c>
      <c r="B101" s="193"/>
      <c r="E101" s="115" t="s">
        <v>213</v>
      </c>
      <c r="F101" s="116" t="s">
        <v>212</v>
      </c>
      <c r="G101" s="115" t="str">
        <f t="shared" ref="G101:J101" si="121">G34</f>
        <v>A10</v>
      </c>
      <c r="H101" s="9" t="str">
        <f t="shared" si="121"/>
        <v>B7</v>
      </c>
      <c r="I101" s="9" t="str">
        <f t="shared" si="121"/>
        <v>A5</v>
      </c>
      <c r="J101" s="9" t="str">
        <f t="shared" si="121"/>
        <v>B11</v>
      </c>
      <c r="K101" s="36"/>
      <c r="L101" s="117"/>
      <c r="M101" s="118" t="str">
        <f t="shared" ref="M101:P101" si="122">C101</f>
        <v/>
      </c>
      <c r="N101" s="119" t="str">
        <f t="shared" si="122"/>
        <v/>
      </c>
      <c r="O101" s="118" t="str">
        <f t="shared" si="122"/>
        <v>A4</v>
      </c>
      <c r="P101" s="118" t="str">
        <f t="shared" si="122"/>
        <v>B9</v>
      </c>
      <c r="Q101" s="118" t="str">
        <f t="shared" ref="Q101:R101" si="123">E102</f>
        <v>B9</v>
      </c>
      <c r="R101" s="119" t="str">
        <f t="shared" si="123"/>
        <v>C7</v>
      </c>
      <c r="S101" s="9" t="s">
        <v>213</v>
      </c>
      <c r="T101" s="110" t="s">
        <v>114</v>
      </c>
      <c r="U101" s="9" t="str">
        <f t="shared" ref="U101:X101" si="124">G101</f>
        <v>A10</v>
      </c>
      <c r="V101" s="119" t="str">
        <f t="shared" si="124"/>
        <v>B7</v>
      </c>
      <c r="W101" s="118" t="str">
        <f t="shared" si="124"/>
        <v>A5</v>
      </c>
      <c r="X101" s="120" t="str">
        <f t="shared" si="124"/>
        <v>B11</v>
      </c>
      <c r="Y101" s="73" t="s">
        <v>126</v>
      </c>
      <c r="Z101" s="94" t="s">
        <v>163</v>
      </c>
      <c r="AA101" s="36"/>
      <c r="AB101" s="36"/>
      <c r="AC101" s="111"/>
      <c r="AD101" s="112"/>
      <c r="AE101" s="37"/>
      <c r="AF101" s="97"/>
      <c r="AG101" s="14"/>
      <c r="AH101" s="14"/>
      <c r="AI101" s="14"/>
      <c r="AJ101" s="113"/>
      <c r="AK101" s="105" t="s">
        <v>120</v>
      </c>
      <c r="AM101" s="105" t="s">
        <v>121</v>
      </c>
      <c r="AO101" s="104" t="s">
        <v>122</v>
      </c>
      <c r="AQ101" s="104" t="s">
        <v>123</v>
      </c>
      <c r="AS101" s="104" t="s">
        <v>124</v>
      </c>
      <c r="AU101" s="105" t="s">
        <v>125</v>
      </c>
      <c r="AW101" s="104" t="s">
        <v>118</v>
      </c>
      <c r="AY101" s="114" t="s">
        <v>119</v>
      </c>
      <c r="AZ101" s="24"/>
    </row>
    <row r="102">
      <c r="A102" s="192">
        <f>A101-543</f>
        <v>2026</v>
      </c>
      <c r="B102" s="193"/>
      <c r="C102" s="12"/>
      <c r="E102" s="115" t="s">
        <v>212</v>
      </c>
      <c r="F102" s="116" t="s">
        <v>220</v>
      </c>
      <c r="G102" s="115"/>
      <c r="H102" s="118"/>
      <c r="I102" s="118"/>
      <c r="J102" s="118"/>
      <c r="K102" s="36"/>
      <c r="L102" s="117"/>
      <c r="N102" s="117"/>
      <c r="R102" s="117"/>
      <c r="T102" s="117"/>
      <c r="V102" s="117"/>
      <c r="X102" s="117"/>
      <c r="Y102" s="73" t="s">
        <v>69</v>
      </c>
      <c r="Z102" s="94" t="s">
        <v>99</v>
      </c>
      <c r="AA102" s="36"/>
      <c r="AB102" s="36"/>
      <c r="AC102" s="111"/>
      <c r="AD102" s="112"/>
      <c r="AE102" s="37"/>
      <c r="AF102" s="97"/>
      <c r="AG102" s="14"/>
      <c r="AH102" s="14"/>
      <c r="AI102" s="14"/>
      <c r="AJ102" s="113"/>
      <c r="AK102" s="105" t="s">
        <v>131</v>
      </c>
      <c r="AM102" s="105" t="s">
        <v>132</v>
      </c>
      <c r="AO102" s="104" t="s">
        <v>133</v>
      </c>
      <c r="AQ102" s="104" t="s">
        <v>134</v>
      </c>
      <c r="AS102" s="104" t="s">
        <v>135</v>
      </c>
      <c r="AU102" s="105" t="s">
        <v>136</v>
      </c>
      <c r="AW102" s="104" t="s">
        <v>129</v>
      </c>
      <c r="AY102" s="114" t="s">
        <v>130</v>
      </c>
      <c r="AZ102" s="24"/>
    </row>
    <row r="103">
      <c r="A103" s="279"/>
      <c r="B103" s="206"/>
      <c r="C103" s="123"/>
      <c r="D103" s="123"/>
      <c r="E103" s="164" t="s">
        <v>157</v>
      </c>
      <c r="F103" s="88"/>
      <c r="G103" s="207" t="str">
        <f>G5:H5</f>
        <v>อสูรเดือน N</v>
      </c>
      <c r="I103" s="208" t="str">
        <f>I5:J5</f>
        <v>อสูรปี N</v>
      </c>
      <c r="K103" s="36"/>
      <c r="L103" s="117"/>
      <c r="N103" s="117"/>
      <c r="R103" s="117"/>
      <c r="T103" s="117"/>
      <c r="V103" s="117"/>
      <c r="X103" s="117"/>
      <c r="Y103" s="127"/>
      <c r="Z103" s="155"/>
      <c r="AA103" s="36"/>
      <c r="AB103" s="36"/>
      <c r="AC103" s="111"/>
      <c r="AD103" s="112"/>
      <c r="AE103" s="37"/>
      <c r="AF103" s="97"/>
      <c r="AG103" s="14"/>
      <c r="AH103" s="14"/>
      <c r="AI103" s="14"/>
      <c r="AJ103" s="113"/>
      <c r="AK103" s="128"/>
      <c r="AY103" s="220"/>
      <c r="AZ103" s="24"/>
    </row>
    <row r="104">
      <c r="A104" s="188" t="s">
        <v>158</v>
      </c>
      <c r="B104" s="189"/>
      <c r="C104" s="63"/>
      <c r="D104" s="63"/>
      <c r="E104" s="64">
        <f>(O105+P105+Q105+R105)/(O106+P106+Q106+R106)</f>
        <v>0.625</v>
      </c>
      <c r="F104" s="65"/>
      <c r="G104" s="133"/>
      <c r="H104" s="72"/>
      <c r="I104" s="67"/>
      <c r="J104" s="72"/>
      <c r="K104" s="68"/>
      <c r="L104" s="69"/>
      <c r="M104" s="63" t="s">
        <v>64</v>
      </c>
      <c r="N104" s="70"/>
      <c r="O104" s="71" t="s">
        <v>65</v>
      </c>
      <c r="P104" s="72"/>
      <c r="Q104" s="72"/>
      <c r="R104" s="70"/>
      <c r="S104" s="71" t="s">
        <v>66</v>
      </c>
      <c r="T104" s="70"/>
      <c r="U104" s="71" t="s">
        <v>67</v>
      </c>
      <c r="V104" s="70"/>
      <c r="W104" s="71" t="s">
        <v>68</v>
      </c>
      <c r="X104" s="70"/>
      <c r="Y104" s="134" t="s">
        <v>80</v>
      </c>
      <c r="Z104" s="74" t="s">
        <v>159</v>
      </c>
      <c r="AA104" s="75" t="s">
        <v>180</v>
      </c>
      <c r="AB104" s="75" t="s">
        <v>312</v>
      </c>
      <c r="AC104" s="202" t="s">
        <v>142</v>
      </c>
      <c r="AD104" s="74" t="s">
        <v>143</v>
      </c>
      <c r="AE104" s="63" t="s">
        <v>36</v>
      </c>
      <c r="AF104" s="78" t="s">
        <v>36</v>
      </c>
      <c r="AG104" s="79" t="s">
        <v>180</v>
      </c>
      <c r="AH104" s="79">
        <v>60.0</v>
      </c>
      <c r="AI104" s="79" t="s">
        <v>200</v>
      </c>
      <c r="AJ104" s="80" t="str">
        <f>AJ98</f>
        <v>開</v>
      </c>
      <c r="AK104" s="81" t="s">
        <v>42</v>
      </c>
      <c r="AL104" s="82" t="str">
        <f>AL98</f>
        <v>休</v>
      </c>
      <c r="AM104" s="81" t="s">
        <v>44</v>
      </c>
      <c r="AN104" s="82" t="s">
        <v>4</v>
      </c>
      <c r="AO104" s="81" t="s">
        <v>46</v>
      </c>
      <c r="AP104" s="82" t="str">
        <f>AP98</f>
        <v>傷</v>
      </c>
      <c r="AQ104" s="81" t="s">
        <v>48</v>
      </c>
      <c r="AR104" s="82" t="s">
        <v>8</v>
      </c>
      <c r="AS104" s="81" t="s">
        <v>50</v>
      </c>
      <c r="AT104" s="82" t="str">
        <f>AT98</f>
        <v>景</v>
      </c>
      <c r="AU104" s="81" t="s">
        <v>52</v>
      </c>
      <c r="AV104" s="82" t="str">
        <f>AV98</f>
        <v>死</v>
      </c>
      <c r="AW104" s="81" t="s">
        <v>38</v>
      </c>
      <c r="AX104" s="82" t="str">
        <f>AX98</f>
        <v>驚</v>
      </c>
      <c r="AY104" s="81" t="s">
        <v>40</v>
      </c>
      <c r="AZ104" s="83"/>
      <c r="BA104" s="84"/>
      <c r="BB104" s="84"/>
      <c r="BC104" s="84"/>
    </row>
    <row r="105">
      <c r="A105" s="192">
        <f>A99+1</f>
        <v>16</v>
      </c>
      <c r="B105" s="193"/>
      <c r="C105" s="12" t="s">
        <v>265</v>
      </c>
      <c r="E105" s="199" t="s">
        <v>201</v>
      </c>
      <c r="G105" s="273" t="str">
        <f t="shared" ref="G105:G106" si="126">G32:H32</f>
        <v>庚</v>
      </c>
      <c r="I105" s="275" t="str">
        <f t="shared" ref="I105:I106" si="127">I32:J32</f>
        <v>丙</v>
      </c>
      <c r="K105" s="90">
        <f>L105/L106</f>
        <v>0.595</v>
      </c>
      <c r="L105" s="126">
        <f t="shared" ref="L105:L106" si="128">O105+P105+Q105+U105+V105+W105+X105+R105+M105+N105+S105+T105</f>
        <v>595</v>
      </c>
      <c r="M105" s="92">
        <v>0.0</v>
      </c>
      <c r="N105" s="93">
        <v>0.0</v>
      </c>
      <c r="O105" s="92">
        <v>100.0</v>
      </c>
      <c r="P105" s="92">
        <v>40.0</v>
      </c>
      <c r="Q105" s="92">
        <v>90.0</v>
      </c>
      <c r="R105" s="93">
        <v>20.0</v>
      </c>
      <c r="S105" s="92">
        <v>110.0</v>
      </c>
      <c r="T105" s="93">
        <v>65.0</v>
      </c>
      <c r="U105" s="92">
        <f t="shared" ref="U105:X105" si="125">U32</f>
        <v>0</v>
      </c>
      <c r="V105" s="93">
        <f t="shared" si="125"/>
        <v>0</v>
      </c>
      <c r="W105" s="92">
        <f t="shared" si="125"/>
        <v>110</v>
      </c>
      <c r="X105" s="93">
        <f t="shared" si="125"/>
        <v>60</v>
      </c>
      <c r="Y105" s="73" t="s">
        <v>98</v>
      </c>
      <c r="Z105" s="94" t="s">
        <v>152</v>
      </c>
      <c r="AA105" s="36"/>
      <c r="AB105" s="36"/>
      <c r="AC105" s="204" t="s">
        <v>82</v>
      </c>
      <c r="AD105" s="96" t="s">
        <v>83</v>
      </c>
      <c r="AE105" s="37"/>
      <c r="AF105" s="97"/>
      <c r="AG105" s="12" t="s">
        <v>202</v>
      </c>
      <c r="AH105" s="12">
        <v>180.0</v>
      </c>
      <c r="AI105" s="12" t="s">
        <v>203</v>
      </c>
      <c r="AJ105" s="98" t="s">
        <v>51</v>
      </c>
      <c r="AK105" s="101" t="s">
        <v>95</v>
      </c>
      <c r="AL105" s="100" t="s">
        <v>86</v>
      </c>
      <c r="AM105" s="99" t="s">
        <v>87</v>
      </c>
      <c r="AN105" s="100" t="s">
        <v>88</v>
      </c>
      <c r="AO105" s="101" t="s">
        <v>89</v>
      </c>
      <c r="AP105" s="100" t="s">
        <v>45</v>
      </c>
      <c r="AQ105" s="102" t="s">
        <v>90</v>
      </c>
      <c r="AR105" s="100" t="s">
        <v>43</v>
      </c>
      <c r="AS105" s="101" t="s">
        <v>91</v>
      </c>
      <c r="AT105" s="100" t="s">
        <v>41</v>
      </c>
      <c r="AU105" s="103" t="s">
        <v>92</v>
      </c>
      <c r="AV105" s="100" t="s">
        <v>39</v>
      </c>
      <c r="AW105" s="99" t="s">
        <v>93</v>
      </c>
      <c r="AX105" s="100" t="s">
        <v>37</v>
      </c>
      <c r="AY105" s="99" t="s">
        <v>94</v>
      </c>
      <c r="AZ105" s="24"/>
    </row>
    <row r="106">
      <c r="A106" s="215" t="str">
        <f>G2</f>
        <v>กุมภาพันธ์</v>
      </c>
      <c r="B106" s="193"/>
      <c r="C106" s="106" t="s">
        <v>217</v>
      </c>
      <c r="E106" s="209" t="s">
        <v>32</v>
      </c>
      <c r="G106" s="274" t="str">
        <f t="shared" si="126"/>
        <v>寅</v>
      </c>
      <c r="I106" s="142" t="str">
        <f t="shared" si="127"/>
        <v>午</v>
      </c>
      <c r="K106" s="36"/>
      <c r="L106" s="109">
        <f t="shared" si="128"/>
        <v>1000</v>
      </c>
      <c r="M106" s="9">
        <v>0.0</v>
      </c>
      <c r="N106" s="110">
        <v>0.0</v>
      </c>
      <c r="O106" s="9">
        <v>100.0</v>
      </c>
      <c r="P106" s="9">
        <v>100.0</v>
      </c>
      <c r="Q106" s="9">
        <v>100.0</v>
      </c>
      <c r="R106" s="110">
        <v>100.0</v>
      </c>
      <c r="S106" s="9">
        <v>100.0</v>
      </c>
      <c r="T106" s="110">
        <v>100.0</v>
      </c>
      <c r="U106" s="9">
        <v>100.0</v>
      </c>
      <c r="V106" s="110">
        <v>100.0</v>
      </c>
      <c r="W106" s="9">
        <v>100.0</v>
      </c>
      <c r="X106" s="110">
        <v>100.0</v>
      </c>
      <c r="Y106" s="73" t="s">
        <v>116</v>
      </c>
      <c r="Z106" s="94" t="s">
        <v>81</v>
      </c>
      <c r="AA106" s="36"/>
      <c r="AB106" s="36"/>
      <c r="AC106" s="111"/>
      <c r="AD106" s="112"/>
      <c r="AE106" s="37"/>
      <c r="AF106" s="97"/>
      <c r="AG106" s="14"/>
      <c r="AH106" s="14"/>
      <c r="AI106" s="14"/>
      <c r="AJ106" s="113"/>
      <c r="AK106" s="105" t="s">
        <v>107</v>
      </c>
      <c r="AM106" s="104" t="s">
        <v>100</v>
      </c>
      <c r="AO106" s="114" t="s">
        <v>101</v>
      </c>
      <c r="AQ106" s="105" t="s">
        <v>102</v>
      </c>
      <c r="AS106" s="105" t="s">
        <v>103</v>
      </c>
      <c r="AU106" s="104" t="s">
        <v>104</v>
      </c>
      <c r="AW106" s="104" t="s">
        <v>105</v>
      </c>
      <c r="AY106" s="104" t="s">
        <v>106</v>
      </c>
      <c r="AZ106" s="24"/>
    </row>
    <row r="107">
      <c r="A107" s="192">
        <v>2569.0</v>
      </c>
      <c r="B107" s="193"/>
      <c r="E107" s="115" t="s">
        <v>213</v>
      </c>
      <c r="F107" s="116" t="s">
        <v>218</v>
      </c>
      <c r="G107" s="115" t="str">
        <f t="shared" ref="G107:J107" si="129">G34</f>
        <v>A10</v>
      </c>
      <c r="H107" s="9" t="str">
        <f t="shared" si="129"/>
        <v>B7</v>
      </c>
      <c r="I107" s="9" t="str">
        <f t="shared" si="129"/>
        <v>A5</v>
      </c>
      <c r="J107" s="9" t="str">
        <f t="shared" si="129"/>
        <v>B11</v>
      </c>
      <c r="K107" s="36"/>
      <c r="L107" s="117"/>
      <c r="M107" s="118" t="str">
        <f t="shared" ref="M107:P107" si="130">C107</f>
        <v/>
      </c>
      <c r="N107" s="119" t="str">
        <f t="shared" si="130"/>
        <v/>
      </c>
      <c r="O107" s="118" t="str">
        <f t="shared" si="130"/>
        <v>A4</v>
      </c>
      <c r="P107" s="118" t="str">
        <f t="shared" si="130"/>
        <v>B10</v>
      </c>
      <c r="Q107" s="118" t="str">
        <f t="shared" ref="Q107:R107" si="131">E108</f>
        <v>B8</v>
      </c>
      <c r="R107" s="119" t="str">
        <f t="shared" si="131"/>
        <v>C8</v>
      </c>
      <c r="S107" s="9" t="s">
        <v>204</v>
      </c>
      <c r="T107" s="110" t="s">
        <v>110</v>
      </c>
      <c r="U107" s="9" t="str">
        <f t="shared" ref="U107:X107" si="132">G107</f>
        <v>A10</v>
      </c>
      <c r="V107" s="119" t="str">
        <f t="shared" si="132"/>
        <v>B7</v>
      </c>
      <c r="W107" s="118" t="str">
        <f t="shared" si="132"/>
        <v>A5</v>
      </c>
      <c r="X107" s="120" t="str">
        <f t="shared" si="132"/>
        <v>B11</v>
      </c>
      <c r="Y107" s="73" t="s">
        <v>126</v>
      </c>
      <c r="Z107" s="94" t="s">
        <v>99</v>
      </c>
      <c r="AA107" s="36"/>
      <c r="AB107" s="36"/>
      <c r="AC107" s="111"/>
      <c r="AD107" s="112"/>
      <c r="AE107" s="37"/>
      <c r="AF107" s="97"/>
      <c r="AG107" s="14"/>
      <c r="AH107" s="14"/>
      <c r="AI107" s="14"/>
      <c r="AJ107" s="113"/>
      <c r="AK107" s="105" t="s">
        <v>125</v>
      </c>
      <c r="AM107" s="104" t="s">
        <v>118</v>
      </c>
      <c r="AO107" s="114" t="s">
        <v>119</v>
      </c>
      <c r="AQ107" s="105" t="s">
        <v>120</v>
      </c>
      <c r="AS107" s="105" t="s">
        <v>121</v>
      </c>
      <c r="AU107" s="104" t="s">
        <v>122</v>
      </c>
      <c r="AW107" s="104" t="s">
        <v>123</v>
      </c>
      <c r="AY107" s="104" t="s">
        <v>124</v>
      </c>
      <c r="AZ107" s="24"/>
    </row>
    <row r="108">
      <c r="A108" s="192">
        <f>A107-543</f>
        <v>2026</v>
      </c>
      <c r="B108" s="193"/>
      <c r="C108" s="12" t="s">
        <v>166</v>
      </c>
      <c r="E108" s="115" t="s">
        <v>69</v>
      </c>
      <c r="F108" s="116" t="s">
        <v>225</v>
      </c>
      <c r="G108" s="115"/>
      <c r="H108" s="118"/>
      <c r="I108" s="118"/>
      <c r="J108" s="118"/>
      <c r="K108" s="36"/>
      <c r="L108" s="117"/>
      <c r="N108" s="117"/>
      <c r="R108" s="117"/>
      <c r="T108" s="117"/>
      <c r="V108" s="117"/>
      <c r="X108" s="117"/>
      <c r="Y108" s="73" t="s">
        <v>69</v>
      </c>
      <c r="Z108" s="94" t="s">
        <v>155</v>
      </c>
      <c r="AA108" s="36"/>
      <c r="AB108" s="36"/>
      <c r="AC108" s="111"/>
      <c r="AD108" s="112"/>
      <c r="AE108" s="37"/>
      <c r="AF108" s="97"/>
      <c r="AG108" s="14"/>
      <c r="AH108" s="14"/>
      <c r="AI108" s="14"/>
      <c r="AJ108" s="113"/>
      <c r="AK108" s="105" t="s">
        <v>136</v>
      </c>
      <c r="AM108" s="104" t="s">
        <v>129</v>
      </c>
      <c r="AO108" s="114" t="s">
        <v>130</v>
      </c>
      <c r="AQ108" s="105" t="s">
        <v>131</v>
      </c>
      <c r="AS108" s="105" t="s">
        <v>132</v>
      </c>
      <c r="AU108" s="104" t="s">
        <v>133</v>
      </c>
      <c r="AW108" s="104" t="s">
        <v>134</v>
      </c>
      <c r="AY108" s="104" t="s">
        <v>135</v>
      </c>
      <c r="AZ108" s="24"/>
    </row>
    <row r="109">
      <c r="A109" s="113"/>
      <c r="B109" s="206"/>
      <c r="C109" s="123"/>
      <c r="D109" s="123"/>
      <c r="E109" s="176" t="s">
        <v>168</v>
      </c>
      <c r="F109" s="88"/>
      <c r="G109" s="207" t="str">
        <f>G5:H5</f>
        <v>อสูรเดือน N</v>
      </c>
      <c r="I109" s="208" t="str">
        <f>I5:J5</f>
        <v>อสูรปี N</v>
      </c>
      <c r="K109" s="36"/>
      <c r="L109" s="117"/>
      <c r="N109" s="117"/>
      <c r="R109" s="117"/>
      <c r="T109" s="117"/>
      <c r="V109" s="117"/>
      <c r="X109" s="117"/>
      <c r="Y109" s="127"/>
      <c r="Z109" s="155"/>
      <c r="AA109" s="36"/>
      <c r="AB109" s="36"/>
      <c r="AC109" s="111"/>
      <c r="AD109" s="112"/>
      <c r="AE109" s="37"/>
      <c r="AF109" s="97"/>
      <c r="AG109" s="14"/>
      <c r="AH109" s="14"/>
      <c r="AI109" s="14"/>
      <c r="AJ109" s="113"/>
      <c r="AU109" s="128"/>
      <c r="AZ109" s="24"/>
    </row>
    <row r="110">
      <c r="A110" s="188" t="s">
        <v>169</v>
      </c>
      <c r="B110" s="189"/>
      <c r="C110" s="63"/>
      <c r="D110" s="63"/>
      <c r="E110" s="64">
        <f>(O111+P111+Q111+R111)/(O112+P112+Q112+R112)</f>
        <v>0.6125</v>
      </c>
      <c r="F110" s="65"/>
      <c r="G110" s="133"/>
      <c r="H110" s="72"/>
      <c r="I110" s="67"/>
      <c r="J110" s="72"/>
      <c r="K110" s="68"/>
      <c r="L110" s="69"/>
      <c r="M110" s="63" t="s">
        <v>64</v>
      </c>
      <c r="N110" s="70"/>
      <c r="O110" s="71" t="s">
        <v>65</v>
      </c>
      <c r="P110" s="72"/>
      <c r="Q110" s="72"/>
      <c r="R110" s="70"/>
      <c r="S110" s="71" t="s">
        <v>66</v>
      </c>
      <c r="T110" s="70"/>
      <c r="U110" s="71" t="s">
        <v>67</v>
      </c>
      <c r="V110" s="70"/>
      <c r="W110" s="71" t="s">
        <v>68</v>
      </c>
      <c r="X110" s="70"/>
      <c r="Y110" s="134" t="s">
        <v>80</v>
      </c>
      <c r="Z110" s="74" t="s">
        <v>181</v>
      </c>
      <c r="AA110" s="75" t="s">
        <v>206</v>
      </c>
      <c r="AB110" s="75" t="s">
        <v>207</v>
      </c>
      <c r="AC110" s="135" t="s">
        <v>142</v>
      </c>
      <c r="AD110" s="74" t="s">
        <v>143</v>
      </c>
      <c r="AE110" s="63" t="s">
        <v>144</v>
      </c>
      <c r="AF110" s="78" t="s">
        <v>34</v>
      </c>
      <c r="AG110" s="79" t="s">
        <v>189</v>
      </c>
      <c r="AH110" s="79">
        <v>90.0</v>
      </c>
      <c r="AI110" s="79" t="s">
        <v>208</v>
      </c>
      <c r="AJ110" s="80" t="str">
        <f>AJ104</f>
        <v>開</v>
      </c>
      <c r="AK110" s="81" t="s">
        <v>46</v>
      </c>
      <c r="AL110" s="82" t="str">
        <f>AL104</f>
        <v>休</v>
      </c>
      <c r="AM110" s="81" t="s">
        <v>48</v>
      </c>
      <c r="AN110" s="82" t="str">
        <f>AN104</f>
        <v>生</v>
      </c>
      <c r="AO110" s="81" t="s">
        <v>50</v>
      </c>
      <c r="AP110" s="82" t="str">
        <f>AP104</f>
        <v>傷</v>
      </c>
      <c r="AQ110" s="81" t="s">
        <v>52</v>
      </c>
      <c r="AR110" s="82" t="str">
        <f>AR104</f>
        <v>杜</v>
      </c>
      <c r="AS110" s="81" t="s">
        <v>38</v>
      </c>
      <c r="AT110" s="82" t="str">
        <f>AT104</f>
        <v>景</v>
      </c>
      <c r="AU110" s="81" t="s">
        <v>40</v>
      </c>
      <c r="AV110" s="82" t="str">
        <f>AV104</f>
        <v>死</v>
      </c>
      <c r="AW110" s="81" t="s">
        <v>42</v>
      </c>
      <c r="AX110" s="82" t="str">
        <f>AX104</f>
        <v>驚</v>
      </c>
      <c r="AY110" s="81" t="s">
        <v>44</v>
      </c>
      <c r="AZ110" s="83"/>
      <c r="BA110" s="84"/>
      <c r="BB110" s="84"/>
      <c r="BC110" s="84"/>
    </row>
    <row r="111">
      <c r="A111" s="192">
        <f>A105+1</f>
        <v>17</v>
      </c>
      <c r="B111" s="193"/>
      <c r="C111" s="12" t="s">
        <v>160</v>
      </c>
      <c r="E111" s="203" t="s">
        <v>209</v>
      </c>
      <c r="G111" s="273" t="str">
        <f t="shared" ref="G111:G112" si="134">G32:H32</f>
        <v>庚</v>
      </c>
      <c r="I111" s="275" t="str">
        <f t="shared" ref="I111:I112" si="135">I32:J32</f>
        <v>丙</v>
      </c>
      <c r="K111" s="90">
        <f>L111/L112</f>
        <v>0.465</v>
      </c>
      <c r="L111" s="126">
        <f t="shared" ref="L111:L112" si="136">O111+P111+Q111+U111+V111+W111+X111+R111+M111+N111+S111+T111</f>
        <v>465</v>
      </c>
      <c r="M111" s="92">
        <v>0.0</v>
      </c>
      <c r="N111" s="93">
        <v>0.0</v>
      </c>
      <c r="O111" s="92">
        <v>85.0</v>
      </c>
      <c r="P111" s="92">
        <v>60.0</v>
      </c>
      <c r="Q111" s="92">
        <v>0.0</v>
      </c>
      <c r="R111" s="93">
        <v>100.0</v>
      </c>
      <c r="S111" s="92">
        <v>30.0</v>
      </c>
      <c r="T111" s="93">
        <v>20.0</v>
      </c>
      <c r="U111" s="92">
        <f t="shared" ref="U111:X111" si="133">U32</f>
        <v>0</v>
      </c>
      <c r="V111" s="93">
        <f t="shared" si="133"/>
        <v>0</v>
      </c>
      <c r="W111" s="92">
        <f t="shared" si="133"/>
        <v>110</v>
      </c>
      <c r="X111" s="93">
        <f t="shared" si="133"/>
        <v>60</v>
      </c>
      <c r="Y111" s="73" t="s">
        <v>98</v>
      </c>
      <c r="Z111" s="94" t="s">
        <v>163</v>
      </c>
      <c r="AA111" s="36"/>
      <c r="AB111" s="36"/>
      <c r="AC111" s="139" t="s">
        <v>148</v>
      </c>
      <c r="AD111" s="96" t="s">
        <v>149</v>
      </c>
      <c r="AE111" s="37"/>
      <c r="AF111" s="97"/>
      <c r="AG111" s="12" t="s">
        <v>54</v>
      </c>
      <c r="AH111" s="12">
        <v>150.0</v>
      </c>
      <c r="AI111" s="12" t="s">
        <v>210</v>
      </c>
      <c r="AJ111" s="98" t="s">
        <v>43</v>
      </c>
      <c r="AK111" s="101" t="s">
        <v>91</v>
      </c>
      <c r="AL111" s="100" t="s">
        <v>41</v>
      </c>
      <c r="AM111" s="103" t="s">
        <v>92</v>
      </c>
      <c r="AN111" s="100" t="s">
        <v>39</v>
      </c>
      <c r="AO111" s="99" t="s">
        <v>93</v>
      </c>
      <c r="AP111" s="100" t="s">
        <v>37</v>
      </c>
      <c r="AQ111" s="99" t="s">
        <v>94</v>
      </c>
      <c r="AR111" s="100" t="s">
        <v>51</v>
      </c>
      <c r="AS111" s="101" t="s">
        <v>95</v>
      </c>
      <c r="AT111" s="100" t="s">
        <v>86</v>
      </c>
      <c r="AU111" s="99" t="s">
        <v>87</v>
      </c>
      <c r="AV111" s="100" t="s">
        <v>88</v>
      </c>
      <c r="AW111" s="101" t="s">
        <v>89</v>
      </c>
      <c r="AX111" s="100" t="s">
        <v>45</v>
      </c>
      <c r="AY111" s="102" t="s">
        <v>90</v>
      </c>
      <c r="AZ111" s="24"/>
    </row>
    <row r="112">
      <c r="A112" s="215" t="str">
        <f>G2</f>
        <v>กุมภาพันธ์</v>
      </c>
      <c r="B112" s="193"/>
      <c r="C112" s="161" t="s">
        <v>223</v>
      </c>
      <c r="E112" s="162" t="s">
        <v>206</v>
      </c>
      <c r="G112" s="274" t="str">
        <f t="shared" si="134"/>
        <v>寅</v>
      </c>
      <c r="I112" s="142" t="str">
        <f t="shared" si="135"/>
        <v>午</v>
      </c>
      <c r="K112" s="36"/>
      <c r="L112" s="109">
        <f t="shared" si="136"/>
        <v>1000</v>
      </c>
      <c r="M112" s="9">
        <v>0.0</v>
      </c>
      <c r="N112" s="110">
        <v>0.0</v>
      </c>
      <c r="O112" s="9">
        <v>100.0</v>
      </c>
      <c r="P112" s="9">
        <v>100.0</v>
      </c>
      <c r="Q112" s="9">
        <v>100.0</v>
      </c>
      <c r="R112" s="110">
        <v>100.0</v>
      </c>
      <c r="S112" s="9">
        <v>100.0</v>
      </c>
      <c r="T112" s="110">
        <v>100.0</v>
      </c>
      <c r="U112" s="9">
        <v>100.0</v>
      </c>
      <c r="V112" s="110">
        <v>100.0</v>
      </c>
      <c r="W112" s="9">
        <v>100.0</v>
      </c>
      <c r="X112" s="110">
        <v>100.0</v>
      </c>
      <c r="Y112" s="73" t="s">
        <v>116</v>
      </c>
      <c r="Z112" s="94" t="s">
        <v>153</v>
      </c>
      <c r="AA112" s="36"/>
      <c r="AB112" s="36"/>
      <c r="AC112" s="111"/>
      <c r="AD112" s="112"/>
      <c r="AE112" s="37"/>
      <c r="AF112" s="97"/>
      <c r="AG112" s="14"/>
      <c r="AH112" s="14"/>
      <c r="AI112" s="14"/>
      <c r="AJ112" s="113"/>
      <c r="AK112" s="105" t="s">
        <v>103</v>
      </c>
      <c r="AM112" s="104" t="s">
        <v>104</v>
      </c>
      <c r="AO112" s="104" t="s">
        <v>105</v>
      </c>
      <c r="AQ112" s="104" t="s">
        <v>106</v>
      </c>
      <c r="AS112" s="105" t="s">
        <v>107</v>
      </c>
      <c r="AU112" s="104" t="s">
        <v>100</v>
      </c>
      <c r="AW112" s="114" t="s">
        <v>101</v>
      </c>
      <c r="AY112" s="105" t="s">
        <v>102</v>
      </c>
      <c r="AZ112" s="24"/>
    </row>
    <row r="113">
      <c r="A113" s="192">
        <v>2569.0</v>
      </c>
      <c r="B113" s="193"/>
      <c r="E113" s="115" t="s">
        <v>219</v>
      </c>
      <c r="F113" s="116" t="s">
        <v>214</v>
      </c>
      <c r="G113" s="115" t="str">
        <f t="shared" ref="G113:J113" si="137">G34</f>
        <v>A10</v>
      </c>
      <c r="H113" s="9" t="str">
        <f t="shared" si="137"/>
        <v>B7</v>
      </c>
      <c r="I113" s="9" t="str">
        <f t="shared" si="137"/>
        <v>A5</v>
      </c>
      <c r="J113" s="9" t="str">
        <f t="shared" si="137"/>
        <v>B11</v>
      </c>
      <c r="K113" s="36"/>
      <c r="L113" s="117"/>
      <c r="M113" s="118" t="str">
        <f t="shared" ref="M113:P113" si="138">C113</f>
        <v/>
      </c>
      <c r="N113" s="119" t="str">
        <f t="shared" si="138"/>
        <v/>
      </c>
      <c r="O113" s="118" t="str">
        <f t="shared" si="138"/>
        <v>A3</v>
      </c>
      <c r="P113" s="118" t="str">
        <f t="shared" si="138"/>
        <v>B11</v>
      </c>
      <c r="Q113" s="118" t="str">
        <f t="shared" ref="Q113:R113" si="139">E114</f>
        <v>B7</v>
      </c>
      <c r="R113" s="119" t="str">
        <f t="shared" si="139"/>
        <v>C9</v>
      </c>
      <c r="S113" s="9" t="s">
        <v>198</v>
      </c>
      <c r="T113" s="110" t="s">
        <v>115</v>
      </c>
      <c r="U113" s="9" t="str">
        <f t="shared" ref="U113:X113" si="140">G113</f>
        <v>A10</v>
      </c>
      <c r="V113" s="119" t="str">
        <f t="shared" si="140"/>
        <v>B7</v>
      </c>
      <c r="W113" s="118" t="str">
        <f t="shared" si="140"/>
        <v>A5</v>
      </c>
      <c r="X113" s="120" t="str">
        <f t="shared" si="140"/>
        <v>B11</v>
      </c>
      <c r="Y113" s="73" t="s">
        <v>126</v>
      </c>
      <c r="Z113" s="94" t="s">
        <v>155</v>
      </c>
      <c r="AA113" s="36"/>
      <c r="AB113" s="36"/>
      <c r="AC113" s="111"/>
      <c r="AD113" s="112"/>
      <c r="AE113" s="37"/>
      <c r="AF113" s="97"/>
      <c r="AG113" s="14"/>
      <c r="AH113" s="14"/>
      <c r="AI113" s="14"/>
      <c r="AJ113" s="113"/>
      <c r="AK113" s="105" t="s">
        <v>121</v>
      </c>
      <c r="AM113" s="104" t="s">
        <v>122</v>
      </c>
      <c r="AO113" s="104" t="s">
        <v>123</v>
      </c>
      <c r="AQ113" s="104" t="s">
        <v>124</v>
      </c>
      <c r="AS113" s="105" t="s">
        <v>125</v>
      </c>
      <c r="AU113" s="104" t="s">
        <v>118</v>
      </c>
      <c r="AW113" s="114" t="s">
        <v>119</v>
      </c>
      <c r="AY113" s="105" t="s">
        <v>120</v>
      </c>
      <c r="AZ113" s="24"/>
    </row>
    <row r="114">
      <c r="A114" s="192">
        <f>A113-543</f>
        <v>2026</v>
      </c>
      <c r="B114" s="193"/>
      <c r="C114" s="163" t="s">
        <v>315</v>
      </c>
      <c r="E114" s="115" t="s">
        <v>111</v>
      </c>
      <c r="F114" s="116" t="s">
        <v>229</v>
      </c>
      <c r="G114" s="115"/>
      <c r="H114" s="118"/>
      <c r="I114" s="118"/>
      <c r="J114" s="118"/>
      <c r="K114" s="36"/>
      <c r="L114" s="117"/>
      <c r="N114" s="117"/>
      <c r="R114" s="117"/>
      <c r="T114" s="117"/>
      <c r="V114" s="117"/>
      <c r="X114" s="117"/>
      <c r="Y114" s="73" t="s">
        <v>69</v>
      </c>
      <c r="Z114" s="94" t="s">
        <v>128</v>
      </c>
      <c r="AA114" s="36"/>
      <c r="AB114" s="36"/>
      <c r="AC114" s="111"/>
      <c r="AD114" s="112"/>
      <c r="AE114" s="37"/>
      <c r="AF114" s="97"/>
      <c r="AG114" s="14"/>
      <c r="AH114" s="14"/>
      <c r="AI114" s="14"/>
      <c r="AJ114" s="113"/>
      <c r="AK114" s="105" t="s">
        <v>132</v>
      </c>
      <c r="AM114" s="104" t="s">
        <v>133</v>
      </c>
      <c r="AO114" s="104" t="s">
        <v>134</v>
      </c>
      <c r="AQ114" s="104" t="s">
        <v>135</v>
      </c>
      <c r="AS114" s="105" t="s">
        <v>136</v>
      </c>
      <c r="AU114" s="104" t="s">
        <v>129</v>
      </c>
      <c r="AW114" s="114" t="s">
        <v>130</v>
      </c>
      <c r="AY114" s="105" t="s">
        <v>131</v>
      </c>
      <c r="AZ114" s="24"/>
    </row>
    <row r="115">
      <c r="A115" s="213" t="s">
        <v>230</v>
      </c>
      <c r="B115" s="206"/>
      <c r="C115" s="123"/>
      <c r="D115" s="123"/>
      <c r="E115" s="176" t="s">
        <v>185</v>
      </c>
      <c r="F115" s="88"/>
      <c r="G115" s="207" t="str">
        <f>G5:H5</f>
        <v>อสูรเดือน N</v>
      </c>
      <c r="I115" s="208" t="str">
        <f>I5:J5</f>
        <v>อสูรปี N</v>
      </c>
      <c r="K115" s="36"/>
      <c r="L115" s="117"/>
      <c r="N115" s="117"/>
      <c r="R115" s="117"/>
      <c r="T115" s="117"/>
      <c r="V115" s="117"/>
      <c r="X115" s="117"/>
      <c r="Y115" s="127"/>
      <c r="Z115" s="155"/>
      <c r="AA115" s="36"/>
      <c r="AB115" s="36"/>
      <c r="AC115" s="111"/>
      <c r="AD115" s="112"/>
      <c r="AE115" s="37"/>
      <c r="AF115" s="97"/>
      <c r="AG115" s="14"/>
      <c r="AH115" s="14"/>
      <c r="AI115" s="14"/>
      <c r="AJ115" s="113"/>
      <c r="AU115" s="128"/>
      <c r="AZ115" s="24"/>
    </row>
    <row r="116">
      <c r="A116" s="188" t="s">
        <v>186</v>
      </c>
      <c r="B116" s="189"/>
      <c r="C116" s="63"/>
      <c r="D116" s="63"/>
      <c r="E116" s="64">
        <f>(O117+P117+Q117+R117)/(O118+P118+Q118+R118)</f>
        <v>0.6</v>
      </c>
      <c r="F116" s="65"/>
      <c r="G116" s="133"/>
      <c r="H116" s="72"/>
      <c r="I116" s="67"/>
      <c r="J116" s="72"/>
      <c r="K116" s="68"/>
      <c r="L116" s="69"/>
      <c r="M116" s="63" t="s">
        <v>64</v>
      </c>
      <c r="N116" s="70"/>
      <c r="O116" s="71" t="s">
        <v>65</v>
      </c>
      <c r="P116" s="72"/>
      <c r="Q116" s="72"/>
      <c r="R116" s="70"/>
      <c r="S116" s="71" t="s">
        <v>66</v>
      </c>
      <c r="T116" s="70"/>
      <c r="U116" s="71" t="s">
        <v>67</v>
      </c>
      <c r="V116" s="70"/>
      <c r="W116" s="71" t="s">
        <v>68</v>
      </c>
      <c r="X116" s="70"/>
      <c r="Y116" s="134" t="s">
        <v>69</v>
      </c>
      <c r="Z116" s="74" t="s">
        <v>70</v>
      </c>
      <c r="AA116" s="75" t="s">
        <v>189</v>
      </c>
      <c r="AB116" s="75" t="s">
        <v>192</v>
      </c>
      <c r="AC116" s="135" t="s">
        <v>142</v>
      </c>
      <c r="AD116" s="74" t="s">
        <v>143</v>
      </c>
      <c r="AE116" s="63" t="s">
        <v>144</v>
      </c>
      <c r="AF116" s="78" t="s">
        <v>75</v>
      </c>
      <c r="AG116" s="79" t="s">
        <v>54</v>
      </c>
      <c r="AH116" s="79">
        <v>150.0</v>
      </c>
      <c r="AI116" s="79" t="s">
        <v>210</v>
      </c>
      <c r="AJ116" s="80" t="str">
        <f>AJ110</f>
        <v>開</v>
      </c>
      <c r="AK116" s="81" t="s">
        <v>38</v>
      </c>
      <c r="AL116" s="82" t="str">
        <f>AL110</f>
        <v>休</v>
      </c>
      <c r="AM116" s="81" t="s">
        <v>40</v>
      </c>
      <c r="AN116" s="82" t="s">
        <v>4</v>
      </c>
      <c r="AO116" s="81" t="s">
        <v>42</v>
      </c>
      <c r="AP116" s="82" t="str">
        <f>AP110</f>
        <v>傷</v>
      </c>
      <c r="AQ116" s="81" t="s">
        <v>44</v>
      </c>
      <c r="AR116" s="82" t="s">
        <v>8</v>
      </c>
      <c r="AS116" s="81" t="s">
        <v>46</v>
      </c>
      <c r="AT116" s="82" t="str">
        <f>AT110</f>
        <v>景</v>
      </c>
      <c r="AU116" s="81" t="s">
        <v>48</v>
      </c>
      <c r="AV116" s="82" t="str">
        <f>AV110</f>
        <v>死</v>
      </c>
      <c r="AW116" s="81" t="s">
        <v>50</v>
      </c>
      <c r="AX116" s="82" t="str">
        <f>AX110</f>
        <v>驚</v>
      </c>
      <c r="AY116" s="81" t="s">
        <v>52</v>
      </c>
      <c r="AZ116" s="83"/>
      <c r="BA116" s="84"/>
      <c r="BB116" s="84"/>
      <c r="BC116" s="84"/>
    </row>
    <row r="117">
      <c r="A117" s="222">
        <f>A111+1</f>
        <v>18</v>
      </c>
      <c r="B117" s="193"/>
      <c r="C117" s="12" t="s">
        <v>270</v>
      </c>
      <c r="E117" s="203" t="s">
        <v>171</v>
      </c>
      <c r="G117" s="273" t="str">
        <f t="shared" ref="G117:G118" si="142">G32:H32</f>
        <v>庚</v>
      </c>
      <c r="I117" s="275" t="str">
        <f t="shared" ref="I117:I118" si="143">I32:J32</f>
        <v>丙</v>
      </c>
      <c r="K117" s="90">
        <f>L117/L118</f>
        <v>0.47</v>
      </c>
      <c r="L117" s="126">
        <f t="shared" ref="L117:L118" si="144">O117+P117+Q117+U117+V117+W117+X117+R117+M117+N117+S117+T117</f>
        <v>470</v>
      </c>
      <c r="M117" s="92">
        <v>0.0</v>
      </c>
      <c r="N117" s="93">
        <v>0.0</v>
      </c>
      <c r="O117" s="92">
        <v>110.0</v>
      </c>
      <c r="P117" s="92">
        <v>10.0</v>
      </c>
      <c r="Q117" s="92">
        <v>90.0</v>
      </c>
      <c r="R117" s="93">
        <v>30.0</v>
      </c>
      <c r="S117" s="92">
        <v>20.0</v>
      </c>
      <c r="T117" s="93">
        <v>40.0</v>
      </c>
      <c r="U117" s="92">
        <f t="shared" ref="U117:X117" si="141">U32</f>
        <v>0</v>
      </c>
      <c r="V117" s="93">
        <f t="shared" si="141"/>
        <v>0</v>
      </c>
      <c r="W117" s="92">
        <f t="shared" si="141"/>
        <v>110</v>
      </c>
      <c r="X117" s="93">
        <f t="shared" si="141"/>
        <v>60</v>
      </c>
      <c r="Y117" s="73" t="s">
        <v>80</v>
      </c>
      <c r="Z117" s="94" t="s">
        <v>81</v>
      </c>
      <c r="AA117" s="36"/>
      <c r="AB117" s="29" t="s">
        <v>316</v>
      </c>
      <c r="AC117" s="139" t="s">
        <v>148</v>
      </c>
      <c r="AD117" s="96" t="s">
        <v>149</v>
      </c>
      <c r="AE117" s="37"/>
      <c r="AF117" s="97"/>
      <c r="AG117" s="12" t="s">
        <v>189</v>
      </c>
      <c r="AH117" s="12">
        <v>90.0</v>
      </c>
      <c r="AI117" s="12" t="s">
        <v>208</v>
      </c>
      <c r="AJ117" s="98" t="s">
        <v>37</v>
      </c>
      <c r="AK117" s="99" t="s">
        <v>94</v>
      </c>
      <c r="AL117" s="100" t="s">
        <v>51</v>
      </c>
      <c r="AM117" s="101" t="s">
        <v>95</v>
      </c>
      <c r="AN117" s="100" t="s">
        <v>86</v>
      </c>
      <c r="AO117" s="99" t="s">
        <v>87</v>
      </c>
      <c r="AP117" s="100" t="s">
        <v>88</v>
      </c>
      <c r="AQ117" s="101" t="s">
        <v>89</v>
      </c>
      <c r="AR117" s="100" t="s">
        <v>45</v>
      </c>
      <c r="AS117" s="102" t="s">
        <v>90</v>
      </c>
      <c r="AT117" s="100" t="s">
        <v>43</v>
      </c>
      <c r="AU117" s="101" t="s">
        <v>91</v>
      </c>
      <c r="AV117" s="100" t="s">
        <v>41</v>
      </c>
      <c r="AW117" s="103" t="s">
        <v>92</v>
      </c>
      <c r="AX117" s="100" t="s">
        <v>39</v>
      </c>
      <c r="AY117" s="99" t="s">
        <v>93</v>
      </c>
      <c r="AZ117" s="24"/>
    </row>
    <row r="118">
      <c r="A118" s="215" t="str">
        <f>G2</f>
        <v>กุมภาพันธ์</v>
      </c>
      <c r="B118" s="193"/>
      <c r="C118" s="212" t="s">
        <v>228</v>
      </c>
      <c r="E118" s="107" t="s">
        <v>97</v>
      </c>
      <c r="G118" s="274" t="str">
        <f t="shared" si="142"/>
        <v>寅</v>
      </c>
      <c r="I118" s="142" t="str">
        <f t="shared" si="143"/>
        <v>午</v>
      </c>
      <c r="K118" s="36"/>
      <c r="L118" s="109">
        <f t="shared" si="144"/>
        <v>1000</v>
      </c>
      <c r="M118" s="9">
        <v>0.0</v>
      </c>
      <c r="N118" s="110">
        <v>0.0</v>
      </c>
      <c r="O118" s="9">
        <v>100.0</v>
      </c>
      <c r="P118" s="9">
        <v>100.0</v>
      </c>
      <c r="Q118" s="9">
        <v>100.0</v>
      </c>
      <c r="R118" s="110">
        <v>100.0</v>
      </c>
      <c r="S118" s="9">
        <v>100.0</v>
      </c>
      <c r="T118" s="110">
        <v>100.0</v>
      </c>
      <c r="U118" s="9">
        <v>100.0</v>
      </c>
      <c r="V118" s="110">
        <v>100.0</v>
      </c>
      <c r="W118" s="9">
        <v>100.0</v>
      </c>
      <c r="X118" s="110">
        <v>100.0</v>
      </c>
      <c r="Y118" s="73" t="s">
        <v>98</v>
      </c>
      <c r="Z118" s="94" t="s">
        <v>99</v>
      </c>
      <c r="AA118" s="36"/>
      <c r="AB118" s="36"/>
      <c r="AC118" s="111"/>
      <c r="AD118" s="112"/>
      <c r="AE118" s="37"/>
      <c r="AF118" s="97"/>
      <c r="AG118" s="14"/>
      <c r="AH118" s="14"/>
      <c r="AI118" s="14"/>
      <c r="AJ118" s="113"/>
      <c r="AK118" s="104" t="s">
        <v>106</v>
      </c>
      <c r="AM118" s="105" t="s">
        <v>107</v>
      </c>
      <c r="AO118" s="104" t="s">
        <v>100</v>
      </c>
      <c r="AQ118" s="114" t="s">
        <v>101</v>
      </c>
      <c r="AS118" s="105" t="s">
        <v>102</v>
      </c>
      <c r="AU118" s="105" t="s">
        <v>103</v>
      </c>
      <c r="AW118" s="104" t="s">
        <v>104</v>
      </c>
      <c r="AY118" s="104" t="s">
        <v>105</v>
      </c>
      <c r="AZ118" s="24"/>
    </row>
    <row r="119">
      <c r="A119" s="192">
        <v>2569.0</v>
      </c>
      <c r="B119" s="193"/>
      <c r="E119" s="115" t="s">
        <v>204</v>
      </c>
      <c r="F119" s="116" t="s">
        <v>113</v>
      </c>
      <c r="G119" s="115" t="str">
        <f t="shared" ref="G119:J119" si="145">G34</f>
        <v>A10</v>
      </c>
      <c r="H119" s="9" t="str">
        <f t="shared" si="145"/>
        <v>B7</v>
      </c>
      <c r="I119" s="9" t="str">
        <f t="shared" si="145"/>
        <v>A5</v>
      </c>
      <c r="J119" s="9" t="str">
        <f t="shared" si="145"/>
        <v>B11</v>
      </c>
      <c r="K119" s="36"/>
      <c r="L119" s="117"/>
      <c r="M119" s="118" t="str">
        <f t="shared" ref="M119:P119" si="146">C119</f>
        <v/>
      </c>
      <c r="N119" s="119" t="str">
        <f t="shared" si="146"/>
        <v/>
      </c>
      <c r="O119" s="118" t="str">
        <f t="shared" si="146"/>
        <v>A5</v>
      </c>
      <c r="P119" s="118" t="str">
        <f t="shared" si="146"/>
        <v>B12</v>
      </c>
      <c r="Q119" s="118" t="str">
        <f t="shared" ref="Q119:R119" si="147">E120</f>
        <v>B6</v>
      </c>
      <c r="R119" s="119" t="str">
        <f t="shared" si="147"/>
        <v>C10</v>
      </c>
      <c r="S119" s="9" t="s">
        <v>115</v>
      </c>
      <c r="T119" s="110" t="s">
        <v>112</v>
      </c>
      <c r="U119" s="9" t="str">
        <f t="shared" ref="U119:X119" si="148">G119</f>
        <v>A10</v>
      </c>
      <c r="V119" s="119" t="str">
        <f t="shared" si="148"/>
        <v>B7</v>
      </c>
      <c r="W119" s="118" t="str">
        <f t="shared" si="148"/>
        <v>A5</v>
      </c>
      <c r="X119" s="120" t="str">
        <f t="shared" si="148"/>
        <v>B11</v>
      </c>
      <c r="Y119" s="73" t="s">
        <v>116</v>
      </c>
      <c r="Z119" s="94" t="s">
        <v>117</v>
      </c>
      <c r="AA119" s="36"/>
      <c r="AB119" s="36"/>
      <c r="AC119" s="111"/>
      <c r="AD119" s="112"/>
      <c r="AE119" s="37"/>
      <c r="AF119" s="97"/>
      <c r="AG119" s="14"/>
      <c r="AH119" s="14"/>
      <c r="AI119" s="14"/>
      <c r="AJ119" s="113"/>
      <c r="AK119" s="104" t="s">
        <v>124</v>
      </c>
      <c r="AM119" s="105" t="s">
        <v>125</v>
      </c>
      <c r="AO119" s="104" t="s">
        <v>118</v>
      </c>
      <c r="AQ119" s="114" t="s">
        <v>119</v>
      </c>
      <c r="AS119" s="105" t="s">
        <v>120</v>
      </c>
      <c r="AU119" s="105" t="s">
        <v>121</v>
      </c>
      <c r="AW119" s="104" t="s">
        <v>122</v>
      </c>
      <c r="AY119" s="104" t="s">
        <v>123</v>
      </c>
      <c r="AZ119" s="24"/>
    </row>
    <row r="120">
      <c r="A120" s="192">
        <f>A119-543</f>
        <v>2026</v>
      </c>
      <c r="B120" s="193"/>
      <c r="E120" s="115" t="s">
        <v>126</v>
      </c>
      <c r="F120" s="116" t="s">
        <v>232</v>
      </c>
      <c r="G120" s="115"/>
      <c r="H120" s="118"/>
      <c r="I120" s="118"/>
      <c r="J120" s="118"/>
      <c r="K120" s="36"/>
      <c r="L120" s="117"/>
      <c r="N120" s="117"/>
      <c r="R120" s="117"/>
      <c r="T120" s="117"/>
      <c r="V120" s="117"/>
      <c r="X120" s="117"/>
      <c r="Y120" s="73" t="s">
        <v>126</v>
      </c>
      <c r="Z120" s="94" t="s">
        <v>128</v>
      </c>
      <c r="AA120" s="36"/>
      <c r="AB120" s="36"/>
      <c r="AC120" s="111"/>
      <c r="AD120" s="112"/>
      <c r="AE120" s="37"/>
      <c r="AF120" s="97"/>
      <c r="AG120" s="14"/>
      <c r="AH120" s="14"/>
      <c r="AI120" s="14"/>
      <c r="AJ120" s="113"/>
      <c r="AK120" s="104" t="s">
        <v>135</v>
      </c>
      <c r="AM120" s="105" t="s">
        <v>136</v>
      </c>
      <c r="AO120" s="104" t="s">
        <v>129</v>
      </c>
      <c r="AQ120" s="114" t="s">
        <v>130</v>
      </c>
      <c r="AS120" s="105" t="s">
        <v>131</v>
      </c>
      <c r="AU120" s="105" t="s">
        <v>132</v>
      </c>
      <c r="AW120" s="104" t="s">
        <v>133</v>
      </c>
      <c r="AY120" s="104" t="s">
        <v>134</v>
      </c>
      <c r="AZ120" s="24"/>
    </row>
    <row r="121">
      <c r="A121" s="113"/>
      <c r="B121" s="206"/>
      <c r="C121" s="123"/>
      <c r="D121" s="123"/>
      <c r="E121" s="164" t="s">
        <v>137</v>
      </c>
      <c r="F121" s="88"/>
      <c r="G121" s="207" t="str">
        <f>G5:H5</f>
        <v>อสูรเดือน N</v>
      </c>
      <c r="I121" s="208" t="str">
        <f>I5:J5</f>
        <v>อสูรปี N</v>
      </c>
      <c r="K121" s="36"/>
      <c r="L121" s="117"/>
      <c r="N121" s="117"/>
      <c r="R121" s="117"/>
      <c r="T121" s="117"/>
      <c r="V121" s="117"/>
      <c r="X121" s="117"/>
      <c r="Y121" s="127"/>
      <c r="Z121" s="155"/>
      <c r="AA121" s="36"/>
      <c r="AB121" s="36"/>
      <c r="AC121" s="111"/>
      <c r="AD121" s="112"/>
      <c r="AE121" s="37"/>
      <c r="AF121" s="97"/>
      <c r="AG121" s="14"/>
      <c r="AH121" s="14"/>
      <c r="AI121" s="14"/>
      <c r="AJ121" s="113"/>
      <c r="AK121" s="128"/>
      <c r="AZ121" s="24"/>
    </row>
    <row r="122">
      <c r="A122" s="188" t="s">
        <v>191</v>
      </c>
      <c r="B122" s="189"/>
      <c r="C122" s="63"/>
      <c r="D122" s="63"/>
      <c r="E122" s="216">
        <f>(O123+P123+Q123+R123)/(O124+P124+Q124+R124)</f>
        <v>0.725</v>
      </c>
      <c r="F122" s="65"/>
      <c r="G122" s="133"/>
      <c r="H122" s="72"/>
      <c r="I122" s="67"/>
      <c r="J122" s="72"/>
      <c r="K122" s="68"/>
      <c r="L122" s="69"/>
      <c r="M122" s="63" t="s">
        <v>64</v>
      </c>
      <c r="N122" s="70"/>
      <c r="O122" s="71" t="s">
        <v>65</v>
      </c>
      <c r="P122" s="72"/>
      <c r="Q122" s="72"/>
      <c r="R122" s="70"/>
      <c r="S122" s="71" t="s">
        <v>66</v>
      </c>
      <c r="T122" s="70"/>
      <c r="U122" s="71" t="s">
        <v>67</v>
      </c>
      <c r="V122" s="70"/>
      <c r="W122" s="71" t="s">
        <v>68</v>
      </c>
      <c r="X122" s="70"/>
      <c r="Y122" s="134" t="s">
        <v>116</v>
      </c>
      <c r="Z122" s="74" t="s">
        <v>140</v>
      </c>
      <c r="AA122" s="75" t="s">
        <v>97</v>
      </c>
      <c r="AB122" s="75" t="s">
        <v>317</v>
      </c>
      <c r="AC122" s="190" t="s">
        <v>173</v>
      </c>
      <c r="AD122" s="77" t="s">
        <v>193</v>
      </c>
      <c r="AE122" s="63" t="s">
        <v>35</v>
      </c>
      <c r="AF122" s="78" t="s">
        <v>144</v>
      </c>
      <c r="AG122" s="79" t="s">
        <v>71</v>
      </c>
      <c r="AH122" s="79">
        <v>210.0</v>
      </c>
      <c r="AI122" s="79" t="s">
        <v>175</v>
      </c>
      <c r="AJ122" s="80" t="str">
        <f>AJ116</f>
        <v>開</v>
      </c>
      <c r="AK122" s="81" t="s">
        <v>38</v>
      </c>
      <c r="AL122" s="82" t="str">
        <f>AL116</f>
        <v>休</v>
      </c>
      <c r="AM122" s="81" t="s">
        <v>40</v>
      </c>
      <c r="AN122" s="82" t="s">
        <v>4</v>
      </c>
      <c r="AO122" s="81" t="s">
        <v>42</v>
      </c>
      <c r="AP122" s="82" t="str">
        <f>AP116</f>
        <v>傷</v>
      </c>
      <c r="AQ122" s="81" t="s">
        <v>44</v>
      </c>
      <c r="AR122" s="82" t="s">
        <v>8</v>
      </c>
      <c r="AS122" s="81" t="s">
        <v>46</v>
      </c>
      <c r="AT122" s="82" t="str">
        <f>AT116</f>
        <v>景</v>
      </c>
      <c r="AU122" s="81" t="s">
        <v>48</v>
      </c>
      <c r="AV122" s="82" t="str">
        <f>AV116</f>
        <v>死</v>
      </c>
      <c r="AW122" s="81" t="s">
        <v>50</v>
      </c>
      <c r="AX122" s="82" t="str">
        <f>AX116</f>
        <v>驚</v>
      </c>
      <c r="AY122" s="81" t="s">
        <v>52</v>
      </c>
      <c r="AZ122" s="83"/>
      <c r="BA122" s="84"/>
      <c r="BB122" s="84"/>
      <c r="BC122" s="84"/>
    </row>
    <row r="123">
      <c r="A123" s="285">
        <f>A117+1</f>
        <v>19</v>
      </c>
      <c r="B123" s="193"/>
      <c r="C123" s="12" t="s">
        <v>249</v>
      </c>
      <c r="E123" s="87" t="s">
        <v>222</v>
      </c>
      <c r="G123" s="273" t="str">
        <f t="shared" ref="G123:G124" si="150">G32:H32</f>
        <v>庚</v>
      </c>
      <c r="I123" s="275" t="str">
        <f t="shared" ref="I123:I124" si="151">I32:J32</f>
        <v>丙</v>
      </c>
      <c r="K123" s="90">
        <f>L123/L124</f>
        <v>0.57</v>
      </c>
      <c r="L123" s="126">
        <f t="shared" ref="L123:L124" si="152">O123+P123+Q123+U123+V123+W123+X123+R123+M123+N123+S123+T123</f>
        <v>570</v>
      </c>
      <c r="M123" s="92">
        <v>0.0</v>
      </c>
      <c r="N123" s="93">
        <v>0.0</v>
      </c>
      <c r="O123" s="92">
        <v>40.0</v>
      </c>
      <c r="P123" s="92">
        <v>70.0</v>
      </c>
      <c r="Q123" s="92">
        <v>100.0</v>
      </c>
      <c r="R123" s="93">
        <v>80.0</v>
      </c>
      <c r="S123" s="92">
        <v>10.0</v>
      </c>
      <c r="T123" s="93">
        <v>100.0</v>
      </c>
      <c r="U123" s="92">
        <f t="shared" ref="U123:X123" si="149">U32</f>
        <v>0</v>
      </c>
      <c r="V123" s="93">
        <f t="shared" si="149"/>
        <v>0</v>
      </c>
      <c r="W123" s="92">
        <f t="shared" si="149"/>
        <v>110</v>
      </c>
      <c r="X123" s="93">
        <f t="shared" si="149"/>
        <v>60</v>
      </c>
      <c r="Y123" s="73" t="s">
        <v>126</v>
      </c>
      <c r="Z123" s="94" t="s">
        <v>70</v>
      </c>
      <c r="AA123" s="36"/>
      <c r="AB123" s="36"/>
      <c r="AC123" s="195" t="s">
        <v>196</v>
      </c>
      <c r="AD123" s="96" t="s">
        <v>149</v>
      </c>
      <c r="AE123" s="37"/>
      <c r="AF123" s="97"/>
      <c r="AG123" s="12" t="s">
        <v>53</v>
      </c>
      <c r="AH123" s="12">
        <v>30.0</v>
      </c>
      <c r="AI123" s="12" t="s">
        <v>178</v>
      </c>
      <c r="AJ123" s="98" t="s">
        <v>39</v>
      </c>
      <c r="AK123" s="99" t="s">
        <v>93</v>
      </c>
      <c r="AL123" s="100" t="s">
        <v>37</v>
      </c>
      <c r="AM123" s="99" t="s">
        <v>94</v>
      </c>
      <c r="AN123" s="100" t="s">
        <v>51</v>
      </c>
      <c r="AO123" s="101" t="s">
        <v>95</v>
      </c>
      <c r="AP123" s="100" t="s">
        <v>86</v>
      </c>
      <c r="AQ123" s="99" t="s">
        <v>87</v>
      </c>
      <c r="AR123" s="100" t="s">
        <v>88</v>
      </c>
      <c r="AS123" s="101" t="s">
        <v>89</v>
      </c>
      <c r="AT123" s="100" t="s">
        <v>45</v>
      </c>
      <c r="AU123" s="102" t="s">
        <v>90</v>
      </c>
      <c r="AV123" s="100" t="s">
        <v>43</v>
      </c>
      <c r="AW123" s="101" t="s">
        <v>91</v>
      </c>
      <c r="AX123" s="100" t="s">
        <v>41</v>
      </c>
      <c r="AY123" s="103" t="s">
        <v>92</v>
      </c>
      <c r="AZ123" s="24"/>
    </row>
    <row r="124">
      <c r="A124" s="215" t="str">
        <f>G2</f>
        <v>กุมภาพันธ์</v>
      </c>
      <c r="B124" s="193"/>
      <c r="C124" s="140" t="s">
        <v>231</v>
      </c>
      <c r="E124" s="107" t="s">
        <v>84</v>
      </c>
      <c r="G124" s="274" t="str">
        <f t="shared" si="150"/>
        <v>寅</v>
      </c>
      <c r="I124" s="142" t="str">
        <f t="shared" si="151"/>
        <v>午</v>
      </c>
      <c r="K124" s="36"/>
      <c r="L124" s="109">
        <f t="shared" si="152"/>
        <v>1000</v>
      </c>
      <c r="M124" s="9">
        <v>0.0</v>
      </c>
      <c r="N124" s="110">
        <v>0.0</v>
      </c>
      <c r="O124" s="9">
        <v>100.0</v>
      </c>
      <c r="P124" s="9">
        <v>100.0</v>
      </c>
      <c r="Q124" s="9">
        <v>100.0</v>
      </c>
      <c r="R124" s="110">
        <v>100.0</v>
      </c>
      <c r="S124" s="9">
        <v>100.0</v>
      </c>
      <c r="T124" s="110">
        <v>100.0</v>
      </c>
      <c r="U124" s="9">
        <v>100.0</v>
      </c>
      <c r="V124" s="110">
        <v>100.0</v>
      </c>
      <c r="W124" s="9">
        <v>100.0</v>
      </c>
      <c r="X124" s="110">
        <v>100.0</v>
      </c>
      <c r="Y124" s="73" t="s">
        <v>69</v>
      </c>
      <c r="Z124" s="94" t="s">
        <v>152</v>
      </c>
      <c r="AA124" s="36"/>
      <c r="AB124" s="36"/>
      <c r="AC124" s="111"/>
      <c r="AD124" s="112"/>
      <c r="AE124" s="37"/>
      <c r="AF124" s="97"/>
      <c r="AG124" s="14"/>
      <c r="AH124" s="14"/>
      <c r="AI124" s="14"/>
      <c r="AJ124" s="113"/>
      <c r="AK124" s="104" t="s">
        <v>105</v>
      </c>
      <c r="AM124" s="104" t="s">
        <v>106</v>
      </c>
      <c r="AO124" s="105" t="s">
        <v>107</v>
      </c>
      <c r="AQ124" s="104" t="s">
        <v>100</v>
      </c>
      <c r="AS124" s="114" t="s">
        <v>101</v>
      </c>
      <c r="AU124" s="105" t="s">
        <v>102</v>
      </c>
      <c r="AW124" s="105" t="s">
        <v>103</v>
      </c>
      <c r="AY124" s="104" t="s">
        <v>104</v>
      </c>
      <c r="AZ124" s="24"/>
    </row>
    <row r="125">
      <c r="A125" s="192">
        <v>2569.0</v>
      </c>
      <c r="B125" s="193"/>
      <c r="E125" s="115" t="s">
        <v>112</v>
      </c>
      <c r="F125" s="116" t="s">
        <v>80</v>
      </c>
      <c r="G125" s="115" t="str">
        <f t="shared" ref="G125:J125" si="153">G34</f>
        <v>A10</v>
      </c>
      <c r="H125" s="9" t="str">
        <f t="shared" si="153"/>
        <v>B7</v>
      </c>
      <c r="I125" s="9" t="str">
        <f t="shared" si="153"/>
        <v>A5</v>
      </c>
      <c r="J125" s="9" t="str">
        <f t="shared" si="153"/>
        <v>B11</v>
      </c>
      <c r="K125" s="36"/>
      <c r="L125" s="117"/>
      <c r="M125" s="118" t="str">
        <f t="shared" ref="M125:P125" si="154">C125</f>
        <v/>
      </c>
      <c r="N125" s="119" t="str">
        <f t="shared" si="154"/>
        <v/>
      </c>
      <c r="O125" s="118" t="str">
        <f t="shared" si="154"/>
        <v>A2</v>
      </c>
      <c r="P125" s="118" t="str">
        <f t="shared" si="154"/>
        <v>B1</v>
      </c>
      <c r="Q125" s="118" t="str">
        <f t="shared" ref="Q125:R125" si="155">E126</f>
        <v>B5</v>
      </c>
      <c r="R125" s="119" t="str">
        <f t="shared" si="155"/>
        <v>C11</v>
      </c>
      <c r="S125" s="9" t="s">
        <v>108</v>
      </c>
      <c r="T125" s="110" t="s">
        <v>213</v>
      </c>
      <c r="U125" s="9" t="str">
        <f t="shared" ref="U125:X125" si="156">G125</f>
        <v>A10</v>
      </c>
      <c r="V125" s="119" t="str">
        <f t="shared" si="156"/>
        <v>B7</v>
      </c>
      <c r="W125" s="118" t="str">
        <f t="shared" si="156"/>
        <v>A5</v>
      </c>
      <c r="X125" s="120" t="str">
        <f t="shared" si="156"/>
        <v>B11</v>
      </c>
      <c r="Y125" s="73" t="s">
        <v>80</v>
      </c>
      <c r="Z125" s="94" t="s">
        <v>153</v>
      </c>
      <c r="AA125" s="36"/>
      <c r="AB125" s="36"/>
      <c r="AC125" s="111"/>
      <c r="AD125" s="112"/>
      <c r="AE125" s="37"/>
      <c r="AF125" s="97"/>
      <c r="AG125" s="14"/>
      <c r="AH125" s="14"/>
      <c r="AI125" s="14"/>
      <c r="AJ125" s="113"/>
      <c r="AK125" s="104" t="s">
        <v>123</v>
      </c>
      <c r="AM125" s="104" t="s">
        <v>124</v>
      </c>
      <c r="AO125" s="105" t="s">
        <v>125</v>
      </c>
      <c r="AQ125" s="104" t="s">
        <v>118</v>
      </c>
      <c r="AS125" s="114" t="s">
        <v>119</v>
      </c>
      <c r="AU125" s="105" t="s">
        <v>120</v>
      </c>
      <c r="AW125" s="105" t="s">
        <v>121</v>
      </c>
      <c r="AY125" s="104" t="s">
        <v>122</v>
      </c>
      <c r="AZ125" s="24"/>
    </row>
    <row r="126">
      <c r="A126" s="192">
        <f>A125-543</f>
        <v>2026</v>
      </c>
      <c r="B126" s="193"/>
      <c r="C126" s="181"/>
      <c r="E126" s="115" t="s">
        <v>116</v>
      </c>
      <c r="F126" s="116" t="s">
        <v>236</v>
      </c>
      <c r="G126" s="115"/>
      <c r="H126" s="118"/>
      <c r="I126" s="118"/>
      <c r="J126" s="118"/>
      <c r="K126" s="36"/>
      <c r="L126" s="117"/>
      <c r="N126" s="117"/>
      <c r="R126" s="117"/>
      <c r="T126" s="117"/>
      <c r="V126" s="117"/>
      <c r="X126" s="117"/>
      <c r="Y126" s="73" t="s">
        <v>98</v>
      </c>
      <c r="Z126" s="94" t="s">
        <v>155</v>
      </c>
      <c r="AA126" s="36"/>
      <c r="AB126" s="36"/>
      <c r="AC126" s="111"/>
      <c r="AD126" s="112"/>
      <c r="AE126" s="37"/>
      <c r="AF126" s="97"/>
      <c r="AG126" s="14"/>
      <c r="AH126" s="14"/>
      <c r="AI126" s="14"/>
      <c r="AJ126" s="113"/>
      <c r="AK126" s="104" t="s">
        <v>134</v>
      </c>
      <c r="AM126" s="104" t="s">
        <v>135</v>
      </c>
      <c r="AO126" s="105" t="s">
        <v>136</v>
      </c>
      <c r="AQ126" s="104" t="s">
        <v>129</v>
      </c>
      <c r="AS126" s="114" t="s">
        <v>130</v>
      </c>
      <c r="AU126" s="105" t="s">
        <v>131</v>
      </c>
      <c r="AW126" s="105" t="s">
        <v>132</v>
      </c>
      <c r="AY126" s="104" t="s">
        <v>133</v>
      </c>
      <c r="AZ126" s="24"/>
    </row>
    <row r="127">
      <c r="A127" s="205"/>
      <c r="B127" s="206"/>
      <c r="C127" s="123"/>
      <c r="D127" s="123"/>
      <c r="E127" s="164" t="s">
        <v>157</v>
      </c>
      <c r="F127" s="88"/>
      <c r="G127" s="207" t="str">
        <f>G5:H5</f>
        <v>อสูรเดือน N</v>
      </c>
      <c r="I127" s="208" t="str">
        <f>I5:J5</f>
        <v>อสูรปี N</v>
      </c>
      <c r="K127" s="36"/>
      <c r="L127" s="117"/>
      <c r="N127" s="117"/>
      <c r="R127" s="117"/>
      <c r="T127" s="117"/>
      <c r="V127" s="117"/>
      <c r="X127" s="117"/>
      <c r="Y127" s="127"/>
      <c r="Z127" s="155"/>
      <c r="AA127" s="36"/>
      <c r="AB127" s="36"/>
      <c r="AC127" s="111"/>
      <c r="AD127" s="112"/>
      <c r="AE127" s="37"/>
      <c r="AF127" s="97"/>
      <c r="AG127" s="14"/>
      <c r="AH127" s="14"/>
      <c r="AI127" s="14"/>
      <c r="AJ127" s="113"/>
      <c r="AO127" s="128"/>
      <c r="AZ127" s="24"/>
    </row>
    <row r="128">
      <c r="A128" s="188" t="s">
        <v>199</v>
      </c>
      <c r="B128" s="189"/>
      <c r="C128" s="63"/>
      <c r="D128" s="63"/>
      <c r="E128" s="64">
        <f>(O129+P129+Q129+R129)/(O130+P130+Q130+R130)</f>
        <v>0.4375</v>
      </c>
      <c r="F128" s="65"/>
      <c r="G128" s="133"/>
      <c r="H128" s="72"/>
      <c r="I128" s="67"/>
      <c r="J128" s="72"/>
      <c r="K128" s="68"/>
      <c r="L128" s="69"/>
      <c r="M128" s="63" t="s">
        <v>64</v>
      </c>
      <c r="N128" s="70"/>
      <c r="O128" s="71" t="s">
        <v>65</v>
      </c>
      <c r="P128" s="72"/>
      <c r="Q128" s="72"/>
      <c r="R128" s="70"/>
      <c r="S128" s="71" t="s">
        <v>66</v>
      </c>
      <c r="T128" s="70"/>
      <c r="U128" s="71" t="s">
        <v>67</v>
      </c>
      <c r="V128" s="70"/>
      <c r="W128" s="71" t="s">
        <v>68</v>
      </c>
      <c r="X128" s="70"/>
      <c r="Y128" s="134" t="s">
        <v>116</v>
      </c>
      <c r="Z128" s="74" t="s">
        <v>159</v>
      </c>
      <c r="AA128" s="75" t="s">
        <v>202</v>
      </c>
      <c r="AB128" s="75" t="s">
        <v>226</v>
      </c>
      <c r="AC128" s="190" t="s">
        <v>173</v>
      </c>
      <c r="AD128" s="77" t="s">
        <v>193</v>
      </c>
      <c r="AE128" s="63" t="s">
        <v>35</v>
      </c>
      <c r="AF128" s="78" t="s">
        <v>36</v>
      </c>
      <c r="AG128" s="79" t="s">
        <v>76</v>
      </c>
      <c r="AH128" s="79">
        <v>240.0</v>
      </c>
      <c r="AI128" s="79" t="s">
        <v>77</v>
      </c>
      <c r="AJ128" s="80" t="str">
        <f>AJ122</f>
        <v>開</v>
      </c>
      <c r="AK128" s="81" t="s">
        <v>44</v>
      </c>
      <c r="AL128" s="82" t="str">
        <f>AL122</f>
        <v>休</v>
      </c>
      <c r="AM128" s="81" t="s">
        <v>46</v>
      </c>
      <c r="AN128" s="82" t="s">
        <v>4</v>
      </c>
      <c r="AO128" s="81" t="s">
        <v>48</v>
      </c>
      <c r="AP128" s="82" t="str">
        <f>AP122</f>
        <v>傷</v>
      </c>
      <c r="AQ128" s="81" t="s">
        <v>50</v>
      </c>
      <c r="AR128" s="82" t="s">
        <v>8</v>
      </c>
      <c r="AS128" s="81" t="s">
        <v>52</v>
      </c>
      <c r="AT128" s="82" t="str">
        <f>AT122</f>
        <v>景</v>
      </c>
      <c r="AU128" s="81" t="s">
        <v>38</v>
      </c>
      <c r="AV128" s="82" t="str">
        <f>AV122</f>
        <v>死</v>
      </c>
      <c r="AW128" s="81" t="s">
        <v>40</v>
      </c>
      <c r="AX128" s="82" t="str">
        <f>AX122</f>
        <v>驚</v>
      </c>
      <c r="AY128" s="81" t="s">
        <v>42</v>
      </c>
      <c r="AZ128" s="83"/>
      <c r="BA128" s="84"/>
      <c r="BB128" s="84"/>
      <c r="BC128" s="84"/>
    </row>
    <row r="129">
      <c r="A129" s="192">
        <f>A123+1</f>
        <v>20</v>
      </c>
      <c r="B129" s="193"/>
      <c r="C129" s="12" t="s">
        <v>248</v>
      </c>
      <c r="E129" s="87" t="s">
        <v>31</v>
      </c>
      <c r="G129" s="273" t="str">
        <f t="shared" ref="G129:G130" si="158">G32:H32</f>
        <v>庚</v>
      </c>
      <c r="I129" s="275" t="str">
        <f t="shared" ref="I129:I130" si="159">I32:J32</f>
        <v>丙</v>
      </c>
      <c r="K129" s="90">
        <f>L129/L130</f>
        <v>0.51</v>
      </c>
      <c r="L129" s="126">
        <f t="shared" ref="L129:L130" si="160">O129+P129+Q129+U129+V129+W129+X129+R129+M129+N129+S129+T129</f>
        <v>510</v>
      </c>
      <c r="M129" s="92">
        <v>0.0</v>
      </c>
      <c r="N129" s="93">
        <v>0.0</v>
      </c>
      <c r="O129" s="92">
        <v>35.0</v>
      </c>
      <c r="P129" s="92">
        <v>80.0</v>
      </c>
      <c r="Q129" s="92">
        <v>30.0</v>
      </c>
      <c r="R129" s="93">
        <v>30.0</v>
      </c>
      <c r="S129" s="92">
        <v>55.0</v>
      </c>
      <c r="T129" s="93">
        <v>110.0</v>
      </c>
      <c r="U129" s="92">
        <f t="shared" ref="U129:X129" si="157">U32</f>
        <v>0</v>
      </c>
      <c r="V129" s="93">
        <f t="shared" si="157"/>
        <v>0</v>
      </c>
      <c r="W129" s="92">
        <f t="shared" si="157"/>
        <v>110</v>
      </c>
      <c r="X129" s="93">
        <f t="shared" si="157"/>
        <v>60</v>
      </c>
      <c r="Y129" s="73" t="s">
        <v>126</v>
      </c>
      <c r="Z129" s="94" t="s">
        <v>152</v>
      </c>
      <c r="AA129" s="36"/>
      <c r="AB129" s="29" t="s">
        <v>227</v>
      </c>
      <c r="AC129" s="195" t="s">
        <v>196</v>
      </c>
      <c r="AD129" s="96" t="s">
        <v>149</v>
      </c>
      <c r="AE129" s="37"/>
      <c r="AF129" s="97"/>
      <c r="AG129" s="12" t="s">
        <v>84</v>
      </c>
      <c r="AH129" s="12">
        <v>0.0</v>
      </c>
      <c r="AI129" s="12" t="s">
        <v>85</v>
      </c>
      <c r="AJ129" s="98" t="s">
        <v>86</v>
      </c>
      <c r="AK129" s="99" t="s">
        <v>87</v>
      </c>
      <c r="AL129" s="100" t="s">
        <v>88</v>
      </c>
      <c r="AM129" s="101" t="s">
        <v>89</v>
      </c>
      <c r="AN129" s="100" t="s">
        <v>45</v>
      </c>
      <c r="AO129" s="102" t="s">
        <v>90</v>
      </c>
      <c r="AP129" s="100" t="s">
        <v>43</v>
      </c>
      <c r="AQ129" s="101" t="s">
        <v>91</v>
      </c>
      <c r="AR129" s="100" t="s">
        <v>41</v>
      </c>
      <c r="AS129" s="103" t="s">
        <v>92</v>
      </c>
      <c r="AT129" s="100" t="s">
        <v>39</v>
      </c>
      <c r="AU129" s="99" t="s">
        <v>93</v>
      </c>
      <c r="AV129" s="100" t="s">
        <v>37</v>
      </c>
      <c r="AW129" s="99" t="s">
        <v>94</v>
      </c>
      <c r="AX129" s="100" t="s">
        <v>51</v>
      </c>
      <c r="AY129" s="101" t="s">
        <v>95</v>
      </c>
      <c r="AZ129" s="24"/>
    </row>
    <row r="130">
      <c r="A130" s="215" t="str">
        <f>G2</f>
        <v>กุมภาพันธ์</v>
      </c>
      <c r="B130" s="193"/>
      <c r="C130" s="140" t="s">
        <v>235</v>
      </c>
      <c r="E130" s="162" t="s">
        <v>53</v>
      </c>
      <c r="G130" s="274" t="str">
        <f t="shared" si="158"/>
        <v>寅</v>
      </c>
      <c r="I130" s="142" t="str">
        <f t="shared" si="159"/>
        <v>午</v>
      </c>
      <c r="K130" s="36"/>
      <c r="L130" s="109">
        <f t="shared" si="160"/>
        <v>1000</v>
      </c>
      <c r="M130" s="9">
        <v>0.0</v>
      </c>
      <c r="N130" s="110">
        <v>0.0</v>
      </c>
      <c r="O130" s="9">
        <v>100.0</v>
      </c>
      <c r="P130" s="9">
        <v>100.0</v>
      </c>
      <c r="Q130" s="9">
        <v>100.0</v>
      </c>
      <c r="R130" s="110">
        <v>100.0</v>
      </c>
      <c r="S130" s="9">
        <v>100.0</v>
      </c>
      <c r="T130" s="110">
        <v>100.0</v>
      </c>
      <c r="U130" s="9">
        <v>100.0</v>
      </c>
      <c r="V130" s="110">
        <v>100.0</v>
      </c>
      <c r="W130" s="9">
        <v>100.0</v>
      </c>
      <c r="X130" s="110">
        <v>100.0</v>
      </c>
      <c r="Y130" s="73" t="s">
        <v>69</v>
      </c>
      <c r="Z130" s="94" t="s">
        <v>163</v>
      </c>
      <c r="AA130" s="36"/>
      <c r="AB130" s="36"/>
      <c r="AC130" s="111"/>
      <c r="AD130" s="112"/>
      <c r="AE130" s="37"/>
      <c r="AF130" s="97"/>
      <c r="AG130" s="14"/>
      <c r="AH130" s="14"/>
      <c r="AI130" s="14"/>
      <c r="AJ130" s="113"/>
      <c r="AK130" s="104" t="s">
        <v>100</v>
      </c>
      <c r="AM130" s="114" t="s">
        <v>101</v>
      </c>
      <c r="AO130" s="105" t="s">
        <v>102</v>
      </c>
      <c r="AQ130" s="105" t="s">
        <v>103</v>
      </c>
      <c r="AS130" s="104" t="s">
        <v>104</v>
      </c>
      <c r="AU130" s="104" t="s">
        <v>105</v>
      </c>
      <c r="AW130" s="104" t="s">
        <v>106</v>
      </c>
      <c r="AY130" s="105" t="s">
        <v>107</v>
      </c>
      <c r="AZ130" s="24"/>
    </row>
    <row r="131">
      <c r="A131" s="192">
        <v>2569.0</v>
      </c>
      <c r="B131" s="193"/>
      <c r="E131" s="115" t="s">
        <v>198</v>
      </c>
      <c r="F131" s="116" t="s">
        <v>98</v>
      </c>
      <c r="G131" s="115" t="str">
        <f t="shared" ref="G131:J131" si="161">G34</f>
        <v>A10</v>
      </c>
      <c r="H131" s="9" t="str">
        <f t="shared" si="161"/>
        <v>B7</v>
      </c>
      <c r="I131" s="9" t="str">
        <f t="shared" si="161"/>
        <v>A5</v>
      </c>
      <c r="J131" s="9" t="str">
        <f t="shared" si="161"/>
        <v>B11</v>
      </c>
      <c r="K131" s="36"/>
      <c r="L131" s="117"/>
      <c r="M131" s="118" t="str">
        <f t="shared" ref="M131:P131" si="162">C131</f>
        <v/>
      </c>
      <c r="N131" s="119" t="str">
        <f t="shared" si="162"/>
        <v/>
      </c>
      <c r="O131" s="118" t="str">
        <f t="shared" si="162"/>
        <v>A6</v>
      </c>
      <c r="P131" s="118" t="str">
        <f t="shared" si="162"/>
        <v>B2</v>
      </c>
      <c r="Q131" s="118" t="str">
        <f t="shared" ref="Q131:R131" si="163">E132</f>
        <v>B4</v>
      </c>
      <c r="R131" s="119" t="str">
        <f t="shared" si="163"/>
        <v>C12</v>
      </c>
      <c r="S131" s="9" t="s">
        <v>164</v>
      </c>
      <c r="T131" s="110" t="s">
        <v>204</v>
      </c>
      <c r="U131" s="9" t="str">
        <f t="shared" ref="U131:X131" si="164">G131</f>
        <v>A10</v>
      </c>
      <c r="V131" s="119" t="str">
        <f t="shared" si="164"/>
        <v>B7</v>
      </c>
      <c r="W131" s="118" t="str">
        <f t="shared" si="164"/>
        <v>A5</v>
      </c>
      <c r="X131" s="120" t="str">
        <f t="shared" si="164"/>
        <v>B11</v>
      </c>
      <c r="Y131" s="73" t="s">
        <v>80</v>
      </c>
      <c r="Z131" s="94" t="s">
        <v>117</v>
      </c>
      <c r="AA131" s="36"/>
      <c r="AB131" s="36"/>
      <c r="AC131" s="111"/>
      <c r="AD131" s="112"/>
      <c r="AE131" s="37"/>
      <c r="AF131" s="97"/>
      <c r="AG131" s="14"/>
      <c r="AH131" s="14"/>
      <c r="AI131" s="14"/>
      <c r="AJ131" s="113"/>
      <c r="AK131" s="104" t="s">
        <v>118</v>
      </c>
      <c r="AM131" s="114" t="s">
        <v>119</v>
      </c>
      <c r="AO131" s="105" t="s">
        <v>120</v>
      </c>
      <c r="AQ131" s="105" t="s">
        <v>121</v>
      </c>
      <c r="AS131" s="104" t="s">
        <v>122</v>
      </c>
      <c r="AU131" s="104" t="s">
        <v>123</v>
      </c>
      <c r="AW131" s="104" t="s">
        <v>124</v>
      </c>
      <c r="AY131" s="105" t="s">
        <v>125</v>
      </c>
      <c r="AZ131" s="24"/>
    </row>
    <row r="132">
      <c r="A132" s="192">
        <f>A131-543</f>
        <v>2026</v>
      </c>
      <c r="B132" s="193"/>
      <c r="C132" s="12" t="s">
        <v>318</v>
      </c>
      <c r="E132" s="115" t="s">
        <v>109</v>
      </c>
      <c r="F132" s="116" t="s">
        <v>127</v>
      </c>
      <c r="G132" s="115"/>
      <c r="H132" s="118"/>
      <c r="I132" s="118"/>
      <c r="J132" s="118"/>
      <c r="K132" s="36"/>
      <c r="L132" s="117"/>
      <c r="N132" s="117"/>
      <c r="R132" s="117"/>
      <c r="T132" s="117"/>
      <c r="V132" s="117"/>
      <c r="X132" s="117"/>
      <c r="Y132" s="73" t="s">
        <v>98</v>
      </c>
      <c r="Z132" s="94" t="s">
        <v>128</v>
      </c>
      <c r="AA132" s="36"/>
      <c r="AB132" s="36"/>
      <c r="AC132" s="111"/>
      <c r="AD132" s="112"/>
      <c r="AE132" s="37"/>
      <c r="AF132" s="97"/>
      <c r="AG132" s="14"/>
      <c r="AH132" s="14"/>
      <c r="AI132" s="14"/>
      <c r="AJ132" s="113"/>
      <c r="AK132" s="104" t="s">
        <v>129</v>
      </c>
      <c r="AM132" s="114" t="s">
        <v>130</v>
      </c>
      <c r="AO132" s="105" t="s">
        <v>131</v>
      </c>
      <c r="AQ132" s="105" t="s">
        <v>132</v>
      </c>
      <c r="AS132" s="104" t="s">
        <v>133</v>
      </c>
      <c r="AU132" s="104" t="s">
        <v>134</v>
      </c>
      <c r="AW132" s="104" t="s">
        <v>135</v>
      </c>
      <c r="AY132" s="105" t="s">
        <v>136</v>
      </c>
      <c r="AZ132" s="24"/>
    </row>
    <row r="133">
      <c r="A133" s="224"/>
      <c r="B133" s="206"/>
      <c r="C133" s="1"/>
      <c r="D133" s="123"/>
      <c r="E133" s="176" t="s">
        <v>168</v>
      </c>
      <c r="F133" s="88"/>
      <c r="G133" s="207" t="str">
        <f>G5:H5</f>
        <v>อสูรเดือน N</v>
      </c>
      <c r="I133" s="208" t="str">
        <f>I5:J5</f>
        <v>อสูรปี N</v>
      </c>
      <c r="K133" s="36"/>
      <c r="L133" s="117"/>
      <c r="N133" s="117"/>
      <c r="R133" s="117"/>
      <c r="T133" s="117"/>
      <c r="V133" s="117"/>
      <c r="X133" s="117"/>
      <c r="Y133" s="127"/>
      <c r="Z133" s="155"/>
      <c r="AA133" s="36"/>
      <c r="AB133" s="36"/>
      <c r="AC133" s="111"/>
      <c r="AD133" s="112"/>
      <c r="AE133" s="37"/>
      <c r="AF133" s="97"/>
      <c r="AG133" s="14"/>
      <c r="AH133" s="14"/>
      <c r="AI133" s="14"/>
      <c r="AJ133" s="113"/>
      <c r="AM133" s="128"/>
      <c r="AZ133" s="24"/>
    </row>
    <row r="134">
      <c r="A134" s="188" t="s">
        <v>63</v>
      </c>
      <c r="B134" s="189"/>
      <c r="C134" s="63"/>
      <c r="D134" s="63"/>
      <c r="E134" s="64">
        <f>(O135+P135+Q135+R135)/(O136+P136+Q136+R136)</f>
        <v>0.425</v>
      </c>
      <c r="F134" s="65"/>
      <c r="G134" s="133"/>
      <c r="H134" s="72"/>
      <c r="I134" s="67"/>
      <c r="J134" s="72"/>
      <c r="K134" s="68"/>
      <c r="L134" s="69"/>
      <c r="M134" s="63" t="s">
        <v>64</v>
      </c>
      <c r="N134" s="70"/>
      <c r="O134" s="71" t="s">
        <v>65</v>
      </c>
      <c r="P134" s="72"/>
      <c r="Q134" s="72"/>
      <c r="R134" s="70"/>
      <c r="S134" s="71" t="s">
        <v>66</v>
      </c>
      <c r="T134" s="70"/>
      <c r="U134" s="71" t="s">
        <v>67</v>
      </c>
      <c r="V134" s="70"/>
      <c r="W134" s="71" t="s">
        <v>68</v>
      </c>
      <c r="X134" s="70"/>
      <c r="Y134" s="134" t="s">
        <v>80</v>
      </c>
      <c r="Z134" s="74" t="s">
        <v>170</v>
      </c>
      <c r="AA134" s="75" t="s">
        <v>32</v>
      </c>
      <c r="AB134" s="75" t="s">
        <v>233</v>
      </c>
      <c r="AC134" s="76" t="s">
        <v>73</v>
      </c>
      <c r="AD134" s="77" t="s">
        <v>74</v>
      </c>
      <c r="AE134" s="63" t="s">
        <v>75</v>
      </c>
      <c r="AF134" s="78" t="s">
        <v>34</v>
      </c>
      <c r="AG134" s="79" t="s">
        <v>32</v>
      </c>
      <c r="AH134" s="79">
        <v>270.0</v>
      </c>
      <c r="AI134" s="79" t="s">
        <v>145</v>
      </c>
      <c r="AJ134" s="80" t="str">
        <f>AJ128</f>
        <v>開</v>
      </c>
      <c r="AK134" s="81" t="s">
        <v>40</v>
      </c>
      <c r="AL134" s="82" t="str">
        <f>AL128</f>
        <v>休</v>
      </c>
      <c r="AM134" s="81" t="s">
        <v>42</v>
      </c>
      <c r="AN134" s="82" t="s">
        <v>4</v>
      </c>
      <c r="AO134" s="81" t="s">
        <v>44</v>
      </c>
      <c r="AP134" s="82" t="str">
        <f>AP128</f>
        <v>傷</v>
      </c>
      <c r="AQ134" s="81" t="s">
        <v>46</v>
      </c>
      <c r="AR134" s="82" t="s">
        <v>8</v>
      </c>
      <c r="AS134" s="81" t="s">
        <v>48</v>
      </c>
      <c r="AT134" s="82" t="str">
        <f>AT128</f>
        <v>景</v>
      </c>
      <c r="AU134" s="81" t="s">
        <v>50</v>
      </c>
      <c r="AV134" s="82" t="str">
        <f>AV128</f>
        <v>死</v>
      </c>
      <c r="AW134" s="81" t="s">
        <v>52</v>
      </c>
      <c r="AX134" s="82" t="str">
        <f>AX128</f>
        <v>驚</v>
      </c>
      <c r="AY134" s="81" t="s">
        <v>38</v>
      </c>
      <c r="AZ134" s="83"/>
      <c r="BA134" s="84"/>
      <c r="BB134" s="84"/>
      <c r="BC134" s="84"/>
    </row>
    <row r="135">
      <c r="A135" s="192">
        <f>A129+1</f>
        <v>21</v>
      </c>
      <c r="B135" s="193"/>
      <c r="C135" s="12" t="s">
        <v>176</v>
      </c>
      <c r="E135" s="214" t="s">
        <v>147</v>
      </c>
      <c r="G135" s="273" t="str">
        <f t="shared" ref="G135:G136" si="166">G32:H32</f>
        <v>庚</v>
      </c>
      <c r="I135" s="275" t="str">
        <f t="shared" ref="I135:I136" si="167">I32:J32</f>
        <v>丙</v>
      </c>
      <c r="K135" s="90">
        <f>L135/L136</f>
        <v>0.42</v>
      </c>
      <c r="L135" s="126">
        <f t="shared" ref="L135:L136" si="168">O135+P135+Q135+U135+V135+W135+X135+R135+M135+N135+S135+T135</f>
        <v>420</v>
      </c>
      <c r="M135" s="92">
        <v>0.0</v>
      </c>
      <c r="N135" s="93">
        <v>0.0</v>
      </c>
      <c r="O135" s="92">
        <v>80.0</v>
      </c>
      <c r="P135" s="92">
        <v>20.0</v>
      </c>
      <c r="Q135" s="92">
        <v>20.0</v>
      </c>
      <c r="R135" s="93">
        <v>50.0</v>
      </c>
      <c r="S135" s="92">
        <v>0.0</v>
      </c>
      <c r="T135" s="93">
        <v>80.0</v>
      </c>
      <c r="U135" s="92">
        <f t="shared" ref="U135:X135" si="165">U32</f>
        <v>0</v>
      </c>
      <c r="V135" s="93">
        <f t="shared" si="165"/>
        <v>0</v>
      </c>
      <c r="W135" s="92">
        <f t="shared" si="165"/>
        <v>110</v>
      </c>
      <c r="X135" s="93">
        <f t="shared" si="165"/>
        <v>60</v>
      </c>
      <c r="Y135" s="73" t="s">
        <v>98</v>
      </c>
      <c r="Z135" s="94" t="s">
        <v>70</v>
      </c>
      <c r="AA135" s="36"/>
      <c r="AB135" s="29" t="s">
        <v>234</v>
      </c>
      <c r="AC135" s="95" t="s">
        <v>82</v>
      </c>
      <c r="AD135" s="96" t="s">
        <v>83</v>
      </c>
      <c r="AE135" s="37"/>
      <c r="AF135" s="97"/>
      <c r="AG135" s="12" t="s">
        <v>97</v>
      </c>
      <c r="AH135" s="12">
        <v>330.0</v>
      </c>
      <c r="AI135" s="12" t="s">
        <v>150</v>
      </c>
      <c r="AJ135" s="98" t="s">
        <v>37</v>
      </c>
      <c r="AK135" s="99" t="s">
        <v>94</v>
      </c>
      <c r="AL135" s="100" t="s">
        <v>51</v>
      </c>
      <c r="AM135" s="101" t="s">
        <v>95</v>
      </c>
      <c r="AN135" s="100" t="s">
        <v>86</v>
      </c>
      <c r="AO135" s="99" t="s">
        <v>87</v>
      </c>
      <c r="AP135" s="100" t="s">
        <v>88</v>
      </c>
      <c r="AQ135" s="101" t="s">
        <v>89</v>
      </c>
      <c r="AR135" s="100" t="s">
        <v>45</v>
      </c>
      <c r="AS135" s="102" t="s">
        <v>90</v>
      </c>
      <c r="AT135" s="100" t="s">
        <v>43</v>
      </c>
      <c r="AU135" s="101" t="s">
        <v>91</v>
      </c>
      <c r="AV135" s="100" t="s">
        <v>41</v>
      </c>
      <c r="AW135" s="103" t="s">
        <v>92</v>
      </c>
      <c r="AX135" s="100" t="s">
        <v>39</v>
      </c>
      <c r="AY135" s="99" t="s">
        <v>93</v>
      </c>
      <c r="AZ135" s="24"/>
    </row>
    <row r="136">
      <c r="A136" s="215" t="str">
        <f>G2</f>
        <v>กุมภาพันธ์</v>
      </c>
      <c r="B136" s="193"/>
      <c r="C136" s="140" t="s">
        <v>239</v>
      </c>
      <c r="E136" s="218" t="s">
        <v>180</v>
      </c>
      <c r="G136" s="274" t="str">
        <f t="shared" si="166"/>
        <v>寅</v>
      </c>
      <c r="I136" s="142" t="str">
        <f t="shared" si="167"/>
        <v>午</v>
      </c>
      <c r="K136" s="36"/>
      <c r="L136" s="109">
        <f t="shared" si="168"/>
        <v>1000</v>
      </c>
      <c r="M136" s="9">
        <v>0.0</v>
      </c>
      <c r="N136" s="110">
        <v>0.0</v>
      </c>
      <c r="O136" s="9">
        <v>100.0</v>
      </c>
      <c r="P136" s="9">
        <v>100.0</v>
      </c>
      <c r="Q136" s="9">
        <v>100.0</v>
      </c>
      <c r="R136" s="110">
        <v>100.0</v>
      </c>
      <c r="S136" s="9">
        <v>100.0</v>
      </c>
      <c r="T136" s="110">
        <v>100.0</v>
      </c>
      <c r="U136" s="9">
        <v>100.0</v>
      </c>
      <c r="V136" s="110">
        <v>100.0</v>
      </c>
      <c r="W136" s="9">
        <v>100.0</v>
      </c>
      <c r="X136" s="110">
        <v>100.0</v>
      </c>
      <c r="Y136" s="73" t="s">
        <v>116</v>
      </c>
      <c r="Z136" s="94" t="s">
        <v>181</v>
      </c>
      <c r="AA136" s="36"/>
      <c r="AB136" s="36"/>
      <c r="AC136" s="111"/>
      <c r="AD136" s="112"/>
      <c r="AE136" s="37"/>
      <c r="AF136" s="97"/>
      <c r="AG136" s="14"/>
      <c r="AH136" s="14"/>
      <c r="AI136" s="14"/>
      <c r="AJ136" s="113"/>
      <c r="AK136" s="104" t="s">
        <v>106</v>
      </c>
      <c r="AM136" s="105" t="s">
        <v>107</v>
      </c>
      <c r="AO136" s="104" t="s">
        <v>100</v>
      </c>
      <c r="AQ136" s="114" t="s">
        <v>101</v>
      </c>
      <c r="AS136" s="105" t="s">
        <v>102</v>
      </c>
      <c r="AU136" s="105" t="s">
        <v>103</v>
      </c>
      <c r="AW136" s="104" t="s">
        <v>104</v>
      </c>
      <c r="AY136" s="104" t="s">
        <v>105</v>
      </c>
      <c r="AZ136" s="24"/>
    </row>
    <row r="137">
      <c r="A137" s="192">
        <v>2569.0</v>
      </c>
      <c r="B137" s="193"/>
      <c r="E137" s="115" t="s">
        <v>182</v>
      </c>
      <c r="F137" s="116" t="s">
        <v>183</v>
      </c>
      <c r="G137" s="115" t="str">
        <f t="shared" ref="G137:J137" si="169">G34</f>
        <v>A10</v>
      </c>
      <c r="H137" s="9" t="str">
        <f t="shared" si="169"/>
        <v>B7</v>
      </c>
      <c r="I137" s="9" t="str">
        <f t="shared" si="169"/>
        <v>A5</v>
      </c>
      <c r="J137" s="9" t="str">
        <f t="shared" si="169"/>
        <v>B11</v>
      </c>
      <c r="K137" s="36"/>
      <c r="L137" s="117"/>
      <c r="M137" s="118" t="str">
        <f t="shared" ref="M137:P137" si="170">C137</f>
        <v/>
      </c>
      <c r="N137" s="119" t="str">
        <f t="shared" si="170"/>
        <v/>
      </c>
      <c r="O137" s="118" t="str">
        <f t="shared" si="170"/>
        <v>A1</v>
      </c>
      <c r="P137" s="118" t="str">
        <f t="shared" si="170"/>
        <v>B3</v>
      </c>
      <c r="Q137" s="118" t="str">
        <f t="shared" ref="Q137:R137" si="171">E138</f>
        <v>B3</v>
      </c>
      <c r="R137" s="119" t="str">
        <f t="shared" si="171"/>
        <v>C1</v>
      </c>
      <c r="S137" s="9" t="s">
        <v>114</v>
      </c>
      <c r="T137" s="110" t="s">
        <v>182</v>
      </c>
      <c r="U137" s="9" t="str">
        <f t="shared" ref="U137:X137" si="172">G137</f>
        <v>A10</v>
      </c>
      <c r="V137" s="119" t="str">
        <f t="shared" si="172"/>
        <v>B7</v>
      </c>
      <c r="W137" s="118" t="str">
        <f t="shared" si="172"/>
        <v>A5</v>
      </c>
      <c r="X137" s="120" t="str">
        <f t="shared" si="172"/>
        <v>B11</v>
      </c>
      <c r="Y137" s="73" t="s">
        <v>126</v>
      </c>
      <c r="Z137" s="94" t="s">
        <v>163</v>
      </c>
      <c r="AA137" s="36"/>
      <c r="AB137" s="36"/>
      <c r="AC137" s="111"/>
      <c r="AD137" s="112"/>
      <c r="AE137" s="37"/>
      <c r="AF137" s="97"/>
      <c r="AG137" s="14"/>
      <c r="AH137" s="14"/>
      <c r="AI137" s="14"/>
      <c r="AJ137" s="113"/>
      <c r="AK137" s="104" t="s">
        <v>124</v>
      </c>
      <c r="AM137" s="105" t="s">
        <v>125</v>
      </c>
      <c r="AO137" s="104" t="s">
        <v>118</v>
      </c>
      <c r="AQ137" s="114" t="s">
        <v>119</v>
      </c>
      <c r="AS137" s="105" t="s">
        <v>120</v>
      </c>
      <c r="AU137" s="105" t="s">
        <v>121</v>
      </c>
      <c r="AW137" s="104" t="s">
        <v>122</v>
      </c>
      <c r="AY137" s="104" t="s">
        <v>123</v>
      </c>
      <c r="AZ137" s="24"/>
    </row>
    <row r="138">
      <c r="A138" s="192">
        <f>A137-543</f>
        <v>2026</v>
      </c>
      <c r="B138" s="193"/>
      <c r="E138" s="115" t="s">
        <v>183</v>
      </c>
      <c r="F138" s="116" t="s">
        <v>154</v>
      </c>
      <c r="G138" s="115"/>
      <c r="H138" s="118"/>
      <c r="I138" s="118"/>
      <c r="J138" s="118"/>
      <c r="K138" s="36"/>
      <c r="L138" s="117"/>
      <c r="N138" s="117"/>
      <c r="R138" s="117"/>
      <c r="T138" s="117"/>
      <c r="V138" s="117"/>
      <c r="X138" s="117"/>
      <c r="Y138" s="73" t="s">
        <v>69</v>
      </c>
      <c r="Z138" s="94" t="s">
        <v>99</v>
      </c>
      <c r="AA138" s="36"/>
      <c r="AB138" s="36"/>
      <c r="AC138" s="111"/>
      <c r="AD138" s="112"/>
      <c r="AE138" s="37"/>
      <c r="AF138" s="97"/>
      <c r="AG138" s="14"/>
      <c r="AH138" s="14"/>
      <c r="AI138" s="14"/>
      <c r="AJ138" s="113"/>
      <c r="AK138" s="104" t="s">
        <v>135</v>
      </c>
      <c r="AM138" s="105" t="s">
        <v>136</v>
      </c>
      <c r="AO138" s="104" t="s">
        <v>129</v>
      </c>
      <c r="AQ138" s="114" t="s">
        <v>130</v>
      </c>
      <c r="AS138" s="105" t="s">
        <v>131</v>
      </c>
      <c r="AU138" s="105" t="s">
        <v>132</v>
      </c>
      <c r="AW138" s="104" t="s">
        <v>133</v>
      </c>
      <c r="AY138" s="104" t="s">
        <v>134</v>
      </c>
      <c r="AZ138" s="24"/>
    </row>
    <row r="139">
      <c r="A139" s="113"/>
      <c r="B139" s="206"/>
      <c r="C139" s="1"/>
      <c r="D139" s="123"/>
      <c r="E139" s="176" t="s">
        <v>185</v>
      </c>
      <c r="F139" s="88"/>
      <c r="G139" s="207" t="str">
        <f>G5:H5</f>
        <v>อสูรเดือน N</v>
      </c>
      <c r="I139" s="208" t="str">
        <f>I5:J5</f>
        <v>อสูรปี N</v>
      </c>
      <c r="K139" s="36"/>
      <c r="L139" s="117"/>
      <c r="N139" s="117"/>
      <c r="R139" s="117"/>
      <c r="T139" s="117"/>
      <c r="V139" s="117"/>
      <c r="X139" s="117"/>
      <c r="Y139" s="127"/>
      <c r="Z139" s="155"/>
      <c r="AA139" s="36"/>
      <c r="AB139" s="36"/>
      <c r="AC139" s="111"/>
      <c r="AD139" s="112"/>
      <c r="AE139" s="37"/>
      <c r="AF139" s="97"/>
      <c r="AG139" s="14"/>
      <c r="AH139" s="14"/>
      <c r="AI139" s="14"/>
      <c r="AJ139" s="113"/>
      <c r="AU139" s="128"/>
      <c r="AZ139" s="24"/>
    </row>
    <row r="140">
      <c r="A140" s="188" t="s">
        <v>139</v>
      </c>
      <c r="B140" s="189"/>
      <c r="C140" s="63"/>
      <c r="D140" s="63"/>
      <c r="E140" s="225">
        <f>(O141+P141+Q141+R141)/(O142+P142+Q142+R142)</f>
        <v>0.4</v>
      </c>
      <c r="F140" s="72"/>
      <c r="G140" s="133"/>
      <c r="H140" s="72"/>
      <c r="I140" s="67"/>
      <c r="J140" s="72"/>
      <c r="K140" s="68"/>
      <c r="L140" s="69"/>
      <c r="M140" s="63" t="s">
        <v>64</v>
      </c>
      <c r="N140" s="70"/>
      <c r="O140" s="71" t="s">
        <v>65</v>
      </c>
      <c r="P140" s="72"/>
      <c r="Q140" s="72"/>
      <c r="R140" s="70"/>
      <c r="S140" s="71" t="s">
        <v>66</v>
      </c>
      <c r="T140" s="70"/>
      <c r="U140" s="71" t="s">
        <v>67</v>
      </c>
      <c r="V140" s="70"/>
      <c r="W140" s="71" t="s">
        <v>68</v>
      </c>
      <c r="X140" s="70"/>
      <c r="Y140" s="134" t="s">
        <v>80</v>
      </c>
      <c r="Z140" s="74" t="s">
        <v>159</v>
      </c>
      <c r="AA140" s="75" t="s">
        <v>71</v>
      </c>
      <c r="AB140" s="75" t="s">
        <v>72</v>
      </c>
      <c r="AC140" s="76" t="s">
        <v>73</v>
      </c>
      <c r="AD140" s="77" t="s">
        <v>74</v>
      </c>
      <c r="AE140" s="63" t="s">
        <v>75</v>
      </c>
      <c r="AF140" s="78" t="s">
        <v>75</v>
      </c>
      <c r="AG140" s="79" t="s">
        <v>97</v>
      </c>
      <c r="AH140" s="79">
        <v>330.0</v>
      </c>
      <c r="AI140" s="79" t="s">
        <v>150</v>
      </c>
      <c r="AJ140" s="80" t="str">
        <f>AJ134</f>
        <v>開</v>
      </c>
      <c r="AK140" s="81" t="s">
        <v>44</v>
      </c>
      <c r="AL140" s="82" t="str">
        <f>AL134</f>
        <v>休</v>
      </c>
      <c r="AM140" s="81" t="s">
        <v>46</v>
      </c>
      <c r="AN140" s="82" t="s">
        <v>4</v>
      </c>
      <c r="AO140" s="81" t="s">
        <v>48</v>
      </c>
      <c r="AP140" s="82" t="str">
        <f>AP134</f>
        <v>傷</v>
      </c>
      <c r="AQ140" s="81" t="s">
        <v>50</v>
      </c>
      <c r="AR140" s="82" t="s">
        <v>8</v>
      </c>
      <c r="AS140" s="81" t="s">
        <v>52</v>
      </c>
      <c r="AT140" s="82" t="str">
        <f>AT134</f>
        <v>景</v>
      </c>
      <c r="AU140" s="81" t="s">
        <v>38</v>
      </c>
      <c r="AV140" s="82" t="str">
        <f>AV134</f>
        <v>死</v>
      </c>
      <c r="AW140" s="81" t="s">
        <v>40</v>
      </c>
      <c r="AX140" s="82" t="str">
        <f>AX134</f>
        <v>驚</v>
      </c>
      <c r="AY140" s="81" t="s">
        <v>42</v>
      </c>
      <c r="AZ140" s="83"/>
      <c r="BA140" s="84"/>
      <c r="BB140" s="84"/>
      <c r="BC140" s="84"/>
    </row>
    <row r="141">
      <c r="A141" s="192">
        <f>A135+1</f>
        <v>22</v>
      </c>
      <c r="B141" s="193"/>
      <c r="C141" s="12" t="s">
        <v>187</v>
      </c>
      <c r="E141" s="160" t="s">
        <v>161</v>
      </c>
      <c r="G141" s="273" t="str">
        <f t="shared" ref="G141:G142" si="174">G32:H32</f>
        <v>庚</v>
      </c>
      <c r="I141" s="275" t="str">
        <f t="shared" ref="I141:I142" si="175">I32:J32</f>
        <v>丙</v>
      </c>
      <c r="K141" s="90">
        <f>L141/L142</f>
        <v>0.405</v>
      </c>
      <c r="L141" s="126">
        <f t="shared" ref="L141:L142" si="176">O141+P141+Q141+U141+V141+W141+X141+R141+M141+N141+S141+T141</f>
        <v>405</v>
      </c>
      <c r="M141" s="92">
        <v>0.0</v>
      </c>
      <c r="N141" s="93">
        <v>0.0</v>
      </c>
      <c r="O141" s="92">
        <v>20.0</v>
      </c>
      <c r="P141" s="92">
        <v>30.0</v>
      </c>
      <c r="Q141" s="92">
        <v>80.0</v>
      </c>
      <c r="R141" s="93">
        <v>30.0</v>
      </c>
      <c r="S141" s="92">
        <v>65.0</v>
      </c>
      <c r="T141" s="93">
        <v>10.0</v>
      </c>
      <c r="U141" s="92">
        <f t="shared" ref="U141:X141" si="173">U32</f>
        <v>0</v>
      </c>
      <c r="V141" s="93">
        <f t="shared" si="173"/>
        <v>0</v>
      </c>
      <c r="W141" s="92">
        <f t="shared" si="173"/>
        <v>110</v>
      </c>
      <c r="X141" s="93">
        <f t="shared" si="173"/>
        <v>60</v>
      </c>
      <c r="Y141" s="73" t="s">
        <v>98</v>
      </c>
      <c r="Z141" s="94" t="s">
        <v>152</v>
      </c>
      <c r="AA141" s="36"/>
      <c r="AB141" s="36"/>
      <c r="AC141" s="95" t="s">
        <v>82</v>
      </c>
      <c r="AD141" s="96" t="s">
        <v>83</v>
      </c>
      <c r="AE141" s="37"/>
      <c r="AF141" s="97"/>
      <c r="AG141" s="12" t="s">
        <v>32</v>
      </c>
      <c r="AH141" s="12">
        <v>270.0</v>
      </c>
      <c r="AI141" s="12" t="s">
        <v>145</v>
      </c>
      <c r="AJ141" s="98" t="s">
        <v>86</v>
      </c>
      <c r="AK141" s="99" t="s">
        <v>87</v>
      </c>
      <c r="AL141" s="100" t="s">
        <v>88</v>
      </c>
      <c r="AM141" s="101" t="s">
        <v>89</v>
      </c>
      <c r="AN141" s="100" t="s">
        <v>45</v>
      </c>
      <c r="AO141" s="102" t="s">
        <v>90</v>
      </c>
      <c r="AP141" s="100" t="s">
        <v>43</v>
      </c>
      <c r="AQ141" s="101" t="s">
        <v>91</v>
      </c>
      <c r="AR141" s="100" t="s">
        <v>41</v>
      </c>
      <c r="AS141" s="103" t="s">
        <v>92</v>
      </c>
      <c r="AT141" s="100" t="s">
        <v>39</v>
      </c>
      <c r="AU141" s="99" t="s">
        <v>93</v>
      </c>
      <c r="AV141" s="100" t="s">
        <v>37</v>
      </c>
      <c r="AW141" s="99" t="s">
        <v>94</v>
      </c>
      <c r="AX141" s="100" t="s">
        <v>51</v>
      </c>
      <c r="AY141" s="101" t="s">
        <v>95</v>
      </c>
      <c r="AZ141" s="24"/>
    </row>
    <row r="142">
      <c r="A142" s="215" t="str">
        <f>G2</f>
        <v>กุมภาพันธ์</v>
      </c>
      <c r="B142" s="193"/>
      <c r="C142" s="161" t="s">
        <v>96</v>
      </c>
      <c r="E142" s="171" t="s">
        <v>189</v>
      </c>
      <c r="G142" s="274" t="str">
        <f t="shared" si="174"/>
        <v>寅</v>
      </c>
      <c r="I142" s="142" t="str">
        <f t="shared" si="175"/>
        <v>午</v>
      </c>
      <c r="K142" s="36"/>
      <c r="L142" s="109">
        <f t="shared" si="176"/>
        <v>1000</v>
      </c>
      <c r="M142" s="9">
        <v>0.0</v>
      </c>
      <c r="N142" s="110">
        <v>0.0</v>
      </c>
      <c r="O142" s="9">
        <v>100.0</v>
      </c>
      <c r="P142" s="9">
        <v>100.0</v>
      </c>
      <c r="Q142" s="9">
        <v>100.0</v>
      </c>
      <c r="R142" s="110">
        <v>100.0</v>
      </c>
      <c r="S142" s="9">
        <v>100.0</v>
      </c>
      <c r="T142" s="110">
        <v>100.0</v>
      </c>
      <c r="U142" s="9">
        <v>100.0</v>
      </c>
      <c r="V142" s="110">
        <v>100.0</v>
      </c>
      <c r="W142" s="9">
        <v>100.0</v>
      </c>
      <c r="X142" s="110">
        <v>100.0</v>
      </c>
      <c r="Y142" s="73" t="s">
        <v>116</v>
      </c>
      <c r="Z142" s="94" t="s">
        <v>81</v>
      </c>
      <c r="AA142" s="36"/>
      <c r="AB142" s="36"/>
      <c r="AC142" s="111"/>
      <c r="AD142" s="112"/>
      <c r="AE142" s="37"/>
      <c r="AF142" s="97"/>
      <c r="AG142" s="14"/>
      <c r="AH142" s="14"/>
      <c r="AI142" s="14"/>
      <c r="AJ142" s="113"/>
      <c r="AK142" s="104" t="s">
        <v>100</v>
      </c>
      <c r="AM142" s="114" t="s">
        <v>101</v>
      </c>
      <c r="AO142" s="105" t="s">
        <v>102</v>
      </c>
      <c r="AQ142" s="105" t="s">
        <v>103</v>
      </c>
      <c r="AS142" s="104" t="s">
        <v>104</v>
      </c>
      <c r="AU142" s="104" t="s">
        <v>105</v>
      </c>
      <c r="AW142" s="104" t="s">
        <v>106</v>
      </c>
      <c r="AY142" s="105" t="s">
        <v>107</v>
      </c>
      <c r="AZ142" s="24"/>
    </row>
    <row r="143">
      <c r="A143" s="192">
        <v>2569.0</v>
      </c>
      <c r="B143" s="193"/>
      <c r="E143" s="115" t="s">
        <v>115</v>
      </c>
      <c r="F143" s="116" t="s">
        <v>109</v>
      </c>
      <c r="G143" s="115" t="str">
        <f t="shared" ref="G143:J143" si="177">G34</f>
        <v>A10</v>
      </c>
      <c r="H143" s="9" t="str">
        <f t="shared" si="177"/>
        <v>B7</v>
      </c>
      <c r="I143" s="9" t="str">
        <f t="shared" si="177"/>
        <v>A5</v>
      </c>
      <c r="J143" s="9" t="str">
        <f t="shared" si="177"/>
        <v>B11</v>
      </c>
      <c r="K143" s="36"/>
      <c r="L143" s="117"/>
      <c r="M143" s="118" t="str">
        <f t="shared" ref="M143:P143" si="178">C143</f>
        <v/>
      </c>
      <c r="N143" s="119" t="str">
        <f t="shared" si="178"/>
        <v/>
      </c>
      <c r="O143" s="118" t="str">
        <f t="shared" si="178"/>
        <v>A7</v>
      </c>
      <c r="P143" s="118" t="str">
        <f t="shared" si="178"/>
        <v>B4</v>
      </c>
      <c r="Q143" s="118" t="str">
        <f t="shared" ref="Q143:R143" si="179">E144</f>
        <v>B2</v>
      </c>
      <c r="R143" s="119" t="str">
        <f t="shared" si="179"/>
        <v>C2</v>
      </c>
      <c r="S143" s="9" t="s">
        <v>110</v>
      </c>
      <c r="T143" s="110" t="s">
        <v>108</v>
      </c>
      <c r="U143" s="9" t="str">
        <f t="shared" ref="U143:X143" si="180">G143</f>
        <v>A10</v>
      </c>
      <c r="V143" s="119" t="str">
        <f t="shared" si="180"/>
        <v>B7</v>
      </c>
      <c r="W143" s="118" t="str">
        <f t="shared" si="180"/>
        <v>A5</v>
      </c>
      <c r="X143" s="120" t="str">
        <f t="shared" si="180"/>
        <v>B11</v>
      </c>
      <c r="Y143" s="73" t="s">
        <v>126</v>
      </c>
      <c r="Z143" s="94" t="s">
        <v>99</v>
      </c>
      <c r="AA143" s="36"/>
      <c r="AB143" s="36"/>
      <c r="AC143" s="111"/>
      <c r="AD143" s="112"/>
      <c r="AE143" s="37"/>
      <c r="AF143" s="97"/>
      <c r="AG143" s="14"/>
      <c r="AH143" s="14"/>
      <c r="AI143" s="14"/>
      <c r="AJ143" s="113"/>
      <c r="AK143" s="104" t="s">
        <v>118</v>
      </c>
      <c r="AM143" s="114" t="s">
        <v>119</v>
      </c>
      <c r="AO143" s="105" t="s">
        <v>120</v>
      </c>
      <c r="AQ143" s="105" t="s">
        <v>121</v>
      </c>
      <c r="AS143" s="104" t="s">
        <v>122</v>
      </c>
      <c r="AU143" s="104" t="s">
        <v>123</v>
      </c>
      <c r="AW143" s="104" t="s">
        <v>124</v>
      </c>
      <c r="AY143" s="105" t="s">
        <v>125</v>
      </c>
      <c r="AZ143" s="24"/>
    </row>
    <row r="144">
      <c r="A144" s="192">
        <f>A143-543</f>
        <v>2026</v>
      </c>
      <c r="B144" s="193"/>
      <c r="C144" s="286" t="s">
        <v>319</v>
      </c>
      <c r="E144" s="115" t="s">
        <v>98</v>
      </c>
      <c r="F144" s="116" t="s">
        <v>167</v>
      </c>
      <c r="G144" s="115"/>
      <c r="H144" s="118"/>
      <c r="I144" s="118"/>
      <c r="J144" s="118"/>
      <c r="K144" s="36"/>
      <c r="L144" s="117"/>
      <c r="N144" s="117"/>
      <c r="O144" s="226"/>
      <c r="R144" s="117"/>
      <c r="T144" s="117"/>
      <c r="V144" s="117"/>
      <c r="X144" s="117"/>
      <c r="Y144" s="73" t="s">
        <v>69</v>
      </c>
      <c r="Z144" s="94" t="s">
        <v>155</v>
      </c>
      <c r="AA144" s="36"/>
      <c r="AB144" s="36"/>
      <c r="AC144" s="111"/>
      <c r="AD144" s="112"/>
      <c r="AE144" s="37"/>
      <c r="AF144" s="97"/>
      <c r="AG144" s="14"/>
      <c r="AH144" s="14"/>
      <c r="AI144" s="14"/>
      <c r="AJ144" s="113"/>
      <c r="AK144" s="104" t="s">
        <v>129</v>
      </c>
      <c r="AM144" s="114" t="s">
        <v>130</v>
      </c>
      <c r="AO144" s="105" t="s">
        <v>131</v>
      </c>
      <c r="AQ144" s="105" t="s">
        <v>132</v>
      </c>
      <c r="AS144" s="104" t="s">
        <v>133</v>
      </c>
      <c r="AU144" s="104" t="s">
        <v>134</v>
      </c>
      <c r="AW144" s="104" t="s">
        <v>135</v>
      </c>
      <c r="AY144" s="105" t="s">
        <v>136</v>
      </c>
      <c r="AZ144" s="24"/>
    </row>
    <row r="145">
      <c r="A145" s="279"/>
      <c r="B145" s="206"/>
      <c r="C145" s="1"/>
      <c r="D145" s="123"/>
      <c r="E145" s="164" t="s">
        <v>168</v>
      </c>
      <c r="F145" s="88"/>
      <c r="G145" s="207" t="str">
        <f>G5:H5</f>
        <v>อสูรเดือน N</v>
      </c>
      <c r="I145" s="208" t="str">
        <f>I5:J5</f>
        <v>อสูรปี N</v>
      </c>
      <c r="K145" s="36"/>
      <c r="L145" s="117"/>
      <c r="N145" s="117"/>
      <c r="R145" s="117"/>
      <c r="T145" s="117"/>
      <c r="V145" s="117"/>
      <c r="X145" s="117"/>
      <c r="Y145" s="127"/>
      <c r="Z145" s="155"/>
      <c r="AA145" s="36"/>
      <c r="AB145" s="36"/>
      <c r="AC145" s="111"/>
      <c r="AD145" s="112"/>
      <c r="AE145" s="37"/>
      <c r="AF145" s="97"/>
      <c r="AG145" s="14"/>
      <c r="AH145" s="14"/>
      <c r="AI145" s="14"/>
      <c r="AJ145" s="113"/>
      <c r="AZ145" s="24"/>
    </row>
    <row r="146">
      <c r="A146" s="188" t="s">
        <v>158</v>
      </c>
      <c r="B146" s="189"/>
      <c r="C146" s="63"/>
      <c r="D146" s="63"/>
      <c r="E146" s="228">
        <f>(O147+P147+Q147+R147)/(O148+P148+Q148+R148)</f>
        <v>0.85</v>
      </c>
      <c r="F146" s="72"/>
      <c r="G146" s="133"/>
      <c r="H146" s="72"/>
      <c r="I146" s="67"/>
      <c r="J146" s="72"/>
      <c r="K146" s="68"/>
      <c r="L146" s="69"/>
      <c r="M146" s="63" t="s">
        <v>64</v>
      </c>
      <c r="N146" s="70"/>
      <c r="O146" s="71" t="s">
        <v>65</v>
      </c>
      <c r="P146" s="72"/>
      <c r="Q146" s="72"/>
      <c r="R146" s="70"/>
      <c r="S146" s="71" t="s">
        <v>66</v>
      </c>
      <c r="T146" s="70"/>
      <c r="U146" s="71" t="s">
        <v>67</v>
      </c>
      <c r="V146" s="70"/>
      <c r="W146" s="71" t="s">
        <v>68</v>
      </c>
      <c r="X146" s="70"/>
      <c r="Y146" s="134" t="s">
        <v>80</v>
      </c>
      <c r="Z146" s="74" t="s">
        <v>181</v>
      </c>
      <c r="AA146" s="75" t="s">
        <v>197</v>
      </c>
      <c r="AB146" s="75" t="s">
        <v>311</v>
      </c>
      <c r="AC146" s="202" t="s">
        <v>142</v>
      </c>
      <c r="AD146" s="74" t="s">
        <v>143</v>
      </c>
      <c r="AE146" s="63" t="s">
        <v>34</v>
      </c>
      <c r="AF146" s="78" t="s">
        <v>144</v>
      </c>
      <c r="AG146" s="79" t="s">
        <v>71</v>
      </c>
      <c r="AH146" s="79">
        <v>210.0</v>
      </c>
      <c r="AI146" s="79" t="s">
        <v>175</v>
      </c>
      <c r="AJ146" s="80" t="str">
        <f>AJ140</f>
        <v>開</v>
      </c>
      <c r="AK146" s="81" t="s">
        <v>42</v>
      </c>
      <c r="AL146" s="82" t="str">
        <f>AL140</f>
        <v>休</v>
      </c>
      <c r="AM146" s="81" t="s">
        <v>44</v>
      </c>
      <c r="AN146" s="82" t="s">
        <v>4</v>
      </c>
      <c r="AO146" s="81" t="s">
        <v>46</v>
      </c>
      <c r="AP146" s="82" t="str">
        <f>AP140</f>
        <v>傷</v>
      </c>
      <c r="AQ146" s="81" t="s">
        <v>48</v>
      </c>
      <c r="AR146" s="82" t="s">
        <v>8</v>
      </c>
      <c r="AS146" s="81" t="s">
        <v>50</v>
      </c>
      <c r="AT146" s="82" t="str">
        <f>AT140</f>
        <v>景</v>
      </c>
      <c r="AU146" s="81" t="s">
        <v>52</v>
      </c>
      <c r="AV146" s="82" t="str">
        <f>AV140</f>
        <v>死</v>
      </c>
      <c r="AW146" s="81" t="s">
        <v>38</v>
      </c>
      <c r="AX146" s="82" t="str">
        <f>AX140</f>
        <v>驚</v>
      </c>
      <c r="AY146" s="81" t="s">
        <v>40</v>
      </c>
      <c r="AZ146" s="83"/>
      <c r="BA146" s="84"/>
      <c r="BB146" s="84"/>
      <c r="BC146" s="84"/>
    </row>
    <row r="147">
      <c r="A147" s="192">
        <f>A141+1</f>
        <v>23</v>
      </c>
      <c r="B147" s="193"/>
      <c r="C147" s="12" t="s">
        <v>260</v>
      </c>
      <c r="E147" s="168" t="s">
        <v>79</v>
      </c>
      <c r="G147" s="273" t="str">
        <f t="shared" ref="G147:G148" si="182">G32:H32</f>
        <v>庚</v>
      </c>
      <c r="I147" s="275" t="str">
        <f t="shared" ref="I147:I148" si="183">I32:J32</f>
        <v>丙</v>
      </c>
      <c r="K147" s="90">
        <f>L147/L148</f>
        <v>0.655</v>
      </c>
      <c r="L147" s="126">
        <f t="shared" ref="L147:L148" si="184">O147+P147+Q147+U147+V147+W147+X147+R147+M147+N147+S147+T147</f>
        <v>655</v>
      </c>
      <c r="M147" s="92">
        <v>0.0</v>
      </c>
      <c r="N147" s="93">
        <v>0.0</v>
      </c>
      <c r="O147" s="92">
        <v>90.0</v>
      </c>
      <c r="P147" s="92">
        <v>100.0</v>
      </c>
      <c r="Q147" s="92">
        <v>70.0</v>
      </c>
      <c r="R147" s="93">
        <v>80.0</v>
      </c>
      <c r="S147" s="92">
        <v>70.0</v>
      </c>
      <c r="T147" s="93">
        <v>75.0</v>
      </c>
      <c r="U147" s="92">
        <f t="shared" ref="U147:X147" si="181">U32</f>
        <v>0</v>
      </c>
      <c r="V147" s="93">
        <f t="shared" si="181"/>
        <v>0</v>
      </c>
      <c r="W147" s="92">
        <f t="shared" si="181"/>
        <v>110</v>
      </c>
      <c r="X147" s="93">
        <f t="shared" si="181"/>
        <v>60</v>
      </c>
      <c r="Y147" s="73" t="s">
        <v>98</v>
      </c>
      <c r="Z147" s="94" t="s">
        <v>163</v>
      </c>
      <c r="AA147" s="36"/>
      <c r="AB147" s="29"/>
      <c r="AC147" s="204" t="s">
        <v>82</v>
      </c>
      <c r="AD147" s="96" t="s">
        <v>83</v>
      </c>
      <c r="AE147" s="37"/>
      <c r="AF147" s="97"/>
      <c r="AG147" s="12" t="s">
        <v>53</v>
      </c>
      <c r="AH147" s="12">
        <v>30.0</v>
      </c>
      <c r="AI147" s="12" t="s">
        <v>178</v>
      </c>
      <c r="AJ147" s="98" t="s">
        <v>86</v>
      </c>
      <c r="AK147" s="99" t="s">
        <v>87</v>
      </c>
      <c r="AL147" s="100" t="s">
        <v>88</v>
      </c>
      <c r="AM147" s="101" t="s">
        <v>89</v>
      </c>
      <c r="AN147" s="100" t="s">
        <v>45</v>
      </c>
      <c r="AO147" s="102" t="s">
        <v>90</v>
      </c>
      <c r="AP147" s="100" t="s">
        <v>43</v>
      </c>
      <c r="AQ147" s="101" t="s">
        <v>91</v>
      </c>
      <c r="AR147" s="100" t="s">
        <v>41</v>
      </c>
      <c r="AS147" s="103" t="s">
        <v>92</v>
      </c>
      <c r="AT147" s="100" t="s">
        <v>39</v>
      </c>
      <c r="AU147" s="99" t="s">
        <v>93</v>
      </c>
      <c r="AV147" s="100" t="s">
        <v>37</v>
      </c>
      <c r="AW147" s="99" t="s">
        <v>94</v>
      </c>
      <c r="AX147" s="100" t="s">
        <v>51</v>
      </c>
      <c r="AY147" s="101" t="s">
        <v>95</v>
      </c>
      <c r="AZ147" s="24"/>
    </row>
    <row r="148">
      <c r="A148" s="215" t="str">
        <f>G2</f>
        <v>กุมภาพันธ์</v>
      </c>
      <c r="B148" s="193"/>
      <c r="C148" s="140" t="s">
        <v>151</v>
      </c>
      <c r="E148" s="162" t="s">
        <v>197</v>
      </c>
      <c r="G148" s="274" t="str">
        <f t="shared" si="182"/>
        <v>寅</v>
      </c>
      <c r="I148" s="142" t="str">
        <f t="shared" si="183"/>
        <v>午</v>
      </c>
      <c r="K148" s="36"/>
      <c r="L148" s="109">
        <f t="shared" si="184"/>
        <v>1000</v>
      </c>
      <c r="M148" s="9">
        <v>0.0</v>
      </c>
      <c r="N148" s="110">
        <v>0.0</v>
      </c>
      <c r="O148" s="9">
        <v>100.0</v>
      </c>
      <c r="P148" s="9">
        <v>100.0</v>
      </c>
      <c r="Q148" s="9">
        <v>100.0</v>
      </c>
      <c r="R148" s="110">
        <v>100.0</v>
      </c>
      <c r="S148" s="9">
        <v>100.0</v>
      </c>
      <c r="T148" s="110">
        <v>100.0</v>
      </c>
      <c r="U148" s="9">
        <v>100.0</v>
      </c>
      <c r="V148" s="110">
        <v>100.0</v>
      </c>
      <c r="W148" s="9">
        <v>100.0</v>
      </c>
      <c r="X148" s="110">
        <v>100.0</v>
      </c>
      <c r="Y148" s="73" t="s">
        <v>116</v>
      </c>
      <c r="Z148" s="94" t="s">
        <v>153</v>
      </c>
      <c r="AA148" s="36"/>
      <c r="AB148" s="36"/>
      <c r="AC148" s="111"/>
      <c r="AD148" s="112"/>
      <c r="AE148" s="37"/>
      <c r="AF148" s="97"/>
      <c r="AG148" s="14"/>
      <c r="AH148" s="14"/>
      <c r="AI148" s="14"/>
      <c r="AJ148" s="113"/>
      <c r="AK148" s="104" t="s">
        <v>100</v>
      </c>
      <c r="AM148" s="114" t="s">
        <v>101</v>
      </c>
      <c r="AO148" s="105" t="s">
        <v>102</v>
      </c>
      <c r="AQ148" s="105" t="s">
        <v>103</v>
      </c>
      <c r="AS148" s="104" t="s">
        <v>104</v>
      </c>
      <c r="AU148" s="104" t="s">
        <v>105</v>
      </c>
      <c r="AW148" s="104" t="s">
        <v>106</v>
      </c>
      <c r="AY148" s="105" t="s">
        <v>107</v>
      </c>
      <c r="AZ148" s="24"/>
    </row>
    <row r="149">
      <c r="A149" s="192">
        <v>2569.0</v>
      </c>
      <c r="B149" s="193"/>
      <c r="E149" s="115" t="s">
        <v>219</v>
      </c>
      <c r="F149" s="116" t="s">
        <v>116</v>
      </c>
      <c r="G149" s="115" t="str">
        <f t="shared" ref="G149:J149" si="185">G34</f>
        <v>A10</v>
      </c>
      <c r="H149" s="9" t="str">
        <f t="shared" si="185"/>
        <v>B7</v>
      </c>
      <c r="I149" s="9" t="str">
        <f t="shared" si="185"/>
        <v>A5</v>
      </c>
      <c r="J149" s="9" t="str">
        <f t="shared" si="185"/>
        <v>B11</v>
      </c>
      <c r="K149" s="36"/>
      <c r="L149" s="117"/>
      <c r="M149" s="118" t="str">
        <f t="shared" ref="M149:P149" si="186">C149</f>
        <v/>
      </c>
      <c r="N149" s="119" t="str">
        <f t="shared" si="186"/>
        <v/>
      </c>
      <c r="O149" s="118" t="str">
        <f t="shared" si="186"/>
        <v>A3</v>
      </c>
      <c r="P149" s="118" t="str">
        <f t="shared" si="186"/>
        <v>B5</v>
      </c>
      <c r="Q149" s="118" t="str">
        <f t="shared" ref="Q149:R149" si="187">E150</f>
        <v>B1</v>
      </c>
      <c r="R149" s="119" t="str">
        <f t="shared" si="187"/>
        <v>C3</v>
      </c>
      <c r="S149" s="9" t="s">
        <v>165</v>
      </c>
      <c r="T149" s="110" t="s">
        <v>182</v>
      </c>
      <c r="U149" s="9" t="str">
        <f t="shared" ref="U149:X149" si="188">G149</f>
        <v>A10</v>
      </c>
      <c r="V149" s="119" t="str">
        <f t="shared" si="188"/>
        <v>B7</v>
      </c>
      <c r="W149" s="118" t="str">
        <f t="shared" si="188"/>
        <v>A5</v>
      </c>
      <c r="X149" s="120" t="str">
        <f t="shared" si="188"/>
        <v>B11</v>
      </c>
      <c r="Y149" s="73" t="s">
        <v>126</v>
      </c>
      <c r="Z149" s="94" t="s">
        <v>155</v>
      </c>
      <c r="AA149" s="36"/>
      <c r="AB149" s="36"/>
      <c r="AC149" s="111"/>
      <c r="AD149" s="112"/>
      <c r="AE149" s="37"/>
      <c r="AF149" s="97"/>
      <c r="AG149" s="14"/>
      <c r="AH149" s="14"/>
      <c r="AI149" s="14"/>
      <c r="AJ149" s="113"/>
      <c r="AK149" s="104" t="s">
        <v>118</v>
      </c>
      <c r="AM149" s="114" t="s">
        <v>119</v>
      </c>
      <c r="AO149" s="105" t="s">
        <v>120</v>
      </c>
      <c r="AQ149" s="105" t="s">
        <v>121</v>
      </c>
      <c r="AS149" s="104" t="s">
        <v>122</v>
      </c>
      <c r="AU149" s="104" t="s">
        <v>123</v>
      </c>
      <c r="AW149" s="104" t="s">
        <v>124</v>
      </c>
      <c r="AY149" s="105" t="s">
        <v>125</v>
      </c>
      <c r="AZ149" s="24"/>
    </row>
    <row r="150">
      <c r="A150" s="192">
        <f>A149-543</f>
        <v>2026</v>
      </c>
      <c r="B150" s="193"/>
      <c r="E150" s="115" t="s">
        <v>80</v>
      </c>
      <c r="F150" s="116" t="s">
        <v>184</v>
      </c>
      <c r="G150" s="115"/>
      <c r="H150" s="118"/>
      <c r="I150" s="118"/>
      <c r="J150" s="118"/>
      <c r="K150" s="36"/>
      <c r="L150" s="117"/>
      <c r="N150" s="117"/>
      <c r="R150" s="117"/>
      <c r="T150" s="117"/>
      <c r="V150" s="117"/>
      <c r="X150" s="117"/>
      <c r="Y150" s="73" t="s">
        <v>69</v>
      </c>
      <c r="Z150" s="94" t="s">
        <v>128</v>
      </c>
      <c r="AA150" s="36"/>
      <c r="AB150" s="36"/>
      <c r="AC150" s="111"/>
      <c r="AD150" s="112"/>
      <c r="AE150" s="37"/>
      <c r="AF150" s="97"/>
      <c r="AG150" s="14"/>
      <c r="AH150" s="14"/>
      <c r="AI150" s="14"/>
      <c r="AJ150" s="113"/>
      <c r="AK150" s="104" t="s">
        <v>129</v>
      </c>
      <c r="AM150" s="114" t="s">
        <v>130</v>
      </c>
      <c r="AO150" s="105" t="s">
        <v>131</v>
      </c>
      <c r="AQ150" s="105" t="s">
        <v>132</v>
      </c>
      <c r="AS150" s="104" t="s">
        <v>133</v>
      </c>
      <c r="AU150" s="104" t="s">
        <v>134</v>
      </c>
      <c r="AW150" s="104" t="s">
        <v>135</v>
      </c>
      <c r="AY150" s="105" t="s">
        <v>136</v>
      </c>
      <c r="AZ150" s="24"/>
    </row>
    <row r="151">
      <c r="A151" s="281" t="s">
        <v>314</v>
      </c>
      <c r="B151" s="206"/>
      <c r="C151" s="1"/>
      <c r="D151" s="123"/>
      <c r="E151" s="164"/>
      <c r="F151" s="282"/>
      <c r="G151" s="283"/>
      <c r="H151" s="284"/>
      <c r="I151" s="284"/>
      <c r="J151" s="284"/>
      <c r="K151" s="36"/>
      <c r="L151" s="117"/>
      <c r="N151" s="117"/>
      <c r="R151" s="117"/>
      <c r="T151" s="117"/>
      <c r="V151" s="117"/>
      <c r="X151" s="117"/>
      <c r="Y151" s="127"/>
      <c r="Z151" s="155"/>
      <c r="AA151" s="36"/>
      <c r="AB151" s="36"/>
      <c r="AC151" s="111"/>
      <c r="AD151" s="112"/>
      <c r="AE151" s="37"/>
      <c r="AF151" s="97"/>
      <c r="AG151" s="14"/>
      <c r="AH151" s="14"/>
      <c r="AI151" s="14"/>
      <c r="AJ151" s="113"/>
      <c r="AY151" s="128"/>
      <c r="AZ151" s="24"/>
    </row>
    <row r="152">
      <c r="A152" s="217" t="s">
        <v>237</v>
      </c>
      <c r="B152" s="206"/>
      <c r="C152" s="1"/>
      <c r="D152" s="123"/>
      <c r="E152" s="164" t="s">
        <v>157</v>
      </c>
      <c r="F152" s="88"/>
      <c r="G152" s="207" t="str">
        <f>G5:H5</f>
        <v>อสูรเดือน N</v>
      </c>
      <c r="I152" s="208" t="str">
        <f>I5:J5</f>
        <v>อสูรปี N</v>
      </c>
      <c r="K152" s="36"/>
      <c r="L152" s="117"/>
      <c r="N152" s="117"/>
      <c r="R152" s="117"/>
      <c r="T152" s="117"/>
      <c r="V152" s="117"/>
      <c r="X152" s="117"/>
      <c r="Y152" s="127"/>
      <c r="Z152" s="155"/>
      <c r="AA152" s="36"/>
      <c r="AB152" s="36"/>
      <c r="AC152" s="111"/>
      <c r="AD152" s="112"/>
      <c r="AE152" s="37"/>
      <c r="AF152" s="97"/>
      <c r="AG152" s="14"/>
      <c r="AH152" s="14"/>
      <c r="AI152" s="14"/>
      <c r="AJ152" s="113"/>
      <c r="AY152" s="128"/>
      <c r="AZ152" s="24"/>
    </row>
    <row r="153">
      <c r="A153" s="188" t="s">
        <v>246</v>
      </c>
      <c r="B153" s="189"/>
      <c r="C153" s="63"/>
      <c r="D153" s="63"/>
      <c r="E153" s="228">
        <f>(O154+P154+Q154+R154)/(O155+P155+Q155+R155)</f>
        <v>0.65</v>
      </c>
      <c r="F153" s="72"/>
      <c r="G153" s="133"/>
      <c r="H153" s="72"/>
      <c r="I153" s="67"/>
      <c r="J153" s="72"/>
      <c r="K153" s="68"/>
      <c r="L153" s="69"/>
      <c r="M153" s="63" t="s">
        <v>64</v>
      </c>
      <c r="N153" s="70"/>
      <c r="O153" s="71" t="s">
        <v>65</v>
      </c>
      <c r="P153" s="72"/>
      <c r="Q153" s="72"/>
      <c r="R153" s="70"/>
      <c r="S153" s="71" t="s">
        <v>66</v>
      </c>
      <c r="T153" s="70"/>
      <c r="U153" s="71" t="s">
        <v>67</v>
      </c>
      <c r="V153" s="70"/>
      <c r="W153" s="71" t="s">
        <v>68</v>
      </c>
      <c r="X153" s="70"/>
      <c r="Y153" s="134" t="s">
        <v>69</v>
      </c>
      <c r="Z153" s="74" t="s">
        <v>70</v>
      </c>
      <c r="AA153" s="75" t="s">
        <v>171</v>
      </c>
      <c r="AB153" s="75" t="s">
        <v>172</v>
      </c>
      <c r="AC153" s="202" t="s">
        <v>142</v>
      </c>
      <c r="AD153" s="74" t="s">
        <v>143</v>
      </c>
      <c r="AE153" s="63" t="s">
        <v>34</v>
      </c>
      <c r="AF153" s="78" t="s">
        <v>36</v>
      </c>
      <c r="AG153" s="79" t="s">
        <v>84</v>
      </c>
      <c r="AH153" s="79">
        <v>0.0</v>
      </c>
      <c r="AI153" s="79" t="s">
        <v>85</v>
      </c>
      <c r="AJ153" s="80" t="str">
        <f>AJ146</f>
        <v>開</v>
      </c>
      <c r="AK153" s="81" t="s">
        <v>52</v>
      </c>
      <c r="AL153" s="82" t="str">
        <f>AL146</f>
        <v>休</v>
      </c>
      <c r="AM153" s="81" t="s">
        <v>38</v>
      </c>
      <c r="AN153" s="82" t="s">
        <v>4</v>
      </c>
      <c r="AO153" s="81" t="s">
        <v>40</v>
      </c>
      <c r="AP153" s="82" t="str">
        <f>AP146</f>
        <v>傷</v>
      </c>
      <c r="AQ153" s="81" t="s">
        <v>42</v>
      </c>
      <c r="AR153" s="82" t="str">
        <f>AR146</f>
        <v>杜</v>
      </c>
      <c r="AS153" s="81" t="s">
        <v>44</v>
      </c>
      <c r="AT153" s="82" t="str">
        <f>AT146</f>
        <v>景</v>
      </c>
      <c r="AU153" s="81" t="s">
        <v>46</v>
      </c>
      <c r="AV153" s="82" t="str">
        <f>AV146</f>
        <v>死</v>
      </c>
      <c r="AW153" s="81" t="s">
        <v>48</v>
      </c>
      <c r="AX153" s="82" t="str">
        <f>AX146</f>
        <v>驚</v>
      </c>
      <c r="AY153" s="81" t="s">
        <v>50</v>
      </c>
      <c r="AZ153" s="83"/>
      <c r="BA153" s="84"/>
      <c r="BB153" s="84"/>
      <c r="BC153" s="84"/>
    </row>
    <row r="154">
      <c r="A154" s="192">
        <f>A147+1</f>
        <v>24</v>
      </c>
      <c r="B154" s="193"/>
      <c r="C154" s="12" t="s">
        <v>146</v>
      </c>
      <c r="E154" s="168" t="s">
        <v>30</v>
      </c>
      <c r="G154" s="273" t="str">
        <f t="shared" ref="G154:G155" si="190">G32:H32</f>
        <v>庚</v>
      </c>
      <c r="I154" s="275" t="str">
        <f t="shared" ref="I154:I155" si="191">I32:J32</f>
        <v>丙</v>
      </c>
      <c r="K154" s="90">
        <f>L154/L155</f>
        <v>0.51</v>
      </c>
      <c r="L154" s="126">
        <f t="shared" ref="L154:L155" si="192">O154+P154+Q154+U154+V154+W154+X154+R154+M154+N154+S154+T154</f>
        <v>510</v>
      </c>
      <c r="M154" s="92">
        <v>0.0</v>
      </c>
      <c r="N154" s="93">
        <v>0.0</v>
      </c>
      <c r="O154" s="92">
        <v>110.0</v>
      </c>
      <c r="P154" s="92">
        <v>90.0</v>
      </c>
      <c r="Q154" s="92">
        <v>10.0</v>
      </c>
      <c r="R154" s="93">
        <v>50.0</v>
      </c>
      <c r="S154" s="92">
        <v>75.0</v>
      </c>
      <c r="T154" s="93">
        <v>5.0</v>
      </c>
      <c r="U154" s="92">
        <f t="shared" ref="U154:X154" si="189">U32</f>
        <v>0</v>
      </c>
      <c r="V154" s="93">
        <f t="shared" si="189"/>
        <v>0</v>
      </c>
      <c r="W154" s="92">
        <f t="shared" si="189"/>
        <v>110</v>
      </c>
      <c r="X154" s="93">
        <f t="shared" si="189"/>
        <v>60</v>
      </c>
      <c r="Y154" s="73" t="s">
        <v>80</v>
      </c>
      <c r="Z154" s="94" t="s">
        <v>81</v>
      </c>
      <c r="AA154" s="36"/>
      <c r="AB154" s="169" t="s">
        <v>177</v>
      </c>
      <c r="AC154" s="204" t="s">
        <v>82</v>
      </c>
      <c r="AD154" s="96" t="s">
        <v>83</v>
      </c>
      <c r="AE154" s="37"/>
      <c r="AF154" s="97"/>
      <c r="AG154" s="12" t="s">
        <v>76</v>
      </c>
      <c r="AH154" s="12">
        <v>240.0</v>
      </c>
      <c r="AI154" s="12" t="s">
        <v>77</v>
      </c>
      <c r="AJ154" s="98" t="s">
        <v>51</v>
      </c>
      <c r="AK154" s="101" t="s">
        <v>95</v>
      </c>
      <c r="AL154" s="100" t="s">
        <v>86</v>
      </c>
      <c r="AM154" s="99" t="s">
        <v>87</v>
      </c>
      <c r="AN154" s="100" t="s">
        <v>88</v>
      </c>
      <c r="AO154" s="101" t="s">
        <v>89</v>
      </c>
      <c r="AP154" s="100" t="s">
        <v>45</v>
      </c>
      <c r="AQ154" s="102" t="s">
        <v>90</v>
      </c>
      <c r="AR154" s="100" t="s">
        <v>43</v>
      </c>
      <c r="AS154" s="101" t="s">
        <v>91</v>
      </c>
      <c r="AT154" s="100" t="s">
        <v>41</v>
      </c>
      <c r="AU154" s="103" t="s">
        <v>92</v>
      </c>
      <c r="AV154" s="100" t="s">
        <v>39</v>
      </c>
      <c r="AW154" s="99" t="s">
        <v>93</v>
      </c>
      <c r="AX154" s="100" t="s">
        <v>37</v>
      </c>
      <c r="AY154" s="99" t="s">
        <v>94</v>
      </c>
      <c r="AZ154" s="24"/>
    </row>
    <row r="155">
      <c r="A155" s="215" t="str">
        <f>G2</f>
        <v>กุมภาพันธ์</v>
      </c>
      <c r="B155" s="193"/>
      <c r="C155" s="161" t="s">
        <v>162</v>
      </c>
      <c r="E155" s="201" t="s">
        <v>54</v>
      </c>
      <c r="G155" s="274" t="str">
        <f t="shared" si="190"/>
        <v>寅</v>
      </c>
      <c r="I155" s="142" t="str">
        <f t="shared" si="191"/>
        <v>午</v>
      </c>
      <c r="K155" s="36"/>
      <c r="L155" s="109">
        <f t="shared" si="192"/>
        <v>1000</v>
      </c>
      <c r="M155" s="9">
        <v>0.0</v>
      </c>
      <c r="N155" s="110">
        <v>0.0</v>
      </c>
      <c r="O155" s="9">
        <v>100.0</v>
      </c>
      <c r="P155" s="9">
        <v>100.0</v>
      </c>
      <c r="Q155" s="9">
        <v>100.0</v>
      </c>
      <c r="R155" s="110">
        <v>100.0</v>
      </c>
      <c r="S155" s="9">
        <v>100.0</v>
      </c>
      <c r="T155" s="110">
        <v>100.0</v>
      </c>
      <c r="U155" s="9">
        <v>100.0</v>
      </c>
      <c r="V155" s="110">
        <v>100.0</v>
      </c>
      <c r="W155" s="9">
        <v>100.0</v>
      </c>
      <c r="X155" s="110">
        <v>100.0</v>
      </c>
      <c r="Y155" s="73" t="s">
        <v>98</v>
      </c>
      <c r="Z155" s="94" t="s">
        <v>99</v>
      </c>
      <c r="AA155" s="36"/>
      <c r="AB155" s="36"/>
      <c r="AC155" s="111"/>
      <c r="AD155" s="112"/>
      <c r="AE155" s="37"/>
      <c r="AF155" s="97"/>
      <c r="AG155" s="14"/>
      <c r="AH155" s="14"/>
      <c r="AI155" s="14"/>
      <c r="AJ155" s="113"/>
      <c r="AK155" s="105" t="s">
        <v>107</v>
      </c>
      <c r="AM155" s="104" t="s">
        <v>100</v>
      </c>
      <c r="AO155" s="114" t="s">
        <v>101</v>
      </c>
      <c r="AQ155" s="105" t="s">
        <v>102</v>
      </c>
      <c r="AS155" s="105" t="s">
        <v>103</v>
      </c>
      <c r="AU155" s="104" t="s">
        <v>104</v>
      </c>
      <c r="AW155" s="104" t="s">
        <v>105</v>
      </c>
      <c r="AY155" s="104" t="s">
        <v>106</v>
      </c>
      <c r="AZ155" s="24"/>
    </row>
    <row r="156">
      <c r="A156" s="192">
        <v>2569.0</v>
      </c>
      <c r="B156" s="193"/>
      <c r="E156" s="115" t="s">
        <v>204</v>
      </c>
      <c r="F156" s="116" t="s">
        <v>126</v>
      </c>
      <c r="G156" s="115" t="str">
        <f t="shared" ref="G156:J156" si="193">G34</f>
        <v>A10</v>
      </c>
      <c r="H156" s="9" t="str">
        <f t="shared" si="193"/>
        <v>B7</v>
      </c>
      <c r="I156" s="9" t="str">
        <f t="shared" si="193"/>
        <v>A5</v>
      </c>
      <c r="J156" s="9" t="str">
        <f t="shared" si="193"/>
        <v>B11</v>
      </c>
      <c r="K156" s="36"/>
      <c r="L156" s="117"/>
      <c r="M156" s="118" t="str">
        <f t="shared" ref="M156:P156" si="194">C156</f>
        <v/>
      </c>
      <c r="N156" s="119" t="str">
        <f t="shared" si="194"/>
        <v/>
      </c>
      <c r="O156" s="118" t="str">
        <f t="shared" si="194"/>
        <v>A5</v>
      </c>
      <c r="P156" s="118" t="str">
        <f t="shared" si="194"/>
        <v>B6</v>
      </c>
      <c r="Q156" s="118" t="str">
        <f t="shared" ref="Q156:R156" si="195">E157</f>
        <v>B12</v>
      </c>
      <c r="R156" s="119" t="str">
        <f t="shared" si="195"/>
        <v>C4</v>
      </c>
      <c r="S156" s="9" t="s">
        <v>182</v>
      </c>
      <c r="T156" s="110" t="s">
        <v>108</v>
      </c>
      <c r="U156" s="9" t="str">
        <f t="shared" ref="U156:X156" si="196">G156</f>
        <v>A10</v>
      </c>
      <c r="V156" s="119" t="str">
        <f t="shared" si="196"/>
        <v>B7</v>
      </c>
      <c r="W156" s="118" t="str">
        <f t="shared" si="196"/>
        <v>A5</v>
      </c>
      <c r="X156" s="120" t="str">
        <f t="shared" si="196"/>
        <v>B11</v>
      </c>
      <c r="Y156" s="73" t="s">
        <v>116</v>
      </c>
      <c r="Z156" s="94" t="s">
        <v>117</v>
      </c>
      <c r="AA156" s="36"/>
      <c r="AB156" s="36"/>
      <c r="AC156" s="111"/>
      <c r="AD156" s="112"/>
      <c r="AE156" s="37"/>
      <c r="AF156" s="97"/>
      <c r="AG156" s="14"/>
      <c r="AH156" s="14"/>
      <c r="AI156" s="14"/>
      <c r="AJ156" s="113"/>
      <c r="AK156" s="105" t="s">
        <v>125</v>
      </c>
      <c r="AM156" s="104" t="s">
        <v>118</v>
      </c>
      <c r="AO156" s="114" t="s">
        <v>119</v>
      </c>
      <c r="AQ156" s="105" t="s">
        <v>120</v>
      </c>
      <c r="AS156" s="105" t="s">
        <v>121</v>
      </c>
      <c r="AU156" s="104" t="s">
        <v>122</v>
      </c>
      <c r="AW156" s="104" t="s">
        <v>123</v>
      </c>
      <c r="AY156" s="104" t="s">
        <v>124</v>
      </c>
      <c r="AZ156" s="24"/>
    </row>
    <row r="157">
      <c r="A157" s="192">
        <f>A156-543</f>
        <v>2026</v>
      </c>
      <c r="B157" s="193"/>
      <c r="C157" s="12" t="s">
        <v>166</v>
      </c>
      <c r="E157" s="115" t="s">
        <v>113</v>
      </c>
      <c r="F157" s="116" t="s">
        <v>190</v>
      </c>
      <c r="G157" s="115"/>
      <c r="H157" s="118"/>
      <c r="I157" s="118"/>
      <c r="J157" s="118"/>
      <c r="K157" s="36"/>
      <c r="L157" s="117"/>
      <c r="N157" s="117"/>
      <c r="R157" s="117"/>
      <c r="T157" s="117"/>
      <c r="V157" s="117"/>
      <c r="X157" s="117"/>
      <c r="Y157" s="73" t="s">
        <v>126</v>
      </c>
      <c r="Z157" s="94" t="s">
        <v>128</v>
      </c>
      <c r="AA157" s="36"/>
      <c r="AB157" s="36"/>
      <c r="AC157" s="111"/>
      <c r="AD157" s="112"/>
      <c r="AE157" s="37"/>
      <c r="AF157" s="97"/>
      <c r="AG157" s="14"/>
      <c r="AH157" s="14"/>
      <c r="AI157" s="14"/>
      <c r="AJ157" s="113"/>
      <c r="AK157" s="105" t="s">
        <v>136</v>
      </c>
      <c r="AM157" s="104" t="s">
        <v>129</v>
      </c>
      <c r="AO157" s="114" t="s">
        <v>130</v>
      </c>
      <c r="AQ157" s="105" t="s">
        <v>131</v>
      </c>
      <c r="AS157" s="105" t="s">
        <v>132</v>
      </c>
      <c r="AU157" s="104" t="s">
        <v>133</v>
      </c>
      <c r="AW157" s="104" t="s">
        <v>134</v>
      </c>
      <c r="AY157" s="104" t="s">
        <v>135</v>
      </c>
      <c r="AZ157" s="24"/>
    </row>
    <row r="158">
      <c r="A158" s="217" t="s">
        <v>237</v>
      </c>
      <c r="B158" s="206"/>
      <c r="C158" s="1"/>
      <c r="D158" s="123"/>
      <c r="E158" s="176" t="s">
        <v>168</v>
      </c>
      <c r="F158" s="88"/>
      <c r="G158" s="207" t="str">
        <f>G5:H5</f>
        <v>อสูรเดือน N</v>
      </c>
      <c r="I158" s="208" t="str">
        <f>I5:J5</f>
        <v>อสูรปี N</v>
      </c>
      <c r="K158" s="36"/>
      <c r="L158" s="117"/>
      <c r="N158" s="117"/>
      <c r="R158" s="117"/>
      <c r="T158" s="117"/>
      <c r="V158" s="117"/>
      <c r="X158" s="117"/>
      <c r="Y158" s="127"/>
      <c r="Z158" s="155"/>
      <c r="AA158" s="36"/>
      <c r="AB158" s="36"/>
      <c r="AC158" s="111"/>
      <c r="AD158" s="112"/>
      <c r="AE158" s="37"/>
      <c r="AF158" s="97"/>
      <c r="AG158" s="14"/>
      <c r="AH158" s="14"/>
      <c r="AI158" s="14"/>
      <c r="AJ158" s="113"/>
      <c r="AK158" s="128"/>
      <c r="AZ158" s="24"/>
    </row>
    <row r="159">
      <c r="A159" s="188" t="s">
        <v>186</v>
      </c>
      <c r="B159" s="189"/>
      <c r="C159" s="63"/>
      <c r="D159" s="63"/>
      <c r="E159" s="225">
        <f>(O160+P160+Q160+R160)/(O161+P161+Q161+R161)</f>
        <v>0.4375</v>
      </c>
      <c r="F159" s="72"/>
      <c r="G159" s="133"/>
      <c r="H159" s="72"/>
      <c r="I159" s="67"/>
      <c r="J159" s="72"/>
      <c r="K159" s="68"/>
      <c r="L159" s="69"/>
      <c r="M159" s="63" t="s">
        <v>64</v>
      </c>
      <c r="N159" s="70"/>
      <c r="O159" s="71" t="s">
        <v>65</v>
      </c>
      <c r="P159" s="72"/>
      <c r="Q159" s="72"/>
      <c r="R159" s="70"/>
      <c r="S159" s="71" t="s">
        <v>66</v>
      </c>
      <c r="T159" s="70"/>
      <c r="U159" s="71" t="s">
        <v>67</v>
      </c>
      <c r="V159" s="70"/>
      <c r="W159" s="71" t="s">
        <v>68</v>
      </c>
      <c r="X159" s="70"/>
      <c r="Y159" s="134" t="s">
        <v>116</v>
      </c>
      <c r="Z159" s="74" t="s">
        <v>140</v>
      </c>
      <c r="AA159" s="75" t="s">
        <v>209</v>
      </c>
      <c r="AB159" s="75" t="s">
        <v>238</v>
      </c>
      <c r="AC159" s="167" t="s">
        <v>173</v>
      </c>
      <c r="AD159" s="74" t="s">
        <v>174</v>
      </c>
      <c r="AE159" s="63" t="s">
        <v>36</v>
      </c>
      <c r="AF159" s="78" t="s">
        <v>34</v>
      </c>
      <c r="AG159" s="79" t="s">
        <v>53</v>
      </c>
      <c r="AH159" s="79">
        <v>30.0</v>
      </c>
      <c r="AI159" s="79" t="s">
        <v>178</v>
      </c>
      <c r="AJ159" s="80" t="str">
        <f>AJ153</f>
        <v>開</v>
      </c>
      <c r="AK159" s="81" t="s">
        <v>48</v>
      </c>
      <c r="AL159" s="82" t="str">
        <f>AL153</f>
        <v>休</v>
      </c>
      <c r="AM159" s="81" t="s">
        <v>50</v>
      </c>
      <c r="AN159" s="82" t="s">
        <v>4</v>
      </c>
      <c r="AO159" s="81" t="s">
        <v>52</v>
      </c>
      <c r="AP159" s="82" t="str">
        <f>AP153</f>
        <v>傷</v>
      </c>
      <c r="AQ159" s="81" t="s">
        <v>38</v>
      </c>
      <c r="AR159" s="82" t="s">
        <v>8</v>
      </c>
      <c r="AS159" s="81" t="s">
        <v>40</v>
      </c>
      <c r="AT159" s="82" t="str">
        <f>AT153</f>
        <v>景</v>
      </c>
      <c r="AU159" s="81" t="s">
        <v>42</v>
      </c>
      <c r="AV159" s="82" t="str">
        <f>AV153</f>
        <v>死</v>
      </c>
      <c r="AW159" s="81" t="s">
        <v>44</v>
      </c>
      <c r="AX159" s="82" t="str">
        <f>AX153</f>
        <v>驚</v>
      </c>
      <c r="AY159" s="81" t="s">
        <v>46</v>
      </c>
      <c r="AZ159" s="83"/>
      <c r="BA159" s="84"/>
      <c r="BB159" s="84"/>
      <c r="BC159" s="84"/>
    </row>
    <row r="160">
      <c r="A160" s="192">
        <f>A154+1</f>
        <v>25</v>
      </c>
      <c r="B160" s="193"/>
      <c r="C160" s="12" t="s">
        <v>249</v>
      </c>
      <c r="E160" s="194" t="s">
        <v>195</v>
      </c>
      <c r="G160" s="273" t="str">
        <f t="shared" ref="G160:G161" si="198">G32:H32</f>
        <v>庚</v>
      </c>
      <c r="I160" s="275" t="str">
        <f t="shared" ref="I160:I161" si="199">I32:J32</f>
        <v>丙</v>
      </c>
      <c r="K160" s="90">
        <f>L160/L161</f>
        <v>0.38</v>
      </c>
      <c r="L160" s="126">
        <f>O160+P160+Q160+U160+V160+W160+X160+R160+M160+N160+S160+T160</f>
        <v>380</v>
      </c>
      <c r="M160" s="92">
        <v>0.0</v>
      </c>
      <c r="N160" s="93">
        <v>0.0</v>
      </c>
      <c r="O160" s="92">
        <v>35.0</v>
      </c>
      <c r="P160" s="92">
        <v>0.0</v>
      </c>
      <c r="Q160" s="92">
        <v>60.0</v>
      </c>
      <c r="R160" s="93">
        <v>80.0</v>
      </c>
      <c r="S160" s="92">
        <v>35.0</v>
      </c>
      <c r="T160" s="93">
        <v>0.0</v>
      </c>
      <c r="U160" s="92">
        <f t="shared" ref="U160:X160" si="197">U32</f>
        <v>0</v>
      </c>
      <c r="V160" s="93">
        <f t="shared" si="197"/>
        <v>0</v>
      </c>
      <c r="W160" s="92">
        <f t="shared" si="197"/>
        <v>110</v>
      </c>
      <c r="X160" s="93">
        <f t="shared" si="197"/>
        <v>60</v>
      </c>
      <c r="Y160" s="73" t="s">
        <v>126</v>
      </c>
      <c r="Z160" s="94" t="s">
        <v>70</v>
      </c>
      <c r="AA160" s="36"/>
      <c r="AB160" s="36"/>
      <c r="AC160" s="170" t="s">
        <v>73</v>
      </c>
      <c r="AD160" s="94" t="s">
        <v>74</v>
      </c>
      <c r="AE160" s="37"/>
      <c r="AF160" s="97"/>
      <c r="AG160" s="12" t="s">
        <v>71</v>
      </c>
      <c r="AH160" s="12">
        <v>210.0</v>
      </c>
      <c r="AI160" s="12" t="s">
        <v>175</v>
      </c>
      <c r="AJ160" s="98" t="s">
        <v>88</v>
      </c>
      <c r="AK160" s="101" t="s">
        <v>89</v>
      </c>
      <c r="AL160" s="100" t="s">
        <v>45</v>
      </c>
      <c r="AM160" s="102" t="s">
        <v>90</v>
      </c>
      <c r="AN160" s="100" t="s">
        <v>43</v>
      </c>
      <c r="AO160" s="101" t="s">
        <v>91</v>
      </c>
      <c r="AP160" s="100" t="s">
        <v>41</v>
      </c>
      <c r="AQ160" s="103" t="s">
        <v>92</v>
      </c>
      <c r="AR160" s="100" t="s">
        <v>39</v>
      </c>
      <c r="AS160" s="99" t="s">
        <v>93</v>
      </c>
      <c r="AT160" s="100" t="s">
        <v>37</v>
      </c>
      <c r="AU160" s="99" t="s">
        <v>94</v>
      </c>
      <c r="AV160" s="100" t="s">
        <v>51</v>
      </c>
      <c r="AW160" s="101" t="s">
        <v>95</v>
      </c>
      <c r="AX160" s="100" t="s">
        <v>86</v>
      </c>
      <c r="AY160" s="99" t="s">
        <v>87</v>
      </c>
      <c r="AZ160" s="24"/>
    </row>
    <row r="161">
      <c r="A161" s="215" t="str">
        <f>G2</f>
        <v>กุมภาพันธ์</v>
      </c>
      <c r="B161" s="193"/>
      <c r="C161" s="161" t="s">
        <v>179</v>
      </c>
      <c r="E161" s="223" t="s">
        <v>202</v>
      </c>
      <c r="G161" s="274" t="str">
        <f t="shared" si="198"/>
        <v>寅</v>
      </c>
      <c r="I161" s="142" t="str">
        <f t="shared" si="199"/>
        <v>午</v>
      </c>
      <c r="K161" s="36"/>
      <c r="L161" s="109">
        <f>O161+P161+Q161+U161+V161+W161+X161+R161+M161+N161+S161+V161</f>
        <v>1000</v>
      </c>
      <c r="M161" s="9">
        <v>0.0</v>
      </c>
      <c r="N161" s="110">
        <v>0.0</v>
      </c>
      <c r="O161" s="9">
        <v>100.0</v>
      </c>
      <c r="P161" s="9">
        <v>100.0</v>
      </c>
      <c r="Q161" s="9">
        <v>100.0</v>
      </c>
      <c r="R161" s="110">
        <v>100.0</v>
      </c>
      <c r="S161" s="9">
        <v>100.0</v>
      </c>
      <c r="T161" s="110">
        <v>100.0</v>
      </c>
      <c r="U161" s="9">
        <v>100.0</v>
      </c>
      <c r="V161" s="110">
        <v>100.0</v>
      </c>
      <c r="W161" s="9">
        <v>100.0</v>
      </c>
      <c r="X161" s="110">
        <v>100.0</v>
      </c>
      <c r="Y161" s="73" t="s">
        <v>69</v>
      </c>
      <c r="Z161" s="94" t="s">
        <v>152</v>
      </c>
      <c r="AA161" s="36"/>
      <c r="AB161" s="36"/>
      <c r="AC161" s="111"/>
      <c r="AD161" s="112"/>
      <c r="AE161" s="37"/>
      <c r="AF161" s="97"/>
      <c r="AG161" s="14"/>
      <c r="AH161" s="14"/>
      <c r="AI161" s="14"/>
      <c r="AJ161" s="113"/>
      <c r="AK161" s="114" t="s">
        <v>101</v>
      </c>
      <c r="AM161" s="105" t="s">
        <v>102</v>
      </c>
      <c r="AO161" s="105" t="s">
        <v>103</v>
      </c>
      <c r="AQ161" s="104" t="s">
        <v>104</v>
      </c>
      <c r="AS161" s="104" t="s">
        <v>105</v>
      </c>
      <c r="AU161" s="104" t="s">
        <v>106</v>
      </c>
      <c r="AW161" s="105" t="s">
        <v>107</v>
      </c>
      <c r="AY161" s="104" t="s">
        <v>100</v>
      </c>
      <c r="AZ161" s="24"/>
    </row>
    <row r="162">
      <c r="A162" s="192">
        <v>2569.0</v>
      </c>
      <c r="B162" s="193"/>
      <c r="E162" s="115" t="s">
        <v>112</v>
      </c>
      <c r="F162" s="116" t="s">
        <v>111</v>
      </c>
      <c r="G162" s="115" t="str">
        <f t="shared" ref="G162:J162" si="200">G34</f>
        <v>A10</v>
      </c>
      <c r="H162" s="9" t="str">
        <f t="shared" si="200"/>
        <v>B7</v>
      </c>
      <c r="I162" s="9" t="str">
        <f t="shared" si="200"/>
        <v>A5</v>
      </c>
      <c r="J162" s="9" t="str">
        <f t="shared" si="200"/>
        <v>B11</v>
      </c>
      <c r="K162" s="36"/>
      <c r="L162" s="117"/>
      <c r="M162" s="118" t="str">
        <f t="shared" ref="M162:P162" si="201">C162</f>
        <v/>
      </c>
      <c r="N162" s="119" t="str">
        <f t="shared" si="201"/>
        <v/>
      </c>
      <c r="O162" s="118" t="str">
        <f t="shared" si="201"/>
        <v>A2</v>
      </c>
      <c r="P162" s="118" t="str">
        <f t="shared" si="201"/>
        <v>B7</v>
      </c>
      <c r="Q162" s="118" t="str">
        <f t="shared" ref="Q162:R162" si="202">E163</f>
        <v>B11</v>
      </c>
      <c r="R162" s="119" t="str">
        <f t="shared" si="202"/>
        <v>C5</v>
      </c>
      <c r="S162" s="9" t="s">
        <v>112</v>
      </c>
      <c r="T162" s="110" t="s">
        <v>114</v>
      </c>
      <c r="U162" s="9" t="str">
        <f t="shared" ref="U162:X162" si="203">G162</f>
        <v>A10</v>
      </c>
      <c r="V162" s="119" t="str">
        <f t="shared" si="203"/>
        <v>B7</v>
      </c>
      <c r="W162" s="118" t="str">
        <f t="shared" si="203"/>
        <v>A5</v>
      </c>
      <c r="X162" s="120" t="str">
        <f t="shared" si="203"/>
        <v>B11</v>
      </c>
      <c r="Y162" s="73" t="s">
        <v>80</v>
      </c>
      <c r="Z162" s="94" t="s">
        <v>153</v>
      </c>
      <c r="AA162" s="36"/>
      <c r="AB162" s="36"/>
      <c r="AC162" s="111"/>
      <c r="AD162" s="112"/>
      <c r="AE162" s="37"/>
      <c r="AF162" s="97"/>
      <c r="AG162" s="14"/>
      <c r="AH162" s="14"/>
      <c r="AI162" s="14"/>
      <c r="AJ162" s="113"/>
      <c r="AK162" s="114" t="s">
        <v>119</v>
      </c>
      <c r="AM162" s="105" t="s">
        <v>120</v>
      </c>
      <c r="AO162" s="105" t="s">
        <v>121</v>
      </c>
      <c r="AQ162" s="104" t="s">
        <v>122</v>
      </c>
      <c r="AS162" s="104" t="s">
        <v>123</v>
      </c>
      <c r="AU162" s="104" t="s">
        <v>124</v>
      </c>
      <c r="AW162" s="105" t="s">
        <v>125</v>
      </c>
      <c r="AY162" s="104" t="s">
        <v>118</v>
      </c>
      <c r="AZ162" s="24"/>
    </row>
    <row r="163">
      <c r="A163" s="192">
        <f>A162-543</f>
        <v>2026</v>
      </c>
      <c r="B163" s="193"/>
      <c r="C163" s="163" t="s">
        <v>320</v>
      </c>
      <c r="E163" s="115" t="s">
        <v>214</v>
      </c>
      <c r="F163" s="116" t="s">
        <v>205</v>
      </c>
      <c r="G163" s="115"/>
      <c r="H163" s="118"/>
      <c r="I163" s="118"/>
      <c r="J163" s="118"/>
      <c r="K163" s="36"/>
      <c r="L163" s="117"/>
      <c r="N163" s="117"/>
      <c r="R163" s="117"/>
      <c r="T163" s="117"/>
      <c r="V163" s="117"/>
      <c r="X163" s="117"/>
      <c r="Y163" s="73" t="s">
        <v>98</v>
      </c>
      <c r="Z163" s="94" t="s">
        <v>155</v>
      </c>
      <c r="AA163" s="36"/>
      <c r="AB163" s="36"/>
      <c r="AC163" s="111"/>
      <c r="AD163" s="112"/>
      <c r="AE163" s="37"/>
      <c r="AF163" s="97"/>
      <c r="AG163" s="14"/>
      <c r="AH163" s="14"/>
      <c r="AI163" s="14"/>
      <c r="AJ163" s="113"/>
      <c r="AK163" s="114" t="s">
        <v>130</v>
      </c>
      <c r="AM163" s="105" t="s">
        <v>131</v>
      </c>
      <c r="AO163" s="105" t="s">
        <v>132</v>
      </c>
      <c r="AQ163" s="104" t="s">
        <v>133</v>
      </c>
      <c r="AS163" s="104" t="s">
        <v>134</v>
      </c>
      <c r="AU163" s="104" t="s">
        <v>135</v>
      </c>
      <c r="AW163" s="105" t="s">
        <v>136</v>
      </c>
      <c r="AY163" s="104" t="s">
        <v>129</v>
      </c>
      <c r="AZ163" s="24"/>
    </row>
    <row r="164">
      <c r="A164" s="113"/>
      <c r="B164" s="206"/>
      <c r="C164" s="1"/>
      <c r="D164" s="123"/>
      <c r="E164" s="176" t="s">
        <v>185</v>
      </c>
      <c r="F164" s="88"/>
      <c r="G164" s="207" t="str">
        <f>G5:H5</f>
        <v>อสูรเดือน N</v>
      </c>
      <c r="I164" s="208" t="str">
        <f>I5:J5</f>
        <v>อสูรปี N</v>
      </c>
      <c r="K164" s="36"/>
      <c r="L164" s="117"/>
      <c r="N164" s="117"/>
      <c r="R164" s="117"/>
      <c r="T164" s="117"/>
      <c r="V164" s="117"/>
      <c r="X164" s="117"/>
      <c r="Y164" s="233"/>
      <c r="Z164" s="234"/>
      <c r="AA164" s="36"/>
      <c r="AB164" s="36"/>
      <c r="AC164" s="111"/>
      <c r="AD164" s="112"/>
      <c r="AE164" s="37"/>
      <c r="AF164" s="97"/>
      <c r="AG164" s="14"/>
      <c r="AH164" s="14"/>
      <c r="AI164" s="14"/>
      <c r="AJ164" s="113"/>
      <c r="AU164" s="128"/>
      <c r="AZ164" s="24"/>
    </row>
    <row r="165">
      <c r="A165" s="188" t="s">
        <v>191</v>
      </c>
      <c r="B165" s="189"/>
      <c r="C165" s="63"/>
      <c r="D165" s="63"/>
      <c r="E165" s="225">
        <f>(O166+P166+Q166+R166)/(O167+P167+Q167+R167)</f>
        <v>0.6</v>
      </c>
      <c r="F165" s="72"/>
      <c r="G165" s="133"/>
      <c r="H165" s="72"/>
      <c r="I165" s="67"/>
      <c r="J165" s="72"/>
      <c r="K165" s="68"/>
      <c r="L165" s="69"/>
      <c r="M165" s="63" t="s">
        <v>64</v>
      </c>
      <c r="N165" s="70"/>
      <c r="O165" s="71" t="s">
        <v>65</v>
      </c>
      <c r="P165" s="72"/>
      <c r="Q165" s="72"/>
      <c r="R165" s="70"/>
      <c r="S165" s="71" t="s">
        <v>66</v>
      </c>
      <c r="T165" s="70"/>
      <c r="U165" s="71" t="s">
        <v>67</v>
      </c>
      <c r="V165" s="70"/>
      <c r="W165" s="71" t="s">
        <v>68</v>
      </c>
      <c r="X165" s="70"/>
      <c r="Y165" s="134" t="s">
        <v>116</v>
      </c>
      <c r="Z165" s="74" t="s">
        <v>159</v>
      </c>
      <c r="AA165" s="75" t="s">
        <v>31</v>
      </c>
      <c r="AB165" s="75" t="s">
        <v>141</v>
      </c>
      <c r="AC165" s="167" t="s">
        <v>173</v>
      </c>
      <c r="AD165" s="74" t="s">
        <v>174</v>
      </c>
      <c r="AE165" s="63" t="s">
        <v>36</v>
      </c>
      <c r="AF165" s="78" t="s">
        <v>75</v>
      </c>
      <c r="AG165" s="79" t="s">
        <v>180</v>
      </c>
      <c r="AH165" s="79">
        <v>60.0</v>
      </c>
      <c r="AI165" s="79" t="s">
        <v>200</v>
      </c>
      <c r="AJ165" s="80" t="str">
        <f>AJ159</f>
        <v>開</v>
      </c>
      <c r="AK165" s="81" t="s">
        <v>48</v>
      </c>
      <c r="AL165" s="82" t="str">
        <f>AL159</f>
        <v>休</v>
      </c>
      <c r="AM165" s="81" t="s">
        <v>50</v>
      </c>
      <c r="AN165" s="82" t="s">
        <v>4</v>
      </c>
      <c r="AO165" s="81" t="s">
        <v>52</v>
      </c>
      <c r="AP165" s="82" t="str">
        <f>AP159</f>
        <v>傷</v>
      </c>
      <c r="AQ165" s="81" t="s">
        <v>38</v>
      </c>
      <c r="AR165" s="82" t="s">
        <v>8</v>
      </c>
      <c r="AS165" s="81" t="s">
        <v>40</v>
      </c>
      <c r="AT165" s="82" t="str">
        <f>AT159</f>
        <v>景</v>
      </c>
      <c r="AU165" s="81" t="s">
        <v>42</v>
      </c>
      <c r="AV165" s="82" t="str">
        <f>AV159</f>
        <v>死</v>
      </c>
      <c r="AW165" s="81" t="s">
        <v>44</v>
      </c>
      <c r="AX165" s="82" t="str">
        <f>AX159</f>
        <v>驚</v>
      </c>
      <c r="AY165" s="81" t="s">
        <v>46</v>
      </c>
      <c r="AZ165" s="83"/>
      <c r="BA165" s="84"/>
      <c r="BB165" s="84"/>
      <c r="BC165" s="84"/>
    </row>
    <row r="166">
      <c r="A166" s="192">
        <f>A160+1</f>
        <v>26</v>
      </c>
      <c r="B166" s="193"/>
      <c r="C166" s="12" t="s">
        <v>248</v>
      </c>
      <c r="E166" s="199" t="s">
        <v>201</v>
      </c>
      <c r="G166" s="273" t="str">
        <f t="shared" ref="G166:G167" si="205">G32:H32</f>
        <v>庚</v>
      </c>
      <c r="I166" s="275" t="str">
        <f t="shared" ref="I166:I167" si="206">I32:J32</f>
        <v>丙</v>
      </c>
      <c r="K166" s="90">
        <f>L166/L167</f>
        <v>0.57</v>
      </c>
      <c r="L166" s="126">
        <f t="shared" ref="L166:L167" si="207">O166+P166+Q166+U166+V166+W166+X166+R166+M166+N166+S166+T166</f>
        <v>570</v>
      </c>
      <c r="M166" s="92">
        <v>0.0</v>
      </c>
      <c r="N166" s="93">
        <v>0.0</v>
      </c>
      <c r="O166" s="92">
        <v>30.0</v>
      </c>
      <c r="P166" s="92">
        <v>90.0</v>
      </c>
      <c r="Q166" s="92">
        <v>40.0</v>
      </c>
      <c r="R166" s="93">
        <v>80.0</v>
      </c>
      <c r="S166" s="92">
        <v>95.0</v>
      </c>
      <c r="T166" s="93">
        <v>65.0</v>
      </c>
      <c r="U166" s="92">
        <f t="shared" ref="U166:X166" si="204">U32</f>
        <v>0</v>
      </c>
      <c r="V166" s="93">
        <f t="shared" si="204"/>
        <v>0</v>
      </c>
      <c r="W166" s="92">
        <f t="shared" si="204"/>
        <v>110</v>
      </c>
      <c r="X166" s="93">
        <f t="shared" si="204"/>
        <v>60</v>
      </c>
      <c r="Y166" s="73" t="s">
        <v>126</v>
      </c>
      <c r="Z166" s="94" t="s">
        <v>152</v>
      </c>
      <c r="AA166" s="36"/>
      <c r="AB166" s="169"/>
      <c r="AC166" s="170" t="s">
        <v>73</v>
      </c>
      <c r="AD166" s="94" t="s">
        <v>74</v>
      </c>
      <c r="AE166" s="37"/>
      <c r="AF166" s="97"/>
      <c r="AG166" s="12" t="s">
        <v>202</v>
      </c>
      <c r="AH166" s="12">
        <v>180.0</v>
      </c>
      <c r="AI166" s="12" t="s">
        <v>203</v>
      </c>
      <c r="AJ166" s="98" t="s">
        <v>51</v>
      </c>
      <c r="AK166" s="101" t="s">
        <v>95</v>
      </c>
      <c r="AL166" s="100" t="s">
        <v>86</v>
      </c>
      <c r="AM166" s="99" t="s">
        <v>87</v>
      </c>
      <c r="AN166" s="100" t="s">
        <v>88</v>
      </c>
      <c r="AO166" s="101" t="s">
        <v>89</v>
      </c>
      <c r="AP166" s="100" t="s">
        <v>45</v>
      </c>
      <c r="AQ166" s="102" t="s">
        <v>90</v>
      </c>
      <c r="AR166" s="100" t="s">
        <v>43</v>
      </c>
      <c r="AS166" s="101" t="s">
        <v>91</v>
      </c>
      <c r="AT166" s="100" t="s">
        <v>41</v>
      </c>
      <c r="AU166" s="103" t="s">
        <v>92</v>
      </c>
      <c r="AV166" s="100" t="s">
        <v>39</v>
      </c>
      <c r="AW166" s="99" t="s">
        <v>93</v>
      </c>
      <c r="AX166" s="100" t="s">
        <v>37</v>
      </c>
      <c r="AY166" s="99" t="s">
        <v>94</v>
      </c>
      <c r="AZ166" s="24"/>
    </row>
    <row r="167">
      <c r="A167" s="215" t="str">
        <f>G2</f>
        <v>กุมภาพันธ์</v>
      </c>
      <c r="B167" s="193"/>
      <c r="C167" s="175" t="s">
        <v>188</v>
      </c>
      <c r="E167" s="162" t="s">
        <v>71</v>
      </c>
      <c r="G167" s="274" t="str">
        <f t="shared" si="205"/>
        <v>寅</v>
      </c>
      <c r="I167" s="35" t="str">
        <f t="shared" si="206"/>
        <v>午</v>
      </c>
      <c r="K167" s="36"/>
      <c r="L167" s="109">
        <f t="shared" si="207"/>
        <v>1000</v>
      </c>
      <c r="M167" s="9">
        <v>0.0</v>
      </c>
      <c r="N167" s="110">
        <v>0.0</v>
      </c>
      <c r="O167" s="9">
        <v>100.0</v>
      </c>
      <c r="P167" s="9">
        <v>100.0</v>
      </c>
      <c r="Q167" s="9">
        <v>100.0</v>
      </c>
      <c r="R167" s="110">
        <v>100.0</v>
      </c>
      <c r="S167" s="9">
        <v>100.0</v>
      </c>
      <c r="T167" s="110">
        <v>100.0</v>
      </c>
      <c r="U167" s="9">
        <v>100.0</v>
      </c>
      <c r="V167" s="110">
        <v>100.0</v>
      </c>
      <c r="W167" s="9">
        <v>100.0</v>
      </c>
      <c r="X167" s="110">
        <v>100.0</v>
      </c>
      <c r="Y167" s="73" t="s">
        <v>69</v>
      </c>
      <c r="Z167" s="94" t="s">
        <v>163</v>
      </c>
      <c r="AA167" s="36"/>
      <c r="AB167" s="36"/>
      <c r="AC167" s="111"/>
      <c r="AD167" s="112"/>
      <c r="AE167" s="37"/>
      <c r="AF167" s="97"/>
      <c r="AG167" s="14"/>
      <c r="AH167" s="14"/>
      <c r="AI167" s="14"/>
      <c r="AJ167" s="113"/>
      <c r="AK167" s="105" t="s">
        <v>107</v>
      </c>
      <c r="AM167" s="104" t="s">
        <v>100</v>
      </c>
      <c r="AO167" s="114" t="s">
        <v>101</v>
      </c>
      <c r="AQ167" s="105" t="s">
        <v>102</v>
      </c>
      <c r="AS167" s="105" t="s">
        <v>103</v>
      </c>
      <c r="AU167" s="104" t="s">
        <v>104</v>
      </c>
      <c r="AW167" s="104" t="s">
        <v>105</v>
      </c>
      <c r="AY167" s="104" t="s">
        <v>106</v>
      </c>
      <c r="AZ167" s="24"/>
    </row>
    <row r="168">
      <c r="A168" s="192">
        <v>2569.0</v>
      </c>
      <c r="B168" s="193"/>
      <c r="E168" s="115" t="s">
        <v>198</v>
      </c>
      <c r="F168" s="116" t="s">
        <v>69</v>
      </c>
      <c r="G168" s="115" t="str">
        <f t="shared" ref="G168:J168" si="208">G34</f>
        <v>A10</v>
      </c>
      <c r="H168" s="9" t="str">
        <f t="shared" si="208"/>
        <v>B7</v>
      </c>
      <c r="I168" s="9" t="str">
        <f t="shared" si="208"/>
        <v>A5</v>
      </c>
      <c r="J168" s="9" t="str">
        <f t="shared" si="208"/>
        <v>B11</v>
      </c>
      <c r="K168" s="36"/>
      <c r="L168" s="117"/>
      <c r="M168" s="118" t="str">
        <f t="shared" ref="M168:P168" si="209">C168</f>
        <v/>
      </c>
      <c r="N168" s="119" t="str">
        <f t="shared" si="209"/>
        <v/>
      </c>
      <c r="O168" s="118" t="str">
        <f t="shared" si="209"/>
        <v>A6</v>
      </c>
      <c r="P168" s="118" t="str">
        <f t="shared" si="209"/>
        <v>B8</v>
      </c>
      <c r="Q168" s="118" t="str">
        <f t="shared" ref="Q168:R168" si="210">E169</f>
        <v>B10</v>
      </c>
      <c r="R168" s="119" t="str">
        <f t="shared" si="210"/>
        <v>C6</v>
      </c>
      <c r="S168" s="9" t="s">
        <v>219</v>
      </c>
      <c r="T168" s="110" t="s">
        <v>110</v>
      </c>
      <c r="U168" s="9" t="str">
        <f t="shared" ref="U168:X168" si="211">G168</f>
        <v>A10</v>
      </c>
      <c r="V168" s="119" t="str">
        <f t="shared" si="211"/>
        <v>B7</v>
      </c>
      <c r="W168" s="118" t="str">
        <f t="shared" si="211"/>
        <v>A5</v>
      </c>
      <c r="X168" s="120" t="str">
        <f t="shared" si="211"/>
        <v>B11</v>
      </c>
      <c r="Y168" s="73" t="s">
        <v>80</v>
      </c>
      <c r="Z168" s="94" t="s">
        <v>117</v>
      </c>
      <c r="AA168" s="36"/>
      <c r="AB168" s="36"/>
      <c r="AC168" s="111"/>
      <c r="AD168" s="112"/>
      <c r="AE168" s="37"/>
      <c r="AF168" s="97"/>
      <c r="AG168" s="14"/>
      <c r="AH168" s="14"/>
      <c r="AI168" s="14"/>
      <c r="AJ168" s="113"/>
      <c r="AK168" s="105" t="s">
        <v>125</v>
      </c>
      <c r="AM168" s="104" t="s">
        <v>118</v>
      </c>
      <c r="AO168" s="114" t="s">
        <v>119</v>
      </c>
      <c r="AQ168" s="105" t="s">
        <v>120</v>
      </c>
      <c r="AS168" s="105" t="s">
        <v>121</v>
      </c>
      <c r="AU168" s="104" t="s">
        <v>122</v>
      </c>
      <c r="AW168" s="104" t="s">
        <v>123</v>
      </c>
      <c r="AY168" s="104" t="s">
        <v>124</v>
      </c>
      <c r="AZ168" s="24"/>
    </row>
    <row r="169">
      <c r="A169" s="192">
        <f>A168-543</f>
        <v>2026</v>
      </c>
      <c r="B169" s="193"/>
      <c r="E169" s="115" t="s">
        <v>218</v>
      </c>
      <c r="F169" s="116" t="s">
        <v>215</v>
      </c>
      <c r="G169" s="115"/>
      <c r="H169" s="118"/>
      <c r="I169" s="118"/>
      <c r="J169" s="118"/>
      <c r="K169" s="36"/>
      <c r="L169" s="117"/>
      <c r="N169" s="117"/>
      <c r="R169" s="117"/>
      <c r="T169" s="117"/>
      <c r="V169" s="117"/>
      <c r="X169" s="117"/>
      <c r="Y169" s="73" t="s">
        <v>98</v>
      </c>
      <c r="Z169" s="94" t="s">
        <v>128</v>
      </c>
      <c r="AA169" s="36"/>
      <c r="AB169" s="36"/>
      <c r="AC169" s="111"/>
      <c r="AD169" s="112"/>
      <c r="AE169" s="37"/>
      <c r="AF169" s="97"/>
      <c r="AG169" s="14"/>
      <c r="AH169" s="14"/>
      <c r="AI169" s="14"/>
      <c r="AJ169" s="113"/>
      <c r="AK169" s="105" t="s">
        <v>136</v>
      </c>
      <c r="AM169" s="104" t="s">
        <v>129</v>
      </c>
      <c r="AO169" s="114" t="s">
        <v>130</v>
      </c>
      <c r="AQ169" s="105" t="s">
        <v>131</v>
      </c>
      <c r="AS169" s="105" t="s">
        <v>132</v>
      </c>
      <c r="AU169" s="104" t="s">
        <v>133</v>
      </c>
      <c r="AW169" s="104" t="s">
        <v>134</v>
      </c>
      <c r="AY169" s="104" t="s">
        <v>135</v>
      </c>
      <c r="AZ169" s="24"/>
    </row>
    <row r="170">
      <c r="A170" s="205"/>
      <c r="B170" s="206"/>
      <c r="C170" s="1"/>
      <c r="D170" s="123"/>
      <c r="E170" s="164" t="s">
        <v>137</v>
      </c>
      <c r="F170" s="88"/>
      <c r="G170" s="207" t="str">
        <f>G5:H5</f>
        <v>อสูรเดือน N</v>
      </c>
      <c r="I170" s="208" t="str">
        <f>I5:J5</f>
        <v>อสูรปี N</v>
      </c>
      <c r="K170" s="36"/>
      <c r="L170" s="117"/>
      <c r="N170" s="117"/>
      <c r="R170" s="117"/>
      <c r="T170" s="117"/>
      <c r="V170" s="117"/>
      <c r="X170" s="117"/>
      <c r="Y170" s="233"/>
      <c r="Z170" s="234"/>
      <c r="AA170" s="36"/>
      <c r="AB170" s="36"/>
      <c r="AC170" s="111"/>
      <c r="AD170" s="112"/>
      <c r="AE170" s="37"/>
      <c r="AF170" s="97"/>
      <c r="AG170" s="14"/>
      <c r="AH170" s="14"/>
      <c r="AI170" s="14"/>
      <c r="AJ170" s="113"/>
      <c r="AU170" s="128"/>
      <c r="AZ170" s="24"/>
    </row>
    <row r="171">
      <c r="A171" s="188" t="s">
        <v>199</v>
      </c>
      <c r="B171" s="189"/>
      <c r="C171" s="63"/>
      <c r="D171" s="63"/>
      <c r="E171" s="225">
        <f>(O172+P172+Q172+R172)/(O173+P173+Q173+R173)</f>
        <v>0.475</v>
      </c>
      <c r="F171" s="72"/>
      <c r="G171" s="133"/>
      <c r="H171" s="72"/>
      <c r="I171" s="67"/>
      <c r="J171" s="72"/>
      <c r="K171" s="68"/>
      <c r="L171" s="69"/>
      <c r="M171" s="63" t="s">
        <v>64</v>
      </c>
      <c r="N171" s="70"/>
      <c r="O171" s="71" t="s">
        <v>65</v>
      </c>
      <c r="P171" s="72"/>
      <c r="Q171" s="72"/>
      <c r="R171" s="70"/>
      <c r="S171" s="71" t="s">
        <v>66</v>
      </c>
      <c r="T171" s="70"/>
      <c r="U171" s="71" t="s">
        <v>67</v>
      </c>
      <c r="V171" s="70"/>
      <c r="W171" s="71" t="s">
        <v>68</v>
      </c>
      <c r="X171" s="70"/>
      <c r="Y171" s="134" t="s">
        <v>80</v>
      </c>
      <c r="Z171" s="74" t="s">
        <v>170</v>
      </c>
      <c r="AA171" s="75" t="s">
        <v>202</v>
      </c>
      <c r="AB171" s="75" t="s">
        <v>226</v>
      </c>
      <c r="AC171" s="190" t="s">
        <v>173</v>
      </c>
      <c r="AD171" s="77" t="s">
        <v>193</v>
      </c>
      <c r="AE171" s="63" t="s">
        <v>144</v>
      </c>
      <c r="AF171" s="78" t="s">
        <v>144</v>
      </c>
      <c r="AG171" s="79" t="s">
        <v>189</v>
      </c>
      <c r="AH171" s="79">
        <v>90.0</v>
      </c>
      <c r="AI171" s="79" t="s">
        <v>208</v>
      </c>
      <c r="AJ171" s="80" t="str">
        <f>AJ165</f>
        <v>開</v>
      </c>
      <c r="AK171" s="81" t="s">
        <v>50</v>
      </c>
      <c r="AL171" s="82" t="str">
        <f>AL165</f>
        <v>休</v>
      </c>
      <c r="AM171" s="81" t="s">
        <v>52</v>
      </c>
      <c r="AN171" s="82" t="s">
        <v>4</v>
      </c>
      <c r="AO171" s="81" t="s">
        <v>38</v>
      </c>
      <c r="AP171" s="82" t="str">
        <f>AP165</f>
        <v>傷</v>
      </c>
      <c r="AQ171" s="81" t="s">
        <v>40</v>
      </c>
      <c r="AR171" s="82" t="s">
        <v>8</v>
      </c>
      <c r="AS171" s="81" t="s">
        <v>42</v>
      </c>
      <c r="AT171" s="82" t="str">
        <f>AT165</f>
        <v>景</v>
      </c>
      <c r="AU171" s="81" t="s">
        <v>44</v>
      </c>
      <c r="AV171" s="82" t="str">
        <f>AV165</f>
        <v>死</v>
      </c>
      <c r="AW171" s="81" t="s">
        <v>46</v>
      </c>
      <c r="AX171" s="82" t="str">
        <f>AX165</f>
        <v>驚</v>
      </c>
      <c r="AY171" s="81" t="s">
        <v>48</v>
      </c>
      <c r="AZ171" s="83"/>
      <c r="BA171" s="84"/>
      <c r="BB171" s="84"/>
      <c r="BC171" s="84"/>
    </row>
    <row r="172">
      <c r="A172" s="192">
        <f>A166+1</f>
        <v>27</v>
      </c>
      <c r="B172" s="193"/>
      <c r="C172" s="12" t="s">
        <v>176</v>
      </c>
      <c r="E172" s="203" t="s">
        <v>209</v>
      </c>
      <c r="G172" s="273" t="str">
        <f t="shared" ref="G172:G173" si="213">G32:H32</f>
        <v>庚</v>
      </c>
      <c r="I172" s="275" t="str">
        <f t="shared" ref="I172:I173" si="214">I32:J32</f>
        <v>丙</v>
      </c>
      <c r="K172" s="90">
        <f>L172/L173</f>
        <v>0.48</v>
      </c>
      <c r="L172" s="126">
        <f t="shared" ref="L172:L173" si="215">O172+P172+Q172+U172+V172+W172+X172+R172+M172+N172+S172+T172</f>
        <v>480</v>
      </c>
      <c r="M172" s="92">
        <v>0.0</v>
      </c>
      <c r="N172" s="93">
        <v>0.0</v>
      </c>
      <c r="O172" s="92">
        <v>80.0</v>
      </c>
      <c r="P172" s="92">
        <v>50.0</v>
      </c>
      <c r="Q172" s="92">
        <v>50.0</v>
      </c>
      <c r="R172" s="93">
        <v>10.0</v>
      </c>
      <c r="S172" s="92">
        <v>100.0</v>
      </c>
      <c r="T172" s="93">
        <v>20.0</v>
      </c>
      <c r="U172" s="92">
        <f t="shared" ref="U172:X172" si="212">U32</f>
        <v>0</v>
      </c>
      <c r="V172" s="93">
        <f t="shared" si="212"/>
        <v>0</v>
      </c>
      <c r="W172" s="92">
        <f t="shared" si="212"/>
        <v>110</v>
      </c>
      <c r="X172" s="93">
        <f t="shared" si="212"/>
        <v>60</v>
      </c>
      <c r="Y172" s="73" t="s">
        <v>98</v>
      </c>
      <c r="Z172" s="94" t="s">
        <v>70</v>
      </c>
      <c r="AA172" s="36"/>
      <c r="AB172" s="29" t="s">
        <v>227</v>
      </c>
      <c r="AC172" s="195" t="s">
        <v>196</v>
      </c>
      <c r="AD172" s="96" t="s">
        <v>149</v>
      </c>
      <c r="AE172" s="37"/>
      <c r="AF172" s="97"/>
      <c r="AG172" s="12" t="s">
        <v>54</v>
      </c>
      <c r="AH172" s="12">
        <v>150.0</v>
      </c>
      <c r="AI172" s="12" t="s">
        <v>210</v>
      </c>
      <c r="AJ172" s="98" t="s">
        <v>88</v>
      </c>
      <c r="AK172" s="101" t="s">
        <v>89</v>
      </c>
      <c r="AL172" s="100" t="s">
        <v>45</v>
      </c>
      <c r="AM172" s="102" t="s">
        <v>90</v>
      </c>
      <c r="AN172" s="100" t="s">
        <v>43</v>
      </c>
      <c r="AO172" s="101" t="s">
        <v>91</v>
      </c>
      <c r="AP172" s="100" t="s">
        <v>41</v>
      </c>
      <c r="AQ172" s="103" t="s">
        <v>92</v>
      </c>
      <c r="AR172" s="100" t="s">
        <v>39</v>
      </c>
      <c r="AS172" s="99" t="s">
        <v>93</v>
      </c>
      <c r="AT172" s="100" t="s">
        <v>37</v>
      </c>
      <c r="AU172" s="99" t="s">
        <v>94</v>
      </c>
      <c r="AV172" s="100" t="s">
        <v>51</v>
      </c>
      <c r="AW172" s="101" t="s">
        <v>95</v>
      </c>
      <c r="AX172" s="100" t="s">
        <v>86</v>
      </c>
      <c r="AY172" s="99" t="s">
        <v>87</v>
      </c>
      <c r="AZ172" s="24"/>
    </row>
    <row r="173">
      <c r="A173" s="215" t="str">
        <f>G2</f>
        <v>กุมภาพันธ์</v>
      </c>
      <c r="B173" s="193"/>
      <c r="C173" s="175" t="s">
        <v>211</v>
      </c>
      <c r="E173" s="209" t="s">
        <v>76</v>
      </c>
      <c r="G173" s="274" t="str">
        <f t="shared" si="213"/>
        <v>寅</v>
      </c>
      <c r="I173" s="142" t="str">
        <f t="shared" si="214"/>
        <v>午</v>
      </c>
      <c r="K173" s="36"/>
      <c r="L173" s="109">
        <f t="shared" si="215"/>
        <v>1000</v>
      </c>
      <c r="M173" s="9">
        <v>0.0</v>
      </c>
      <c r="N173" s="110">
        <v>0.0</v>
      </c>
      <c r="O173" s="9">
        <v>100.0</v>
      </c>
      <c r="P173" s="9">
        <v>100.0</v>
      </c>
      <c r="Q173" s="9">
        <v>100.0</v>
      </c>
      <c r="R173" s="110">
        <v>100.0</v>
      </c>
      <c r="S173" s="9">
        <v>100.0</v>
      </c>
      <c r="T173" s="110">
        <v>100.0</v>
      </c>
      <c r="U173" s="9">
        <v>100.0</v>
      </c>
      <c r="V173" s="110">
        <v>100.0</v>
      </c>
      <c r="W173" s="9">
        <v>100.0</v>
      </c>
      <c r="X173" s="110">
        <v>100.0</v>
      </c>
      <c r="Y173" s="73" t="s">
        <v>116</v>
      </c>
      <c r="Z173" s="94" t="s">
        <v>181</v>
      </c>
      <c r="AA173" s="36"/>
      <c r="AB173" s="36"/>
      <c r="AC173" s="111"/>
      <c r="AD173" s="112"/>
      <c r="AE173" s="37"/>
      <c r="AF173" s="97"/>
      <c r="AG173" s="14"/>
      <c r="AH173" s="14"/>
      <c r="AI173" s="14"/>
      <c r="AJ173" s="113"/>
      <c r="AK173" s="114" t="s">
        <v>101</v>
      </c>
      <c r="AM173" s="105" t="s">
        <v>102</v>
      </c>
      <c r="AO173" s="105" t="s">
        <v>103</v>
      </c>
      <c r="AQ173" s="104" t="s">
        <v>104</v>
      </c>
      <c r="AS173" s="104" t="s">
        <v>105</v>
      </c>
      <c r="AU173" s="104" t="s">
        <v>106</v>
      </c>
      <c r="AW173" s="105" t="s">
        <v>107</v>
      </c>
      <c r="AY173" s="104" t="s">
        <v>100</v>
      </c>
      <c r="AZ173" s="24"/>
    </row>
    <row r="174">
      <c r="A174" s="192">
        <v>2569.0</v>
      </c>
      <c r="B174" s="193"/>
      <c r="E174" s="115" t="s">
        <v>182</v>
      </c>
      <c r="F174" s="116" t="s">
        <v>212</v>
      </c>
      <c r="G174" s="115" t="str">
        <f t="shared" ref="G174:J174" si="216">G34</f>
        <v>A10</v>
      </c>
      <c r="H174" s="9" t="str">
        <f t="shared" si="216"/>
        <v>B7</v>
      </c>
      <c r="I174" s="9" t="str">
        <f t="shared" si="216"/>
        <v>A5</v>
      </c>
      <c r="J174" s="9" t="str">
        <f t="shared" si="216"/>
        <v>B11</v>
      </c>
      <c r="K174" s="36"/>
      <c r="L174" s="117"/>
      <c r="M174" s="118" t="str">
        <f t="shared" ref="M174:P174" si="217">C174</f>
        <v/>
      </c>
      <c r="N174" s="119" t="str">
        <f t="shared" si="217"/>
        <v/>
      </c>
      <c r="O174" s="118" t="str">
        <f t="shared" si="217"/>
        <v>A1</v>
      </c>
      <c r="P174" s="118" t="str">
        <f t="shared" si="217"/>
        <v>B9</v>
      </c>
      <c r="Q174" s="118" t="str">
        <f t="shared" ref="Q174:R174" si="218">E175</f>
        <v>B9</v>
      </c>
      <c r="R174" s="119" t="str">
        <f t="shared" si="218"/>
        <v>C7</v>
      </c>
      <c r="S174" s="9" t="s">
        <v>213</v>
      </c>
      <c r="T174" s="110" t="s">
        <v>115</v>
      </c>
      <c r="U174" s="9" t="str">
        <f t="shared" ref="U174:X174" si="219">G174</f>
        <v>A10</v>
      </c>
      <c r="V174" s="119" t="str">
        <f t="shared" si="219"/>
        <v>B7</v>
      </c>
      <c r="W174" s="118" t="str">
        <f t="shared" si="219"/>
        <v>A5</v>
      </c>
      <c r="X174" s="120" t="str">
        <f t="shared" si="219"/>
        <v>B11</v>
      </c>
      <c r="Y174" s="73" t="s">
        <v>126</v>
      </c>
      <c r="Z174" s="94" t="s">
        <v>163</v>
      </c>
      <c r="AA174" s="36"/>
      <c r="AB174" s="36"/>
      <c r="AC174" s="111"/>
      <c r="AD174" s="112"/>
      <c r="AE174" s="37"/>
      <c r="AF174" s="97"/>
      <c r="AG174" s="14"/>
      <c r="AH174" s="14"/>
      <c r="AI174" s="14"/>
      <c r="AJ174" s="113"/>
      <c r="AK174" s="114" t="s">
        <v>119</v>
      </c>
      <c r="AM174" s="105" t="s">
        <v>120</v>
      </c>
      <c r="AO174" s="105" t="s">
        <v>121</v>
      </c>
      <c r="AQ174" s="104" t="s">
        <v>122</v>
      </c>
      <c r="AS174" s="104" t="s">
        <v>123</v>
      </c>
      <c r="AU174" s="104" t="s">
        <v>124</v>
      </c>
      <c r="AW174" s="105" t="s">
        <v>125</v>
      </c>
      <c r="AY174" s="104" t="s">
        <v>118</v>
      </c>
      <c r="AZ174" s="24"/>
    </row>
    <row r="175">
      <c r="A175" s="192">
        <f>A174-543</f>
        <v>2026</v>
      </c>
      <c r="B175" s="193"/>
      <c r="C175" s="181"/>
      <c r="E175" s="115" t="s">
        <v>212</v>
      </c>
      <c r="F175" s="116" t="s">
        <v>220</v>
      </c>
      <c r="G175" s="115"/>
      <c r="H175" s="118"/>
      <c r="I175" s="118"/>
      <c r="J175" s="118"/>
      <c r="K175" s="36"/>
      <c r="L175" s="117"/>
      <c r="N175" s="117"/>
      <c r="R175" s="117"/>
      <c r="T175" s="117"/>
      <c r="V175" s="117"/>
      <c r="X175" s="117"/>
      <c r="Y175" s="73" t="s">
        <v>69</v>
      </c>
      <c r="Z175" s="94" t="s">
        <v>99</v>
      </c>
      <c r="AA175" s="36"/>
      <c r="AB175" s="36"/>
      <c r="AC175" s="111"/>
      <c r="AD175" s="112"/>
      <c r="AE175" s="37"/>
      <c r="AF175" s="97"/>
      <c r="AG175" s="14"/>
      <c r="AH175" s="14"/>
      <c r="AI175" s="14"/>
      <c r="AJ175" s="113"/>
      <c r="AK175" s="114" t="s">
        <v>130</v>
      </c>
      <c r="AM175" s="105" t="s">
        <v>131</v>
      </c>
      <c r="AO175" s="105" t="s">
        <v>132</v>
      </c>
      <c r="AQ175" s="104" t="s">
        <v>133</v>
      </c>
      <c r="AS175" s="104" t="s">
        <v>134</v>
      </c>
      <c r="AU175" s="104" t="s">
        <v>135</v>
      </c>
      <c r="AW175" s="105" t="s">
        <v>136</v>
      </c>
      <c r="AY175" s="104" t="s">
        <v>129</v>
      </c>
      <c r="AZ175" s="24"/>
    </row>
    <row r="176">
      <c r="A176" s="205"/>
      <c r="B176" s="206"/>
      <c r="C176" s="1"/>
      <c r="D176" s="123"/>
      <c r="E176" s="164" t="s">
        <v>157</v>
      </c>
      <c r="F176" s="88"/>
      <c r="G176" s="207" t="str">
        <f>G5:H5</f>
        <v>อสูรเดือน N</v>
      </c>
      <c r="I176" s="208" t="str">
        <f>I5:J5</f>
        <v>อสูรปี N</v>
      </c>
      <c r="K176" s="36"/>
      <c r="L176" s="117"/>
      <c r="N176" s="117"/>
      <c r="R176" s="117"/>
      <c r="T176" s="117"/>
      <c r="V176" s="117"/>
      <c r="X176" s="117"/>
      <c r="Y176" s="233"/>
      <c r="Z176" s="234"/>
      <c r="AA176" s="36"/>
      <c r="AB176" s="36"/>
      <c r="AC176" s="111"/>
      <c r="AD176" s="112"/>
      <c r="AE176" s="37"/>
      <c r="AF176" s="97"/>
      <c r="AG176" s="14"/>
      <c r="AH176" s="14"/>
      <c r="AI176" s="14"/>
      <c r="AJ176" s="113"/>
      <c r="AY176" s="128"/>
      <c r="AZ176" s="24"/>
    </row>
    <row r="177">
      <c r="A177" s="188" t="s">
        <v>63</v>
      </c>
      <c r="B177" s="189"/>
      <c r="C177" s="63"/>
      <c r="D177" s="63"/>
      <c r="E177" s="225">
        <f>(O178+P178+Q178+R178)/(O179+P179+Q179+R179)</f>
        <v>0.475</v>
      </c>
      <c r="F177" s="72"/>
      <c r="G177" s="133"/>
      <c r="H177" s="66"/>
      <c r="I177" s="67"/>
      <c r="J177" s="67"/>
      <c r="K177" s="68"/>
      <c r="L177" s="69"/>
      <c r="M177" s="63" t="s">
        <v>64</v>
      </c>
      <c r="N177" s="70"/>
      <c r="O177" s="71" t="s">
        <v>65</v>
      </c>
      <c r="P177" s="72"/>
      <c r="Q177" s="72"/>
      <c r="R177" s="70"/>
      <c r="S177" s="71" t="s">
        <v>66</v>
      </c>
      <c r="T177" s="70"/>
      <c r="U177" s="71" t="s">
        <v>67</v>
      </c>
      <c r="V177" s="70"/>
      <c r="W177" s="71" t="s">
        <v>68</v>
      </c>
      <c r="X177" s="70"/>
      <c r="Y177" s="134" t="s">
        <v>80</v>
      </c>
      <c r="Z177" s="74" t="s">
        <v>159</v>
      </c>
      <c r="AA177" s="79" t="s">
        <v>161</v>
      </c>
      <c r="AB177" s="221" t="s">
        <v>244</v>
      </c>
      <c r="AC177" s="190" t="s">
        <v>173</v>
      </c>
      <c r="AD177" s="77" t="s">
        <v>193</v>
      </c>
      <c r="AE177" s="63" t="s">
        <v>144</v>
      </c>
      <c r="AF177" s="78" t="s">
        <v>36</v>
      </c>
      <c r="AG177" s="79" t="s">
        <v>54</v>
      </c>
      <c r="AH177" s="79">
        <v>150.0</v>
      </c>
      <c r="AI177" s="79" t="s">
        <v>210</v>
      </c>
      <c r="AJ177" s="80" t="str">
        <f>AJ171</f>
        <v>開</v>
      </c>
      <c r="AK177" s="81" t="s">
        <v>38</v>
      </c>
      <c r="AL177" s="82" t="str">
        <f>AL171</f>
        <v>休</v>
      </c>
      <c r="AM177" s="81" t="s">
        <v>40</v>
      </c>
      <c r="AN177" s="82" t="s">
        <v>4</v>
      </c>
      <c r="AO177" s="81" t="s">
        <v>42</v>
      </c>
      <c r="AP177" s="82" t="str">
        <f>AP171</f>
        <v>傷</v>
      </c>
      <c r="AQ177" s="81" t="s">
        <v>44</v>
      </c>
      <c r="AR177" s="82" t="s">
        <v>8</v>
      </c>
      <c r="AS177" s="81" t="s">
        <v>46</v>
      </c>
      <c r="AT177" s="82" t="str">
        <f>AT171</f>
        <v>景</v>
      </c>
      <c r="AU177" s="81" t="s">
        <v>48</v>
      </c>
      <c r="AV177" s="82" t="str">
        <f>AV171</f>
        <v>死</v>
      </c>
      <c r="AW177" s="81" t="s">
        <v>50</v>
      </c>
      <c r="AX177" s="82" t="str">
        <f>AX171</f>
        <v>驚</v>
      </c>
      <c r="AY177" s="81" t="s">
        <v>52</v>
      </c>
      <c r="AZ177" s="83"/>
      <c r="BA177" s="84"/>
      <c r="BB177" s="84"/>
      <c r="BC177" s="84"/>
    </row>
    <row r="178">
      <c r="A178" s="192">
        <f>A172+1</f>
        <v>28</v>
      </c>
      <c r="B178" s="193"/>
      <c r="C178" s="12" t="s">
        <v>187</v>
      </c>
      <c r="E178" s="203" t="s">
        <v>171</v>
      </c>
      <c r="G178" s="273" t="str">
        <f t="shared" ref="G178:G179" si="221">G32:H32</f>
        <v>庚</v>
      </c>
      <c r="I178" s="275" t="str">
        <f t="shared" ref="I178:I179" si="222">I32:J32</f>
        <v>丙</v>
      </c>
      <c r="K178" s="90">
        <f>L178/L179</f>
        <v>0.505</v>
      </c>
      <c r="L178" s="126">
        <f t="shared" ref="L178:L179" si="223">O178+P178+Q178+U178+V178+W178+X178+R178+M178+N178+S178+T178</f>
        <v>505</v>
      </c>
      <c r="M178" s="92">
        <v>0.0</v>
      </c>
      <c r="N178" s="93">
        <v>0.0</v>
      </c>
      <c r="O178" s="92">
        <v>40.0</v>
      </c>
      <c r="P178" s="92">
        <v>40.0</v>
      </c>
      <c r="Q178" s="92">
        <v>90.0</v>
      </c>
      <c r="R178" s="93">
        <v>20.0</v>
      </c>
      <c r="S178" s="92">
        <v>110.0</v>
      </c>
      <c r="T178" s="93">
        <v>35.0</v>
      </c>
      <c r="U178" s="92">
        <f t="shared" ref="U178:X178" si="220">U32</f>
        <v>0</v>
      </c>
      <c r="V178" s="93">
        <f t="shared" si="220"/>
        <v>0</v>
      </c>
      <c r="W178" s="92">
        <f t="shared" si="220"/>
        <v>110</v>
      </c>
      <c r="X178" s="93">
        <f t="shared" si="220"/>
        <v>60</v>
      </c>
      <c r="Y178" s="73" t="s">
        <v>98</v>
      </c>
      <c r="Z178" s="94" t="s">
        <v>152</v>
      </c>
      <c r="AA178" s="36"/>
      <c r="AB178" s="29"/>
      <c r="AC178" s="195" t="s">
        <v>196</v>
      </c>
      <c r="AD178" s="96" t="s">
        <v>149</v>
      </c>
      <c r="AE178" s="37"/>
      <c r="AF178" s="97"/>
      <c r="AG178" s="12" t="s">
        <v>189</v>
      </c>
      <c r="AH178" s="12">
        <v>90.0</v>
      </c>
      <c r="AI178" s="12" t="s">
        <v>208</v>
      </c>
      <c r="AJ178" s="98" t="s">
        <v>88</v>
      </c>
      <c r="AK178" s="101" t="s">
        <v>89</v>
      </c>
      <c r="AL178" s="100" t="s">
        <v>45</v>
      </c>
      <c r="AM178" s="102" t="s">
        <v>90</v>
      </c>
      <c r="AN178" s="100" t="s">
        <v>43</v>
      </c>
      <c r="AO178" s="101" t="s">
        <v>91</v>
      </c>
      <c r="AP178" s="100" t="s">
        <v>41</v>
      </c>
      <c r="AQ178" s="103" t="s">
        <v>92</v>
      </c>
      <c r="AR178" s="100" t="s">
        <v>39</v>
      </c>
      <c r="AS178" s="99" t="s">
        <v>93</v>
      </c>
      <c r="AT178" s="100" t="s">
        <v>37</v>
      </c>
      <c r="AU178" s="99" t="s">
        <v>94</v>
      </c>
      <c r="AV178" s="100" t="s">
        <v>51</v>
      </c>
      <c r="AW178" s="101" t="s">
        <v>95</v>
      </c>
      <c r="AX178" s="100" t="s">
        <v>86</v>
      </c>
      <c r="AY178" s="99" t="s">
        <v>87</v>
      </c>
      <c r="AZ178" s="24"/>
    </row>
    <row r="179">
      <c r="A179" s="229" t="str">
        <f>A173</f>
        <v>กุมภาพันธ์</v>
      </c>
      <c r="B179" s="193"/>
      <c r="C179" s="140" t="s">
        <v>217</v>
      </c>
      <c r="E179" s="209" t="s">
        <v>32</v>
      </c>
      <c r="G179" s="274" t="str">
        <f t="shared" si="221"/>
        <v>寅</v>
      </c>
      <c r="I179" s="142" t="str">
        <f t="shared" si="222"/>
        <v>午</v>
      </c>
      <c r="K179" s="36"/>
      <c r="L179" s="109">
        <f t="shared" si="223"/>
        <v>1000</v>
      </c>
      <c r="M179" s="9">
        <v>0.0</v>
      </c>
      <c r="N179" s="110">
        <v>0.0</v>
      </c>
      <c r="O179" s="9">
        <v>100.0</v>
      </c>
      <c r="P179" s="9">
        <v>100.0</v>
      </c>
      <c r="Q179" s="9">
        <v>100.0</v>
      </c>
      <c r="R179" s="110">
        <v>100.0</v>
      </c>
      <c r="S179" s="9">
        <v>100.0</v>
      </c>
      <c r="T179" s="110">
        <v>100.0</v>
      </c>
      <c r="U179" s="9">
        <v>100.0</v>
      </c>
      <c r="V179" s="110">
        <v>100.0</v>
      </c>
      <c r="W179" s="9">
        <v>100.0</v>
      </c>
      <c r="X179" s="110">
        <v>100.0</v>
      </c>
      <c r="Y179" s="73" t="s">
        <v>116</v>
      </c>
      <c r="Z179" s="94" t="s">
        <v>81</v>
      </c>
      <c r="AA179" s="36"/>
      <c r="AB179" s="36"/>
      <c r="AC179" s="111"/>
      <c r="AD179" s="112"/>
      <c r="AE179" s="37"/>
      <c r="AF179" s="97"/>
      <c r="AG179" s="14"/>
      <c r="AH179" s="14"/>
      <c r="AI179" s="14"/>
      <c r="AJ179" s="113"/>
      <c r="AK179" s="114" t="s">
        <v>101</v>
      </c>
      <c r="AM179" s="105" t="s">
        <v>102</v>
      </c>
      <c r="AO179" s="105" t="s">
        <v>103</v>
      </c>
      <c r="AQ179" s="104" t="s">
        <v>104</v>
      </c>
      <c r="AS179" s="104" t="s">
        <v>105</v>
      </c>
      <c r="AU179" s="104" t="s">
        <v>106</v>
      </c>
      <c r="AW179" s="105" t="s">
        <v>107</v>
      </c>
      <c r="AY179" s="104" t="s">
        <v>100</v>
      </c>
      <c r="AZ179" s="24"/>
    </row>
    <row r="180">
      <c r="A180" s="192">
        <v>2569.0</v>
      </c>
      <c r="B180" s="193"/>
      <c r="E180" s="115" t="s">
        <v>112</v>
      </c>
      <c r="F180" s="116" t="s">
        <v>218</v>
      </c>
      <c r="G180" s="115" t="str">
        <f t="shared" ref="G180:J180" si="224">G34</f>
        <v>A10</v>
      </c>
      <c r="H180" s="9" t="str">
        <f t="shared" si="224"/>
        <v>B7</v>
      </c>
      <c r="I180" s="9" t="str">
        <f t="shared" si="224"/>
        <v>A5</v>
      </c>
      <c r="J180" s="9" t="str">
        <f t="shared" si="224"/>
        <v>B11</v>
      </c>
      <c r="K180" s="36"/>
      <c r="L180" s="117"/>
      <c r="M180" s="118" t="str">
        <f t="shared" ref="M180:P180" si="225">C180</f>
        <v/>
      </c>
      <c r="N180" s="119" t="str">
        <f t="shared" si="225"/>
        <v/>
      </c>
      <c r="O180" s="118" t="str">
        <f t="shared" si="225"/>
        <v>A2</v>
      </c>
      <c r="P180" s="118" t="str">
        <f t="shared" si="225"/>
        <v>B10</v>
      </c>
      <c r="Q180" s="118" t="str">
        <f t="shared" ref="Q180:R180" si="226">E181</f>
        <v>B8</v>
      </c>
      <c r="R180" s="119" t="str">
        <f t="shared" si="226"/>
        <v>C8</v>
      </c>
      <c r="S180" s="9" t="s">
        <v>204</v>
      </c>
      <c r="T180" s="110" t="s">
        <v>112</v>
      </c>
      <c r="U180" s="9" t="str">
        <f t="shared" ref="U180:X180" si="227">G180</f>
        <v>A10</v>
      </c>
      <c r="V180" s="119" t="str">
        <f t="shared" si="227"/>
        <v>B7</v>
      </c>
      <c r="W180" s="118" t="str">
        <f t="shared" si="227"/>
        <v>A5</v>
      </c>
      <c r="X180" s="120" t="str">
        <f t="shared" si="227"/>
        <v>B11</v>
      </c>
      <c r="Y180" s="73" t="s">
        <v>126</v>
      </c>
      <c r="Z180" s="94" t="s">
        <v>99</v>
      </c>
      <c r="AA180" s="36"/>
      <c r="AB180" s="36"/>
      <c r="AC180" s="111"/>
      <c r="AD180" s="112"/>
      <c r="AE180" s="37"/>
      <c r="AF180" s="97"/>
      <c r="AG180" s="14"/>
      <c r="AH180" s="14"/>
      <c r="AI180" s="14"/>
      <c r="AJ180" s="113"/>
      <c r="AK180" s="114" t="s">
        <v>119</v>
      </c>
      <c r="AM180" s="105" t="s">
        <v>120</v>
      </c>
      <c r="AO180" s="105" t="s">
        <v>121</v>
      </c>
      <c r="AQ180" s="104" t="s">
        <v>122</v>
      </c>
      <c r="AS180" s="104" t="s">
        <v>123</v>
      </c>
      <c r="AU180" s="104" t="s">
        <v>124</v>
      </c>
      <c r="AW180" s="105" t="s">
        <v>125</v>
      </c>
      <c r="AY180" s="104" t="s">
        <v>118</v>
      </c>
      <c r="AZ180" s="24"/>
    </row>
    <row r="181">
      <c r="A181" s="192">
        <f>A180-543</f>
        <v>2026</v>
      </c>
      <c r="B181" s="193"/>
      <c r="E181" s="115" t="s">
        <v>69</v>
      </c>
      <c r="F181" s="116" t="s">
        <v>225</v>
      </c>
      <c r="G181" s="115"/>
      <c r="H181" s="118"/>
      <c r="I181" s="118"/>
      <c r="J181" s="118"/>
      <c r="K181" s="36"/>
      <c r="L181" s="117"/>
      <c r="M181" s="8"/>
      <c r="N181" s="121"/>
      <c r="O181" s="8"/>
      <c r="P181" s="8"/>
      <c r="Q181" s="8"/>
      <c r="R181" s="121"/>
      <c r="S181" s="8"/>
      <c r="T181" s="121"/>
      <c r="U181" s="9"/>
      <c r="V181" s="110"/>
      <c r="W181" s="9"/>
      <c r="X181" s="110"/>
      <c r="Y181" s="73" t="s">
        <v>69</v>
      </c>
      <c r="Z181" s="94" t="s">
        <v>155</v>
      </c>
      <c r="AA181" s="36"/>
      <c r="AB181" s="36"/>
      <c r="AC181" s="111"/>
      <c r="AD181" s="112"/>
      <c r="AE181" s="37"/>
      <c r="AF181" s="97"/>
      <c r="AG181" s="14"/>
      <c r="AH181" s="14"/>
      <c r="AI181" s="14"/>
      <c r="AJ181" s="113"/>
      <c r="AK181" s="114" t="s">
        <v>130</v>
      </c>
      <c r="AM181" s="105" t="s">
        <v>131</v>
      </c>
      <c r="AO181" s="105" t="s">
        <v>132</v>
      </c>
      <c r="AQ181" s="104" t="s">
        <v>133</v>
      </c>
      <c r="AS181" s="104" t="s">
        <v>134</v>
      </c>
      <c r="AU181" s="104" t="s">
        <v>135</v>
      </c>
      <c r="AW181" s="105" t="s">
        <v>136</v>
      </c>
      <c r="AY181" s="104" t="s">
        <v>129</v>
      </c>
      <c r="AZ181" s="24"/>
    </row>
    <row r="182">
      <c r="A182" s="287"/>
      <c r="B182" s="231"/>
      <c r="C182" s="185"/>
      <c r="D182" s="186"/>
      <c r="E182" s="124" t="s">
        <v>168</v>
      </c>
      <c r="F182" s="125"/>
      <c r="G182" s="146" t="str">
        <f>G5:H5</f>
        <v>อสูรเดือน N</v>
      </c>
      <c r="H182" s="147"/>
      <c r="I182" s="148" t="str">
        <f>I5:J5</f>
        <v>อสูรปี N</v>
      </c>
      <c r="J182" s="147"/>
      <c r="K182" s="149"/>
      <c r="L182" s="150"/>
      <c r="M182" s="151"/>
      <c r="N182" s="152"/>
      <c r="O182" s="151"/>
      <c r="P182" s="151"/>
      <c r="Q182" s="151"/>
      <c r="R182" s="152"/>
      <c r="S182" s="151"/>
      <c r="T182" s="152"/>
      <c r="U182" s="153"/>
      <c r="V182" s="154"/>
      <c r="W182" s="153"/>
      <c r="X182" s="154"/>
      <c r="Y182" s="233"/>
      <c r="Z182" s="234"/>
      <c r="AA182" s="156"/>
      <c r="AB182" s="156"/>
      <c r="AC182" s="235"/>
      <c r="AD182" s="236"/>
      <c r="AE182" s="237"/>
      <c r="AF182" s="238"/>
      <c r="AG182" s="239"/>
      <c r="AH182" s="239"/>
      <c r="AI182" s="239"/>
      <c r="AJ182" s="157"/>
      <c r="AK182" s="158"/>
      <c r="AL182" s="158"/>
      <c r="AM182" s="158"/>
      <c r="AN182" s="158"/>
      <c r="AO182" s="158"/>
      <c r="AP182" s="158"/>
      <c r="AQ182" s="158"/>
      <c r="AR182" s="158"/>
      <c r="AS182" s="158"/>
      <c r="AT182" s="158"/>
      <c r="AU182" s="158"/>
      <c r="AV182" s="158"/>
      <c r="AW182" s="240"/>
      <c r="AX182" s="158"/>
      <c r="AY182" s="158"/>
      <c r="AZ182" s="24"/>
    </row>
    <row r="183">
      <c r="B183" s="24"/>
      <c r="E183" s="194"/>
      <c r="F183" s="288"/>
      <c r="G183" s="113"/>
      <c r="K183" s="36"/>
      <c r="L183" s="117"/>
      <c r="N183" s="117"/>
      <c r="R183" s="117"/>
      <c r="T183" s="117"/>
      <c r="V183" s="117"/>
      <c r="X183" s="117"/>
      <c r="Y183" s="10"/>
      <c r="Z183" s="11"/>
      <c r="AA183" s="36"/>
      <c r="AB183" s="36"/>
      <c r="AC183" s="13"/>
      <c r="AD183" s="13"/>
      <c r="AE183" s="37"/>
      <c r="AF183" s="37"/>
      <c r="AG183" s="14"/>
      <c r="AH183" s="14"/>
      <c r="AI183" s="14"/>
      <c r="AZ183" s="24"/>
    </row>
    <row r="184">
      <c r="B184" s="24"/>
      <c r="E184" s="113"/>
      <c r="F184" s="266"/>
      <c r="G184" s="113"/>
      <c r="K184" s="36"/>
      <c r="L184" s="117"/>
      <c r="N184" s="117"/>
      <c r="R184" s="117"/>
      <c r="T184" s="117"/>
      <c r="V184" s="117"/>
      <c r="X184" s="117"/>
      <c r="Y184" s="10"/>
      <c r="Z184" s="11"/>
      <c r="AA184" s="36"/>
      <c r="AB184" s="36"/>
      <c r="AC184" s="13"/>
      <c r="AD184" s="13"/>
      <c r="AE184" s="37"/>
      <c r="AF184" s="37"/>
      <c r="AG184" s="14"/>
      <c r="AH184" s="14"/>
      <c r="AI184" s="14"/>
      <c r="AZ184" s="24"/>
    </row>
    <row r="185">
      <c r="B185" s="24"/>
      <c r="E185" s="113"/>
      <c r="F185" s="266"/>
      <c r="G185" s="113"/>
      <c r="K185" s="36"/>
      <c r="L185" s="117"/>
      <c r="N185" s="117"/>
      <c r="R185" s="117"/>
      <c r="T185" s="117"/>
      <c r="V185" s="117"/>
      <c r="X185" s="117"/>
      <c r="Y185" s="10"/>
      <c r="Z185" s="11"/>
      <c r="AA185" s="36"/>
      <c r="AB185" s="36"/>
      <c r="AC185" s="13"/>
      <c r="AD185" s="13"/>
      <c r="AE185" s="37"/>
      <c r="AF185" s="37"/>
      <c r="AG185" s="14"/>
      <c r="AH185" s="14"/>
      <c r="AI185" s="14"/>
      <c r="AZ185" s="24"/>
    </row>
    <row r="186">
      <c r="B186" s="24"/>
      <c r="E186" s="113"/>
      <c r="F186" s="266"/>
      <c r="G186" s="113"/>
      <c r="K186" s="36"/>
      <c r="L186" s="117"/>
      <c r="N186" s="117"/>
      <c r="R186" s="117"/>
      <c r="T186" s="117"/>
      <c r="V186" s="117"/>
      <c r="X186" s="117"/>
      <c r="Y186" s="10"/>
      <c r="Z186" s="11"/>
      <c r="AA186" s="36"/>
      <c r="AB186" s="36"/>
      <c r="AC186" s="13"/>
      <c r="AD186" s="13"/>
      <c r="AE186" s="37"/>
      <c r="AF186" s="37"/>
      <c r="AG186" s="14"/>
      <c r="AH186" s="14"/>
      <c r="AI186" s="14"/>
      <c r="AZ186" s="24"/>
    </row>
    <row r="187">
      <c r="B187" s="24"/>
      <c r="E187" s="113"/>
      <c r="F187" s="266"/>
      <c r="G187" s="113"/>
      <c r="K187" s="36"/>
      <c r="L187" s="117"/>
      <c r="N187" s="117"/>
      <c r="R187" s="117"/>
      <c r="T187" s="117"/>
      <c r="V187" s="117"/>
      <c r="X187" s="117"/>
      <c r="Y187" s="10"/>
      <c r="Z187" s="11"/>
      <c r="AA187" s="36"/>
      <c r="AB187" s="36"/>
      <c r="AC187" s="13"/>
      <c r="AD187" s="13"/>
      <c r="AE187" s="37"/>
      <c r="AF187" s="37"/>
      <c r="AG187" s="14"/>
      <c r="AH187" s="14"/>
      <c r="AI187" s="14"/>
      <c r="AZ187" s="24"/>
    </row>
    <row r="188">
      <c r="B188" s="24"/>
      <c r="E188" s="113"/>
      <c r="F188" s="266"/>
      <c r="G188" s="113"/>
      <c r="K188" s="36"/>
      <c r="L188" s="117"/>
      <c r="N188" s="117"/>
      <c r="R188" s="117"/>
      <c r="T188" s="117"/>
      <c r="V188" s="117"/>
      <c r="X188" s="117"/>
      <c r="Y188" s="10"/>
      <c r="Z188" s="11"/>
      <c r="AA188" s="36"/>
      <c r="AB188" s="36"/>
      <c r="AC188" s="13"/>
      <c r="AD188" s="13"/>
      <c r="AE188" s="37"/>
      <c r="AF188" s="37"/>
      <c r="AG188" s="14"/>
      <c r="AH188" s="14"/>
      <c r="AI188" s="14"/>
      <c r="AZ188" s="24"/>
    </row>
    <row r="189">
      <c r="B189" s="24"/>
      <c r="E189" s="113"/>
      <c r="F189" s="266"/>
      <c r="G189" s="113"/>
      <c r="K189" s="36"/>
      <c r="L189" s="117"/>
      <c r="N189" s="117"/>
      <c r="R189" s="117"/>
      <c r="T189" s="117"/>
      <c r="V189" s="117"/>
      <c r="X189" s="117"/>
      <c r="Y189" s="10"/>
      <c r="Z189" s="11"/>
      <c r="AA189" s="36"/>
      <c r="AB189" s="36"/>
      <c r="AC189" s="13"/>
      <c r="AD189" s="13"/>
      <c r="AE189" s="37"/>
      <c r="AF189" s="37"/>
      <c r="AG189" s="14"/>
      <c r="AH189" s="14"/>
      <c r="AI189" s="14"/>
      <c r="AZ189" s="24"/>
    </row>
    <row r="190">
      <c r="B190" s="24"/>
      <c r="E190" s="113"/>
      <c r="F190" s="266"/>
      <c r="G190" s="113"/>
      <c r="K190" s="36"/>
      <c r="L190" s="117"/>
      <c r="N190" s="117"/>
      <c r="R190" s="117"/>
      <c r="T190" s="117"/>
      <c r="V190" s="117"/>
      <c r="X190" s="117"/>
      <c r="Y190" s="10"/>
      <c r="Z190" s="11"/>
      <c r="AA190" s="36"/>
      <c r="AB190" s="36"/>
      <c r="AC190" s="13"/>
      <c r="AD190" s="13"/>
      <c r="AE190" s="37"/>
      <c r="AF190" s="37"/>
      <c r="AG190" s="14"/>
      <c r="AH190" s="14"/>
      <c r="AI190" s="14"/>
      <c r="AZ190" s="24"/>
    </row>
    <row r="191">
      <c r="A191" s="242"/>
      <c r="B191" s="243"/>
      <c r="C191" s="251" t="s">
        <v>182</v>
      </c>
      <c r="D191" s="251">
        <v>80.0</v>
      </c>
      <c r="E191" s="252" t="s">
        <v>250</v>
      </c>
      <c r="F191" s="253"/>
      <c r="G191" s="254" t="s">
        <v>176</v>
      </c>
      <c r="H191" s="255"/>
      <c r="I191" s="256"/>
      <c r="J191" s="249" t="s">
        <v>80</v>
      </c>
      <c r="K191" s="253">
        <v>70.0</v>
      </c>
      <c r="L191" s="257" t="s">
        <v>251</v>
      </c>
      <c r="M191" s="257" t="s">
        <v>231</v>
      </c>
      <c r="N191" s="258"/>
      <c r="O191" s="258"/>
      <c r="P191" s="258"/>
      <c r="Q191" s="259"/>
      <c r="R191" s="259"/>
      <c r="S191" s="259"/>
      <c r="T191" s="259"/>
      <c r="U191" s="259"/>
      <c r="V191" s="260"/>
      <c r="W191" s="259"/>
      <c r="X191" s="261" t="s">
        <v>154</v>
      </c>
      <c r="Y191" s="261">
        <v>50.0</v>
      </c>
      <c r="Z191" s="262" t="s">
        <v>252</v>
      </c>
      <c r="AA191" s="263" t="s">
        <v>253</v>
      </c>
      <c r="AB191" s="258"/>
      <c r="AC191" s="13"/>
      <c r="AD191" s="13"/>
      <c r="AE191" s="37"/>
      <c r="AF191" s="37"/>
      <c r="AG191" s="14"/>
      <c r="AH191" s="14"/>
      <c r="AI191" s="14"/>
      <c r="AZ191" s="24"/>
    </row>
    <row r="192">
      <c r="A192" s="242"/>
      <c r="B192" s="243"/>
      <c r="C192" s="251" t="s">
        <v>112</v>
      </c>
      <c r="D192" s="251">
        <v>40.0</v>
      </c>
      <c r="E192" s="252" t="s">
        <v>254</v>
      </c>
      <c r="F192" s="253"/>
      <c r="G192" s="254" t="s">
        <v>249</v>
      </c>
      <c r="H192" s="255"/>
      <c r="I192" s="256"/>
      <c r="J192" s="249" t="s">
        <v>98</v>
      </c>
      <c r="K192" s="253">
        <v>80.0</v>
      </c>
      <c r="L192" s="257" t="s">
        <v>255</v>
      </c>
      <c r="M192" s="257" t="s">
        <v>235</v>
      </c>
      <c r="N192" s="258"/>
      <c r="O192" s="258"/>
      <c r="P192" s="258"/>
      <c r="Q192" s="259"/>
      <c r="R192" s="259"/>
      <c r="S192" s="259"/>
      <c r="T192" s="259"/>
      <c r="U192" s="259"/>
      <c r="V192" s="260"/>
      <c r="W192" s="259"/>
      <c r="X192" s="261" t="s">
        <v>167</v>
      </c>
      <c r="Y192" s="261" t="s">
        <v>256</v>
      </c>
      <c r="Z192" s="262" t="s">
        <v>257</v>
      </c>
      <c r="AA192" s="263" t="s">
        <v>258</v>
      </c>
      <c r="AB192" s="258"/>
      <c r="AC192" s="13"/>
      <c r="AD192" s="13"/>
      <c r="AE192" s="37"/>
      <c r="AF192" s="37"/>
      <c r="AG192" s="14"/>
      <c r="AH192" s="14"/>
      <c r="AI192" s="14"/>
      <c r="AZ192" s="24"/>
    </row>
    <row r="193">
      <c r="A193" s="242"/>
      <c r="B193" s="243"/>
      <c r="C193" s="251" t="s">
        <v>219</v>
      </c>
      <c r="D193" s="251">
        <v>90.0</v>
      </c>
      <c r="E193" s="252" t="s">
        <v>259</v>
      </c>
      <c r="F193" s="253"/>
      <c r="G193" s="254" t="s">
        <v>260</v>
      </c>
      <c r="H193" s="255"/>
      <c r="I193" s="256"/>
      <c r="J193" s="249" t="s">
        <v>183</v>
      </c>
      <c r="K193" s="253">
        <v>20.0</v>
      </c>
      <c r="L193" s="264" t="s">
        <v>261</v>
      </c>
      <c r="M193" s="257" t="s">
        <v>239</v>
      </c>
      <c r="N193" s="258"/>
      <c r="O193" s="258"/>
      <c r="P193" s="258"/>
      <c r="Q193" s="259"/>
      <c r="R193" s="259"/>
      <c r="S193" s="259"/>
      <c r="T193" s="259"/>
      <c r="U193" s="259"/>
      <c r="V193" s="259"/>
      <c r="W193" s="260"/>
      <c r="X193" s="261" t="s">
        <v>184</v>
      </c>
      <c r="Y193" s="261">
        <v>80.0</v>
      </c>
      <c r="Z193" s="262" t="s">
        <v>262</v>
      </c>
      <c r="AA193" s="263" t="s">
        <v>263</v>
      </c>
      <c r="AB193" s="258"/>
      <c r="AC193" s="13"/>
      <c r="AD193" s="13"/>
      <c r="AE193" s="37"/>
      <c r="AF193" s="37"/>
      <c r="AG193" s="14"/>
      <c r="AH193" s="14"/>
      <c r="AI193" s="14"/>
      <c r="AZ193" s="24"/>
    </row>
    <row r="194">
      <c r="A194" s="242"/>
      <c r="B194" s="243"/>
      <c r="C194" s="251" t="s">
        <v>213</v>
      </c>
      <c r="D194" s="251">
        <v>100.0</v>
      </c>
      <c r="E194" s="252" t="s">
        <v>264</v>
      </c>
      <c r="F194" s="253"/>
      <c r="G194" s="254" t="s">
        <v>265</v>
      </c>
      <c r="H194" s="255"/>
      <c r="I194" s="256"/>
      <c r="J194" s="249" t="s">
        <v>109</v>
      </c>
      <c r="K194" s="253">
        <v>30.0</v>
      </c>
      <c r="L194" s="264" t="s">
        <v>266</v>
      </c>
      <c r="M194" s="257" t="s">
        <v>96</v>
      </c>
      <c r="N194" s="258"/>
      <c r="O194" s="258"/>
      <c r="P194" s="258"/>
      <c r="Q194" s="259"/>
      <c r="R194" s="259"/>
      <c r="S194" s="259"/>
      <c r="T194" s="259"/>
      <c r="U194" s="259"/>
      <c r="V194" s="259"/>
      <c r="W194" s="260"/>
      <c r="X194" s="261" t="s">
        <v>190</v>
      </c>
      <c r="Y194" s="261">
        <v>50.0</v>
      </c>
      <c r="Z194" s="262" t="s">
        <v>267</v>
      </c>
      <c r="AA194" s="263" t="s">
        <v>268</v>
      </c>
      <c r="AB194" s="258"/>
      <c r="AC194" s="13"/>
      <c r="AD194" s="13"/>
      <c r="AE194" s="37"/>
      <c r="AF194" s="37"/>
      <c r="AG194" s="14"/>
      <c r="AH194" s="14"/>
      <c r="AI194" s="14"/>
      <c r="AZ194" s="24"/>
    </row>
    <row r="195">
      <c r="A195" s="242"/>
      <c r="B195" s="243"/>
      <c r="C195" s="251" t="s">
        <v>204</v>
      </c>
      <c r="D195" s="251">
        <v>110.0</v>
      </c>
      <c r="E195" s="252" t="s">
        <v>269</v>
      </c>
      <c r="F195" s="253"/>
      <c r="G195" s="254" t="s">
        <v>270</v>
      </c>
      <c r="H195" s="255"/>
      <c r="I195" s="256"/>
      <c r="J195" s="249" t="s">
        <v>116</v>
      </c>
      <c r="K195" s="253">
        <v>100.0</v>
      </c>
      <c r="L195" s="264" t="s">
        <v>271</v>
      </c>
      <c r="M195" s="257" t="s">
        <v>151</v>
      </c>
      <c r="N195" s="258"/>
      <c r="O195" s="258"/>
      <c r="P195" s="258"/>
      <c r="Q195" s="259"/>
      <c r="R195" s="259"/>
      <c r="S195" s="259"/>
      <c r="T195" s="259"/>
      <c r="U195" s="259"/>
      <c r="V195" s="259"/>
      <c r="W195" s="260"/>
      <c r="X195" s="261" t="s">
        <v>205</v>
      </c>
      <c r="Y195" s="261">
        <v>80.0</v>
      </c>
      <c r="Z195" s="262" t="s">
        <v>272</v>
      </c>
      <c r="AA195" s="263" t="s">
        <v>273</v>
      </c>
      <c r="AB195" s="258"/>
      <c r="AC195" s="13"/>
      <c r="AD195" s="13"/>
      <c r="AE195" s="37"/>
      <c r="AF195" s="37"/>
      <c r="AG195" s="14"/>
      <c r="AH195" s="14"/>
      <c r="AI195" s="14"/>
      <c r="AZ195" s="24"/>
    </row>
    <row r="196">
      <c r="A196" s="242"/>
      <c r="B196" s="243"/>
      <c r="C196" s="251" t="s">
        <v>198</v>
      </c>
      <c r="D196" s="251">
        <v>30.0</v>
      </c>
      <c r="E196" s="252" t="s">
        <v>274</v>
      </c>
      <c r="F196" s="253"/>
      <c r="G196" s="254" t="s">
        <v>248</v>
      </c>
      <c r="H196" s="255"/>
      <c r="I196" s="256"/>
      <c r="J196" s="249" t="s">
        <v>126</v>
      </c>
      <c r="K196" s="253">
        <v>90.0</v>
      </c>
      <c r="L196" s="264" t="s">
        <v>275</v>
      </c>
      <c r="M196" s="257" t="s">
        <v>162</v>
      </c>
      <c r="N196" s="258"/>
      <c r="O196" s="258"/>
      <c r="P196" s="258"/>
      <c r="Q196" s="259"/>
      <c r="R196" s="259"/>
      <c r="S196" s="259"/>
      <c r="T196" s="259"/>
      <c r="U196" s="259"/>
      <c r="V196" s="259"/>
      <c r="W196" s="260"/>
      <c r="X196" s="261" t="s">
        <v>215</v>
      </c>
      <c r="Y196" s="261">
        <v>80.0</v>
      </c>
      <c r="Z196" s="262" t="s">
        <v>276</v>
      </c>
      <c r="AA196" s="263" t="s">
        <v>277</v>
      </c>
      <c r="AB196" s="258"/>
      <c r="AC196" s="13"/>
      <c r="AD196" s="13"/>
      <c r="AE196" s="37"/>
      <c r="AF196" s="37"/>
      <c r="AG196" s="14"/>
      <c r="AH196" s="14"/>
      <c r="AI196" s="14"/>
      <c r="AZ196" s="24"/>
    </row>
    <row r="197">
      <c r="A197" s="242"/>
      <c r="B197" s="243"/>
      <c r="C197" s="251" t="s">
        <v>115</v>
      </c>
      <c r="D197" s="251">
        <v>20.0</v>
      </c>
      <c r="E197" s="252" t="s">
        <v>278</v>
      </c>
      <c r="F197" s="253"/>
      <c r="G197" s="254" t="s">
        <v>187</v>
      </c>
      <c r="H197" s="255"/>
      <c r="I197" s="256"/>
      <c r="J197" s="249" t="s">
        <v>111</v>
      </c>
      <c r="K197" s="253">
        <v>0.0</v>
      </c>
      <c r="L197" s="264" t="s">
        <v>279</v>
      </c>
      <c r="M197" s="257" t="s">
        <v>179</v>
      </c>
      <c r="N197" s="258"/>
      <c r="O197" s="258"/>
      <c r="P197" s="258"/>
      <c r="Q197" s="259"/>
      <c r="R197" s="259"/>
      <c r="S197" s="259"/>
      <c r="T197" s="259"/>
      <c r="U197" s="259"/>
      <c r="V197" s="259"/>
      <c r="W197" s="260"/>
      <c r="X197" s="261" t="s">
        <v>220</v>
      </c>
      <c r="Y197" s="261">
        <v>10.0</v>
      </c>
      <c r="Z197" s="262" t="s">
        <v>280</v>
      </c>
      <c r="AA197" s="263" t="s">
        <v>281</v>
      </c>
      <c r="AB197" s="258"/>
      <c r="AC197" s="13"/>
      <c r="AD197" s="13"/>
      <c r="AE197" s="37"/>
      <c r="AF197" s="37"/>
      <c r="AG197" s="14"/>
      <c r="AH197" s="14"/>
      <c r="AI197" s="14"/>
      <c r="AZ197" s="24"/>
    </row>
    <row r="198">
      <c r="A198" s="242"/>
      <c r="B198" s="243"/>
      <c r="C198" s="251" t="s">
        <v>108</v>
      </c>
      <c r="D198" s="251">
        <v>10.0</v>
      </c>
      <c r="E198" s="252" t="s">
        <v>282</v>
      </c>
      <c r="F198" s="253"/>
      <c r="G198" s="254" t="s">
        <v>78</v>
      </c>
      <c r="H198" s="255"/>
      <c r="I198" s="256"/>
      <c r="J198" s="249" t="s">
        <v>69</v>
      </c>
      <c r="K198" s="253">
        <v>90.0</v>
      </c>
      <c r="L198" s="264" t="s">
        <v>283</v>
      </c>
      <c r="M198" s="257" t="s">
        <v>188</v>
      </c>
      <c r="N198" s="258"/>
      <c r="O198" s="258"/>
      <c r="P198" s="258"/>
      <c r="Q198" s="259"/>
      <c r="R198" s="259"/>
      <c r="S198" s="259"/>
      <c r="T198" s="259"/>
      <c r="U198" s="259"/>
      <c r="V198" s="259"/>
      <c r="W198" s="260"/>
      <c r="X198" s="261" t="s">
        <v>225</v>
      </c>
      <c r="Y198" s="261">
        <v>20.0</v>
      </c>
      <c r="Z198" s="262" t="s">
        <v>284</v>
      </c>
      <c r="AA198" s="263" t="s">
        <v>285</v>
      </c>
      <c r="AB198" s="258"/>
      <c r="AC198" s="13"/>
      <c r="AD198" s="13"/>
      <c r="AE198" s="37"/>
      <c r="AF198" s="37"/>
      <c r="AG198" s="14"/>
      <c r="AH198" s="14"/>
      <c r="AI198" s="14"/>
      <c r="AZ198" s="24"/>
    </row>
    <row r="199">
      <c r="A199" s="242"/>
      <c r="B199" s="243"/>
      <c r="C199" s="251" t="s">
        <v>164</v>
      </c>
      <c r="D199" s="251">
        <v>50.0</v>
      </c>
      <c r="E199" s="252" t="s">
        <v>286</v>
      </c>
      <c r="F199" s="253"/>
      <c r="G199" s="254" t="s">
        <v>216</v>
      </c>
      <c r="H199" s="255"/>
      <c r="I199" s="256"/>
      <c r="J199" s="249" t="s">
        <v>212</v>
      </c>
      <c r="K199" s="253">
        <v>50.0</v>
      </c>
      <c r="L199" s="264" t="s">
        <v>287</v>
      </c>
      <c r="M199" s="257" t="s">
        <v>211</v>
      </c>
      <c r="N199" s="258"/>
      <c r="O199" s="258"/>
      <c r="P199" s="258"/>
      <c r="Q199" s="259"/>
      <c r="R199" s="259"/>
      <c r="S199" s="259"/>
      <c r="T199" s="259"/>
      <c r="U199" s="259"/>
      <c r="V199" s="259"/>
      <c r="W199" s="260"/>
      <c r="X199" s="261" t="s">
        <v>229</v>
      </c>
      <c r="Y199" s="261">
        <v>100.0</v>
      </c>
      <c r="Z199" s="262" t="s">
        <v>288</v>
      </c>
      <c r="AA199" s="263" t="s">
        <v>104</v>
      </c>
      <c r="AB199" s="258"/>
      <c r="AC199" s="13"/>
      <c r="AD199" s="13"/>
      <c r="AE199" s="37"/>
      <c r="AF199" s="37"/>
      <c r="AG199" s="14"/>
      <c r="AH199" s="14"/>
      <c r="AI199" s="14"/>
      <c r="AZ199" s="24"/>
    </row>
    <row r="200">
      <c r="A200" s="242"/>
      <c r="B200" s="243"/>
      <c r="C200" s="251" t="s">
        <v>114</v>
      </c>
      <c r="D200" s="251">
        <v>0.0</v>
      </c>
      <c r="E200" s="252" t="s">
        <v>289</v>
      </c>
      <c r="F200" s="253"/>
      <c r="G200" s="254" t="s">
        <v>221</v>
      </c>
      <c r="H200" s="255"/>
      <c r="I200" s="256"/>
      <c r="J200" s="249" t="s">
        <v>218</v>
      </c>
      <c r="K200" s="253">
        <v>40.0</v>
      </c>
      <c r="L200" s="264" t="s">
        <v>290</v>
      </c>
      <c r="M200" s="257" t="s">
        <v>217</v>
      </c>
      <c r="N200" s="258"/>
      <c r="O200" s="258"/>
      <c r="P200" s="258"/>
      <c r="Q200" s="259"/>
      <c r="R200" s="259"/>
      <c r="S200" s="259"/>
      <c r="T200" s="259"/>
      <c r="U200" s="259"/>
      <c r="V200" s="259"/>
      <c r="W200" s="260"/>
      <c r="X200" s="261" t="s">
        <v>232</v>
      </c>
      <c r="Y200" s="261" t="s">
        <v>256</v>
      </c>
      <c r="Z200" s="262" t="s">
        <v>291</v>
      </c>
      <c r="AA200" s="263" t="s">
        <v>292</v>
      </c>
      <c r="AB200" s="258"/>
      <c r="AC200" s="13"/>
      <c r="AD200" s="13"/>
      <c r="AE200" s="37"/>
      <c r="AF200" s="37"/>
      <c r="AG200" s="14"/>
      <c r="AH200" s="14"/>
      <c r="AI200" s="14"/>
      <c r="AZ200" s="24"/>
    </row>
    <row r="201">
      <c r="A201" s="242"/>
      <c r="B201" s="243"/>
      <c r="C201" s="251" t="s">
        <v>110</v>
      </c>
      <c r="D201" s="251">
        <v>60.0</v>
      </c>
      <c r="E201" s="252" t="s">
        <v>293</v>
      </c>
      <c r="F201" s="253"/>
      <c r="G201" s="254" t="s">
        <v>294</v>
      </c>
      <c r="H201" s="255"/>
      <c r="I201" s="256"/>
      <c r="J201" s="249" t="s">
        <v>214</v>
      </c>
      <c r="K201" s="253">
        <v>60.0</v>
      </c>
      <c r="L201" s="264" t="s">
        <v>295</v>
      </c>
      <c r="M201" s="257" t="s">
        <v>223</v>
      </c>
      <c r="N201" s="258"/>
      <c r="O201" s="258"/>
      <c r="P201" s="258"/>
      <c r="Q201" s="259"/>
      <c r="R201" s="259"/>
      <c r="S201" s="259"/>
      <c r="T201" s="259"/>
      <c r="U201" s="259"/>
      <c r="V201" s="259"/>
      <c r="W201" s="260"/>
      <c r="X201" s="261" t="s">
        <v>236</v>
      </c>
      <c r="Y201" s="261">
        <v>80.0</v>
      </c>
      <c r="Z201" s="262" t="s">
        <v>296</v>
      </c>
      <c r="AA201" s="263" t="s">
        <v>1</v>
      </c>
      <c r="AB201" s="258"/>
      <c r="AC201" s="13"/>
      <c r="AD201" s="13"/>
      <c r="AE201" s="37"/>
      <c r="AF201" s="37"/>
      <c r="AG201" s="14"/>
      <c r="AH201" s="14"/>
      <c r="AI201" s="14"/>
      <c r="AZ201" s="24"/>
    </row>
    <row r="202">
      <c r="A202" s="242"/>
      <c r="B202" s="243"/>
      <c r="C202" s="251" t="s">
        <v>165</v>
      </c>
      <c r="D202" s="251">
        <v>70.0</v>
      </c>
      <c r="E202" s="252" t="s">
        <v>297</v>
      </c>
      <c r="F202" s="253"/>
      <c r="G202" s="254" t="s">
        <v>298</v>
      </c>
      <c r="H202" s="255"/>
      <c r="I202" s="256"/>
      <c r="J202" s="249" t="s">
        <v>113</v>
      </c>
      <c r="K202" s="253">
        <v>10.0</v>
      </c>
      <c r="L202" s="264" t="s">
        <v>299</v>
      </c>
      <c r="M202" s="257" t="s">
        <v>228</v>
      </c>
      <c r="N202" s="258"/>
      <c r="O202" s="258"/>
      <c r="P202" s="258"/>
      <c r="Q202" s="259"/>
      <c r="R202" s="259"/>
      <c r="S202" s="259"/>
      <c r="T202" s="259"/>
      <c r="U202" s="259"/>
      <c r="V202" s="259"/>
      <c r="W202" s="260"/>
      <c r="X202" s="261" t="s">
        <v>127</v>
      </c>
      <c r="Y202" s="261" t="s">
        <v>256</v>
      </c>
      <c r="Z202" s="262" t="s">
        <v>300</v>
      </c>
      <c r="AA202" s="263" t="s">
        <v>301</v>
      </c>
      <c r="AB202" s="258"/>
      <c r="AC202" s="13"/>
      <c r="AD202" s="13"/>
      <c r="AE202" s="37"/>
      <c r="AF202" s="37"/>
      <c r="AG202" s="14"/>
      <c r="AH202" s="14"/>
      <c r="AI202" s="14"/>
      <c r="AZ202" s="24"/>
    </row>
    <row r="203">
      <c r="B203" s="24"/>
      <c r="E203" s="113"/>
      <c r="F203" s="266"/>
      <c r="G203" s="289"/>
      <c r="H203" s="128"/>
      <c r="I203" s="128"/>
      <c r="J203" s="128"/>
      <c r="K203" s="265"/>
      <c r="L203" s="117"/>
      <c r="N203" s="117"/>
      <c r="R203" s="117"/>
      <c r="T203" s="117"/>
      <c r="V203" s="117"/>
      <c r="X203" s="117"/>
      <c r="Y203" s="10"/>
      <c r="Z203" s="11"/>
      <c r="AA203" s="36"/>
      <c r="AB203" s="36"/>
      <c r="AC203" s="13"/>
      <c r="AD203" s="13"/>
      <c r="AE203" s="37"/>
      <c r="AF203" s="37"/>
      <c r="AG203" s="14"/>
      <c r="AH203" s="14"/>
      <c r="AI203" s="14"/>
      <c r="AZ203" s="24"/>
    </row>
    <row r="204">
      <c r="B204" s="24"/>
      <c r="E204" s="113"/>
      <c r="F204" s="266"/>
      <c r="G204" s="289"/>
      <c r="H204" s="128"/>
      <c r="I204" s="128"/>
      <c r="J204" s="128"/>
      <c r="K204" s="265"/>
      <c r="L204" s="117"/>
      <c r="N204" s="117"/>
      <c r="R204" s="117"/>
      <c r="T204" s="117"/>
      <c r="V204" s="117"/>
      <c r="X204" s="117"/>
      <c r="Y204" s="10"/>
      <c r="Z204" s="11"/>
      <c r="AA204" s="36"/>
      <c r="AB204" s="36"/>
      <c r="AC204" s="13"/>
      <c r="AD204" s="13"/>
      <c r="AE204" s="37"/>
      <c r="AF204" s="37"/>
      <c r="AG204" s="14"/>
      <c r="AH204" s="14"/>
      <c r="AI204" s="14"/>
      <c r="AZ204" s="24"/>
    </row>
    <row r="205">
      <c r="B205" s="24"/>
      <c r="E205" s="113"/>
      <c r="F205" s="266"/>
      <c r="G205" s="289"/>
      <c r="H205" s="128"/>
      <c r="I205" s="128"/>
      <c r="J205" s="128"/>
      <c r="K205" s="265"/>
      <c r="L205" s="117"/>
      <c r="N205" s="117"/>
      <c r="R205" s="117"/>
      <c r="T205" s="117"/>
      <c r="V205" s="117"/>
      <c r="X205" s="117"/>
      <c r="Y205" s="10"/>
      <c r="Z205" s="11"/>
      <c r="AA205" s="36"/>
      <c r="AB205" s="36"/>
      <c r="AC205" s="13"/>
      <c r="AD205" s="13"/>
      <c r="AE205" s="37"/>
      <c r="AF205" s="37"/>
      <c r="AG205" s="14"/>
      <c r="AH205" s="14"/>
      <c r="AI205" s="14"/>
      <c r="AZ205" s="24"/>
    </row>
    <row r="206">
      <c r="B206" s="24"/>
      <c r="E206" s="113"/>
      <c r="F206" s="266"/>
      <c r="G206" s="289"/>
      <c r="H206" s="128"/>
      <c r="I206" s="128"/>
      <c r="J206" s="128"/>
      <c r="K206" s="265"/>
      <c r="L206" s="117"/>
      <c r="N206" s="117"/>
      <c r="R206" s="117"/>
      <c r="T206" s="117"/>
      <c r="V206" s="117"/>
      <c r="X206" s="117"/>
      <c r="Y206" s="10"/>
      <c r="Z206" s="11"/>
      <c r="AA206" s="36"/>
      <c r="AB206" s="36"/>
      <c r="AC206" s="13"/>
      <c r="AD206" s="13"/>
      <c r="AE206" s="37"/>
      <c r="AF206" s="37"/>
      <c r="AG206" s="14"/>
      <c r="AH206" s="14"/>
      <c r="AI206" s="14"/>
      <c r="AZ206" s="24"/>
    </row>
    <row r="207">
      <c r="B207" s="24"/>
      <c r="E207" s="113"/>
      <c r="F207" s="266"/>
      <c r="G207" s="289"/>
      <c r="H207" s="128"/>
      <c r="I207" s="128"/>
      <c r="J207" s="128"/>
      <c r="K207" s="265"/>
      <c r="L207" s="117"/>
      <c r="N207" s="117"/>
      <c r="R207" s="117"/>
      <c r="T207" s="117"/>
      <c r="V207" s="117"/>
      <c r="X207" s="117"/>
      <c r="Y207" s="10"/>
      <c r="Z207" s="11"/>
      <c r="AA207" s="36"/>
      <c r="AB207" s="36"/>
      <c r="AC207" s="13"/>
      <c r="AD207" s="13"/>
      <c r="AE207" s="37"/>
      <c r="AF207" s="37"/>
      <c r="AG207" s="14"/>
      <c r="AH207" s="14"/>
      <c r="AI207" s="14"/>
      <c r="AZ207" s="24"/>
    </row>
    <row r="208">
      <c r="B208" s="24"/>
      <c r="E208" s="113"/>
      <c r="F208" s="266"/>
      <c r="G208" s="289"/>
      <c r="H208" s="128"/>
      <c r="I208" s="128"/>
      <c r="J208" s="128"/>
      <c r="K208" s="265"/>
      <c r="L208" s="117"/>
      <c r="N208" s="117"/>
      <c r="R208" s="117"/>
      <c r="T208" s="117"/>
      <c r="V208" s="117"/>
      <c r="X208" s="117"/>
      <c r="Y208" s="10"/>
      <c r="Z208" s="11"/>
      <c r="AA208" s="36"/>
      <c r="AB208" s="36"/>
      <c r="AC208" s="13"/>
      <c r="AD208" s="13"/>
      <c r="AE208" s="37"/>
      <c r="AF208" s="37"/>
      <c r="AG208" s="14"/>
      <c r="AH208" s="14"/>
      <c r="AI208" s="14"/>
      <c r="AZ208" s="24"/>
    </row>
    <row r="209">
      <c r="B209" s="24"/>
      <c r="E209" s="113"/>
      <c r="F209" s="266"/>
      <c r="G209" s="289"/>
      <c r="H209" s="128"/>
      <c r="I209" s="128"/>
      <c r="J209" s="128"/>
      <c r="K209" s="265"/>
      <c r="L209" s="117"/>
      <c r="N209" s="117"/>
      <c r="R209" s="117"/>
      <c r="T209" s="117"/>
      <c r="V209" s="117"/>
      <c r="X209" s="117"/>
      <c r="Y209" s="10"/>
      <c r="Z209" s="11"/>
      <c r="AA209" s="36"/>
      <c r="AB209" s="36"/>
      <c r="AC209" s="13"/>
      <c r="AD209" s="13"/>
      <c r="AE209" s="37"/>
      <c r="AF209" s="37"/>
      <c r="AG209" s="14"/>
      <c r="AH209" s="14"/>
      <c r="AI209" s="14"/>
      <c r="AZ209" s="24"/>
    </row>
    <row r="210">
      <c r="B210" s="24"/>
      <c r="E210" s="113"/>
      <c r="F210" s="266"/>
      <c r="G210" s="113"/>
      <c r="K210" s="36"/>
      <c r="L210" s="117"/>
      <c r="N210" s="117"/>
      <c r="R210" s="117"/>
      <c r="T210" s="117"/>
      <c r="V210" s="117"/>
      <c r="X210" s="117"/>
      <c r="Y210" s="10"/>
      <c r="Z210" s="11"/>
      <c r="AA210" s="36"/>
      <c r="AB210" s="36"/>
      <c r="AC210" s="13"/>
      <c r="AD210" s="13"/>
      <c r="AE210" s="37"/>
      <c r="AF210" s="37"/>
      <c r="AG210" s="14"/>
      <c r="AH210" s="14"/>
      <c r="AI210" s="14"/>
      <c r="AZ210" s="24"/>
    </row>
    <row r="211">
      <c r="B211" s="24"/>
      <c r="E211" s="113"/>
      <c r="F211" s="266"/>
      <c r="G211" s="113"/>
      <c r="K211" s="36"/>
      <c r="L211" s="117"/>
      <c r="N211" s="117"/>
      <c r="R211" s="117"/>
      <c r="T211" s="117"/>
      <c r="V211" s="117"/>
      <c r="X211" s="117"/>
      <c r="Y211" s="10"/>
      <c r="Z211" s="11"/>
      <c r="AA211" s="36"/>
      <c r="AB211" s="36"/>
      <c r="AC211" s="13"/>
      <c r="AD211" s="13"/>
      <c r="AE211" s="37"/>
      <c r="AF211" s="37"/>
      <c r="AG211" s="14"/>
      <c r="AH211" s="14"/>
      <c r="AI211" s="14"/>
      <c r="AZ211" s="24"/>
    </row>
    <row r="212">
      <c r="B212" s="24"/>
      <c r="E212" s="113"/>
      <c r="F212" s="266"/>
      <c r="G212" s="113"/>
      <c r="K212" s="36"/>
      <c r="L212" s="117"/>
      <c r="N212" s="117"/>
      <c r="R212" s="117"/>
      <c r="T212" s="117"/>
      <c r="V212" s="117"/>
      <c r="X212" s="117"/>
      <c r="Y212" s="10"/>
      <c r="Z212" s="11"/>
      <c r="AA212" s="36"/>
      <c r="AB212" s="36"/>
      <c r="AC212" s="13"/>
      <c r="AD212" s="13"/>
      <c r="AE212" s="37"/>
      <c r="AF212" s="37"/>
      <c r="AG212" s="14"/>
      <c r="AH212" s="14"/>
      <c r="AI212" s="14"/>
      <c r="AZ212" s="24"/>
    </row>
    <row r="213">
      <c r="B213" s="24"/>
      <c r="E213" s="113"/>
      <c r="F213" s="266"/>
      <c r="G213" s="113"/>
      <c r="K213" s="36"/>
      <c r="L213" s="117"/>
      <c r="N213" s="117"/>
      <c r="R213" s="117"/>
      <c r="T213" s="117"/>
      <c r="V213" s="117"/>
      <c r="X213" s="117"/>
      <c r="Y213" s="10"/>
      <c r="Z213" s="11"/>
      <c r="AA213" s="36"/>
      <c r="AB213" s="36"/>
      <c r="AC213" s="13"/>
      <c r="AD213" s="13"/>
      <c r="AE213" s="37"/>
      <c r="AF213" s="37"/>
      <c r="AG213" s="14"/>
      <c r="AH213" s="14"/>
      <c r="AI213" s="14"/>
      <c r="AZ213" s="24"/>
    </row>
    <row r="214">
      <c r="B214" s="24"/>
      <c r="E214" s="113"/>
      <c r="F214" s="266"/>
      <c r="G214" s="113"/>
      <c r="K214" s="36"/>
      <c r="L214" s="117"/>
      <c r="N214" s="117"/>
      <c r="R214" s="117"/>
      <c r="T214" s="117"/>
      <c r="V214" s="117"/>
      <c r="X214" s="117"/>
      <c r="Y214" s="10"/>
      <c r="Z214" s="11"/>
      <c r="AA214" s="36"/>
      <c r="AB214" s="36"/>
      <c r="AC214" s="13"/>
      <c r="AD214" s="13"/>
      <c r="AE214" s="37"/>
      <c r="AF214" s="37"/>
      <c r="AG214" s="14"/>
      <c r="AH214" s="14"/>
      <c r="AI214" s="14"/>
      <c r="AZ214" s="24"/>
    </row>
    <row r="215">
      <c r="B215" s="24"/>
      <c r="E215" s="113"/>
      <c r="F215" s="266"/>
      <c r="G215" s="113"/>
      <c r="K215" s="36"/>
      <c r="L215" s="117"/>
      <c r="N215" s="117"/>
      <c r="R215" s="117"/>
      <c r="T215" s="117"/>
      <c r="V215" s="117"/>
      <c r="X215" s="117"/>
      <c r="Y215" s="10"/>
      <c r="Z215" s="11"/>
      <c r="AA215" s="36"/>
      <c r="AB215" s="36"/>
      <c r="AC215" s="13"/>
      <c r="AD215" s="13"/>
      <c r="AE215" s="37"/>
      <c r="AF215" s="37"/>
      <c r="AG215" s="14"/>
      <c r="AH215" s="14"/>
      <c r="AI215" s="14"/>
      <c r="AZ215" s="24"/>
    </row>
    <row r="216">
      <c r="B216" s="24"/>
      <c r="E216" s="113"/>
      <c r="F216" s="266"/>
      <c r="G216" s="113"/>
      <c r="K216" s="36"/>
      <c r="L216" s="117"/>
      <c r="N216" s="117"/>
      <c r="R216" s="117"/>
      <c r="T216" s="117"/>
      <c r="V216" s="117"/>
      <c r="X216" s="117"/>
      <c r="Y216" s="10"/>
      <c r="Z216" s="11"/>
      <c r="AA216" s="36"/>
      <c r="AB216" s="36"/>
      <c r="AC216" s="13"/>
      <c r="AD216" s="13"/>
      <c r="AE216" s="37"/>
      <c r="AF216" s="37"/>
      <c r="AG216" s="14"/>
      <c r="AH216" s="14"/>
      <c r="AI216" s="14"/>
      <c r="AZ216" s="24"/>
    </row>
    <row r="217">
      <c r="B217" s="24"/>
      <c r="E217" s="113"/>
      <c r="F217" s="266"/>
      <c r="G217" s="113"/>
      <c r="K217" s="36"/>
      <c r="L217" s="117"/>
      <c r="N217" s="117"/>
      <c r="R217" s="117"/>
      <c r="T217" s="117"/>
      <c r="V217" s="117"/>
      <c r="X217" s="117"/>
      <c r="Y217" s="10"/>
      <c r="Z217" s="11"/>
      <c r="AA217" s="36"/>
      <c r="AB217" s="36"/>
      <c r="AC217" s="13"/>
      <c r="AD217" s="13"/>
      <c r="AE217" s="37"/>
      <c r="AF217" s="37"/>
      <c r="AG217" s="14"/>
      <c r="AH217" s="14"/>
      <c r="AI217" s="14"/>
      <c r="AZ217" s="24"/>
    </row>
    <row r="218">
      <c r="B218" s="24"/>
      <c r="E218" s="113"/>
      <c r="F218" s="266"/>
      <c r="G218" s="113"/>
      <c r="K218" s="36"/>
      <c r="L218" s="117"/>
      <c r="N218" s="117"/>
      <c r="R218" s="117"/>
      <c r="T218" s="117"/>
      <c r="V218" s="117"/>
      <c r="X218" s="117"/>
      <c r="Y218" s="10"/>
      <c r="Z218" s="11"/>
      <c r="AA218" s="36"/>
      <c r="AB218" s="36"/>
      <c r="AC218" s="13"/>
      <c r="AD218" s="13"/>
      <c r="AE218" s="37"/>
      <c r="AF218" s="37"/>
      <c r="AG218" s="14"/>
      <c r="AH218" s="14"/>
      <c r="AI218" s="14"/>
      <c r="AZ218" s="24"/>
    </row>
    <row r="219">
      <c r="B219" s="24"/>
      <c r="E219" s="113"/>
      <c r="F219" s="266"/>
      <c r="G219" s="113"/>
      <c r="K219" s="36"/>
      <c r="L219" s="117"/>
      <c r="N219" s="117"/>
      <c r="R219" s="117"/>
      <c r="T219" s="117"/>
      <c r="V219" s="117"/>
      <c r="X219" s="117"/>
      <c r="Y219" s="10"/>
      <c r="Z219" s="11"/>
      <c r="AA219" s="36"/>
      <c r="AB219" s="36"/>
      <c r="AC219" s="13"/>
      <c r="AD219" s="13"/>
      <c r="AE219" s="37"/>
      <c r="AF219" s="37"/>
      <c r="AG219" s="14"/>
      <c r="AH219" s="14"/>
      <c r="AI219" s="14"/>
      <c r="AZ219" s="24"/>
    </row>
    <row r="220">
      <c r="B220" s="24"/>
      <c r="E220" s="113"/>
      <c r="F220" s="266"/>
      <c r="G220" s="113"/>
      <c r="K220" s="36"/>
      <c r="L220" s="117"/>
      <c r="N220" s="117"/>
      <c r="R220" s="117"/>
      <c r="T220" s="117"/>
      <c r="V220" s="117"/>
      <c r="X220" s="117"/>
      <c r="Y220" s="10"/>
      <c r="Z220" s="11"/>
      <c r="AA220" s="36"/>
      <c r="AB220" s="36"/>
      <c r="AC220" s="13"/>
      <c r="AD220" s="13"/>
      <c r="AE220" s="37"/>
      <c r="AF220" s="37"/>
      <c r="AG220" s="14"/>
      <c r="AH220" s="14"/>
      <c r="AI220" s="14"/>
      <c r="AZ220" s="24"/>
    </row>
    <row r="221">
      <c r="B221" s="24"/>
      <c r="E221" s="113"/>
      <c r="F221" s="266"/>
      <c r="G221" s="113"/>
      <c r="K221" s="36"/>
      <c r="L221" s="117"/>
      <c r="N221" s="117"/>
      <c r="R221" s="117"/>
      <c r="T221" s="117"/>
      <c r="V221" s="117"/>
      <c r="X221" s="117"/>
      <c r="Y221" s="10"/>
      <c r="Z221" s="11"/>
      <c r="AA221" s="36"/>
      <c r="AB221" s="36"/>
      <c r="AC221" s="13"/>
      <c r="AD221" s="13"/>
      <c r="AE221" s="37"/>
      <c r="AF221" s="37"/>
      <c r="AG221" s="14"/>
      <c r="AH221" s="14"/>
      <c r="AI221" s="14"/>
      <c r="AZ221" s="24"/>
    </row>
    <row r="222">
      <c r="B222" s="24"/>
      <c r="E222" s="113"/>
      <c r="F222" s="266"/>
      <c r="G222" s="113"/>
      <c r="K222" s="36"/>
      <c r="L222" s="117"/>
      <c r="N222" s="117"/>
      <c r="R222" s="117"/>
      <c r="T222" s="117"/>
      <c r="V222" s="117"/>
      <c r="X222" s="117"/>
      <c r="Y222" s="10"/>
      <c r="Z222" s="11"/>
      <c r="AA222" s="36"/>
      <c r="AB222" s="36"/>
      <c r="AC222" s="13"/>
      <c r="AD222" s="13"/>
      <c r="AE222" s="37"/>
      <c r="AF222" s="37"/>
      <c r="AG222" s="14"/>
      <c r="AH222" s="14"/>
      <c r="AI222" s="14"/>
      <c r="AZ222" s="24"/>
    </row>
    <row r="223">
      <c r="B223" s="24"/>
      <c r="E223" s="113"/>
      <c r="F223" s="266"/>
      <c r="G223" s="113"/>
      <c r="K223" s="36"/>
      <c r="L223" s="117"/>
      <c r="N223" s="117"/>
      <c r="R223" s="117"/>
      <c r="T223" s="117"/>
      <c r="V223" s="117"/>
      <c r="X223" s="117"/>
      <c r="Y223" s="10"/>
      <c r="Z223" s="11"/>
      <c r="AA223" s="36"/>
      <c r="AB223" s="36"/>
      <c r="AC223" s="13"/>
      <c r="AD223" s="13"/>
      <c r="AE223" s="37"/>
      <c r="AF223" s="37"/>
      <c r="AG223" s="14"/>
      <c r="AH223" s="14"/>
      <c r="AI223" s="14"/>
      <c r="AZ223" s="24"/>
    </row>
    <row r="224">
      <c r="B224" s="24"/>
      <c r="E224" s="113"/>
      <c r="F224" s="266"/>
      <c r="G224" s="113"/>
      <c r="K224" s="36"/>
      <c r="L224" s="117"/>
      <c r="N224" s="117"/>
      <c r="R224" s="117"/>
      <c r="T224" s="117"/>
      <c r="V224" s="117"/>
      <c r="X224" s="117"/>
      <c r="Y224" s="10"/>
      <c r="Z224" s="11"/>
      <c r="AA224" s="36"/>
      <c r="AB224" s="36"/>
      <c r="AC224" s="13"/>
      <c r="AD224" s="13"/>
      <c r="AE224" s="37"/>
      <c r="AF224" s="37"/>
      <c r="AG224" s="14"/>
      <c r="AH224" s="14"/>
      <c r="AI224" s="14"/>
      <c r="AZ224" s="24"/>
    </row>
    <row r="225">
      <c r="B225" s="24"/>
      <c r="E225" s="113"/>
      <c r="F225" s="266"/>
      <c r="G225" s="113"/>
      <c r="K225" s="36"/>
      <c r="L225" s="117"/>
      <c r="N225" s="117"/>
      <c r="R225" s="117"/>
      <c r="T225" s="117"/>
      <c r="V225" s="117"/>
      <c r="X225" s="117"/>
      <c r="Y225" s="10"/>
      <c r="Z225" s="11"/>
      <c r="AA225" s="36"/>
      <c r="AB225" s="36"/>
      <c r="AC225" s="13"/>
      <c r="AD225" s="13"/>
      <c r="AE225" s="37"/>
      <c r="AF225" s="37"/>
      <c r="AG225" s="14"/>
      <c r="AH225" s="14"/>
      <c r="AI225" s="14"/>
      <c r="AZ225" s="24"/>
    </row>
    <row r="226">
      <c r="B226" s="24"/>
      <c r="E226" s="113"/>
      <c r="F226" s="266"/>
      <c r="G226" s="113"/>
      <c r="K226" s="36"/>
      <c r="L226" s="117"/>
      <c r="N226" s="117"/>
      <c r="R226" s="117"/>
      <c r="T226" s="117"/>
      <c r="V226" s="117"/>
      <c r="X226" s="117"/>
      <c r="Y226" s="10"/>
      <c r="Z226" s="11"/>
      <c r="AA226" s="36"/>
      <c r="AB226" s="36"/>
      <c r="AC226" s="13"/>
      <c r="AD226" s="13"/>
      <c r="AE226" s="37"/>
      <c r="AF226" s="37"/>
      <c r="AG226" s="14"/>
      <c r="AH226" s="14"/>
      <c r="AI226" s="14"/>
      <c r="AZ226" s="24"/>
    </row>
    <row r="227">
      <c r="B227" s="24"/>
      <c r="E227" s="113"/>
      <c r="F227" s="266"/>
      <c r="G227" s="113"/>
      <c r="K227" s="36"/>
      <c r="L227" s="117"/>
      <c r="N227" s="117"/>
      <c r="R227" s="117"/>
      <c r="T227" s="117"/>
      <c r="V227" s="117"/>
      <c r="X227" s="117"/>
      <c r="Y227" s="10"/>
      <c r="Z227" s="11"/>
      <c r="AA227" s="36"/>
      <c r="AB227" s="36"/>
      <c r="AC227" s="13"/>
      <c r="AD227" s="13"/>
      <c r="AE227" s="37"/>
      <c r="AF227" s="37"/>
      <c r="AG227" s="14"/>
      <c r="AH227" s="14"/>
      <c r="AI227" s="14"/>
      <c r="AZ227" s="24"/>
    </row>
    <row r="228">
      <c r="B228" s="24"/>
      <c r="E228" s="113"/>
      <c r="F228" s="266"/>
      <c r="G228" s="113"/>
      <c r="K228" s="36"/>
      <c r="L228" s="117"/>
      <c r="N228" s="117"/>
      <c r="R228" s="117"/>
      <c r="T228" s="117"/>
      <c r="V228" s="117"/>
      <c r="X228" s="117"/>
      <c r="Y228" s="10"/>
      <c r="Z228" s="11"/>
      <c r="AA228" s="36"/>
      <c r="AB228" s="36"/>
      <c r="AC228" s="13"/>
      <c r="AD228" s="13"/>
      <c r="AE228" s="37"/>
      <c r="AF228" s="37"/>
      <c r="AG228" s="14"/>
      <c r="AH228" s="14"/>
      <c r="AI228" s="14"/>
      <c r="AZ228" s="24"/>
    </row>
    <row r="229">
      <c r="B229" s="24"/>
      <c r="E229" s="113"/>
      <c r="F229" s="266"/>
      <c r="G229" s="113"/>
      <c r="K229" s="36"/>
      <c r="L229" s="117"/>
      <c r="N229" s="117"/>
      <c r="R229" s="117"/>
      <c r="T229" s="117"/>
      <c r="V229" s="117"/>
      <c r="X229" s="117"/>
      <c r="Y229" s="10"/>
      <c r="Z229" s="11"/>
      <c r="AA229" s="36"/>
      <c r="AB229" s="36"/>
      <c r="AC229" s="13"/>
      <c r="AD229" s="13"/>
      <c r="AE229" s="37"/>
      <c r="AF229" s="37"/>
      <c r="AG229" s="14"/>
      <c r="AH229" s="14"/>
      <c r="AI229" s="14"/>
      <c r="AZ229" s="24"/>
    </row>
    <row r="230">
      <c r="B230" s="24"/>
      <c r="E230" s="113"/>
      <c r="F230" s="266"/>
      <c r="G230" s="113"/>
      <c r="K230" s="36"/>
      <c r="L230" s="117"/>
      <c r="N230" s="117"/>
      <c r="R230" s="117"/>
      <c r="T230" s="117"/>
      <c r="V230" s="117"/>
      <c r="X230" s="117"/>
      <c r="Y230" s="10"/>
      <c r="Z230" s="11"/>
      <c r="AA230" s="36"/>
      <c r="AB230" s="36"/>
      <c r="AC230" s="13"/>
      <c r="AD230" s="13"/>
      <c r="AE230" s="37"/>
      <c r="AF230" s="37"/>
      <c r="AG230" s="14"/>
      <c r="AH230" s="14"/>
      <c r="AI230" s="14"/>
      <c r="AZ230" s="24"/>
    </row>
    <row r="231">
      <c r="B231" s="24"/>
      <c r="E231" s="113"/>
      <c r="F231" s="266"/>
      <c r="G231" s="113"/>
      <c r="K231" s="36"/>
      <c r="L231" s="117"/>
      <c r="N231" s="117"/>
      <c r="R231" s="117"/>
      <c r="T231" s="117"/>
      <c r="V231" s="117"/>
      <c r="X231" s="117"/>
      <c r="Y231" s="10"/>
      <c r="Z231" s="11"/>
      <c r="AA231" s="36"/>
      <c r="AB231" s="36"/>
      <c r="AC231" s="13"/>
      <c r="AD231" s="13"/>
      <c r="AE231" s="37"/>
      <c r="AF231" s="37"/>
      <c r="AG231" s="14"/>
      <c r="AH231" s="14"/>
      <c r="AI231" s="14"/>
      <c r="AZ231" s="24"/>
    </row>
    <row r="232">
      <c r="B232" s="24"/>
      <c r="E232" s="113"/>
      <c r="F232" s="266"/>
      <c r="G232" s="113"/>
      <c r="K232" s="36"/>
      <c r="L232" s="117"/>
      <c r="N232" s="117"/>
      <c r="R232" s="117"/>
      <c r="T232" s="117"/>
      <c r="V232" s="117"/>
      <c r="X232" s="117"/>
      <c r="Y232" s="10"/>
      <c r="Z232" s="11"/>
      <c r="AA232" s="36"/>
      <c r="AB232" s="36"/>
      <c r="AC232" s="13"/>
      <c r="AD232" s="13"/>
      <c r="AE232" s="37"/>
      <c r="AF232" s="37"/>
      <c r="AG232" s="14"/>
      <c r="AH232" s="14"/>
      <c r="AI232" s="14"/>
      <c r="AZ232" s="24"/>
    </row>
    <row r="233">
      <c r="B233" s="24"/>
      <c r="E233" s="113"/>
      <c r="F233" s="266"/>
      <c r="G233" s="113"/>
      <c r="K233" s="36"/>
      <c r="L233" s="117"/>
      <c r="N233" s="117"/>
      <c r="R233" s="117"/>
      <c r="T233" s="117"/>
      <c r="V233" s="117"/>
      <c r="X233" s="117"/>
      <c r="Y233" s="10"/>
      <c r="Z233" s="11"/>
      <c r="AA233" s="36"/>
      <c r="AB233" s="36"/>
      <c r="AC233" s="13"/>
      <c r="AD233" s="13"/>
      <c r="AE233" s="37"/>
      <c r="AF233" s="37"/>
      <c r="AG233" s="14"/>
      <c r="AH233" s="14"/>
      <c r="AI233" s="14"/>
      <c r="AZ233" s="24"/>
    </row>
    <row r="234">
      <c r="B234" s="24"/>
      <c r="E234" s="113"/>
      <c r="F234" s="266"/>
      <c r="G234" s="113"/>
      <c r="K234" s="36"/>
      <c r="L234" s="117"/>
      <c r="N234" s="117"/>
      <c r="R234" s="117"/>
      <c r="T234" s="117"/>
      <c r="V234" s="117"/>
      <c r="X234" s="117"/>
      <c r="Y234" s="10"/>
      <c r="Z234" s="11"/>
      <c r="AA234" s="36"/>
      <c r="AB234" s="36"/>
      <c r="AC234" s="13"/>
      <c r="AD234" s="13"/>
      <c r="AE234" s="37"/>
      <c r="AF234" s="37"/>
      <c r="AG234" s="14"/>
      <c r="AH234" s="14"/>
      <c r="AI234" s="14"/>
      <c r="AZ234" s="24"/>
    </row>
    <row r="235">
      <c r="B235" s="24"/>
      <c r="E235" s="113"/>
      <c r="F235" s="266"/>
      <c r="G235" s="113"/>
      <c r="K235" s="36"/>
      <c r="L235" s="117"/>
      <c r="N235" s="117"/>
      <c r="R235" s="117"/>
      <c r="T235" s="117"/>
      <c r="V235" s="117"/>
      <c r="X235" s="117"/>
      <c r="Y235" s="10"/>
      <c r="Z235" s="11"/>
      <c r="AA235" s="36"/>
      <c r="AB235" s="36"/>
      <c r="AC235" s="13"/>
      <c r="AD235" s="13"/>
      <c r="AE235" s="37"/>
      <c r="AF235" s="37"/>
      <c r="AG235" s="14"/>
      <c r="AH235" s="14"/>
      <c r="AI235" s="14"/>
      <c r="AZ235" s="24"/>
    </row>
    <row r="236">
      <c r="B236" s="24"/>
      <c r="E236" s="113"/>
      <c r="F236" s="266"/>
      <c r="G236" s="113"/>
      <c r="K236" s="36"/>
      <c r="L236" s="117"/>
      <c r="N236" s="117"/>
      <c r="R236" s="117"/>
      <c r="T236" s="117"/>
      <c r="V236" s="117"/>
      <c r="X236" s="117"/>
      <c r="Y236" s="10"/>
      <c r="Z236" s="11"/>
      <c r="AA236" s="36"/>
      <c r="AB236" s="36"/>
      <c r="AC236" s="13"/>
      <c r="AD236" s="13"/>
      <c r="AE236" s="37"/>
      <c r="AF236" s="37"/>
      <c r="AG236" s="14"/>
      <c r="AH236" s="14"/>
      <c r="AI236" s="14"/>
      <c r="AZ236" s="24"/>
    </row>
    <row r="237">
      <c r="B237" s="24"/>
      <c r="E237" s="113"/>
      <c r="F237" s="266"/>
      <c r="G237" s="113"/>
      <c r="K237" s="36"/>
      <c r="L237" s="117"/>
      <c r="N237" s="117"/>
      <c r="R237" s="117"/>
      <c r="T237" s="117"/>
      <c r="V237" s="117"/>
      <c r="X237" s="117"/>
      <c r="Y237" s="10"/>
      <c r="Z237" s="11"/>
      <c r="AA237" s="36"/>
      <c r="AB237" s="36"/>
      <c r="AC237" s="13"/>
      <c r="AD237" s="13"/>
      <c r="AE237" s="37"/>
      <c r="AF237" s="37"/>
      <c r="AG237" s="14"/>
      <c r="AH237" s="14"/>
      <c r="AI237" s="14"/>
      <c r="AZ237" s="24"/>
    </row>
    <row r="238">
      <c r="B238" s="24"/>
      <c r="E238" s="113"/>
      <c r="F238" s="266"/>
      <c r="G238" s="113"/>
      <c r="K238" s="36"/>
      <c r="L238" s="117"/>
      <c r="N238" s="117"/>
      <c r="R238" s="117"/>
      <c r="T238" s="117"/>
      <c r="V238" s="117"/>
      <c r="X238" s="117"/>
      <c r="Y238" s="10"/>
      <c r="Z238" s="11"/>
      <c r="AA238" s="36"/>
      <c r="AB238" s="36"/>
      <c r="AC238" s="13"/>
      <c r="AD238" s="13"/>
      <c r="AE238" s="37"/>
      <c r="AF238" s="37"/>
      <c r="AG238" s="14"/>
      <c r="AH238" s="14"/>
      <c r="AI238" s="14"/>
      <c r="AZ238" s="24"/>
    </row>
    <row r="239">
      <c r="B239" s="24"/>
      <c r="E239" s="113"/>
      <c r="F239" s="266"/>
      <c r="G239" s="113"/>
      <c r="K239" s="36"/>
      <c r="L239" s="117"/>
      <c r="N239" s="117"/>
      <c r="R239" s="117"/>
      <c r="T239" s="117"/>
      <c r="V239" s="117"/>
      <c r="X239" s="117"/>
      <c r="Y239" s="10"/>
      <c r="Z239" s="11"/>
      <c r="AA239" s="36"/>
      <c r="AB239" s="36"/>
      <c r="AC239" s="13"/>
      <c r="AD239" s="13"/>
      <c r="AE239" s="37"/>
      <c r="AF239" s="37"/>
      <c r="AG239" s="14"/>
      <c r="AH239" s="14"/>
      <c r="AI239" s="14"/>
      <c r="AZ239" s="24"/>
    </row>
    <row r="240">
      <c r="B240" s="24"/>
      <c r="E240" s="113"/>
      <c r="F240" s="266"/>
      <c r="G240" s="113"/>
      <c r="K240" s="36"/>
      <c r="L240" s="117"/>
      <c r="N240" s="117"/>
      <c r="R240" s="117"/>
      <c r="T240" s="117"/>
      <c r="V240" s="117"/>
      <c r="X240" s="117"/>
      <c r="Y240" s="10"/>
      <c r="Z240" s="11"/>
      <c r="AA240" s="36"/>
      <c r="AB240" s="36"/>
      <c r="AC240" s="13"/>
      <c r="AD240" s="13"/>
      <c r="AE240" s="37"/>
      <c r="AF240" s="37"/>
      <c r="AG240" s="14"/>
      <c r="AH240" s="14"/>
      <c r="AI240" s="14"/>
      <c r="AZ240" s="24"/>
    </row>
    <row r="241">
      <c r="B241" s="24"/>
      <c r="E241" s="113"/>
      <c r="F241" s="266"/>
      <c r="G241" s="113"/>
      <c r="K241" s="36"/>
      <c r="L241" s="117"/>
      <c r="N241" s="117"/>
      <c r="R241" s="117"/>
      <c r="T241" s="117"/>
      <c r="V241" s="117"/>
      <c r="X241" s="117"/>
      <c r="Y241" s="10"/>
      <c r="Z241" s="11"/>
      <c r="AA241" s="36"/>
      <c r="AB241" s="36"/>
      <c r="AC241" s="13"/>
      <c r="AD241" s="13"/>
      <c r="AE241" s="37"/>
      <c r="AF241" s="37"/>
      <c r="AG241" s="14"/>
      <c r="AH241" s="14"/>
      <c r="AI241" s="14"/>
      <c r="AZ241" s="24"/>
    </row>
    <row r="242">
      <c r="B242" s="24"/>
      <c r="E242" s="113"/>
      <c r="F242" s="266"/>
      <c r="G242" s="113"/>
      <c r="K242" s="36"/>
      <c r="L242" s="117"/>
      <c r="N242" s="117"/>
      <c r="R242" s="117"/>
      <c r="T242" s="117"/>
      <c r="V242" s="117"/>
      <c r="X242" s="117"/>
      <c r="Y242" s="10"/>
      <c r="Z242" s="11"/>
      <c r="AA242" s="36"/>
      <c r="AB242" s="36"/>
      <c r="AC242" s="13"/>
      <c r="AD242" s="13"/>
      <c r="AE242" s="37"/>
      <c r="AF242" s="37"/>
      <c r="AG242" s="14"/>
      <c r="AH242" s="14"/>
      <c r="AI242" s="14"/>
      <c r="AZ242" s="24"/>
    </row>
    <row r="243">
      <c r="B243" s="24"/>
      <c r="E243" s="113"/>
      <c r="F243" s="266"/>
      <c r="G243" s="113"/>
      <c r="K243" s="36"/>
      <c r="L243" s="117"/>
      <c r="N243" s="117"/>
      <c r="R243" s="117"/>
      <c r="T243" s="117"/>
      <c r="V243" s="117"/>
      <c r="X243" s="117"/>
      <c r="Y243" s="10"/>
      <c r="Z243" s="11"/>
      <c r="AA243" s="36"/>
      <c r="AB243" s="36"/>
      <c r="AC243" s="13"/>
      <c r="AD243" s="13"/>
      <c r="AE243" s="37"/>
      <c r="AF243" s="37"/>
      <c r="AG243" s="14"/>
      <c r="AH243" s="14"/>
      <c r="AI243" s="14"/>
      <c r="AZ243" s="24"/>
    </row>
    <row r="244">
      <c r="B244" s="24"/>
      <c r="E244" s="113"/>
      <c r="F244" s="266"/>
      <c r="G244" s="113"/>
      <c r="K244" s="36"/>
      <c r="L244" s="117"/>
      <c r="N244" s="117"/>
      <c r="R244" s="117"/>
      <c r="T244" s="117"/>
      <c r="V244" s="117"/>
      <c r="X244" s="117"/>
      <c r="Y244" s="10"/>
      <c r="Z244" s="11"/>
      <c r="AA244" s="36"/>
      <c r="AB244" s="36"/>
      <c r="AC244" s="13"/>
      <c r="AD244" s="13"/>
      <c r="AE244" s="37"/>
      <c r="AF244" s="37"/>
      <c r="AG244" s="14"/>
      <c r="AH244" s="14"/>
      <c r="AI244" s="14"/>
      <c r="AZ244" s="24"/>
    </row>
    <row r="245">
      <c r="B245" s="24"/>
      <c r="E245" s="113"/>
      <c r="F245" s="266"/>
      <c r="G245" s="113"/>
      <c r="K245" s="36"/>
      <c r="L245" s="117"/>
      <c r="N245" s="117"/>
      <c r="R245" s="117"/>
      <c r="T245" s="117"/>
      <c r="V245" s="117"/>
      <c r="X245" s="117"/>
      <c r="Y245" s="10"/>
      <c r="Z245" s="11"/>
      <c r="AA245" s="36"/>
      <c r="AB245" s="36"/>
      <c r="AC245" s="13"/>
      <c r="AD245" s="13"/>
      <c r="AE245" s="37"/>
      <c r="AF245" s="37"/>
      <c r="AG245" s="14"/>
      <c r="AH245" s="14"/>
      <c r="AI245" s="14"/>
      <c r="AZ245" s="24"/>
    </row>
    <row r="246">
      <c r="B246" s="24"/>
      <c r="E246" s="113"/>
      <c r="F246" s="266"/>
      <c r="G246" s="113"/>
      <c r="K246" s="36"/>
      <c r="L246" s="117"/>
      <c r="N246" s="117"/>
      <c r="R246" s="117"/>
      <c r="T246" s="117"/>
      <c r="V246" s="117"/>
      <c r="X246" s="117"/>
      <c r="Y246" s="10"/>
      <c r="Z246" s="11"/>
      <c r="AA246" s="36"/>
      <c r="AB246" s="36"/>
      <c r="AC246" s="13"/>
      <c r="AD246" s="13"/>
      <c r="AE246" s="37"/>
      <c r="AF246" s="37"/>
      <c r="AG246" s="14"/>
      <c r="AH246" s="14"/>
      <c r="AI246" s="14"/>
      <c r="AZ246" s="24"/>
    </row>
    <row r="247">
      <c r="B247" s="24"/>
      <c r="E247" s="113"/>
      <c r="F247" s="266"/>
      <c r="G247" s="113"/>
      <c r="K247" s="36"/>
      <c r="L247" s="117"/>
      <c r="N247" s="117"/>
      <c r="R247" s="117"/>
      <c r="T247" s="117"/>
      <c r="V247" s="117"/>
      <c r="X247" s="117"/>
      <c r="Y247" s="10"/>
      <c r="Z247" s="11"/>
      <c r="AA247" s="36"/>
      <c r="AB247" s="36"/>
      <c r="AC247" s="13"/>
      <c r="AD247" s="13"/>
      <c r="AE247" s="37"/>
      <c r="AF247" s="37"/>
      <c r="AG247" s="14"/>
      <c r="AH247" s="14"/>
      <c r="AI247" s="14"/>
      <c r="AZ247" s="24"/>
    </row>
    <row r="248">
      <c r="B248" s="24"/>
      <c r="E248" s="113"/>
      <c r="F248" s="266"/>
      <c r="G248" s="113"/>
      <c r="K248" s="36"/>
      <c r="L248" s="117"/>
      <c r="N248" s="117"/>
      <c r="R248" s="117"/>
      <c r="T248" s="117"/>
      <c r="V248" s="117"/>
      <c r="X248" s="117"/>
      <c r="Y248" s="10"/>
      <c r="Z248" s="11"/>
      <c r="AA248" s="36"/>
      <c r="AB248" s="36"/>
      <c r="AC248" s="13"/>
      <c r="AD248" s="13"/>
      <c r="AE248" s="37"/>
      <c r="AF248" s="37"/>
      <c r="AG248" s="14"/>
      <c r="AH248" s="14"/>
      <c r="AI248" s="14"/>
      <c r="AZ248" s="24"/>
    </row>
    <row r="249">
      <c r="B249" s="24"/>
      <c r="E249" s="113"/>
      <c r="F249" s="266"/>
      <c r="G249" s="113"/>
      <c r="K249" s="36"/>
      <c r="L249" s="117"/>
      <c r="N249" s="117"/>
      <c r="R249" s="117"/>
      <c r="T249" s="117"/>
      <c r="V249" s="117"/>
      <c r="X249" s="117"/>
      <c r="Y249" s="10"/>
      <c r="Z249" s="11"/>
      <c r="AA249" s="36"/>
      <c r="AB249" s="36"/>
      <c r="AC249" s="13"/>
      <c r="AD249" s="13"/>
      <c r="AE249" s="37"/>
      <c r="AF249" s="37"/>
      <c r="AG249" s="14"/>
      <c r="AH249" s="14"/>
      <c r="AI249" s="14"/>
      <c r="AZ249" s="24"/>
    </row>
    <row r="250">
      <c r="B250" s="24"/>
      <c r="E250" s="113"/>
      <c r="F250" s="266"/>
      <c r="G250" s="113"/>
      <c r="K250" s="36"/>
      <c r="L250" s="117"/>
      <c r="N250" s="117"/>
      <c r="R250" s="117"/>
      <c r="T250" s="117"/>
      <c r="V250" s="117"/>
      <c r="X250" s="117"/>
      <c r="Y250" s="10"/>
      <c r="Z250" s="11"/>
      <c r="AA250" s="36"/>
      <c r="AB250" s="36"/>
      <c r="AC250" s="13"/>
      <c r="AD250" s="13"/>
      <c r="AE250" s="37"/>
      <c r="AF250" s="37"/>
      <c r="AG250" s="14"/>
      <c r="AH250" s="14"/>
      <c r="AI250" s="14"/>
      <c r="AZ250" s="24"/>
    </row>
    <row r="251">
      <c r="B251" s="24"/>
      <c r="E251" s="113"/>
      <c r="F251" s="266"/>
      <c r="G251" s="113"/>
      <c r="K251" s="36"/>
      <c r="L251" s="117"/>
      <c r="N251" s="117"/>
      <c r="R251" s="117"/>
      <c r="T251" s="117"/>
      <c r="V251" s="117"/>
      <c r="X251" s="117"/>
      <c r="Y251" s="10"/>
      <c r="Z251" s="11"/>
      <c r="AA251" s="36"/>
      <c r="AB251" s="36"/>
      <c r="AC251" s="13"/>
      <c r="AD251" s="13"/>
      <c r="AE251" s="37"/>
      <c r="AF251" s="37"/>
      <c r="AG251" s="14"/>
      <c r="AH251" s="14"/>
      <c r="AI251" s="14"/>
      <c r="AZ251" s="24"/>
    </row>
    <row r="252">
      <c r="B252" s="24"/>
      <c r="E252" s="113"/>
      <c r="F252" s="266"/>
      <c r="G252" s="113"/>
      <c r="K252" s="36"/>
      <c r="L252" s="117"/>
      <c r="N252" s="117"/>
      <c r="R252" s="117"/>
      <c r="T252" s="117"/>
      <c r="V252" s="117"/>
      <c r="X252" s="117"/>
      <c r="Y252" s="10"/>
      <c r="Z252" s="11"/>
      <c r="AA252" s="36"/>
      <c r="AB252" s="36"/>
      <c r="AC252" s="13"/>
      <c r="AD252" s="13"/>
      <c r="AE252" s="37"/>
      <c r="AF252" s="37"/>
      <c r="AG252" s="14"/>
      <c r="AH252" s="14"/>
      <c r="AI252" s="14"/>
      <c r="AZ252" s="24"/>
    </row>
    <row r="253">
      <c r="B253" s="24"/>
      <c r="E253" s="113"/>
      <c r="F253" s="266"/>
      <c r="G253" s="113"/>
      <c r="K253" s="36"/>
      <c r="L253" s="117"/>
      <c r="N253" s="117"/>
      <c r="R253" s="117"/>
      <c r="T253" s="117"/>
      <c r="V253" s="117"/>
      <c r="X253" s="117"/>
      <c r="Y253" s="10"/>
      <c r="Z253" s="11"/>
      <c r="AA253" s="36"/>
      <c r="AB253" s="36"/>
      <c r="AC253" s="13"/>
      <c r="AD253" s="13"/>
      <c r="AE253" s="37"/>
      <c r="AF253" s="37"/>
      <c r="AG253" s="14"/>
      <c r="AH253" s="14"/>
      <c r="AI253" s="14"/>
      <c r="AZ253" s="24"/>
    </row>
    <row r="254">
      <c r="B254" s="24"/>
      <c r="E254" s="113"/>
      <c r="F254" s="266"/>
      <c r="G254" s="113"/>
      <c r="K254" s="36"/>
      <c r="L254" s="117"/>
      <c r="N254" s="117"/>
      <c r="R254" s="117"/>
      <c r="T254" s="117"/>
      <c r="V254" s="117"/>
      <c r="X254" s="117"/>
      <c r="Y254" s="10"/>
      <c r="Z254" s="11"/>
      <c r="AA254" s="36"/>
      <c r="AB254" s="36"/>
      <c r="AC254" s="13"/>
      <c r="AD254" s="13"/>
      <c r="AE254" s="37"/>
      <c r="AF254" s="37"/>
      <c r="AG254" s="14"/>
      <c r="AH254" s="14"/>
      <c r="AI254" s="14"/>
      <c r="AZ254" s="24"/>
    </row>
    <row r="255">
      <c r="B255" s="24"/>
      <c r="E255" s="113"/>
      <c r="F255" s="266"/>
      <c r="G255" s="113"/>
      <c r="K255" s="36"/>
      <c r="L255" s="117"/>
      <c r="N255" s="117"/>
      <c r="R255" s="117"/>
      <c r="T255" s="117"/>
      <c r="V255" s="117"/>
      <c r="X255" s="117"/>
      <c r="Y255" s="10"/>
      <c r="Z255" s="11"/>
      <c r="AA255" s="36"/>
      <c r="AB255" s="36"/>
      <c r="AC255" s="13"/>
      <c r="AD255" s="13"/>
      <c r="AE255" s="37"/>
      <c r="AF255" s="37"/>
      <c r="AG255" s="14"/>
      <c r="AH255" s="14"/>
      <c r="AI255" s="14"/>
      <c r="AZ255" s="24"/>
    </row>
    <row r="256">
      <c r="B256" s="24"/>
      <c r="E256" s="113"/>
      <c r="F256" s="266"/>
      <c r="G256" s="113"/>
      <c r="K256" s="36"/>
      <c r="L256" s="117"/>
      <c r="N256" s="117"/>
      <c r="R256" s="117"/>
      <c r="T256" s="117"/>
      <c r="V256" s="117"/>
      <c r="X256" s="117"/>
      <c r="Y256" s="10"/>
      <c r="Z256" s="11"/>
      <c r="AA256" s="36"/>
      <c r="AB256" s="36"/>
      <c r="AC256" s="13"/>
      <c r="AD256" s="13"/>
      <c r="AE256" s="37"/>
      <c r="AF256" s="37"/>
      <c r="AG256" s="14"/>
      <c r="AH256" s="14"/>
      <c r="AI256" s="14"/>
      <c r="AZ256" s="24"/>
    </row>
    <row r="257">
      <c r="B257" s="24"/>
      <c r="E257" s="113"/>
      <c r="F257" s="266"/>
      <c r="G257" s="113"/>
      <c r="K257" s="36"/>
      <c r="L257" s="117"/>
      <c r="N257" s="117"/>
      <c r="R257" s="117"/>
      <c r="T257" s="117"/>
      <c r="V257" s="117"/>
      <c r="X257" s="117"/>
      <c r="Y257" s="10"/>
      <c r="Z257" s="11"/>
      <c r="AA257" s="36"/>
      <c r="AB257" s="36"/>
      <c r="AC257" s="13"/>
      <c r="AD257" s="13"/>
      <c r="AE257" s="37"/>
      <c r="AF257" s="37"/>
      <c r="AG257" s="14"/>
      <c r="AH257" s="14"/>
      <c r="AI257" s="14"/>
      <c r="AZ257" s="24"/>
    </row>
    <row r="258">
      <c r="B258" s="24"/>
      <c r="E258" s="113"/>
      <c r="F258" s="266"/>
      <c r="G258" s="113"/>
      <c r="K258" s="36"/>
      <c r="L258" s="117"/>
      <c r="N258" s="117"/>
      <c r="R258" s="117"/>
      <c r="T258" s="117"/>
      <c r="V258" s="117"/>
      <c r="X258" s="117"/>
      <c r="Y258" s="10"/>
      <c r="Z258" s="11"/>
      <c r="AA258" s="36"/>
      <c r="AB258" s="36"/>
      <c r="AC258" s="13"/>
      <c r="AD258" s="13"/>
      <c r="AE258" s="37"/>
      <c r="AF258" s="37"/>
      <c r="AG258" s="14"/>
      <c r="AH258" s="14"/>
      <c r="AI258" s="14"/>
      <c r="AZ258" s="24"/>
    </row>
    <row r="259">
      <c r="B259" s="24"/>
      <c r="E259" s="113"/>
      <c r="F259" s="266"/>
      <c r="G259" s="113"/>
      <c r="K259" s="36"/>
      <c r="L259" s="117"/>
      <c r="N259" s="117"/>
      <c r="R259" s="117"/>
      <c r="T259" s="117"/>
      <c r="V259" s="117"/>
      <c r="X259" s="117"/>
      <c r="Y259" s="10"/>
      <c r="Z259" s="11"/>
      <c r="AA259" s="36"/>
      <c r="AB259" s="36"/>
      <c r="AC259" s="13"/>
      <c r="AD259" s="13"/>
      <c r="AE259" s="37"/>
      <c r="AF259" s="37"/>
      <c r="AG259" s="14"/>
      <c r="AH259" s="14"/>
      <c r="AI259" s="14"/>
      <c r="AZ259" s="24"/>
    </row>
    <row r="260">
      <c r="B260" s="24"/>
      <c r="E260" s="113"/>
      <c r="F260" s="266"/>
      <c r="G260" s="113"/>
      <c r="K260" s="36"/>
      <c r="L260" s="117"/>
      <c r="N260" s="117"/>
      <c r="R260" s="117"/>
      <c r="T260" s="117"/>
      <c r="V260" s="117"/>
      <c r="X260" s="117"/>
      <c r="Y260" s="10"/>
      <c r="Z260" s="11"/>
      <c r="AA260" s="36"/>
      <c r="AB260" s="36"/>
      <c r="AC260" s="13"/>
      <c r="AD260" s="13"/>
      <c r="AE260" s="37"/>
      <c r="AF260" s="37"/>
      <c r="AG260" s="14"/>
      <c r="AH260" s="14"/>
      <c r="AI260" s="14"/>
      <c r="AZ260" s="24"/>
    </row>
    <row r="261">
      <c r="B261" s="24"/>
      <c r="E261" s="113"/>
      <c r="F261" s="266"/>
      <c r="G261" s="113"/>
      <c r="K261" s="36"/>
      <c r="L261" s="117"/>
      <c r="N261" s="117"/>
      <c r="R261" s="117"/>
      <c r="T261" s="117"/>
      <c r="V261" s="117"/>
      <c r="X261" s="117"/>
      <c r="Y261" s="10"/>
      <c r="Z261" s="11"/>
      <c r="AA261" s="36"/>
      <c r="AB261" s="36"/>
      <c r="AC261" s="13"/>
      <c r="AD261" s="13"/>
      <c r="AE261" s="37"/>
      <c r="AF261" s="37"/>
      <c r="AG261" s="14"/>
      <c r="AH261" s="14"/>
      <c r="AI261" s="14"/>
      <c r="AZ261" s="24"/>
    </row>
    <row r="262">
      <c r="B262" s="24"/>
      <c r="E262" s="113"/>
      <c r="F262" s="266"/>
      <c r="G262" s="113"/>
      <c r="K262" s="36"/>
      <c r="L262" s="117"/>
      <c r="N262" s="117"/>
      <c r="R262" s="117"/>
      <c r="T262" s="117"/>
      <c r="V262" s="117"/>
      <c r="X262" s="117"/>
      <c r="Y262" s="10"/>
      <c r="Z262" s="11"/>
      <c r="AA262" s="36"/>
      <c r="AB262" s="36"/>
      <c r="AC262" s="13"/>
      <c r="AD262" s="13"/>
      <c r="AE262" s="37"/>
      <c r="AF262" s="37"/>
      <c r="AG262" s="14"/>
      <c r="AH262" s="14"/>
      <c r="AI262" s="14"/>
      <c r="AZ262" s="24"/>
    </row>
    <row r="263">
      <c r="B263" s="24"/>
      <c r="E263" s="113"/>
      <c r="F263" s="266"/>
      <c r="G263" s="113"/>
      <c r="K263" s="36"/>
      <c r="L263" s="117"/>
      <c r="N263" s="117"/>
      <c r="R263" s="117"/>
      <c r="T263" s="117"/>
      <c r="V263" s="117"/>
      <c r="X263" s="117"/>
      <c r="Y263" s="10"/>
      <c r="Z263" s="11"/>
      <c r="AA263" s="36"/>
      <c r="AB263" s="36"/>
      <c r="AC263" s="13"/>
      <c r="AD263" s="13"/>
      <c r="AE263" s="37"/>
      <c r="AF263" s="37"/>
      <c r="AG263" s="14"/>
      <c r="AH263" s="14"/>
      <c r="AI263" s="14"/>
      <c r="AZ263" s="24"/>
    </row>
    <row r="264">
      <c r="B264" s="24"/>
      <c r="E264" s="113"/>
      <c r="F264" s="266"/>
      <c r="G264" s="113"/>
      <c r="K264" s="36"/>
      <c r="L264" s="117"/>
      <c r="N264" s="117"/>
      <c r="R264" s="117"/>
      <c r="T264" s="117"/>
      <c r="V264" s="117"/>
      <c r="X264" s="117"/>
      <c r="Y264" s="10"/>
      <c r="Z264" s="11"/>
      <c r="AA264" s="36"/>
      <c r="AB264" s="36"/>
      <c r="AC264" s="13"/>
      <c r="AD264" s="13"/>
      <c r="AE264" s="37"/>
      <c r="AF264" s="37"/>
      <c r="AG264" s="14"/>
      <c r="AH264" s="14"/>
      <c r="AI264" s="14"/>
      <c r="AZ264" s="24"/>
    </row>
    <row r="265">
      <c r="B265" s="24"/>
      <c r="E265" s="113"/>
      <c r="F265" s="266"/>
      <c r="G265" s="113"/>
      <c r="K265" s="36"/>
      <c r="L265" s="117"/>
      <c r="N265" s="117"/>
      <c r="R265" s="117"/>
      <c r="T265" s="117"/>
      <c r="V265" s="117"/>
      <c r="X265" s="117"/>
      <c r="Y265" s="10"/>
      <c r="Z265" s="11"/>
      <c r="AA265" s="36"/>
      <c r="AB265" s="36"/>
      <c r="AC265" s="13"/>
      <c r="AD265" s="13"/>
      <c r="AE265" s="37"/>
      <c r="AF265" s="37"/>
      <c r="AG265" s="14"/>
      <c r="AH265" s="14"/>
      <c r="AI265" s="14"/>
      <c r="AZ265" s="24"/>
    </row>
    <row r="266">
      <c r="B266" s="24"/>
      <c r="E266" s="113"/>
      <c r="F266" s="266"/>
      <c r="G266" s="113"/>
      <c r="K266" s="36"/>
      <c r="L266" s="117"/>
      <c r="N266" s="117"/>
      <c r="R266" s="117"/>
      <c r="T266" s="117"/>
      <c r="V266" s="117"/>
      <c r="X266" s="117"/>
      <c r="Y266" s="10"/>
      <c r="Z266" s="11"/>
      <c r="AA266" s="36"/>
      <c r="AB266" s="36"/>
      <c r="AC266" s="13"/>
      <c r="AD266" s="13"/>
      <c r="AE266" s="37"/>
      <c r="AF266" s="37"/>
      <c r="AG266" s="14"/>
      <c r="AH266" s="14"/>
      <c r="AI266" s="14"/>
      <c r="AZ266" s="24"/>
    </row>
    <row r="267">
      <c r="B267" s="24"/>
      <c r="E267" s="113"/>
      <c r="F267" s="266"/>
      <c r="G267" s="113"/>
      <c r="K267" s="36"/>
      <c r="L267" s="117"/>
      <c r="N267" s="117"/>
      <c r="R267" s="117"/>
      <c r="T267" s="117"/>
      <c r="V267" s="117"/>
      <c r="X267" s="117"/>
      <c r="Y267" s="10"/>
      <c r="Z267" s="11"/>
      <c r="AA267" s="36"/>
      <c r="AB267" s="36"/>
      <c r="AC267" s="13"/>
      <c r="AD267" s="13"/>
      <c r="AE267" s="37"/>
      <c r="AF267" s="37"/>
      <c r="AG267" s="14"/>
      <c r="AH267" s="14"/>
      <c r="AI267" s="14"/>
      <c r="AZ267" s="24"/>
    </row>
    <row r="268">
      <c r="B268" s="24"/>
      <c r="E268" s="113"/>
      <c r="F268" s="266"/>
      <c r="G268" s="113"/>
      <c r="K268" s="36"/>
      <c r="L268" s="117"/>
      <c r="N268" s="117"/>
      <c r="R268" s="117"/>
      <c r="T268" s="117"/>
      <c r="V268" s="117"/>
      <c r="X268" s="117"/>
      <c r="Y268" s="10"/>
      <c r="Z268" s="11"/>
      <c r="AA268" s="36"/>
      <c r="AB268" s="36"/>
      <c r="AC268" s="13"/>
      <c r="AD268" s="13"/>
      <c r="AE268" s="37"/>
      <c r="AF268" s="37"/>
      <c r="AG268" s="14"/>
      <c r="AH268" s="14"/>
      <c r="AI268" s="14"/>
      <c r="AZ268" s="24"/>
    </row>
    <row r="269">
      <c r="B269" s="24"/>
      <c r="E269" s="113"/>
      <c r="F269" s="266"/>
      <c r="G269" s="113"/>
      <c r="K269" s="36"/>
      <c r="L269" s="117"/>
      <c r="N269" s="117"/>
      <c r="R269" s="117"/>
      <c r="T269" s="117"/>
      <c r="V269" s="117"/>
      <c r="X269" s="117"/>
      <c r="Y269" s="10"/>
      <c r="Z269" s="11"/>
      <c r="AA269" s="36"/>
      <c r="AB269" s="36"/>
      <c r="AC269" s="13"/>
      <c r="AD269" s="13"/>
      <c r="AE269" s="37"/>
      <c r="AF269" s="37"/>
      <c r="AG269" s="14"/>
      <c r="AH269" s="14"/>
      <c r="AI269" s="14"/>
      <c r="AZ269" s="24"/>
    </row>
    <row r="270">
      <c r="B270" s="24"/>
      <c r="E270" s="113"/>
      <c r="F270" s="266"/>
      <c r="G270" s="113"/>
      <c r="K270" s="36"/>
      <c r="L270" s="117"/>
      <c r="N270" s="117"/>
      <c r="R270" s="117"/>
      <c r="T270" s="117"/>
      <c r="V270" s="117"/>
      <c r="X270" s="117"/>
      <c r="Y270" s="10"/>
      <c r="Z270" s="11"/>
      <c r="AA270" s="36"/>
      <c r="AB270" s="36"/>
      <c r="AC270" s="13"/>
      <c r="AD270" s="13"/>
      <c r="AE270" s="37"/>
      <c r="AF270" s="37"/>
      <c r="AG270" s="14"/>
      <c r="AH270" s="14"/>
      <c r="AI270" s="14"/>
      <c r="AZ270" s="24"/>
    </row>
    <row r="271">
      <c r="B271" s="24"/>
      <c r="E271" s="113"/>
      <c r="F271" s="266"/>
      <c r="G271" s="113"/>
      <c r="K271" s="36"/>
      <c r="L271" s="117"/>
      <c r="N271" s="117"/>
      <c r="R271" s="117"/>
      <c r="T271" s="117"/>
      <c r="V271" s="117"/>
      <c r="X271" s="117"/>
      <c r="Y271" s="10"/>
      <c r="Z271" s="11"/>
      <c r="AA271" s="36"/>
      <c r="AB271" s="36"/>
      <c r="AC271" s="13"/>
      <c r="AD271" s="13"/>
      <c r="AE271" s="37"/>
      <c r="AF271" s="37"/>
      <c r="AG271" s="14"/>
      <c r="AH271" s="14"/>
      <c r="AI271" s="14"/>
      <c r="AZ271" s="24"/>
    </row>
    <row r="272">
      <c r="B272" s="24"/>
      <c r="E272" s="113"/>
      <c r="F272" s="266"/>
      <c r="G272" s="113"/>
      <c r="K272" s="36"/>
      <c r="L272" s="117"/>
      <c r="N272" s="117"/>
      <c r="R272" s="117"/>
      <c r="T272" s="117"/>
      <c r="V272" s="117"/>
      <c r="X272" s="117"/>
      <c r="Y272" s="10"/>
      <c r="Z272" s="11"/>
      <c r="AA272" s="36"/>
      <c r="AB272" s="36"/>
      <c r="AC272" s="13"/>
      <c r="AD272" s="13"/>
      <c r="AE272" s="37"/>
      <c r="AF272" s="37"/>
      <c r="AG272" s="14"/>
      <c r="AH272" s="14"/>
      <c r="AI272" s="14"/>
      <c r="AZ272" s="24"/>
    </row>
    <row r="273">
      <c r="B273" s="24"/>
      <c r="E273" s="113"/>
      <c r="F273" s="266"/>
      <c r="G273" s="113"/>
      <c r="K273" s="36"/>
      <c r="L273" s="117"/>
      <c r="N273" s="117"/>
      <c r="R273" s="117"/>
      <c r="T273" s="117"/>
      <c r="V273" s="117"/>
      <c r="X273" s="117"/>
      <c r="Y273" s="10"/>
      <c r="Z273" s="11"/>
      <c r="AA273" s="36"/>
      <c r="AB273" s="36"/>
      <c r="AC273" s="13"/>
      <c r="AD273" s="13"/>
      <c r="AE273" s="37"/>
      <c r="AF273" s="37"/>
      <c r="AG273" s="14"/>
      <c r="AH273" s="14"/>
      <c r="AI273" s="14"/>
      <c r="AZ273" s="24"/>
    </row>
    <row r="274">
      <c r="B274" s="24"/>
      <c r="E274" s="113"/>
      <c r="F274" s="266"/>
      <c r="G274" s="113"/>
      <c r="K274" s="36"/>
      <c r="L274" s="117"/>
      <c r="N274" s="117"/>
      <c r="R274" s="117"/>
      <c r="T274" s="117"/>
      <c r="V274" s="117"/>
      <c r="X274" s="117"/>
      <c r="Y274" s="10"/>
      <c r="Z274" s="11"/>
      <c r="AA274" s="36"/>
      <c r="AB274" s="36"/>
      <c r="AC274" s="13"/>
      <c r="AD274" s="13"/>
      <c r="AE274" s="37"/>
      <c r="AF274" s="37"/>
      <c r="AG274" s="14"/>
      <c r="AH274" s="14"/>
      <c r="AI274" s="14"/>
      <c r="AZ274" s="24"/>
    </row>
    <row r="275">
      <c r="B275" s="24"/>
      <c r="E275" s="113"/>
      <c r="F275" s="266"/>
      <c r="G275" s="113"/>
      <c r="K275" s="36"/>
      <c r="L275" s="117"/>
      <c r="N275" s="117"/>
      <c r="R275" s="117"/>
      <c r="T275" s="117"/>
      <c r="V275" s="117"/>
      <c r="X275" s="117"/>
      <c r="Y275" s="10"/>
      <c r="Z275" s="11"/>
      <c r="AA275" s="36"/>
      <c r="AB275" s="36"/>
      <c r="AC275" s="13"/>
      <c r="AD275" s="13"/>
      <c r="AE275" s="37"/>
      <c r="AF275" s="37"/>
      <c r="AG275" s="14"/>
      <c r="AH275" s="14"/>
      <c r="AI275" s="14"/>
      <c r="AZ275" s="24"/>
    </row>
    <row r="276">
      <c r="B276" s="24"/>
      <c r="E276" s="113"/>
      <c r="F276" s="266"/>
      <c r="G276" s="113"/>
      <c r="K276" s="36"/>
      <c r="L276" s="117"/>
      <c r="N276" s="117"/>
      <c r="R276" s="117"/>
      <c r="T276" s="117"/>
      <c r="V276" s="117"/>
      <c r="X276" s="117"/>
      <c r="Y276" s="10"/>
      <c r="Z276" s="11"/>
      <c r="AA276" s="36"/>
      <c r="AB276" s="36"/>
      <c r="AC276" s="13"/>
      <c r="AD276" s="13"/>
      <c r="AE276" s="37"/>
      <c r="AF276" s="37"/>
      <c r="AG276" s="14"/>
      <c r="AH276" s="14"/>
      <c r="AI276" s="14"/>
      <c r="AZ276" s="24"/>
    </row>
    <row r="277">
      <c r="B277" s="24"/>
      <c r="E277" s="113"/>
      <c r="F277" s="266"/>
      <c r="G277" s="113"/>
      <c r="K277" s="36"/>
      <c r="L277" s="117"/>
      <c r="N277" s="117"/>
      <c r="R277" s="117"/>
      <c r="T277" s="117"/>
      <c r="V277" s="117"/>
      <c r="X277" s="117"/>
      <c r="Y277" s="10"/>
      <c r="Z277" s="11"/>
      <c r="AA277" s="36"/>
      <c r="AB277" s="36"/>
      <c r="AC277" s="13"/>
      <c r="AD277" s="13"/>
      <c r="AE277" s="37"/>
      <c r="AF277" s="37"/>
      <c r="AG277" s="14"/>
      <c r="AH277" s="14"/>
      <c r="AI277" s="14"/>
      <c r="AZ277" s="24"/>
    </row>
    <row r="278">
      <c r="B278" s="24"/>
      <c r="E278" s="113"/>
      <c r="F278" s="266"/>
      <c r="G278" s="113"/>
      <c r="K278" s="36"/>
      <c r="L278" s="117"/>
      <c r="N278" s="117"/>
      <c r="R278" s="117"/>
      <c r="T278" s="117"/>
      <c r="V278" s="117"/>
      <c r="X278" s="117"/>
      <c r="Y278" s="10"/>
      <c r="Z278" s="11"/>
      <c r="AA278" s="36"/>
      <c r="AB278" s="36"/>
      <c r="AC278" s="13"/>
      <c r="AD278" s="13"/>
      <c r="AE278" s="37"/>
      <c r="AF278" s="37"/>
      <c r="AG278" s="14"/>
      <c r="AH278" s="14"/>
      <c r="AI278" s="14"/>
      <c r="AZ278" s="24"/>
    </row>
    <row r="279">
      <c r="B279" s="24"/>
      <c r="E279" s="113"/>
      <c r="F279" s="266"/>
      <c r="G279" s="113"/>
      <c r="K279" s="36"/>
      <c r="L279" s="117"/>
      <c r="N279" s="117"/>
      <c r="R279" s="117"/>
      <c r="T279" s="117"/>
      <c r="V279" s="117"/>
      <c r="X279" s="117"/>
      <c r="Y279" s="10"/>
      <c r="Z279" s="11"/>
      <c r="AA279" s="36"/>
      <c r="AB279" s="36"/>
      <c r="AC279" s="13"/>
      <c r="AD279" s="13"/>
      <c r="AE279" s="37"/>
      <c r="AF279" s="37"/>
      <c r="AG279" s="14"/>
      <c r="AH279" s="14"/>
      <c r="AI279" s="14"/>
      <c r="AZ279" s="24"/>
    </row>
    <row r="280">
      <c r="B280" s="24"/>
      <c r="E280" s="113"/>
      <c r="F280" s="266"/>
      <c r="G280" s="113"/>
      <c r="K280" s="36"/>
      <c r="L280" s="117"/>
      <c r="N280" s="117"/>
      <c r="R280" s="117"/>
      <c r="T280" s="117"/>
      <c r="V280" s="117"/>
      <c r="X280" s="117"/>
      <c r="Y280" s="10"/>
      <c r="Z280" s="11"/>
      <c r="AA280" s="36"/>
      <c r="AB280" s="36"/>
      <c r="AC280" s="13"/>
      <c r="AD280" s="13"/>
      <c r="AE280" s="37"/>
      <c r="AF280" s="37"/>
      <c r="AG280" s="14"/>
      <c r="AH280" s="14"/>
      <c r="AI280" s="14"/>
      <c r="AZ280" s="24"/>
    </row>
    <row r="281">
      <c r="B281" s="24"/>
      <c r="E281" s="113"/>
      <c r="F281" s="266"/>
      <c r="G281" s="113"/>
      <c r="K281" s="36"/>
      <c r="L281" s="117"/>
      <c r="N281" s="117"/>
      <c r="R281" s="117"/>
      <c r="T281" s="117"/>
      <c r="V281" s="117"/>
      <c r="X281" s="117"/>
      <c r="Y281" s="10"/>
      <c r="Z281" s="11"/>
      <c r="AA281" s="36"/>
      <c r="AB281" s="36"/>
      <c r="AC281" s="13"/>
      <c r="AD281" s="13"/>
      <c r="AE281" s="37"/>
      <c r="AF281" s="37"/>
      <c r="AG281" s="14"/>
      <c r="AH281" s="14"/>
      <c r="AI281" s="14"/>
      <c r="AZ281" s="24"/>
    </row>
    <row r="282">
      <c r="B282" s="24"/>
      <c r="E282" s="113"/>
      <c r="F282" s="266"/>
      <c r="G282" s="113"/>
      <c r="K282" s="36"/>
      <c r="L282" s="117"/>
      <c r="N282" s="117"/>
      <c r="R282" s="117"/>
      <c r="T282" s="117"/>
      <c r="V282" s="117"/>
      <c r="X282" s="117"/>
      <c r="Y282" s="10"/>
      <c r="Z282" s="11"/>
      <c r="AA282" s="36"/>
      <c r="AB282" s="36"/>
      <c r="AC282" s="13"/>
      <c r="AD282" s="13"/>
      <c r="AE282" s="37"/>
      <c r="AF282" s="37"/>
      <c r="AG282" s="14"/>
      <c r="AH282" s="14"/>
      <c r="AI282" s="14"/>
      <c r="AZ282" s="24"/>
    </row>
    <row r="283">
      <c r="B283" s="24"/>
      <c r="E283" s="113"/>
      <c r="F283" s="266"/>
      <c r="G283" s="113"/>
      <c r="K283" s="36"/>
      <c r="L283" s="117"/>
      <c r="N283" s="117"/>
      <c r="R283" s="117"/>
      <c r="T283" s="117"/>
      <c r="V283" s="117"/>
      <c r="X283" s="117"/>
      <c r="Y283" s="10"/>
      <c r="Z283" s="11"/>
      <c r="AA283" s="36"/>
      <c r="AB283" s="36"/>
      <c r="AC283" s="13"/>
      <c r="AD283" s="13"/>
      <c r="AE283" s="37"/>
      <c r="AF283" s="37"/>
      <c r="AG283" s="14"/>
      <c r="AH283" s="14"/>
      <c r="AI283" s="14"/>
      <c r="AZ283" s="24"/>
    </row>
    <row r="284">
      <c r="B284" s="24"/>
      <c r="E284" s="113"/>
      <c r="F284" s="266"/>
      <c r="G284" s="113"/>
      <c r="K284" s="36"/>
      <c r="L284" s="117"/>
      <c r="N284" s="117"/>
      <c r="R284" s="117"/>
      <c r="T284" s="117"/>
      <c r="V284" s="117"/>
      <c r="X284" s="117"/>
      <c r="Y284" s="10"/>
      <c r="Z284" s="11"/>
      <c r="AA284" s="36"/>
      <c r="AB284" s="36"/>
      <c r="AC284" s="13"/>
      <c r="AD284" s="13"/>
      <c r="AE284" s="37"/>
      <c r="AF284" s="37"/>
      <c r="AG284" s="14"/>
      <c r="AH284" s="14"/>
      <c r="AI284" s="14"/>
      <c r="AZ284" s="24"/>
    </row>
    <row r="285">
      <c r="B285" s="24"/>
      <c r="E285" s="113"/>
      <c r="F285" s="266"/>
      <c r="G285" s="113"/>
      <c r="K285" s="36"/>
      <c r="L285" s="117"/>
      <c r="N285" s="117"/>
      <c r="R285" s="117"/>
      <c r="T285" s="117"/>
      <c r="V285" s="117"/>
      <c r="X285" s="117"/>
      <c r="Y285" s="10"/>
      <c r="Z285" s="11"/>
      <c r="AA285" s="36"/>
      <c r="AB285" s="36"/>
      <c r="AC285" s="13"/>
      <c r="AD285" s="13"/>
      <c r="AE285" s="37"/>
      <c r="AF285" s="37"/>
      <c r="AG285" s="14"/>
      <c r="AH285" s="14"/>
      <c r="AI285" s="14"/>
      <c r="AZ285" s="24"/>
    </row>
    <row r="286">
      <c r="B286" s="24"/>
      <c r="E286" s="113"/>
      <c r="F286" s="266"/>
      <c r="G286" s="113"/>
      <c r="K286" s="36"/>
      <c r="L286" s="117"/>
      <c r="N286" s="117"/>
      <c r="R286" s="117"/>
      <c r="T286" s="117"/>
      <c r="V286" s="117"/>
      <c r="X286" s="117"/>
      <c r="Y286" s="10"/>
      <c r="Z286" s="11"/>
      <c r="AA286" s="36"/>
      <c r="AB286" s="36"/>
      <c r="AC286" s="13"/>
      <c r="AD286" s="13"/>
      <c r="AE286" s="37"/>
      <c r="AF286" s="37"/>
      <c r="AG286" s="14"/>
      <c r="AH286" s="14"/>
      <c r="AI286" s="14"/>
      <c r="AZ286" s="24"/>
    </row>
    <row r="287">
      <c r="B287" s="24"/>
      <c r="E287" s="113"/>
      <c r="F287" s="266"/>
      <c r="G287" s="113"/>
      <c r="K287" s="36"/>
      <c r="L287" s="117"/>
      <c r="N287" s="117"/>
      <c r="R287" s="117"/>
      <c r="T287" s="117"/>
      <c r="V287" s="117"/>
      <c r="X287" s="117"/>
      <c r="Y287" s="10"/>
      <c r="Z287" s="11"/>
      <c r="AA287" s="36"/>
      <c r="AB287" s="36"/>
      <c r="AC287" s="13"/>
      <c r="AD287" s="13"/>
      <c r="AE287" s="37"/>
      <c r="AF287" s="37"/>
      <c r="AG287" s="14"/>
      <c r="AH287" s="14"/>
      <c r="AI287" s="14"/>
      <c r="AZ287" s="24"/>
    </row>
    <row r="288">
      <c r="B288" s="24"/>
      <c r="E288" s="113"/>
      <c r="F288" s="266"/>
      <c r="G288" s="113"/>
      <c r="K288" s="36"/>
      <c r="L288" s="117"/>
      <c r="N288" s="117"/>
      <c r="R288" s="117"/>
      <c r="T288" s="117"/>
      <c r="V288" s="117"/>
      <c r="X288" s="117"/>
      <c r="Y288" s="10"/>
      <c r="Z288" s="11"/>
      <c r="AA288" s="36"/>
      <c r="AB288" s="36"/>
      <c r="AC288" s="13"/>
      <c r="AD288" s="13"/>
      <c r="AE288" s="37"/>
      <c r="AF288" s="37"/>
      <c r="AG288" s="14"/>
      <c r="AH288" s="14"/>
      <c r="AI288" s="14"/>
      <c r="AZ288" s="24"/>
    </row>
    <row r="289">
      <c r="B289" s="24"/>
      <c r="E289" s="113"/>
      <c r="F289" s="266"/>
      <c r="G289" s="113"/>
      <c r="K289" s="36"/>
      <c r="L289" s="117"/>
      <c r="N289" s="117"/>
      <c r="R289" s="117"/>
      <c r="T289" s="117"/>
      <c r="V289" s="117"/>
      <c r="X289" s="117"/>
      <c r="Y289" s="10"/>
      <c r="Z289" s="11"/>
      <c r="AA289" s="36"/>
      <c r="AB289" s="36"/>
      <c r="AC289" s="13"/>
      <c r="AD289" s="13"/>
      <c r="AE289" s="37"/>
      <c r="AF289" s="37"/>
      <c r="AG289" s="14"/>
      <c r="AH289" s="14"/>
      <c r="AI289" s="14"/>
      <c r="AZ289" s="24"/>
    </row>
    <row r="290">
      <c r="B290" s="24"/>
      <c r="E290" s="113"/>
      <c r="F290" s="266"/>
      <c r="G290" s="113"/>
      <c r="K290" s="36"/>
      <c r="L290" s="117"/>
      <c r="N290" s="117"/>
      <c r="R290" s="117"/>
      <c r="T290" s="117"/>
      <c r="V290" s="117"/>
      <c r="X290" s="117"/>
      <c r="Y290" s="10"/>
      <c r="Z290" s="11"/>
      <c r="AA290" s="36"/>
      <c r="AB290" s="36"/>
      <c r="AC290" s="13"/>
      <c r="AD290" s="13"/>
      <c r="AE290" s="37"/>
      <c r="AF290" s="37"/>
      <c r="AG290" s="14"/>
      <c r="AH290" s="14"/>
      <c r="AI290" s="14"/>
      <c r="AZ290" s="24"/>
    </row>
    <row r="291">
      <c r="B291" s="24"/>
      <c r="E291" s="113"/>
      <c r="F291" s="266"/>
      <c r="G291" s="113"/>
      <c r="K291" s="36"/>
      <c r="L291" s="117"/>
      <c r="N291" s="117"/>
      <c r="R291" s="117"/>
      <c r="T291" s="117"/>
      <c r="V291" s="117"/>
      <c r="X291" s="117"/>
      <c r="Y291" s="10"/>
      <c r="Z291" s="11"/>
      <c r="AA291" s="36"/>
      <c r="AB291" s="36"/>
      <c r="AC291" s="13"/>
      <c r="AD291" s="13"/>
      <c r="AE291" s="37"/>
      <c r="AF291" s="37"/>
      <c r="AG291" s="14"/>
      <c r="AH291" s="14"/>
      <c r="AI291" s="14"/>
      <c r="AZ291" s="24"/>
    </row>
    <row r="292">
      <c r="B292" s="24"/>
      <c r="E292" s="113"/>
      <c r="F292" s="266"/>
      <c r="G292" s="113"/>
      <c r="K292" s="36"/>
      <c r="L292" s="117"/>
      <c r="N292" s="117"/>
      <c r="R292" s="117"/>
      <c r="T292" s="117"/>
      <c r="V292" s="117"/>
      <c r="X292" s="117"/>
      <c r="Y292" s="10"/>
      <c r="Z292" s="11"/>
      <c r="AA292" s="36"/>
      <c r="AB292" s="36"/>
      <c r="AC292" s="13"/>
      <c r="AD292" s="13"/>
      <c r="AE292" s="37"/>
      <c r="AF292" s="37"/>
      <c r="AG292" s="14"/>
      <c r="AH292" s="14"/>
      <c r="AI292" s="14"/>
      <c r="AZ292" s="24"/>
    </row>
    <row r="293">
      <c r="B293" s="24"/>
      <c r="E293" s="113"/>
      <c r="F293" s="266"/>
      <c r="G293" s="113"/>
      <c r="K293" s="36"/>
      <c r="L293" s="117"/>
      <c r="N293" s="117"/>
      <c r="R293" s="117"/>
      <c r="T293" s="117"/>
      <c r="V293" s="117"/>
      <c r="X293" s="117"/>
      <c r="Y293" s="10"/>
      <c r="Z293" s="11"/>
      <c r="AA293" s="36"/>
      <c r="AB293" s="36"/>
      <c r="AC293" s="13"/>
      <c r="AD293" s="13"/>
      <c r="AE293" s="37"/>
      <c r="AF293" s="37"/>
      <c r="AG293" s="14"/>
      <c r="AH293" s="14"/>
      <c r="AI293" s="14"/>
      <c r="AZ293" s="24"/>
    </row>
    <row r="294">
      <c r="B294" s="24"/>
      <c r="E294" s="113"/>
      <c r="F294" s="266"/>
      <c r="G294" s="113"/>
      <c r="K294" s="36"/>
      <c r="L294" s="117"/>
      <c r="N294" s="117"/>
      <c r="R294" s="117"/>
      <c r="T294" s="117"/>
      <c r="V294" s="117"/>
      <c r="X294" s="117"/>
      <c r="Y294" s="10"/>
      <c r="Z294" s="11"/>
      <c r="AA294" s="36"/>
      <c r="AB294" s="36"/>
      <c r="AC294" s="13"/>
      <c r="AD294" s="13"/>
      <c r="AE294" s="37"/>
      <c r="AF294" s="37"/>
      <c r="AG294" s="14"/>
      <c r="AH294" s="14"/>
      <c r="AI294" s="14"/>
      <c r="AZ294" s="24"/>
    </row>
    <row r="295">
      <c r="B295" s="24"/>
      <c r="E295" s="113"/>
      <c r="F295" s="266"/>
      <c r="G295" s="113"/>
      <c r="K295" s="36"/>
      <c r="L295" s="117"/>
      <c r="N295" s="117"/>
      <c r="R295" s="117"/>
      <c r="T295" s="117"/>
      <c r="V295" s="117"/>
      <c r="X295" s="117"/>
      <c r="Y295" s="10"/>
      <c r="Z295" s="11"/>
      <c r="AA295" s="36"/>
      <c r="AB295" s="36"/>
      <c r="AC295" s="13"/>
      <c r="AD295" s="13"/>
      <c r="AE295" s="37"/>
      <c r="AF295" s="37"/>
      <c r="AG295" s="14"/>
      <c r="AH295" s="14"/>
      <c r="AI295" s="14"/>
      <c r="AZ295" s="24"/>
    </row>
    <row r="296">
      <c r="B296" s="24"/>
      <c r="E296" s="113"/>
      <c r="F296" s="266"/>
      <c r="G296" s="113"/>
      <c r="K296" s="36"/>
      <c r="L296" s="117"/>
      <c r="N296" s="117"/>
      <c r="R296" s="117"/>
      <c r="T296" s="117"/>
      <c r="V296" s="117"/>
      <c r="X296" s="117"/>
      <c r="Y296" s="10"/>
      <c r="Z296" s="11"/>
      <c r="AA296" s="36"/>
      <c r="AB296" s="36"/>
      <c r="AC296" s="13"/>
      <c r="AD296" s="13"/>
      <c r="AE296" s="37"/>
      <c r="AF296" s="37"/>
      <c r="AG296" s="14"/>
      <c r="AH296" s="14"/>
      <c r="AI296" s="14"/>
      <c r="AZ296" s="24"/>
    </row>
    <row r="297">
      <c r="B297" s="24"/>
      <c r="E297" s="113"/>
      <c r="F297" s="266"/>
      <c r="G297" s="113"/>
      <c r="K297" s="36"/>
      <c r="L297" s="117"/>
      <c r="N297" s="117"/>
      <c r="R297" s="117"/>
      <c r="T297" s="117"/>
      <c r="V297" s="117"/>
      <c r="X297" s="117"/>
      <c r="Y297" s="10"/>
      <c r="Z297" s="11"/>
      <c r="AA297" s="36"/>
      <c r="AB297" s="36"/>
      <c r="AC297" s="13"/>
      <c r="AD297" s="13"/>
      <c r="AE297" s="37"/>
      <c r="AF297" s="37"/>
      <c r="AG297" s="14"/>
      <c r="AH297" s="14"/>
      <c r="AI297" s="14"/>
      <c r="AZ297" s="24"/>
    </row>
    <row r="298">
      <c r="B298" s="24"/>
      <c r="E298" s="113"/>
      <c r="F298" s="266"/>
      <c r="G298" s="113"/>
      <c r="K298" s="36"/>
      <c r="L298" s="117"/>
      <c r="N298" s="117"/>
      <c r="R298" s="117"/>
      <c r="T298" s="117"/>
      <c r="V298" s="117"/>
      <c r="X298" s="117"/>
      <c r="Y298" s="10"/>
      <c r="Z298" s="11"/>
      <c r="AA298" s="36"/>
      <c r="AB298" s="36"/>
      <c r="AC298" s="13"/>
      <c r="AD298" s="13"/>
      <c r="AE298" s="37"/>
      <c r="AF298" s="37"/>
      <c r="AG298" s="14"/>
      <c r="AH298" s="14"/>
      <c r="AI298" s="14"/>
      <c r="AZ298" s="24"/>
    </row>
    <row r="299">
      <c r="B299" s="24"/>
      <c r="E299" s="113"/>
      <c r="F299" s="266"/>
      <c r="G299" s="113"/>
      <c r="K299" s="36"/>
      <c r="L299" s="117"/>
      <c r="N299" s="117"/>
      <c r="R299" s="117"/>
      <c r="T299" s="117"/>
      <c r="V299" s="117"/>
      <c r="X299" s="117"/>
      <c r="Y299" s="10"/>
      <c r="Z299" s="11"/>
      <c r="AA299" s="36"/>
      <c r="AB299" s="36"/>
      <c r="AC299" s="13"/>
      <c r="AD299" s="13"/>
      <c r="AE299" s="37"/>
      <c r="AF299" s="37"/>
      <c r="AG299" s="14"/>
      <c r="AH299" s="14"/>
      <c r="AI299" s="14"/>
      <c r="AZ299" s="24"/>
    </row>
    <row r="300">
      <c r="B300" s="24"/>
      <c r="E300" s="113"/>
      <c r="F300" s="266"/>
      <c r="G300" s="113"/>
      <c r="K300" s="36"/>
      <c r="L300" s="117"/>
      <c r="N300" s="117"/>
      <c r="R300" s="117"/>
      <c r="T300" s="117"/>
      <c r="V300" s="117"/>
      <c r="X300" s="117"/>
      <c r="Y300" s="10"/>
      <c r="Z300" s="11"/>
      <c r="AA300" s="36"/>
      <c r="AB300" s="36"/>
      <c r="AC300" s="13"/>
      <c r="AD300" s="13"/>
      <c r="AE300" s="37"/>
      <c r="AF300" s="37"/>
      <c r="AG300" s="14"/>
      <c r="AH300" s="14"/>
      <c r="AI300" s="14"/>
      <c r="AZ300" s="24"/>
    </row>
    <row r="301">
      <c r="B301" s="24"/>
      <c r="E301" s="113"/>
      <c r="F301" s="266"/>
      <c r="G301" s="113"/>
      <c r="K301" s="36"/>
      <c r="L301" s="117"/>
      <c r="N301" s="117"/>
      <c r="R301" s="117"/>
      <c r="T301" s="117"/>
      <c r="V301" s="117"/>
      <c r="X301" s="117"/>
      <c r="Y301" s="10"/>
      <c r="Z301" s="11"/>
      <c r="AA301" s="36"/>
      <c r="AB301" s="36"/>
      <c r="AC301" s="13"/>
      <c r="AD301" s="13"/>
      <c r="AE301" s="37"/>
      <c r="AF301" s="37"/>
      <c r="AG301" s="14"/>
      <c r="AH301" s="14"/>
      <c r="AI301" s="14"/>
      <c r="AZ301" s="24"/>
    </row>
    <row r="302">
      <c r="B302" s="24"/>
      <c r="E302" s="113"/>
      <c r="F302" s="266"/>
      <c r="G302" s="113"/>
      <c r="K302" s="36"/>
      <c r="L302" s="117"/>
      <c r="N302" s="117"/>
      <c r="R302" s="117"/>
      <c r="T302" s="117"/>
      <c r="V302" s="117"/>
      <c r="X302" s="117"/>
      <c r="Y302" s="10"/>
      <c r="Z302" s="11"/>
      <c r="AA302" s="36"/>
      <c r="AB302" s="36"/>
      <c r="AC302" s="13"/>
      <c r="AD302" s="13"/>
      <c r="AE302" s="37"/>
      <c r="AF302" s="37"/>
      <c r="AG302" s="14"/>
      <c r="AH302" s="14"/>
      <c r="AI302" s="14"/>
      <c r="AZ302" s="24"/>
    </row>
    <row r="303">
      <c r="B303" s="24"/>
      <c r="E303" s="113"/>
      <c r="F303" s="266"/>
      <c r="G303" s="113"/>
      <c r="K303" s="36"/>
      <c r="L303" s="117"/>
      <c r="N303" s="117"/>
      <c r="R303" s="117"/>
      <c r="T303" s="117"/>
      <c r="V303" s="117"/>
      <c r="X303" s="117"/>
      <c r="Y303" s="10"/>
      <c r="Z303" s="11"/>
      <c r="AA303" s="36"/>
      <c r="AB303" s="36"/>
      <c r="AC303" s="13"/>
      <c r="AD303" s="13"/>
      <c r="AE303" s="37"/>
      <c r="AF303" s="37"/>
      <c r="AG303" s="14"/>
      <c r="AH303" s="14"/>
      <c r="AI303" s="14"/>
      <c r="AZ303" s="24"/>
    </row>
    <row r="304">
      <c r="B304" s="24"/>
      <c r="E304" s="113"/>
      <c r="F304" s="266"/>
      <c r="G304" s="113"/>
      <c r="K304" s="36"/>
      <c r="L304" s="117"/>
      <c r="N304" s="117"/>
      <c r="R304" s="117"/>
      <c r="T304" s="117"/>
      <c r="V304" s="117"/>
      <c r="X304" s="117"/>
      <c r="Y304" s="10"/>
      <c r="Z304" s="11"/>
      <c r="AA304" s="36"/>
      <c r="AB304" s="36"/>
      <c r="AC304" s="13"/>
      <c r="AD304" s="13"/>
      <c r="AE304" s="37"/>
      <c r="AF304" s="37"/>
      <c r="AG304" s="14"/>
      <c r="AH304" s="14"/>
      <c r="AI304" s="14"/>
      <c r="AZ304" s="24"/>
    </row>
    <row r="305">
      <c r="B305" s="24"/>
      <c r="E305" s="113"/>
      <c r="F305" s="266"/>
      <c r="G305" s="113"/>
      <c r="K305" s="36"/>
      <c r="L305" s="117"/>
      <c r="N305" s="117"/>
      <c r="R305" s="117"/>
      <c r="T305" s="117"/>
      <c r="V305" s="117"/>
      <c r="X305" s="117"/>
      <c r="Y305" s="10"/>
      <c r="Z305" s="11"/>
      <c r="AA305" s="36"/>
      <c r="AB305" s="36"/>
      <c r="AC305" s="13"/>
      <c r="AD305" s="13"/>
      <c r="AE305" s="37"/>
      <c r="AF305" s="37"/>
      <c r="AG305" s="14"/>
      <c r="AH305" s="14"/>
      <c r="AI305" s="14"/>
      <c r="AZ305" s="24"/>
    </row>
    <row r="306">
      <c r="B306" s="24"/>
      <c r="E306" s="113"/>
      <c r="F306" s="266"/>
      <c r="G306" s="113"/>
      <c r="K306" s="36"/>
      <c r="L306" s="117"/>
      <c r="N306" s="117"/>
      <c r="R306" s="117"/>
      <c r="T306" s="117"/>
      <c r="V306" s="117"/>
      <c r="X306" s="117"/>
      <c r="Y306" s="10"/>
      <c r="Z306" s="11"/>
      <c r="AA306" s="36"/>
      <c r="AB306" s="36"/>
      <c r="AC306" s="13"/>
      <c r="AD306" s="13"/>
      <c r="AE306" s="37"/>
      <c r="AF306" s="37"/>
      <c r="AG306" s="14"/>
      <c r="AH306" s="14"/>
      <c r="AI306" s="14"/>
      <c r="AZ306" s="24"/>
    </row>
    <row r="307">
      <c r="B307" s="24"/>
      <c r="E307" s="113"/>
      <c r="F307" s="266"/>
      <c r="G307" s="113"/>
      <c r="K307" s="36"/>
      <c r="L307" s="117"/>
      <c r="N307" s="117"/>
      <c r="R307" s="117"/>
      <c r="T307" s="117"/>
      <c r="V307" s="117"/>
      <c r="X307" s="117"/>
      <c r="Y307" s="10"/>
      <c r="Z307" s="11"/>
      <c r="AA307" s="36"/>
      <c r="AB307" s="36"/>
      <c r="AC307" s="13"/>
      <c r="AD307" s="13"/>
      <c r="AE307" s="37"/>
      <c r="AF307" s="37"/>
      <c r="AG307" s="14"/>
      <c r="AH307" s="14"/>
      <c r="AI307" s="14"/>
      <c r="AZ307" s="24"/>
    </row>
    <row r="308">
      <c r="B308" s="24"/>
      <c r="E308" s="113"/>
      <c r="F308" s="266"/>
      <c r="G308" s="113"/>
      <c r="K308" s="36"/>
      <c r="L308" s="117"/>
      <c r="N308" s="117"/>
      <c r="R308" s="117"/>
      <c r="T308" s="117"/>
      <c r="V308" s="117"/>
      <c r="X308" s="117"/>
      <c r="Y308" s="10"/>
      <c r="Z308" s="11"/>
      <c r="AA308" s="36"/>
      <c r="AB308" s="36"/>
      <c r="AC308" s="13"/>
      <c r="AD308" s="13"/>
      <c r="AE308" s="37"/>
      <c r="AF308" s="37"/>
      <c r="AG308" s="14"/>
      <c r="AH308" s="14"/>
      <c r="AI308" s="14"/>
      <c r="AZ308" s="24"/>
    </row>
    <row r="309">
      <c r="B309" s="24"/>
      <c r="E309" s="113"/>
      <c r="F309" s="266"/>
      <c r="G309" s="113"/>
      <c r="K309" s="36"/>
      <c r="L309" s="117"/>
      <c r="N309" s="117"/>
      <c r="R309" s="117"/>
      <c r="T309" s="117"/>
      <c r="V309" s="117"/>
      <c r="X309" s="117"/>
      <c r="Y309" s="10"/>
      <c r="Z309" s="11"/>
      <c r="AA309" s="36"/>
      <c r="AB309" s="36"/>
      <c r="AC309" s="13"/>
      <c r="AD309" s="13"/>
      <c r="AE309" s="37"/>
      <c r="AF309" s="37"/>
      <c r="AG309" s="14"/>
      <c r="AH309" s="14"/>
      <c r="AI309" s="14"/>
      <c r="AZ309" s="24"/>
    </row>
    <row r="310">
      <c r="B310" s="24"/>
      <c r="E310" s="113"/>
      <c r="F310" s="266"/>
      <c r="G310" s="113"/>
      <c r="K310" s="36"/>
      <c r="L310" s="117"/>
      <c r="N310" s="117"/>
      <c r="R310" s="117"/>
      <c r="T310" s="117"/>
      <c r="V310" s="117"/>
      <c r="X310" s="117"/>
      <c r="Y310" s="10"/>
      <c r="Z310" s="11"/>
      <c r="AA310" s="36"/>
      <c r="AB310" s="36"/>
      <c r="AC310" s="13"/>
      <c r="AD310" s="13"/>
      <c r="AE310" s="37"/>
      <c r="AF310" s="37"/>
      <c r="AG310" s="14"/>
      <c r="AH310" s="14"/>
      <c r="AI310" s="14"/>
      <c r="AZ310" s="24"/>
    </row>
    <row r="311">
      <c r="B311" s="24"/>
      <c r="E311" s="113"/>
      <c r="F311" s="266"/>
      <c r="G311" s="113"/>
      <c r="K311" s="36"/>
      <c r="L311" s="117"/>
      <c r="N311" s="117"/>
      <c r="R311" s="117"/>
      <c r="T311" s="117"/>
      <c r="V311" s="117"/>
      <c r="X311" s="117"/>
      <c r="Y311" s="10"/>
      <c r="Z311" s="11"/>
      <c r="AA311" s="36"/>
      <c r="AB311" s="36"/>
      <c r="AC311" s="13"/>
      <c r="AD311" s="13"/>
      <c r="AE311" s="37"/>
      <c r="AF311" s="37"/>
      <c r="AG311" s="14"/>
      <c r="AH311" s="14"/>
      <c r="AI311" s="14"/>
      <c r="AZ311" s="24"/>
    </row>
    <row r="312">
      <c r="B312" s="24"/>
      <c r="E312" s="113"/>
      <c r="F312" s="266"/>
      <c r="G312" s="113"/>
      <c r="K312" s="36"/>
      <c r="L312" s="117"/>
      <c r="N312" s="117"/>
      <c r="R312" s="117"/>
      <c r="T312" s="117"/>
      <c r="V312" s="117"/>
      <c r="X312" s="117"/>
      <c r="Y312" s="10"/>
      <c r="Z312" s="11"/>
      <c r="AA312" s="36"/>
      <c r="AB312" s="36"/>
      <c r="AC312" s="13"/>
      <c r="AD312" s="13"/>
      <c r="AE312" s="37"/>
      <c r="AF312" s="37"/>
      <c r="AG312" s="14"/>
      <c r="AH312" s="14"/>
      <c r="AI312" s="14"/>
      <c r="AZ312" s="24"/>
    </row>
    <row r="313">
      <c r="B313" s="24"/>
      <c r="E313" s="113"/>
      <c r="F313" s="266"/>
      <c r="G313" s="113"/>
      <c r="K313" s="36"/>
      <c r="L313" s="117"/>
      <c r="N313" s="117"/>
      <c r="R313" s="117"/>
      <c r="T313" s="117"/>
      <c r="V313" s="117"/>
      <c r="X313" s="117"/>
      <c r="Y313" s="10"/>
      <c r="Z313" s="11"/>
      <c r="AA313" s="36"/>
      <c r="AB313" s="36"/>
      <c r="AC313" s="13"/>
      <c r="AD313" s="13"/>
      <c r="AE313" s="37"/>
      <c r="AF313" s="37"/>
      <c r="AG313" s="14"/>
      <c r="AH313" s="14"/>
      <c r="AI313" s="14"/>
      <c r="AZ313" s="24"/>
    </row>
    <row r="314">
      <c r="B314" s="24"/>
      <c r="E314" s="113"/>
      <c r="F314" s="266"/>
      <c r="G314" s="113"/>
      <c r="K314" s="36"/>
      <c r="L314" s="117"/>
      <c r="N314" s="117"/>
      <c r="R314" s="117"/>
      <c r="T314" s="117"/>
      <c r="V314" s="117"/>
      <c r="X314" s="117"/>
      <c r="Y314" s="10"/>
      <c r="Z314" s="11"/>
      <c r="AA314" s="36"/>
      <c r="AB314" s="36"/>
      <c r="AC314" s="13"/>
      <c r="AD314" s="13"/>
      <c r="AE314" s="37"/>
      <c r="AF314" s="37"/>
      <c r="AG314" s="14"/>
      <c r="AH314" s="14"/>
      <c r="AI314" s="14"/>
      <c r="AZ314" s="24"/>
    </row>
    <row r="315">
      <c r="B315" s="24"/>
      <c r="E315" s="113"/>
      <c r="F315" s="266"/>
      <c r="G315" s="113"/>
      <c r="K315" s="36"/>
      <c r="L315" s="117"/>
      <c r="N315" s="117"/>
      <c r="R315" s="117"/>
      <c r="T315" s="117"/>
      <c r="V315" s="117"/>
      <c r="X315" s="117"/>
      <c r="Y315" s="10"/>
      <c r="Z315" s="11"/>
      <c r="AA315" s="36"/>
      <c r="AB315" s="36"/>
      <c r="AC315" s="13"/>
      <c r="AD315" s="13"/>
      <c r="AE315" s="37"/>
      <c r="AF315" s="37"/>
      <c r="AG315" s="14"/>
      <c r="AH315" s="14"/>
      <c r="AI315" s="14"/>
      <c r="AZ315" s="24"/>
    </row>
    <row r="316">
      <c r="B316" s="24"/>
      <c r="E316" s="113"/>
      <c r="F316" s="266"/>
      <c r="G316" s="113"/>
      <c r="K316" s="36"/>
      <c r="L316" s="117"/>
      <c r="N316" s="117"/>
      <c r="R316" s="117"/>
      <c r="T316" s="117"/>
      <c r="V316" s="117"/>
      <c r="X316" s="117"/>
      <c r="Y316" s="10"/>
      <c r="Z316" s="11"/>
      <c r="AA316" s="36"/>
      <c r="AB316" s="36"/>
      <c r="AC316" s="13"/>
      <c r="AD316" s="13"/>
      <c r="AE316" s="37"/>
      <c r="AF316" s="37"/>
      <c r="AG316" s="14"/>
      <c r="AH316" s="14"/>
      <c r="AI316" s="14"/>
      <c r="AZ316" s="24"/>
    </row>
    <row r="317">
      <c r="B317" s="24"/>
      <c r="E317" s="113"/>
      <c r="F317" s="266"/>
      <c r="G317" s="113"/>
      <c r="K317" s="36"/>
      <c r="L317" s="117"/>
      <c r="N317" s="117"/>
      <c r="R317" s="117"/>
      <c r="T317" s="117"/>
      <c r="V317" s="117"/>
      <c r="X317" s="117"/>
      <c r="Y317" s="10"/>
      <c r="Z317" s="11"/>
      <c r="AA317" s="36"/>
      <c r="AB317" s="36"/>
      <c r="AC317" s="13"/>
      <c r="AD317" s="13"/>
      <c r="AE317" s="37"/>
      <c r="AF317" s="37"/>
      <c r="AG317" s="14"/>
      <c r="AH317" s="14"/>
      <c r="AI317" s="14"/>
      <c r="AZ317" s="24"/>
    </row>
    <row r="318">
      <c r="B318" s="24"/>
      <c r="E318" s="113"/>
      <c r="F318" s="266"/>
      <c r="G318" s="113"/>
      <c r="K318" s="36"/>
      <c r="L318" s="117"/>
      <c r="N318" s="117"/>
      <c r="R318" s="117"/>
      <c r="T318" s="117"/>
      <c r="V318" s="117"/>
      <c r="X318" s="117"/>
      <c r="Y318" s="10"/>
      <c r="Z318" s="11"/>
      <c r="AA318" s="36"/>
      <c r="AB318" s="36"/>
      <c r="AC318" s="13"/>
      <c r="AD318" s="13"/>
      <c r="AE318" s="37"/>
      <c r="AF318" s="37"/>
      <c r="AG318" s="14"/>
      <c r="AH318" s="14"/>
      <c r="AI318" s="14"/>
      <c r="AZ318" s="24"/>
    </row>
    <row r="319">
      <c r="B319" s="24"/>
      <c r="E319" s="113"/>
      <c r="F319" s="266"/>
      <c r="G319" s="113"/>
      <c r="K319" s="36"/>
      <c r="L319" s="117"/>
      <c r="N319" s="117"/>
      <c r="R319" s="117"/>
      <c r="T319" s="117"/>
      <c r="V319" s="117"/>
      <c r="X319" s="117"/>
      <c r="Y319" s="10"/>
      <c r="Z319" s="11"/>
      <c r="AA319" s="36"/>
      <c r="AB319" s="36"/>
      <c r="AC319" s="13"/>
      <c r="AD319" s="13"/>
      <c r="AE319" s="37"/>
      <c r="AF319" s="37"/>
      <c r="AG319" s="14"/>
      <c r="AH319" s="14"/>
      <c r="AI319" s="14"/>
      <c r="AZ319" s="24"/>
    </row>
    <row r="320">
      <c r="B320" s="24"/>
      <c r="E320" s="113"/>
      <c r="F320" s="266"/>
      <c r="G320" s="113"/>
      <c r="K320" s="36"/>
      <c r="L320" s="117"/>
      <c r="N320" s="117"/>
      <c r="R320" s="117"/>
      <c r="T320" s="117"/>
      <c r="V320" s="117"/>
      <c r="X320" s="117"/>
      <c r="Y320" s="10"/>
      <c r="Z320" s="11"/>
      <c r="AA320" s="36"/>
      <c r="AB320" s="36"/>
      <c r="AC320" s="13"/>
      <c r="AD320" s="13"/>
      <c r="AE320" s="37"/>
      <c r="AF320" s="37"/>
      <c r="AG320" s="14"/>
      <c r="AH320" s="14"/>
      <c r="AI320" s="14"/>
      <c r="AZ320" s="24"/>
    </row>
    <row r="321">
      <c r="B321" s="24"/>
      <c r="E321" s="113"/>
      <c r="F321" s="266"/>
      <c r="G321" s="113"/>
      <c r="K321" s="36"/>
      <c r="L321" s="117"/>
      <c r="N321" s="117"/>
      <c r="R321" s="117"/>
      <c r="T321" s="117"/>
      <c r="V321" s="117"/>
      <c r="X321" s="117"/>
      <c r="Y321" s="10"/>
      <c r="Z321" s="11"/>
      <c r="AA321" s="36"/>
      <c r="AB321" s="36"/>
      <c r="AC321" s="13"/>
      <c r="AD321" s="13"/>
      <c r="AE321" s="37"/>
      <c r="AF321" s="37"/>
      <c r="AG321" s="14"/>
      <c r="AH321" s="14"/>
      <c r="AI321" s="14"/>
      <c r="AZ321" s="24"/>
    </row>
    <row r="322">
      <c r="B322" s="24"/>
      <c r="E322" s="113"/>
      <c r="F322" s="266"/>
      <c r="G322" s="113"/>
      <c r="K322" s="36"/>
      <c r="L322" s="117"/>
      <c r="N322" s="117"/>
      <c r="R322" s="117"/>
      <c r="T322" s="117"/>
      <c r="V322" s="117"/>
      <c r="X322" s="117"/>
      <c r="Y322" s="10"/>
      <c r="Z322" s="11"/>
      <c r="AA322" s="36"/>
      <c r="AB322" s="36"/>
      <c r="AC322" s="13"/>
      <c r="AD322" s="13"/>
      <c r="AE322" s="37"/>
      <c r="AF322" s="37"/>
      <c r="AG322" s="14"/>
      <c r="AH322" s="14"/>
      <c r="AI322" s="14"/>
      <c r="AZ322" s="24"/>
    </row>
    <row r="323">
      <c r="B323" s="24"/>
      <c r="E323" s="113"/>
      <c r="F323" s="266"/>
      <c r="G323" s="113"/>
      <c r="K323" s="36"/>
      <c r="L323" s="117"/>
      <c r="N323" s="117"/>
      <c r="R323" s="117"/>
      <c r="T323" s="117"/>
      <c r="V323" s="117"/>
      <c r="X323" s="117"/>
      <c r="Y323" s="10"/>
      <c r="Z323" s="11"/>
      <c r="AA323" s="36"/>
      <c r="AB323" s="36"/>
      <c r="AC323" s="13"/>
      <c r="AD323" s="13"/>
      <c r="AE323" s="37"/>
      <c r="AF323" s="37"/>
      <c r="AG323" s="14"/>
      <c r="AH323" s="14"/>
      <c r="AI323" s="14"/>
      <c r="AZ323" s="24"/>
    </row>
    <row r="324">
      <c r="B324" s="24"/>
      <c r="E324" s="113"/>
      <c r="F324" s="266"/>
      <c r="G324" s="113"/>
      <c r="K324" s="36"/>
      <c r="L324" s="117"/>
      <c r="N324" s="117"/>
      <c r="R324" s="117"/>
      <c r="T324" s="117"/>
      <c r="V324" s="117"/>
      <c r="X324" s="117"/>
      <c r="Y324" s="10"/>
      <c r="Z324" s="11"/>
      <c r="AA324" s="36"/>
      <c r="AB324" s="36"/>
      <c r="AC324" s="13"/>
      <c r="AD324" s="13"/>
      <c r="AE324" s="37"/>
      <c r="AF324" s="37"/>
      <c r="AG324" s="14"/>
      <c r="AH324" s="14"/>
      <c r="AI324" s="14"/>
      <c r="AZ324" s="24"/>
    </row>
    <row r="325">
      <c r="B325" s="24"/>
      <c r="E325" s="113"/>
      <c r="F325" s="266"/>
      <c r="G325" s="113"/>
      <c r="K325" s="36"/>
      <c r="L325" s="117"/>
      <c r="N325" s="117"/>
      <c r="R325" s="117"/>
      <c r="T325" s="117"/>
      <c r="V325" s="117"/>
      <c r="X325" s="117"/>
      <c r="Y325" s="10"/>
      <c r="Z325" s="11"/>
      <c r="AA325" s="36"/>
      <c r="AB325" s="36"/>
      <c r="AC325" s="13"/>
      <c r="AD325" s="13"/>
      <c r="AE325" s="37"/>
      <c r="AF325" s="37"/>
      <c r="AG325" s="14"/>
      <c r="AH325" s="14"/>
      <c r="AI325" s="14"/>
      <c r="AZ325" s="24"/>
    </row>
    <row r="326">
      <c r="B326" s="24"/>
      <c r="E326" s="113"/>
      <c r="F326" s="266"/>
      <c r="G326" s="113"/>
      <c r="K326" s="36"/>
      <c r="L326" s="117"/>
      <c r="N326" s="117"/>
      <c r="R326" s="117"/>
      <c r="T326" s="117"/>
      <c r="V326" s="117"/>
      <c r="X326" s="117"/>
      <c r="Y326" s="10"/>
      <c r="Z326" s="11"/>
      <c r="AA326" s="36"/>
      <c r="AB326" s="36"/>
      <c r="AC326" s="13"/>
      <c r="AD326" s="13"/>
      <c r="AE326" s="37"/>
      <c r="AF326" s="37"/>
      <c r="AG326" s="14"/>
      <c r="AH326" s="14"/>
      <c r="AI326" s="14"/>
      <c r="AZ326" s="24"/>
    </row>
    <row r="327">
      <c r="B327" s="24"/>
      <c r="E327" s="113"/>
      <c r="F327" s="266"/>
      <c r="G327" s="113"/>
      <c r="K327" s="36"/>
      <c r="L327" s="117"/>
      <c r="N327" s="117"/>
      <c r="R327" s="117"/>
      <c r="T327" s="117"/>
      <c r="V327" s="117"/>
      <c r="X327" s="117"/>
      <c r="Y327" s="10"/>
      <c r="Z327" s="11"/>
      <c r="AA327" s="36"/>
      <c r="AB327" s="36"/>
      <c r="AC327" s="13"/>
      <c r="AD327" s="13"/>
      <c r="AE327" s="37"/>
      <c r="AF327" s="37"/>
      <c r="AG327" s="14"/>
      <c r="AH327" s="14"/>
      <c r="AI327" s="14"/>
      <c r="AZ327" s="24"/>
    </row>
    <row r="328">
      <c r="B328" s="24"/>
      <c r="E328" s="113"/>
      <c r="F328" s="266"/>
      <c r="G328" s="113"/>
      <c r="K328" s="36"/>
      <c r="L328" s="117"/>
      <c r="N328" s="117"/>
      <c r="R328" s="117"/>
      <c r="T328" s="117"/>
      <c r="V328" s="117"/>
      <c r="X328" s="117"/>
      <c r="Y328" s="10"/>
      <c r="Z328" s="11"/>
      <c r="AA328" s="36"/>
      <c r="AB328" s="36"/>
      <c r="AC328" s="13"/>
      <c r="AD328" s="13"/>
      <c r="AE328" s="37"/>
      <c r="AF328" s="37"/>
      <c r="AG328" s="14"/>
      <c r="AH328" s="14"/>
      <c r="AI328" s="14"/>
      <c r="AZ328" s="24"/>
    </row>
    <row r="329">
      <c r="B329" s="24"/>
      <c r="E329" s="113"/>
      <c r="F329" s="266"/>
      <c r="G329" s="113"/>
      <c r="K329" s="36"/>
      <c r="L329" s="117"/>
      <c r="N329" s="117"/>
      <c r="R329" s="117"/>
      <c r="T329" s="117"/>
      <c r="V329" s="117"/>
      <c r="X329" s="117"/>
      <c r="Y329" s="10"/>
      <c r="Z329" s="11"/>
      <c r="AA329" s="36"/>
      <c r="AB329" s="36"/>
      <c r="AC329" s="13"/>
      <c r="AD329" s="13"/>
      <c r="AE329" s="37"/>
      <c r="AF329" s="37"/>
      <c r="AG329" s="14"/>
      <c r="AH329" s="14"/>
      <c r="AI329" s="14"/>
      <c r="AZ329" s="24"/>
    </row>
    <row r="330">
      <c r="B330" s="24"/>
      <c r="E330" s="113"/>
      <c r="F330" s="266"/>
      <c r="G330" s="113"/>
      <c r="K330" s="36"/>
      <c r="L330" s="117"/>
      <c r="N330" s="117"/>
      <c r="R330" s="117"/>
      <c r="T330" s="117"/>
      <c r="V330" s="117"/>
      <c r="X330" s="117"/>
      <c r="Y330" s="10"/>
      <c r="Z330" s="11"/>
      <c r="AA330" s="36"/>
      <c r="AB330" s="36"/>
      <c r="AC330" s="13"/>
      <c r="AD330" s="13"/>
      <c r="AE330" s="37"/>
      <c r="AF330" s="37"/>
      <c r="AG330" s="14"/>
      <c r="AH330" s="14"/>
      <c r="AI330" s="14"/>
      <c r="AZ330" s="24"/>
    </row>
    <row r="331">
      <c r="B331" s="24"/>
      <c r="E331" s="113"/>
      <c r="F331" s="266"/>
      <c r="G331" s="113"/>
      <c r="K331" s="36"/>
      <c r="L331" s="117"/>
      <c r="N331" s="117"/>
      <c r="R331" s="117"/>
      <c r="T331" s="117"/>
      <c r="V331" s="117"/>
      <c r="X331" s="117"/>
      <c r="Y331" s="10"/>
      <c r="Z331" s="11"/>
      <c r="AA331" s="36"/>
      <c r="AB331" s="36"/>
      <c r="AC331" s="13"/>
      <c r="AD331" s="13"/>
      <c r="AE331" s="37"/>
      <c r="AF331" s="37"/>
      <c r="AG331" s="14"/>
      <c r="AH331" s="14"/>
      <c r="AI331" s="14"/>
      <c r="AZ331" s="24"/>
    </row>
    <row r="332">
      <c r="B332" s="24"/>
      <c r="E332" s="113"/>
      <c r="F332" s="266"/>
      <c r="G332" s="113"/>
      <c r="K332" s="36"/>
      <c r="L332" s="117"/>
      <c r="N332" s="117"/>
      <c r="R332" s="117"/>
      <c r="T332" s="117"/>
      <c r="V332" s="117"/>
      <c r="X332" s="117"/>
      <c r="Y332" s="10"/>
      <c r="Z332" s="11"/>
      <c r="AA332" s="36"/>
      <c r="AB332" s="36"/>
      <c r="AC332" s="13"/>
      <c r="AD332" s="13"/>
      <c r="AE332" s="37"/>
      <c r="AF332" s="37"/>
      <c r="AG332" s="14"/>
      <c r="AH332" s="14"/>
      <c r="AI332" s="14"/>
      <c r="AZ332" s="24"/>
    </row>
    <row r="333">
      <c r="B333" s="24"/>
      <c r="E333" s="113"/>
      <c r="F333" s="266"/>
      <c r="G333" s="113"/>
      <c r="K333" s="36"/>
      <c r="L333" s="117"/>
      <c r="N333" s="117"/>
      <c r="R333" s="117"/>
      <c r="T333" s="117"/>
      <c r="V333" s="117"/>
      <c r="X333" s="117"/>
      <c r="Y333" s="10"/>
      <c r="Z333" s="11"/>
      <c r="AA333" s="36"/>
      <c r="AB333" s="36"/>
      <c r="AC333" s="13"/>
      <c r="AD333" s="13"/>
      <c r="AE333" s="37"/>
      <c r="AF333" s="37"/>
      <c r="AG333" s="14"/>
      <c r="AH333" s="14"/>
      <c r="AI333" s="14"/>
      <c r="AZ333" s="24"/>
    </row>
    <row r="334">
      <c r="B334" s="24"/>
      <c r="E334" s="113"/>
      <c r="F334" s="266"/>
      <c r="G334" s="113"/>
      <c r="K334" s="36"/>
      <c r="L334" s="117"/>
      <c r="N334" s="117"/>
      <c r="R334" s="117"/>
      <c r="T334" s="117"/>
      <c r="V334" s="117"/>
      <c r="X334" s="117"/>
      <c r="Y334" s="10"/>
      <c r="Z334" s="11"/>
      <c r="AA334" s="36"/>
      <c r="AB334" s="36"/>
      <c r="AC334" s="13"/>
      <c r="AD334" s="13"/>
      <c r="AE334" s="37"/>
      <c r="AF334" s="37"/>
      <c r="AG334" s="14"/>
      <c r="AH334" s="14"/>
      <c r="AI334" s="14"/>
      <c r="AZ334" s="24"/>
    </row>
    <row r="335">
      <c r="B335" s="24"/>
      <c r="E335" s="113"/>
      <c r="F335" s="266"/>
      <c r="G335" s="113"/>
      <c r="K335" s="36"/>
      <c r="L335" s="117"/>
      <c r="N335" s="117"/>
      <c r="R335" s="117"/>
      <c r="T335" s="117"/>
      <c r="V335" s="117"/>
      <c r="X335" s="117"/>
      <c r="Y335" s="10"/>
      <c r="Z335" s="11"/>
      <c r="AA335" s="36"/>
      <c r="AB335" s="36"/>
      <c r="AC335" s="13"/>
      <c r="AD335" s="13"/>
      <c r="AE335" s="37"/>
      <c r="AF335" s="37"/>
      <c r="AG335" s="14"/>
      <c r="AH335" s="14"/>
      <c r="AI335" s="14"/>
      <c r="AZ335" s="24"/>
    </row>
    <row r="336">
      <c r="B336" s="24"/>
      <c r="E336" s="113"/>
      <c r="F336" s="266"/>
      <c r="G336" s="113"/>
      <c r="K336" s="36"/>
      <c r="L336" s="117"/>
      <c r="N336" s="117"/>
      <c r="R336" s="117"/>
      <c r="T336" s="117"/>
      <c r="V336" s="117"/>
      <c r="X336" s="117"/>
      <c r="Y336" s="10"/>
      <c r="Z336" s="11"/>
      <c r="AA336" s="36"/>
      <c r="AB336" s="36"/>
      <c r="AC336" s="13"/>
      <c r="AD336" s="13"/>
      <c r="AE336" s="37"/>
      <c r="AF336" s="37"/>
      <c r="AG336" s="14"/>
      <c r="AH336" s="14"/>
      <c r="AI336" s="14"/>
      <c r="AZ336" s="24"/>
    </row>
    <row r="337">
      <c r="B337" s="24"/>
      <c r="E337" s="113"/>
      <c r="F337" s="266"/>
      <c r="G337" s="113"/>
      <c r="K337" s="36"/>
      <c r="L337" s="117"/>
      <c r="N337" s="117"/>
      <c r="R337" s="117"/>
      <c r="T337" s="117"/>
      <c r="V337" s="117"/>
      <c r="X337" s="117"/>
      <c r="Y337" s="10"/>
      <c r="Z337" s="11"/>
      <c r="AA337" s="36"/>
      <c r="AB337" s="36"/>
      <c r="AC337" s="13"/>
      <c r="AD337" s="13"/>
      <c r="AE337" s="37"/>
      <c r="AF337" s="37"/>
      <c r="AG337" s="14"/>
      <c r="AH337" s="14"/>
      <c r="AI337" s="14"/>
      <c r="AZ337" s="24"/>
    </row>
    <row r="338">
      <c r="B338" s="24"/>
      <c r="E338" s="113"/>
      <c r="F338" s="266"/>
      <c r="G338" s="113"/>
      <c r="K338" s="36"/>
      <c r="L338" s="117"/>
      <c r="N338" s="117"/>
      <c r="R338" s="117"/>
      <c r="T338" s="117"/>
      <c r="V338" s="117"/>
      <c r="X338" s="117"/>
      <c r="Y338" s="10"/>
      <c r="Z338" s="11"/>
      <c r="AA338" s="36"/>
      <c r="AB338" s="36"/>
      <c r="AC338" s="13"/>
      <c r="AD338" s="13"/>
      <c r="AE338" s="37"/>
      <c r="AF338" s="37"/>
      <c r="AG338" s="14"/>
      <c r="AH338" s="14"/>
      <c r="AI338" s="14"/>
      <c r="AZ338" s="24"/>
    </row>
    <row r="339">
      <c r="B339" s="24"/>
      <c r="E339" s="113"/>
      <c r="F339" s="266"/>
      <c r="G339" s="113"/>
      <c r="K339" s="36"/>
      <c r="L339" s="117"/>
      <c r="N339" s="117"/>
      <c r="R339" s="117"/>
      <c r="T339" s="117"/>
      <c r="V339" s="117"/>
      <c r="X339" s="117"/>
      <c r="Y339" s="10"/>
      <c r="Z339" s="11"/>
      <c r="AA339" s="36"/>
      <c r="AB339" s="36"/>
      <c r="AC339" s="13"/>
      <c r="AD339" s="13"/>
      <c r="AE339" s="37"/>
      <c r="AF339" s="37"/>
      <c r="AG339" s="14"/>
      <c r="AH339" s="14"/>
      <c r="AI339" s="14"/>
      <c r="AZ339" s="24"/>
    </row>
    <row r="340">
      <c r="B340" s="24"/>
      <c r="E340" s="113"/>
      <c r="F340" s="266"/>
      <c r="G340" s="113"/>
      <c r="K340" s="36"/>
      <c r="L340" s="117"/>
      <c r="N340" s="117"/>
      <c r="R340" s="117"/>
      <c r="T340" s="117"/>
      <c r="V340" s="117"/>
      <c r="X340" s="117"/>
      <c r="Y340" s="10"/>
      <c r="Z340" s="11"/>
      <c r="AA340" s="36"/>
      <c r="AB340" s="36"/>
      <c r="AC340" s="13"/>
      <c r="AD340" s="13"/>
      <c r="AE340" s="37"/>
      <c r="AF340" s="37"/>
      <c r="AG340" s="14"/>
      <c r="AH340" s="14"/>
      <c r="AI340" s="14"/>
      <c r="AZ340" s="24"/>
    </row>
    <row r="341">
      <c r="B341" s="24"/>
      <c r="E341" s="113"/>
      <c r="F341" s="266"/>
      <c r="G341" s="113"/>
      <c r="K341" s="36"/>
      <c r="L341" s="117"/>
      <c r="N341" s="117"/>
      <c r="R341" s="117"/>
      <c r="T341" s="117"/>
      <c r="V341" s="117"/>
      <c r="X341" s="117"/>
      <c r="Y341" s="10"/>
      <c r="Z341" s="11"/>
      <c r="AA341" s="36"/>
      <c r="AB341" s="36"/>
      <c r="AC341" s="13"/>
      <c r="AD341" s="13"/>
      <c r="AE341" s="37"/>
      <c r="AF341" s="37"/>
      <c r="AG341" s="14"/>
      <c r="AH341" s="14"/>
      <c r="AI341" s="14"/>
      <c r="AZ341" s="24"/>
    </row>
    <row r="342">
      <c r="B342" s="24"/>
      <c r="E342" s="113"/>
      <c r="F342" s="266"/>
      <c r="G342" s="113"/>
      <c r="K342" s="36"/>
      <c r="L342" s="117"/>
      <c r="N342" s="117"/>
      <c r="R342" s="117"/>
      <c r="T342" s="117"/>
      <c r="V342" s="117"/>
      <c r="X342" s="117"/>
      <c r="Y342" s="10"/>
      <c r="Z342" s="11"/>
      <c r="AA342" s="36"/>
      <c r="AB342" s="36"/>
      <c r="AC342" s="13"/>
      <c r="AD342" s="13"/>
      <c r="AE342" s="37"/>
      <c r="AF342" s="37"/>
      <c r="AG342" s="14"/>
      <c r="AH342" s="14"/>
      <c r="AI342" s="14"/>
      <c r="AZ342" s="24"/>
    </row>
    <row r="343">
      <c r="B343" s="24"/>
      <c r="E343" s="113"/>
      <c r="F343" s="266"/>
      <c r="G343" s="113"/>
      <c r="K343" s="36"/>
      <c r="L343" s="117"/>
      <c r="N343" s="117"/>
      <c r="R343" s="117"/>
      <c r="T343" s="117"/>
      <c r="V343" s="117"/>
      <c r="X343" s="117"/>
      <c r="Y343" s="10"/>
      <c r="Z343" s="11"/>
      <c r="AA343" s="36"/>
      <c r="AB343" s="36"/>
      <c r="AC343" s="13"/>
      <c r="AD343" s="13"/>
      <c r="AE343" s="37"/>
      <c r="AF343" s="37"/>
      <c r="AG343" s="14"/>
      <c r="AH343" s="14"/>
      <c r="AI343" s="14"/>
      <c r="AZ343" s="24"/>
    </row>
    <row r="344">
      <c r="B344" s="24"/>
      <c r="E344" s="113"/>
      <c r="F344" s="266"/>
      <c r="G344" s="113"/>
      <c r="K344" s="36"/>
      <c r="L344" s="117"/>
      <c r="N344" s="117"/>
      <c r="R344" s="117"/>
      <c r="T344" s="117"/>
      <c r="V344" s="117"/>
      <c r="X344" s="117"/>
      <c r="Y344" s="10"/>
      <c r="Z344" s="11"/>
      <c r="AA344" s="36"/>
      <c r="AB344" s="36"/>
      <c r="AC344" s="13"/>
      <c r="AD344" s="13"/>
      <c r="AE344" s="37"/>
      <c r="AF344" s="37"/>
      <c r="AG344" s="14"/>
      <c r="AH344" s="14"/>
      <c r="AI344" s="14"/>
      <c r="AZ344" s="24"/>
    </row>
    <row r="345">
      <c r="B345" s="24"/>
      <c r="E345" s="113"/>
      <c r="F345" s="266"/>
      <c r="G345" s="113"/>
      <c r="K345" s="36"/>
      <c r="L345" s="117"/>
      <c r="N345" s="117"/>
      <c r="R345" s="117"/>
      <c r="T345" s="117"/>
      <c r="V345" s="117"/>
      <c r="X345" s="117"/>
      <c r="Y345" s="10"/>
      <c r="Z345" s="11"/>
      <c r="AA345" s="36"/>
      <c r="AB345" s="36"/>
      <c r="AC345" s="13"/>
      <c r="AD345" s="13"/>
      <c r="AE345" s="37"/>
      <c r="AF345" s="37"/>
      <c r="AG345" s="14"/>
      <c r="AH345" s="14"/>
      <c r="AI345" s="14"/>
      <c r="AZ345" s="24"/>
    </row>
    <row r="346">
      <c r="B346" s="24"/>
      <c r="E346" s="113"/>
      <c r="F346" s="266"/>
      <c r="G346" s="113"/>
      <c r="K346" s="36"/>
      <c r="L346" s="117"/>
      <c r="N346" s="117"/>
      <c r="R346" s="117"/>
      <c r="T346" s="117"/>
      <c r="V346" s="117"/>
      <c r="X346" s="117"/>
      <c r="Y346" s="10"/>
      <c r="Z346" s="11"/>
      <c r="AA346" s="36"/>
      <c r="AB346" s="36"/>
      <c r="AC346" s="13"/>
      <c r="AD346" s="13"/>
      <c r="AE346" s="37"/>
      <c r="AF346" s="37"/>
      <c r="AG346" s="14"/>
      <c r="AH346" s="14"/>
      <c r="AI346" s="14"/>
      <c r="AZ346" s="24"/>
    </row>
    <row r="347">
      <c r="B347" s="24"/>
      <c r="E347" s="113"/>
      <c r="F347" s="266"/>
      <c r="G347" s="113"/>
      <c r="K347" s="36"/>
      <c r="L347" s="117"/>
      <c r="N347" s="117"/>
      <c r="R347" s="117"/>
      <c r="T347" s="117"/>
      <c r="V347" s="117"/>
      <c r="X347" s="117"/>
      <c r="Y347" s="10"/>
      <c r="Z347" s="11"/>
      <c r="AA347" s="36"/>
      <c r="AB347" s="36"/>
      <c r="AC347" s="13"/>
      <c r="AD347" s="13"/>
      <c r="AE347" s="37"/>
      <c r="AF347" s="37"/>
      <c r="AG347" s="14"/>
      <c r="AH347" s="14"/>
      <c r="AI347" s="14"/>
      <c r="AZ347" s="24"/>
    </row>
    <row r="348">
      <c r="B348" s="24"/>
      <c r="E348" s="113"/>
      <c r="F348" s="266"/>
      <c r="G348" s="113"/>
      <c r="K348" s="36"/>
      <c r="L348" s="117"/>
      <c r="N348" s="117"/>
      <c r="R348" s="117"/>
      <c r="T348" s="117"/>
      <c r="V348" s="117"/>
      <c r="X348" s="117"/>
      <c r="Y348" s="10"/>
      <c r="Z348" s="11"/>
      <c r="AA348" s="36"/>
      <c r="AB348" s="36"/>
      <c r="AC348" s="13"/>
      <c r="AD348" s="13"/>
      <c r="AE348" s="37"/>
      <c r="AF348" s="37"/>
      <c r="AG348" s="14"/>
      <c r="AH348" s="14"/>
      <c r="AI348" s="14"/>
      <c r="AZ348" s="24"/>
    </row>
    <row r="349">
      <c r="B349" s="24"/>
      <c r="E349" s="113"/>
      <c r="F349" s="266"/>
      <c r="G349" s="113"/>
      <c r="K349" s="36"/>
      <c r="L349" s="117"/>
      <c r="N349" s="117"/>
      <c r="R349" s="117"/>
      <c r="T349" s="117"/>
      <c r="V349" s="117"/>
      <c r="X349" s="117"/>
      <c r="Y349" s="10"/>
      <c r="Z349" s="11"/>
      <c r="AA349" s="36"/>
      <c r="AB349" s="36"/>
      <c r="AC349" s="13"/>
      <c r="AD349" s="13"/>
      <c r="AE349" s="37"/>
      <c r="AF349" s="37"/>
      <c r="AG349" s="14"/>
      <c r="AH349" s="14"/>
      <c r="AI349" s="14"/>
      <c r="AZ349" s="24"/>
    </row>
    <row r="350">
      <c r="B350" s="24"/>
      <c r="E350" s="113"/>
      <c r="F350" s="266"/>
      <c r="G350" s="113"/>
      <c r="K350" s="36"/>
      <c r="L350" s="117"/>
      <c r="N350" s="117"/>
      <c r="R350" s="117"/>
      <c r="T350" s="117"/>
      <c r="V350" s="117"/>
      <c r="X350" s="117"/>
      <c r="Y350" s="10"/>
      <c r="Z350" s="11"/>
      <c r="AA350" s="36"/>
      <c r="AB350" s="36"/>
      <c r="AC350" s="13"/>
      <c r="AD350" s="13"/>
      <c r="AE350" s="37"/>
      <c r="AF350" s="37"/>
      <c r="AG350" s="14"/>
      <c r="AH350" s="14"/>
      <c r="AI350" s="14"/>
      <c r="AZ350" s="24"/>
    </row>
    <row r="351">
      <c r="B351" s="24"/>
      <c r="E351" s="113"/>
      <c r="F351" s="266"/>
      <c r="G351" s="113"/>
      <c r="K351" s="36"/>
      <c r="L351" s="117"/>
      <c r="N351" s="117"/>
      <c r="R351" s="117"/>
      <c r="T351" s="117"/>
      <c r="V351" s="117"/>
      <c r="X351" s="117"/>
      <c r="Y351" s="10"/>
      <c r="Z351" s="11"/>
      <c r="AA351" s="36"/>
      <c r="AB351" s="36"/>
      <c r="AC351" s="13"/>
      <c r="AD351" s="13"/>
      <c r="AE351" s="37"/>
      <c r="AF351" s="37"/>
      <c r="AG351" s="14"/>
      <c r="AH351" s="14"/>
      <c r="AI351" s="14"/>
      <c r="AZ351" s="24"/>
    </row>
    <row r="352">
      <c r="B352" s="24"/>
      <c r="E352" s="113"/>
      <c r="F352" s="266"/>
      <c r="G352" s="113"/>
      <c r="K352" s="36"/>
      <c r="L352" s="117"/>
      <c r="N352" s="117"/>
      <c r="R352" s="117"/>
      <c r="T352" s="117"/>
      <c r="V352" s="117"/>
      <c r="X352" s="117"/>
      <c r="Y352" s="10"/>
      <c r="Z352" s="11"/>
      <c r="AA352" s="36"/>
      <c r="AB352" s="36"/>
      <c r="AC352" s="13"/>
      <c r="AD352" s="13"/>
      <c r="AE352" s="37"/>
      <c r="AF352" s="37"/>
      <c r="AG352" s="14"/>
      <c r="AH352" s="14"/>
      <c r="AI352" s="14"/>
      <c r="AZ352" s="24"/>
    </row>
    <row r="353">
      <c r="B353" s="24"/>
      <c r="E353" s="113"/>
      <c r="F353" s="266"/>
      <c r="G353" s="113"/>
      <c r="K353" s="36"/>
      <c r="L353" s="117"/>
      <c r="N353" s="117"/>
      <c r="R353" s="117"/>
      <c r="T353" s="117"/>
      <c r="V353" s="117"/>
      <c r="X353" s="117"/>
      <c r="Y353" s="10"/>
      <c r="Z353" s="11"/>
      <c r="AA353" s="36"/>
      <c r="AB353" s="36"/>
      <c r="AC353" s="13"/>
      <c r="AD353" s="13"/>
      <c r="AE353" s="37"/>
      <c r="AF353" s="37"/>
      <c r="AG353" s="14"/>
      <c r="AH353" s="14"/>
      <c r="AI353" s="14"/>
      <c r="AZ353" s="24"/>
    </row>
    <row r="354">
      <c r="B354" s="24"/>
      <c r="E354" s="113"/>
      <c r="F354" s="266"/>
      <c r="G354" s="113"/>
      <c r="K354" s="36"/>
      <c r="L354" s="117"/>
      <c r="N354" s="117"/>
      <c r="R354" s="117"/>
      <c r="T354" s="117"/>
      <c r="V354" s="117"/>
      <c r="X354" s="117"/>
      <c r="Y354" s="10"/>
      <c r="Z354" s="11"/>
      <c r="AA354" s="36"/>
      <c r="AB354" s="36"/>
      <c r="AC354" s="13"/>
      <c r="AD354" s="13"/>
      <c r="AE354" s="37"/>
      <c r="AF354" s="37"/>
      <c r="AG354" s="14"/>
      <c r="AH354" s="14"/>
      <c r="AI354" s="14"/>
      <c r="AZ354" s="24"/>
    </row>
    <row r="355">
      <c r="B355" s="24"/>
      <c r="E355" s="113"/>
      <c r="F355" s="266"/>
      <c r="G355" s="113"/>
      <c r="K355" s="36"/>
      <c r="L355" s="117"/>
      <c r="N355" s="117"/>
      <c r="R355" s="117"/>
      <c r="T355" s="117"/>
      <c r="V355" s="117"/>
      <c r="X355" s="117"/>
      <c r="Y355" s="10"/>
      <c r="Z355" s="11"/>
      <c r="AA355" s="36"/>
      <c r="AB355" s="36"/>
      <c r="AC355" s="13"/>
      <c r="AD355" s="13"/>
      <c r="AE355" s="37"/>
      <c r="AF355" s="37"/>
      <c r="AG355" s="14"/>
      <c r="AH355" s="14"/>
      <c r="AI355" s="14"/>
      <c r="AZ355" s="24"/>
    </row>
    <row r="356">
      <c r="B356" s="24"/>
      <c r="E356" s="113"/>
      <c r="F356" s="266"/>
      <c r="G356" s="113"/>
      <c r="K356" s="36"/>
      <c r="L356" s="117"/>
      <c r="N356" s="117"/>
      <c r="R356" s="117"/>
      <c r="T356" s="117"/>
      <c r="V356" s="117"/>
      <c r="X356" s="117"/>
      <c r="Y356" s="10"/>
      <c r="Z356" s="11"/>
      <c r="AA356" s="36"/>
      <c r="AB356" s="36"/>
      <c r="AC356" s="13"/>
      <c r="AD356" s="13"/>
      <c r="AE356" s="37"/>
      <c r="AF356" s="37"/>
      <c r="AG356" s="14"/>
      <c r="AH356" s="14"/>
      <c r="AI356" s="14"/>
      <c r="AZ356" s="24"/>
    </row>
    <row r="357">
      <c r="B357" s="24"/>
      <c r="E357" s="113"/>
      <c r="F357" s="266"/>
      <c r="G357" s="113"/>
      <c r="K357" s="36"/>
      <c r="L357" s="117"/>
      <c r="N357" s="117"/>
      <c r="R357" s="117"/>
      <c r="T357" s="117"/>
      <c r="V357" s="117"/>
      <c r="X357" s="117"/>
      <c r="Y357" s="10"/>
      <c r="Z357" s="11"/>
      <c r="AA357" s="36"/>
      <c r="AB357" s="36"/>
      <c r="AC357" s="13"/>
      <c r="AD357" s="13"/>
      <c r="AE357" s="37"/>
      <c r="AF357" s="37"/>
      <c r="AG357" s="14"/>
      <c r="AH357" s="14"/>
      <c r="AI357" s="14"/>
      <c r="AZ357" s="24"/>
    </row>
    <row r="358">
      <c r="B358" s="24"/>
      <c r="E358" s="113"/>
      <c r="F358" s="266"/>
      <c r="G358" s="113"/>
      <c r="K358" s="36"/>
      <c r="L358" s="117"/>
      <c r="N358" s="117"/>
      <c r="R358" s="117"/>
      <c r="T358" s="117"/>
      <c r="V358" s="117"/>
      <c r="X358" s="117"/>
      <c r="Y358" s="10"/>
      <c r="Z358" s="11"/>
      <c r="AA358" s="36"/>
      <c r="AB358" s="36"/>
      <c r="AC358" s="13"/>
      <c r="AD358" s="13"/>
      <c r="AE358" s="37"/>
      <c r="AF358" s="37"/>
      <c r="AG358" s="14"/>
      <c r="AH358" s="14"/>
      <c r="AI358" s="14"/>
      <c r="AZ358" s="24"/>
    </row>
    <row r="359">
      <c r="B359" s="24"/>
      <c r="E359" s="113"/>
      <c r="F359" s="266"/>
      <c r="G359" s="113"/>
      <c r="K359" s="36"/>
      <c r="L359" s="117"/>
      <c r="N359" s="117"/>
      <c r="R359" s="117"/>
      <c r="T359" s="117"/>
      <c r="V359" s="117"/>
      <c r="X359" s="117"/>
      <c r="Y359" s="10"/>
      <c r="Z359" s="11"/>
      <c r="AA359" s="36"/>
      <c r="AB359" s="36"/>
      <c r="AC359" s="13"/>
      <c r="AD359" s="13"/>
      <c r="AE359" s="37"/>
      <c r="AF359" s="37"/>
      <c r="AG359" s="14"/>
      <c r="AH359" s="14"/>
      <c r="AI359" s="14"/>
      <c r="AZ359" s="24"/>
    </row>
    <row r="360">
      <c r="B360" s="24"/>
      <c r="E360" s="113"/>
      <c r="F360" s="266"/>
      <c r="G360" s="113"/>
      <c r="K360" s="36"/>
      <c r="L360" s="117"/>
      <c r="N360" s="117"/>
      <c r="R360" s="117"/>
      <c r="T360" s="117"/>
      <c r="V360" s="117"/>
      <c r="X360" s="117"/>
      <c r="Y360" s="10"/>
      <c r="Z360" s="11"/>
      <c r="AA360" s="36"/>
      <c r="AB360" s="36"/>
      <c r="AC360" s="13"/>
      <c r="AD360" s="13"/>
      <c r="AE360" s="37"/>
      <c r="AF360" s="37"/>
      <c r="AG360" s="14"/>
      <c r="AH360" s="14"/>
      <c r="AI360" s="14"/>
      <c r="AZ360" s="24"/>
    </row>
    <row r="361">
      <c r="B361" s="24"/>
      <c r="E361" s="113"/>
      <c r="F361" s="266"/>
      <c r="G361" s="113"/>
      <c r="K361" s="36"/>
      <c r="L361" s="117"/>
      <c r="N361" s="117"/>
      <c r="R361" s="117"/>
      <c r="T361" s="117"/>
      <c r="V361" s="117"/>
      <c r="X361" s="117"/>
      <c r="Y361" s="10"/>
      <c r="Z361" s="11"/>
      <c r="AA361" s="36"/>
      <c r="AB361" s="36"/>
      <c r="AC361" s="13"/>
      <c r="AD361" s="13"/>
      <c r="AE361" s="37"/>
      <c r="AF361" s="37"/>
      <c r="AG361" s="14"/>
      <c r="AH361" s="14"/>
      <c r="AI361" s="14"/>
      <c r="AZ361" s="24"/>
    </row>
    <row r="362">
      <c r="B362" s="24"/>
      <c r="E362" s="113"/>
      <c r="F362" s="266"/>
      <c r="G362" s="113"/>
      <c r="K362" s="36"/>
      <c r="L362" s="117"/>
      <c r="N362" s="117"/>
      <c r="R362" s="117"/>
      <c r="T362" s="117"/>
      <c r="V362" s="117"/>
      <c r="X362" s="117"/>
      <c r="Y362" s="10"/>
      <c r="Z362" s="11"/>
      <c r="AA362" s="36"/>
      <c r="AB362" s="36"/>
      <c r="AC362" s="13"/>
      <c r="AD362" s="13"/>
      <c r="AE362" s="37"/>
      <c r="AF362" s="37"/>
      <c r="AG362" s="14"/>
      <c r="AH362" s="14"/>
      <c r="AI362" s="14"/>
      <c r="AZ362" s="24"/>
    </row>
    <row r="363">
      <c r="B363" s="24"/>
      <c r="E363" s="113"/>
      <c r="F363" s="266"/>
      <c r="G363" s="113"/>
      <c r="K363" s="36"/>
      <c r="L363" s="117"/>
      <c r="N363" s="117"/>
      <c r="R363" s="117"/>
      <c r="T363" s="117"/>
      <c r="V363" s="117"/>
      <c r="X363" s="117"/>
      <c r="Y363" s="10"/>
      <c r="Z363" s="11"/>
      <c r="AA363" s="36"/>
      <c r="AB363" s="36"/>
      <c r="AC363" s="13"/>
      <c r="AD363" s="13"/>
      <c r="AE363" s="37"/>
      <c r="AF363" s="37"/>
      <c r="AG363" s="14"/>
      <c r="AH363" s="14"/>
      <c r="AI363" s="14"/>
      <c r="AZ363" s="24"/>
    </row>
    <row r="364">
      <c r="B364" s="24"/>
      <c r="E364" s="113"/>
      <c r="F364" s="266"/>
      <c r="G364" s="113"/>
      <c r="K364" s="36"/>
      <c r="L364" s="117"/>
      <c r="N364" s="117"/>
      <c r="R364" s="117"/>
      <c r="T364" s="117"/>
      <c r="V364" s="117"/>
      <c r="X364" s="117"/>
      <c r="Y364" s="10"/>
      <c r="Z364" s="11"/>
      <c r="AA364" s="36"/>
      <c r="AB364" s="36"/>
      <c r="AC364" s="13"/>
      <c r="AD364" s="13"/>
      <c r="AE364" s="37"/>
      <c r="AF364" s="37"/>
      <c r="AG364" s="14"/>
      <c r="AH364" s="14"/>
      <c r="AI364" s="14"/>
      <c r="AZ364" s="24"/>
    </row>
    <row r="365">
      <c r="B365" s="24"/>
      <c r="E365" s="113"/>
      <c r="F365" s="266"/>
      <c r="G365" s="113"/>
      <c r="K365" s="36"/>
      <c r="L365" s="117"/>
      <c r="N365" s="117"/>
      <c r="R365" s="117"/>
      <c r="T365" s="117"/>
      <c r="V365" s="117"/>
      <c r="X365" s="117"/>
      <c r="Y365" s="10"/>
      <c r="Z365" s="11"/>
      <c r="AA365" s="36"/>
      <c r="AB365" s="36"/>
      <c r="AC365" s="13"/>
      <c r="AD365" s="13"/>
      <c r="AE365" s="37"/>
      <c r="AF365" s="37"/>
      <c r="AG365" s="14"/>
      <c r="AH365" s="14"/>
      <c r="AI365" s="14"/>
      <c r="AZ365" s="24"/>
    </row>
    <row r="366">
      <c r="B366" s="24"/>
      <c r="E366" s="113"/>
      <c r="F366" s="266"/>
      <c r="G366" s="113"/>
      <c r="K366" s="36"/>
      <c r="L366" s="117"/>
      <c r="N366" s="117"/>
      <c r="R366" s="117"/>
      <c r="T366" s="117"/>
      <c r="V366" s="117"/>
      <c r="X366" s="117"/>
      <c r="Y366" s="10"/>
      <c r="Z366" s="11"/>
      <c r="AA366" s="36"/>
      <c r="AB366" s="36"/>
      <c r="AC366" s="13"/>
      <c r="AD366" s="13"/>
      <c r="AE366" s="37"/>
      <c r="AF366" s="37"/>
      <c r="AG366" s="14"/>
      <c r="AH366" s="14"/>
      <c r="AI366" s="14"/>
      <c r="AZ366" s="24"/>
    </row>
    <row r="367">
      <c r="B367" s="24"/>
      <c r="E367" s="113"/>
      <c r="F367" s="266"/>
      <c r="G367" s="113"/>
      <c r="K367" s="36"/>
      <c r="L367" s="117"/>
      <c r="N367" s="117"/>
      <c r="R367" s="117"/>
      <c r="T367" s="117"/>
      <c r="V367" s="117"/>
      <c r="X367" s="117"/>
      <c r="Y367" s="10"/>
      <c r="Z367" s="11"/>
      <c r="AA367" s="36"/>
      <c r="AB367" s="36"/>
      <c r="AC367" s="13"/>
      <c r="AD367" s="13"/>
      <c r="AE367" s="37"/>
      <c r="AF367" s="37"/>
      <c r="AG367" s="14"/>
      <c r="AH367" s="14"/>
      <c r="AI367" s="14"/>
      <c r="AZ367" s="24"/>
    </row>
    <row r="368">
      <c r="B368" s="24"/>
      <c r="E368" s="113"/>
      <c r="F368" s="266"/>
      <c r="G368" s="113"/>
      <c r="K368" s="36"/>
      <c r="L368" s="117"/>
      <c r="N368" s="117"/>
      <c r="R368" s="117"/>
      <c r="T368" s="117"/>
      <c r="V368" s="117"/>
      <c r="X368" s="117"/>
      <c r="Y368" s="10"/>
      <c r="Z368" s="11"/>
      <c r="AA368" s="36"/>
      <c r="AB368" s="36"/>
      <c r="AC368" s="13"/>
      <c r="AD368" s="13"/>
      <c r="AE368" s="37"/>
      <c r="AF368" s="37"/>
      <c r="AG368" s="14"/>
      <c r="AH368" s="14"/>
      <c r="AI368" s="14"/>
      <c r="AZ368" s="24"/>
    </row>
    <row r="369">
      <c r="B369" s="24"/>
      <c r="E369" s="113"/>
      <c r="F369" s="266"/>
      <c r="G369" s="113"/>
      <c r="K369" s="36"/>
      <c r="L369" s="117"/>
      <c r="N369" s="117"/>
      <c r="R369" s="117"/>
      <c r="T369" s="117"/>
      <c r="V369" s="117"/>
      <c r="X369" s="117"/>
      <c r="Y369" s="10"/>
      <c r="Z369" s="11"/>
      <c r="AA369" s="36"/>
      <c r="AB369" s="36"/>
      <c r="AC369" s="13"/>
      <c r="AD369" s="13"/>
      <c r="AE369" s="37"/>
      <c r="AF369" s="37"/>
      <c r="AG369" s="14"/>
      <c r="AH369" s="14"/>
      <c r="AI369" s="14"/>
      <c r="AZ369" s="24"/>
    </row>
    <row r="370">
      <c r="B370" s="24"/>
      <c r="E370" s="113"/>
      <c r="F370" s="266"/>
      <c r="G370" s="113"/>
      <c r="K370" s="36"/>
      <c r="L370" s="117"/>
      <c r="N370" s="117"/>
      <c r="R370" s="117"/>
      <c r="T370" s="117"/>
      <c r="V370" s="117"/>
      <c r="X370" s="117"/>
      <c r="Y370" s="10"/>
      <c r="Z370" s="11"/>
      <c r="AA370" s="36"/>
      <c r="AB370" s="36"/>
      <c r="AC370" s="13"/>
      <c r="AD370" s="13"/>
      <c r="AE370" s="37"/>
      <c r="AF370" s="37"/>
      <c r="AG370" s="14"/>
      <c r="AH370" s="14"/>
      <c r="AI370" s="14"/>
      <c r="AZ370" s="24"/>
    </row>
    <row r="371">
      <c r="B371" s="24"/>
      <c r="E371" s="113"/>
      <c r="F371" s="266"/>
      <c r="G371" s="113"/>
      <c r="K371" s="36"/>
      <c r="L371" s="117"/>
      <c r="N371" s="117"/>
      <c r="R371" s="117"/>
      <c r="T371" s="117"/>
      <c r="V371" s="117"/>
      <c r="X371" s="117"/>
      <c r="Y371" s="10"/>
      <c r="Z371" s="11"/>
      <c r="AA371" s="36"/>
      <c r="AB371" s="36"/>
      <c r="AC371" s="13"/>
      <c r="AD371" s="13"/>
      <c r="AE371" s="37"/>
      <c r="AF371" s="37"/>
      <c r="AG371" s="14"/>
      <c r="AH371" s="14"/>
      <c r="AI371" s="14"/>
      <c r="AZ371" s="24"/>
    </row>
    <row r="372">
      <c r="B372" s="24"/>
      <c r="E372" s="113"/>
      <c r="F372" s="266"/>
      <c r="G372" s="113"/>
      <c r="K372" s="36"/>
      <c r="L372" s="117"/>
      <c r="N372" s="117"/>
      <c r="R372" s="117"/>
      <c r="T372" s="117"/>
      <c r="V372" s="117"/>
      <c r="X372" s="117"/>
      <c r="Y372" s="10"/>
      <c r="Z372" s="11"/>
      <c r="AA372" s="36"/>
      <c r="AB372" s="36"/>
      <c r="AC372" s="13"/>
      <c r="AD372" s="13"/>
      <c r="AE372" s="37"/>
      <c r="AF372" s="37"/>
      <c r="AG372" s="14"/>
      <c r="AH372" s="14"/>
      <c r="AI372" s="14"/>
      <c r="AZ372" s="24"/>
    </row>
    <row r="373">
      <c r="B373" s="24"/>
      <c r="E373" s="113"/>
      <c r="F373" s="266"/>
      <c r="G373" s="113"/>
      <c r="K373" s="36"/>
      <c r="L373" s="117"/>
      <c r="N373" s="117"/>
      <c r="R373" s="117"/>
      <c r="T373" s="117"/>
      <c r="V373" s="117"/>
      <c r="X373" s="117"/>
      <c r="Y373" s="10"/>
      <c r="Z373" s="11"/>
      <c r="AA373" s="36"/>
      <c r="AB373" s="36"/>
      <c r="AC373" s="13"/>
      <c r="AD373" s="13"/>
      <c r="AE373" s="37"/>
      <c r="AF373" s="37"/>
      <c r="AG373" s="14"/>
      <c r="AH373" s="14"/>
      <c r="AI373" s="14"/>
      <c r="AZ373" s="24"/>
    </row>
    <row r="374">
      <c r="B374" s="24"/>
      <c r="E374" s="113"/>
      <c r="F374" s="266"/>
      <c r="G374" s="113"/>
      <c r="K374" s="36"/>
      <c r="L374" s="117"/>
      <c r="N374" s="117"/>
      <c r="R374" s="117"/>
      <c r="T374" s="117"/>
      <c r="V374" s="117"/>
      <c r="X374" s="117"/>
      <c r="Y374" s="10"/>
      <c r="Z374" s="11"/>
      <c r="AA374" s="36"/>
      <c r="AB374" s="36"/>
      <c r="AC374" s="13"/>
      <c r="AD374" s="13"/>
      <c r="AE374" s="37"/>
      <c r="AF374" s="37"/>
      <c r="AG374" s="14"/>
      <c r="AH374" s="14"/>
      <c r="AI374" s="14"/>
      <c r="AZ374" s="24"/>
    </row>
    <row r="375">
      <c r="B375" s="24"/>
      <c r="E375" s="113"/>
      <c r="F375" s="266"/>
      <c r="G375" s="113"/>
      <c r="K375" s="36"/>
      <c r="L375" s="117"/>
      <c r="N375" s="117"/>
      <c r="R375" s="117"/>
      <c r="T375" s="117"/>
      <c r="V375" s="117"/>
      <c r="X375" s="117"/>
      <c r="Y375" s="10"/>
      <c r="Z375" s="11"/>
      <c r="AA375" s="36"/>
      <c r="AB375" s="36"/>
      <c r="AC375" s="13"/>
      <c r="AD375" s="13"/>
      <c r="AE375" s="37"/>
      <c r="AF375" s="37"/>
      <c r="AG375" s="14"/>
      <c r="AH375" s="14"/>
      <c r="AI375" s="14"/>
      <c r="AZ375" s="24"/>
    </row>
    <row r="376">
      <c r="B376" s="24"/>
      <c r="E376" s="113"/>
      <c r="F376" s="266"/>
      <c r="G376" s="113"/>
      <c r="K376" s="36"/>
      <c r="L376" s="117"/>
      <c r="N376" s="117"/>
      <c r="R376" s="117"/>
      <c r="T376" s="117"/>
      <c r="V376" s="117"/>
      <c r="X376" s="117"/>
      <c r="Y376" s="10"/>
      <c r="Z376" s="11"/>
      <c r="AA376" s="36"/>
      <c r="AB376" s="36"/>
      <c r="AC376" s="13"/>
      <c r="AD376" s="13"/>
      <c r="AE376" s="37"/>
      <c r="AF376" s="37"/>
      <c r="AG376" s="14"/>
      <c r="AH376" s="14"/>
      <c r="AI376" s="14"/>
      <c r="AZ376" s="24"/>
    </row>
    <row r="377">
      <c r="B377" s="24"/>
      <c r="E377" s="113"/>
      <c r="F377" s="266"/>
      <c r="G377" s="113"/>
      <c r="K377" s="36"/>
      <c r="L377" s="117"/>
      <c r="N377" s="117"/>
      <c r="R377" s="117"/>
      <c r="T377" s="117"/>
      <c r="V377" s="117"/>
      <c r="X377" s="117"/>
      <c r="Y377" s="10"/>
      <c r="Z377" s="11"/>
      <c r="AA377" s="36"/>
      <c r="AB377" s="36"/>
      <c r="AC377" s="13"/>
      <c r="AD377" s="13"/>
      <c r="AE377" s="37"/>
      <c r="AF377" s="37"/>
      <c r="AG377" s="14"/>
      <c r="AH377" s="14"/>
      <c r="AI377" s="14"/>
      <c r="AZ377" s="24"/>
    </row>
    <row r="378">
      <c r="B378" s="24"/>
      <c r="E378" s="113"/>
      <c r="F378" s="266"/>
      <c r="G378" s="113"/>
      <c r="K378" s="36"/>
      <c r="L378" s="117"/>
      <c r="N378" s="117"/>
      <c r="R378" s="117"/>
      <c r="T378" s="117"/>
      <c r="V378" s="117"/>
      <c r="X378" s="117"/>
      <c r="Y378" s="10"/>
      <c r="Z378" s="11"/>
      <c r="AA378" s="36"/>
      <c r="AB378" s="36"/>
      <c r="AC378" s="13"/>
      <c r="AD378" s="13"/>
      <c r="AE378" s="37"/>
      <c r="AF378" s="37"/>
      <c r="AG378" s="14"/>
      <c r="AH378" s="14"/>
      <c r="AI378" s="14"/>
      <c r="AZ378" s="24"/>
    </row>
    <row r="379">
      <c r="B379" s="24"/>
      <c r="E379" s="113"/>
      <c r="F379" s="266"/>
      <c r="G379" s="113"/>
      <c r="K379" s="36"/>
      <c r="L379" s="117"/>
      <c r="N379" s="117"/>
      <c r="R379" s="117"/>
      <c r="T379" s="117"/>
      <c r="V379" s="117"/>
      <c r="X379" s="117"/>
      <c r="Y379" s="10"/>
      <c r="Z379" s="11"/>
      <c r="AA379" s="36"/>
      <c r="AB379" s="36"/>
      <c r="AC379" s="13"/>
      <c r="AD379" s="13"/>
      <c r="AE379" s="37"/>
      <c r="AF379" s="37"/>
      <c r="AG379" s="14"/>
      <c r="AH379" s="14"/>
      <c r="AI379" s="14"/>
      <c r="AZ379" s="24"/>
    </row>
    <row r="380">
      <c r="B380" s="24"/>
      <c r="E380" s="113"/>
      <c r="F380" s="266"/>
      <c r="G380" s="113"/>
      <c r="K380" s="36"/>
      <c r="L380" s="117"/>
      <c r="N380" s="117"/>
      <c r="R380" s="117"/>
      <c r="T380" s="117"/>
      <c r="V380" s="117"/>
      <c r="X380" s="117"/>
      <c r="Y380" s="10"/>
      <c r="Z380" s="11"/>
      <c r="AA380" s="36"/>
      <c r="AB380" s="36"/>
      <c r="AC380" s="13"/>
      <c r="AD380" s="13"/>
      <c r="AE380" s="37"/>
      <c r="AF380" s="37"/>
      <c r="AG380" s="14"/>
      <c r="AH380" s="14"/>
      <c r="AI380" s="14"/>
      <c r="AZ380" s="24"/>
    </row>
    <row r="381">
      <c r="B381" s="24"/>
      <c r="E381" s="113"/>
      <c r="F381" s="266"/>
      <c r="G381" s="113"/>
      <c r="K381" s="36"/>
      <c r="L381" s="117"/>
      <c r="N381" s="117"/>
      <c r="R381" s="117"/>
      <c r="T381" s="117"/>
      <c r="V381" s="117"/>
      <c r="X381" s="117"/>
      <c r="Y381" s="10"/>
      <c r="Z381" s="11"/>
      <c r="AA381" s="36"/>
      <c r="AB381" s="36"/>
      <c r="AC381" s="13"/>
      <c r="AD381" s="13"/>
      <c r="AE381" s="37"/>
      <c r="AF381" s="37"/>
      <c r="AG381" s="14"/>
      <c r="AH381" s="14"/>
      <c r="AI381" s="14"/>
      <c r="AZ381" s="24"/>
    </row>
    <row r="382">
      <c r="B382" s="24"/>
      <c r="E382" s="113"/>
      <c r="F382" s="266"/>
      <c r="G382" s="113"/>
      <c r="K382" s="36"/>
      <c r="L382" s="117"/>
      <c r="N382" s="117"/>
      <c r="R382" s="117"/>
      <c r="T382" s="117"/>
      <c r="V382" s="117"/>
      <c r="X382" s="117"/>
      <c r="Y382" s="10"/>
      <c r="Z382" s="11"/>
      <c r="AA382" s="36"/>
      <c r="AB382" s="36"/>
      <c r="AC382" s="13"/>
      <c r="AD382" s="13"/>
      <c r="AE382" s="37"/>
      <c r="AF382" s="37"/>
      <c r="AG382" s="14"/>
      <c r="AH382" s="14"/>
      <c r="AI382" s="14"/>
      <c r="AZ382" s="24"/>
    </row>
    <row r="383">
      <c r="B383" s="24"/>
      <c r="E383" s="113"/>
      <c r="F383" s="266"/>
      <c r="G383" s="113"/>
      <c r="K383" s="36"/>
      <c r="L383" s="117"/>
      <c r="N383" s="117"/>
      <c r="R383" s="117"/>
      <c r="T383" s="117"/>
      <c r="V383" s="117"/>
      <c r="X383" s="117"/>
      <c r="Y383" s="10"/>
      <c r="Z383" s="11"/>
      <c r="AA383" s="36"/>
      <c r="AB383" s="36"/>
      <c r="AC383" s="13"/>
      <c r="AD383" s="13"/>
      <c r="AE383" s="37"/>
      <c r="AF383" s="37"/>
      <c r="AG383" s="14"/>
      <c r="AH383" s="14"/>
      <c r="AI383" s="14"/>
      <c r="AZ383" s="24"/>
    </row>
    <row r="384">
      <c r="B384" s="24"/>
      <c r="E384" s="113"/>
      <c r="F384" s="266"/>
      <c r="G384" s="113"/>
      <c r="K384" s="36"/>
      <c r="L384" s="117"/>
      <c r="N384" s="117"/>
      <c r="R384" s="117"/>
      <c r="T384" s="117"/>
      <c r="V384" s="117"/>
      <c r="X384" s="117"/>
      <c r="Y384" s="10"/>
      <c r="Z384" s="11"/>
      <c r="AA384" s="36"/>
      <c r="AB384" s="36"/>
      <c r="AC384" s="13"/>
      <c r="AD384" s="13"/>
      <c r="AE384" s="37"/>
      <c r="AF384" s="37"/>
      <c r="AG384" s="14"/>
      <c r="AH384" s="14"/>
      <c r="AI384" s="14"/>
      <c r="AZ384" s="24"/>
    </row>
    <row r="385">
      <c r="B385" s="24"/>
      <c r="E385" s="113"/>
      <c r="F385" s="266"/>
      <c r="G385" s="113"/>
      <c r="K385" s="36"/>
      <c r="L385" s="117"/>
      <c r="N385" s="117"/>
      <c r="R385" s="117"/>
      <c r="T385" s="117"/>
      <c r="V385" s="117"/>
      <c r="X385" s="117"/>
      <c r="Y385" s="10"/>
      <c r="Z385" s="11"/>
      <c r="AA385" s="36"/>
      <c r="AB385" s="36"/>
      <c r="AC385" s="13"/>
      <c r="AD385" s="13"/>
      <c r="AE385" s="37"/>
      <c r="AF385" s="37"/>
      <c r="AG385" s="14"/>
      <c r="AH385" s="14"/>
      <c r="AI385" s="14"/>
      <c r="AZ385" s="24"/>
    </row>
    <row r="386">
      <c r="B386" s="24"/>
      <c r="E386" s="113"/>
      <c r="F386" s="266"/>
      <c r="G386" s="113"/>
      <c r="K386" s="36"/>
      <c r="L386" s="117"/>
      <c r="N386" s="117"/>
      <c r="R386" s="117"/>
      <c r="T386" s="117"/>
      <c r="V386" s="117"/>
      <c r="X386" s="117"/>
      <c r="Y386" s="10"/>
      <c r="Z386" s="11"/>
      <c r="AA386" s="36"/>
      <c r="AB386" s="36"/>
      <c r="AC386" s="13"/>
      <c r="AD386" s="13"/>
      <c r="AE386" s="37"/>
      <c r="AF386" s="37"/>
      <c r="AG386" s="14"/>
      <c r="AH386" s="14"/>
      <c r="AI386" s="14"/>
      <c r="AZ386" s="24"/>
    </row>
    <row r="387">
      <c r="B387" s="24"/>
      <c r="E387" s="113"/>
      <c r="F387" s="266"/>
      <c r="G387" s="113"/>
      <c r="K387" s="36"/>
      <c r="L387" s="117"/>
      <c r="N387" s="117"/>
      <c r="R387" s="117"/>
      <c r="T387" s="117"/>
      <c r="V387" s="117"/>
      <c r="X387" s="117"/>
      <c r="Y387" s="10"/>
      <c r="Z387" s="11"/>
      <c r="AA387" s="36"/>
      <c r="AB387" s="36"/>
      <c r="AC387" s="13"/>
      <c r="AD387" s="13"/>
      <c r="AE387" s="37"/>
      <c r="AF387" s="37"/>
      <c r="AG387" s="14"/>
      <c r="AH387" s="14"/>
      <c r="AI387" s="14"/>
      <c r="AZ387" s="24"/>
    </row>
    <row r="388">
      <c r="B388" s="24"/>
      <c r="E388" s="113"/>
      <c r="F388" s="266"/>
      <c r="G388" s="113"/>
      <c r="K388" s="36"/>
      <c r="L388" s="117"/>
      <c r="N388" s="117"/>
      <c r="R388" s="117"/>
      <c r="T388" s="117"/>
      <c r="V388" s="117"/>
      <c r="X388" s="117"/>
      <c r="Y388" s="10"/>
      <c r="Z388" s="11"/>
      <c r="AA388" s="36"/>
      <c r="AB388" s="36"/>
      <c r="AC388" s="13"/>
      <c r="AD388" s="13"/>
      <c r="AE388" s="37"/>
      <c r="AF388" s="37"/>
      <c r="AG388" s="14"/>
      <c r="AH388" s="14"/>
      <c r="AI388" s="14"/>
      <c r="AZ388" s="24"/>
    </row>
    <row r="389">
      <c r="B389" s="24"/>
      <c r="E389" s="113"/>
      <c r="F389" s="266"/>
      <c r="G389" s="113"/>
      <c r="K389" s="36"/>
      <c r="L389" s="117"/>
      <c r="N389" s="117"/>
      <c r="R389" s="117"/>
      <c r="T389" s="117"/>
      <c r="V389" s="117"/>
      <c r="X389" s="117"/>
      <c r="Y389" s="10"/>
      <c r="Z389" s="11"/>
      <c r="AA389" s="36"/>
      <c r="AB389" s="36"/>
      <c r="AC389" s="13"/>
      <c r="AD389" s="13"/>
      <c r="AE389" s="37"/>
      <c r="AF389" s="37"/>
      <c r="AG389" s="14"/>
      <c r="AH389" s="14"/>
      <c r="AI389" s="14"/>
      <c r="AZ389" s="24"/>
    </row>
    <row r="390">
      <c r="B390" s="24"/>
      <c r="E390" s="113"/>
      <c r="F390" s="266"/>
      <c r="G390" s="113"/>
      <c r="K390" s="36"/>
      <c r="L390" s="117"/>
      <c r="N390" s="117"/>
      <c r="R390" s="117"/>
      <c r="T390" s="117"/>
      <c r="V390" s="117"/>
      <c r="X390" s="117"/>
      <c r="Y390" s="10"/>
      <c r="Z390" s="11"/>
      <c r="AA390" s="36"/>
      <c r="AB390" s="36"/>
      <c r="AC390" s="13"/>
      <c r="AD390" s="13"/>
      <c r="AE390" s="37"/>
      <c r="AF390" s="37"/>
      <c r="AG390" s="14"/>
      <c r="AH390" s="14"/>
      <c r="AI390" s="14"/>
      <c r="AZ390" s="24"/>
    </row>
    <row r="391">
      <c r="B391" s="24"/>
      <c r="E391" s="113"/>
      <c r="F391" s="266"/>
      <c r="G391" s="113"/>
      <c r="K391" s="36"/>
      <c r="L391" s="117"/>
      <c r="N391" s="117"/>
      <c r="R391" s="117"/>
      <c r="T391" s="117"/>
      <c r="V391" s="117"/>
      <c r="X391" s="117"/>
      <c r="Y391" s="10"/>
      <c r="Z391" s="11"/>
      <c r="AA391" s="36"/>
      <c r="AB391" s="36"/>
      <c r="AC391" s="13"/>
      <c r="AD391" s="13"/>
      <c r="AE391" s="37"/>
      <c r="AF391" s="37"/>
      <c r="AG391" s="14"/>
      <c r="AH391" s="14"/>
      <c r="AI391" s="14"/>
      <c r="AZ391" s="24"/>
    </row>
    <row r="392">
      <c r="B392" s="24"/>
      <c r="E392" s="113"/>
      <c r="F392" s="266"/>
      <c r="G392" s="113"/>
      <c r="K392" s="36"/>
      <c r="L392" s="117"/>
      <c r="N392" s="117"/>
      <c r="R392" s="117"/>
      <c r="T392" s="117"/>
      <c r="V392" s="117"/>
      <c r="X392" s="117"/>
      <c r="Y392" s="10"/>
      <c r="Z392" s="11"/>
      <c r="AA392" s="36"/>
      <c r="AB392" s="36"/>
      <c r="AC392" s="13"/>
      <c r="AD392" s="13"/>
      <c r="AE392" s="37"/>
      <c r="AF392" s="37"/>
      <c r="AG392" s="14"/>
      <c r="AH392" s="14"/>
      <c r="AI392" s="14"/>
      <c r="AZ392" s="24"/>
    </row>
    <row r="393">
      <c r="B393" s="24"/>
      <c r="E393" s="113"/>
      <c r="F393" s="266"/>
      <c r="G393" s="113"/>
      <c r="K393" s="36"/>
      <c r="L393" s="117"/>
      <c r="N393" s="117"/>
      <c r="R393" s="117"/>
      <c r="T393" s="117"/>
      <c r="V393" s="117"/>
      <c r="X393" s="117"/>
      <c r="Y393" s="10"/>
      <c r="Z393" s="11"/>
      <c r="AA393" s="36"/>
      <c r="AB393" s="36"/>
      <c r="AC393" s="13"/>
      <c r="AD393" s="13"/>
      <c r="AE393" s="37"/>
      <c r="AF393" s="37"/>
      <c r="AG393" s="14"/>
      <c r="AH393" s="14"/>
      <c r="AI393" s="14"/>
      <c r="AZ393" s="24"/>
    </row>
    <row r="394">
      <c r="B394" s="24"/>
      <c r="E394" s="113"/>
      <c r="F394" s="266"/>
      <c r="G394" s="113"/>
      <c r="K394" s="36"/>
      <c r="L394" s="117"/>
      <c r="N394" s="117"/>
      <c r="R394" s="117"/>
      <c r="T394" s="117"/>
      <c r="V394" s="117"/>
      <c r="X394" s="117"/>
      <c r="Y394" s="10"/>
      <c r="Z394" s="11"/>
      <c r="AA394" s="36"/>
      <c r="AB394" s="36"/>
      <c r="AC394" s="13"/>
      <c r="AD394" s="13"/>
      <c r="AE394" s="37"/>
      <c r="AF394" s="37"/>
      <c r="AG394" s="14"/>
      <c r="AH394" s="14"/>
      <c r="AI394" s="14"/>
      <c r="AZ394" s="24"/>
    </row>
    <row r="395">
      <c r="B395" s="24"/>
      <c r="E395" s="113"/>
      <c r="F395" s="266"/>
      <c r="G395" s="113"/>
      <c r="K395" s="36"/>
      <c r="L395" s="117"/>
      <c r="N395" s="117"/>
      <c r="R395" s="117"/>
      <c r="T395" s="117"/>
      <c r="V395" s="117"/>
      <c r="X395" s="117"/>
      <c r="Y395" s="10"/>
      <c r="Z395" s="11"/>
      <c r="AA395" s="36"/>
      <c r="AB395" s="36"/>
      <c r="AC395" s="13"/>
      <c r="AD395" s="13"/>
      <c r="AE395" s="37"/>
      <c r="AF395" s="37"/>
      <c r="AG395" s="14"/>
      <c r="AH395" s="14"/>
      <c r="AI395" s="14"/>
      <c r="AZ395" s="24"/>
    </row>
    <row r="396">
      <c r="B396" s="24"/>
      <c r="E396" s="113"/>
      <c r="F396" s="266"/>
      <c r="G396" s="113"/>
      <c r="K396" s="36"/>
      <c r="L396" s="117"/>
      <c r="N396" s="117"/>
      <c r="R396" s="117"/>
      <c r="T396" s="117"/>
      <c r="V396" s="117"/>
      <c r="X396" s="117"/>
      <c r="Y396" s="10"/>
      <c r="Z396" s="11"/>
      <c r="AA396" s="36"/>
      <c r="AB396" s="36"/>
      <c r="AC396" s="13"/>
      <c r="AD396" s="13"/>
      <c r="AE396" s="37"/>
      <c r="AF396" s="37"/>
      <c r="AG396" s="14"/>
      <c r="AH396" s="14"/>
      <c r="AI396" s="14"/>
      <c r="AZ396" s="24"/>
    </row>
    <row r="397">
      <c r="B397" s="24"/>
      <c r="E397" s="113"/>
      <c r="F397" s="266"/>
      <c r="G397" s="113"/>
      <c r="K397" s="36"/>
      <c r="L397" s="117"/>
      <c r="N397" s="117"/>
      <c r="R397" s="117"/>
      <c r="T397" s="117"/>
      <c r="V397" s="117"/>
      <c r="X397" s="117"/>
      <c r="Y397" s="10"/>
      <c r="Z397" s="11"/>
      <c r="AA397" s="36"/>
      <c r="AB397" s="36"/>
      <c r="AC397" s="13"/>
      <c r="AD397" s="13"/>
      <c r="AE397" s="37"/>
      <c r="AF397" s="37"/>
      <c r="AG397" s="14"/>
      <c r="AH397" s="14"/>
      <c r="AI397" s="14"/>
      <c r="AZ397" s="24"/>
    </row>
    <row r="398">
      <c r="B398" s="24"/>
      <c r="E398" s="113"/>
      <c r="F398" s="266"/>
      <c r="G398" s="113"/>
      <c r="K398" s="36"/>
      <c r="L398" s="117"/>
      <c r="N398" s="117"/>
      <c r="R398" s="117"/>
      <c r="T398" s="117"/>
      <c r="V398" s="117"/>
      <c r="X398" s="117"/>
      <c r="Y398" s="10"/>
      <c r="Z398" s="11"/>
      <c r="AA398" s="36"/>
      <c r="AB398" s="36"/>
      <c r="AC398" s="13"/>
      <c r="AD398" s="13"/>
      <c r="AE398" s="37"/>
      <c r="AF398" s="37"/>
      <c r="AG398" s="14"/>
      <c r="AH398" s="14"/>
      <c r="AI398" s="14"/>
      <c r="AZ398" s="24"/>
    </row>
    <row r="399">
      <c r="B399" s="24"/>
      <c r="E399" s="113"/>
      <c r="F399" s="266"/>
      <c r="G399" s="113"/>
      <c r="K399" s="36"/>
      <c r="L399" s="117"/>
      <c r="N399" s="117"/>
      <c r="R399" s="117"/>
      <c r="T399" s="117"/>
      <c r="V399" s="117"/>
      <c r="X399" s="117"/>
      <c r="Y399" s="10"/>
      <c r="Z399" s="11"/>
      <c r="AA399" s="36"/>
      <c r="AB399" s="36"/>
      <c r="AC399" s="13"/>
      <c r="AD399" s="13"/>
      <c r="AE399" s="37"/>
      <c r="AF399" s="37"/>
      <c r="AG399" s="14"/>
      <c r="AH399" s="14"/>
      <c r="AI399" s="14"/>
      <c r="AZ399" s="24"/>
    </row>
    <row r="400">
      <c r="B400" s="24"/>
      <c r="E400" s="113"/>
      <c r="F400" s="266"/>
      <c r="G400" s="113"/>
      <c r="K400" s="36"/>
      <c r="L400" s="117"/>
      <c r="N400" s="117"/>
      <c r="R400" s="117"/>
      <c r="T400" s="117"/>
      <c r="V400" s="117"/>
      <c r="X400" s="117"/>
      <c r="Y400" s="10"/>
      <c r="Z400" s="11"/>
      <c r="AA400" s="36"/>
      <c r="AB400" s="36"/>
      <c r="AC400" s="13"/>
      <c r="AD400" s="13"/>
      <c r="AE400" s="37"/>
      <c r="AF400" s="37"/>
      <c r="AG400" s="14"/>
      <c r="AH400" s="14"/>
      <c r="AI400" s="14"/>
      <c r="AZ400" s="24"/>
    </row>
    <row r="401">
      <c r="B401" s="24"/>
      <c r="E401" s="113"/>
      <c r="F401" s="266"/>
      <c r="G401" s="113"/>
      <c r="K401" s="36"/>
      <c r="L401" s="117"/>
      <c r="N401" s="117"/>
      <c r="R401" s="117"/>
      <c r="T401" s="117"/>
      <c r="V401" s="117"/>
      <c r="X401" s="117"/>
      <c r="Y401" s="10"/>
      <c r="Z401" s="11"/>
      <c r="AA401" s="36"/>
      <c r="AB401" s="36"/>
      <c r="AC401" s="13"/>
      <c r="AD401" s="13"/>
      <c r="AE401" s="37"/>
      <c r="AF401" s="37"/>
      <c r="AG401" s="14"/>
      <c r="AH401" s="14"/>
      <c r="AI401" s="14"/>
      <c r="AZ401" s="24"/>
    </row>
    <row r="402">
      <c r="B402" s="24"/>
      <c r="E402" s="113"/>
      <c r="F402" s="266"/>
      <c r="G402" s="113"/>
      <c r="K402" s="36"/>
      <c r="L402" s="117"/>
      <c r="N402" s="117"/>
      <c r="R402" s="117"/>
      <c r="T402" s="117"/>
      <c r="V402" s="117"/>
      <c r="X402" s="117"/>
      <c r="Y402" s="10"/>
      <c r="Z402" s="11"/>
      <c r="AA402" s="36"/>
      <c r="AB402" s="36"/>
      <c r="AC402" s="13"/>
      <c r="AD402" s="13"/>
      <c r="AE402" s="37"/>
      <c r="AF402" s="37"/>
      <c r="AG402" s="14"/>
      <c r="AH402" s="14"/>
      <c r="AI402" s="14"/>
      <c r="AZ402" s="24"/>
    </row>
    <row r="403">
      <c r="B403" s="24"/>
      <c r="E403" s="113"/>
      <c r="F403" s="266"/>
      <c r="G403" s="113"/>
      <c r="K403" s="36"/>
      <c r="L403" s="117"/>
      <c r="N403" s="117"/>
      <c r="R403" s="117"/>
      <c r="T403" s="117"/>
      <c r="V403" s="117"/>
      <c r="X403" s="117"/>
      <c r="Y403" s="10"/>
      <c r="Z403" s="11"/>
      <c r="AA403" s="36"/>
      <c r="AB403" s="36"/>
      <c r="AC403" s="13"/>
      <c r="AD403" s="13"/>
      <c r="AE403" s="37"/>
      <c r="AF403" s="37"/>
      <c r="AG403" s="14"/>
      <c r="AH403" s="14"/>
      <c r="AI403" s="14"/>
      <c r="AZ403" s="24"/>
    </row>
    <row r="404">
      <c r="B404" s="24"/>
      <c r="E404" s="113"/>
      <c r="F404" s="266"/>
      <c r="G404" s="113"/>
      <c r="K404" s="36"/>
      <c r="L404" s="117"/>
      <c r="N404" s="117"/>
      <c r="R404" s="117"/>
      <c r="T404" s="117"/>
      <c r="V404" s="117"/>
      <c r="X404" s="117"/>
      <c r="Y404" s="10"/>
      <c r="Z404" s="11"/>
      <c r="AA404" s="36"/>
      <c r="AB404" s="36"/>
      <c r="AC404" s="13"/>
      <c r="AD404" s="13"/>
      <c r="AE404" s="37"/>
      <c r="AF404" s="37"/>
      <c r="AG404" s="14"/>
      <c r="AH404" s="14"/>
      <c r="AI404" s="14"/>
      <c r="AZ404" s="24"/>
    </row>
    <row r="405">
      <c r="B405" s="24"/>
      <c r="E405" s="113"/>
      <c r="F405" s="266"/>
      <c r="G405" s="113"/>
      <c r="K405" s="36"/>
      <c r="L405" s="117"/>
      <c r="N405" s="117"/>
      <c r="R405" s="117"/>
      <c r="T405" s="117"/>
      <c r="V405" s="117"/>
      <c r="X405" s="117"/>
      <c r="Y405" s="10"/>
      <c r="Z405" s="11"/>
      <c r="AA405" s="36"/>
      <c r="AB405" s="36"/>
      <c r="AC405" s="13"/>
      <c r="AD405" s="13"/>
      <c r="AE405" s="37"/>
      <c r="AF405" s="37"/>
      <c r="AG405" s="14"/>
      <c r="AH405" s="14"/>
      <c r="AI405" s="14"/>
      <c r="AZ405" s="24"/>
    </row>
    <row r="406">
      <c r="B406" s="24"/>
      <c r="E406" s="113"/>
      <c r="F406" s="266"/>
      <c r="G406" s="113"/>
      <c r="K406" s="36"/>
      <c r="L406" s="117"/>
      <c r="N406" s="117"/>
      <c r="R406" s="117"/>
      <c r="T406" s="117"/>
      <c r="V406" s="117"/>
      <c r="X406" s="117"/>
      <c r="Y406" s="10"/>
      <c r="Z406" s="11"/>
      <c r="AA406" s="36"/>
      <c r="AB406" s="36"/>
      <c r="AC406" s="13"/>
      <c r="AD406" s="13"/>
      <c r="AE406" s="37"/>
      <c r="AF406" s="37"/>
      <c r="AG406" s="14"/>
      <c r="AH406" s="14"/>
      <c r="AI406" s="14"/>
      <c r="AZ406" s="24"/>
    </row>
    <row r="407">
      <c r="B407" s="24"/>
      <c r="E407" s="113"/>
      <c r="F407" s="266"/>
      <c r="G407" s="113"/>
      <c r="K407" s="36"/>
      <c r="L407" s="117"/>
      <c r="N407" s="117"/>
      <c r="R407" s="117"/>
      <c r="T407" s="117"/>
      <c r="V407" s="117"/>
      <c r="X407" s="117"/>
      <c r="Y407" s="10"/>
      <c r="Z407" s="11"/>
      <c r="AA407" s="36"/>
      <c r="AB407" s="36"/>
      <c r="AC407" s="13"/>
      <c r="AD407" s="13"/>
      <c r="AE407" s="37"/>
      <c r="AF407" s="37"/>
      <c r="AG407" s="14"/>
      <c r="AH407" s="14"/>
      <c r="AI407" s="14"/>
      <c r="AZ407" s="24"/>
    </row>
    <row r="408">
      <c r="B408" s="24"/>
      <c r="E408" s="113"/>
      <c r="F408" s="266"/>
      <c r="G408" s="113"/>
      <c r="K408" s="36"/>
      <c r="L408" s="117"/>
      <c r="N408" s="117"/>
      <c r="R408" s="117"/>
      <c r="T408" s="117"/>
      <c r="V408" s="117"/>
      <c r="X408" s="117"/>
      <c r="Y408" s="10"/>
      <c r="Z408" s="11"/>
      <c r="AA408" s="36"/>
      <c r="AB408" s="36"/>
      <c r="AC408" s="13"/>
      <c r="AD408" s="13"/>
      <c r="AE408" s="37"/>
      <c r="AF408" s="37"/>
      <c r="AG408" s="14"/>
      <c r="AH408" s="14"/>
      <c r="AI408" s="14"/>
      <c r="AZ408" s="24"/>
    </row>
    <row r="409">
      <c r="B409" s="24"/>
      <c r="E409" s="113"/>
      <c r="F409" s="266"/>
      <c r="G409" s="113"/>
      <c r="K409" s="36"/>
      <c r="L409" s="117"/>
      <c r="N409" s="117"/>
      <c r="R409" s="117"/>
      <c r="T409" s="117"/>
      <c r="V409" s="117"/>
      <c r="X409" s="117"/>
      <c r="Y409" s="10"/>
      <c r="Z409" s="11"/>
      <c r="AA409" s="36"/>
      <c r="AB409" s="36"/>
      <c r="AC409" s="13"/>
      <c r="AD409" s="13"/>
      <c r="AE409" s="37"/>
      <c r="AF409" s="37"/>
      <c r="AG409" s="14"/>
      <c r="AH409" s="14"/>
      <c r="AI409" s="14"/>
      <c r="AZ409" s="24"/>
    </row>
    <row r="410">
      <c r="B410" s="24"/>
      <c r="E410" s="113"/>
      <c r="F410" s="266"/>
      <c r="G410" s="113"/>
      <c r="K410" s="36"/>
      <c r="L410" s="117"/>
      <c r="N410" s="117"/>
      <c r="R410" s="117"/>
      <c r="T410" s="117"/>
      <c r="V410" s="117"/>
      <c r="X410" s="117"/>
      <c r="Y410" s="10"/>
      <c r="Z410" s="11"/>
      <c r="AA410" s="36"/>
      <c r="AB410" s="36"/>
      <c r="AC410" s="13"/>
      <c r="AD410" s="13"/>
      <c r="AE410" s="37"/>
      <c r="AF410" s="37"/>
      <c r="AG410" s="14"/>
      <c r="AH410" s="14"/>
      <c r="AI410" s="14"/>
      <c r="AZ410" s="24"/>
    </row>
    <row r="411">
      <c r="B411" s="24"/>
      <c r="E411" s="113"/>
      <c r="F411" s="266"/>
      <c r="G411" s="113"/>
      <c r="K411" s="36"/>
      <c r="L411" s="117"/>
      <c r="N411" s="117"/>
      <c r="R411" s="117"/>
      <c r="T411" s="117"/>
      <c r="V411" s="117"/>
      <c r="X411" s="117"/>
      <c r="Y411" s="10"/>
      <c r="Z411" s="11"/>
      <c r="AA411" s="36"/>
      <c r="AB411" s="36"/>
      <c r="AC411" s="13"/>
      <c r="AD411" s="13"/>
      <c r="AE411" s="37"/>
      <c r="AF411" s="37"/>
      <c r="AG411" s="14"/>
      <c r="AH411" s="14"/>
      <c r="AI411" s="14"/>
      <c r="AZ411" s="24"/>
    </row>
    <row r="412">
      <c r="B412" s="24"/>
      <c r="E412" s="113"/>
      <c r="F412" s="266"/>
      <c r="G412" s="113"/>
      <c r="K412" s="36"/>
      <c r="L412" s="117"/>
      <c r="N412" s="117"/>
      <c r="R412" s="117"/>
      <c r="T412" s="117"/>
      <c r="V412" s="117"/>
      <c r="X412" s="117"/>
      <c r="Y412" s="10"/>
      <c r="Z412" s="11"/>
      <c r="AA412" s="36"/>
      <c r="AB412" s="36"/>
      <c r="AC412" s="13"/>
      <c r="AD412" s="13"/>
      <c r="AE412" s="37"/>
      <c r="AF412" s="37"/>
      <c r="AG412" s="14"/>
      <c r="AH412" s="14"/>
      <c r="AI412" s="14"/>
      <c r="AZ412" s="24"/>
    </row>
    <row r="413">
      <c r="B413" s="24"/>
      <c r="E413" s="113"/>
      <c r="F413" s="266"/>
      <c r="G413" s="113"/>
      <c r="K413" s="36"/>
      <c r="L413" s="117"/>
      <c r="N413" s="117"/>
      <c r="R413" s="117"/>
      <c r="T413" s="117"/>
      <c r="V413" s="117"/>
      <c r="X413" s="117"/>
      <c r="Y413" s="10"/>
      <c r="Z413" s="11"/>
      <c r="AA413" s="36"/>
      <c r="AB413" s="36"/>
      <c r="AC413" s="13"/>
      <c r="AD413" s="13"/>
      <c r="AE413" s="37"/>
      <c r="AF413" s="37"/>
      <c r="AG413" s="14"/>
      <c r="AH413" s="14"/>
      <c r="AI413" s="14"/>
      <c r="AZ413" s="24"/>
    </row>
    <row r="414">
      <c r="B414" s="24"/>
      <c r="E414" s="113"/>
      <c r="F414" s="266"/>
      <c r="G414" s="113"/>
      <c r="K414" s="36"/>
      <c r="L414" s="117"/>
      <c r="N414" s="117"/>
      <c r="R414" s="117"/>
      <c r="T414" s="117"/>
      <c r="V414" s="117"/>
      <c r="X414" s="117"/>
      <c r="Y414" s="10"/>
      <c r="Z414" s="11"/>
      <c r="AA414" s="36"/>
      <c r="AB414" s="36"/>
      <c r="AC414" s="13"/>
      <c r="AD414" s="13"/>
      <c r="AE414" s="37"/>
      <c r="AF414" s="37"/>
      <c r="AG414" s="14"/>
      <c r="AH414" s="14"/>
      <c r="AI414" s="14"/>
      <c r="AZ414" s="24"/>
    </row>
    <row r="415">
      <c r="B415" s="24"/>
      <c r="E415" s="113"/>
      <c r="F415" s="266"/>
      <c r="G415" s="113"/>
      <c r="K415" s="36"/>
      <c r="L415" s="117"/>
      <c r="N415" s="117"/>
      <c r="R415" s="117"/>
      <c r="T415" s="117"/>
      <c r="V415" s="117"/>
      <c r="X415" s="117"/>
      <c r="Y415" s="10"/>
      <c r="Z415" s="11"/>
      <c r="AA415" s="36"/>
      <c r="AB415" s="36"/>
      <c r="AC415" s="13"/>
      <c r="AD415" s="13"/>
      <c r="AE415" s="37"/>
      <c r="AF415" s="37"/>
      <c r="AG415" s="14"/>
      <c r="AH415" s="14"/>
      <c r="AI415" s="14"/>
      <c r="AZ415" s="24"/>
    </row>
    <row r="416">
      <c r="B416" s="24"/>
      <c r="E416" s="113"/>
      <c r="F416" s="266"/>
      <c r="G416" s="113"/>
      <c r="K416" s="36"/>
      <c r="L416" s="117"/>
      <c r="N416" s="117"/>
      <c r="R416" s="117"/>
      <c r="T416" s="117"/>
      <c r="V416" s="117"/>
      <c r="X416" s="117"/>
      <c r="Y416" s="10"/>
      <c r="Z416" s="11"/>
      <c r="AA416" s="36"/>
      <c r="AB416" s="36"/>
      <c r="AC416" s="13"/>
      <c r="AD416" s="13"/>
      <c r="AE416" s="37"/>
      <c r="AF416" s="37"/>
      <c r="AG416" s="14"/>
      <c r="AH416" s="14"/>
      <c r="AI416" s="14"/>
      <c r="AZ416" s="24"/>
    </row>
    <row r="417">
      <c r="B417" s="24"/>
      <c r="E417" s="113"/>
      <c r="F417" s="266"/>
      <c r="G417" s="113"/>
      <c r="K417" s="36"/>
      <c r="L417" s="117"/>
      <c r="N417" s="117"/>
      <c r="R417" s="117"/>
      <c r="T417" s="117"/>
      <c r="V417" s="117"/>
      <c r="X417" s="117"/>
      <c r="Y417" s="10"/>
      <c r="Z417" s="11"/>
      <c r="AA417" s="36"/>
      <c r="AB417" s="36"/>
      <c r="AC417" s="13"/>
      <c r="AD417" s="13"/>
      <c r="AE417" s="37"/>
      <c r="AF417" s="37"/>
      <c r="AG417" s="14"/>
      <c r="AH417" s="14"/>
      <c r="AI417" s="14"/>
      <c r="AZ417" s="24"/>
    </row>
    <row r="418">
      <c r="B418" s="24"/>
      <c r="E418" s="113"/>
      <c r="F418" s="266"/>
      <c r="G418" s="113"/>
      <c r="K418" s="36"/>
      <c r="L418" s="117"/>
      <c r="N418" s="117"/>
      <c r="R418" s="117"/>
      <c r="T418" s="117"/>
      <c r="V418" s="117"/>
      <c r="X418" s="117"/>
      <c r="Y418" s="10"/>
      <c r="Z418" s="11"/>
      <c r="AA418" s="36"/>
      <c r="AB418" s="36"/>
      <c r="AC418" s="13"/>
      <c r="AD418" s="13"/>
      <c r="AE418" s="37"/>
      <c r="AF418" s="37"/>
      <c r="AG418" s="14"/>
      <c r="AH418" s="14"/>
      <c r="AI418" s="14"/>
      <c r="AZ418" s="24"/>
    </row>
    <row r="419">
      <c r="B419" s="24"/>
      <c r="E419" s="113"/>
      <c r="F419" s="266"/>
      <c r="G419" s="113"/>
      <c r="K419" s="36"/>
      <c r="L419" s="117"/>
      <c r="N419" s="117"/>
      <c r="R419" s="117"/>
      <c r="T419" s="117"/>
      <c r="V419" s="117"/>
      <c r="X419" s="117"/>
      <c r="Y419" s="10"/>
      <c r="Z419" s="11"/>
      <c r="AA419" s="36"/>
      <c r="AB419" s="36"/>
      <c r="AC419" s="13"/>
      <c r="AD419" s="13"/>
      <c r="AE419" s="37"/>
      <c r="AF419" s="37"/>
      <c r="AG419" s="14"/>
      <c r="AH419" s="14"/>
      <c r="AI419" s="14"/>
      <c r="AZ419" s="24"/>
    </row>
    <row r="420">
      <c r="B420" s="24"/>
      <c r="E420" s="113"/>
      <c r="F420" s="266"/>
      <c r="G420" s="113"/>
      <c r="K420" s="36"/>
      <c r="L420" s="117"/>
      <c r="N420" s="117"/>
      <c r="R420" s="117"/>
      <c r="T420" s="117"/>
      <c r="V420" s="117"/>
      <c r="X420" s="117"/>
      <c r="Y420" s="10"/>
      <c r="Z420" s="11"/>
      <c r="AA420" s="36"/>
      <c r="AB420" s="36"/>
      <c r="AC420" s="13"/>
      <c r="AD420" s="13"/>
      <c r="AE420" s="37"/>
      <c r="AF420" s="37"/>
      <c r="AG420" s="14"/>
      <c r="AH420" s="14"/>
      <c r="AI420" s="14"/>
      <c r="AZ420" s="24"/>
    </row>
    <row r="421">
      <c r="B421" s="24"/>
      <c r="E421" s="113"/>
      <c r="F421" s="266"/>
      <c r="G421" s="113"/>
      <c r="K421" s="36"/>
      <c r="L421" s="117"/>
      <c r="N421" s="117"/>
      <c r="R421" s="117"/>
      <c r="T421" s="117"/>
      <c r="V421" s="117"/>
      <c r="X421" s="117"/>
      <c r="Y421" s="10"/>
      <c r="Z421" s="11"/>
      <c r="AA421" s="36"/>
      <c r="AB421" s="36"/>
      <c r="AC421" s="13"/>
      <c r="AD421" s="13"/>
      <c r="AE421" s="37"/>
      <c r="AF421" s="37"/>
      <c r="AG421" s="14"/>
      <c r="AH421" s="14"/>
      <c r="AI421" s="14"/>
      <c r="AZ421" s="24"/>
    </row>
    <row r="422">
      <c r="B422" s="24"/>
      <c r="E422" s="113"/>
      <c r="F422" s="266"/>
      <c r="G422" s="113"/>
      <c r="K422" s="36"/>
      <c r="L422" s="117"/>
      <c r="N422" s="117"/>
      <c r="R422" s="117"/>
      <c r="T422" s="117"/>
      <c r="V422" s="117"/>
      <c r="X422" s="117"/>
      <c r="Y422" s="10"/>
      <c r="Z422" s="11"/>
      <c r="AA422" s="36"/>
      <c r="AB422" s="36"/>
      <c r="AC422" s="13"/>
      <c r="AD422" s="13"/>
      <c r="AE422" s="37"/>
      <c r="AF422" s="37"/>
      <c r="AG422" s="14"/>
      <c r="AH422" s="14"/>
      <c r="AI422" s="14"/>
      <c r="AZ422" s="24"/>
    </row>
    <row r="423">
      <c r="B423" s="24"/>
      <c r="E423" s="113"/>
      <c r="F423" s="266"/>
      <c r="G423" s="113"/>
      <c r="K423" s="36"/>
      <c r="L423" s="117"/>
      <c r="N423" s="117"/>
      <c r="R423" s="117"/>
      <c r="T423" s="117"/>
      <c r="V423" s="117"/>
      <c r="X423" s="117"/>
      <c r="Y423" s="10"/>
      <c r="Z423" s="11"/>
      <c r="AA423" s="36"/>
      <c r="AB423" s="36"/>
      <c r="AC423" s="13"/>
      <c r="AD423" s="13"/>
      <c r="AE423" s="37"/>
      <c r="AF423" s="37"/>
      <c r="AG423" s="14"/>
      <c r="AH423" s="14"/>
      <c r="AI423" s="14"/>
      <c r="AZ423" s="24"/>
    </row>
    <row r="424">
      <c r="B424" s="24"/>
      <c r="E424" s="113"/>
      <c r="F424" s="266"/>
      <c r="G424" s="113"/>
      <c r="K424" s="36"/>
      <c r="L424" s="117"/>
      <c r="N424" s="117"/>
      <c r="R424" s="117"/>
      <c r="T424" s="117"/>
      <c r="V424" s="117"/>
      <c r="X424" s="117"/>
      <c r="Y424" s="10"/>
      <c r="Z424" s="11"/>
      <c r="AA424" s="36"/>
      <c r="AB424" s="36"/>
      <c r="AC424" s="13"/>
      <c r="AD424" s="13"/>
      <c r="AE424" s="37"/>
      <c r="AF424" s="37"/>
      <c r="AG424" s="14"/>
      <c r="AH424" s="14"/>
      <c r="AI424" s="14"/>
      <c r="AZ424" s="24"/>
    </row>
    <row r="425">
      <c r="B425" s="24"/>
      <c r="E425" s="113"/>
      <c r="F425" s="266"/>
      <c r="G425" s="113"/>
      <c r="K425" s="36"/>
      <c r="L425" s="117"/>
      <c r="N425" s="117"/>
      <c r="R425" s="117"/>
      <c r="T425" s="117"/>
      <c r="V425" s="117"/>
      <c r="X425" s="117"/>
      <c r="Y425" s="10"/>
      <c r="Z425" s="11"/>
      <c r="AA425" s="36"/>
      <c r="AB425" s="36"/>
      <c r="AC425" s="13"/>
      <c r="AD425" s="13"/>
      <c r="AE425" s="37"/>
      <c r="AF425" s="37"/>
      <c r="AG425" s="14"/>
      <c r="AH425" s="14"/>
      <c r="AI425" s="14"/>
      <c r="AZ425" s="24"/>
    </row>
    <row r="426">
      <c r="B426" s="24"/>
      <c r="E426" s="113"/>
      <c r="F426" s="266"/>
      <c r="G426" s="113"/>
      <c r="K426" s="36"/>
      <c r="L426" s="117"/>
      <c r="N426" s="117"/>
      <c r="R426" s="117"/>
      <c r="T426" s="117"/>
      <c r="V426" s="117"/>
      <c r="X426" s="117"/>
      <c r="Y426" s="10"/>
      <c r="Z426" s="11"/>
      <c r="AA426" s="36"/>
      <c r="AB426" s="36"/>
      <c r="AC426" s="13"/>
      <c r="AD426" s="13"/>
      <c r="AE426" s="37"/>
      <c r="AF426" s="37"/>
      <c r="AG426" s="14"/>
      <c r="AH426" s="14"/>
      <c r="AI426" s="14"/>
      <c r="AZ426" s="24"/>
    </row>
    <row r="427">
      <c r="B427" s="24"/>
      <c r="E427" s="113"/>
      <c r="F427" s="266"/>
      <c r="G427" s="113"/>
      <c r="K427" s="36"/>
      <c r="L427" s="117"/>
      <c r="N427" s="117"/>
      <c r="R427" s="117"/>
      <c r="T427" s="117"/>
      <c r="V427" s="117"/>
      <c r="X427" s="117"/>
      <c r="Y427" s="10"/>
      <c r="Z427" s="11"/>
      <c r="AA427" s="36"/>
      <c r="AB427" s="36"/>
      <c r="AC427" s="13"/>
      <c r="AD427" s="13"/>
      <c r="AE427" s="37"/>
      <c r="AF427" s="37"/>
      <c r="AG427" s="14"/>
      <c r="AH427" s="14"/>
      <c r="AI427" s="14"/>
      <c r="AZ427" s="24"/>
    </row>
    <row r="428">
      <c r="B428" s="24"/>
      <c r="E428" s="113"/>
      <c r="F428" s="266"/>
      <c r="G428" s="113"/>
      <c r="K428" s="36"/>
      <c r="L428" s="117"/>
      <c r="N428" s="117"/>
      <c r="R428" s="117"/>
      <c r="T428" s="117"/>
      <c r="V428" s="117"/>
      <c r="X428" s="117"/>
      <c r="Y428" s="10"/>
      <c r="Z428" s="11"/>
      <c r="AA428" s="36"/>
      <c r="AB428" s="36"/>
      <c r="AC428" s="13"/>
      <c r="AD428" s="13"/>
      <c r="AE428" s="37"/>
      <c r="AF428" s="37"/>
      <c r="AG428" s="14"/>
      <c r="AH428" s="14"/>
      <c r="AI428" s="14"/>
      <c r="AZ428" s="24"/>
    </row>
    <row r="429">
      <c r="B429" s="24"/>
      <c r="E429" s="113"/>
      <c r="F429" s="266"/>
      <c r="G429" s="113"/>
      <c r="K429" s="36"/>
      <c r="L429" s="117"/>
      <c r="N429" s="117"/>
      <c r="R429" s="117"/>
      <c r="T429" s="117"/>
      <c r="V429" s="117"/>
      <c r="X429" s="117"/>
      <c r="Y429" s="10"/>
      <c r="Z429" s="11"/>
      <c r="AA429" s="36"/>
      <c r="AB429" s="36"/>
      <c r="AC429" s="13"/>
      <c r="AD429" s="13"/>
      <c r="AE429" s="37"/>
      <c r="AF429" s="37"/>
      <c r="AG429" s="14"/>
      <c r="AH429" s="14"/>
      <c r="AI429" s="14"/>
      <c r="AZ429" s="24"/>
    </row>
    <row r="430">
      <c r="B430" s="24"/>
      <c r="E430" s="113"/>
      <c r="F430" s="266"/>
      <c r="G430" s="113"/>
      <c r="K430" s="36"/>
      <c r="L430" s="117"/>
      <c r="N430" s="117"/>
      <c r="R430" s="117"/>
      <c r="T430" s="117"/>
      <c r="V430" s="117"/>
      <c r="X430" s="117"/>
      <c r="Y430" s="10"/>
      <c r="Z430" s="11"/>
      <c r="AA430" s="36"/>
      <c r="AB430" s="36"/>
      <c r="AC430" s="13"/>
      <c r="AD430" s="13"/>
      <c r="AE430" s="37"/>
      <c r="AF430" s="37"/>
      <c r="AG430" s="14"/>
      <c r="AH430" s="14"/>
      <c r="AI430" s="14"/>
      <c r="AZ430" s="24"/>
    </row>
    <row r="431">
      <c r="B431" s="24"/>
      <c r="E431" s="113"/>
      <c r="F431" s="266"/>
      <c r="G431" s="113"/>
      <c r="K431" s="36"/>
      <c r="L431" s="117"/>
      <c r="N431" s="117"/>
      <c r="R431" s="117"/>
      <c r="T431" s="117"/>
      <c r="V431" s="117"/>
      <c r="X431" s="117"/>
      <c r="Y431" s="10"/>
      <c r="Z431" s="11"/>
      <c r="AA431" s="36"/>
      <c r="AB431" s="36"/>
      <c r="AC431" s="13"/>
      <c r="AD431" s="13"/>
      <c r="AE431" s="37"/>
      <c r="AF431" s="37"/>
      <c r="AG431" s="14"/>
      <c r="AH431" s="14"/>
      <c r="AI431" s="14"/>
      <c r="AZ431" s="24"/>
    </row>
    <row r="432">
      <c r="B432" s="24"/>
      <c r="E432" s="113"/>
      <c r="F432" s="266"/>
      <c r="G432" s="113"/>
      <c r="K432" s="36"/>
      <c r="L432" s="117"/>
      <c r="N432" s="117"/>
      <c r="R432" s="117"/>
      <c r="T432" s="117"/>
      <c r="V432" s="117"/>
      <c r="X432" s="117"/>
      <c r="Y432" s="10"/>
      <c r="Z432" s="11"/>
      <c r="AA432" s="36"/>
      <c r="AB432" s="36"/>
      <c r="AC432" s="13"/>
      <c r="AD432" s="13"/>
      <c r="AE432" s="37"/>
      <c r="AF432" s="37"/>
      <c r="AG432" s="14"/>
      <c r="AH432" s="14"/>
      <c r="AI432" s="14"/>
      <c r="AZ432" s="24"/>
    </row>
    <row r="433">
      <c r="B433" s="24"/>
      <c r="E433" s="113"/>
      <c r="F433" s="266"/>
      <c r="G433" s="113"/>
      <c r="K433" s="36"/>
      <c r="L433" s="117"/>
      <c r="N433" s="117"/>
      <c r="R433" s="117"/>
      <c r="T433" s="117"/>
      <c r="V433" s="117"/>
      <c r="X433" s="117"/>
      <c r="Y433" s="10"/>
      <c r="Z433" s="11"/>
      <c r="AA433" s="36"/>
      <c r="AB433" s="36"/>
      <c r="AC433" s="13"/>
      <c r="AD433" s="13"/>
      <c r="AE433" s="37"/>
      <c r="AF433" s="37"/>
      <c r="AG433" s="14"/>
      <c r="AH433" s="14"/>
      <c r="AI433" s="14"/>
      <c r="AZ433" s="24"/>
    </row>
    <row r="434">
      <c r="B434" s="24"/>
      <c r="E434" s="113"/>
      <c r="F434" s="266"/>
      <c r="G434" s="113"/>
      <c r="K434" s="36"/>
      <c r="L434" s="117"/>
      <c r="N434" s="117"/>
      <c r="R434" s="117"/>
      <c r="T434" s="117"/>
      <c r="V434" s="117"/>
      <c r="X434" s="117"/>
      <c r="Y434" s="10"/>
      <c r="Z434" s="11"/>
      <c r="AA434" s="36"/>
      <c r="AB434" s="36"/>
      <c r="AC434" s="13"/>
      <c r="AD434" s="13"/>
      <c r="AE434" s="37"/>
      <c r="AF434" s="37"/>
      <c r="AG434" s="14"/>
      <c r="AH434" s="14"/>
      <c r="AI434" s="14"/>
      <c r="AZ434" s="24"/>
    </row>
    <row r="435">
      <c r="B435" s="24"/>
      <c r="E435" s="113"/>
      <c r="F435" s="266"/>
      <c r="G435" s="113"/>
      <c r="K435" s="36"/>
      <c r="L435" s="117"/>
      <c r="N435" s="117"/>
      <c r="R435" s="117"/>
      <c r="T435" s="117"/>
      <c r="V435" s="117"/>
      <c r="X435" s="117"/>
      <c r="Y435" s="10"/>
      <c r="Z435" s="11"/>
      <c r="AA435" s="36"/>
      <c r="AB435" s="36"/>
      <c r="AC435" s="13"/>
      <c r="AD435" s="13"/>
      <c r="AE435" s="37"/>
      <c r="AF435" s="37"/>
      <c r="AG435" s="14"/>
      <c r="AH435" s="14"/>
      <c r="AI435" s="14"/>
      <c r="AZ435" s="24"/>
    </row>
    <row r="436">
      <c r="B436" s="24"/>
      <c r="E436" s="113"/>
      <c r="F436" s="266"/>
      <c r="G436" s="113"/>
      <c r="K436" s="36"/>
      <c r="L436" s="117"/>
      <c r="N436" s="117"/>
      <c r="R436" s="117"/>
      <c r="T436" s="117"/>
      <c r="V436" s="117"/>
      <c r="X436" s="117"/>
      <c r="Y436" s="10"/>
      <c r="Z436" s="11"/>
      <c r="AA436" s="36"/>
      <c r="AB436" s="36"/>
      <c r="AC436" s="13"/>
      <c r="AD436" s="13"/>
      <c r="AE436" s="37"/>
      <c r="AF436" s="37"/>
      <c r="AG436" s="14"/>
      <c r="AH436" s="14"/>
      <c r="AI436" s="14"/>
      <c r="AZ436" s="24"/>
    </row>
    <row r="437">
      <c r="B437" s="24"/>
      <c r="E437" s="113"/>
      <c r="F437" s="266"/>
      <c r="G437" s="113"/>
      <c r="K437" s="36"/>
      <c r="L437" s="117"/>
      <c r="N437" s="117"/>
      <c r="R437" s="117"/>
      <c r="T437" s="117"/>
      <c r="V437" s="117"/>
      <c r="X437" s="117"/>
      <c r="Y437" s="10"/>
      <c r="Z437" s="11"/>
      <c r="AA437" s="36"/>
      <c r="AB437" s="36"/>
      <c r="AC437" s="13"/>
      <c r="AD437" s="13"/>
      <c r="AE437" s="37"/>
      <c r="AF437" s="37"/>
      <c r="AG437" s="14"/>
      <c r="AH437" s="14"/>
      <c r="AI437" s="14"/>
      <c r="AZ437" s="24"/>
    </row>
    <row r="438">
      <c r="B438" s="24"/>
      <c r="E438" s="113"/>
      <c r="F438" s="266"/>
      <c r="G438" s="113"/>
      <c r="K438" s="36"/>
      <c r="L438" s="117"/>
      <c r="N438" s="117"/>
      <c r="R438" s="117"/>
      <c r="T438" s="117"/>
      <c r="V438" s="117"/>
      <c r="X438" s="117"/>
      <c r="Y438" s="10"/>
      <c r="Z438" s="11"/>
      <c r="AA438" s="36"/>
      <c r="AB438" s="36"/>
      <c r="AC438" s="13"/>
      <c r="AD438" s="13"/>
      <c r="AE438" s="37"/>
      <c r="AF438" s="37"/>
      <c r="AG438" s="14"/>
      <c r="AH438" s="14"/>
      <c r="AI438" s="14"/>
      <c r="AZ438" s="24"/>
    </row>
    <row r="439">
      <c r="B439" s="24"/>
      <c r="E439" s="113"/>
      <c r="F439" s="266"/>
      <c r="G439" s="113"/>
      <c r="K439" s="36"/>
      <c r="L439" s="117"/>
      <c r="N439" s="117"/>
      <c r="R439" s="117"/>
      <c r="T439" s="117"/>
      <c r="V439" s="117"/>
      <c r="X439" s="117"/>
      <c r="Y439" s="10"/>
      <c r="Z439" s="11"/>
      <c r="AA439" s="36"/>
      <c r="AB439" s="36"/>
      <c r="AC439" s="13"/>
      <c r="AD439" s="13"/>
      <c r="AE439" s="37"/>
      <c r="AF439" s="37"/>
      <c r="AG439" s="14"/>
      <c r="AH439" s="14"/>
      <c r="AI439" s="14"/>
      <c r="AZ439" s="24"/>
    </row>
    <row r="440">
      <c r="B440" s="24"/>
      <c r="E440" s="113"/>
      <c r="F440" s="266"/>
      <c r="G440" s="113"/>
      <c r="K440" s="36"/>
      <c r="L440" s="117"/>
      <c r="N440" s="117"/>
      <c r="R440" s="117"/>
      <c r="T440" s="117"/>
      <c r="V440" s="117"/>
      <c r="X440" s="117"/>
      <c r="Y440" s="10"/>
      <c r="Z440" s="11"/>
      <c r="AA440" s="36"/>
      <c r="AB440" s="36"/>
      <c r="AC440" s="13"/>
      <c r="AD440" s="13"/>
      <c r="AE440" s="37"/>
      <c r="AF440" s="37"/>
      <c r="AG440" s="14"/>
      <c r="AH440" s="14"/>
      <c r="AI440" s="14"/>
      <c r="AZ440" s="24"/>
    </row>
    <row r="441">
      <c r="B441" s="24"/>
      <c r="E441" s="113"/>
      <c r="F441" s="266"/>
      <c r="G441" s="113"/>
      <c r="K441" s="36"/>
      <c r="L441" s="117"/>
      <c r="N441" s="117"/>
      <c r="R441" s="117"/>
      <c r="T441" s="117"/>
      <c r="V441" s="117"/>
      <c r="X441" s="117"/>
      <c r="Y441" s="10"/>
      <c r="Z441" s="11"/>
      <c r="AA441" s="36"/>
      <c r="AB441" s="36"/>
      <c r="AC441" s="13"/>
      <c r="AD441" s="13"/>
      <c r="AE441" s="37"/>
      <c r="AF441" s="37"/>
      <c r="AG441" s="14"/>
      <c r="AH441" s="14"/>
      <c r="AI441" s="14"/>
      <c r="AZ441" s="24"/>
    </row>
    <row r="442">
      <c r="B442" s="24"/>
      <c r="E442" s="113"/>
      <c r="F442" s="266"/>
      <c r="G442" s="113"/>
      <c r="K442" s="36"/>
      <c r="L442" s="117"/>
      <c r="N442" s="117"/>
      <c r="R442" s="117"/>
      <c r="T442" s="117"/>
      <c r="V442" s="117"/>
      <c r="X442" s="117"/>
      <c r="Y442" s="10"/>
      <c r="Z442" s="11"/>
      <c r="AA442" s="36"/>
      <c r="AB442" s="36"/>
      <c r="AC442" s="13"/>
      <c r="AD442" s="13"/>
      <c r="AE442" s="37"/>
      <c r="AF442" s="37"/>
      <c r="AG442" s="14"/>
      <c r="AH442" s="14"/>
      <c r="AI442" s="14"/>
      <c r="AZ442" s="24"/>
    </row>
    <row r="443">
      <c r="B443" s="24"/>
      <c r="E443" s="113"/>
      <c r="F443" s="266"/>
      <c r="G443" s="113"/>
      <c r="K443" s="36"/>
      <c r="L443" s="117"/>
      <c r="N443" s="117"/>
      <c r="R443" s="117"/>
      <c r="T443" s="117"/>
      <c r="V443" s="117"/>
      <c r="X443" s="117"/>
      <c r="Y443" s="10"/>
      <c r="Z443" s="11"/>
      <c r="AA443" s="36"/>
      <c r="AB443" s="36"/>
      <c r="AC443" s="13"/>
      <c r="AD443" s="13"/>
      <c r="AE443" s="37"/>
      <c r="AF443" s="37"/>
      <c r="AG443" s="14"/>
      <c r="AH443" s="14"/>
      <c r="AI443" s="14"/>
      <c r="AZ443" s="24"/>
    </row>
    <row r="444">
      <c r="B444" s="24"/>
      <c r="E444" s="113"/>
      <c r="F444" s="266"/>
      <c r="G444" s="113"/>
      <c r="K444" s="36"/>
      <c r="L444" s="117"/>
      <c r="N444" s="117"/>
      <c r="R444" s="117"/>
      <c r="T444" s="117"/>
      <c r="V444" s="117"/>
      <c r="X444" s="117"/>
      <c r="Y444" s="10"/>
      <c r="Z444" s="11"/>
      <c r="AA444" s="36"/>
      <c r="AB444" s="36"/>
      <c r="AC444" s="13"/>
      <c r="AD444" s="13"/>
      <c r="AE444" s="37"/>
      <c r="AF444" s="37"/>
      <c r="AG444" s="14"/>
      <c r="AH444" s="14"/>
      <c r="AI444" s="14"/>
      <c r="AZ444" s="24"/>
    </row>
    <row r="445">
      <c r="B445" s="24"/>
      <c r="E445" s="113"/>
      <c r="F445" s="266"/>
      <c r="G445" s="113"/>
      <c r="K445" s="36"/>
      <c r="L445" s="117"/>
      <c r="N445" s="117"/>
      <c r="R445" s="117"/>
      <c r="T445" s="117"/>
      <c r="V445" s="117"/>
      <c r="X445" s="117"/>
      <c r="Y445" s="10"/>
      <c r="Z445" s="11"/>
      <c r="AA445" s="36"/>
      <c r="AB445" s="36"/>
      <c r="AC445" s="13"/>
      <c r="AD445" s="13"/>
      <c r="AE445" s="37"/>
      <c r="AF445" s="37"/>
      <c r="AG445" s="14"/>
      <c r="AH445" s="14"/>
      <c r="AI445" s="14"/>
      <c r="AZ445" s="24"/>
    </row>
    <row r="446">
      <c r="B446" s="24"/>
      <c r="E446" s="113"/>
      <c r="F446" s="266"/>
      <c r="G446" s="113"/>
      <c r="K446" s="36"/>
      <c r="L446" s="117"/>
      <c r="N446" s="117"/>
      <c r="R446" s="117"/>
      <c r="T446" s="117"/>
      <c r="V446" s="117"/>
      <c r="X446" s="117"/>
      <c r="Y446" s="10"/>
      <c r="Z446" s="11"/>
      <c r="AA446" s="36"/>
      <c r="AB446" s="36"/>
      <c r="AC446" s="13"/>
      <c r="AD446" s="13"/>
      <c r="AE446" s="37"/>
      <c r="AF446" s="37"/>
      <c r="AG446" s="14"/>
      <c r="AH446" s="14"/>
      <c r="AI446" s="14"/>
      <c r="AZ446" s="24"/>
    </row>
    <row r="447">
      <c r="B447" s="24"/>
      <c r="E447" s="113"/>
      <c r="F447" s="266"/>
      <c r="G447" s="113"/>
      <c r="K447" s="36"/>
      <c r="L447" s="117"/>
      <c r="N447" s="117"/>
      <c r="R447" s="117"/>
      <c r="T447" s="117"/>
      <c r="V447" s="117"/>
      <c r="X447" s="117"/>
      <c r="Y447" s="10"/>
      <c r="Z447" s="11"/>
      <c r="AA447" s="36"/>
      <c r="AB447" s="36"/>
      <c r="AC447" s="13"/>
      <c r="AD447" s="13"/>
      <c r="AE447" s="37"/>
      <c r="AF447" s="37"/>
      <c r="AG447" s="14"/>
      <c r="AH447" s="14"/>
      <c r="AI447" s="14"/>
      <c r="AZ447" s="24"/>
    </row>
    <row r="448">
      <c r="B448" s="24"/>
      <c r="E448" s="113"/>
      <c r="F448" s="266"/>
      <c r="G448" s="113"/>
      <c r="K448" s="36"/>
      <c r="L448" s="117"/>
      <c r="N448" s="117"/>
      <c r="R448" s="117"/>
      <c r="T448" s="117"/>
      <c r="V448" s="117"/>
      <c r="X448" s="117"/>
      <c r="Y448" s="10"/>
      <c r="Z448" s="11"/>
      <c r="AA448" s="36"/>
      <c r="AB448" s="36"/>
      <c r="AC448" s="13"/>
      <c r="AD448" s="13"/>
      <c r="AE448" s="37"/>
      <c r="AF448" s="37"/>
      <c r="AG448" s="14"/>
      <c r="AH448" s="14"/>
      <c r="AI448" s="14"/>
      <c r="AZ448" s="24"/>
    </row>
    <row r="449">
      <c r="B449" s="24"/>
      <c r="E449" s="113"/>
      <c r="F449" s="266"/>
      <c r="G449" s="113"/>
      <c r="K449" s="36"/>
      <c r="L449" s="117"/>
      <c r="N449" s="117"/>
      <c r="R449" s="117"/>
      <c r="T449" s="117"/>
      <c r="V449" s="117"/>
      <c r="X449" s="117"/>
      <c r="Y449" s="10"/>
      <c r="Z449" s="11"/>
      <c r="AA449" s="36"/>
      <c r="AB449" s="36"/>
      <c r="AC449" s="13"/>
      <c r="AD449" s="13"/>
      <c r="AE449" s="37"/>
      <c r="AF449" s="37"/>
      <c r="AG449" s="14"/>
      <c r="AH449" s="14"/>
      <c r="AI449" s="14"/>
      <c r="AZ449" s="24"/>
    </row>
    <row r="450">
      <c r="B450" s="24"/>
      <c r="E450" s="113"/>
      <c r="F450" s="266"/>
      <c r="G450" s="113"/>
      <c r="K450" s="36"/>
      <c r="L450" s="117"/>
      <c r="N450" s="117"/>
      <c r="R450" s="117"/>
      <c r="T450" s="117"/>
      <c r="V450" s="117"/>
      <c r="X450" s="117"/>
      <c r="Y450" s="10"/>
      <c r="Z450" s="11"/>
      <c r="AA450" s="36"/>
      <c r="AB450" s="36"/>
      <c r="AC450" s="13"/>
      <c r="AD450" s="13"/>
      <c r="AE450" s="37"/>
      <c r="AF450" s="37"/>
      <c r="AG450" s="14"/>
      <c r="AH450" s="14"/>
      <c r="AI450" s="14"/>
      <c r="AZ450" s="24"/>
    </row>
    <row r="451">
      <c r="B451" s="24"/>
      <c r="E451" s="113"/>
      <c r="F451" s="266"/>
      <c r="G451" s="113"/>
      <c r="K451" s="36"/>
      <c r="L451" s="117"/>
      <c r="N451" s="117"/>
      <c r="R451" s="117"/>
      <c r="T451" s="117"/>
      <c r="V451" s="117"/>
      <c r="X451" s="117"/>
      <c r="Y451" s="10"/>
      <c r="Z451" s="11"/>
      <c r="AA451" s="36"/>
      <c r="AB451" s="36"/>
      <c r="AC451" s="13"/>
      <c r="AD451" s="13"/>
      <c r="AE451" s="37"/>
      <c r="AF451" s="37"/>
      <c r="AG451" s="14"/>
      <c r="AH451" s="14"/>
      <c r="AI451" s="14"/>
      <c r="AZ451" s="24"/>
    </row>
    <row r="452">
      <c r="B452" s="24"/>
      <c r="E452" s="113"/>
      <c r="F452" s="266"/>
      <c r="G452" s="113"/>
      <c r="K452" s="36"/>
      <c r="L452" s="117"/>
      <c r="N452" s="117"/>
      <c r="R452" s="117"/>
      <c r="T452" s="117"/>
      <c r="V452" s="117"/>
      <c r="X452" s="117"/>
      <c r="Y452" s="10"/>
      <c r="Z452" s="11"/>
      <c r="AA452" s="36"/>
      <c r="AB452" s="36"/>
      <c r="AC452" s="13"/>
      <c r="AD452" s="13"/>
      <c r="AE452" s="37"/>
      <c r="AF452" s="37"/>
      <c r="AG452" s="14"/>
      <c r="AH452" s="14"/>
      <c r="AI452" s="14"/>
      <c r="AZ452" s="24"/>
    </row>
    <row r="453">
      <c r="B453" s="24"/>
      <c r="E453" s="113"/>
      <c r="F453" s="266"/>
      <c r="G453" s="113"/>
      <c r="K453" s="36"/>
      <c r="L453" s="117"/>
      <c r="N453" s="117"/>
      <c r="R453" s="117"/>
      <c r="T453" s="117"/>
      <c r="V453" s="117"/>
      <c r="X453" s="117"/>
      <c r="Y453" s="10"/>
      <c r="Z453" s="11"/>
      <c r="AA453" s="36"/>
      <c r="AB453" s="36"/>
      <c r="AC453" s="13"/>
      <c r="AD453" s="13"/>
      <c r="AE453" s="37"/>
      <c r="AF453" s="37"/>
      <c r="AG453" s="14"/>
      <c r="AH453" s="14"/>
      <c r="AI453" s="14"/>
      <c r="AZ453" s="24"/>
    </row>
    <row r="454">
      <c r="B454" s="24"/>
      <c r="E454" s="113"/>
      <c r="F454" s="266"/>
      <c r="G454" s="113"/>
      <c r="K454" s="36"/>
      <c r="L454" s="117"/>
      <c r="N454" s="117"/>
      <c r="R454" s="117"/>
      <c r="T454" s="117"/>
      <c r="V454" s="117"/>
      <c r="X454" s="117"/>
      <c r="Y454" s="10"/>
      <c r="Z454" s="11"/>
      <c r="AA454" s="36"/>
      <c r="AB454" s="36"/>
      <c r="AC454" s="13"/>
      <c r="AD454" s="13"/>
      <c r="AE454" s="37"/>
      <c r="AF454" s="37"/>
      <c r="AG454" s="14"/>
      <c r="AH454" s="14"/>
      <c r="AI454" s="14"/>
      <c r="AZ454" s="24"/>
    </row>
    <row r="455">
      <c r="B455" s="24"/>
      <c r="E455" s="113"/>
      <c r="F455" s="266"/>
      <c r="G455" s="113"/>
      <c r="K455" s="36"/>
      <c r="L455" s="117"/>
      <c r="N455" s="117"/>
      <c r="R455" s="117"/>
      <c r="T455" s="117"/>
      <c r="V455" s="117"/>
      <c r="X455" s="117"/>
      <c r="Y455" s="10"/>
      <c r="Z455" s="11"/>
      <c r="AA455" s="36"/>
      <c r="AB455" s="36"/>
      <c r="AC455" s="13"/>
      <c r="AD455" s="13"/>
      <c r="AE455" s="37"/>
      <c r="AF455" s="37"/>
      <c r="AG455" s="14"/>
      <c r="AH455" s="14"/>
      <c r="AI455" s="14"/>
      <c r="AZ455" s="24"/>
    </row>
    <row r="456">
      <c r="B456" s="24"/>
      <c r="E456" s="113"/>
      <c r="F456" s="266"/>
      <c r="G456" s="113"/>
      <c r="K456" s="36"/>
      <c r="L456" s="117"/>
      <c r="N456" s="117"/>
      <c r="R456" s="117"/>
      <c r="T456" s="117"/>
      <c r="V456" s="117"/>
      <c r="X456" s="117"/>
      <c r="Y456" s="10"/>
      <c r="Z456" s="11"/>
      <c r="AA456" s="36"/>
      <c r="AB456" s="36"/>
      <c r="AC456" s="13"/>
      <c r="AD456" s="13"/>
      <c r="AE456" s="37"/>
      <c r="AF456" s="37"/>
      <c r="AG456" s="14"/>
      <c r="AH456" s="14"/>
      <c r="AI456" s="14"/>
      <c r="AZ456" s="24"/>
    </row>
    <row r="457">
      <c r="B457" s="24"/>
      <c r="E457" s="113"/>
      <c r="F457" s="266"/>
      <c r="G457" s="113"/>
      <c r="K457" s="36"/>
      <c r="L457" s="117"/>
      <c r="N457" s="117"/>
      <c r="R457" s="117"/>
      <c r="T457" s="117"/>
      <c r="V457" s="117"/>
      <c r="X457" s="117"/>
      <c r="Y457" s="10"/>
      <c r="Z457" s="11"/>
      <c r="AA457" s="36"/>
      <c r="AB457" s="36"/>
      <c r="AC457" s="13"/>
      <c r="AD457" s="13"/>
      <c r="AE457" s="37"/>
      <c r="AF457" s="37"/>
      <c r="AG457" s="14"/>
      <c r="AH457" s="14"/>
      <c r="AI457" s="14"/>
      <c r="AZ457" s="24"/>
    </row>
    <row r="458">
      <c r="B458" s="24"/>
      <c r="E458" s="113"/>
      <c r="F458" s="266"/>
      <c r="G458" s="113"/>
      <c r="K458" s="36"/>
      <c r="L458" s="117"/>
      <c r="N458" s="117"/>
      <c r="R458" s="117"/>
      <c r="T458" s="117"/>
      <c r="V458" s="117"/>
      <c r="X458" s="117"/>
      <c r="Y458" s="10"/>
      <c r="Z458" s="11"/>
      <c r="AA458" s="36"/>
      <c r="AB458" s="36"/>
      <c r="AC458" s="13"/>
      <c r="AD458" s="13"/>
      <c r="AE458" s="37"/>
      <c r="AF458" s="37"/>
      <c r="AG458" s="14"/>
      <c r="AH458" s="14"/>
      <c r="AI458" s="14"/>
      <c r="AZ458" s="24"/>
    </row>
    <row r="459">
      <c r="B459" s="24"/>
      <c r="E459" s="113"/>
      <c r="F459" s="266"/>
      <c r="G459" s="113"/>
      <c r="K459" s="36"/>
      <c r="L459" s="117"/>
      <c r="N459" s="117"/>
      <c r="R459" s="117"/>
      <c r="T459" s="117"/>
      <c r="V459" s="117"/>
      <c r="X459" s="117"/>
      <c r="Y459" s="10"/>
      <c r="Z459" s="11"/>
      <c r="AA459" s="36"/>
      <c r="AB459" s="36"/>
      <c r="AC459" s="13"/>
      <c r="AD459" s="13"/>
      <c r="AE459" s="37"/>
      <c r="AF459" s="37"/>
      <c r="AG459" s="14"/>
      <c r="AH459" s="14"/>
      <c r="AI459" s="14"/>
      <c r="AZ459" s="24"/>
    </row>
    <row r="460">
      <c r="B460" s="24"/>
      <c r="E460" s="113"/>
      <c r="F460" s="266"/>
      <c r="G460" s="113"/>
      <c r="K460" s="36"/>
      <c r="L460" s="117"/>
      <c r="N460" s="117"/>
      <c r="R460" s="117"/>
      <c r="T460" s="117"/>
      <c r="V460" s="117"/>
      <c r="X460" s="117"/>
      <c r="Y460" s="10"/>
      <c r="Z460" s="11"/>
      <c r="AA460" s="36"/>
      <c r="AB460" s="36"/>
      <c r="AC460" s="13"/>
      <c r="AD460" s="13"/>
      <c r="AE460" s="37"/>
      <c r="AF460" s="37"/>
      <c r="AG460" s="14"/>
      <c r="AH460" s="14"/>
      <c r="AI460" s="14"/>
      <c r="AZ460" s="24"/>
    </row>
    <row r="461">
      <c r="B461" s="24"/>
      <c r="E461" s="113"/>
      <c r="F461" s="266"/>
      <c r="G461" s="113"/>
      <c r="K461" s="36"/>
      <c r="L461" s="117"/>
      <c r="N461" s="117"/>
      <c r="R461" s="117"/>
      <c r="T461" s="117"/>
      <c r="V461" s="117"/>
      <c r="X461" s="117"/>
      <c r="Y461" s="10"/>
      <c r="Z461" s="11"/>
      <c r="AA461" s="36"/>
      <c r="AB461" s="36"/>
      <c r="AC461" s="13"/>
      <c r="AD461" s="13"/>
      <c r="AE461" s="37"/>
      <c r="AF461" s="37"/>
      <c r="AG461" s="14"/>
      <c r="AH461" s="14"/>
      <c r="AI461" s="14"/>
      <c r="AZ461" s="24"/>
    </row>
    <row r="462">
      <c r="B462" s="24"/>
      <c r="E462" s="113"/>
      <c r="F462" s="266"/>
      <c r="G462" s="113"/>
      <c r="K462" s="36"/>
      <c r="L462" s="117"/>
      <c r="N462" s="117"/>
      <c r="R462" s="117"/>
      <c r="T462" s="117"/>
      <c r="V462" s="117"/>
      <c r="X462" s="117"/>
      <c r="Y462" s="10"/>
      <c r="Z462" s="11"/>
      <c r="AA462" s="36"/>
      <c r="AB462" s="36"/>
      <c r="AC462" s="13"/>
      <c r="AD462" s="13"/>
      <c r="AE462" s="37"/>
      <c r="AF462" s="37"/>
      <c r="AG462" s="14"/>
      <c r="AH462" s="14"/>
      <c r="AI462" s="14"/>
      <c r="AZ462" s="24"/>
    </row>
    <row r="463">
      <c r="B463" s="24"/>
      <c r="E463" s="113"/>
      <c r="F463" s="266"/>
      <c r="G463" s="113"/>
      <c r="K463" s="36"/>
      <c r="L463" s="117"/>
      <c r="N463" s="117"/>
      <c r="R463" s="117"/>
      <c r="T463" s="117"/>
      <c r="V463" s="117"/>
      <c r="X463" s="117"/>
      <c r="Y463" s="10"/>
      <c r="Z463" s="11"/>
      <c r="AA463" s="36"/>
      <c r="AB463" s="36"/>
      <c r="AC463" s="13"/>
      <c r="AD463" s="13"/>
      <c r="AE463" s="37"/>
      <c r="AF463" s="37"/>
      <c r="AG463" s="14"/>
      <c r="AH463" s="14"/>
      <c r="AI463" s="14"/>
      <c r="AZ463" s="24"/>
    </row>
    <row r="464">
      <c r="B464" s="24"/>
      <c r="E464" s="113"/>
      <c r="F464" s="266"/>
      <c r="G464" s="113"/>
      <c r="K464" s="36"/>
      <c r="L464" s="117"/>
      <c r="N464" s="117"/>
      <c r="R464" s="117"/>
      <c r="T464" s="117"/>
      <c r="V464" s="117"/>
      <c r="X464" s="117"/>
      <c r="Y464" s="10"/>
      <c r="Z464" s="11"/>
      <c r="AA464" s="36"/>
      <c r="AB464" s="36"/>
      <c r="AC464" s="13"/>
      <c r="AD464" s="13"/>
      <c r="AE464" s="37"/>
      <c r="AF464" s="37"/>
      <c r="AG464" s="14"/>
      <c r="AH464" s="14"/>
      <c r="AI464" s="14"/>
      <c r="AZ464" s="24"/>
    </row>
    <row r="465">
      <c r="B465" s="24"/>
      <c r="E465" s="113"/>
      <c r="F465" s="266"/>
      <c r="G465" s="113"/>
      <c r="K465" s="36"/>
      <c r="L465" s="117"/>
      <c r="N465" s="117"/>
      <c r="R465" s="117"/>
      <c r="T465" s="117"/>
      <c r="V465" s="117"/>
      <c r="X465" s="117"/>
      <c r="Y465" s="10"/>
      <c r="Z465" s="11"/>
      <c r="AA465" s="36"/>
      <c r="AB465" s="36"/>
      <c r="AC465" s="13"/>
      <c r="AD465" s="13"/>
      <c r="AE465" s="37"/>
      <c r="AF465" s="37"/>
      <c r="AG465" s="14"/>
      <c r="AH465" s="14"/>
      <c r="AI465" s="14"/>
      <c r="AZ465" s="24"/>
    </row>
    <row r="466">
      <c r="B466" s="24"/>
      <c r="E466" s="113"/>
      <c r="F466" s="266"/>
      <c r="G466" s="113"/>
      <c r="K466" s="36"/>
      <c r="L466" s="117"/>
      <c r="N466" s="117"/>
      <c r="R466" s="117"/>
      <c r="T466" s="117"/>
      <c r="V466" s="117"/>
      <c r="X466" s="117"/>
      <c r="Y466" s="10"/>
      <c r="Z466" s="11"/>
      <c r="AA466" s="36"/>
      <c r="AB466" s="36"/>
      <c r="AC466" s="13"/>
      <c r="AD466" s="13"/>
      <c r="AE466" s="37"/>
      <c r="AF466" s="37"/>
      <c r="AG466" s="14"/>
      <c r="AH466" s="14"/>
      <c r="AI466" s="14"/>
      <c r="AZ466" s="24"/>
    </row>
    <row r="467">
      <c r="B467" s="24"/>
      <c r="E467" s="113"/>
      <c r="F467" s="266"/>
      <c r="G467" s="113"/>
      <c r="K467" s="36"/>
      <c r="L467" s="117"/>
      <c r="N467" s="117"/>
      <c r="R467" s="117"/>
      <c r="T467" s="117"/>
      <c r="V467" s="117"/>
      <c r="X467" s="117"/>
      <c r="Y467" s="10"/>
      <c r="Z467" s="11"/>
      <c r="AA467" s="36"/>
      <c r="AB467" s="36"/>
      <c r="AC467" s="13"/>
      <c r="AD467" s="13"/>
      <c r="AE467" s="37"/>
      <c r="AF467" s="37"/>
      <c r="AG467" s="14"/>
      <c r="AH467" s="14"/>
      <c r="AI467" s="14"/>
      <c r="AZ467" s="24"/>
    </row>
    <row r="468">
      <c r="B468" s="24"/>
      <c r="E468" s="113"/>
      <c r="F468" s="266"/>
      <c r="G468" s="113"/>
      <c r="K468" s="36"/>
      <c r="L468" s="117"/>
      <c r="N468" s="117"/>
      <c r="R468" s="117"/>
      <c r="T468" s="117"/>
      <c r="V468" s="117"/>
      <c r="X468" s="117"/>
      <c r="Y468" s="10"/>
      <c r="Z468" s="11"/>
      <c r="AA468" s="36"/>
      <c r="AB468" s="36"/>
      <c r="AC468" s="13"/>
      <c r="AD468" s="13"/>
      <c r="AE468" s="37"/>
      <c r="AF468" s="37"/>
      <c r="AG468" s="14"/>
      <c r="AH468" s="14"/>
      <c r="AI468" s="14"/>
      <c r="AZ468" s="24"/>
    </row>
    <row r="469">
      <c r="B469" s="24"/>
      <c r="E469" s="113"/>
      <c r="F469" s="266"/>
      <c r="G469" s="113"/>
      <c r="K469" s="36"/>
      <c r="L469" s="117"/>
      <c r="N469" s="117"/>
      <c r="R469" s="117"/>
      <c r="T469" s="117"/>
      <c r="V469" s="117"/>
      <c r="X469" s="117"/>
      <c r="Y469" s="10"/>
      <c r="Z469" s="11"/>
      <c r="AA469" s="36"/>
      <c r="AB469" s="36"/>
      <c r="AC469" s="13"/>
      <c r="AD469" s="13"/>
      <c r="AE469" s="37"/>
      <c r="AF469" s="37"/>
      <c r="AG469" s="14"/>
      <c r="AH469" s="14"/>
      <c r="AI469" s="14"/>
      <c r="AZ469" s="24"/>
    </row>
    <row r="470">
      <c r="B470" s="24"/>
      <c r="E470" s="113"/>
      <c r="F470" s="266"/>
      <c r="G470" s="113"/>
      <c r="K470" s="36"/>
      <c r="L470" s="117"/>
      <c r="N470" s="117"/>
      <c r="R470" s="117"/>
      <c r="T470" s="117"/>
      <c r="V470" s="117"/>
      <c r="X470" s="117"/>
      <c r="Y470" s="10"/>
      <c r="Z470" s="11"/>
      <c r="AA470" s="36"/>
      <c r="AB470" s="36"/>
      <c r="AC470" s="13"/>
      <c r="AD470" s="13"/>
      <c r="AE470" s="37"/>
      <c r="AF470" s="37"/>
      <c r="AG470" s="14"/>
      <c r="AH470" s="14"/>
      <c r="AI470" s="14"/>
      <c r="AZ470" s="24"/>
    </row>
    <row r="471">
      <c r="B471" s="24"/>
      <c r="E471" s="113"/>
      <c r="F471" s="266"/>
      <c r="G471" s="113"/>
      <c r="K471" s="36"/>
      <c r="L471" s="117"/>
      <c r="N471" s="117"/>
      <c r="R471" s="117"/>
      <c r="T471" s="117"/>
      <c r="V471" s="117"/>
      <c r="X471" s="117"/>
      <c r="Y471" s="10"/>
      <c r="Z471" s="11"/>
      <c r="AA471" s="36"/>
      <c r="AB471" s="36"/>
      <c r="AC471" s="13"/>
      <c r="AD471" s="13"/>
      <c r="AE471" s="37"/>
      <c r="AF471" s="37"/>
      <c r="AG471" s="14"/>
      <c r="AH471" s="14"/>
      <c r="AI471" s="14"/>
      <c r="AZ471" s="24"/>
    </row>
    <row r="472">
      <c r="B472" s="24"/>
      <c r="E472" s="113"/>
      <c r="F472" s="266"/>
      <c r="G472" s="113"/>
      <c r="K472" s="36"/>
      <c r="L472" s="117"/>
      <c r="N472" s="117"/>
      <c r="R472" s="117"/>
      <c r="T472" s="117"/>
      <c r="V472" s="117"/>
      <c r="X472" s="117"/>
      <c r="Y472" s="10"/>
      <c r="Z472" s="11"/>
      <c r="AA472" s="36"/>
      <c r="AB472" s="36"/>
      <c r="AC472" s="13"/>
      <c r="AD472" s="13"/>
      <c r="AE472" s="37"/>
      <c r="AF472" s="37"/>
      <c r="AG472" s="14"/>
      <c r="AH472" s="14"/>
      <c r="AI472" s="14"/>
      <c r="AZ472" s="24"/>
    </row>
    <row r="473">
      <c r="B473" s="24"/>
      <c r="E473" s="113"/>
      <c r="F473" s="266"/>
      <c r="G473" s="113"/>
      <c r="K473" s="36"/>
      <c r="L473" s="117"/>
      <c r="N473" s="117"/>
      <c r="R473" s="117"/>
      <c r="T473" s="117"/>
      <c r="V473" s="117"/>
      <c r="X473" s="117"/>
      <c r="Y473" s="10"/>
      <c r="Z473" s="11"/>
      <c r="AA473" s="36"/>
      <c r="AB473" s="36"/>
      <c r="AC473" s="13"/>
      <c r="AD473" s="13"/>
      <c r="AE473" s="37"/>
      <c r="AF473" s="37"/>
      <c r="AG473" s="14"/>
      <c r="AH473" s="14"/>
      <c r="AI473" s="14"/>
      <c r="AZ473" s="24"/>
    </row>
    <row r="474">
      <c r="B474" s="24"/>
      <c r="E474" s="113"/>
      <c r="F474" s="266"/>
      <c r="G474" s="113"/>
      <c r="K474" s="36"/>
      <c r="L474" s="117"/>
      <c r="N474" s="117"/>
      <c r="R474" s="117"/>
      <c r="T474" s="117"/>
      <c r="V474" s="117"/>
      <c r="X474" s="117"/>
      <c r="Y474" s="10"/>
      <c r="Z474" s="11"/>
      <c r="AA474" s="36"/>
      <c r="AB474" s="36"/>
      <c r="AC474" s="13"/>
      <c r="AD474" s="13"/>
      <c r="AE474" s="37"/>
      <c r="AF474" s="37"/>
      <c r="AG474" s="14"/>
      <c r="AH474" s="14"/>
      <c r="AI474" s="14"/>
      <c r="AZ474" s="24"/>
    </row>
    <row r="475">
      <c r="B475" s="24"/>
      <c r="E475" s="113"/>
      <c r="F475" s="266"/>
      <c r="G475" s="113"/>
      <c r="K475" s="36"/>
      <c r="L475" s="117"/>
      <c r="N475" s="117"/>
      <c r="R475" s="117"/>
      <c r="T475" s="117"/>
      <c r="V475" s="117"/>
      <c r="X475" s="117"/>
      <c r="Y475" s="10"/>
      <c r="Z475" s="11"/>
      <c r="AA475" s="36"/>
      <c r="AB475" s="36"/>
      <c r="AC475" s="13"/>
      <c r="AD475" s="13"/>
      <c r="AE475" s="37"/>
      <c r="AF475" s="37"/>
      <c r="AG475" s="14"/>
      <c r="AH475" s="14"/>
      <c r="AI475" s="14"/>
      <c r="AZ475" s="24"/>
    </row>
    <row r="476">
      <c r="B476" s="24"/>
      <c r="E476" s="113"/>
      <c r="F476" s="266"/>
      <c r="G476" s="113"/>
      <c r="K476" s="36"/>
      <c r="L476" s="117"/>
      <c r="N476" s="117"/>
      <c r="R476" s="117"/>
      <c r="T476" s="117"/>
      <c r="V476" s="117"/>
      <c r="X476" s="117"/>
      <c r="Y476" s="10"/>
      <c r="Z476" s="11"/>
      <c r="AA476" s="36"/>
      <c r="AB476" s="36"/>
      <c r="AC476" s="13"/>
      <c r="AD476" s="13"/>
      <c r="AE476" s="37"/>
      <c r="AF476" s="37"/>
      <c r="AG476" s="14"/>
      <c r="AH476" s="14"/>
      <c r="AI476" s="14"/>
      <c r="AZ476" s="24"/>
    </row>
    <row r="477">
      <c r="B477" s="24"/>
      <c r="E477" s="113"/>
      <c r="F477" s="266"/>
      <c r="G477" s="113"/>
      <c r="K477" s="36"/>
      <c r="L477" s="117"/>
      <c r="N477" s="117"/>
      <c r="R477" s="117"/>
      <c r="T477" s="117"/>
      <c r="V477" s="117"/>
      <c r="X477" s="117"/>
      <c r="Y477" s="10"/>
      <c r="Z477" s="11"/>
      <c r="AA477" s="36"/>
      <c r="AB477" s="36"/>
      <c r="AC477" s="13"/>
      <c r="AD477" s="13"/>
      <c r="AE477" s="37"/>
      <c r="AF477" s="37"/>
      <c r="AG477" s="14"/>
      <c r="AH477" s="14"/>
      <c r="AI477" s="14"/>
      <c r="AZ477" s="24"/>
    </row>
    <row r="478">
      <c r="B478" s="24"/>
      <c r="E478" s="113"/>
      <c r="F478" s="266"/>
      <c r="G478" s="113"/>
      <c r="K478" s="36"/>
      <c r="L478" s="117"/>
      <c r="N478" s="117"/>
      <c r="R478" s="117"/>
      <c r="T478" s="117"/>
      <c r="V478" s="117"/>
      <c r="X478" s="117"/>
      <c r="Y478" s="10"/>
      <c r="Z478" s="11"/>
      <c r="AA478" s="36"/>
      <c r="AB478" s="36"/>
      <c r="AC478" s="13"/>
      <c r="AD478" s="13"/>
      <c r="AE478" s="37"/>
      <c r="AF478" s="37"/>
      <c r="AG478" s="14"/>
      <c r="AH478" s="14"/>
      <c r="AI478" s="14"/>
      <c r="AZ478" s="24"/>
    </row>
    <row r="479">
      <c r="B479" s="24"/>
      <c r="E479" s="113"/>
      <c r="F479" s="266"/>
      <c r="G479" s="113"/>
      <c r="K479" s="36"/>
      <c r="L479" s="117"/>
      <c r="N479" s="117"/>
      <c r="R479" s="117"/>
      <c r="T479" s="117"/>
      <c r="V479" s="117"/>
      <c r="X479" s="117"/>
      <c r="Y479" s="10"/>
      <c r="Z479" s="11"/>
      <c r="AA479" s="36"/>
      <c r="AB479" s="36"/>
      <c r="AC479" s="13"/>
      <c r="AD479" s="13"/>
      <c r="AE479" s="37"/>
      <c r="AF479" s="37"/>
      <c r="AG479" s="14"/>
      <c r="AH479" s="14"/>
      <c r="AI479" s="14"/>
      <c r="AZ479" s="24"/>
    </row>
    <row r="480">
      <c r="B480" s="24"/>
      <c r="E480" s="113"/>
      <c r="F480" s="266"/>
      <c r="G480" s="113"/>
      <c r="K480" s="36"/>
      <c r="L480" s="117"/>
      <c r="N480" s="117"/>
      <c r="R480" s="117"/>
      <c r="T480" s="117"/>
      <c r="V480" s="117"/>
      <c r="X480" s="117"/>
      <c r="Y480" s="10"/>
      <c r="Z480" s="11"/>
      <c r="AA480" s="36"/>
      <c r="AB480" s="36"/>
      <c r="AC480" s="13"/>
      <c r="AD480" s="13"/>
      <c r="AE480" s="37"/>
      <c r="AF480" s="37"/>
      <c r="AG480" s="14"/>
      <c r="AH480" s="14"/>
      <c r="AI480" s="14"/>
      <c r="AZ480" s="24"/>
    </row>
    <row r="481">
      <c r="B481" s="24"/>
      <c r="E481" s="113"/>
      <c r="F481" s="266"/>
      <c r="G481" s="113"/>
      <c r="K481" s="36"/>
      <c r="L481" s="117"/>
      <c r="N481" s="117"/>
      <c r="R481" s="117"/>
      <c r="T481" s="117"/>
      <c r="V481" s="117"/>
      <c r="X481" s="117"/>
      <c r="Y481" s="10"/>
      <c r="Z481" s="11"/>
      <c r="AA481" s="36"/>
      <c r="AB481" s="36"/>
      <c r="AC481" s="13"/>
      <c r="AD481" s="13"/>
      <c r="AE481" s="37"/>
      <c r="AF481" s="37"/>
      <c r="AG481" s="14"/>
      <c r="AH481" s="14"/>
      <c r="AI481" s="14"/>
      <c r="AZ481" s="24"/>
    </row>
    <row r="482">
      <c r="B482" s="24"/>
      <c r="E482" s="113"/>
      <c r="F482" s="266"/>
      <c r="G482" s="113"/>
      <c r="K482" s="36"/>
      <c r="L482" s="117"/>
      <c r="N482" s="117"/>
      <c r="R482" s="117"/>
      <c r="T482" s="117"/>
      <c r="V482" s="117"/>
      <c r="X482" s="117"/>
      <c r="Y482" s="10"/>
      <c r="Z482" s="11"/>
      <c r="AA482" s="36"/>
      <c r="AB482" s="36"/>
      <c r="AC482" s="13"/>
      <c r="AD482" s="13"/>
      <c r="AE482" s="37"/>
      <c r="AF482" s="37"/>
      <c r="AG482" s="14"/>
      <c r="AH482" s="14"/>
      <c r="AI482" s="14"/>
      <c r="AZ482" s="24"/>
    </row>
    <row r="483">
      <c r="B483" s="24"/>
      <c r="E483" s="113"/>
      <c r="F483" s="266"/>
      <c r="G483" s="113"/>
      <c r="K483" s="36"/>
      <c r="L483" s="117"/>
      <c r="N483" s="117"/>
      <c r="R483" s="117"/>
      <c r="T483" s="117"/>
      <c r="V483" s="117"/>
      <c r="X483" s="117"/>
      <c r="Y483" s="10"/>
      <c r="Z483" s="11"/>
      <c r="AA483" s="36"/>
      <c r="AB483" s="36"/>
      <c r="AC483" s="13"/>
      <c r="AD483" s="13"/>
      <c r="AE483" s="37"/>
      <c r="AF483" s="37"/>
      <c r="AG483" s="14"/>
      <c r="AH483" s="14"/>
      <c r="AI483" s="14"/>
      <c r="AZ483" s="24"/>
    </row>
    <row r="484">
      <c r="B484" s="24"/>
      <c r="E484" s="113"/>
      <c r="F484" s="266"/>
      <c r="G484" s="113"/>
      <c r="K484" s="36"/>
      <c r="L484" s="117"/>
      <c r="N484" s="117"/>
      <c r="R484" s="117"/>
      <c r="T484" s="117"/>
      <c r="V484" s="117"/>
      <c r="X484" s="117"/>
      <c r="Y484" s="10"/>
      <c r="Z484" s="11"/>
      <c r="AA484" s="36"/>
      <c r="AB484" s="36"/>
      <c r="AC484" s="13"/>
      <c r="AD484" s="13"/>
      <c r="AE484" s="37"/>
      <c r="AF484" s="37"/>
      <c r="AG484" s="14"/>
      <c r="AH484" s="14"/>
      <c r="AI484" s="14"/>
      <c r="AZ484" s="24"/>
    </row>
    <row r="485">
      <c r="B485" s="24"/>
      <c r="E485" s="113"/>
      <c r="F485" s="266"/>
      <c r="G485" s="113"/>
      <c r="K485" s="36"/>
      <c r="L485" s="117"/>
      <c r="N485" s="117"/>
      <c r="R485" s="117"/>
      <c r="T485" s="117"/>
      <c r="V485" s="117"/>
      <c r="X485" s="117"/>
      <c r="Y485" s="10"/>
      <c r="Z485" s="11"/>
      <c r="AA485" s="36"/>
      <c r="AB485" s="36"/>
      <c r="AC485" s="13"/>
      <c r="AD485" s="13"/>
      <c r="AE485" s="37"/>
      <c r="AF485" s="37"/>
      <c r="AG485" s="14"/>
      <c r="AH485" s="14"/>
      <c r="AI485" s="14"/>
      <c r="AZ485" s="24"/>
    </row>
    <row r="486">
      <c r="B486" s="24"/>
      <c r="E486" s="113"/>
      <c r="F486" s="266"/>
      <c r="G486" s="113"/>
      <c r="K486" s="36"/>
      <c r="L486" s="117"/>
      <c r="N486" s="117"/>
      <c r="R486" s="117"/>
      <c r="T486" s="117"/>
      <c r="V486" s="117"/>
      <c r="X486" s="117"/>
      <c r="Y486" s="10"/>
      <c r="Z486" s="11"/>
      <c r="AA486" s="36"/>
      <c r="AB486" s="36"/>
      <c r="AC486" s="13"/>
      <c r="AD486" s="13"/>
      <c r="AE486" s="37"/>
      <c r="AF486" s="37"/>
      <c r="AG486" s="14"/>
      <c r="AH486" s="14"/>
      <c r="AI486" s="14"/>
      <c r="AZ486" s="24"/>
    </row>
    <row r="487">
      <c r="B487" s="24"/>
      <c r="E487" s="113"/>
      <c r="F487" s="266"/>
      <c r="G487" s="113"/>
      <c r="K487" s="36"/>
      <c r="L487" s="117"/>
      <c r="N487" s="117"/>
      <c r="R487" s="117"/>
      <c r="T487" s="117"/>
      <c r="V487" s="117"/>
      <c r="X487" s="117"/>
      <c r="Y487" s="10"/>
      <c r="Z487" s="11"/>
      <c r="AA487" s="36"/>
      <c r="AB487" s="36"/>
      <c r="AC487" s="13"/>
      <c r="AD487" s="13"/>
      <c r="AE487" s="37"/>
      <c r="AF487" s="37"/>
      <c r="AG487" s="14"/>
      <c r="AH487" s="14"/>
      <c r="AI487" s="14"/>
      <c r="AZ487" s="24"/>
    </row>
    <row r="488">
      <c r="B488" s="24"/>
      <c r="E488" s="113"/>
      <c r="F488" s="266"/>
      <c r="G488" s="113"/>
      <c r="K488" s="36"/>
      <c r="L488" s="117"/>
      <c r="N488" s="117"/>
      <c r="R488" s="117"/>
      <c r="T488" s="117"/>
      <c r="V488" s="117"/>
      <c r="X488" s="117"/>
      <c r="Y488" s="10"/>
      <c r="Z488" s="11"/>
      <c r="AA488" s="36"/>
      <c r="AB488" s="36"/>
      <c r="AC488" s="13"/>
      <c r="AD488" s="13"/>
      <c r="AE488" s="37"/>
      <c r="AF488" s="37"/>
      <c r="AG488" s="14"/>
      <c r="AH488" s="14"/>
      <c r="AI488" s="14"/>
      <c r="AZ488" s="24"/>
    </row>
    <row r="489">
      <c r="B489" s="24"/>
      <c r="E489" s="113"/>
      <c r="F489" s="266"/>
      <c r="G489" s="113"/>
      <c r="K489" s="36"/>
      <c r="L489" s="117"/>
      <c r="N489" s="117"/>
      <c r="R489" s="117"/>
      <c r="T489" s="117"/>
      <c r="V489" s="117"/>
      <c r="X489" s="117"/>
      <c r="Y489" s="10"/>
      <c r="Z489" s="11"/>
      <c r="AA489" s="36"/>
      <c r="AB489" s="36"/>
      <c r="AC489" s="13"/>
      <c r="AD489" s="13"/>
      <c r="AE489" s="37"/>
      <c r="AF489" s="37"/>
      <c r="AG489" s="14"/>
      <c r="AH489" s="14"/>
      <c r="AI489" s="14"/>
      <c r="AZ489" s="24"/>
    </row>
    <row r="490">
      <c r="B490" s="24"/>
      <c r="E490" s="113"/>
      <c r="F490" s="266"/>
      <c r="G490" s="113"/>
      <c r="K490" s="36"/>
      <c r="L490" s="117"/>
      <c r="N490" s="117"/>
      <c r="R490" s="117"/>
      <c r="T490" s="117"/>
      <c r="V490" s="117"/>
      <c r="X490" s="117"/>
      <c r="Y490" s="10"/>
      <c r="Z490" s="11"/>
      <c r="AA490" s="36"/>
      <c r="AB490" s="36"/>
      <c r="AC490" s="13"/>
      <c r="AD490" s="13"/>
      <c r="AE490" s="37"/>
      <c r="AF490" s="37"/>
      <c r="AG490" s="14"/>
      <c r="AH490" s="14"/>
      <c r="AI490" s="14"/>
      <c r="AZ490" s="24"/>
    </row>
    <row r="491">
      <c r="B491" s="24"/>
      <c r="E491" s="113"/>
      <c r="F491" s="266"/>
      <c r="G491" s="113"/>
      <c r="K491" s="36"/>
      <c r="L491" s="117"/>
      <c r="N491" s="117"/>
      <c r="R491" s="117"/>
      <c r="T491" s="117"/>
      <c r="V491" s="117"/>
      <c r="X491" s="117"/>
      <c r="Y491" s="10"/>
      <c r="Z491" s="11"/>
      <c r="AA491" s="36"/>
      <c r="AB491" s="36"/>
      <c r="AC491" s="13"/>
      <c r="AD491" s="13"/>
      <c r="AE491" s="37"/>
      <c r="AF491" s="37"/>
      <c r="AG491" s="14"/>
      <c r="AH491" s="14"/>
      <c r="AI491" s="14"/>
      <c r="AZ491" s="24"/>
    </row>
    <row r="492">
      <c r="B492" s="24"/>
      <c r="E492" s="113"/>
      <c r="F492" s="266"/>
      <c r="G492" s="113"/>
      <c r="K492" s="36"/>
      <c r="L492" s="117"/>
      <c r="N492" s="117"/>
      <c r="R492" s="117"/>
      <c r="T492" s="117"/>
      <c r="V492" s="117"/>
      <c r="X492" s="117"/>
      <c r="Y492" s="10"/>
      <c r="Z492" s="11"/>
      <c r="AA492" s="36"/>
      <c r="AB492" s="36"/>
      <c r="AC492" s="13"/>
      <c r="AD492" s="13"/>
      <c r="AE492" s="37"/>
      <c r="AF492" s="37"/>
      <c r="AG492" s="14"/>
      <c r="AH492" s="14"/>
      <c r="AI492" s="14"/>
      <c r="AZ492" s="24"/>
    </row>
    <row r="493">
      <c r="B493" s="24"/>
      <c r="E493" s="113"/>
      <c r="F493" s="266"/>
      <c r="G493" s="113"/>
      <c r="K493" s="36"/>
      <c r="L493" s="117"/>
      <c r="N493" s="117"/>
      <c r="R493" s="117"/>
      <c r="T493" s="117"/>
      <c r="V493" s="117"/>
      <c r="X493" s="117"/>
      <c r="Y493" s="10"/>
      <c r="Z493" s="11"/>
      <c r="AA493" s="36"/>
      <c r="AB493" s="36"/>
      <c r="AC493" s="13"/>
      <c r="AD493" s="13"/>
      <c r="AE493" s="37"/>
      <c r="AF493" s="37"/>
      <c r="AG493" s="14"/>
      <c r="AH493" s="14"/>
      <c r="AI493" s="14"/>
      <c r="AZ493" s="24"/>
    </row>
    <row r="494">
      <c r="B494" s="24"/>
      <c r="E494" s="113"/>
      <c r="F494" s="266"/>
      <c r="G494" s="113"/>
      <c r="K494" s="36"/>
      <c r="L494" s="117"/>
      <c r="N494" s="117"/>
      <c r="R494" s="117"/>
      <c r="T494" s="117"/>
      <c r="V494" s="117"/>
      <c r="X494" s="117"/>
      <c r="Y494" s="10"/>
      <c r="Z494" s="11"/>
      <c r="AA494" s="36"/>
      <c r="AB494" s="36"/>
      <c r="AC494" s="13"/>
      <c r="AD494" s="13"/>
      <c r="AE494" s="37"/>
      <c r="AF494" s="37"/>
      <c r="AG494" s="14"/>
      <c r="AH494" s="14"/>
      <c r="AI494" s="14"/>
      <c r="AZ494" s="24"/>
    </row>
    <row r="495">
      <c r="B495" s="24"/>
      <c r="E495" s="113"/>
      <c r="F495" s="266"/>
      <c r="G495" s="113"/>
      <c r="K495" s="36"/>
      <c r="L495" s="117"/>
      <c r="N495" s="117"/>
      <c r="R495" s="117"/>
      <c r="T495" s="117"/>
      <c r="V495" s="117"/>
      <c r="X495" s="117"/>
      <c r="Y495" s="10"/>
      <c r="Z495" s="11"/>
      <c r="AA495" s="36"/>
      <c r="AB495" s="36"/>
      <c r="AC495" s="13"/>
      <c r="AD495" s="13"/>
      <c r="AE495" s="37"/>
      <c r="AF495" s="37"/>
      <c r="AG495" s="14"/>
      <c r="AH495" s="14"/>
      <c r="AI495" s="14"/>
      <c r="AZ495" s="24"/>
    </row>
    <row r="496">
      <c r="B496" s="24"/>
      <c r="E496" s="113"/>
      <c r="F496" s="266"/>
      <c r="G496" s="113"/>
      <c r="K496" s="36"/>
      <c r="L496" s="117"/>
      <c r="N496" s="117"/>
      <c r="R496" s="117"/>
      <c r="T496" s="117"/>
      <c r="V496" s="117"/>
      <c r="X496" s="117"/>
      <c r="Y496" s="10"/>
      <c r="Z496" s="11"/>
      <c r="AA496" s="36"/>
      <c r="AB496" s="36"/>
      <c r="AC496" s="13"/>
      <c r="AD496" s="13"/>
      <c r="AE496" s="37"/>
      <c r="AF496" s="37"/>
      <c r="AG496" s="14"/>
      <c r="AH496" s="14"/>
      <c r="AI496" s="14"/>
      <c r="AZ496" s="24"/>
    </row>
    <row r="497">
      <c r="B497" s="24"/>
      <c r="E497" s="113"/>
      <c r="F497" s="266"/>
      <c r="G497" s="113"/>
      <c r="K497" s="36"/>
      <c r="L497" s="117"/>
      <c r="N497" s="117"/>
      <c r="R497" s="117"/>
      <c r="T497" s="117"/>
      <c r="V497" s="117"/>
      <c r="X497" s="117"/>
      <c r="Y497" s="10"/>
      <c r="Z497" s="11"/>
      <c r="AA497" s="36"/>
      <c r="AB497" s="36"/>
      <c r="AC497" s="13"/>
      <c r="AD497" s="13"/>
      <c r="AE497" s="37"/>
      <c r="AF497" s="37"/>
      <c r="AG497" s="14"/>
      <c r="AH497" s="14"/>
      <c r="AI497" s="14"/>
      <c r="AZ497" s="24"/>
    </row>
    <row r="498">
      <c r="B498" s="24"/>
      <c r="E498" s="113"/>
      <c r="F498" s="266"/>
      <c r="G498" s="113"/>
      <c r="K498" s="36"/>
      <c r="L498" s="117"/>
      <c r="N498" s="117"/>
      <c r="R498" s="117"/>
      <c r="T498" s="117"/>
      <c r="V498" s="117"/>
      <c r="X498" s="117"/>
      <c r="Y498" s="10"/>
      <c r="Z498" s="11"/>
      <c r="AA498" s="36"/>
      <c r="AB498" s="36"/>
      <c r="AC498" s="13"/>
      <c r="AD498" s="13"/>
      <c r="AE498" s="37"/>
      <c r="AF498" s="37"/>
      <c r="AG498" s="14"/>
      <c r="AH498" s="14"/>
      <c r="AI498" s="14"/>
      <c r="AZ498" s="24"/>
    </row>
    <row r="499">
      <c r="B499" s="24"/>
      <c r="E499" s="113"/>
      <c r="F499" s="266"/>
      <c r="G499" s="113"/>
      <c r="K499" s="36"/>
      <c r="L499" s="117"/>
      <c r="N499" s="117"/>
      <c r="R499" s="117"/>
      <c r="T499" s="117"/>
      <c r="V499" s="117"/>
      <c r="X499" s="117"/>
      <c r="Y499" s="10"/>
      <c r="Z499" s="11"/>
      <c r="AA499" s="36"/>
      <c r="AB499" s="36"/>
      <c r="AC499" s="13"/>
      <c r="AD499" s="13"/>
      <c r="AE499" s="37"/>
      <c r="AF499" s="37"/>
      <c r="AG499" s="14"/>
      <c r="AH499" s="14"/>
      <c r="AI499" s="14"/>
      <c r="AZ499" s="24"/>
    </row>
    <row r="500">
      <c r="B500" s="24"/>
      <c r="E500" s="113"/>
      <c r="F500" s="266"/>
      <c r="G500" s="113"/>
      <c r="K500" s="36"/>
      <c r="L500" s="117"/>
      <c r="N500" s="117"/>
      <c r="R500" s="117"/>
      <c r="T500" s="117"/>
      <c r="V500" s="117"/>
      <c r="X500" s="117"/>
      <c r="Y500" s="10"/>
      <c r="Z500" s="11"/>
      <c r="AA500" s="36"/>
      <c r="AB500" s="36"/>
      <c r="AC500" s="13"/>
      <c r="AD500" s="13"/>
      <c r="AE500" s="37"/>
      <c r="AF500" s="37"/>
      <c r="AG500" s="14"/>
      <c r="AH500" s="14"/>
      <c r="AI500" s="14"/>
      <c r="AZ500" s="24"/>
    </row>
    <row r="501">
      <c r="B501" s="24"/>
      <c r="E501" s="113"/>
      <c r="F501" s="266"/>
      <c r="G501" s="113"/>
      <c r="K501" s="36"/>
      <c r="L501" s="117"/>
      <c r="N501" s="117"/>
      <c r="R501" s="117"/>
      <c r="T501" s="117"/>
      <c r="V501" s="117"/>
      <c r="X501" s="117"/>
      <c r="Y501" s="10"/>
      <c r="Z501" s="11"/>
      <c r="AA501" s="36"/>
      <c r="AB501" s="36"/>
      <c r="AC501" s="13"/>
      <c r="AD501" s="13"/>
      <c r="AE501" s="37"/>
      <c r="AF501" s="37"/>
      <c r="AG501" s="14"/>
      <c r="AH501" s="14"/>
      <c r="AI501" s="14"/>
      <c r="AZ501" s="24"/>
    </row>
    <row r="502">
      <c r="B502" s="24"/>
      <c r="E502" s="113"/>
      <c r="F502" s="266"/>
      <c r="G502" s="113"/>
      <c r="K502" s="36"/>
      <c r="L502" s="117"/>
      <c r="N502" s="117"/>
      <c r="R502" s="117"/>
      <c r="T502" s="117"/>
      <c r="V502" s="117"/>
      <c r="X502" s="117"/>
      <c r="Y502" s="10"/>
      <c r="Z502" s="11"/>
      <c r="AA502" s="36"/>
      <c r="AB502" s="36"/>
      <c r="AC502" s="13"/>
      <c r="AD502" s="13"/>
      <c r="AE502" s="37"/>
      <c r="AF502" s="37"/>
      <c r="AG502" s="14"/>
      <c r="AH502" s="14"/>
      <c r="AI502" s="14"/>
      <c r="AZ502" s="24"/>
    </row>
    <row r="503">
      <c r="B503" s="24"/>
      <c r="E503" s="113"/>
      <c r="F503" s="266"/>
      <c r="G503" s="113"/>
      <c r="K503" s="36"/>
      <c r="L503" s="117"/>
      <c r="N503" s="117"/>
      <c r="R503" s="117"/>
      <c r="T503" s="117"/>
      <c r="V503" s="117"/>
      <c r="X503" s="117"/>
      <c r="Y503" s="10"/>
      <c r="Z503" s="11"/>
      <c r="AA503" s="36"/>
      <c r="AB503" s="36"/>
      <c r="AC503" s="13"/>
      <c r="AD503" s="13"/>
      <c r="AE503" s="37"/>
      <c r="AF503" s="37"/>
      <c r="AG503" s="14"/>
      <c r="AH503" s="14"/>
      <c r="AI503" s="14"/>
      <c r="AZ503" s="24"/>
    </row>
    <row r="504">
      <c r="B504" s="24"/>
      <c r="E504" s="113"/>
      <c r="F504" s="266"/>
      <c r="G504" s="113"/>
      <c r="K504" s="36"/>
      <c r="L504" s="117"/>
      <c r="N504" s="117"/>
      <c r="R504" s="117"/>
      <c r="T504" s="117"/>
      <c r="V504" s="117"/>
      <c r="X504" s="117"/>
      <c r="Y504" s="10"/>
      <c r="Z504" s="11"/>
      <c r="AA504" s="36"/>
      <c r="AB504" s="36"/>
      <c r="AC504" s="13"/>
      <c r="AD504" s="13"/>
      <c r="AE504" s="37"/>
      <c r="AF504" s="37"/>
      <c r="AG504" s="14"/>
      <c r="AH504" s="14"/>
      <c r="AI504" s="14"/>
      <c r="AZ504" s="24"/>
    </row>
    <row r="505">
      <c r="B505" s="24"/>
      <c r="E505" s="113"/>
      <c r="F505" s="266"/>
      <c r="G505" s="113"/>
      <c r="K505" s="36"/>
      <c r="L505" s="117"/>
      <c r="N505" s="117"/>
      <c r="R505" s="117"/>
      <c r="T505" s="117"/>
      <c r="V505" s="117"/>
      <c r="X505" s="117"/>
      <c r="Y505" s="10"/>
      <c r="Z505" s="11"/>
      <c r="AA505" s="36"/>
      <c r="AB505" s="36"/>
      <c r="AC505" s="13"/>
      <c r="AD505" s="13"/>
      <c r="AE505" s="37"/>
      <c r="AF505" s="37"/>
      <c r="AG505" s="14"/>
      <c r="AH505" s="14"/>
      <c r="AI505" s="14"/>
      <c r="AZ505" s="24"/>
    </row>
    <row r="506">
      <c r="B506" s="24"/>
      <c r="E506" s="113"/>
      <c r="F506" s="266"/>
      <c r="G506" s="113"/>
      <c r="K506" s="36"/>
      <c r="L506" s="117"/>
      <c r="N506" s="117"/>
      <c r="R506" s="117"/>
      <c r="T506" s="117"/>
      <c r="V506" s="117"/>
      <c r="X506" s="117"/>
      <c r="Y506" s="10"/>
      <c r="Z506" s="11"/>
      <c r="AA506" s="36"/>
      <c r="AB506" s="36"/>
      <c r="AC506" s="13"/>
      <c r="AD506" s="13"/>
      <c r="AE506" s="37"/>
      <c r="AF506" s="37"/>
      <c r="AG506" s="14"/>
      <c r="AH506" s="14"/>
      <c r="AI506" s="14"/>
      <c r="AZ506" s="24"/>
    </row>
    <row r="507">
      <c r="B507" s="24"/>
      <c r="E507" s="113"/>
      <c r="F507" s="266"/>
      <c r="G507" s="113"/>
      <c r="K507" s="36"/>
      <c r="L507" s="117"/>
      <c r="N507" s="117"/>
      <c r="R507" s="117"/>
      <c r="T507" s="117"/>
      <c r="V507" s="117"/>
      <c r="X507" s="117"/>
      <c r="Y507" s="10"/>
      <c r="Z507" s="11"/>
      <c r="AA507" s="36"/>
      <c r="AB507" s="36"/>
      <c r="AC507" s="13"/>
      <c r="AD507" s="13"/>
      <c r="AE507" s="37"/>
      <c r="AF507" s="37"/>
      <c r="AG507" s="14"/>
      <c r="AH507" s="14"/>
      <c r="AI507" s="14"/>
      <c r="AZ507" s="24"/>
    </row>
    <row r="508">
      <c r="B508" s="24"/>
      <c r="E508" s="113"/>
      <c r="F508" s="266"/>
      <c r="G508" s="113"/>
      <c r="K508" s="36"/>
      <c r="L508" s="117"/>
      <c r="N508" s="117"/>
      <c r="R508" s="117"/>
      <c r="T508" s="117"/>
      <c r="V508" s="117"/>
      <c r="X508" s="117"/>
      <c r="Y508" s="10"/>
      <c r="Z508" s="11"/>
      <c r="AA508" s="36"/>
      <c r="AB508" s="36"/>
      <c r="AC508" s="13"/>
      <c r="AD508" s="13"/>
      <c r="AE508" s="37"/>
      <c r="AF508" s="37"/>
      <c r="AG508" s="14"/>
      <c r="AH508" s="14"/>
      <c r="AI508" s="14"/>
      <c r="AZ508" s="24"/>
    </row>
    <row r="509">
      <c r="B509" s="24"/>
      <c r="E509" s="113"/>
      <c r="F509" s="266"/>
      <c r="G509" s="113"/>
      <c r="K509" s="36"/>
      <c r="L509" s="117"/>
      <c r="N509" s="117"/>
      <c r="R509" s="117"/>
      <c r="T509" s="117"/>
      <c r="V509" s="117"/>
      <c r="X509" s="117"/>
      <c r="Y509" s="10"/>
      <c r="Z509" s="11"/>
      <c r="AA509" s="36"/>
      <c r="AB509" s="36"/>
      <c r="AC509" s="13"/>
      <c r="AD509" s="13"/>
      <c r="AE509" s="37"/>
      <c r="AF509" s="37"/>
      <c r="AG509" s="14"/>
      <c r="AH509" s="14"/>
      <c r="AI509" s="14"/>
      <c r="AZ509" s="24"/>
    </row>
    <row r="510">
      <c r="B510" s="24"/>
      <c r="E510" s="113"/>
      <c r="F510" s="266"/>
      <c r="G510" s="113"/>
      <c r="K510" s="36"/>
      <c r="L510" s="117"/>
      <c r="N510" s="117"/>
      <c r="R510" s="117"/>
      <c r="T510" s="117"/>
      <c r="V510" s="117"/>
      <c r="X510" s="117"/>
      <c r="Y510" s="10"/>
      <c r="Z510" s="11"/>
      <c r="AA510" s="36"/>
      <c r="AB510" s="36"/>
      <c r="AC510" s="13"/>
      <c r="AD510" s="13"/>
      <c r="AE510" s="37"/>
      <c r="AF510" s="37"/>
      <c r="AG510" s="14"/>
      <c r="AH510" s="14"/>
      <c r="AI510" s="14"/>
      <c r="AZ510" s="24"/>
    </row>
    <row r="511">
      <c r="B511" s="24"/>
      <c r="E511" s="113"/>
      <c r="F511" s="266"/>
      <c r="G511" s="113"/>
      <c r="K511" s="36"/>
      <c r="L511" s="117"/>
      <c r="N511" s="117"/>
      <c r="R511" s="117"/>
      <c r="T511" s="117"/>
      <c r="V511" s="117"/>
      <c r="X511" s="117"/>
      <c r="Y511" s="10"/>
      <c r="Z511" s="11"/>
      <c r="AA511" s="36"/>
      <c r="AB511" s="36"/>
      <c r="AC511" s="13"/>
      <c r="AD511" s="13"/>
      <c r="AE511" s="37"/>
      <c r="AF511" s="37"/>
      <c r="AG511" s="14"/>
      <c r="AH511" s="14"/>
      <c r="AI511" s="14"/>
      <c r="AZ511" s="24"/>
    </row>
    <row r="512">
      <c r="B512" s="24"/>
      <c r="E512" s="113"/>
      <c r="F512" s="266"/>
      <c r="G512" s="113"/>
      <c r="K512" s="36"/>
      <c r="L512" s="117"/>
      <c r="N512" s="117"/>
      <c r="R512" s="117"/>
      <c r="T512" s="117"/>
      <c r="V512" s="117"/>
      <c r="X512" s="117"/>
      <c r="Y512" s="10"/>
      <c r="Z512" s="11"/>
      <c r="AA512" s="36"/>
      <c r="AB512" s="36"/>
      <c r="AC512" s="13"/>
      <c r="AD512" s="13"/>
      <c r="AE512" s="37"/>
      <c r="AF512" s="37"/>
      <c r="AG512" s="14"/>
      <c r="AH512" s="14"/>
      <c r="AI512" s="14"/>
      <c r="AZ512" s="24"/>
    </row>
    <row r="513">
      <c r="B513" s="24"/>
      <c r="E513" s="113"/>
      <c r="F513" s="266"/>
      <c r="G513" s="113"/>
      <c r="K513" s="36"/>
      <c r="L513" s="117"/>
      <c r="N513" s="117"/>
      <c r="R513" s="117"/>
      <c r="T513" s="117"/>
      <c r="V513" s="117"/>
      <c r="X513" s="117"/>
      <c r="Y513" s="10"/>
      <c r="Z513" s="11"/>
      <c r="AA513" s="36"/>
      <c r="AB513" s="36"/>
      <c r="AC513" s="13"/>
      <c r="AD513" s="13"/>
      <c r="AE513" s="37"/>
      <c r="AF513" s="37"/>
      <c r="AG513" s="14"/>
      <c r="AH513" s="14"/>
      <c r="AI513" s="14"/>
      <c r="AZ513" s="24"/>
    </row>
    <row r="514">
      <c r="B514" s="24"/>
      <c r="E514" s="113"/>
      <c r="F514" s="266"/>
      <c r="G514" s="113"/>
      <c r="K514" s="36"/>
      <c r="L514" s="117"/>
      <c r="N514" s="117"/>
      <c r="R514" s="117"/>
      <c r="T514" s="117"/>
      <c r="V514" s="117"/>
      <c r="X514" s="117"/>
      <c r="Y514" s="10"/>
      <c r="Z514" s="11"/>
      <c r="AA514" s="36"/>
      <c r="AB514" s="36"/>
      <c r="AC514" s="13"/>
      <c r="AD514" s="13"/>
      <c r="AE514" s="37"/>
      <c r="AF514" s="37"/>
      <c r="AG514" s="14"/>
      <c r="AH514" s="14"/>
      <c r="AI514" s="14"/>
      <c r="AZ514" s="24"/>
    </row>
    <row r="515">
      <c r="B515" s="24"/>
      <c r="E515" s="113"/>
      <c r="F515" s="266"/>
      <c r="G515" s="113"/>
      <c r="K515" s="36"/>
      <c r="L515" s="117"/>
      <c r="N515" s="117"/>
      <c r="R515" s="117"/>
      <c r="T515" s="117"/>
      <c r="V515" s="117"/>
      <c r="X515" s="117"/>
      <c r="Y515" s="10"/>
      <c r="Z515" s="11"/>
      <c r="AA515" s="36"/>
      <c r="AB515" s="36"/>
      <c r="AC515" s="13"/>
      <c r="AD515" s="13"/>
      <c r="AE515" s="37"/>
      <c r="AF515" s="37"/>
      <c r="AG515" s="14"/>
      <c r="AH515" s="14"/>
      <c r="AI515" s="14"/>
      <c r="AZ515" s="24"/>
    </row>
    <row r="516">
      <c r="B516" s="24"/>
      <c r="E516" s="113"/>
      <c r="F516" s="266"/>
      <c r="G516" s="113"/>
      <c r="K516" s="36"/>
      <c r="L516" s="117"/>
      <c r="N516" s="117"/>
      <c r="R516" s="117"/>
      <c r="T516" s="117"/>
      <c r="V516" s="117"/>
      <c r="X516" s="117"/>
      <c r="Y516" s="10"/>
      <c r="Z516" s="11"/>
      <c r="AA516" s="36"/>
      <c r="AB516" s="36"/>
      <c r="AC516" s="13"/>
      <c r="AD516" s="13"/>
      <c r="AE516" s="37"/>
      <c r="AF516" s="37"/>
      <c r="AG516" s="14"/>
      <c r="AH516" s="14"/>
      <c r="AI516" s="14"/>
      <c r="AZ516" s="24"/>
    </row>
    <row r="517">
      <c r="B517" s="24"/>
      <c r="E517" s="113"/>
      <c r="F517" s="266"/>
      <c r="G517" s="113"/>
      <c r="K517" s="36"/>
      <c r="L517" s="117"/>
      <c r="N517" s="117"/>
      <c r="R517" s="117"/>
      <c r="T517" s="117"/>
      <c r="V517" s="117"/>
      <c r="X517" s="117"/>
      <c r="Y517" s="10"/>
      <c r="Z517" s="11"/>
      <c r="AA517" s="36"/>
      <c r="AB517" s="36"/>
      <c r="AC517" s="13"/>
      <c r="AD517" s="13"/>
      <c r="AE517" s="37"/>
      <c r="AF517" s="37"/>
      <c r="AG517" s="14"/>
      <c r="AH517" s="14"/>
      <c r="AI517" s="14"/>
      <c r="AZ517" s="24"/>
    </row>
    <row r="518">
      <c r="B518" s="24"/>
      <c r="E518" s="113"/>
      <c r="F518" s="266"/>
      <c r="G518" s="113"/>
      <c r="K518" s="36"/>
      <c r="L518" s="117"/>
      <c r="N518" s="117"/>
      <c r="R518" s="117"/>
      <c r="T518" s="117"/>
      <c r="V518" s="117"/>
      <c r="X518" s="117"/>
      <c r="Y518" s="10"/>
      <c r="Z518" s="11"/>
      <c r="AA518" s="36"/>
      <c r="AB518" s="36"/>
      <c r="AC518" s="13"/>
      <c r="AD518" s="13"/>
      <c r="AE518" s="37"/>
      <c r="AF518" s="37"/>
      <c r="AG518" s="14"/>
      <c r="AH518" s="14"/>
      <c r="AI518" s="14"/>
      <c r="AZ518" s="24"/>
    </row>
    <row r="519">
      <c r="B519" s="24"/>
      <c r="E519" s="113"/>
      <c r="F519" s="266"/>
      <c r="G519" s="113"/>
      <c r="K519" s="36"/>
      <c r="L519" s="117"/>
      <c r="N519" s="117"/>
      <c r="R519" s="117"/>
      <c r="T519" s="117"/>
      <c r="V519" s="117"/>
      <c r="X519" s="117"/>
      <c r="Y519" s="10"/>
      <c r="Z519" s="11"/>
      <c r="AA519" s="36"/>
      <c r="AB519" s="36"/>
      <c r="AC519" s="13"/>
      <c r="AD519" s="13"/>
      <c r="AE519" s="37"/>
      <c r="AF519" s="37"/>
      <c r="AG519" s="14"/>
      <c r="AH519" s="14"/>
      <c r="AI519" s="14"/>
      <c r="AZ519" s="24"/>
    </row>
    <row r="520">
      <c r="B520" s="24"/>
      <c r="E520" s="113"/>
      <c r="F520" s="266"/>
      <c r="G520" s="113"/>
      <c r="K520" s="36"/>
      <c r="L520" s="117"/>
      <c r="N520" s="117"/>
      <c r="R520" s="117"/>
      <c r="T520" s="117"/>
      <c r="V520" s="117"/>
      <c r="X520" s="117"/>
      <c r="Y520" s="10"/>
      <c r="Z520" s="11"/>
      <c r="AA520" s="36"/>
      <c r="AB520" s="36"/>
      <c r="AC520" s="13"/>
      <c r="AD520" s="13"/>
      <c r="AE520" s="37"/>
      <c r="AF520" s="37"/>
      <c r="AG520" s="14"/>
      <c r="AH520" s="14"/>
      <c r="AI520" s="14"/>
      <c r="AZ520" s="24"/>
    </row>
    <row r="521">
      <c r="B521" s="24"/>
      <c r="E521" s="113"/>
      <c r="F521" s="266"/>
      <c r="G521" s="113"/>
      <c r="K521" s="36"/>
      <c r="L521" s="117"/>
      <c r="N521" s="117"/>
      <c r="R521" s="117"/>
      <c r="T521" s="117"/>
      <c r="V521" s="117"/>
      <c r="X521" s="117"/>
      <c r="Y521" s="10"/>
      <c r="Z521" s="11"/>
      <c r="AA521" s="36"/>
      <c r="AB521" s="36"/>
      <c r="AC521" s="13"/>
      <c r="AD521" s="13"/>
      <c r="AE521" s="37"/>
      <c r="AF521" s="37"/>
      <c r="AG521" s="14"/>
      <c r="AH521" s="14"/>
      <c r="AI521" s="14"/>
      <c r="AZ521" s="24"/>
    </row>
    <row r="522">
      <c r="B522" s="24"/>
      <c r="E522" s="113"/>
      <c r="F522" s="266"/>
      <c r="G522" s="113"/>
      <c r="K522" s="36"/>
      <c r="L522" s="117"/>
      <c r="N522" s="117"/>
      <c r="R522" s="117"/>
      <c r="T522" s="117"/>
      <c r="V522" s="117"/>
      <c r="X522" s="117"/>
      <c r="Y522" s="10"/>
      <c r="Z522" s="11"/>
      <c r="AA522" s="36"/>
      <c r="AB522" s="36"/>
      <c r="AC522" s="13"/>
      <c r="AD522" s="13"/>
      <c r="AE522" s="37"/>
      <c r="AF522" s="37"/>
      <c r="AG522" s="14"/>
      <c r="AH522" s="14"/>
      <c r="AI522" s="14"/>
      <c r="AZ522" s="24"/>
    </row>
    <row r="523">
      <c r="B523" s="24"/>
      <c r="E523" s="113"/>
      <c r="F523" s="266"/>
      <c r="G523" s="113"/>
      <c r="K523" s="36"/>
      <c r="L523" s="117"/>
      <c r="N523" s="117"/>
      <c r="R523" s="117"/>
      <c r="T523" s="117"/>
      <c r="V523" s="117"/>
      <c r="X523" s="117"/>
      <c r="Y523" s="10"/>
      <c r="Z523" s="11"/>
      <c r="AA523" s="36"/>
      <c r="AB523" s="36"/>
      <c r="AC523" s="13"/>
      <c r="AD523" s="13"/>
      <c r="AE523" s="37"/>
      <c r="AF523" s="37"/>
      <c r="AG523" s="14"/>
      <c r="AH523" s="14"/>
      <c r="AI523" s="14"/>
      <c r="AZ523" s="24"/>
    </row>
    <row r="524">
      <c r="B524" s="24"/>
      <c r="E524" s="113"/>
      <c r="F524" s="266"/>
      <c r="G524" s="113"/>
      <c r="K524" s="36"/>
      <c r="L524" s="117"/>
      <c r="N524" s="117"/>
      <c r="R524" s="117"/>
      <c r="T524" s="117"/>
      <c r="V524" s="117"/>
      <c r="X524" s="117"/>
      <c r="Y524" s="10"/>
      <c r="Z524" s="11"/>
      <c r="AA524" s="36"/>
      <c r="AB524" s="36"/>
      <c r="AC524" s="13"/>
      <c r="AD524" s="13"/>
      <c r="AE524" s="37"/>
      <c r="AF524" s="37"/>
      <c r="AG524" s="14"/>
      <c r="AH524" s="14"/>
      <c r="AI524" s="14"/>
      <c r="AZ524" s="24"/>
    </row>
    <row r="525">
      <c r="B525" s="24"/>
      <c r="E525" s="113"/>
      <c r="F525" s="266"/>
      <c r="G525" s="113"/>
      <c r="K525" s="36"/>
      <c r="L525" s="117"/>
      <c r="N525" s="117"/>
      <c r="R525" s="117"/>
      <c r="T525" s="117"/>
      <c r="V525" s="117"/>
      <c r="X525" s="117"/>
      <c r="Y525" s="10"/>
      <c r="Z525" s="11"/>
      <c r="AA525" s="36"/>
      <c r="AB525" s="36"/>
      <c r="AC525" s="13"/>
      <c r="AD525" s="13"/>
      <c r="AE525" s="37"/>
      <c r="AF525" s="37"/>
      <c r="AG525" s="14"/>
      <c r="AH525" s="14"/>
      <c r="AI525" s="14"/>
      <c r="AZ525" s="24"/>
    </row>
    <row r="526">
      <c r="B526" s="24"/>
      <c r="E526" s="113"/>
      <c r="F526" s="266"/>
      <c r="G526" s="113"/>
      <c r="K526" s="36"/>
      <c r="L526" s="117"/>
      <c r="N526" s="117"/>
      <c r="R526" s="117"/>
      <c r="T526" s="117"/>
      <c r="V526" s="117"/>
      <c r="X526" s="117"/>
      <c r="Y526" s="10"/>
      <c r="Z526" s="11"/>
      <c r="AA526" s="36"/>
      <c r="AB526" s="36"/>
      <c r="AC526" s="13"/>
      <c r="AD526" s="13"/>
      <c r="AE526" s="37"/>
      <c r="AF526" s="37"/>
      <c r="AG526" s="14"/>
      <c r="AH526" s="14"/>
      <c r="AI526" s="14"/>
      <c r="AZ526" s="24"/>
    </row>
    <row r="527">
      <c r="B527" s="24"/>
      <c r="E527" s="113"/>
      <c r="F527" s="266"/>
      <c r="G527" s="113"/>
      <c r="K527" s="36"/>
      <c r="L527" s="117"/>
      <c r="N527" s="117"/>
      <c r="R527" s="117"/>
      <c r="T527" s="117"/>
      <c r="V527" s="117"/>
      <c r="X527" s="117"/>
      <c r="Y527" s="10"/>
      <c r="Z527" s="11"/>
      <c r="AA527" s="36"/>
      <c r="AB527" s="36"/>
      <c r="AC527" s="13"/>
      <c r="AD527" s="13"/>
      <c r="AE527" s="37"/>
      <c r="AF527" s="37"/>
      <c r="AG527" s="14"/>
      <c r="AH527" s="14"/>
      <c r="AI527" s="14"/>
      <c r="AZ527" s="24"/>
    </row>
    <row r="528">
      <c r="B528" s="24"/>
      <c r="E528" s="113"/>
      <c r="F528" s="266"/>
      <c r="G528" s="113"/>
      <c r="K528" s="36"/>
      <c r="L528" s="117"/>
      <c r="N528" s="117"/>
      <c r="R528" s="117"/>
      <c r="T528" s="117"/>
      <c r="V528" s="117"/>
      <c r="X528" s="117"/>
      <c r="Y528" s="10"/>
      <c r="Z528" s="11"/>
      <c r="AA528" s="36"/>
      <c r="AB528" s="36"/>
      <c r="AC528" s="13"/>
      <c r="AD528" s="13"/>
      <c r="AE528" s="37"/>
      <c r="AF528" s="37"/>
      <c r="AG528" s="14"/>
      <c r="AH528" s="14"/>
      <c r="AI528" s="14"/>
      <c r="AZ528" s="24"/>
    </row>
    <row r="529">
      <c r="B529" s="24"/>
      <c r="E529" s="113"/>
      <c r="F529" s="266"/>
      <c r="G529" s="113"/>
      <c r="K529" s="36"/>
      <c r="L529" s="117"/>
      <c r="N529" s="117"/>
      <c r="R529" s="117"/>
      <c r="T529" s="117"/>
      <c r="V529" s="117"/>
      <c r="X529" s="117"/>
      <c r="Y529" s="10"/>
      <c r="Z529" s="11"/>
      <c r="AA529" s="36"/>
      <c r="AB529" s="36"/>
      <c r="AC529" s="13"/>
      <c r="AD529" s="13"/>
      <c r="AE529" s="37"/>
      <c r="AF529" s="37"/>
      <c r="AG529" s="14"/>
      <c r="AH529" s="14"/>
      <c r="AI529" s="14"/>
      <c r="AZ529" s="24"/>
    </row>
    <row r="530">
      <c r="B530" s="24"/>
      <c r="E530" s="113"/>
      <c r="F530" s="266"/>
      <c r="G530" s="113"/>
      <c r="K530" s="36"/>
      <c r="L530" s="117"/>
      <c r="N530" s="117"/>
      <c r="R530" s="117"/>
      <c r="T530" s="117"/>
      <c r="V530" s="117"/>
      <c r="X530" s="117"/>
      <c r="Y530" s="10"/>
      <c r="Z530" s="11"/>
      <c r="AA530" s="36"/>
      <c r="AB530" s="36"/>
      <c r="AC530" s="13"/>
      <c r="AD530" s="13"/>
      <c r="AE530" s="37"/>
      <c r="AF530" s="37"/>
      <c r="AG530" s="14"/>
      <c r="AH530" s="14"/>
      <c r="AI530" s="14"/>
      <c r="AZ530" s="24"/>
    </row>
    <row r="531">
      <c r="B531" s="24"/>
      <c r="E531" s="113"/>
      <c r="F531" s="266"/>
      <c r="G531" s="113"/>
      <c r="K531" s="36"/>
      <c r="L531" s="117"/>
      <c r="N531" s="117"/>
      <c r="R531" s="117"/>
      <c r="T531" s="117"/>
      <c r="V531" s="117"/>
      <c r="X531" s="117"/>
      <c r="Y531" s="10"/>
      <c r="Z531" s="11"/>
      <c r="AA531" s="36"/>
      <c r="AB531" s="36"/>
      <c r="AC531" s="13"/>
      <c r="AD531" s="13"/>
      <c r="AE531" s="37"/>
      <c r="AF531" s="37"/>
      <c r="AG531" s="14"/>
      <c r="AH531" s="14"/>
      <c r="AI531" s="14"/>
      <c r="AZ531" s="24"/>
    </row>
    <row r="532">
      <c r="B532" s="24"/>
      <c r="E532" s="113"/>
      <c r="F532" s="266"/>
      <c r="G532" s="113"/>
      <c r="K532" s="36"/>
      <c r="L532" s="117"/>
      <c r="N532" s="117"/>
      <c r="R532" s="117"/>
      <c r="T532" s="117"/>
      <c r="V532" s="117"/>
      <c r="X532" s="117"/>
      <c r="Y532" s="10"/>
      <c r="Z532" s="11"/>
      <c r="AA532" s="36"/>
      <c r="AB532" s="36"/>
      <c r="AC532" s="13"/>
      <c r="AD532" s="13"/>
      <c r="AE532" s="37"/>
      <c r="AF532" s="37"/>
      <c r="AG532" s="14"/>
      <c r="AH532" s="14"/>
      <c r="AI532" s="14"/>
      <c r="AZ532" s="24"/>
    </row>
    <row r="533">
      <c r="B533" s="24"/>
      <c r="E533" s="113"/>
      <c r="F533" s="266"/>
      <c r="G533" s="113"/>
      <c r="K533" s="36"/>
      <c r="L533" s="117"/>
      <c r="N533" s="117"/>
      <c r="R533" s="117"/>
      <c r="T533" s="117"/>
      <c r="V533" s="117"/>
      <c r="X533" s="117"/>
      <c r="Y533" s="10"/>
      <c r="Z533" s="11"/>
      <c r="AA533" s="36"/>
      <c r="AB533" s="36"/>
      <c r="AC533" s="13"/>
      <c r="AD533" s="13"/>
      <c r="AE533" s="37"/>
      <c r="AF533" s="37"/>
      <c r="AG533" s="14"/>
      <c r="AH533" s="14"/>
      <c r="AI533" s="14"/>
      <c r="AZ533" s="24"/>
    </row>
    <row r="534">
      <c r="B534" s="24"/>
      <c r="E534" s="113"/>
      <c r="F534" s="266"/>
      <c r="G534" s="113"/>
      <c r="K534" s="36"/>
      <c r="L534" s="117"/>
      <c r="N534" s="117"/>
      <c r="R534" s="117"/>
      <c r="T534" s="117"/>
      <c r="V534" s="117"/>
      <c r="X534" s="117"/>
      <c r="Y534" s="10"/>
      <c r="Z534" s="11"/>
      <c r="AA534" s="36"/>
      <c r="AB534" s="36"/>
      <c r="AC534" s="13"/>
      <c r="AD534" s="13"/>
      <c r="AE534" s="37"/>
      <c r="AF534" s="37"/>
      <c r="AG534" s="14"/>
      <c r="AH534" s="14"/>
      <c r="AI534" s="14"/>
      <c r="AZ534" s="24"/>
    </row>
    <row r="535">
      <c r="B535" s="24"/>
      <c r="E535" s="113"/>
      <c r="F535" s="266"/>
      <c r="G535" s="113"/>
      <c r="K535" s="36"/>
      <c r="L535" s="117"/>
      <c r="N535" s="117"/>
      <c r="R535" s="117"/>
      <c r="T535" s="117"/>
      <c r="V535" s="117"/>
      <c r="X535" s="117"/>
      <c r="Y535" s="10"/>
      <c r="Z535" s="11"/>
      <c r="AA535" s="36"/>
      <c r="AB535" s="36"/>
      <c r="AC535" s="13"/>
      <c r="AD535" s="13"/>
      <c r="AE535" s="37"/>
      <c r="AF535" s="37"/>
      <c r="AG535" s="14"/>
      <c r="AH535" s="14"/>
      <c r="AI535" s="14"/>
      <c r="AZ535" s="24"/>
    </row>
    <row r="536">
      <c r="B536" s="24"/>
      <c r="E536" s="113"/>
      <c r="F536" s="266"/>
      <c r="G536" s="113"/>
      <c r="K536" s="36"/>
      <c r="L536" s="117"/>
      <c r="N536" s="117"/>
      <c r="R536" s="117"/>
      <c r="T536" s="117"/>
      <c r="V536" s="117"/>
      <c r="X536" s="117"/>
      <c r="Y536" s="10"/>
      <c r="Z536" s="11"/>
      <c r="AA536" s="36"/>
      <c r="AB536" s="36"/>
      <c r="AC536" s="13"/>
      <c r="AD536" s="13"/>
      <c r="AE536" s="37"/>
      <c r="AF536" s="37"/>
      <c r="AG536" s="14"/>
      <c r="AH536" s="14"/>
      <c r="AI536" s="14"/>
      <c r="AZ536" s="24"/>
    </row>
    <row r="537">
      <c r="B537" s="24"/>
      <c r="E537" s="113"/>
      <c r="F537" s="266"/>
      <c r="G537" s="113"/>
      <c r="K537" s="36"/>
      <c r="L537" s="117"/>
      <c r="N537" s="117"/>
      <c r="R537" s="117"/>
      <c r="T537" s="117"/>
      <c r="V537" s="117"/>
      <c r="X537" s="117"/>
      <c r="Y537" s="10"/>
      <c r="Z537" s="11"/>
      <c r="AA537" s="36"/>
      <c r="AB537" s="36"/>
      <c r="AC537" s="13"/>
      <c r="AD537" s="13"/>
      <c r="AE537" s="37"/>
      <c r="AF537" s="37"/>
      <c r="AG537" s="14"/>
      <c r="AH537" s="14"/>
      <c r="AI537" s="14"/>
      <c r="AZ537" s="24"/>
    </row>
    <row r="538">
      <c r="B538" s="24"/>
      <c r="E538" s="113"/>
      <c r="F538" s="266"/>
      <c r="G538" s="113"/>
      <c r="K538" s="36"/>
      <c r="L538" s="117"/>
      <c r="N538" s="117"/>
      <c r="R538" s="117"/>
      <c r="T538" s="117"/>
      <c r="V538" s="117"/>
      <c r="X538" s="117"/>
      <c r="Y538" s="10"/>
      <c r="Z538" s="11"/>
      <c r="AA538" s="36"/>
      <c r="AB538" s="36"/>
      <c r="AC538" s="13"/>
      <c r="AD538" s="13"/>
      <c r="AE538" s="37"/>
      <c r="AF538" s="37"/>
      <c r="AG538" s="14"/>
      <c r="AH538" s="14"/>
      <c r="AI538" s="14"/>
      <c r="AZ538" s="24"/>
    </row>
    <row r="539">
      <c r="B539" s="24"/>
      <c r="E539" s="113"/>
      <c r="F539" s="266"/>
      <c r="G539" s="113"/>
      <c r="K539" s="36"/>
      <c r="L539" s="117"/>
      <c r="N539" s="117"/>
      <c r="R539" s="117"/>
      <c r="T539" s="117"/>
      <c r="V539" s="117"/>
      <c r="X539" s="117"/>
      <c r="Y539" s="10"/>
      <c r="Z539" s="11"/>
      <c r="AA539" s="36"/>
      <c r="AB539" s="36"/>
      <c r="AC539" s="13"/>
      <c r="AD539" s="13"/>
      <c r="AE539" s="37"/>
      <c r="AF539" s="37"/>
      <c r="AG539" s="14"/>
      <c r="AH539" s="14"/>
      <c r="AI539" s="14"/>
      <c r="AZ539" s="24"/>
    </row>
    <row r="540">
      <c r="B540" s="24"/>
      <c r="E540" s="113"/>
      <c r="F540" s="266"/>
      <c r="G540" s="113"/>
      <c r="K540" s="36"/>
      <c r="L540" s="117"/>
      <c r="N540" s="117"/>
      <c r="R540" s="117"/>
      <c r="T540" s="117"/>
      <c r="V540" s="117"/>
      <c r="X540" s="117"/>
      <c r="Y540" s="10"/>
      <c r="Z540" s="11"/>
      <c r="AA540" s="36"/>
      <c r="AB540" s="36"/>
      <c r="AC540" s="13"/>
      <c r="AD540" s="13"/>
      <c r="AE540" s="37"/>
      <c r="AF540" s="37"/>
      <c r="AG540" s="14"/>
      <c r="AH540" s="14"/>
      <c r="AI540" s="14"/>
      <c r="AZ540" s="24"/>
    </row>
    <row r="541">
      <c r="B541" s="24"/>
      <c r="E541" s="113"/>
      <c r="F541" s="266"/>
      <c r="G541" s="113"/>
      <c r="K541" s="36"/>
      <c r="L541" s="117"/>
      <c r="N541" s="117"/>
      <c r="R541" s="117"/>
      <c r="T541" s="117"/>
      <c r="V541" s="117"/>
      <c r="X541" s="117"/>
      <c r="Y541" s="10"/>
      <c r="Z541" s="11"/>
      <c r="AA541" s="36"/>
      <c r="AB541" s="36"/>
      <c r="AC541" s="13"/>
      <c r="AD541" s="13"/>
      <c r="AE541" s="37"/>
      <c r="AF541" s="37"/>
      <c r="AG541" s="14"/>
      <c r="AH541" s="14"/>
      <c r="AI541" s="14"/>
      <c r="AZ541" s="24"/>
    </row>
    <row r="542">
      <c r="B542" s="24"/>
      <c r="E542" s="113"/>
      <c r="F542" s="266"/>
      <c r="G542" s="113"/>
      <c r="K542" s="36"/>
      <c r="L542" s="117"/>
      <c r="N542" s="117"/>
      <c r="R542" s="117"/>
      <c r="T542" s="117"/>
      <c r="V542" s="117"/>
      <c r="X542" s="117"/>
      <c r="Y542" s="10"/>
      <c r="Z542" s="11"/>
      <c r="AA542" s="36"/>
      <c r="AB542" s="36"/>
      <c r="AC542" s="13"/>
      <c r="AD542" s="13"/>
      <c r="AE542" s="37"/>
      <c r="AF542" s="37"/>
      <c r="AG542" s="14"/>
      <c r="AH542" s="14"/>
      <c r="AI542" s="14"/>
      <c r="AZ542" s="24"/>
    </row>
    <row r="543">
      <c r="B543" s="24"/>
      <c r="E543" s="113"/>
      <c r="F543" s="266"/>
      <c r="G543" s="113"/>
      <c r="K543" s="36"/>
      <c r="L543" s="117"/>
      <c r="N543" s="117"/>
      <c r="R543" s="117"/>
      <c r="T543" s="117"/>
      <c r="V543" s="117"/>
      <c r="X543" s="117"/>
      <c r="Y543" s="10"/>
      <c r="Z543" s="11"/>
      <c r="AA543" s="36"/>
      <c r="AB543" s="36"/>
      <c r="AC543" s="13"/>
      <c r="AD543" s="13"/>
      <c r="AE543" s="37"/>
      <c r="AF543" s="37"/>
      <c r="AG543" s="14"/>
      <c r="AH543" s="14"/>
      <c r="AI543" s="14"/>
      <c r="AZ543" s="24"/>
    </row>
    <row r="544">
      <c r="B544" s="24"/>
      <c r="E544" s="113"/>
      <c r="F544" s="266"/>
      <c r="G544" s="113"/>
      <c r="K544" s="36"/>
      <c r="L544" s="117"/>
      <c r="N544" s="117"/>
      <c r="R544" s="117"/>
      <c r="T544" s="117"/>
      <c r="V544" s="117"/>
      <c r="X544" s="117"/>
      <c r="Y544" s="10"/>
      <c r="Z544" s="11"/>
      <c r="AA544" s="36"/>
      <c r="AB544" s="36"/>
      <c r="AC544" s="13"/>
      <c r="AD544" s="13"/>
      <c r="AE544" s="37"/>
      <c r="AF544" s="37"/>
      <c r="AG544" s="14"/>
      <c r="AH544" s="14"/>
      <c r="AI544" s="14"/>
      <c r="AZ544" s="24"/>
    </row>
    <row r="545">
      <c r="B545" s="24"/>
      <c r="E545" s="113"/>
      <c r="F545" s="266"/>
      <c r="G545" s="113"/>
      <c r="K545" s="36"/>
      <c r="L545" s="117"/>
      <c r="N545" s="117"/>
      <c r="R545" s="117"/>
      <c r="T545" s="117"/>
      <c r="V545" s="117"/>
      <c r="X545" s="117"/>
      <c r="Y545" s="10"/>
      <c r="Z545" s="11"/>
      <c r="AA545" s="36"/>
      <c r="AB545" s="36"/>
      <c r="AC545" s="13"/>
      <c r="AD545" s="13"/>
      <c r="AE545" s="37"/>
      <c r="AF545" s="37"/>
      <c r="AG545" s="14"/>
      <c r="AH545" s="14"/>
      <c r="AI545" s="14"/>
      <c r="AZ545" s="24"/>
    </row>
    <row r="546">
      <c r="B546" s="24"/>
      <c r="E546" s="113"/>
      <c r="F546" s="266"/>
      <c r="G546" s="113"/>
      <c r="K546" s="36"/>
      <c r="L546" s="117"/>
      <c r="N546" s="117"/>
      <c r="R546" s="117"/>
      <c r="T546" s="117"/>
      <c r="V546" s="117"/>
      <c r="X546" s="117"/>
      <c r="Y546" s="10"/>
      <c r="Z546" s="11"/>
      <c r="AA546" s="36"/>
      <c r="AB546" s="36"/>
      <c r="AC546" s="13"/>
      <c r="AD546" s="13"/>
      <c r="AE546" s="37"/>
      <c r="AF546" s="37"/>
      <c r="AG546" s="14"/>
      <c r="AH546" s="14"/>
      <c r="AI546" s="14"/>
      <c r="AZ546" s="24"/>
    </row>
    <row r="547">
      <c r="B547" s="24"/>
      <c r="E547" s="113"/>
      <c r="F547" s="266"/>
      <c r="G547" s="113"/>
      <c r="K547" s="36"/>
      <c r="L547" s="117"/>
      <c r="N547" s="117"/>
      <c r="R547" s="117"/>
      <c r="T547" s="117"/>
      <c r="V547" s="117"/>
      <c r="X547" s="117"/>
      <c r="Y547" s="10"/>
      <c r="Z547" s="11"/>
      <c r="AA547" s="36"/>
      <c r="AB547" s="36"/>
      <c r="AC547" s="13"/>
      <c r="AD547" s="13"/>
      <c r="AE547" s="37"/>
      <c r="AF547" s="37"/>
      <c r="AG547" s="14"/>
      <c r="AH547" s="14"/>
      <c r="AI547" s="14"/>
      <c r="AZ547" s="24"/>
    </row>
    <row r="548">
      <c r="B548" s="24"/>
      <c r="E548" s="113"/>
      <c r="F548" s="266"/>
      <c r="G548" s="113"/>
      <c r="K548" s="36"/>
      <c r="L548" s="117"/>
      <c r="N548" s="117"/>
      <c r="R548" s="117"/>
      <c r="T548" s="117"/>
      <c r="V548" s="117"/>
      <c r="X548" s="117"/>
      <c r="Y548" s="10"/>
      <c r="Z548" s="11"/>
      <c r="AA548" s="36"/>
      <c r="AB548" s="36"/>
      <c r="AC548" s="13"/>
      <c r="AD548" s="13"/>
      <c r="AE548" s="37"/>
      <c r="AF548" s="37"/>
      <c r="AG548" s="14"/>
      <c r="AH548" s="14"/>
      <c r="AI548" s="14"/>
      <c r="AZ548" s="24"/>
    </row>
    <row r="549">
      <c r="B549" s="24"/>
      <c r="E549" s="113"/>
      <c r="F549" s="266"/>
      <c r="G549" s="113"/>
      <c r="K549" s="36"/>
      <c r="L549" s="117"/>
      <c r="N549" s="117"/>
      <c r="R549" s="117"/>
      <c r="T549" s="117"/>
      <c r="V549" s="117"/>
      <c r="X549" s="117"/>
      <c r="Y549" s="10"/>
      <c r="Z549" s="11"/>
      <c r="AA549" s="36"/>
      <c r="AB549" s="36"/>
      <c r="AC549" s="13"/>
      <c r="AD549" s="13"/>
      <c r="AE549" s="37"/>
      <c r="AF549" s="37"/>
      <c r="AG549" s="14"/>
      <c r="AH549" s="14"/>
      <c r="AI549" s="14"/>
      <c r="AZ549" s="24"/>
    </row>
    <row r="550">
      <c r="B550" s="24"/>
      <c r="E550" s="113"/>
      <c r="F550" s="266"/>
      <c r="G550" s="113"/>
      <c r="K550" s="36"/>
      <c r="L550" s="117"/>
      <c r="N550" s="117"/>
      <c r="R550" s="117"/>
      <c r="T550" s="117"/>
      <c r="V550" s="117"/>
      <c r="X550" s="117"/>
      <c r="Y550" s="10"/>
      <c r="Z550" s="11"/>
      <c r="AA550" s="36"/>
      <c r="AB550" s="36"/>
      <c r="AC550" s="13"/>
      <c r="AD550" s="13"/>
      <c r="AE550" s="37"/>
      <c r="AF550" s="37"/>
      <c r="AG550" s="14"/>
      <c r="AH550" s="14"/>
      <c r="AI550" s="14"/>
      <c r="AZ550" s="24"/>
    </row>
    <row r="551">
      <c r="B551" s="24"/>
      <c r="E551" s="113"/>
      <c r="F551" s="266"/>
      <c r="G551" s="113"/>
      <c r="K551" s="36"/>
      <c r="L551" s="117"/>
      <c r="N551" s="117"/>
      <c r="R551" s="117"/>
      <c r="T551" s="117"/>
      <c r="V551" s="117"/>
      <c r="X551" s="117"/>
      <c r="Y551" s="10"/>
      <c r="Z551" s="11"/>
      <c r="AA551" s="36"/>
      <c r="AB551" s="36"/>
      <c r="AC551" s="13"/>
      <c r="AD551" s="13"/>
      <c r="AE551" s="37"/>
      <c r="AF551" s="37"/>
      <c r="AG551" s="14"/>
      <c r="AH551" s="14"/>
      <c r="AI551" s="14"/>
      <c r="AZ551" s="24"/>
    </row>
    <row r="552">
      <c r="B552" s="24"/>
      <c r="E552" s="113"/>
      <c r="F552" s="266"/>
      <c r="G552" s="113"/>
      <c r="K552" s="36"/>
      <c r="L552" s="117"/>
      <c r="N552" s="117"/>
      <c r="R552" s="117"/>
      <c r="T552" s="117"/>
      <c r="V552" s="117"/>
      <c r="X552" s="117"/>
      <c r="Y552" s="10"/>
      <c r="Z552" s="11"/>
      <c r="AA552" s="36"/>
      <c r="AB552" s="36"/>
      <c r="AC552" s="13"/>
      <c r="AD552" s="13"/>
      <c r="AE552" s="37"/>
      <c r="AF552" s="37"/>
      <c r="AG552" s="14"/>
      <c r="AH552" s="14"/>
      <c r="AI552" s="14"/>
      <c r="AZ552" s="24"/>
    </row>
    <row r="553">
      <c r="B553" s="24"/>
      <c r="E553" s="113"/>
      <c r="F553" s="266"/>
      <c r="G553" s="113"/>
      <c r="K553" s="36"/>
      <c r="L553" s="117"/>
      <c r="N553" s="117"/>
      <c r="R553" s="117"/>
      <c r="T553" s="117"/>
      <c r="V553" s="117"/>
      <c r="X553" s="117"/>
      <c r="Y553" s="10"/>
      <c r="Z553" s="11"/>
      <c r="AA553" s="36"/>
      <c r="AB553" s="36"/>
      <c r="AC553" s="13"/>
      <c r="AD553" s="13"/>
      <c r="AE553" s="37"/>
      <c r="AF553" s="37"/>
      <c r="AG553" s="14"/>
      <c r="AH553" s="14"/>
      <c r="AI553" s="14"/>
      <c r="AZ553" s="24"/>
    </row>
    <row r="554">
      <c r="B554" s="24"/>
      <c r="E554" s="113"/>
      <c r="F554" s="266"/>
      <c r="G554" s="113"/>
      <c r="K554" s="36"/>
      <c r="L554" s="117"/>
      <c r="N554" s="117"/>
      <c r="R554" s="117"/>
      <c r="T554" s="117"/>
      <c r="V554" s="117"/>
      <c r="X554" s="117"/>
      <c r="Y554" s="10"/>
      <c r="Z554" s="11"/>
      <c r="AA554" s="36"/>
      <c r="AB554" s="36"/>
      <c r="AC554" s="13"/>
      <c r="AD554" s="13"/>
      <c r="AE554" s="37"/>
      <c r="AF554" s="37"/>
      <c r="AG554" s="14"/>
      <c r="AH554" s="14"/>
      <c r="AI554" s="14"/>
      <c r="AZ554" s="24"/>
    </row>
    <row r="555">
      <c r="B555" s="24"/>
      <c r="E555" s="113"/>
      <c r="F555" s="266"/>
      <c r="G555" s="113"/>
      <c r="K555" s="36"/>
      <c r="L555" s="117"/>
      <c r="N555" s="117"/>
      <c r="R555" s="117"/>
      <c r="T555" s="117"/>
      <c r="V555" s="117"/>
      <c r="X555" s="117"/>
      <c r="Y555" s="10"/>
      <c r="Z555" s="11"/>
      <c r="AA555" s="36"/>
      <c r="AB555" s="36"/>
      <c r="AC555" s="13"/>
      <c r="AD555" s="13"/>
      <c r="AE555" s="37"/>
      <c r="AF555" s="37"/>
      <c r="AG555" s="14"/>
      <c r="AH555" s="14"/>
      <c r="AI555" s="14"/>
      <c r="AZ555" s="24"/>
    </row>
    <row r="556">
      <c r="B556" s="24"/>
      <c r="E556" s="113"/>
      <c r="F556" s="266"/>
      <c r="G556" s="113"/>
      <c r="K556" s="36"/>
      <c r="L556" s="117"/>
      <c r="N556" s="117"/>
      <c r="R556" s="117"/>
      <c r="T556" s="117"/>
      <c r="V556" s="117"/>
      <c r="X556" s="117"/>
      <c r="Y556" s="10"/>
      <c r="Z556" s="11"/>
      <c r="AA556" s="36"/>
      <c r="AB556" s="36"/>
      <c r="AC556" s="13"/>
      <c r="AD556" s="13"/>
      <c r="AE556" s="37"/>
      <c r="AF556" s="37"/>
      <c r="AG556" s="14"/>
      <c r="AH556" s="14"/>
      <c r="AI556" s="14"/>
      <c r="AZ556" s="24"/>
    </row>
    <row r="557">
      <c r="B557" s="24"/>
      <c r="E557" s="113"/>
      <c r="F557" s="266"/>
      <c r="G557" s="113"/>
      <c r="K557" s="36"/>
      <c r="L557" s="117"/>
      <c r="N557" s="117"/>
      <c r="R557" s="117"/>
      <c r="T557" s="117"/>
      <c r="V557" s="117"/>
      <c r="X557" s="117"/>
      <c r="Y557" s="10"/>
      <c r="Z557" s="11"/>
      <c r="AA557" s="36"/>
      <c r="AB557" s="36"/>
      <c r="AC557" s="13"/>
      <c r="AD557" s="13"/>
      <c r="AE557" s="37"/>
      <c r="AF557" s="37"/>
      <c r="AG557" s="14"/>
      <c r="AH557" s="14"/>
      <c r="AI557" s="14"/>
      <c r="AZ557" s="24"/>
    </row>
    <row r="558">
      <c r="B558" s="24"/>
      <c r="E558" s="113"/>
      <c r="F558" s="266"/>
      <c r="G558" s="113"/>
      <c r="K558" s="36"/>
      <c r="L558" s="117"/>
      <c r="N558" s="117"/>
      <c r="R558" s="117"/>
      <c r="T558" s="117"/>
      <c r="V558" s="117"/>
      <c r="X558" s="117"/>
      <c r="Y558" s="10"/>
      <c r="Z558" s="11"/>
      <c r="AA558" s="36"/>
      <c r="AB558" s="36"/>
      <c r="AC558" s="13"/>
      <c r="AD558" s="13"/>
      <c r="AE558" s="37"/>
      <c r="AF558" s="37"/>
      <c r="AG558" s="14"/>
      <c r="AH558" s="14"/>
      <c r="AI558" s="14"/>
      <c r="AZ558" s="24"/>
    </row>
    <row r="559">
      <c r="B559" s="24"/>
      <c r="E559" s="113"/>
      <c r="F559" s="266"/>
      <c r="G559" s="113"/>
      <c r="K559" s="36"/>
      <c r="L559" s="117"/>
      <c r="N559" s="117"/>
      <c r="R559" s="117"/>
      <c r="T559" s="117"/>
      <c r="V559" s="117"/>
      <c r="X559" s="117"/>
      <c r="Y559" s="10"/>
      <c r="Z559" s="11"/>
      <c r="AA559" s="36"/>
      <c r="AB559" s="36"/>
      <c r="AC559" s="13"/>
      <c r="AD559" s="13"/>
      <c r="AE559" s="37"/>
      <c r="AF559" s="37"/>
      <c r="AG559" s="14"/>
      <c r="AH559" s="14"/>
      <c r="AI559" s="14"/>
      <c r="AZ559" s="24"/>
    </row>
    <row r="560">
      <c r="B560" s="24"/>
      <c r="E560" s="113"/>
      <c r="F560" s="266"/>
      <c r="G560" s="113"/>
      <c r="K560" s="36"/>
      <c r="L560" s="117"/>
      <c r="N560" s="117"/>
      <c r="R560" s="117"/>
      <c r="T560" s="117"/>
      <c r="V560" s="117"/>
      <c r="X560" s="117"/>
      <c r="Y560" s="10"/>
      <c r="Z560" s="11"/>
      <c r="AA560" s="36"/>
      <c r="AB560" s="36"/>
      <c r="AC560" s="13"/>
      <c r="AD560" s="13"/>
      <c r="AE560" s="37"/>
      <c r="AF560" s="37"/>
      <c r="AG560" s="14"/>
      <c r="AH560" s="14"/>
      <c r="AI560" s="14"/>
      <c r="AZ560" s="24"/>
    </row>
    <row r="561">
      <c r="B561" s="24"/>
      <c r="E561" s="113"/>
      <c r="F561" s="266"/>
      <c r="G561" s="113"/>
      <c r="K561" s="36"/>
      <c r="L561" s="117"/>
      <c r="N561" s="117"/>
      <c r="R561" s="117"/>
      <c r="T561" s="117"/>
      <c r="V561" s="117"/>
      <c r="X561" s="117"/>
      <c r="Y561" s="10"/>
      <c r="Z561" s="11"/>
      <c r="AA561" s="36"/>
      <c r="AB561" s="36"/>
      <c r="AC561" s="13"/>
      <c r="AD561" s="13"/>
      <c r="AE561" s="37"/>
      <c r="AF561" s="37"/>
      <c r="AG561" s="14"/>
      <c r="AH561" s="14"/>
      <c r="AI561" s="14"/>
      <c r="AZ561" s="24"/>
    </row>
    <row r="562">
      <c r="B562" s="24"/>
      <c r="E562" s="113"/>
      <c r="F562" s="266"/>
      <c r="G562" s="113"/>
      <c r="K562" s="36"/>
      <c r="L562" s="117"/>
      <c r="N562" s="117"/>
      <c r="R562" s="117"/>
      <c r="T562" s="117"/>
      <c r="V562" s="117"/>
      <c r="X562" s="117"/>
      <c r="Y562" s="10"/>
      <c r="Z562" s="11"/>
      <c r="AA562" s="36"/>
      <c r="AB562" s="36"/>
      <c r="AC562" s="13"/>
      <c r="AD562" s="13"/>
      <c r="AE562" s="37"/>
      <c r="AF562" s="37"/>
      <c r="AG562" s="14"/>
      <c r="AH562" s="14"/>
      <c r="AI562" s="14"/>
      <c r="AZ562" s="24"/>
    </row>
    <row r="563">
      <c r="B563" s="24"/>
      <c r="E563" s="113"/>
      <c r="F563" s="266"/>
      <c r="G563" s="113"/>
      <c r="K563" s="36"/>
      <c r="L563" s="117"/>
      <c r="N563" s="117"/>
      <c r="R563" s="117"/>
      <c r="T563" s="117"/>
      <c r="V563" s="117"/>
      <c r="X563" s="117"/>
      <c r="Y563" s="10"/>
      <c r="Z563" s="11"/>
      <c r="AA563" s="36"/>
      <c r="AB563" s="36"/>
      <c r="AC563" s="13"/>
      <c r="AD563" s="13"/>
      <c r="AE563" s="37"/>
      <c r="AF563" s="37"/>
      <c r="AG563" s="14"/>
      <c r="AH563" s="14"/>
      <c r="AI563" s="14"/>
      <c r="AZ563" s="24"/>
    </row>
    <row r="564">
      <c r="B564" s="24"/>
      <c r="E564" s="113"/>
      <c r="F564" s="266"/>
      <c r="G564" s="113"/>
      <c r="K564" s="36"/>
      <c r="L564" s="117"/>
      <c r="N564" s="117"/>
      <c r="R564" s="117"/>
      <c r="T564" s="117"/>
      <c r="V564" s="117"/>
      <c r="X564" s="117"/>
      <c r="Y564" s="10"/>
      <c r="Z564" s="11"/>
      <c r="AA564" s="36"/>
      <c r="AB564" s="36"/>
      <c r="AC564" s="13"/>
      <c r="AD564" s="13"/>
      <c r="AE564" s="37"/>
      <c r="AF564" s="37"/>
      <c r="AG564" s="14"/>
      <c r="AH564" s="14"/>
      <c r="AI564" s="14"/>
      <c r="AZ564" s="24"/>
    </row>
    <row r="565">
      <c r="B565" s="24"/>
      <c r="E565" s="113"/>
      <c r="F565" s="266"/>
      <c r="G565" s="113"/>
      <c r="K565" s="36"/>
      <c r="L565" s="117"/>
      <c r="N565" s="117"/>
      <c r="R565" s="117"/>
      <c r="T565" s="117"/>
      <c r="V565" s="117"/>
      <c r="X565" s="117"/>
      <c r="Y565" s="10"/>
      <c r="Z565" s="11"/>
      <c r="AA565" s="36"/>
      <c r="AB565" s="36"/>
      <c r="AC565" s="13"/>
      <c r="AD565" s="13"/>
      <c r="AE565" s="37"/>
      <c r="AF565" s="37"/>
      <c r="AG565" s="14"/>
      <c r="AH565" s="14"/>
      <c r="AI565" s="14"/>
      <c r="AZ565" s="24"/>
    </row>
    <row r="566">
      <c r="B566" s="24"/>
      <c r="E566" s="113"/>
      <c r="F566" s="266"/>
      <c r="G566" s="113"/>
      <c r="K566" s="36"/>
      <c r="L566" s="117"/>
      <c r="N566" s="117"/>
      <c r="R566" s="117"/>
      <c r="T566" s="117"/>
      <c r="V566" s="117"/>
      <c r="X566" s="117"/>
      <c r="Y566" s="10"/>
      <c r="Z566" s="11"/>
      <c r="AA566" s="36"/>
      <c r="AB566" s="36"/>
      <c r="AC566" s="13"/>
      <c r="AD566" s="13"/>
      <c r="AE566" s="37"/>
      <c r="AF566" s="37"/>
      <c r="AG566" s="14"/>
      <c r="AH566" s="14"/>
      <c r="AI566" s="14"/>
      <c r="AZ566" s="24"/>
    </row>
    <row r="567">
      <c r="B567" s="24"/>
      <c r="E567" s="113"/>
      <c r="F567" s="266"/>
      <c r="G567" s="113"/>
      <c r="K567" s="36"/>
      <c r="L567" s="117"/>
      <c r="N567" s="117"/>
      <c r="R567" s="117"/>
      <c r="T567" s="117"/>
      <c r="V567" s="117"/>
      <c r="X567" s="117"/>
      <c r="Y567" s="10"/>
      <c r="Z567" s="11"/>
      <c r="AA567" s="36"/>
      <c r="AB567" s="36"/>
      <c r="AC567" s="13"/>
      <c r="AD567" s="13"/>
      <c r="AE567" s="37"/>
      <c r="AF567" s="37"/>
      <c r="AG567" s="14"/>
      <c r="AH567" s="14"/>
      <c r="AI567" s="14"/>
      <c r="AZ567" s="24"/>
    </row>
    <row r="568">
      <c r="B568" s="24"/>
      <c r="E568" s="113"/>
      <c r="F568" s="266"/>
      <c r="G568" s="113"/>
      <c r="K568" s="36"/>
      <c r="L568" s="117"/>
      <c r="N568" s="117"/>
      <c r="R568" s="117"/>
      <c r="T568" s="117"/>
      <c r="V568" s="117"/>
      <c r="X568" s="117"/>
      <c r="Y568" s="10"/>
      <c r="Z568" s="11"/>
      <c r="AA568" s="36"/>
      <c r="AB568" s="36"/>
      <c r="AC568" s="13"/>
      <c r="AD568" s="13"/>
      <c r="AE568" s="37"/>
      <c r="AF568" s="37"/>
      <c r="AG568" s="14"/>
      <c r="AH568" s="14"/>
      <c r="AI568" s="14"/>
      <c r="AZ568" s="24"/>
    </row>
    <row r="569">
      <c r="B569" s="24"/>
      <c r="E569" s="113"/>
      <c r="F569" s="266"/>
      <c r="G569" s="113"/>
      <c r="K569" s="36"/>
      <c r="L569" s="117"/>
      <c r="N569" s="117"/>
      <c r="R569" s="117"/>
      <c r="T569" s="117"/>
      <c r="V569" s="117"/>
      <c r="X569" s="117"/>
      <c r="Y569" s="10"/>
      <c r="Z569" s="11"/>
      <c r="AA569" s="36"/>
      <c r="AB569" s="36"/>
      <c r="AC569" s="13"/>
      <c r="AD569" s="13"/>
      <c r="AE569" s="37"/>
      <c r="AF569" s="37"/>
      <c r="AG569" s="14"/>
      <c r="AH569" s="14"/>
      <c r="AI569" s="14"/>
      <c r="AZ569" s="24"/>
    </row>
    <row r="570">
      <c r="B570" s="24"/>
      <c r="E570" s="113"/>
      <c r="F570" s="266"/>
      <c r="G570" s="113"/>
      <c r="K570" s="36"/>
      <c r="L570" s="117"/>
      <c r="N570" s="117"/>
      <c r="R570" s="117"/>
      <c r="T570" s="117"/>
      <c r="V570" s="117"/>
      <c r="X570" s="117"/>
      <c r="Y570" s="10"/>
      <c r="Z570" s="11"/>
      <c r="AA570" s="36"/>
      <c r="AB570" s="36"/>
      <c r="AC570" s="13"/>
      <c r="AD570" s="13"/>
      <c r="AE570" s="37"/>
      <c r="AF570" s="37"/>
      <c r="AG570" s="14"/>
      <c r="AH570" s="14"/>
      <c r="AI570" s="14"/>
      <c r="AZ570" s="24"/>
    </row>
    <row r="571">
      <c r="B571" s="24"/>
      <c r="E571" s="113"/>
      <c r="F571" s="266"/>
      <c r="G571" s="113"/>
      <c r="K571" s="36"/>
      <c r="L571" s="117"/>
      <c r="N571" s="117"/>
      <c r="R571" s="117"/>
      <c r="T571" s="117"/>
      <c r="V571" s="117"/>
      <c r="X571" s="117"/>
      <c r="Y571" s="10"/>
      <c r="Z571" s="11"/>
      <c r="AA571" s="36"/>
      <c r="AB571" s="36"/>
      <c r="AC571" s="13"/>
      <c r="AD571" s="13"/>
      <c r="AE571" s="37"/>
      <c r="AF571" s="37"/>
      <c r="AG571" s="14"/>
      <c r="AH571" s="14"/>
      <c r="AI571" s="14"/>
      <c r="AZ571" s="24"/>
    </row>
    <row r="572">
      <c r="B572" s="24"/>
      <c r="E572" s="113"/>
      <c r="F572" s="266"/>
      <c r="G572" s="113"/>
      <c r="K572" s="36"/>
      <c r="L572" s="117"/>
      <c r="N572" s="117"/>
      <c r="R572" s="117"/>
      <c r="T572" s="117"/>
      <c r="V572" s="117"/>
      <c r="X572" s="117"/>
      <c r="Y572" s="10"/>
      <c r="Z572" s="11"/>
      <c r="AA572" s="36"/>
      <c r="AB572" s="36"/>
      <c r="AC572" s="13"/>
      <c r="AD572" s="13"/>
      <c r="AE572" s="37"/>
      <c r="AF572" s="37"/>
      <c r="AG572" s="14"/>
      <c r="AH572" s="14"/>
      <c r="AI572" s="14"/>
      <c r="AZ572" s="24"/>
    </row>
    <row r="573">
      <c r="B573" s="24"/>
      <c r="E573" s="113"/>
      <c r="F573" s="266"/>
      <c r="G573" s="113"/>
      <c r="K573" s="36"/>
      <c r="L573" s="117"/>
      <c r="N573" s="117"/>
      <c r="R573" s="117"/>
      <c r="T573" s="117"/>
      <c r="V573" s="117"/>
      <c r="X573" s="117"/>
      <c r="Y573" s="10"/>
      <c r="Z573" s="11"/>
      <c r="AA573" s="36"/>
      <c r="AB573" s="36"/>
      <c r="AC573" s="13"/>
      <c r="AD573" s="13"/>
      <c r="AE573" s="37"/>
      <c r="AF573" s="37"/>
      <c r="AG573" s="14"/>
      <c r="AH573" s="14"/>
      <c r="AI573" s="14"/>
      <c r="AZ573" s="24"/>
    </row>
    <row r="574">
      <c r="B574" s="24"/>
      <c r="E574" s="113"/>
      <c r="F574" s="266"/>
      <c r="G574" s="113"/>
      <c r="K574" s="36"/>
      <c r="L574" s="117"/>
      <c r="N574" s="117"/>
      <c r="R574" s="117"/>
      <c r="T574" s="117"/>
      <c r="V574" s="117"/>
      <c r="X574" s="117"/>
      <c r="Y574" s="10"/>
      <c r="Z574" s="11"/>
      <c r="AA574" s="36"/>
      <c r="AB574" s="36"/>
      <c r="AC574" s="13"/>
      <c r="AD574" s="13"/>
      <c r="AE574" s="37"/>
      <c r="AF574" s="37"/>
      <c r="AG574" s="14"/>
      <c r="AH574" s="14"/>
      <c r="AI574" s="14"/>
      <c r="AZ574" s="24"/>
    </row>
    <row r="575">
      <c r="B575" s="24"/>
      <c r="E575" s="113"/>
      <c r="F575" s="266"/>
      <c r="G575" s="113"/>
      <c r="K575" s="36"/>
      <c r="L575" s="117"/>
      <c r="N575" s="117"/>
      <c r="R575" s="117"/>
      <c r="T575" s="117"/>
      <c r="V575" s="117"/>
      <c r="X575" s="117"/>
      <c r="Y575" s="10"/>
      <c r="Z575" s="11"/>
      <c r="AA575" s="36"/>
      <c r="AB575" s="36"/>
      <c r="AC575" s="13"/>
      <c r="AD575" s="13"/>
      <c r="AE575" s="37"/>
      <c r="AF575" s="37"/>
      <c r="AG575" s="14"/>
      <c r="AH575" s="14"/>
      <c r="AI575" s="14"/>
      <c r="AZ575" s="24"/>
    </row>
    <row r="576">
      <c r="B576" s="24"/>
      <c r="E576" s="113"/>
      <c r="F576" s="266"/>
      <c r="G576" s="113"/>
      <c r="K576" s="36"/>
      <c r="L576" s="117"/>
      <c r="N576" s="117"/>
      <c r="R576" s="117"/>
      <c r="T576" s="117"/>
      <c r="V576" s="117"/>
      <c r="X576" s="117"/>
      <c r="Y576" s="10"/>
      <c r="Z576" s="11"/>
      <c r="AA576" s="36"/>
      <c r="AB576" s="36"/>
      <c r="AC576" s="13"/>
      <c r="AD576" s="13"/>
      <c r="AE576" s="37"/>
      <c r="AF576" s="37"/>
      <c r="AG576" s="14"/>
      <c r="AH576" s="14"/>
      <c r="AI576" s="14"/>
      <c r="AZ576" s="24"/>
    </row>
    <row r="577">
      <c r="B577" s="24"/>
      <c r="E577" s="113"/>
      <c r="F577" s="266"/>
      <c r="G577" s="113"/>
      <c r="K577" s="36"/>
      <c r="L577" s="117"/>
      <c r="N577" s="117"/>
      <c r="R577" s="117"/>
      <c r="T577" s="117"/>
      <c r="V577" s="117"/>
      <c r="X577" s="117"/>
      <c r="Y577" s="10"/>
      <c r="Z577" s="11"/>
      <c r="AA577" s="36"/>
      <c r="AB577" s="36"/>
      <c r="AC577" s="13"/>
      <c r="AD577" s="13"/>
      <c r="AE577" s="37"/>
      <c r="AF577" s="37"/>
      <c r="AG577" s="14"/>
      <c r="AH577" s="14"/>
      <c r="AI577" s="14"/>
      <c r="AZ577" s="24"/>
    </row>
    <row r="578">
      <c r="B578" s="24"/>
      <c r="E578" s="113"/>
      <c r="F578" s="266"/>
      <c r="G578" s="113"/>
      <c r="K578" s="36"/>
      <c r="L578" s="117"/>
      <c r="N578" s="117"/>
      <c r="R578" s="117"/>
      <c r="T578" s="117"/>
      <c r="V578" s="117"/>
      <c r="X578" s="117"/>
      <c r="Y578" s="10"/>
      <c r="Z578" s="11"/>
      <c r="AA578" s="36"/>
      <c r="AB578" s="36"/>
      <c r="AC578" s="13"/>
      <c r="AD578" s="13"/>
      <c r="AE578" s="37"/>
      <c r="AF578" s="37"/>
      <c r="AG578" s="14"/>
      <c r="AH578" s="14"/>
      <c r="AI578" s="14"/>
      <c r="AZ578" s="24"/>
    </row>
    <row r="579">
      <c r="B579" s="24"/>
      <c r="E579" s="113"/>
      <c r="F579" s="266"/>
      <c r="G579" s="113"/>
      <c r="K579" s="36"/>
      <c r="L579" s="117"/>
      <c r="N579" s="117"/>
      <c r="R579" s="117"/>
      <c r="T579" s="117"/>
      <c r="V579" s="117"/>
      <c r="X579" s="117"/>
      <c r="Y579" s="10"/>
      <c r="Z579" s="11"/>
      <c r="AA579" s="36"/>
      <c r="AB579" s="36"/>
      <c r="AC579" s="13"/>
      <c r="AD579" s="13"/>
      <c r="AE579" s="37"/>
      <c r="AF579" s="37"/>
      <c r="AG579" s="14"/>
      <c r="AH579" s="14"/>
      <c r="AI579" s="14"/>
      <c r="AZ579" s="24"/>
    </row>
    <row r="580">
      <c r="B580" s="24"/>
      <c r="E580" s="113"/>
      <c r="F580" s="266"/>
      <c r="G580" s="113"/>
      <c r="K580" s="36"/>
      <c r="L580" s="117"/>
      <c r="N580" s="117"/>
      <c r="R580" s="117"/>
      <c r="T580" s="117"/>
      <c r="V580" s="117"/>
      <c r="X580" s="117"/>
      <c r="Y580" s="10"/>
      <c r="Z580" s="11"/>
      <c r="AA580" s="36"/>
      <c r="AB580" s="36"/>
      <c r="AC580" s="13"/>
      <c r="AD580" s="13"/>
      <c r="AE580" s="37"/>
      <c r="AF580" s="37"/>
      <c r="AG580" s="14"/>
      <c r="AH580" s="14"/>
      <c r="AI580" s="14"/>
      <c r="AZ580" s="24"/>
    </row>
    <row r="581">
      <c r="B581" s="24"/>
      <c r="E581" s="113"/>
      <c r="F581" s="266"/>
      <c r="G581" s="113"/>
      <c r="K581" s="36"/>
      <c r="L581" s="117"/>
      <c r="N581" s="117"/>
      <c r="R581" s="117"/>
      <c r="T581" s="117"/>
      <c r="V581" s="117"/>
      <c r="X581" s="117"/>
      <c r="Y581" s="10"/>
      <c r="Z581" s="11"/>
      <c r="AA581" s="36"/>
      <c r="AB581" s="36"/>
      <c r="AC581" s="13"/>
      <c r="AD581" s="13"/>
      <c r="AE581" s="37"/>
      <c r="AF581" s="37"/>
      <c r="AG581" s="14"/>
      <c r="AH581" s="14"/>
      <c r="AI581" s="14"/>
      <c r="AZ581" s="24"/>
    </row>
    <row r="582">
      <c r="B582" s="24"/>
      <c r="E582" s="113"/>
      <c r="F582" s="266"/>
      <c r="G582" s="113"/>
      <c r="K582" s="36"/>
      <c r="L582" s="117"/>
      <c r="N582" s="117"/>
      <c r="R582" s="117"/>
      <c r="T582" s="117"/>
      <c r="V582" s="117"/>
      <c r="X582" s="117"/>
      <c r="Y582" s="10"/>
      <c r="Z582" s="11"/>
      <c r="AA582" s="36"/>
      <c r="AB582" s="36"/>
      <c r="AC582" s="13"/>
      <c r="AD582" s="13"/>
      <c r="AE582" s="37"/>
      <c r="AF582" s="37"/>
      <c r="AG582" s="14"/>
      <c r="AH582" s="14"/>
      <c r="AI582" s="14"/>
      <c r="AZ582" s="24"/>
    </row>
    <row r="583">
      <c r="B583" s="24"/>
      <c r="E583" s="113"/>
      <c r="F583" s="266"/>
      <c r="G583" s="113"/>
      <c r="K583" s="36"/>
      <c r="L583" s="117"/>
      <c r="N583" s="117"/>
      <c r="R583" s="117"/>
      <c r="T583" s="117"/>
      <c r="V583" s="117"/>
      <c r="X583" s="117"/>
      <c r="Y583" s="10"/>
      <c r="Z583" s="11"/>
      <c r="AA583" s="36"/>
      <c r="AB583" s="36"/>
      <c r="AC583" s="13"/>
      <c r="AD583" s="13"/>
      <c r="AE583" s="37"/>
      <c r="AF583" s="37"/>
      <c r="AG583" s="14"/>
      <c r="AH583" s="14"/>
      <c r="AI583" s="14"/>
      <c r="AZ583" s="24"/>
    </row>
    <row r="584">
      <c r="B584" s="24"/>
      <c r="E584" s="113"/>
      <c r="F584" s="266"/>
      <c r="G584" s="113"/>
      <c r="K584" s="36"/>
      <c r="L584" s="117"/>
      <c r="N584" s="117"/>
      <c r="R584" s="117"/>
      <c r="T584" s="117"/>
      <c r="V584" s="117"/>
      <c r="X584" s="117"/>
      <c r="Y584" s="10"/>
      <c r="Z584" s="11"/>
      <c r="AA584" s="36"/>
      <c r="AB584" s="36"/>
      <c r="AC584" s="13"/>
      <c r="AD584" s="13"/>
      <c r="AE584" s="37"/>
      <c r="AF584" s="37"/>
      <c r="AG584" s="14"/>
      <c r="AH584" s="14"/>
      <c r="AI584" s="14"/>
      <c r="AZ584" s="24"/>
    </row>
    <row r="585">
      <c r="B585" s="24"/>
      <c r="E585" s="113"/>
      <c r="F585" s="266"/>
      <c r="G585" s="113"/>
      <c r="K585" s="36"/>
      <c r="L585" s="117"/>
      <c r="N585" s="117"/>
      <c r="R585" s="117"/>
      <c r="T585" s="117"/>
      <c r="V585" s="117"/>
      <c r="X585" s="117"/>
      <c r="Y585" s="10"/>
      <c r="Z585" s="11"/>
      <c r="AA585" s="36"/>
      <c r="AB585" s="36"/>
      <c r="AC585" s="13"/>
      <c r="AD585" s="13"/>
      <c r="AE585" s="37"/>
      <c r="AF585" s="37"/>
      <c r="AG585" s="14"/>
      <c r="AH585" s="14"/>
      <c r="AI585" s="14"/>
      <c r="AZ585" s="24"/>
    </row>
    <row r="586">
      <c r="B586" s="24"/>
      <c r="E586" s="113"/>
      <c r="F586" s="266"/>
      <c r="G586" s="113"/>
      <c r="K586" s="36"/>
      <c r="L586" s="117"/>
      <c r="N586" s="117"/>
      <c r="R586" s="117"/>
      <c r="T586" s="117"/>
      <c r="V586" s="117"/>
      <c r="X586" s="117"/>
      <c r="Y586" s="10"/>
      <c r="Z586" s="11"/>
      <c r="AA586" s="36"/>
      <c r="AB586" s="36"/>
      <c r="AC586" s="13"/>
      <c r="AD586" s="13"/>
      <c r="AE586" s="37"/>
      <c r="AF586" s="37"/>
      <c r="AG586" s="14"/>
      <c r="AH586" s="14"/>
      <c r="AI586" s="14"/>
      <c r="AZ586" s="24"/>
    </row>
    <row r="587">
      <c r="B587" s="24"/>
      <c r="E587" s="113"/>
      <c r="F587" s="266"/>
      <c r="G587" s="113"/>
      <c r="K587" s="36"/>
      <c r="L587" s="117"/>
      <c r="N587" s="117"/>
      <c r="R587" s="117"/>
      <c r="T587" s="117"/>
      <c r="V587" s="117"/>
      <c r="X587" s="117"/>
      <c r="Y587" s="10"/>
      <c r="Z587" s="11"/>
      <c r="AA587" s="36"/>
      <c r="AB587" s="36"/>
      <c r="AC587" s="13"/>
      <c r="AD587" s="13"/>
      <c r="AE587" s="37"/>
      <c r="AF587" s="37"/>
      <c r="AG587" s="14"/>
      <c r="AH587" s="14"/>
      <c r="AI587" s="14"/>
      <c r="AZ587" s="24"/>
    </row>
    <row r="588">
      <c r="B588" s="24"/>
      <c r="E588" s="113"/>
      <c r="F588" s="266"/>
      <c r="G588" s="113"/>
      <c r="K588" s="36"/>
      <c r="L588" s="117"/>
      <c r="N588" s="117"/>
      <c r="R588" s="117"/>
      <c r="T588" s="117"/>
      <c r="V588" s="117"/>
      <c r="X588" s="117"/>
      <c r="Y588" s="10"/>
      <c r="Z588" s="11"/>
      <c r="AA588" s="36"/>
      <c r="AB588" s="36"/>
      <c r="AC588" s="13"/>
      <c r="AD588" s="13"/>
      <c r="AE588" s="37"/>
      <c r="AF588" s="37"/>
      <c r="AG588" s="14"/>
      <c r="AH588" s="14"/>
      <c r="AI588" s="14"/>
      <c r="AZ588" s="24"/>
    </row>
    <row r="589">
      <c r="B589" s="24"/>
      <c r="E589" s="113"/>
      <c r="F589" s="266"/>
      <c r="G589" s="113"/>
      <c r="K589" s="36"/>
      <c r="L589" s="117"/>
      <c r="N589" s="117"/>
      <c r="R589" s="117"/>
      <c r="T589" s="117"/>
      <c r="V589" s="117"/>
      <c r="X589" s="117"/>
      <c r="Y589" s="10"/>
      <c r="Z589" s="11"/>
      <c r="AA589" s="36"/>
      <c r="AB589" s="36"/>
      <c r="AC589" s="13"/>
      <c r="AD589" s="13"/>
      <c r="AE589" s="37"/>
      <c r="AF589" s="37"/>
      <c r="AG589" s="14"/>
      <c r="AH589" s="14"/>
      <c r="AI589" s="14"/>
      <c r="AZ589" s="24"/>
    </row>
    <row r="590">
      <c r="B590" s="24"/>
      <c r="E590" s="113"/>
      <c r="F590" s="266"/>
      <c r="G590" s="113"/>
      <c r="K590" s="36"/>
      <c r="L590" s="117"/>
      <c r="N590" s="117"/>
      <c r="R590" s="117"/>
      <c r="T590" s="117"/>
      <c r="V590" s="117"/>
      <c r="X590" s="117"/>
      <c r="Y590" s="10"/>
      <c r="Z590" s="11"/>
      <c r="AA590" s="36"/>
      <c r="AB590" s="36"/>
      <c r="AC590" s="13"/>
      <c r="AD590" s="13"/>
      <c r="AE590" s="37"/>
      <c r="AF590" s="37"/>
      <c r="AG590" s="14"/>
      <c r="AH590" s="14"/>
      <c r="AI590" s="14"/>
      <c r="AZ590" s="24"/>
    </row>
    <row r="591">
      <c r="B591" s="24"/>
      <c r="E591" s="113"/>
      <c r="F591" s="266"/>
      <c r="G591" s="113"/>
      <c r="K591" s="36"/>
      <c r="L591" s="117"/>
      <c r="N591" s="117"/>
      <c r="R591" s="117"/>
      <c r="T591" s="117"/>
      <c r="V591" s="117"/>
      <c r="X591" s="117"/>
      <c r="Y591" s="10"/>
      <c r="Z591" s="11"/>
      <c r="AA591" s="36"/>
      <c r="AB591" s="36"/>
      <c r="AC591" s="13"/>
      <c r="AD591" s="13"/>
      <c r="AE591" s="37"/>
      <c r="AF591" s="37"/>
      <c r="AG591" s="14"/>
      <c r="AH591" s="14"/>
      <c r="AI591" s="14"/>
      <c r="AZ591" s="24"/>
    </row>
    <row r="592">
      <c r="B592" s="24"/>
      <c r="E592" s="113"/>
      <c r="F592" s="266"/>
      <c r="G592" s="113"/>
      <c r="K592" s="36"/>
      <c r="L592" s="117"/>
      <c r="N592" s="117"/>
      <c r="R592" s="117"/>
      <c r="T592" s="117"/>
      <c r="V592" s="117"/>
      <c r="X592" s="117"/>
      <c r="Y592" s="10"/>
      <c r="Z592" s="11"/>
      <c r="AA592" s="36"/>
      <c r="AB592" s="36"/>
      <c r="AC592" s="13"/>
      <c r="AD592" s="13"/>
      <c r="AE592" s="37"/>
      <c r="AF592" s="37"/>
      <c r="AG592" s="14"/>
      <c r="AH592" s="14"/>
      <c r="AI592" s="14"/>
      <c r="AZ592" s="24"/>
    </row>
    <row r="593">
      <c r="B593" s="24"/>
      <c r="E593" s="113"/>
      <c r="F593" s="266"/>
      <c r="G593" s="113"/>
      <c r="K593" s="36"/>
      <c r="L593" s="117"/>
      <c r="N593" s="117"/>
      <c r="R593" s="117"/>
      <c r="T593" s="117"/>
      <c r="V593" s="117"/>
      <c r="X593" s="117"/>
      <c r="Y593" s="10"/>
      <c r="Z593" s="11"/>
      <c r="AA593" s="36"/>
      <c r="AB593" s="36"/>
      <c r="AC593" s="13"/>
      <c r="AD593" s="13"/>
      <c r="AE593" s="37"/>
      <c r="AF593" s="37"/>
      <c r="AG593" s="14"/>
      <c r="AH593" s="14"/>
      <c r="AI593" s="14"/>
      <c r="AZ593" s="24"/>
    </row>
    <row r="594">
      <c r="B594" s="24"/>
      <c r="E594" s="113"/>
      <c r="F594" s="266"/>
      <c r="G594" s="113"/>
      <c r="K594" s="36"/>
      <c r="L594" s="117"/>
      <c r="N594" s="117"/>
      <c r="R594" s="117"/>
      <c r="T594" s="117"/>
      <c r="V594" s="117"/>
      <c r="X594" s="117"/>
      <c r="Y594" s="10"/>
      <c r="Z594" s="11"/>
      <c r="AA594" s="36"/>
      <c r="AB594" s="36"/>
      <c r="AC594" s="13"/>
      <c r="AD594" s="13"/>
      <c r="AE594" s="37"/>
      <c r="AF594" s="37"/>
      <c r="AG594" s="14"/>
      <c r="AH594" s="14"/>
      <c r="AI594" s="14"/>
      <c r="AZ594" s="24"/>
    </row>
    <row r="595">
      <c r="B595" s="24"/>
      <c r="E595" s="113"/>
      <c r="F595" s="266"/>
      <c r="G595" s="113"/>
      <c r="K595" s="36"/>
      <c r="L595" s="117"/>
      <c r="N595" s="117"/>
      <c r="R595" s="117"/>
      <c r="T595" s="117"/>
      <c r="V595" s="117"/>
      <c r="X595" s="117"/>
      <c r="Y595" s="10"/>
      <c r="Z595" s="11"/>
      <c r="AA595" s="36"/>
      <c r="AB595" s="36"/>
      <c r="AC595" s="13"/>
      <c r="AD595" s="13"/>
      <c r="AE595" s="37"/>
      <c r="AF595" s="37"/>
      <c r="AG595" s="14"/>
      <c r="AH595" s="14"/>
      <c r="AI595" s="14"/>
      <c r="AZ595" s="24"/>
    </row>
    <row r="596">
      <c r="B596" s="24"/>
      <c r="E596" s="113"/>
      <c r="F596" s="266"/>
      <c r="G596" s="113"/>
      <c r="K596" s="36"/>
      <c r="L596" s="117"/>
      <c r="N596" s="117"/>
      <c r="R596" s="117"/>
      <c r="T596" s="117"/>
      <c r="V596" s="117"/>
      <c r="X596" s="117"/>
      <c r="Y596" s="10"/>
      <c r="Z596" s="11"/>
      <c r="AA596" s="36"/>
      <c r="AB596" s="36"/>
      <c r="AC596" s="13"/>
      <c r="AD596" s="13"/>
      <c r="AE596" s="37"/>
      <c r="AF596" s="37"/>
      <c r="AG596" s="14"/>
      <c r="AH596" s="14"/>
      <c r="AI596" s="14"/>
      <c r="AZ596" s="24"/>
    </row>
    <row r="597">
      <c r="B597" s="24"/>
      <c r="E597" s="113"/>
      <c r="F597" s="266"/>
      <c r="G597" s="113"/>
      <c r="K597" s="36"/>
      <c r="L597" s="117"/>
      <c r="N597" s="117"/>
      <c r="R597" s="117"/>
      <c r="T597" s="117"/>
      <c r="V597" s="117"/>
      <c r="X597" s="117"/>
      <c r="Y597" s="10"/>
      <c r="Z597" s="11"/>
      <c r="AA597" s="36"/>
      <c r="AB597" s="36"/>
      <c r="AC597" s="13"/>
      <c r="AD597" s="13"/>
      <c r="AE597" s="37"/>
      <c r="AF597" s="37"/>
      <c r="AG597" s="14"/>
      <c r="AH597" s="14"/>
      <c r="AI597" s="14"/>
      <c r="AZ597" s="24"/>
    </row>
    <row r="598">
      <c r="B598" s="24"/>
      <c r="E598" s="113"/>
      <c r="F598" s="266"/>
      <c r="G598" s="113"/>
      <c r="K598" s="36"/>
      <c r="L598" s="117"/>
      <c r="N598" s="117"/>
      <c r="R598" s="117"/>
      <c r="T598" s="117"/>
      <c r="V598" s="117"/>
      <c r="X598" s="117"/>
      <c r="Y598" s="10"/>
      <c r="Z598" s="11"/>
      <c r="AA598" s="36"/>
      <c r="AB598" s="36"/>
      <c r="AC598" s="13"/>
      <c r="AD598" s="13"/>
      <c r="AE598" s="37"/>
      <c r="AF598" s="37"/>
      <c r="AG598" s="14"/>
      <c r="AH598" s="14"/>
      <c r="AI598" s="14"/>
      <c r="AZ598" s="24"/>
    </row>
    <row r="599">
      <c r="B599" s="24"/>
      <c r="E599" s="113"/>
      <c r="F599" s="266"/>
      <c r="G599" s="113"/>
      <c r="K599" s="36"/>
      <c r="L599" s="117"/>
      <c r="N599" s="117"/>
      <c r="R599" s="117"/>
      <c r="T599" s="117"/>
      <c r="V599" s="117"/>
      <c r="X599" s="117"/>
      <c r="Y599" s="10"/>
      <c r="Z599" s="11"/>
      <c r="AA599" s="36"/>
      <c r="AB599" s="36"/>
      <c r="AC599" s="13"/>
      <c r="AD599" s="13"/>
      <c r="AE599" s="37"/>
      <c r="AF599" s="37"/>
      <c r="AG599" s="14"/>
      <c r="AH599" s="14"/>
      <c r="AI599" s="14"/>
      <c r="AZ599" s="24"/>
    </row>
    <row r="600">
      <c r="B600" s="24"/>
      <c r="E600" s="113"/>
      <c r="F600" s="266"/>
      <c r="G600" s="113"/>
      <c r="K600" s="36"/>
      <c r="L600" s="117"/>
      <c r="N600" s="117"/>
      <c r="R600" s="117"/>
      <c r="T600" s="117"/>
      <c r="V600" s="117"/>
      <c r="X600" s="117"/>
      <c r="Y600" s="10"/>
      <c r="Z600" s="11"/>
      <c r="AA600" s="36"/>
      <c r="AB600" s="36"/>
      <c r="AC600" s="13"/>
      <c r="AD600" s="13"/>
      <c r="AE600" s="37"/>
      <c r="AF600" s="37"/>
      <c r="AG600" s="14"/>
      <c r="AH600" s="14"/>
      <c r="AI600" s="14"/>
      <c r="AZ600" s="24"/>
    </row>
    <row r="601">
      <c r="B601" s="24"/>
      <c r="E601" s="113"/>
      <c r="F601" s="266"/>
      <c r="G601" s="113"/>
      <c r="K601" s="36"/>
      <c r="L601" s="117"/>
      <c r="N601" s="117"/>
      <c r="R601" s="117"/>
      <c r="T601" s="117"/>
      <c r="V601" s="117"/>
      <c r="X601" s="117"/>
      <c r="Y601" s="10"/>
      <c r="Z601" s="11"/>
      <c r="AA601" s="36"/>
      <c r="AB601" s="36"/>
      <c r="AC601" s="13"/>
      <c r="AD601" s="13"/>
      <c r="AE601" s="37"/>
      <c r="AF601" s="37"/>
      <c r="AG601" s="14"/>
      <c r="AH601" s="14"/>
      <c r="AI601" s="14"/>
      <c r="AZ601" s="24"/>
    </row>
    <row r="602">
      <c r="B602" s="24"/>
      <c r="E602" s="113"/>
      <c r="F602" s="266"/>
      <c r="G602" s="113"/>
      <c r="K602" s="36"/>
      <c r="L602" s="117"/>
      <c r="N602" s="117"/>
      <c r="R602" s="117"/>
      <c r="T602" s="117"/>
      <c r="V602" s="117"/>
      <c r="X602" s="117"/>
      <c r="Y602" s="10"/>
      <c r="Z602" s="11"/>
      <c r="AA602" s="36"/>
      <c r="AB602" s="36"/>
      <c r="AC602" s="13"/>
      <c r="AD602" s="13"/>
      <c r="AE602" s="37"/>
      <c r="AF602" s="37"/>
      <c r="AG602" s="14"/>
      <c r="AH602" s="14"/>
      <c r="AI602" s="14"/>
      <c r="AZ602" s="24"/>
    </row>
    <row r="603">
      <c r="B603" s="24"/>
      <c r="E603" s="113"/>
      <c r="F603" s="266"/>
      <c r="G603" s="113"/>
      <c r="K603" s="36"/>
      <c r="L603" s="117"/>
      <c r="N603" s="117"/>
      <c r="R603" s="117"/>
      <c r="T603" s="117"/>
      <c r="V603" s="117"/>
      <c r="X603" s="117"/>
      <c r="Y603" s="10"/>
      <c r="Z603" s="11"/>
      <c r="AA603" s="36"/>
      <c r="AB603" s="36"/>
      <c r="AC603" s="13"/>
      <c r="AD603" s="13"/>
      <c r="AE603" s="37"/>
      <c r="AF603" s="37"/>
      <c r="AG603" s="14"/>
      <c r="AH603" s="14"/>
      <c r="AI603" s="14"/>
      <c r="AZ603" s="24"/>
    </row>
    <row r="604">
      <c r="B604" s="24"/>
      <c r="E604" s="113"/>
      <c r="F604" s="266"/>
      <c r="G604" s="113"/>
      <c r="K604" s="36"/>
      <c r="L604" s="117"/>
      <c r="N604" s="117"/>
      <c r="R604" s="117"/>
      <c r="T604" s="117"/>
      <c r="V604" s="117"/>
      <c r="X604" s="117"/>
      <c r="Y604" s="10"/>
      <c r="Z604" s="11"/>
      <c r="AA604" s="36"/>
      <c r="AB604" s="36"/>
      <c r="AC604" s="13"/>
      <c r="AD604" s="13"/>
      <c r="AE604" s="37"/>
      <c r="AF604" s="37"/>
      <c r="AG604" s="14"/>
      <c r="AH604" s="14"/>
      <c r="AI604" s="14"/>
      <c r="AZ604" s="24"/>
    </row>
    <row r="605">
      <c r="B605" s="24"/>
      <c r="E605" s="113"/>
      <c r="F605" s="266"/>
      <c r="G605" s="113"/>
      <c r="K605" s="36"/>
      <c r="L605" s="117"/>
      <c r="N605" s="117"/>
      <c r="R605" s="117"/>
      <c r="T605" s="117"/>
      <c r="V605" s="117"/>
      <c r="X605" s="117"/>
      <c r="Y605" s="10"/>
      <c r="Z605" s="11"/>
      <c r="AA605" s="36"/>
      <c r="AB605" s="36"/>
      <c r="AC605" s="13"/>
      <c r="AD605" s="13"/>
      <c r="AE605" s="37"/>
      <c r="AF605" s="37"/>
      <c r="AG605" s="14"/>
      <c r="AH605" s="14"/>
      <c r="AI605" s="14"/>
      <c r="AZ605" s="24"/>
    </row>
    <row r="606">
      <c r="B606" s="24"/>
      <c r="E606" s="113"/>
      <c r="F606" s="266"/>
      <c r="G606" s="113"/>
      <c r="K606" s="36"/>
      <c r="L606" s="117"/>
      <c r="N606" s="117"/>
      <c r="R606" s="117"/>
      <c r="T606" s="117"/>
      <c r="V606" s="117"/>
      <c r="X606" s="117"/>
      <c r="Y606" s="10"/>
      <c r="Z606" s="11"/>
      <c r="AA606" s="36"/>
      <c r="AB606" s="36"/>
      <c r="AC606" s="13"/>
      <c r="AD606" s="13"/>
      <c r="AE606" s="37"/>
      <c r="AF606" s="37"/>
      <c r="AG606" s="14"/>
      <c r="AH606" s="14"/>
      <c r="AI606" s="14"/>
      <c r="AZ606" s="24"/>
    </row>
    <row r="607">
      <c r="B607" s="24"/>
      <c r="E607" s="113"/>
      <c r="F607" s="266"/>
      <c r="G607" s="113"/>
      <c r="K607" s="36"/>
      <c r="L607" s="117"/>
      <c r="N607" s="117"/>
      <c r="R607" s="117"/>
      <c r="T607" s="117"/>
      <c r="V607" s="117"/>
      <c r="X607" s="117"/>
      <c r="Y607" s="10"/>
      <c r="Z607" s="11"/>
      <c r="AA607" s="36"/>
      <c r="AB607" s="36"/>
      <c r="AC607" s="13"/>
      <c r="AD607" s="13"/>
      <c r="AE607" s="37"/>
      <c r="AF607" s="37"/>
      <c r="AG607" s="14"/>
      <c r="AH607" s="14"/>
      <c r="AI607" s="14"/>
      <c r="AZ607" s="24"/>
    </row>
    <row r="608">
      <c r="B608" s="24"/>
      <c r="E608" s="113"/>
      <c r="F608" s="266"/>
      <c r="G608" s="113"/>
      <c r="K608" s="36"/>
      <c r="L608" s="117"/>
      <c r="N608" s="117"/>
      <c r="R608" s="117"/>
      <c r="T608" s="117"/>
      <c r="V608" s="117"/>
      <c r="X608" s="117"/>
      <c r="Y608" s="10"/>
      <c r="Z608" s="11"/>
      <c r="AA608" s="36"/>
      <c r="AB608" s="36"/>
      <c r="AC608" s="13"/>
      <c r="AD608" s="13"/>
      <c r="AE608" s="37"/>
      <c r="AF608" s="37"/>
      <c r="AG608" s="14"/>
      <c r="AH608" s="14"/>
      <c r="AI608" s="14"/>
      <c r="AZ608" s="24"/>
    </row>
    <row r="609">
      <c r="B609" s="24"/>
      <c r="E609" s="113"/>
      <c r="F609" s="266"/>
      <c r="G609" s="113"/>
      <c r="K609" s="36"/>
      <c r="L609" s="117"/>
      <c r="N609" s="117"/>
      <c r="R609" s="117"/>
      <c r="T609" s="117"/>
      <c r="V609" s="117"/>
      <c r="X609" s="117"/>
      <c r="Y609" s="10"/>
      <c r="Z609" s="11"/>
      <c r="AA609" s="36"/>
      <c r="AB609" s="36"/>
      <c r="AC609" s="13"/>
      <c r="AD609" s="13"/>
      <c r="AE609" s="37"/>
      <c r="AF609" s="37"/>
      <c r="AG609" s="14"/>
      <c r="AH609" s="14"/>
      <c r="AI609" s="14"/>
      <c r="AZ609" s="24"/>
    </row>
    <row r="610">
      <c r="B610" s="24"/>
      <c r="E610" s="113"/>
      <c r="F610" s="266"/>
      <c r="G610" s="113"/>
      <c r="K610" s="36"/>
      <c r="L610" s="117"/>
      <c r="N610" s="117"/>
      <c r="R610" s="117"/>
      <c r="T610" s="117"/>
      <c r="V610" s="117"/>
      <c r="X610" s="117"/>
      <c r="Y610" s="10"/>
      <c r="Z610" s="11"/>
      <c r="AA610" s="36"/>
      <c r="AB610" s="36"/>
      <c r="AC610" s="13"/>
      <c r="AD610" s="13"/>
      <c r="AE610" s="37"/>
      <c r="AF610" s="37"/>
      <c r="AG610" s="14"/>
      <c r="AH610" s="14"/>
      <c r="AI610" s="14"/>
      <c r="AZ610" s="24"/>
    </row>
    <row r="611">
      <c r="B611" s="24"/>
      <c r="E611" s="113"/>
      <c r="F611" s="266"/>
      <c r="G611" s="113"/>
      <c r="K611" s="36"/>
      <c r="L611" s="117"/>
      <c r="N611" s="117"/>
      <c r="R611" s="117"/>
      <c r="T611" s="117"/>
      <c r="V611" s="117"/>
      <c r="X611" s="117"/>
      <c r="Y611" s="10"/>
      <c r="Z611" s="11"/>
      <c r="AA611" s="36"/>
      <c r="AB611" s="36"/>
      <c r="AC611" s="13"/>
      <c r="AD611" s="13"/>
      <c r="AE611" s="37"/>
      <c r="AF611" s="37"/>
      <c r="AG611" s="14"/>
      <c r="AH611" s="14"/>
      <c r="AI611" s="14"/>
      <c r="AZ611" s="24"/>
    </row>
    <row r="612">
      <c r="B612" s="24"/>
      <c r="E612" s="113"/>
      <c r="F612" s="266"/>
      <c r="G612" s="113"/>
      <c r="K612" s="36"/>
      <c r="L612" s="117"/>
      <c r="N612" s="117"/>
      <c r="R612" s="117"/>
      <c r="T612" s="117"/>
      <c r="V612" s="117"/>
      <c r="X612" s="117"/>
      <c r="Y612" s="10"/>
      <c r="Z612" s="11"/>
      <c r="AA612" s="36"/>
      <c r="AB612" s="36"/>
      <c r="AC612" s="13"/>
      <c r="AD612" s="13"/>
      <c r="AE612" s="37"/>
      <c r="AF612" s="37"/>
      <c r="AG612" s="14"/>
      <c r="AH612" s="14"/>
      <c r="AI612" s="14"/>
      <c r="AZ612" s="24"/>
    </row>
    <row r="613">
      <c r="B613" s="24"/>
      <c r="E613" s="113"/>
      <c r="F613" s="266"/>
      <c r="G613" s="113"/>
      <c r="K613" s="36"/>
      <c r="L613" s="117"/>
      <c r="N613" s="117"/>
      <c r="R613" s="117"/>
      <c r="T613" s="117"/>
      <c r="V613" s="117"/>
      <c r="X613" s="117"/>
      <c r="Y613" s="10"/>
      <c r="Z613" s="11"/>
      <c r="AA613" s="36"/>
      <c r="AB613" s="36"/>
      <c r="AC613" s="13"/>
      <c r="AD613" s="13"/>
      <c r="AE613" s="37"/>
      <c r="AF613" s="37"/>
      <c r="AG613" s="14"/>
      <c r="AH613" s="14"/>
      <c r="AI613" s="14"/>
      <c r="AZ613" s="24"/>
    </row>
    <row r="614">
      <c r="B614" s="24"/>
      <c r="E614" s="113"/>
      <c r="F614" s="266"/>
      <c r="G614" s="113"/>
      <c r="K614" s="36"/>
      <c r="L614" s="117"/>
      <c r="N614" s="117"/>
      <c r="R614" s="117"/>
      <c r="T614" s="117"/>
      <c r="V614" s="117"/>
      <c r="X614" s="117"/>
      <c r="Y614" s="10"/>
      <c r="Z614" s="11"/>
      <c r="AA614" s="36"/>
      <c r="AB614" s="36"/>
      <c r="AC614" s="13"/>
      <c r="AD614" s="13"/>
      <c r="AE614" s="37"/>
      <c r="AF614" s="37"/>
      <c r="AG614" s="14"/>
      <c r="AH614" s="14"/>
      <c r="AI614" s="14"/>
      <c r="AZ614" s="24"/>
    </row>
    <row r="615">
      <c r="B615" s="24"/>
      <c r="E615" s="113"/>
      <c r="F615" s="266"/>
      <c r="G615" s="113"/>
      <c r="K615" s="36"/>
      <c r="L615" s="117"/>
      <c r="N615" s="117"/>
      <c r="R615" s="117"/>
      <c r="T615" s="117"/>
      <c r="V615" s="117"/>
      <c r="X615" s="117"/>
      <c r="Y615" s="10"/>
      <c r="Z615" s="11"/>
      <c r="AA615" s="36"/>
      <c r="AB615" s="36"/>
      <c r="AC615" s="13"/>
      <c r="AD615" s="13"/>
      <c r="AE615" s="37"/>
      <c r="AF615" s="37"/>
      <c r="AG615" s="14"/>
      <c r="AH615" s="14"/>
      <c r="AI615" s="14"/>
      <c r="AZ615" s="24"/>
    </row>
    <row r="616">
      <c r="B616" s="24"/>
      <c r="E616" s="113"/>
      <c r="F616" s="266"/>
      <c r="G616" s="113"/>
      <c r="K616" s="36"/>
      <c r="L616" s="117"/>
      <c r="N616" s="117"/>
      <c r="R616" s="117"/>
      <c r="T616" s="117"/>
      <c r="V616" s="117"/>
      <c r="X616" s="117"/>
      <c r="Y616" s="10"/>
      <c r="Z616" s="11"/>
      <c r="AA616" s="36"/>
      <c r="AB616" s="36"/>
      <c r="AC616" s="13"/>
      <c r="AD616" s="13"/>
      <c r="AE616" s="37"/>
      <c r="AF616" s="37"/>
      <c r="AG616" s="14"/>
      <c r="AH616" s="14"/>
      <c r="AI616" s="14"/>
      <c r="AZ616" s="24"/>
    </row>
    <row r="617">
      <c r="B617" s="24"/>
      <c r="E617" s="113"/>
      <c r="F617" s="266"/>
      <c r="G617" s="113"/>
      <c r="K617" s="36"/>
      <c r="L617" s="117"/>
      <c r="N617" s="117"/>
      <c r="R617" s="117"/>
      <c r="T617" s="117"/>
      <c r="V617" s="117"/>
      <c r="X617" s="117"/>
      <c r="Y617" s="10"/>
      <c r="Z617" s="11"/>
      <c r="AA617" s="36"/>
      <c r="AB617" s="36"/>
      <c r="AC617" s="13"/>
      <c r="AD617" s="13"/>
      <c r="AE617" s="37"/>
      <c r="AF617" s="37"/>
      <c r="AG617" s="14"/>
      <c r="AH617" s="14"/>
      <c r="AI617" s="14"/>
      <c r="AZ617" s="24"/>
    </row>
    <row r="618">
      <c r="B618" s="24"/>
      <c r="E618" s="113"/>
      <c r="F618" s="266"/>
      <c r="G618" s="113"/>
      <c r="K618" s="36"/>
      <c r="L618" s="117"/>
      <c r="N618" s="117"/>
      <c r="R618" s="117"/>
      <c r="T618" s="117"/>
      <c r="V618" s="117"/>
      <c r="X618" s="117"/>
      <c r="Y618" s="10"/>
      <c r="Z618" s="11"/>
      <c r="AA618" s="36"/>
      <c r="AB618" s="36"/>
      <c r="AC618" s="13"/>
      <c r="AD618" s="13"/>
      <c r="AE618" s="37"/>
      <c r="AF618" s="37"/>
      <c r="AG618" s="14"/>
      <c r="AH618" s="14"/>
      <c r="AI618" s="14"/>
      <c r="AZ618" s="24"/>
    </row>
    <row r="619">
      <c r="B619" s="24"/>
      <c r="E619" s="113"/>
      <c r="F619" s="266"/>
      <c r="G619" s="113"/>
      <c r="K619" s="36"/>
      <c r="L619" s="117"/>
      <c r="N619" s="117"/>
      <c r="R619" s="117"/>
      <c r="T619" s="117"/>
      <c r="V619" s="117"/>
      <c r="X619" s="117"/>
      <c r="Y619" s="10"/>
      <c r="Z619" s="11"/>
      <c r="AA619" s="36"/>
      <c r="AB619" s="36"/>
      <c r="AC619" s="13"/>
      <c r="AD619" s="13"/>
      <c r="AE619" s="37"/>
      <c r="AF619" s="37"/>
      <c r="AG619" s="14"/>
      <c r="AH619" s="14"/>
      <c r="AI619" s="14"/>
      <c r="AZ619" s="24"/>
    </row>
    <row r="620">
      <c r="B620" s="24"/>
      <c r="E620" s="113"/>
      <c r="F620" s="266"/>
      <c r="G620" s="113"/>
      <c r="K620" s="36"/>
      <c r="L620" s="117"/>
      <c r="N620" s="117"/>
      <c r="R620" s="117"/>
      <c r="T620" s="117"/>
      <c r="V620" s="117"/>
      <c r="X620" s="117"/>
      <c r="Y620" s="10"/>
      <c r="Z620" s="11"/>
      <c r="AA620" s="36"/>
      <c r="AB620" s="36"/>
      <c r="AC620" s="13"/>
      <c r="AD620" s="13"/>
      <c r="AE620" s="37"/>
      <c r="AF620" s="37"/>
      <c r="AG620" s="14"/>
      <c r="AH620" s="14"/>
      <c r="AI620" s="14"/>
      <c r="AZ620" s="24"/>
    </row>
    <row r="621">
      <c r="B621" s="24"/>
      <c r="E621" s="113"/>
      <c r="F621" s="266"/>
      <c r="G621" s="113"/>
      <c r="K621" s="36"/>
      <c r="L621" s="117"/>
      <c r="N621" s="117"/>
      <c r="R621" s="117"/>
      <c r="T621" s="117"/>
      <c r="V621" s="117"/>
      <c r="X621" s="117"/>
      <c r="Y621" s="10"/>
      <c r="Z621" s="11"/>
      <c r="AA621" s="36"/>
      <c r="AB621" s="36"/>
      <c r="AC621" s="13"/>
      <c r="AD621" s="13"/>
      <c r="AE621" s="37"/>
      <c r="AF621" s="37"/>
      <c r="AG621" s="14"/>
      <c r="AH621" s="14"/>
      <c r="AI621" s="14"/>
      <c r="AZ621" s="24"/>
    </row>
    <row r="622">
      <c r="B622" s="24"/>
      <c r="E622" s="113"/>
      <c r="F622" s="266"/>
      <c r="G622" s="113"/>
      <c r="K622" s="36"/>
      <c r="L622" s="117"/>
      <c r="N622" s="117"/>
      <c r="R622" s="117"/>
      <c r="T622" s="117"/>
      <c r="V622" s="117"/>
      <c r="X622" s="117"/>
      <c r="Y622" s="10"/>
      <c r="Z622" s="11"/>
      <c r="AA622" s="36"/>
      <c r="AB622" s="36"/>
      <c r="AC622" s="13"/>
      <c r="AD622" s="13"/>
      <c r="AE622" s="37"/>
      <c r="AF622" s="37"/>
      <c r="AG622" s="14"/>
      <c r="AH622" s="14"/>
      <c r="AI622" s="14"/>
      <c r="AZ622" s="24"/>
    </row>
    <row r="623">
      <c r="B623" s="24"/>
      <c r="E623" s="113"/>
      <c r="F623" s="266"/>
      <c r="G623" s="113"/>
      <c r="K623" s="36"/>
      <c r="L623" s="117"/>
      <c r="N623" s="117"/>
      <c r="R623" s="117"/>
      <c r="T623" s="117"/>
      <c r="V623" s="117"/>
      <c r="X623" s="117"/>
      <c r="Y623" s="10"/>
      <c r="Z623" s="11"/>
      <c r="AA623" s="36"/>
      <c r="AB623" s="36"/>
      <c r="AC623" s="13"/>
      <c r="AD623" s="13"/>
      <c r="AE623" s="37"/>
      <c r="AF623" s="37"/>
      <c r="AG623" s="14"/>
      <c r="AH623" s="14"/>
      <c r="AI623" s="14"/>
      <c r="AZ623" s="24"/>
    </row>
    <row r="624">
      <c r="B624" s="24"/>
      <c r="E624" s="113"/>
      <c r="F624" s="266"/>
      <c r="G624" s="113"/>
      <c r="K624" s="36"/>
      <c r="L624" s="117"/>
      <c r="N624" s="117"/>
      <c r="R624" s="117"/>
      <c r="T624" s="117"/>
      <c r="V624" s="117"/>
      <c r="X624" s="117"/>
      <c r="Y624" s="10"/>
      <c r="Z624" s="11"/>
      <c r="AA624" s="36"/>
      <c r="AB624" s="36"/>
      <c r="AC624" s="13"/>
      <c r="AD624" s="13"/>
      <c r="AE624" s="37"/>
      <c r="AF624" s="37"/>
      <c r="AG624" s="14"/>
      <c r="AH624" s="14"/>
      <c r="AI624" s="14"/>
      <c r="AZ624" s="24"/>
    </row>
    <row r="625">
      <c r="B625" s="24"/>
      <c r="E625" s="113"/>
      <c r="F625" s="266"/>
      <c r="G625" s="113"/>
      <c r="K625" s="36"/>
      <c r="L625" s="117"/>
      <c r="N625" s="117"/>
      <c r="R625" s="117"/>
      <c r="T625" s="117"/>
      <c r="V625" s="117"/>
      <c r="X625" s="117"/>
      <c r="Y625" s="10"/>
      <c r="Z625" s="11"/>
      <c r="AA625" s="36"/>
      <c r="AB625" s="36"/>
      <c r="AC625" s="13"/>
      <c r="AD625" s="13"/>
      <c r="AE625" s="37"/>
      <c r="AF625" s="37"/>
      <c r="AG625" s="14"/>
      <c r="AH625" s="14"/>
      <c r="AI625" s="14"/>
      <c r="AZ625" s="24"/>
    </row>
    <row r="626">
      <c r="B626" s="24"/>
      <c r="E626" s="113"/>
      <c r="F626" s="266"/>
      <c r="G626" s="113"/>
      <c r="K626" s="36"/>
      <c r="L626" s="117"/>
      <c r="N626" s="117"/>
      <c r="R626" s="117"/>
      <c r="T626" s="117"/>
      <c r="V626" s="117"/>
      <c r="X626" s="117"/>
      <c r="Y626" s="10"/>
      <c r="Z626" s="11"/>
      <c r="AA626" s="36"/>
      <c r="AB626" s="36"/>
      <c r="AC626" s="13"/>
      <c r="AD626" s="13"/>
      <c r="AE626" s="37"/>
      <c r="AF626" s="37"/>
      <c r="AG626" s="14"/>
      <c r="AH626" s="14"/>
      <c r="AI626" s="14"/>
      <c r="AZ626" s="24"/>
    </row>
    <row r="627">
      <c r="B627" s="24"/>
      <c r="E627" s="113"/>
      <c r="F627" s="266"/>
      <c r="G627" s="113"/>
      <c r="K627" s="36"/>
      <c r="L627" s="117"/>
      <c r="N627" s="117"/>
      <c r="R627" s="117"/>
      <c r="T627" s="117"/>
      <c r="V627" s="117"/>
      <c r="X627" s="117"/>
      <c r="Y627" s="10"/>
      <c r="Z627" s="11"/>
      <c r="AA627" s="36"/>
      <c r="AB627" s="36"/>
      <c r="AC627" s="13"/>
      <c r="AD627" s="13"/>
      <c r="AE627" s="37"/>
      <c r="AF627" s="37"/>
      <c r="AG627" s="14"/>
      <c r="AH627" s="14"/>
      <c r="AI627" s="14"/>
      <c r="AZ627" s="24"/>
    </row>
    <row r="628">
      <c r="B628" s="24"/>
      <c r="E628" s="113"/>
      <c r="F628" s="266"/>
      <c r="G628" s="113"/>
      <c r="K628" s="36"/>
      <c r="L628" s="117"/>
      <c r="N628" s="117"/>
      <c r="R628" s="117"/>
      <c r="T628" s="117"/>
      <c r="V628" s="117"/>
      <c r="X628" s="117"/>
      <c r="Y628" s="10"/>
      <c r="Z628" s="11"/>
      <c r="AA628" s="36"/>
      <c r="AB628" s="36"/>
      <c r="AC628" s="13"/>
      <c r="AD628" s="13"/>
      <c r="AE628" s="37"/>
      <c r="AF628" s="37"/>
      <c r="AG628" s="14"/>
      <c r="AH628" s="14"/>
      <c r="AI628" s="14"/>
      <c r="AZ628" s="24"/>
    </row>
    <row r="629">
      <c r="B629" s="24"/>
      <c r="E629" s="113"/>
      <c r="F629" s="266"/>
      <c r="G629" s="113"/>
      <c r="K629" s="36"/>
      <c r="L629" s="117"/>
      <c r="N629" s="117"/>
      <c r="R629" s="117"/>
      <c r="T629" s="117"/>
      <c r="V629" s="117"/>
      <c r="X629" s="117"/>
      <c r="Y629" s="10"/>
      <c r="Z629" s="11"/>
      <c r="AA629" s="36"/>
      <c r="AB629" s="36"/>
      <c r="AC629" s="13"/>
      <c r="AD629" s="13"/>
      <c r="AE629" s="37"/>
      <c r="AF629" s="37"/>
      <c r="AG629" s="14"/>
      <c r="AH629" s="14"/>
      <c r="AI629" s="14"/>
      <c r="AZ629" s="24"/>
    </row>
    <row r="630">
      <c r="B630" s="24"/>
      <c r="E630" s="113"/>
      <c r="F630" s="266"/>
      <c r="G630" s="113"/>
      <c r="K630" s="36"/>
      <c r="L630" s="117"/>
      <c r="N630" s="117"/>
      <c r="R630" s="117"/>
      <c r="T630" s="117"/>
      <c r="V630" s="117"/>
      <c r="X630" s="117"/>
      <c r="Y630" s="10"/>
      <c r="Z630" s="11"/>
      <c r="AA630" s="36"/>
      <c r="AB630" s="36"/>
      <c r="AC630" s="13"/>
      <c r="AD630" s="13"/>
      <c r="AE630" s="37"/>
      <c r="AF630" s="37"/>
      <c r="AG630" s="14"/>
      <c r="AH630" s="14"/>
      <c r="AI630" s="14"/>
      <c r="AZ630" s="24"/>
    </row>
    <row r="631">
      <c r="B631" s="24"/>
      <c r="E631" s="113"/>
      <c r="F631" s="266"/>
      <c r="G631" s="113"/>
      <c r="K631" s="36"/>
      <c r="L631" s="117"/>
      <c r="N631" s="117"/>
      <c r="R631" s="117"/>
      <c r="T631" s="117"/>
      <c r="V631" s="117"/>
      <c r="X631" s="117"/>
      <c r="Y631" s="10"/>
      <c r="Z631" s="11"/>
      <c r="AA631" s="36"/>
      <c r="AB631" s="36"/>
      <c r="AC631" s="13"/>
      <c r="AD631" s="13"/>
      <c r="AE631" s="37"/>
      <c r="AF631" s="37"/>
      <c r="AG631" s="14"/>
      <c r="AH631" s="14"/>
      <c r="AI631" s="14"/>
      <c r="AZ631" s="24"/>
    </row>
    <row r="632">
      <c r="B632" s="24"/>
      <c r="E632" s="113"/>
      <c r="F632" s="266"/>
      <c r="G632" s="113"/>
      <c r="K632" s="36"/>
      <c r="L632" s="117"/>
      <c r="N632" s="117"/>
      <c r="R632" s="117"/>
      <c r="T632" s="117"/>
      <c r="V632" s="117"/>
      <c r="X632" s="117"/>
      <c r="Y632" s="10"/>
      <c r="Z632" s="11"/>
      <c r="AA632" s="36"/>
      <c r="AB632" s="36"/>
      <c r="AC632" s="13"/>
      <c r="AD632" s="13"/>
      <c r="AE632" s="37"/>
      <c r="AF632" s="37"/>
      <c r="AG632" s="14"/>
      <c r="AH632" s="14"/>
      <c r="AI632" s="14"/>
      <c r="AZ632" s="24"/>
    </row>
    <row r="633">
      <c r="B633" s="24"/>
      <c r="E633" s="113"/>
      <c r="F633" s="266"/>
      <c r="G633" s="113"/>
      <c r="K633" s="36"/>
      <c r="L633" s="117"/>
      <c r="N633" s="117"/>
      <c r="R633" s="117"/>
      <c r="T633" s="117"/>
      <c r="V633" s="117"/>
      <c r="X633" s="117"/>
      <c r="Y633" s="10"/>
      <c r="Z633" s="11"/>
      <c r="AA633" s="36"/>
      <c r="AB633" s="36"/>
      <c r="AC633" s="13"/>
      <c r="AD633" s="13"/>
      <c r="AE633" s="37"/>
      <c r="AF633" s="37"/>
      <c r="AG633" s="14"/>
      <c r="AH633" s="14"/>
      <c r="AI633" s="14"/>
      <c r="AZ633" s="24"/>
    </row>
    <row r="634">
      <c r="B634" s="24"/>
      <c r="E634" s="113"/>
      <c r="F634" s="266"/>
      <c r="G634" s="113"/>
      <c r="K634" s="36"/>
      <c r="L634" s="117"/>
      <c r="N634" s="117"/>
      <c r="R634" s="117"/>
      <c r="T634" s="117"/>
      <c r="V634" s="117"/>
      <c r="X634" s="117"/>
      <c r="Y634" s="10"/>
      <c r="Z634" s="11"/>
      <c r="AA634" s="36"/>
      <c r="AB634" s="36"/>
      <c r="AC634" s="13"/>
      <c r="AD634" s="13"/>
      <c r="AE634" s="37"/>
      <c r="AF634" s="37"/>
      <c r="AG634" s="14"/>
      <c r="AH634" s="14"/>
      <c r="AI634" s="14"/>
      <c r="AZ634" s="24"/>
    </row>
    <row r="635">
      <c r="B635" s="24"/>
      <c r="E635" s="113"/>
      <c r="F635" s="266"/>
      <c r="G635" s="113"/>
      <c r="K635" s="36"/>
      <c r="L635" s="117"/>
      <c r="N635" s="117"/>
      <c r="R635" s="117"/>
      <c r="T635" s="117"/>
      <c r="V635" s="117"/>
      <c r="X635" s="117"/>
      <c r="Y635" s="10"/>
      <c r="Z635" s="11"/>
      <c r="AA635" s="36"/>
      <c r="AB635" s="36"/>
      <c r="AC635" s="13"/>
      <c r="AD635" s="13"/>
      <c r="AE635" s="37"/>
      <c r="AF635" s="37"/>
      <c r="AG635" s="14"/>
      <c r="AH635" s="14"/>
      <c r="AI635" s="14"/>
      <c r="AZ635" s="24"/>
    </row>
    <row r="636">
      <c r="B636" s="24"/>
      <c r="E636" s="113"/>
      <c r="F636" s="266"/>
      <c r="G636" s="113"/>
      <c r="K636" s="36"/>
      <c r="L636" s="117"/>
      <c r="N636" s="117"/>
      <c r="R636" s="117"/>
      <c r="T636" s="117"/>
      <c r="V636" s="117"/>
      <c r="X636" s="117"/>
      <c r="Y636" s="10"/>
      <c r="Z636" s="11"/>
      <c r="AA636" s="36"/>
      <c r="AB636" s="36"/>
      <c r="AC636" s="13"/>
      <c r="AD636" s="13"/>
      <c r="AE636" s="37"/>
      <c r="AF636" s="37"/>
      <c r="AG636" s="14"/>
      <c r="AH636" s="14"/>
      <c r="AI636" s="14"/>
      <c r="AZ636" s="24"/>
    </row>
    <row r="637">
      <c r="B637" s="24"/>
      <c r="E637" s="113"/>
      <c r="F637" s="266"/>
      <c r="G637" s="113"/>
      <c r="K637" s="36"/>
      <c r="L637" s="117"/>
      <c r="N637" s="117"/>
      <c r="R637" s="117"/>
      <c r="T637" s="117"/>
      <c r="V637" s="117"/>
      <c r="X637" s="117"/>
      <c r="Y637" s="10"/>
      <c r="Z637" s="11"/>
      <c r="AA637" s="36"/>
      <c r="AB637" s="36"/>
      <c r="AC637" s="13"/>
      <c r="AD637" s="13"/>
      <c r="AE637" s="37"/>
      <c r="AF637" s="37"/>
      <c r="AG637" s="14"/>
      <c r="AH637" s="14"/>
      <c r="AI637" s="14"/>
      <c r="AZ637" s="24"/>
    </row>
    <row r="638">
      <c r="B638" s="24"/>
      <c r="E638" s="113"/>
      <c r="F638" s="266"/>
      <c r="G638" s="113"/>
      <c r="K638" s="36"/>
      <c r="L638" s="117"/>
      <c r="N638" s="117"/>
      <c r="R638" s="117"/>
      <c r="T638" s="117"/>
      <c r="V638" s="117"/>
      <c r="X638" s="117"/>
      <c r="Y638" s="10"/>
      <c r="Z638" s="11"/>
      <c r="AA638" s="36"/>
      <c r="AB638" s="36"/>
      <c r="AC638" s="13"/>
      <c r="AD638" s="13"/>
      <c r="AE638" s="37"/>
      <c r="AF638" s="37"/>
      <c r="AG638" s="14"/>
      <c r="AH638" s="14"/>
      <c r="AI638" s="14"/>
      <c r="AZ638" s="24"/>
    </row>
    <row r="639">
      <c r="B639" s="24"/>
      <c r="E639" s="113"/>
      <c r="F639" s="266"/>
      <c r="G639" s="113"/>
      <c r="K639" s="36"/>
      <c r="L639" s="117"/>
      <c r="N639" s="117"/>
      <c r="R639" s="117"/>
      <c r="T639" s="117"/>
      <c r="V639" s="117"/>
      <c r="X639" s="117"/>
      <c r="Y639" s="10"/>
      <c r="Z639" s="11"/>
      <c r="AA639" s="36"/>
      <c r="AB639" s="36"/>
      <c r="AC639" s="13"/>
      <c r="AD639" s="13"/>
      <c r="AE639" s="37"/>
      <c r="AF639" s="37"/>
      <c r="AG639" s="14"/>
      <c r="AH639" s="14"/>
      <c r="AI639" s="14"/>
      <c r="AZ639" s="24"/>
    </row>
    <row r="640">
      <c r="B640" s="24"/>
      <c r="E640" s="113"/>
      <c r="F640" s="266"/>
      <c r="G640" s="113"/>
      <c r="K640" s="36"/>
      <c r="L640" s="117"/>
      <c r="N640" s="117"/>
      <c r="R640" s="117"/>
      <c r="T640" s="117"/>
      <c r="V640" s="117"/>
      <c r="X640" s="117"/>
      <c r="Y640" s="10"/>
      <c r="Z640" s="11"/>
      <c r="AA640" s="36"/>
      <c r="AB640" s="36"/>
      <c r="AC640" s="13"/>
      <c r="AD640" s="13"/>
      <c r="AE640" s="37"/>
      <c r="AF640" s="37"/>
      <c r="AG640" s="14"/>
      <c r="AH640" s="14"/>
      <c r="AI640" s="14"/>
      <c r="AZ640" s="24"/>
    </row>
    <row r="641">
      <c r="B641" s="24"/>
      <c r="E641" s="113"/>
      <c r="F641" s="266"/>
      <c r="G641" s="113"/>
      <c r="K641" s="36"/>
      <c r="L641" s="117"/>
      <c r="N641" s="117"/>
      <c r="R641" s="117"/>
      <c r="T641" s="117"/>
      <c r="V641" s="117"/>
      <c r="X641" s="117"/>
      <c r="Y641" s="10"/>
      <c r="Z641" s="11"/>
      <c r="AA641" s="36"/>
      <c r="AB641" s="36"/>
      <c r="AC641" s="13"/>
      <c r="AD641" s="13"/>
      <c r="AE641" s="37"/>
      <c r="AF641" s="37"/>
      <c r="AG641" s="14"/>
      <c r="AH641" s="14"/>
      <c r="AI641" s="14"/>
      <c r="AZ641" s="24"/>
    </row>
    <row r="642">
      <c r="B642" s="24"/>
      <c r="E642" s="113"/>
      <c r="F642" s="266"/>
      <c r="G642" s="113"/>
      <c r="K642" s="36"/>
      <c r="L642" s="117"/>
      <c r="N642" s="117"/>
      <c r="R642" s="117"/>
      <c r="T642" s="117"/>
      <c r="V642" s="117"/>
      <c r="X642" s="117"/>
      <c r="Y642" s="10"/>
      <c r="Z642" s="11"/>
      <c r="AA642" s="36"/>
      <c r="AB642" s="36"/>
      <c r="AC642" s="13"/>
      <c r="AD642" s="13"/>
      <c r="AE642" s="37"/>
      <c r="AF642" s="37"/>
      <c r="AG642" s="14"/>
      <c r="AH642" s="14"/>
      <c r="AI642" s="14"/>
      <c r="AZ642" s="24"/>
    </row>
    <row r="643">
      <c r="B643" s="24"/>
      <c r="E643" s="113"/>
      <c r="F643" s="266"/>
      <c r="G643" s="113"/>
      <c r="K643" s="36"/>
      <c r="L643" s="117"/>
      <c r="N643" s="117"/>
      <c r="R643" s="117"/>
      <c r="T643" s="117"/>
      <c r="V643" s="117"/>
      <c r="X643" s="117"/>
      <c r="Y643" s="10"/>
      <c r="Z643" s="11"/>
      <c r="AA643" s="36"/>
      <c r="AB643" s="36"/>
      <c r="AC643" s="13"/>
      <c r="AD643" s="13"/>
      <c r="AE643" s="37"/>
      <c r="AF643" s="37"/>
      <c r="AG643" s="14"/>
      <c r="AH643" s="14"/>
      <c r="AI643" s="14"/>
      <c r="AZ643" s="24"/>
    </row>
    <row r="644">
      <c r="B644" s="24"/>
      <c r="E644" s="113"/>
      <c r="F644" s="266"/>
      <c r="G644" s="113"/>
      <c r="K644" s="36"/>
      <c r="L644" s="117"/>
      <c r="N644" s="117"/>
      <c r="R644" s="117"/>
      <c r="T644" s="117"/>
      <c r="V644" s="117"/>
      <c r="X644" s="117"/>
      <c r="Y644" s="10"/>
      <c r="Z644" s="11"/>
      <c r="AA644" s="36"/>
      <c r="AB644" s="36"/>
      <c r="AC644" s="13"/>
      <c r="AD644" s="13"/>
      <c r="AE644" s="37"/>
      <c r="AF644" s="37"/>
      <c r="AG644" s="14"/>
      <c r="AH644" s="14"/>
      <c r="AI644" s="14"/>
      <c r="AZ644" s="24"/>
    </row>
    <row r="645">
      <c r="B645" s="24"/>
      <c r="E645" s="113"/>
      <c r="F645" s="266"/>
      <c r="G645" s="113"/>
      <c r="K645" s="36"/>
      <c r="L645" s="117"/>
      <c r="N645" s="117"/>
      <c r="R645" s="117"/>
      <c r="T645" s="117"/>
      <c r="V645" s="117"/>
      <c r="X645" s="117"/>
      <c r="Y645" s="10"/>
      <c r="Z645" s="11"/>
      <c r="AA645" s="36"/>
      <c r="AB645" s="36"/>
      <c r="AC645" s="13"/>
      <c r="AD645" s="13"/>
      <c r="AE645" s="37"/>
      <c r="AF645" s="37"/>
      <c r="AG645" s="14"/>
      <c r="AH645" s="14"/>
      <c r="AI645" s="14"/>
      <c r="AZ645" s="24"/>
    </row>
    <row r="646">
      <c r="B646" s="24"/>
      <c r="E646" s="113"/>
      <c r="F646" s="266"/>
      <c r="G646" s="113"/>
      <c r="K646" s="36"/>
      <c r="L646" s="117"/>
      <c r="N646" s="117"/>
      <c r="R646" s="117"/>
      <c r="T646" s="117"/>
      <c r="V646" s="117"/>
      <c r="X646" s="117"/>
      <c r="Y646" s="10"/>
      <c r="Z646" s="11"/>
      <c r="AA646" s="36"/>
      <c r="AB646" s="36"/>
      <c r="AC646" s="13"/>
      <c r="AD646" s="13"/>
      <c r="AE646" s="37"/>
      <c r="AF646" s="37"/>
      <c r="AG646" s="14"/>
      <c r="AH646" s="14"/>
      <c r="AI646" s="14"/>
      <c r="AZ646" s="24"/>
    </row>
    <row r="647">
      <c r="B647" s="24"/>
      <c r="E647" s="113"/>
      <c r="F647" s="266"/>
      <c r="G647" s="113"/>
      <c r="K647" s="36"/>
      <c r="L647" s="117"/>
      <c r="N647" s="117"/>
      <c r="R647" s="117"/>
      <c r="T647" s="117"/>
      <c r="V647" s="117"/>
      <c r="X647" s="117"/>
      <c r="Y647" s="10"/>
      <c r="Z647" s="11"/>
      <c r="AA647" s="36"/>
      <c r="AB647" s="36"/>
      <c r="AC647" s="13"/>
      <c r="AD647" s="13"/>
      <c r="AE647" s="37"/>
      <c r="AF647" s="37"/>
      <c r="AG647" s="14"/>
      <c r="AH647" s="14"/>
      <c r="AI647" s="14"/>
      <c r="AZ647" s="24"/>
    </row>
    <row r="648">
      <c r="B648" s="24"/>
      <c r="E648" s="113"/>
      <c r="F648" s="266"/>
      <c r="G648" s="113"/>
      <c r="K648" s="36"/>
      <c r="L648" s="117"/>
      <c r="N648" s="117"/>
      <c r="R648" s="117"/>
      <c r="T648" s="117"/>
      <c r="V648" s="117"/>
      <c r="X648" s="117"/>
      <c r="Y648" s="10"/>
      <c r="Z648" s="11"/>
      <c r="AA648" s="36"/>
      <c r="AB648" s="36"/>
      <c r="AC648" s="13"/>
      <c r="AD648" s="13"/>
      <c r="AE648" s="37"/>
      <c r="AF648" s="37"/>
      <c r="AG648" s="14"/>
      <c r="AH648" s="14"/>
      <c r="AI648" s="14"/>
      <c r="AZ648" s="24"/>
    </row>
    <row r="649">
      <c r="B649" s="24"/>
      <c r="E649" s="113"/>
      <c r="F649" s="266"/>
      <c r="G649" s="113"/>
      <c r="K649" s="36"/>
      <c r="L649" s="117"/>
      <c r="N649" s="117"/>
      <c r="R649" s="117"/>
      <c r="T649" s="117"/>
      <c r="V649" s="117"/>
      <c r="X649" s="117"/>
      <c r="Y649" s="10"/>
      <c r="Z649" s="11"/>
      <c r="AA649" s="36"/>
      <c r="AB649" s="36"/>
      <c r="AC649" s="13"/>
      <c r="AD649" s="13"/>
      <c r="AE649" s="37"/>
      <c r="AF649" s="37"/>
      <c r="AG649" s="14"/>
      <c r="AH649" s="14"/>
      <c r="AI649" s="14"/>
      <c r="AZ649" s="24"/>
    </row>
    <row r="650">
      <c r="B650" s="24"/>
      <c r="E650" s="113"/>
      <c r="F650" s="266"/>
      <c r="G650" s="113"/>
      <c r="K650" s="36"/>
      <c r="L650" s="117"/>
      <c r="N650" s="117"/>
      <c r="R650" s="117"/>
      <c r="T650" s="117"/>
      <c r="V650" s="117"/>
      <c r="X650" s="117"/>
      <c r="Y650" s="10"/>
      <c r="Z650" s="11"/>
      <c r="AA650" s="36"/>
      <c r="AB650" s="36"/>
      <c r="AC650" s="13"/>
      <c r="AD650" s="13"/>
      <c r="AE650" s="37"/>
      <c r="AF650" s="37"/>
      <c r="AG650" s="14"/>
      <c r="AH650" s="14"/>
      <c r="AI650" s="14"/>
      <c r="AZ650" s="24"/>
    </row>
    <row r="651">
      <c r="B651" s="24"/>
      <c r="E651" s="113"/>
      <c r="F651" s="266"/>
      <c r="G651" s="113"/>
      <c r="K651" s="36"/>
      <c r="L651" s="117"/>
      <c r="N651" s="117"/>
      <c r="R651" s="117"/>
      <c r="T651" s="117"/>
      <c r="V651" s="117"/>
      <c r="X651" s="117"/>
      <c r="Y651" s="10"/>
      <c r="Z651" s="11"/>
      <c r="AA651" s="36"/>
      <c r="AB651" s="36"/>
      <c r="AC651" s="13"/>
      <c r="AD651" s="13"/>
      <c r="AE651" s="37"/>
      <c r="AF651" s="37"/>
      <c r="AG651" s="14"/>
      <c r="AH651" s="14"/>
      <c r="AI651" s="14"/>
      <c r="AZ651" s="24"/>
    </row>
    <row r="652">
      <c r="B652" s="24"/>
      <c r="E652" s="113"/>
      <c r="F652" s="266"/>
      <c r="G652" s="113"/>
      <c r="K652" s="36"/>
      <c r="L652" s="117"/>
      <c r="N652" s="117"/>
      <c r="R652" s="117"/>
      <c r="T652" s="117"/>
      <c r="V652" s="117"/>
      <c r="X652" s="117"/>
      <c r="Y652" s="10"/>
      <c r="Z652" s="11"/>
      <c r="AA652" s="36"/>
      <c r="AB652" s="36"/>
      <c r="AC652" s="13"/>
      <c r="AD652" s="13"/>
      <c r="AE652" s="37"/>
      <c r="AF652" s="37"/>
      <c r="AG652" s="14"/>
      <c r="AH652" s="14"/>
      <c r="AI652" s="14"/>
      <c r="AZ652" s="24"/>
    </row>
    <row r="653">
      <c r="B653" s="24"/>
      <c r="E653" s="113"/>
      <c r="F653" s="266"/>
      <c r="G653" s="113"/>
      <c r="K653" s="36"/>
      <c r="L653" s="117"/>
      <c r="N653" s="117"/>
      <c r="R653" s="117"/>
      <c r="T653" s="117"/>
      <c r="V653" s="117"/>
      <c r="X653" s="117"/>
      <c r="Y653" s="10"/>
      <c r="Z653" s="11"/>
      <c r="AA653" s="36"/>
      <c r="AB653" s="36"/>
      <c r="AC653" s="13"/>
      <c r="AD653" s="13"/>
      <c r="AE653" s="37"/>
      <c r="AF653" s="37"/>
      <c r="AG653" s="14"/>
      <c r="AH653" s="14"/>
      <c r="AI653" s="14"/>
      <c r="AZ653" s="24"/>
    </row>
    <row r="654">
      <c r="B654" s="24"/>
      <c r="E654" s="113"/>
      <c r="F654" s="266"/>
      <c r="G654" s="113"/>
      <c r="K654" s="36"/>
      <c r="L654" s="117"/>
      <c r="N654" s="117"/>
      <c r="R654" s="117"/>
      <c r="T654" s="117"/>
      <c r="V654" s="117"/>
      <c r="X654" s="117"/>
      <c r="Y654" s="10"/>
      <c r="Z654" s="11"/>
      <c r="AA654" s="36"/>
      <c r="AB654" s="36"/>
      <c r="AC654" s="13"/>
      <c r="AD654" s="13"/>
      <c r="AE654" s="37"/>
      <c r="AF654" s="37"/>
      <c r="AG654" s="14"/>
      <c r="AH654" s="14"/>
      <c r="AI654" s="14"/>
      <c r="AZ654" s="24"/>
    </row>
    <row r="655">
      <c r="B655" s="24"/>
      <c r="E655" s="113"/>
      <c r="F655" s="266"/>
      <c r="G655" s="113"/>
      <c r="K655" s="36"/>
      <c r="L655" s="117"/>
      <c r="N655" s="117"/>
      <c r="R655" s="117"/>
      <c r="T655" s="117"/>
      <c r="V655" s="117"/>
      <c r="X655" s="117"/>
      <c r="Y655" s="10"/>
      <c r="Z655" s="11"/>
      <c r="AA655" s="36"/>
      <c r="AB655" s="36"/>
      <c r="AC655" s="13"/>
      <c r="AD655" s="13"/>
      <c r="AE655" s="37"/>
      <c r="AF655" s="37"/>
      <c r="AG655" s="14"/>
      <c r="AH655" s="14"/>
      <c r="AI655" s="14"/>
      <c r="AZ655" s="24"/>
    </row>
    <row r="656">
      <c r="B656" s="24"/>
      <c r="E656" s="113"/>
      <c r="F656" s="266"/>
      <c r="G656" s="113"/>
      <c r="K656" s="36"/>
      <c r="L656" s="117"/>
      <c r="N656" s="117"/>
      <c r="R656" s="117"/>
      <c r="T656" s="117"/>
      <c r="V656" s="117"/>
      <c r="X656" s="117"/>
      <c r="Y656" s="10"/>
      <c r="Z656" s="11"/>
      <c r="AA656" s="36"/>
      <c r="AB656" s="36"/>
      <c r="AC656" s="13"/>
      <c r="AD656" s="13"/>
      <c r="AE656" s="37"/>
      <c r="AF656" s="37"/>
      <c r="AG656" s="14"/>
      <c r="AH656" s="14"/>
      <c r="AI656" s="14"/>
      <c r="AZ656" s="24"/>
    </row>
    <row r="657">
      <c r="B657" s="24"/>
      <c r="E657" s="113"/>
      <c r="F657" s="266"/>
      <c r="G657" s="113"/>
      <c r="K657" s="36"/>
      <c r="L657" s="117"/>
      <c r="N657" s="117"/>
      <c r="R657" s="117"/>
      <c r="T657" s="117"/>
      <c r="V657" s="117"/>
      <c r="X657" s="117"/>
      <c r="Y657" s="10"/>
      <c r="Z657" s="11"/>
      <c r="AA657" s="36"/>
      <c r="AB657" s="36"/>
      <c r="AC657" s="13"/>
      <c r="AD657" s="13"/>
      <c r="AE657" s="37"/>
      <c r="AF657" s="37"/>
      <c r="AG657" s="14"/>
      <c r="AH657" s="14"/>
      <c r="AI657" s="14"/>
      <c r="AZ657" s="24"/>
    </row>
    <row r="658">
      <c r="B658" s="24"/>
      <c r="E658" s="113"/>
      <c r="F658" s="266"/>
      <c r="G658" s="113"/>
      <c r="K658" s="36"/>
      <c r="L658" s="117"/>
      <c r="N658" s="117"/>
      <c r="R658" s="117"/>
      <c r="T658" s="117"/>
      <c r="V658" s="117"/>
      <c r="X658" s="117"/>
      <c r="Y658" s="10"/>
      <c r="Z658" s="11"/>
      <c r="AA658" s="36"/>
      <c r="AB658" s="36"/>
      <c r="AC658" s="13"/>
      <c r="AD658" s="13"/>
      <c r="AE658" s="37"/>
      <c r="AF658" s="37"/>
      <c r="AG658" s="14"/>
      <c r="AH658" s="14"/>
      <c r="AI658" s="14"/>
      <c r="AZ658" s="24"/>
    </row>
    <row r="659">
      <c r="B659" s="24"/>
      <c r="E659" s="113"/>
      <c r="F659" s="266"/>
      <c r="G659" s="113"/>
      <c r="K659" s="36"/>
      <c r="L659" s="117"/>
      <c r="N659" s="117"/>
      <c r="R659" s="117"/>
      <c r="T659" s="117"/>
      <c r="V659" s="117"/>
      <c r="X659" s="117"/>
      <c r="Y659" s="10"/>
      <c r="Z659" s="11"/>
      <c r="AA659" s="36"/>
      <c r="AB659" s="36"/>
      <c r="AC659" s="13"/>
      <c r="AD659" s="13"/>
      <c r="AE659" s="37"/>
      <c r="AF659" s="37"/>
      <c r="AG659" s="14"/>
      <c r="AH659" s="14"/>
      <c r="AI659" s="14"/>
      <c r="AZ659" s="24"/>
    </row>
    <row r="660">
      <c r="B660" s="24"/>
      <c r="E660" s="113"/>
      <c r="F660" s="266"/>
      <c r="G660" s="113"/>
      <c r="K660" s="36"/>
      <c r="L660" s="117"/>
      <c r="N660" s="117"/>
      <c r="R660" s="117"/>
      <c r="T660" s="117"/>
      <c r="V660" s="117"/>
      <c r="X660" s="117"/>
      <c r="Y660" s="10"/>
      <c r="Z660" s="11"/>
      <c r="AA660" s="36"/>
      <c r="AB660" s="36"/>
      <c r="AC660" s="13"/>
      <c r="AD660" s="13"/>
      <c r="AE660" s="37"/>
      <c r="AF660" s="37"/>
      <c r="AG660" s="14"/>
      <c r="AH660" s="14"/>
      <c r="AI660" s="14"/>
      <c r="AZ660" s="24"/>
    </row>
    <row r="661">
      <c r="B661" s="24"/>
      <c r="E661" s="113"/>
      <c r="F661" s="266"/>
      <c r="G661" s="113"/>
      <c r="K661" s="36"/>
      <c r="L661" s="117"/>
      <c r="N661" s="117"/>
      <c r="R661" s="117"/>
      <c r="T661" s="117"/>
      <c r="V661" s="117"/>
      <c r="X661" s="117"/>
      <c r="Y661" s="10"/>
      <c r="Z661" s="11"/>
      <c r="AA661" s="36"/>
      <c r="AB661" s="36"/>
      <c r="AC661" s="13"/>
      <c r="AD661" s="13"/>
      <c r="AE661" s="37"/>
      <c r="AF661" s="37"/>
      <c r="AG661" s="14"/>
      <c r="AH661" s="14"/>
      <c r="AI661" s="14"/>
      <c r="AZ661" s="24"/>
    </row>
    <row r="662">
      <c r="B662" s="24"/>
      <c r="E662" s="113"/>
      <c r="F662" s="266"/>
      <c r="G662" s="113"/>
      <c r="K662" s="36"/>
      <c r="L662" s="117"/>
      <c r="N662" s="117"/>
      <c r="R662" s="117"/>
      <c r="T662" s="117"/>
      <c r="V662" s="117"/>
      <c r="X662" s="117"/>
      <c r="Y662" s="10"/>
      <c r="Z662" s="11"/>
      <c r="AA662" s="36"/>
      <c r="AB662" s="36"/>
      <c r="AC662" s="13"/>
      <c r="AD662" s="13"/>
      <c r="AE662" s="37"/>
      <c r="AF662" s="37"/>
      <c r="AG662" s="14"/>
      <c r="AH662" s="14"/>
      <c r="AI662" s="14"/>
      <c r="AZ662" s="24"/>
    </row>
    <row r="663">
      <c r="B663" s="24"/>
      <c r="E663" s="113"/>
      <c r="F663" s="266"/>
      <c r="G663" s="113"/>
      <c r="K663" s="36"/>
      <c r="L663" s="117"/>
      <c r="N663" s="117"/>
      <c r="R663" s="117"/>
      <c r="T663" s="117"/>
      <c r="V663" s="117"/>
      <c r="X663" s="117"/>
      <c r="Y663" s="10"/>
      <c r="Z663" s="11"/>
      <c r="AA663" s="36"/>
      <c r="AB663" s="36"/>
      <c r="AC663" s="13"/>
      <c r="AD663" s="13"/>
      <c r="AE663" s="37"/>
      <c r="AF663" s="37"/>
      <c r="AG663" s="14"/>
      <c r="AH663" s="14"/>
      <c r="AI663" s="14"/>
      <c r="AZ663" s="24"/>
    </row>
    <row r="664">
      <c r="B664" s="24"/>
      <c r="E664" s="113"/>
      <c r="F664" s="266"/>
      <c r="G664" s="113"/>
      <c r="K664" s="36"/>
      <c r="L664" s="117"/>
      <c r="N664" s="117"/>
      <c r="R664" s="117"/>
      <c r="T664" s="117"/>
      <c r="V664" s="117"/>
      <c r="X664" s="117"/>
      <c r="Y664" s="10"/>
      <c r="Z664" s="11"/>
      <c r="AA664" s="36"/>
      <c r="AB664" s="36"/>
      <c r="AC664" s="13"/>
      <c r="AD664" s="13"/>
      <c r="AE664" s="37"/>
      <c r="AF664" s="37"/>
      <c r="AG664" s="14"/>
      <c r="AH664" s="14"/>
      <c r="AI664" s="14"/>
      <c r="AZ664" s="24"/>
    </row>
    <row r="665">
      <c r="B665" s="24"/>
      <c r="E665" s="113"/>
      <c r="F665" s="266"/>
      <c r="G665" s="113"/>
      <c r="K665" s="36"/>
      <c r="L665" s="117"/>
      <c r="N665" s="117"/>
      <c r="R665" s="117"/>
      <c r="T665" s="117"/>
      <c r="V665" s="117"/>
      <c r="X665" s="117"/>
      <c r="Y665" s="10"/>
      <c r="Z665" s="11"/>
      <c r="AA665" s="36"/>
      <c r="AB665" s="36"/>
      <c r="AC665" s="13"/>
      <c r="AD665" s="13"/>
      <c r="AE665" s="37"/>
      <c r="AF665" s="37"/>
      <c r="AG665" s="14"/>
      <c r="AH665" s="14"/>
      <c r="AI665" s="14"/>
      <c r="AZ665" s="24"/>
    </row>
    <row r="666">
      <c r="B666" s="24"/>
      <c r="E666" s="113"/>
      <c r="F666" s="266"/>
      <c r="G666" s="113"/>
      <c r="K666" s="36"/>
      <c r="L666" s="117"/>
      <c r="N666" s="117"/>
      <c r="R666" s="117"/>
      <c r="T666" s="117"/>
      <c r="V666" s="117"/>
      <c r="X666" s="117"/>
      <c r="Y666" s="10"/>
      <c r="Z666" s="11"/>
      <c r="AA666" s="36"/>
      <c r="AB666" s="36"/>
      <c r="AC666" s="13"/>
      <c r="AD666" s="13"/>
      <c r="AE666" s="37"/>
      <c r="AF666" s="37"/>
      <c r="AG666" s="14"/>
      <c r="AH666" s="14"/>
      <c r="AI666" s="14"/>
      <c r="AZ666" s="24"/>
    </row>
    <row r="667">
      <c r="B667" s="24"/>
      <c r="E667" s="113"/>
      <c r="F667" s="266"/>
      <c r="G667" s="113"/>
      <c r="K667" s="36"/>
      <c r="L667" s="117"/>
      <c r="N667" s="117"/>
      <c r="R667" s="117"/>
      <c r="T667" s="117"/>
      <c r="V667" s="117"/>
      <c r="X667" s="117"/>
      <c r="Y667" s="10"/>
      <c r="Z667" s="11"/>
      <c r="AA667" s="36"/>
      <c r="AB667" s="36"/>
      <c r="AC667" s="13"/>
      <c r="AD667" s="13"/>
      <c r="AE667" s="37"/>
      <c r="AF667" s="37"/>
      <c r="AG667" s="14"/>
      <c r="AH667" s="14"/>
      <c r="AI667" s="14"/>
      <c r="AZ667" s="24"/>
    </row>
    <row r="668">
      <c r="B668" s="24"/>
      <c r="E668" s="113"/>
      <c r="F668" s="266"/>
      <c r="G668" s="113"/>
      <c r="K668" s="36"/>
      <c r="L668" s="117"/>
      <c r="N668" s="117"/>
      <c r="R668" s="117"/>
      <c r="T668" s="117"/>
      <c r="V668" s="117"/>
      <c r="X668" s="117"/>
      <c r="Y668" s="10"/>
      <c r="Z668" s="11"/>
      <c r="AA668" s="36"/>
      <c r="AB668" s="36"/>
      <c r="AC668" s="13"/>
      <c r="AD668" s="13"/>
      <c r="AE668" s="37"/>
      <c r="AF668" s="37"/>
      <c r="AG668" s="14"/>
      <c r="AH668" s="14"/>
      <c r="AI668" s="14"/>
      <c r="AZ668" s="24"/>
    </row>
    <row r="669">
      <c r="B669" s="24"/>
      <c r="E669" s="113"/>
      <c r="F669" s="266"/>
      <c r="G669" s="113"/>
      <c r="K669" s="36"/>
      <c r="L669" s="117"/>
      <c r="N669" s="117"/>
      <c r="R669" s="117"/>
      <c r="T669" s="117"/>
      <c r="V669" s="117"/>
      <c r="X669" s="117"/>
      <c r="Y669" s="10"/>
      <c r="Z669" s="11"/>
      <c r="AA669" s="36"/>
      <c r="AB669" s="36"/>
      <c r="AC669" s="13"/>
      <c r="AD669" s="13"/>
      <c r="AE669" s="37"/>
      <c r="AF669" s="37"/>
      <c r="AG669" s="14"/>
      <c r="AH669" s="14"/>
      <c r="AI669" s="14"/>
      <c r="AZ669" s="24"/>
    </row>
    <row r="670">
      <c r="B670" s="24"/>
      <c r="E670" s="113"/>
      <c r="F670" s="266"/>
      <c r="G670" s="113"/>
      <c r="K670" s="36"/>
      <c r="L670" s="117"/>
      <c r="N670" s="117"/>
      <c r="R670" s="117"/>
      <c r="T670" s="117"/>
      <c r="V670" s="117"/>
      <c r="X670" s="117"/>
      <c r="Y670" s="10"/>
      <c r="Z670" s="11"/>
      <c r="AA670" s="36"/>
      <c r="AB670" s="36"/>
      <c r="AC670" s="13"/>
      <c r="AD670" s="13"/>
      <c r="AE670" s="37"/>
      <c r="AF670" s="37"/>
      <c r="AG670" s="14"/>
      <c r="AH670" s="14"/>
      <c r="AI670" s="14"/>
      <c r="AZ670" s="24"/>
    </row>
    <row r="671">
      <c r="B671" s="24"/>
      <c r="E671" s="113"/>
      <c r="F671" s="266"/>
      <c r="G671" s="113"/>
      <c r="K671" s="36"/>
      <c r="L671" s="117"/>
      <c r="N671" s="117"/>
      <c r="R671" s="117"/>
      <c r="T671" s="117"/>
      <c r="V671" s="117"/>
      <c r="X671" s="117"/>
      <c r="Y671" s="10"/>
      <c r="Z671" s="11"/>
      <c r="AA671" s="36"/>
      <c r="AB671" s="36"/>
      <c r="AC671" s="13"/>
      <c r="AD671" s="13"/>
      <c r="AE671" s="37"/>
      <c r="AF671" s="37"/>
      <c r="AG671" s="14"/>
      <c r="AH671" s="14"/>
      <c r="AI671" s="14"/>
      <c r="AZ671" s="24"/>
    </row>
    <row r="672">
      <c r="B672" s="24"/>
      <c r="E672" s="113"/>
      <c r="F672" s="266"/>
      <c r="G672" s="113"/>
      <c r="K672" s="36"/>
      <c r="L672" s="117"/>
      <c r="N672" s="117"/>
      <c r="R672" s="117"/>
      <c r="T672" s="117"/>
      <c r="V672" s="117"/>
      <c r="X672" s="117"/>
      <c r="Y672" s="10"/>
      <c r="Z672" s="11"/>
      <c r="AA672" s="36"/>
      <c r="AB672" s="36"/>
      <c r="AC672" s="13"/>
      <c r="AD672" s="13"/>
      <c r="AE672" s="37"/>
      <c r="AF672" s="37"/>
      <c r="AG672" s="14"/>
      <c r="AH672" s="14"/>
      <c r="AI672" s="14"/>
      <c r="AZ672" s="24"/>
    </row>
    <row r="673">
      <c r="B673" s="24"/>
      <c r="E673" s="113"/>
      <c r="F673" s="266"/>
      <c r="G673" s="113"/>
      <c r="K673" s="36"/>
      <c r="L673" s="117"/>
      <c r="N673" s="117"/>
      <c r="R673" s="117"/>
      <c r="T673" s="117"/>
      <c r="V673" s="117"/>
      <c r="X673" s="117"/>
      <c r="Y673" s="10"/>
      <c r="Z673" s="11"/>
      <c r="AA673" s="36"/>
      <c r="AB673" s="36"/>
      <c r="AC673" s="13"/>
      <c r="AD673" s="13"/>
      <c r="AE673" s="37"/>
      <c r="AF673" s="37"/>
      <c r="AG673" s="14"/>
      <c r="AH673" s="14"/>
      <c r="AI673" s="14"/>
      <c r="AZ673" s="24"/>
    </row>
    <row r="674">
      <c r="B674" s="24"/>
      <c r="E674" s="113"/>
      <c r="F674" s="266"/>
      <c r="G674" s="113"/>
      <c r="K674" s="36"/>
      <c r="L674" s="117"/>
      <c r="N674" s="117"/>
      <c r="R674" s="117"/>
      <c r="T674" s="117"/>
      <c r="V674" s="117"/>
      <c r="X674" s="117"/>
      <c r="Y674" s="10"/>
      <c r="Z674" s="11"/>
      <c r="AA674" s="36"/>
      <c r="AB674" s="36"/>
      <c r="AC674" s="13"/>
      <c r="AD674" s="13"/>
      <c r="AE674" s="37"/>
      <c r="AF674" s="37"/>
      <c r="AG674" s="14"/>
      <c r="AH674" s="14"/>
      <c r="AI674" s="14"/>
      <c r="AZ674" s="24"/>
    </row>
    <row r="675">
      <c r="B675" s="24"/>
      <c r="E675" s="113"/>
      <c r="F675" s="266"/>
      <c r="G675" s="113"/>
      <c r="K675" s="36"/>
      <c r="L675" s="117"/>
      <c r="N675" s="117"/>
      <c r="R675" s="117"/>
      <c r="T675" s="117"/>
      <c r="V675" s="117"/>
      <c r="X675" s="117"/>
      <c r="Y675" s="10"/>
      <c r="Z675" s="11"/>
      <c r="AA675" s="36"/>
      <c r="AB675" s="36"/>
      <c r="AC675" s="13"/>
      <c r="AD675" s="13"/>
      <c r="AE675" s="37"/>
      <c r="AF675" s="37"/>
      <c r="AG675" s="14"/>
      <c r="AH675" s="14"/>
      <c r="AI675" s="14"/>
      <c r="AZ675" s="24"/>
    </row>
    <row r="676">
      <c r="B676" s="24"/>
      <c r="E676" s="113"/>
      <c r="F676" s="266"/>
      <c r="G676" s="113"/>
      <c r="K676" s="36"/>
      <c r="L676" s="117"/>
      <c r="N676" s="117"/>
      <c r="R676" s="117"/>
      <c r="T676" s="117"/>
      <c r="V676" s="117"/>
      <c r="X676" s="117"/>
      <c r="Y676" s="10"/>
      <c r="Z676" s="11"/>
      <c r="AA676" s="36"/>
      <c r="AB676" s="36"/>
      <c r="AC676" s="13"/>
      <c r="AD676" s="13"/>
      <c r="AE676" s="37"/>
      <c r="AF676" s="37"/>
      <c r="AG676" s="14"/>
      <c r="AH676" s="14"/>
      <c r="AI676" s="14"/>
      <c r="AZ676" s="24"/>
    </row>
    <row r="677">
      <c r="B677" s="24"/>
      <c r="E677" s="113"/>
      <c r="F677" s="266"/>
      <c r="G677" s="113"/>
      <c r="K677" s="36"/>
      <c r="L677" s="117"/>
      <c r="N677" s="117"/>
      <c r="R677" s="117"/>
      <c r="T677" s="117"/>
      <c r="V677" s="117"/>
      <c r="X677" s="117"/>
      <c r="Y677" s="10"/>
      <c r="Z677" s="11"/>
      <c r="AA677" s="36"/>
      <c r="AB677" s="36"/>
      <c r="AC677" s="13"/>
      <c r="AD677" s="13"/>
      <c r="AE677" s="37"/>
      <c r="AF677" s="37"/>
      <c r="AG677" s="14"/>
      <c r="AH677" s="14"/>
      <c r="AI677" s="14"/>
      <c r="AZ677" s="24"/>
    </row>
    <row r="678">
      <c r="B678" s="24"/>
      <c r="E678" s="113"/>
      <c r="F678" s="266"/>
      <c r="G678" s="113"/>
      <c r="K678" s="36"/>
      <c r="L678" s="117"/>
      <c r="N678" s="117"/>
      <c r="R678" s="117"/>
      <c r="T678" s="117"/>
      <c r="V678" s="117"/>
      <c r="X678" s="117"/>
      <c r="Y678" s="10"/>
      <c r="Z678" s="11"/>
      <c r="AA678" s="36"/>
      <c r="AB678" s="36"/>
      <c r="AC678" s="13"/>
      <c r="AD678" s="13"/>
      <c r="AE678" s="37"/>
      <c r="AF678" s="37"/>
      <c r="AG678" s="14"/>
      <c r="AH678" s="14"/>
      <c r="AI678" s="14"/>
      <c r="AZ678" s="24"/>
    </row>
    <row r="679">
      <c r="B679" s="24"/>
      <c r="E679" s="113"/>
      <c r="F679" s="266"/>
      <c r="G679" s="113"/>
      <c r="K679" s="36"/>
      <c r="L679" s="117"/>
      <c r="N679" s="117"/>
      <c r="R679" s="117"/>
      <c r="T679" s="117"/>
      <c r="V679" s="117"/>
      <c r="X679" s="117"/>
      <c r="Y679" s="10"/>
      <c r="Z679" s="11"/>
      <c r="AA679" s="36"/>
      <c r="AB679" s="36"/>
      <c r="AC679" s="13"/>
      <c r="AD679" s="13"/>
      <c r="AE679" s="37"/>
      <c r="AF679" s="37"/>
      <c r="AG679" s="14"/>
      <c r="AH679" s="14"/>
      <c r="AI679" s="14"/>
      <c r="AZ679" s="24"/>
    </row>
    <row r="680">
      <c r="B680" s="24"/>
      <c r="E680" s="113"/>
      <c r="F680" s="266"/>
      <c r="G680" s="113"/>
      <c r="K680" s="36"/>
      <c r="L680" s="117"/>
      <c r="N680" s="117"/>
      <c r="R680" s="117"/>
      <c r="T680" s="117"/>
      <c r="V680" s="117"/>
      <c r="X680" s="117"/>
      <c r="Y680" s="10"/>
      <c r="Z680" s="11"/>
      <c r="AA680" s="36"/>
      <c r="AB680" s="36"/>
      <c r="AC680" s="13"/>
      <c r="AD680" s="13"/>
      <c r="AE680" s="37"/>
      <c r="AF680" s="37"/>
      <c r="AG680" s="14"/>
      <c r="AH680" s="14"/>
      <c r="AI680" s="14"/>
      <c r="AZ680" s="24"/>
    </row>
    <row r="681">
      <c r="B681" s="24"/>
      <c r="E681" s="113"/>
      <c r="F681" s="266"/>
      <c r="G681" s="113"/>
      <c r="K681" s="36"/>
      <c r="L681" s="117"/>
      <c r="N681" s="117"/>
      <c r="R681" s="117"/>
      <c r="T681" s="117"/>
      <c r="V681" s="117"/>
      <c r="X681" s="117"/>
      <c r="Y681" s="10"/>
      <c r="Z681" s="11"/>
      <c r="AA681" s="36"/>
      <c r="AB681" s="36"/>
      <c r="AC681" s="13"/>
      <c r="AD681" s="13"/>
      <c r="AE681" s="37"/>
      <c r="AF681" s="37"/>
      <c r="AG681" s="14"/>
      <c r="AH681" s="14"/>
      <c r="AI681" s="14"/>
      <c r="AZ681" s="24"/>
    </row>
    <row r="682">
      <c r="B682" s="24"/>
      <c r="E682" s="113"/>
      <c r="F682" s="266"/>
      <c r="G682" s="113"/>
      <c r="K682" s="36"/>
      <c r="L682" s="117"/>
      <c r="N682" s="117"/>
      <c r="R682" s="117"/>
      <c r="T682" s="117"/>
      <c r="V682" s="117"/>
      <c r="X682" s="117"/>
      <c r="Y682" s="10"/>
      <c r="Z682" s="11"/>
      <c r="AA682" s="36"/>
      <c r="AB682" s="36"/>
      <c r="AC682" s="13"/>
      <c r="AD682" s="13"/>
      <c r="AE682" s="37"/>
      <c r="AF682" s="37"/>
      <c r="AG682" s="14"/>
      <c r="AH682" s="14"/>
      <c r="AI682" s="14"/>
      <c r="AZ682" s="24"/>
    </row>
    <row r="683">
      <c r="B683" s="24"/>
      <c r="E683" s="113"/>
      <c r="F683" s="266"/>
      <c r="G683" s="113"/>
      <c r="K683" s="36"/>
      <c r="L683" s="117"/>
      <c r="N683" s="117"/>
      <c r="R683" s="117"/>
      <c r="T683" s="117"/>
      <c r="V683" s="117"/>
      <c r="X683" s="117"/>
      <c r="Y683" s="10"/>
      <c r="Z683" s="11"/>
      <c r="AA683" s="36"/>
      <c r="AB683" s="36"/>
      <c r="AC683" s="13"/>
      <c r="AD683" s="13"/>
      <c r="AE683" s="37"/>
      <c r="AF683" s="37"/>
      <c r="AG683" s="14"/>
      <c r="AH683" s="14"/>
      <c r="AI683" s="14"/>
      <c r="AZ683" s="24"/>
    </row>
    <row r="684">
      <c r="B684" s="24"/>
      <c r="E684" s="113"/>
      <c r="F684" s="266"/>
      <c r="G684" s="113"/>
      <c r="K684" s="36"/>
      <c r="L684" s="117"/>
      <c r="N684" s="117"/>
      <c r="R684" s="117"/>
      <c r="T684" s="117"/>
      <c r="V684" s="117"/>
      <c r="X684" s="117"/>
      <c r="Y684" s="10"/>
      <c r="Z684" s="11"/>
      <c r="AA684" s="36"/>
      <c r="AB684" s="36"/>
      <c r="AC684" s="13"/>
      <c r="AD684" s="13"/>
      <c r="AE684" s="37"/>
      <c r="AF684" s="37"/>
      <c r="AG684" s="14"/>
      <c r="AH684" s="14"/>
      <c r="AI684" s="14"/>
      <c r="AZ684" s="24"/>
    </row>
    <row r="685">
      <c r="B685" s="24"/>
      <c r="E685" s="113"/>
      <c r="F685" s="266"/>
      <c r="G685" s="113"/>
      <c r="K685" s="36"/>
      <c r="L685" s="117"/>
      <c r="N685" s="117"/>
      <c r="R685" s="117"/>
      <c r="T685" s="117"/>
      <c r="V685" s="117"/>
      <c r="X685" s="117"/>
      <c r="Y685" s="10"/>
      <c r="Z685" s="11"/>
      <c r="AA685" s="36"/>
      <c r="AB685" s="36"/>
      <c r="AC685" s="13"/>
      <c r="AD685" s="13"/>
      <c r="AE685" s="37"/>
      <c r="AF685" s="37"/>
      <c r="AG685" s="14"/>
      <c r="AH685" s="14"/>
      <c r="AI685" s="14"/>
      <c r="AZ685" s="24"/>
    </row>
    <row r="686">
      <c r="B686" s="24"/>
      <c r="E686" s="113"/>
      <c r="F686" s="266"/>
      <c r="G686" s="113"/>
      <c r="K686" s="36"/>
      <c r="L686" s="117"/>
      <c r="N686" s="117"/>
      <c r="R686" s="117"/>
      <c r="T686" s="117"/>
      <c r="V686" s="117"/>
      <c r="X686" s="117"/>
      <c r="Y686" s="10"/>
      <c r="Z686" s="11"/>
      <c r="AA686" s="36"/>
      <c r="AB686" s="36"/>
      <c r="AC686" s="13"/>
      <c r="AD686" s="13"/>
      <c r="AE686" s="37"/>
      <c r="AF686" s="37"/>
      <c r="AG686" s="14"/>
      <c r="AH686" s="14"/>
      <c r="AI686" s="14"/>
      <c r="AZ686" s="24"/>
    </row>
    <row r="687">
      <c r="B687" s="24"/>
      <c r="E687" s="113"/>
      <c r="F687" s="266"/>
      <c r="G687" s="113"/>
      <c r="K687" s="36"/>
      <c r="L687" s="117"/>
      <c r="N687" s="117"/>
      <c r="R687" s="117"/>
      <c r="T687" s="117"/>
      <c r="V687" s="117"/>
      <c r="X687" s="117"/>
      <c r="Y687" s="10"/>
      <c r="Z687" s="11"/>
      <c r="AA687" s="36"/>
      <c r="AB687" s="36"/>
      <c r="AC687" s="13"/>
      <c r="AD687" s="13"/>
      <c r="AE687" s="37"/>
      <c r="AF687" s="37"/>
      <c r="AG687" s="14"/>
      <c r="AH687" s="14"/>
      <c r="AI687" s="14"/>
      <c r="AZ687" s="24"/>
    </row>
    <row r="688">
      <c r="B688" s="24"/>
      <c r="E688" s="113"/>
      <c r="F688" s="266"/>
      <c r="G688" s="113"/>
      <c r="K688" s="36"/>
      <c r="L688" s="117"/>
      <c r="N688" s="117"/>
      <c r="R688" s="117"/>
      <c r="T688" s="117"/>
      <c r="V688" s="117"/>
      <c r="X688" s="117"/>
      <c r="Y688" s="10"/>
      <c r="Z688" s="11"/>
      <c r="AA688" s="36"/>
      <c r="AB688" s="36"/>
      <c r="AC688" s="13"/>
      <c r="AD688" s="13"/>
      <c r="AE688" s="37"/>
      <c r="AF688" s="37"/>
      <c r="AG688" s="14"/>
      <c r="AH688" s="14"/>
      <c r="AI688" s="14"/>
      <c r="AZ688" s="24"/>
    </row>
    <row r="689">
      <c r="B689" s="24"/>
      <c r="E689" s="113"/>
      <c r="F689" s="266"/>
      <c r="G689" s="113"/>
      <c r="K689" s="36"/>
      <c r="L689" s="117"/>
      <c r="N689" s="117"/>
      <c r="R689" s="117"/>
      <c r="T689" s="117"/>
      <c r="V689" s="117"/>
      <c r="X689" s="117"/>
      <c r="Y689" s="10"/>
      <c r="Z689" s="11"/>
      <c r="AA689" s="36"/>
      <c r="AB689" s="36"/>
      <c r="AC689" s="13"/>
      <c r="AD689" s="13"/>
      <c r="AE689" s="37"/>
      <c r="AF689" s="37"/>
      <c r="AG689" s="14"/>
      <c r="AH689" s="14"/>
      <c r="AI689" s="14"/>
      <c r="AZ689" s="24"/>
    </row>
    <row r="690">
      <c r="B690" s="24"/>
      <c r="E690" s="113"/>
      <c r="F690" s="266"/>
      <c r="G690" s="113"/>
      <c r="K690" s="36"/>
      <c r="L690" s="117"/>
      <c r="N690" s="117"/>
      <c r="R690" s="117"/>
      <c r="T690" s="117"/>
      <c r="V690" s="117"/>
      <c r="X690" s="117"/>
      <c r="Y690" s="10"/>
      <c r="Z690" s="11"/>
      <c r="AA690" s="36"/>
      <c r="AB690" s="36"/>
      <c r="AC690" s="13"/>
      <c r="AD690" s="13"/>
      <c r="AE690" s="37"/>
      <c r="AF690" s="37"/>
      <c r="AG690" s="14"/>
      <c r="AH690" s="14"/>
      <c r="AI690" s="14"/>
      <c r="AZ690" s="24"/>
    </row>
    <row r="691">
      <c r="B691" s="24"/>
      <c r="E691" s="113"/>
      <c r="F691" s="266"/>
      <c r="G691" s="113"/>
      <c r="K691" s="36"/>
      <c r="L691" s="117"/>
      <c r="N691" s="117"/>
      <c r="R691" s="117"/>
      <c r="T691" s="117"/>
      <c r="V691" s="117"/>
      <c r="X691" s="117"/>
      <c r="Y691" s="10"/>
      <c r="Z691" s="11"/>
      <c r="AA691" s="36"/>
      <c r="AB691" s="36"/>
      <c r="AC691" s="13"/>
      <c r="AD691" s="13"/>
      <c r="AE691" s="37"/>
      <c r="AF691" s="37"/>
      <c r="AG691" s="14"/>
      <c r="AH691" s="14"/>
      <c r="AI691" s="14"/>
      <c r="AZ691" s="24"/>
    </row>
    <row r="692">
      <c r="B692" s="24"/>
      <c r="E692" s="113"/>
      <c r="F692" s="266"/>
      <c r="G692" s="113"/>
      <c r="K692" s="36"/>
      <c r="L692" s="117"/>
      <c r="N692" s="117"/>
      <c r="R692" s="117"/>
      <c r="T692" s="117"/>
      <c r="V692" s="117"/>
      <c r="X692" s="117"/>
      <c r="Y692" s="10"/>
      <c r="Z692" s="11"/>
      <c r="AA692" s="36"/>
      <c r="AB692" s="36"/>
      <c r="AC692" s="13"/>
      <c r="AD692" s="13"/>
      <c r="AE692" s="37"/>
      <c r="AF692" s="37"/>
      <c r="AG692" s="14"/>
      <c r="AH692" s="14"/>
      <c r="AI692" s="14"/>
      <c r="AZ692" s="24"/>
    </row>
    <row r="693">
      <c r="B693" s="24"/>
      <c r="E693" s="113"/>
      <c r="F693" s="266"/>
      <c r="G693" s="113"/>
      <c r="K693" s="36"/>
      <c r="L693" s="117"/>
      <c r="N693" s="117"/>
      <c r="R693" s="117"/>
      <c r="T693" s="117"/>
      <c r="V693" s="117"/>
      <c r="X693" s="117"/>
      <c r="Y693" s="10"/>
      <c r="Z693" s="11"/>
      <c r="AA693" s="36"/>
      <c r="AB693" s="36"/>
      <c r="AC693" s="13"/>
      <c r="AD693" s="13"/>
      <c r="AE693" s="37"/>
      <c r="AF693" s="37"/>
      <c r="AG693" s="14"/>
      <c r="AH693" s="14"/>
      <c r="AI693" s="14"/>
      <c r="AZ693" s="24"/>
    </row>
    <row r="694">
      <c r="B694" s="24"/>
      <c r="E694" s="113"/>
      <c r="F694" s="266"/>
      <c r="G694" s="113"/>
      <c r="K694" s="36"/>
      <c r="L694" s="117"/>
      <c r="N694" s="117"/>
      <c r="R694" s="117"/>
      <c r="T694" s="117"/>
      <c r="V694" s="117"/>
      <c r="X694" s="117"/>
      <c r="Y694" s="10"/>
      <c r="Z694" s="11"/>
      <c r="AA694" s="36"/>
      <c r="AB694" s="36"/>
      <c r="AC694" s="13"/>
      <c r="AD694" s="13"/>
      <c r="AE694" s="37"/>
      <c r="AF694" s="37"/>
      <c r="AG694" s="14"/>
      <c r="AH694" s="14"/>
      <c r="AI694" s="14"/>
      <c r="AZ694" s="24"/>
    </row>
    <row r="695">
      <c r="B695" s="24"/>
      <c r="E695" s="113"/>
      <c r="F695" s="266"/>
      <c r="G695" s="113"/>
      <c r="K695" s="36"/>
      <c r="L695" s="117"/>
      <c r="N695" s="117"/>
      <c r="R695" s="117"/>
      <c r="T695" s="117"/>
      <c r="V695" s="117"/>
      <c r="X695" s="117"/>
      <c r="Y695" s="10"/>
      <c r="Z695" s="11"/>
      <c r="AA695" s="36"/>
      <c r="AB695" s="36"/>
      <c r="AC695" s="13"/>
      <c r="AD695" s="13"/>
      <c r="AE695" s="37"/>
      <c r="AF695" s="37"/>
      <c r="AG695" s="14"/>
      <c r="AH695" s="14"/>
      <c r="AI695" s="14"/>
      <c r="AZ695" s="24"/>
    </row>
    <row r="696">
      <c r="B696" s="24"/>
      <c r="E696" s="113"/>
      <c r="F696" s="266"/>
      <c r="G696" s="113"/>
      <c r="K696" s="36"/>
      <c r="L696" s="117"/>
      <c r="N696" s="117"/>
      <c r="R696" s="117"/>
      <c r="T696" s="117"/>
      <c r="V696" s="117"/>
      <c r="X696" s="117"/>
      <c r="Y696" s="10"/>
      <c r="Z696" s="11"/>
      <c r="AA696" s="36"/>
      <c r="AB696" s="36"/>
      <c r="AC696" s="13"/>
      <c r="AD696" s="13"/>
      <c r="AE696" s="37"/>
      <c r="AF696" s="37"/>
      <c r="AG696" s="14"/>
      <c r="AH696" s="14"/>
      <c r="AI696" s="14"/>
      <c r="AZ696" s="24"/>
    </row>
    <row r="697">
      <c r="B697" s="24"/>
      <c r="E697" s="113"/>
      <c r="F697" s="266"/>
      <c r="G697" s="113"/>
      <c r="K697" s="36"/>
      <c r="L697" s="117"/>
      <c r="N697" s="117"/>
      <c r="R697" s="117"/>
      <c r="T697" s="117"/>
      <c r="V697" s="117"/>
      <c r="X697" s="117"/>
      <c r="Y697" s="10"/>
      <c r="Z697" s="11"/>
      <c r="AA697" s="36"/>
      <c r="AB697" s="36"/>
      <c r="AC697" s="13"/>
      <c r="AD697" s="13"/>
      <c r="AE697" s="37"/>
      <c r="AF697" s="37"/>
      <c r="AG697" s="14"/>
      <c r="AH697" s="14"/>
      <c r="AI697" s="14"/>
      <c r="AZ697" s="24"/>
    </row>
    <row r="698">
      <c r="B698" s="24"/>
      <c r="E698" s="113"/>
      <c r="F698" s="266"/>
      <c r="G698" s="113"/>
      <c r="K698" s="36"/>
      <c r="L698" s="117"/>
      <c r="N698" s="117"/>
      <c r="R698" s="117"/>
      <c r="T698" s="117"/>
      <c r="V698" s="117"/>
      <c r="X698" s="117"/>
      <c r="Y698" s="10"/>
      <c r="Z698" s="11"/>
      <c r="AA698" s="36"/>
      <c r="AB698" s="36"/>
      <c r="AC698" s="13"/>
      <c r="AD698" s="13"/>
      <c r="AE698" s="37"/>
      <c r="AF698" s="37"/>
      <c r="AG698" s="14"/>
      <c r="AH698" s="14"/>
      <c r="AI698" s="14"/>
      <c r="AZ698" s="24"/>
    </row>
    <row r="699">
      <c r="B699" s="24"/>
      <c r="E699" s="113"/>
      <c r="F699" s="266"/>
      <c r="G699" s="113"/>
      <c r="K699" s="36"/>
      <c r="L699" s="117"/>
      <c r="N699" s="117"/>
      <c r="R699" s="117"/>
      <c r="T699" s="117"/>
      <c r="V699" s="117"/>
      <c r="X699" s="117"/>
      <c r="Y699" s="10"/>
      <c r="Z699" s="11"/>
      <c r="AA699" s="36"/>
      <c r="AB699" s="36"/>
      <c r="AC699" s="13"/>
      <c r="AD699" s="13"/>
      <c r="AE699" s="37"/>
      <c r="AF699" s="37"/>
      <c r="AG699" s="14"/>
      <c r="AH699" s="14"/>
      <c r="AI699" s="14"/>
      <c r="AZ699" s="24"/>
    </row>
    <row r="700">
      <c r="B700" s="24"/>
      <c r="E700" s="113"/>
      <c r="F700" s="266"/>
      <c r="G700" s="113"/>
      <c r="K700" s="36"/>
      <c r="L700" s="117"/>
      <c r="N700" s="117"/>
      <c r="R700" s="117"/>
      <c r="T700" s="117"/>
      <c r="V700" s="117"/>
      <c r="X700" s="117"/>
      <c r="Y700" s="10"/>
      <c r="Z700" s="11"/>
      <c r="AA700" s="36"/>
      <c r="AB700" s="36"/>
      <c r="AC700" s="13"/>
      <c r="AD700" s="13"/>
      <c r="AE700" s="37"/>
      <c r="AF700" s="37"/>
      <c r="AG700" s="14"/>
      <c r="AH700" s="14"/>
      <c r="AI700" s="14"/>
      <c r="AZ700" s="24"/>
    </row>
    <row r="701">
      <c r="B701" s="24"/>
      <c r="E701" s="113"/>
      <c r="F701" s="266"/>
      <c r="G701" s="113"/>
      <c r="K701" s="36"/>
      <c r="L701" s="117"/>
      <c r="N701" s="117"/>
      <c r="R701" s="117"/>
      <c r="T701" s="117"/>
      <c r="V701" s="117"/>
      <c r="X701" s="117"/>
      <c r="Y701" s="10"/>
      <c r="Z701" s="11"/>
      <c r="AA701" s="36"/>
      <c r="AB701" s="36"/>
      <c r="AC701" s="13"/>
      <c r="AD701" s="13"/>
      <c r="AE701" s="37"/>
      <c r="AF701" s="37"/>
      <c r="AG701" s="14"/>
      <c r="AH701" s="14"/>
      <c r="AI701" s="14"/>
      <c r="AZ701" s="24"/>
    </row>
    <row r="702">
      <c r="B702" s="24"/>
      <c r="E702" s="113"/>
      <c r="F702" s="266"/>
      <c r="G702" s="113"/>
      <c r="K702" s="36"/>
      <c r="L702" s="117"/>
      <c r="N702" s="117"/>
      <c r="R702" s="117"/>
      <c r="T702" s="117"/>
      <c r="V702" s="117"/>
      <c r="X702" s="117"/>
      <c r="Y702" s="10"/>
      <c r="Z702" s="11"/>
      <c r="AA702" s="36"/>
      <c r="AB702" s="36"/>
      <c r="AC702" s="13"/>
      <c r="AD702" s="13"/>
      <c r="AE702" s="37"/>
      <c r="AF702" s="37"/>
      <c r="AG702" s="14"/>
      <c r="AH702" s="14"/>
      <c r="AI702" s="14"/>
      <c r="AZ702" s="24"/>
    </row>
    <row r="703">
      <c r="B703" s="24"/>
      <c r="E703" s="113"/>
      <c r="F703" s="266"/>
      <c r="G703" s="113"/>
      <c r="K703" s="36"/>
      <c r="L703" s="117"/>
      <c r="N703" s="117"/>
      <c r="R703" s="117"/>
      <c r="T703" s="117"/>
      <c r="V703" s="117"/>
      <c r="X703" s="117"/>
      <c r="Y703" s="10"/>
      <c r="Z703" s="11"/>
      <c r="AA703" s="36"/>
      <c r="AB703" s="36"/>
      <c r="AC703" s="13"/>
      <c r="AD703" s="13"/>
      <c r="AE703" s="37"/>
      <c r="AF703" s="37"/>
      <c r="AG703" s="14"/>
      <c r="AH703" s="14"/>
      <c r="AI703" s="14"/>
      <c r="AZ703" s="24"/>
    </row>
    <row r="704">
      <c r="B704" s="24"/>
      <c r="E704" s="113"/>
      <c r="F704" s="266"/>
      <c r="G704" s="113"/>
      <c r="K704" s="36"/>
      <c r="L704" s="117"/>
      <c r="N704" s="117"/>
      <c r="R704" s="117"/>
      <c r="T704" s="117"/>
      <c r="V704" s="117"/>
      <c r="X704" s="117"/>
      <c r="Y704" s="10"/>
      <c r="Z704" s="11"/>
      <c r="AA704" s="36"/>
      <c r="AB704" s="36"/>
      <c r="AC704" s="13"/>
      <c r="AD704" s="13"/>
      <c r="AE704" s="37"/>
      <c r="AF704" s="37"/>
      <c r="AG704" s="14"/>
      <c r="AH704" s="14"/>
      <c r="AI704" s="14"/>
      <c r="AZ704" s="24"/>
    </row>
    <row r="705">
      <c r="B705" s="24"/>
      <c r="E705" s="113"/>
      <c r="F705" s="266"/>
      <c r="G705" s="113"/>
      <c r="K705" s="36"/>
      <c r="L705" s="117"/>
      <c r="N705" s="117"/>
      <c r="R705" s="117"/>
      <c r="T705" s="117"/>
      <c r="V705" s="117"/>
      <c r="X705" s="117"/>
      <c r="Y705" s="10"/>
      <c r="Z705" s="11"/>
      <c r="AA705" s="36"/>
      <c r="AB705" s="36"/>
      <c r="AC705" s="13"/>
      <c r="AD705" s="13"/>
      <c r="AE705" s="37"/>
      <c r="AF705" s="37"/>
      <c r="AG705" s="14"/>
      <c r="AH705" s="14"/>
      <c r="AI705" s="14"/>
      <c r="AZ705" s="24"/>
    </row>
    <row r="706">
      <c r="B706" s="24"/>
      <c r="E706" s="113"/>
      <c r="F706" s="266"/>
      <c r="G706" s="113"/>
      <c r="K706" s="36"/>
      <c r="L706" s="117"/>
      <c r="N706" s="117"/>
      <c r="R706" s="117"/>
      <c r="T706" s="117"/>
      <c r="V706" s="117"/>
      <c r="X706" s="117"/>
      <c r="Y706" s="10"/>
      <c r="Z706" s="11"/>
      <c r="AA706" s="36"/>
      <c r="AB706" s="36"/>
      <c r="AC706" s="13"/>
      <c r="AD706" s="13"/>
      <c r="AE706" s="37"/>
      <c r="AF706" s="37"/>
      <c r="AG706" s="14"/>
      <c r="AH706" s="14"/>
      <c r="AI706" s="14"/>
      <c r="AZ706" s="24"/>
    </row>
    <row r="707">
      <c r="B707" s="24"/>
      <c r="E707" s="113"/>
      <c r="F707" s="266"/>
      <c r="G707" s="113"/>
      <c r="K707" s="36"/>
      <c r="L707" s="117"/>
      <c r="N707" s="117"/>
      <c r="R707" s="117"/>
      <c r="T707" s="117"/>
      <c r="V707" s="117"/>
      <c r="X707" s="117"/>
      <c r="Y707" s="10"/>
      <c r="Z707" s="11"/>
      <c r="AA707" s="36"/>
      <c r="AB707" s="36"/>
      <c r="AC707" s="13"/>
      <c r="AD707" s="13"/>
      <c r="AE707" s="37"/>
      <c r="AF707" s="37"/>
      <c r="AG707" s="14"/>
      <c r="AH707" s="14"/>
      <c r="AI707" s="14"/>
      <c r="AZ707" s="24"/>
    </row>
    <row r="708">
      <c r="B708" s="24"/>
      <c r="E708" s="113"/>
      <c r="F708" s="266"/>
      <c r="G708" s="113"/>
      <c r="K708" s="36"/>
      <c r="L708" s="117"/>
      <c r="N708" s="117"/>
      <c r="R708" s="117"/>
      <c r="T708" s="117"/>
      <c r="V708" s="117"/>
      <c r="X708" s="117"/>
      <c r="Y708" s="10"/>
      <c r="Z708" s="11"/>
      <c r="AA708" s="36"/>
      <c r="AB708" s="36"/>
      <c r="AC708" s="13"/>
      <c r="AD708" s="13"/>
      <c r="AE708" s="37"/>
      <c r="AF708" s="37"/>
      <c r="AG708" s="14"/>
      <c r="AH708" s="14"/>
      <c r="AI708" s="14"/>
      <c r="AZ708" s="24"/>
    </row>
    <row r="709">
      <c r="B709" s="24"/>
      <c r="E709" s="113"/>
      <c r="F709" s="266"/>
      <c r="G709" s="113"/>
      <c r="K709" s="36"/>
      <c r="L709" s="117"/>
      <c r="N709" s="117"/>
      <c r="R709" s="117"/>
      <c r="T709" s="117"/>
      <c r="V709" s="117"/>
      <c r="X709" s="117"/>
      <c r="Y709" s="10"/>
      <c r="Z709" s="11"/>
      <c r="AA709" s="36"/>
      <c r="AB709" s="36"/>
      <c r="AC709" s="13"/>
      <c r="AD709" s="13"/>
      <c r="AE709" s="37"/>
      <c r="AF709" s="37"/>
      <c r="AG709" s="14"/>
      <c r="AH709" s="14"/>
      <c r="AI709" s="14"/>
      <c r="AZ709" s="24"/>
    </row>
    <row r="710">
      <c r="B710" s="24"/>
      <c r="E710" s="113"/>
      <c r="F710" s="266"/>
      <c r="G710" s="113"/>
      <c r="K710" s="36"/>
      <c r="L710" s="117"/>
      <c r="N710" s="117"/>
      <c r="R710" s="117"/>
      <c r="T710" s="117"/>
      <c r="V710" s="117"/>
      <c r="X710" s="117"/>
      <c r="Y710" s="10"/>
      <c r="Z710" s="11"/>
      <c r="AA710" s="36"/>
      <c r="AB710" s="36"/>
      <c r="AC710" s="13"/>
      <c r="AD710" s="13"/>
      <c r="AE710" s="37"/>
      <c r="AF710" s="37"/>
      <c r="AG710" s="14"/>
      <c r="AH710" s="14"/>
      <c r="AI710" s="14"/>
      <c r="AZ710" s="24"/>
    </row>
    <row r="711">
      <c r="B711" s="24"/>
      <c r="E711" s="113"/>
      <c r="F711" s="266"/>
      <c r="G711" s="113"/>
      <c r="K711" s="36"/>
      <c r="L711" s="117"/>
      <c r="N711" s="117"/>
      <c r="R711" s="117"/>
      <c r="T711" s="117"/>
      <c r="V711" s="117"/>
      <c r="X711" s="117"/>
      <c r="Y711" s="10"/>
      <c r="Z711" s="11"/>
      <c r="AA711" s="36"/>
      <c r="AB711" s="36"/>
      <c r="AC711" s="13"/>
      <c r="AD711" s="13"/>
      <c r="AE711" s="37"/>
      <c r="AF711" s="37"/>
      <c r="AG711" s="14"/>
      <c r="AH711" s="14"/>
      <c r="AI711" s="14"/>
      <c r="AZ711" s="24"/>
    </row>
    <row r="712">
      <c r="B712" s="24"/>
      <c r="E712" s="113"/>
      <c r="F712" s="266"/>
      <c r="G712" s="113"/>
      <c r="K712" s="36"/>
      <c r="L712" s="117"/>
      <c r="N712" s="117"/>
      <c r="R712" s="117"/>
      <c r="T712" s="117"/>
      <c r="V712" s="117"/>
      <c r="X712" s="117"/>
      <c r="Y712" s="10"/>
      <c r="Z712" s="11"/>
      <c r="AA712" s="36"/>
      <c r="AB712" s="36"/>
      <c r="AC712" s="13"/>
      <c r="AD712" s="13"/>
      <c r="AE712" s="37"/>
      <c r="AF712" s="37"/>
      <c r="AG712" s="14"/>
      <c r="AH712" s="14"/>
      <c r="AI712" s="14"/>
      <c r="AZ712" s="24"/>
    </row>
    <row r="713">
      <c r="B713" s="24"/>
      <c r="E713" s="113"/>
      <c r="F713" s="266"/>
      <c r="G713" s="113"/>
      <c r="K713" s="36"/>
      <c r="L713" s="117"/>
      <c r="N713" s="117"/>
      <c r="R713" s="117"/>
      <c r="T713" s="117"/>
      <c r="V713" s="117"/>
      <c r="X713" s="117"/>
      <c r="Y713" s="10"/>
      <c r="Z713" s="11"/>
      <c r="AA713" s="36"/>
      <c r="AB713" s="36"/>
      <c r="AC713" s="13"/>
      <c r="AD713" s="13"/>
      <c r="AE713" s="37"/>
      <c r="AF713" s="37"/>
      <c r="AG713" s="14"/>
      <c r="AH713" s="14"/>
      <c r="AI713" s="14"/>
      <c r="AZ713" s="24"/>
    </row>
    <row r="714">
      <c r="B714" s="24"/>
      <c r="E714" s="113"/>
      <c r="F714" s="266"/>
      <c r="G714" s="113"/>
      <c r="K714" s="36"/>
      <c r="L714" s="117"/>
      <c r="N714" s="117"/>
      <c r="R714" s="117"/>
      <c r="T714" s="117"/>
      <c r="V714" s="117"/>
      <c r="X714" s="117"/>
      <c r="Y714" s="10"/>
      <c r="Z714" s="11"/>
      <c r="AA714" s="36"/>
      <c r="AB714" s="36"/>
      <c r="AC714" s="13"/>
      <c r="AD714" s="13"/>
      <c r="AE714" s="37"/>
      <c r="AF714" s="37"/>
      <c r="AG714" s="14"/>
      <c r="AH714" s="14"/>
      <c r="AI714" s="14"/>
      <c r="AZ714" s="24"/>
    </row>
    <row r="715">
      <c r="B715" s="24"/>
      <c r="E715" s="113"/>
      <c r="F715" s="266"/>
      <c r="G715" s="113"/>
      <c r="K715" s="36"/>
      <c r="L715" s="117"/>
      <c r="N715" s="117"/>
      <c r="R715" s="117"/>
      <c r="T715" s="117"/>
      <c r="V715" s="117"/>
      <c r="X715" s="117"/>
      <c r="Y715" s="10"/>
      <c r="Z715" s="11"/>
      <c r="AA715" s="36"/>
      <c r="AB715" s="36"/>
      <c r="AC715" s="13"/>
      <c r="AD715" s="13"/>
      <c r="AE715" s="37"/>
      <c r="AF715" s="37"/>
      <c r="AG715" s="14"/>
      <c r="AH715" s="14"/>
      <c r="AI715" s="14"/>
      <c r="AZ715" s="24"/>
    </row>
    <row r="716">
      <c r="B716" s="24"/>
      <c r="E716" s="113"/>
      <c r="F716" s="266"/>
      <c r="G716" s="113"/>
      <c r="K716" s="36"/>
      <c r="L716" s="117"/>
      <c r="N716" s="117"/>
      <c r="R716" s="117"/>
      <c r="T716" s="117"/>
      <c r="V716" s="117"/>
      <c r="X716" s="117"/>
      <c r="Y716" s="10"/>
      <c r="Z716" s="11"/>
      <c r="AA716" s="36"/>
      <c r="AB716" s="36"/>
      <c r="AC716" s="13"/>
      <c r="AD716" s="13"/>
      <c r="AE716" s="37"/>
      <c r="AF716" s="37"/>
      <c r="AG716" s="14"/>
      <c r="AH716" s="14"/>
      <c r="AI716" s="14"/>
      <c r="AZ716" s="24"/>
    </row>
    <row r="717">
      <c r="B717" s="24"/>
      <c r="E717" s="113"/>
      <c r="F717" s="266"/>
      <c r="G717" s="113"/>
      <c r="K717" s="36"/>
      <c r="L717" s="117"/>
      <c r="N717" s="117"/>
      <c r="R717" s="117"/>
      <c r="T717" s="117"/>
      <c r="V717" s="117"/>
      <c r="X717" s="117"/>
      <c r="Y717" s="10"/>
      <c r="Z717" s="11"/>
      <c r="AA717" s="36"/>
      <c r="AB717" s="36"/>
      <c r="AC717" s="13"/>
      <c r="AD717" s="13"/>
      <c r="AE717" s="37"/>
      <c r="AF717" s="37"/>
      <c r="AG717" s="14"/>
      <c r="AH717" s="14"/>
      <c r="AI717" s="14"/>
      <c r="AZ717" s="24"/>
    </row>
    <row r="718">
      <c r="B718" s="24"/>
      <c r="E718" s="113"/>
      <c r="F718" s="266"/>
      <c r="G718" s="113"/>
      <c r="K718" s="36"/>
      <c r="L718" s="117"/>
      <c r="N718" s="117"/>
      <c r="R718" s="117"/>
      <c r="T718" s="117"/>
      <c r="V718" s="117"/>
      <c r="X718" s="117"/>
      <c r="Y718" s="10"/>
      <c r="Z718" s="11"/>
      <c r="AA718" s="36"/>
      <c r="AB718" s="36"/>
      <c r="AC718" s="13"/>
      <c r="AD718" s="13"/>
      <c r="AE718" s="37"/>
      <c r="AF718" s="37"/>
      <c r="AG718" s="14"/>
      <c r="AH718" s="14"/>
      <c r="AI718" s="14"/>
      <c r="AZ718" s="24"/>
    </row>
    <row r="719">
      <c r="B719" s="24"/>
      <c r="E719" s="113"/>
      <c r="F719" s="266"/>
      <c r="G719" s="113"/>
      <c r="K719" s="36"/>
      <c r="L719" s="117"/>
      <c r="N719" s="117"/>
      <c r="R719" s="117"/>
      <c r="T719" s="117"/>
      <c r="V719" s="117"/>
      <c r="X719" s="117"/>
      <c r="Y719" s="10"/>
      <c r="Z719" s="11"/>
      <c r="AA719" s="36"/>
      <c r="AB719" s="36"/>
      <c r="AC719" s="13"/>
      <c r="AD719" s="13"/>
      <c r="AE719" s="37"/>
      <c r="AF719" s="37"/>
      <c r="AG719" s="14"/>
      <c r="AH719" s="14"/>
      <c r="AI719" s="14"/>
      <c r="AZ719" s="24"/>
    </row>
    <row r="720">
      <c r="B720" s="24"/>
      <c r="E720" s="113"/>
      <c r="F720" s="266"/>
      <c r="G720" s="113"/>
      <c r="K720" s="36"/>
      <c r="L720" s="117"/>
      <c r="N720" s="117"/>
      <c r="R720" s="117"/>
      <c r="T720" s="117"/>
      <c r="V720" s="117"/>
      <c r="X720" s="117"/>
      <c r="Y720" s="10"/>
      <c r="Z720" s="11"/>
      <c r="AA720" s="36"/>
      <c r="AB720" s="36"/>
      <c r="AC720" s="13"/>
      <c r="AD720" s="13"/>
      <c r="AE720" s="37"/>
      <c r="AF720" s="37"/>
      <c r="AG720" s="14"/>
      <c r="AH720" s="14"/>
      <c r="AI720" s="14"/>
      <c r="AZ720" s="24"/>
    </row>
    <row r="721">
      <c r="B721" s="24"/>
      <c r="E721" s="113"/>
      <c r="F721" s="266"/>
      <c r="G721" s="113"/>
      <c r="K721" s="36"/>
      <c r="L721" s="117"/>
      <c r="N721" s="117"/>
      <c r="R721" s="117"/>
      <c r="T721" s="117"/>
      <c r="V721" s="117"/>
      <c r="X721" s="117"/>
      <c r="Y721" s="10"/>
      <c r="Z721" s="11"/>
      <c r="AA721" s="36"/>
      <c r="AB721" s="36"/>
      <c r="AC721" s="13"/>
      <c r="AD721" s="13"/>
      <c r="AE721" s="37"/>
      <c r="AF721" s="37"/>
      <c r="AG721" s="14"/>
      <c r="AH721" s="14"/>
      <c r="AI721" s="14"/>
      <c r="AZ721" s="24"/>
    </row>
    <row r="722">
      <c r="B722" s="24"/>
      <c r="E722" s="113"/>
      <c r="F722" s="266"/>
      <c r="G722" s="113"/>
      <c r="K722" s="36"/>
      <c r="L722" s="117"/>
      <c r="N722" s="117"/>
      <c r="R722" s="117"/>
      <c r="T722" s="117"/>
      <c r="V722" s="117"/>
      <c r="X722" s="117"/>
      <c r="Y722" s="10"/>
      <c r="Z722" s="11"/>
      <c r="AA722" s="36"/>
      <c r="AB722" s="36"/>
      <c r="AC722" s="13"/>
      <c r="AD722" s="13"/>
      <c r="AE722" s="37"/>
      <c r="AF722" s="37"/>
      <c r="AG722" s="14"/>
      <c r="AH722" s="14"/>
      <c r="AI722" s="14"/>
      <c r="AZ722" s="24"/>
    </row>
    <row r="723">
      <c r="B723" s="24"/>
      <c r="E723" s="113"/>
      <c r="F723" s="266"/>
      <c r="G723" s="113"/>
      <c r="K723" s="36"/>
      <c r="L723" s="117"/>
      <c r="N723" s="117"/>
      <c r="R723" s="117"/>
      <c r="T723" s="117"/>
      <c r="V723" s="117"/>
      <c r="X723" s="117"/>
      <c r="Y723" s="10"/>
      <c r="Z723" s="11"/>
      <c r="AA723" s="36"/>
      <c r="AB723" s="36"/>
      <c r="AC723" s="13"/>
      <c r="AD723" s="13"/>
      <c r="AE723" s="37"/>
      <c r="AF723" s="37"/>
      <c r="AG723" s="14"/>
      <c r="AH723" s="14"/>
      <c r="AI723" s="14"/>
      <c r="AZ723" s="24"/>
    </row>
    <row r="724">
      <c r="B724" s="24"/>
      <c r="E724" s="113"/>
      <c r="F724" s="266"/>
      <c r="G724" s="113"/>
      <c r="K724" s="36"/>
      <c r="L724" s="117"/>
      <c r="N724" s="117"/>
      <c r="R724" s="117"/>
      <c r="T724" s="117"/>
      <c r="V724" s="117"/>
      <c r="X724" s="117"/>
      <c r="Y724" s="10"/>
      <c r="Z724" s="11"/>
      <c r="AA724" s="36"/>
      <c r="AB724" s="36"/>
      <c r="AC724" s="13"/>
      <c r="AD724" s="13"/>
      <c r="AE724" s="37"/>
      <c r="AF724" s="37"/>
      <c r="AG724" s="14"/>
      <c r="AH724" s="14"/>
      <c r="AI724" s="14"/>
      <c r="AZ724" s="24"/>
    </row>
    <row r="725">
      <c r="B725" s="24"/>
      <c r="E725" s="113"/>
      <c r="F725" s="266"/>
      <c r="G725" s="113"/>
      <c r="K725" s="36"/>
      <c r="L725" s="117"/>
      <c r="N725" s="117"/>
      <c r="R725" s="117"/>
      <c r="T725" s="117"/>
      <c r="V725" s="117"/>
      <c r="X725" s="117"/>
      <c r="Y725" s="10"/>
      <c r="Z725" s="11"/>
      <c r="AA725" s="36"/>
      <c r="AB725" s="36"/>
      <c r="AC725" s="13"/>
      <c r="AD725" s="13"/>
      <c r="AE725" s="37"/>
      <c r="AF725" s="37"/>
      <c r="AG725" s="14"/>
      <c r="AH725" s="14"/>
      <c r="AI725" s="14"/>
      <c r="AZ725" s="24"/>
    </row>
    <row r="726">
      <c r="B726" s="24"/>
      <c r="E726" s="113"/>
      <c r="F726" s="266"/>
      <c r="G726" s="113"/>
      <c r="K726" s="36"/>
      <c r="L726" s="117"/>
      <c r="N726" s="117"/>
      <c r="R726" s="117"/>
      <c r="T726" s="117"/>
      <c r="V726" s="117"/>
      <c r="X726" s="117"/>
      <c r="Y726" s="10"/>
      <c r="Z726" s="11"/>
      <c r="AA726" s="36"/>
      <c r="AB726" s="36"/>
      <c r="AC726" s="13"/>
      <c r="AD726" s="13"/>
      <c r="AE726" s="37"/>
      <c r="AF726" s="37"/>
      <c r="AG726" s="14"/>
      <c r="AH726" s="14"/>
      <c r="AI726" s="14"/>
      <c r="AZ726" s="24"/>
    </row>
    <row r="727">
      <c r="B727" s="24"/>
      <c r="E727" s="113"/>
      <c r="F727" s="266"/>
      <c r="G727" s="113"/>
      <c r="K727" s="36"/>
      <c r="L727" s="117"/>
      <c r="N727" s="117"/>
      <c r="R727" s="117"/>
      <c r="T727" s="117"/>
      <c r="V727" s="117"/>
      <c r="X727" s="117"/>
      <c r="Y727" s="10"/>
      <c r="Z727" s="11"/>
      <c r="AA727" s="36"/>
      <c r="AB727" s="36"/>
      <c r="AC727" s="13"/>
      <c r="AD727" s="13"/>
      <c r="AE727" s="37"/>
      <c r="AF727" s="37"/>
      <c r="AG727" s="14"/>
      <c r="AH727" s="14"/>
      <c r="AI727" s="14"/>
      <c r="AZ727" s="24"/>
    </row>
    <row r="728">
      <c r="B728" s="24"/>
      <c r="E728" s="113"/>
      <c r="F728" s="266"/>
      <c r="G728" s="113"/>
      <c r="K728" s="36"/>
      <c r="L728" s="117"/>
      <c r="N728" s="117"/>
      <c r="R728" s="117"/>
      <c r="T728" s="117"/>
      <c r="V728" s="117"/>
      <c r="X728" s="117"/>
      <c r="Y728" s="10"/>
      <c r="Z728" s="11"/>
      <c r="AA728" s="36"/>
      <c r="AB728" s="36"/>
      <c r="AC728" s="13"/>
      <c r="AD728" s="13"/>
      <c r="AE728" s="37"/>
      <c r="AF728" s="37"/>
      <c r="AG728" s="14"/>
      <c r="AH728" s="14"/>
      <c r="AI728" s="14"/>
      <c r="AZ728" s="24"/>
    </row>
    <row r="729">
      <c r="B729" s="24"/>
      <c r="E729" s="113"/>
      <c r="F729" s="266"/>
      <c r="G729" s="113"/>
      <c r="K729" s="36"/>
      <c r="L729" s="117"/>
      <c r="N729" s="117"/>
      <c r="R729" s="117"/>
      <c r="T729" s="117"/>
      <c r="V729" s="117"/>
      <c r="X729" s="117"/>
      <c r="Y729" s="10"/>
      <c r="Z729" s="11"/>
      <c r="AA729" s="36"/>
      <c r="AB729" s="36"/>
      <c r="AC729" s="13"/>
      <c r="AD729" s="13"/>
      <c r="AE729" s="37"/>
      <c r="AF729" s="37"/>
      <c r="AG729" s="14"/>
      <c r="AH729" s="14"/>
      <c r="AI729" s="14"/>
      <c r="AZ729" s="24"/>
    </row>
    <row r="730">
      <c r="B730" s="24"/>
      <c r="E730" s="113"/>
      <c r="F730" s="266"/>
      <c r="G730" s="113"/>
      <c r="K730" s="36"/>
      <c r="L730" s="117"/>
      <c r="N730" s="117"/>
      <c r="R730" s="117"/>
      <c r="T730" s="117"/>
      <c r="V730" s="117"/>
      <c r="X730" s="117"/>
      <c r="Y730" s="10"/>
      <c r="Z730" s="11"/>
      <c r="AA730" s="36"/>
      <c r="AB730" s="36"/>
      <c r="AC730" s="13"/>
      <c r="AD730" s="13"/>
      <c r="AE730" s="37"/>
      <c r="AF730" s="37"/>
      <c r="AG730" s="14"/>
      <c r="AH730" s="14"/>
      <c r="AI730" s="14"/>
      <c r="AZ730" s="24"/>
    </row>
    <row r="731">
      <c r="B731" s="24"/>
      <c r="E731" s="113"/>
      <c r="F731" s="266"/>
      <c r="G731" s="113"/>
      <c r="K731" s="36"/>
      <c r="L731" s="117"/>
      <c r="N731" s="117"/>
      <c r="R731" s="117"/>
      <c r="T731" s="117"/>
      <c r="V731" s="117"/>
      <c r="X731" s="117"/>
      <c r="Y731" s="10"/>
      <c r="Z731" s="11"/>
      <c r="AA731" s="36"/>
      <c r="AB731" s="36"/>
      <c r="AC731" s="13"/>
      <c r="AD731" s="13"/>
      <c r="AE731" s="37"/>
      <c r="AF731" s="37"/>
      <c r="AG731" s="14"/>
      <c r="AH731" s="14"/>
      <c r="AI731" s="14"/>
      <c r="AZ731" s="24"/>
    </row>
    <row r="732">
      <c r="B732" s="24"/>
      <c r="E732" s="113"/>
      <c r="F732" s="266"/>
      <c r="G732" s="113"/>
      <c r="K732" s="36"/>
      <c r="L732" s="117"/>
      <c r="N732" s="117"/>
      <c r="R732" s="117"/>
      <c r="T732" s="117"/>
      <c r="V732" s="117"/>
      <c r="X732" s="117"/>
      <c r="Y732" s="10"/>
      <c r="Z732" s="11"/>
      <c r="AA732" s="36"/>
      <c r="AB732" s="36"/>
      <c r="AC732" s="13"/>
      <c r="AD732" s="13"/>
      <c r="AE732" s="37"/>
      <c r="AF732" s="37"/>
      <c r="AG732" s="14"/>
      <c r="AH732" s="14"/>
      <c r="AI732" s="14"/>
      <c r="AZ732" s="24"/>
    </row>
    <row r="733">
      <c r="B733" s="24"/>
      <c r="E733" s="113"/>
      <c r="F733" s="266"/>
      <c r="G733" s="113"/>
      <c r="K733" s="36"/>
      <c r="L733" s="117"/>
      <c r="N733" s="117"/>
      <c r="R733" s="117"/>
      <c r="T733" s="117"/>
      <c r="V733" s="117"/>
      <c r="X733" s="117"/>
      <c r="Y733" s="10"/>
      <c r="Z733" s="11"/>
      <c r="AA733" s="36"/>
      <c r="AB733" s="36"/>
      <c r="AC733" s="13"/>
      <c r="AD733" s="13"/>
      <c r="AE733" s="37"/>
      <c r="AF733" s="37"/>
      <c r="AG733" s="14"/>
      <c r="AH733" s="14"/>
      <c r="AI733" s="14"/>
      <c r="AZ733" s="24"/>
    </row>
    <row r="734">
      <c r="B734" s="24"/>
      <c r="E734" s="113"/>
      <c r="F734" s="266"/>
      <c r="G734" s="113"/>
      <c r="K734" s="36"/>
      <c r="L734" s="117"/>
      <c r="N734" s="117"/>
      <c r="R734" s="117"/>
      <c r="T734" s="117"/>
      <c r="V734" s="117"/>
      <c r="X734" s="117"/>
      <c r="Y734" s="10"/>
      <c r="Z734" s="11"/>
      <c r="AA734" s="36"/>
      <c r="AB734" s="36"/>
      <c r="AC734" s="13"/>
      <c r="AD734" s="13"/>
      <c r="AE734" s="37"/>
      <c r="AF734" s="37"/>
      <c r="AG734" s="14"/>
      <c r="AH734" s="14"/>
      <c r="AI734" s="14"/>
      <c r="AZ734" s="24"/>
    </row>
    <row r="735">
      <c r="B735" s="24"/>
      <c r="E735" s="113"/>
      <c r="F735" s="266"/>
      <c r="G735" s="113"/>
      <c r="K735" s="36"/>
      <c r="L735" s="117"/>
      <c r="N735" s="117"/>
      <c r="R735" s="117"/>
      <c r="T735" s="117"/>
      <c r="V735" s="117"/>
      <c r="X735" s="117"/>
      <c r="Y735" s="10"/>
      <c r="Z735" s="11"/>
      <c r="AA735" s="36"/>
      <c r="AB735" s="36"/>
      <c r="AC735" s="13"/>
      <c r="AD735" s="13"/>
      <c r="AE735" s="37"/>
      <c r="AF735" s="37"/>
      <c r="AG735" s="14"/>
      <c r="AH735" s="14"/>
      <c r="AI735" s="14"/>
      <c r="AZ735" s="24"/>
    </row>
    <row r="736">
      <c r="B736" s="24"/>
      <c r="E736" s="113"/>
      <c r="F736" s="266"/>
      <c r="G736" s="113"/>
      <c r="K736" s="36"/>
      <c r="L736" s="117"/>
      <c r="N736" s="117"/>
      <c r="R736" s="117"/>
      <c r="T736" s="117"/>
      <c r="V736" s="117"/>
      <c r="X736" s="117"/>
      <c r="Y736" s="10"/>
      <c r="Z736" s="11"/>
      <c r="AA736" s="36"/>
      <c r="AB736" s="36"/>
      <c r="AC736" s="13"/>
      <c r="AD736" s="13"/>
      <c r="AE736" s="37"/>
      <c r="AF736" s="37"/>
      <c r="AG736" s="14"/>
      <c r="AH736" s="14"/>
      <c r="AI736" s="14"/>
      <c r="AZ736" s="24"/>
    </row>
    <row r="737">
      <c r="B737" s="24"/>
      <c r="E737" s="113"/>
      <c r="F737" s="266"/>
      <c r="G737" s="113"/>
      <c r="K737" s="36"/>
      <c r="L737" s="117"/>
      <c r="N737" s="117"/>
      <c r="R737" s="117"/>
      <c r="T737" s="117"/>
      <c r="V737" s="117"/>
      <c r="X737" s="117"/>
      <c r="Y737" s="10"/>
      <c r="Z737" s="11"/>
      <c r="AA737" s="36"/>
      <c r="AB737" s="36"/>
      <c r="AC737" s="13"/>
      <c r="AD737" s="13"/>
      <c r="AE737" s="37"/>
      <c r="AF737" s="37"/>
      <c r="AG737" s="14"/>
      <c r="AH737" s="14"/>
      <c r="AI737" s="14"/>
      <c r="AZ737" s="24"/>
    </row>
    <row r="738">
      <c r="B738" s="24"/>
      <c r="E738" s="113"/>
      <c r="F738" s="266"/>
      <c r="G738" s="113"/>
      <c r="K738" s="36"/>
      <c r="L738" s="117"/>
      <c r="N738" s="117"/>
      <c r="R738" s="117"/>
      <c r="T738" s="117"/>
      <c r="V738" s="117"/>
      <c r="X738" s="117"/>
      <c r="Y738" s="10"/>
      <c r="Z738" s="11"/>
      <c r="AA738" s="36"/>
      <c r="AB738" s="36"/>
      <c r="AC738" s="13"/>
      <c r="AD738" s="13"/>
      <c r="AE738" s="37"/>
      <c r="AF738" s="37"/>
      <c r="AG738" s="14"/>
      <c r="AH738" s="14"/>
      <c r="AI738" s="14"/>
      <c r="AZ738" s="24"/>
    </row>
    <row r="739">
      <c r="B739" s="24"/>
      <c r="E739" s="113"/>
      <c r="F739" s="266"/>
      <c r="G739" s="113"/>
      <c r="K739" s="36"/>
      <c r="L739" s="117"/>
      <c r="N739" s="117"/>
      <c r="R739" s="117"/>
      <c r="T739" s="117"/>
      <c r="V739" s="117"/>
      <c r="X739" s="117"/>
      <c r="Y739" s="10"/>
      <c r="Z739" s="11"/>
      <c r="AA739" s="36"/>
      <c r="AB739" s="36"/>
      <c r="AC739" s="13"/>
      <c r="AD739" s="13"/>
      <c r="AE739" s="37"/>
      <c r="AF739" s="37"/>
      <c r="AG739" s="14"/>
      <c r="AH739" s="14"/>
      <c r="AI739" s="14"/>
      <c r="AZ739" s="24"/>
    </row>
    <row r="740">
      <c r="B740" s="24"/>
      <c r="E740" s="113"/>
      <c r="F740" s="266"/>
      <c r="G740" s="113"/>
      <c r="K740" s="36"/>
      <c r="L740" s="117"/>
      <c r="N740" s="117"/>
      <c r="R740" s="117"/>
      <c r="T740" s="117"/>
      <c r="V740" s="117"/>
      <c r="X740" s="117"/>
      <c r="Y740" s="10"/>
      <c r="Z740" s="11"/>
      <c r="AA740" s="36"/>
      <c r="AB740" s="36"/>
      <c r="AC740" s="13"/>
      <c r="AD740" s="13"/>
      <c r="AE740" s="37"/>
      <c r="AF740" s="37"/>
      <c r="AG740" s="14"/>
      <c r="AH740" s="14"/>
      <c r="AI740" s="14"/>
      <c r="AZ740" s="24"/>
    </row>
    <row r="741">
      <c r="B741" s="24"/>
      <c r="E741" s="113"/>
      <c r="F741" s="266"/>
      <c r="G741" s="113"/>
      <c r="K741" s="36"/>
      <c r="L741" s="117"/>
      <c r="N741" s="117"/>
      <c r="R741" s="117"/>
      <c r="T741" s="117"/>
      <c r="V741" s="117"/>
      <c r="X741" s="117"/>
      <c r="Y741" s="10"/>
      <c r="Z741" s="11"/>
      <c r="AA741" s="36"/>
      <c r="AB741" s="36"/>
      <c r="AC741" s="13"/>
      <c r="AD741" s="13"/>
      <c r="AE741" s="37"/>
      <c r="AF741" s="37"/>
      <c r="AG741" s="14"/>
      <c r="AH741" s="14"/>
      <c r="AI741" s="14"/>
      <c r="AZ741" s="24"/>
    </row>
    <row r="742">
      <c r="B742" s="24"/>
      <c r="E742" s="113"/>
      <c r="F742" s="266"/>
      <c r="G742" s="113"/>
      <c r="K742" s="36"/>
      <c r="L742" s="117"/>
      <c r="N742" s="117"/>
      <c r="R742" s="117"/>
      <c r="T742" s="117"/>
      <c r="V742" s="117"/>
      <c r="X742" s="117"/>
      <c r="Y742" s="10"/>
      <c r="Z742" s="11"/>
      <c r="AA742" s="36"/>
      <c r="AB742" s="36"/>
      <c r="AC742" s="13"/>
      <c r="AD742" s="13"/>
      <c r="AE742" s="37"/>
      <c r="AF742" s="37"/>
      <c r="AG742" s="14"/>
      <c r="AH742" s="14"/>
      <c r="AI742" s="14"/>
      <c r="AZ742" s="24"/>
    </row>
    <row r="743">
      <c r="B743" s="24"/>
      <c r="E743" s="113"/>
      <c r="F743" s="266"/>
      <c r="G743" s="113"/>
      <c r="K743" s="36"/>
      <c r="L743" s="117"/>
      <c r="N743" s="117"/>
      <c r="R743" s="117"/>
      <c r="T743" s="117"/>
      <c r="V743" s="117"/>
      <c r="X743" s="117"/>
      <c r="Y743" s="10"/>
      <c r="Z743" s="11"/>
      <c r="AA743" s="36"/>
      <c r="AB743" s="36"/>
      <c r="AC743" s="13"/>
      <c r="AD743" s="13"/>
      <c r="AE743" s="37"/>
      <c r="AF743" s="37"/>
      <c r="AG743" s="14"/>
      <c r="AH743" s="14"/>
      <c r="AI743" s="14"/>
      <c r="AZ743" s="24"/>
    </row>
    <row r="744">
      <c r="B744" s="24"/>
      <c r="E744" s="113"/>
      <c r="F744" s="266"/>
      <c r="G744" s="113"/>
      <c r="K744" s="36"/>
      <c r="L744" s="117"/>
      <c r="N744" s="117"/>
      <c r="R744" s="117"/>
      <c r="T744" s="117"/>
      <c r="V744" s="117"/>
      <c r="X744" s="117"/>
      <c r="Y744" s="10"/>
      <c r="Z744" s="11"/>
      <c r="AA744" s="36"/>
      <c r="AB744" s="36"/>
      <c r="AC744" s="13"/>
      <c r="AD744" s="13"/>
      <c r="AE744" s="37"/>
      <c r="AF744" s="37"/>
      <c r="AG744" s="14"/>
      <c r="AH744" s="14"/>
      <c r="AI744" s="14"/>
      <c r="AZ744" s="24"/>
    </row>
    <row r="745">
      <c r="B745" s="24"/>
      <c r="E745" s="113"/>
      <c r="F745" s="266"/>
      <c r="G745" s="113"/>
      <c r="K745" s="36"/>
      <c r="L745" s="117"/>
      <c r="N745" s="117"/>
      <c r="R745" s="117"/>
      <c r="T745" s="117"/>
      <c r="V745" s="117"/>
      <c r="X745" s="117"/>
      <c r="Y745" s="10"/>
      <c r="Z745" s="11"/>
      <c r="AA745" s="36"/>
      <c r="AB745" s="36"/>
      <c r="AC745" s="13"/>
      <c r="AD745" s="13"/>
      <c r="AE745" s="37"/>
      <c r="AF745" s="37"/>
      <c r="AG745" s="14"/>
      <c r="AH745" s="14"/>
      <c r="AI745" s="14"/>
      <c r="AZ745" s="24"/>
    </row>
    <row r="746">
      <c r="B746" s="24"/>
      <c r="E746" s="113"/>
      <c r="F746" s="266"/>
      <c r="G746" s="113"/>
      <c r="K746" s="36"/>
      <c r="L746" s="117"/>
      <c r="N746" s="117"/>
      <c r="R746" s="117"/>
      <c r="T746" s="117"/>
      <c r="V746" s="117"/>
      <c r="X746" s="117"/>
      <c r="Y746" s="10"/>
      <c r="Z746" s="11"/>
      <c r="AA746" s="36"/>
      <c r="AB746" s="36"/>
      <c r="AC746" s="13"/>
      <c r="AD746" s="13"/>
      <c r="AE746" s="37"/>
      <c r="AF746" s="37"/>
      <c r="AG746" s="14"/>
      <c r="AH746" s="14"/>
      <c r="AI746" s="14"/>
      <c r="AZ746" s="24"/>
    </row>
    <row r="747">
      <c r="B747" s="24"/>
      <c r="E747" s="113"/>
      <c r="F747" s="266"/>
      <c r="G747" s="113"/>
      <c r="K747" s="36"/>
      <c r="L747" s="117"/>
      <c r="N747" s="117"/>
      <c r="R747" s="117"/>
      <c r="T747" s="117"/>
      <c r="V747" s="117"/>
      <c r="X747" s="117"/>
      <c r="Y747" s="10"/>
      <c r="Z747" s="11"/>
      <c r="AA747" s="36"/>
      <c r="AB747" s="36"/>
      <c r="AC747" s="13"/>
      <c r="AD747" s="13"/>
      <c r="AE747" s="37"/>
      <c r="AF747" s="37"/>
      <c r="AG747" s="14"/>
      <c r="AH747" s="14"/>
      <c r="AI747" s="14"/>
      <c r="AZ747" s="24"/>
    </row>
    <row r="748">
      <c r="B748" s="24"/>
      <c r="E748" s="113"/>
      <c r="F748" s="266"/>
      <c r="G748" s="113"/>
      <c r="K748" s="36"/>
      <c r="L748" s="117"/>
      <c r="N748" s="117"/>
      <c r="R748" s="117"/>
      <c r="T748" s="117"/>
      <c r="V748" s="117"/>
      <c r="X748" s="117"/>
      <c r="Y748" s="10"/>
      <c r="Z748" s="11"/>
      <c r="AA748" s="36"/>
      <c r="AB748" s="36"/>
      <c r="AC748" s="13"/>
      <c r="AD748" s="13"/>
      <c r="AE748" s="37"/>
      <c r="AF748" s="37"/>
      <c r="AG748" s="14"/>
      <c r="AH748" s="14"/>
      <c r="AI748" s="14"/>
      <c r="AZ748" s="24"/>
    </row>
    <row r="749">
      <c r="B749" s="24"/>
      <c r="E749" s="113"/>
      <c r="F749" s="266"/>
      <c r="G749" s="113"/>
      <c r="K749" s="36"/>
      <c r="L749" s="117"/>
      <c r="N749" s="117"/>
      <c r="R749" s="117"/>
      <c r="T749" s="117"/>
      <c r="V749" s="117"/>
      <c r="X749" s="117"/>
      <c r="Y749" s="10"/>
      <c r="Z749" s="11"/>
      <c r="AA749" s="36"/>
      <c r="AB749" s="36"/>
      <c r="AC749" s="13"/>
      <c r="AD749" s="13"/>
      <c r="AE749" s="37"/>
      <c r="AF749" s="37"/>
      <c r="AG749" s="14"/>
      <c r="AH749" s="14"/>
      <c r="AI749" s="14"/>
      <c r="AZ749" s="24"/>
    </row>
    <row r="750">
      <c r="B750" s="24"/>
      <c r="E750" s="113"/>
      <c r="F750" s="266"/>
      <c r="G750" s="113"/>
      <c r="K750" s="36"/>
      <c r="L750" s="117"/>
      <c r="N750" s="117"/>
      <c r="R750" s="117"/>
      <c r="T750" s="117"/>
      <c r="V750" s="117"/>
      <c r="X750" s="117"/>
      <c r="Y750" s="10"/>
      <c r="Z750" s="11"/>
      <c r="AA750" s="36"/>
      <c r="AB750" s="36"/>
      <c r="AC750" s="13"/>
      <c r="AD750" s="13"/>
      <c r="AE750" s="37"/>
      <c r="AF750" s="37"/>
      <c r="AG750" s="14"/>
      <c r="AH750" s="14"/>
      <c r="AI750" s="14"/>
      <c r="AZ750" s="24"/>
    </row>
    <row r="751">
      <c r="B751" s="24"/>
      <c r="E751" s="113"/>
      <c r="F751" s="266"/>
      <c r="G751" s="113"/>
      <c r="K751" s="36"/>
      <c r="L751" s="117"/>
      <c r="N751" s="117"/>
      <c r="R751" s="117"/>
      <c r="T751" s="117"/>
      <c r="V751" s="117"/>
      <c r="X751" s="117"/>
      <c r="Y751" s="10"/>
      <c r="Z751" s="11"/>
      <c r="AA751" s="36"/>
      <c r="AB751" s="36"/>
      <c r="AC751" s="13"/>
      <c r="AD751" s="13"/>
      <c r="AE751" s="37"/>
      <c r="AF751" s="37"/>
      <c r="AG751" s="14"/>
      <c r="AH751" s="14"/>
      <c r="AI751" s="14"/>
      <c r="AZ751" s="24"/>
    </row>
    <row r="752">
      <c r="B752" s="24"/>
      <c r="E752" s="113"/>
      <c r="F752" s="266"/>
      <c r="G752" s="113"/>
      <c r="K752" s="36"/>
      <c r="L752" s="117"/>
      <c r="N752" s="117"/>
      <c r="R752" s="117"/>
      <c r="T752" s="117"/>
      <c r="V752" s="117"/>
      <c r="X752" s="117"/>
      <c r="Y752" s="10"/>
      <c r="Z752" s="11"/>
      <c r="AA752" s="36"/>
      <c r="AB752" s="36"/>
      <c r="AC752" s="13"/>
      <c r="AD752" s="13"/>
      <c r="AE752" s="37"/>
      <c r="AF752" s="37"/>
      <c r="AG752" s="14"/>
      <c r="AH752" s="14"/>
      <c r="AI752" s="14"/>
      <c r="AZ752" s="24"/>
    </row>
    <row r="753">
      <c r="B753" s="24"/>
      <c r="E753" s="113"/>
      <c r="F753" s="266"/>
      <c r="G753" s="113"/>
      <c r="K753" s="36"/>
      <c r="L753" s="117"/>
      <c r="N753" s="117"/>
      <c r="R753" s="117"/>
      <c r="T753" s="117"/>
      <c r="V753" s="117"/>
      <c r="X753" s="117"/>
      <c r="Y753" s="10"/>
      <c r="Z753" s="11"/>
      <c r="AA753" s="36"/>
      <c r="AB753" s="36"/>
      <c r="AC753" s="13"/>
      <c r="AD753" s="13"/>
      <c r="AE753" s="37"/>
      <c r="AF753" s="37"/>
      <c r="AG753" s="14"/>
      <c r="AH753" s="14"/>
      <c r="AI753" s="14"/>
      <c r="AZ753" s="24"/>
    </row>
    <row r="754">
      <c r="B754" s="24"/>
      <c r="E754" s="113"/>
      <c r="F754" s="266"/>
      <c r="G754" s="113"/>
      <c r="K754" s="36"/>
      <c r="L754" s="117"/>
      <c r="N754" s="117"/>
      <c r="R754" s="117"/>
      <c r="T754" s="117"/>
      <c r="V754" s="117"/>
      <c r="X754" s="117"/>
      <c r="Y754" s="10"/>
      <c r="Z754" s="11"/>
      <c r="AA754" s="36"/>
      <c r="AB754" s="36"/>
      <c r="AC754" s="13"/>
      <c r="AD754" s="13"/>
      <c r="AE754" s="37"/>
      <c r="AF754" s="37"/>
      <c r="AG754" s="14"/>
      <c r="AH754" s="14"/>
      <c r="AI754" s="14"/>
      <c r="AZ754" s="24"/>
    </row>
    <row r="755">
      <c r="B755" s="24"/>
      <c r="E755" s="113"/>
      <c r="F755" s="266"/>
      <c r="G755" s="113"/>
      <c r="K755" s="36"/>
      <c r="L755" s="117"/>
      <c r="N755" s="117"/>
      <c r="R755" s="117"/>
      <c r="T755" s="117"/>
      <c r="V755" s="117"/>
      <c r="X755" s="117"/>
      <c r="Y755" s="10"/>
      <c r="Z755" s="11"/>
      <c r="AA755" s="36"/>
      <c r="AB755" s="36"/>
      <c r="AC755" s="13"/>
      <c r="AD755" s="13"/>
      <c r="AE755" s="37"/>
      <c r="AF755" s="37"/>
      <c r="AG755" s="14"/>
      <c r="AH755" s="14"/>
      <c r="AI755" s="14"/>
      <c r="AZ755" s="24"/>
    </row>
    <row r="756">
      <c r="B756" s="24"/>
      <c r="E756" s="113"/>
      <c r="F756" s="266"/>
      <c r="G756" s="113"/>
      <c r="K756" s="36"/>
      <c r="L756" s="117"/>
      <c r="N756" s="117"/>
      <c r="R756" s="117"/>
      <c r="T756" s="117"/>
      <c r="V756" s="117"/>
      <c r="X756" s="117"/>
      <c r="Y756" s="10"/>
      <c r="Z756" s="11"/>
      <c r="AA756" s="36"/>
      <c r="AB756" s="36"/>
      <c r="AC756" s="13"/>
      <c r="AD756" s="13"/>
      <c r="AE756" s="37"/>
      <c r="AF756" s="37"/>
      <c r="AG756" s="14"/>
      <c r="AH756" s="14"/>
      <c r="AI756" s="14"/>
      <c r="AZ756" s="24"/>
    </row>
    <row r="757">
      <c r="B757" s="24"/>
      <c r="E757" s="113"/>
      <c r="F757" s="266"/>
      <c r="G757" s="113"/>
      <c r="K757" s="36"/>
      <c r="L757" s="117"/>
      <c r="N757" s="117"/>
      <c r="R757" s="117"/>
      <c r="T757" s="117"/>
      <c r="V757" s="117"/>
      <c r="X757" s="117"/>
      <c r="Y757" s="10"/>
      <c r="Z757" s="11"/>
      <c r="AA757" s="36"/>
      <c r="AB757" s="36"/>
      <c r="AC757" s="13"/>
      <c r="AD757" s="13"/>
      <c r="AE757" s="37"/>
      <c r="AF757" s="37"/>
      <c r="AG757" s="14"/>
      <c r="AH757" s="14"/>
      <c r="AI757" s="14"/>
      <c r="AZ757" s="24"/>
    </row>
    <row r="758">
      <c r="B758" s="24"/>
      <c r="E758" s="113"/>
      <c r="F758" s="266"/>
      <c r="G758" s="113"/>
      <c r="K758" s="36"/>
      <c r="L758" s="117"/>
      <c r="N758" s="117"/>
      <c r="R758" s="117"/>
      <c r="T758" s="117"/>
      <c r="V758" s="117"/>
      <c r="X758" s="117"/>
      <c r="Y758" s="10"/>
      <c r="Z758" s="11"/>
      <c r="AA758" s="36"/>
      <c r="AB758" s="36"/>
      <c r="AC758" s="13"/>
      <c r="AD758" s="13"/>
      <c r="AE758" s="37"/>
      <c r="AF758" s="37"/>
      <c r="AG758" s="14"/>
      <c r="AH758" s="14"/>
      <c r="AI758" s="14"/>
      <c r="AZ758" s="24"/>
    </row>
    <row r="759">
      <c r="B759" s="24"/>
      <c r="E759" s="113"/>
      <c r="F759" s="266"/>
      <c r="G759" s="113"/>
      <c r="K759" s="36"/>
      <c r="L759" s="117"/>
      <c r="N759" s="117"/>
      <c r="R759" s="117"/>
      <c r="T759" s="117"/>
      <c r="V759" s="117"/>
      <c r="X759" s="117"/>
      <c r="Y759" s="10"/>
      <c r="Z759" s="11"/>
      <c r="AA759" s="36"/>
      <c r="AB759" s="36"/>
      <c r="AC759" s="13"/>
      <c r="AD759" s="13"/>
      <c r="AE759" s="37"/>
      <c r="AF759" s="37"/>
      <c r="AG759" s="14"/>
      <c r="AH759" s="14"/>
      <c r="AI759" s="14"/>
      <c r="AZ759" s="24"/>
    </row>
    <row r="760">
      <c r="B760" s="24"/>
      <c r="E760" s="113"/>
      <c r="F760" s="266"/>
      <c r="G760" s="113"/>
      <c r="K760" s="36"/>
      <c r="L760" s="117"/>
      <c r="N760" s="117"/>
      <c r="R760" s="117"/>
      <c r="T760" s="117"/>
      <c r="V760" s="117"/>
      <c r="X760" s="117"/>
      <c r="Y760" s="10"/>
      <c r="Z760" s="11"/>
      <c r="AA760" s="36"/>
      <c r="AB760" s="36"/>
      <c r="AC760" s="13"/>
      <c r="AD760" s="13"/>
      <c r="AE760" s="37"/>
      <c r="AF760" s="37"/>
      <c r="AG760" s="14"/>
      <c r="AH760" s="14"/>
      <c r="AI760" s="14"/>
      <c r="AZ760" s="24"/>
    </row>
    <row r="761">
      <c r="B761" s="24"/>
      <c r="E761" s="113"/>
      <c r="F761" s="266"/>
      <c r="G761" s="113"/>
      <c r="K761" s="36"/>
      <c r="L761" s="117"/>
      <c r="N761" s="117"/>
      <c r="R761" s="117"/>
      <c r="T761" s="117"/>
      <c r="V761" s="117"/>
      <c r="X761" s="117"/>
      <c r="Y761" s="10"/>
      <c r="Z761" s="11"/>
      <c r="AA761" s="36"/>
      <c r="AB761" s="36"/>
      <c r="AC761" s="13"/>
      <c r="AD761" s="13"/>
      <c r="AE761" s="37"/>
      <c r="AF761" s="37"/>
      <c r="AG761" s="14"/>
      <c r="AH761" s="14"/>
      <c r="AI761" s="14"/>
      <c r="AZ761" s="24"/>
    </row>
    <row r="762">
      <c r="B762" s="24"/>
      <c r="E762" s="113"/>
      <c r="F762" s="266"/>
      <c r="G762" s="113"/>
      <c r="K762" s="36"/>
      <c r="L762" s="117"/>
      <c r="N762" s="117"/>
      <c r="R762" s="117"/>
      <c r="T762" s="117"/>
      <c r="V762" s="117"/>
      <c r="X762" s="117"/>
      <c r="Y762" s="10"/>
      <c r="Z762" s="11"/>
      <c r="AA762" s="36"/>
      <c r="AB762" s="36"/>
      <c r="AC762" s="13"/>
      <c r="AD762" s="13"/>
      <c r="AE762" s="37"/>
      <c r="AF762" s="37"/>
      <c r="AG762" s="14"/>
      <c r="AH762" s="14"/>
      <c r="AI762" s="14"/>
      <c r="AZ762" s="24"/>
    </row>
    <row r="763">
      <c r="B763" s="24"/>
      <c r="E763" s="113"/>
      <c r="F763" s="266"/>
      <c r="G763" s="113"/>
      <c r="K763" s="36"/>
      <c r="L763" s="117"/>
      <c r="N763" s="117"/>
      <c r="R763" s="117"/>
      <c r="T763" s="117"/>
      <c r="V763" s="117"/>
      <c r="X763" s="117"/>
      <c r="Y763" s="10"/>
      <c r="Z763" s="11"/>
      <c r="AA763" s="36"/>
      <c r="AB763" s="36"/>
      <c r="AC763" s="13"/>
      <c r="AD763" s="13"/>
      <c r="AE763" s="37"/>
      <c r="AF763" s="37"/>
      <c r="AG763" s="14"/>
      <c r="AH763" s="14"/>
      <c r="AI763" s="14"/>
      <c r="AZ763" s="24"/>
    </row>
    <row r="764">
      <c r="B764" s="24"/>
      <c r="E764" s="113"/>
      <c r="F764" s="266"/>
      <c r="G764" s="113"/>
      <c r="K764" s="36"/>
      <c r="L764" s="117"/>
      <c r="N764" s="117"/>
      <c r="R764" s="117"/>
      <c r="T764" s="117"/>
      <c r="V764" s="117"/>
      <c r="X764" s="117"/>
      <c r="Y764" s="10"/>
      <c r="Z764" s="11"/>
      <c r="AA764" s="36"/>
      <c r="AB764" s="36"/>
      <c r="AC764" s="13"/>
      <c r="AD764" s="13"/>
      <c r="AE764" s="37"/>
      <c r="AF764" s="37"/>
      <c r="AG764" s="14"/>
      <c r="AH764" s="14"/>
      <c r="AI764" s="14"/>
      <c r="AZ764" s="24"/>
    </row>
    <row r="765">
      <c r="B765" s="24"/>
      <c r="E765" s="113"/>
      <c r="F765" s="266"/>
      <c r="G765" s="113"/>
      <c r="K765" s="36"/>
      <c r="L765" s="117"/>
      <c r="N765" s="117"/>
      <c r="R765" s="117"/>
      <c r="T765" s="117"/>
      <c r="V765" s="117"/>
      <c r="X765" s="117"/>
      <c r="Y765" s="10"/>
      <c r="Z765" s="11"/>
      <c r="AA765" s="36"/>
      <c r="AB765" s="36"/>
      <c r="AC765" s="13"/>
      <c r="AD765" s="13"/>
      <c r="AE765" s="37"/>
      <c r="AF765" s="37"/>
      <c r="AG765" s="14"/>
      <c r="AH765" s="14"/>
      <c r="AI765" s="14"/>
      <c r="AZ765" s="24"/>
    </row>
    <row r="766">
      <c r="B766" s="24"/>
      <c r="E766" s="113"/>
      <c r="F766" s="266"/>
      <c r="G766" s="113"/>
      <c r="K766" s="36"/>
      <c r="L766" s="117"/>
      <c r="N766" s="117"/>
      <c r="R766" s="117"/>
      <c r="T766" s="117"/>
      <c r="V766" s="117"/>
      <c r="X766" s="117"/>
      <c r="Y766" s="10"/>
      <c r="Z766" s="11"/>
      <c r="AA766" s="36"/>
      <c r="AB766" s="36"/>
      <c r="AC766" s="13"/>
      <c r="AD766" s="13"/>
      <c r="AE766" s="37"/>
      <c r="AF766" s="37"/>
      <c r="AG766" s="14"/>
      <c r="AH766" s="14"/>
      <c r="AI766" s="14"/>
      <c r="AZ766" s="24"/>
    </row>
    <row r="767">
      <c r="B767" s="24"/>
      <c r="E767" s="113"/>
      <c r="F767" s="266"/>
      <c r="G767" s="113"/>
      <c r="K767" s="36"/>
      <c r="L767" s="117"/>
      <c r="N767" s="117"/>
      <c r="R767" s="117"/>
      <c r="T767" s="117"/>
      <c r="V767" s="117"/>
      <c r="X767" s="117"/>
      <c r="Y767" s="10"/>
      <c r="Z767" s="11"/>
      <c r="AA767" s="36"/>
      <c r="AB767" s="36"/>
      <c r="AC767" s="13"/>
      <c r="AD767" s="13"/>
      <c r="AE767" s="37"/>
      <c r="AF767" s="37"/>
      <c r="AG767" s="14"/>
      <c r="AH767" s="14"/>
      <c r="AI767" s="14"/>
      <c r="AZ767" s="24"/>
    </row>
    <row r="768">
      <c r="B768" s="24"/>
      <c r="E768" s="113"/>
      <c r="F768" s="266"/>
      <c r="G768" s="113"/>
      <c r="K768" s="36"/>
      <c r="L768" s="117"/>
      <c r="N768" s="117"/>
      <c r="R768" s="117"/>
      <c r="T768" s="117"/>
      <c r="V768" s="117"/>
      <c r="X768" s="117"/>
      <c r="Y768" s="10"/>
      <c r="Z768" s="11"/>
      <c r="AA768" s="36"/>
      <c r="AB768" s="36"/>
      <c r="AC768" s="13"/>
      <c r="AD768" s="13"/>
      <c r="AE768" s="37"/>
      <c r="AF768" s="37"/>
      <c r="AG768" s="14"/>
      <c r="AH768" s="14"/>
      <c r="AI768" s="14"/>
      <c r="AZ768" s="24"/>
    </row>
    <row r="769">
      <c r="B769" s="24"/>
      <c r="E769" s="113"/>
      <c r="F769" s="266"/>
      <c r="G769" s="113"/>
      <c r="K769" s="36"/>
      <c r="L769" s="117"/>
      <c r="N769" s="117"/>
      <c r="R769" s="117"/>
      <c r="T769" s="117"/>
      <c r="V769" s="117"/>
      <c r="X769" s="117"/>
      <c r="Y769" s="10"/>
      <c r="Z769" s="11"/>
      <c r="AA769" s="36"/>
      <c r="AB769" s="36"/>
      <c r="AC769" s="13"/>
      <c r="AD769" s="13"/>
      <c r="AE769" s="37"/>
      <c r="AF769" s="37"/>
      <c r="AG769" s="14"/>
      <c r="AH769" s="14"/>
      <c r="AI769" s="14"/>
      <c r="AZ769" s="24"/>
    </row>
    <row r="770">
      <c r="B770" s="24"/>
      <c r="E770" s="113"/>
      <c r="F770" s="266"/>
      <c r="G770" s="113"/>
      <c r="K770" s="36"/>
      <c r="L770" s="117"/>
      <c r="N770" s="117"/>
      <c r="R770" s="117"/>
      <c r="T770" s="117"/>
      <c r="V770" s="117"/>
      <c r="X770" s="117"/>
      <c r="Y770" s="10"/>
      <c r="Z770" s="11"/>
      <c r="AA770" s="36"/>
      <c r="AB770" s="36"/>
      <c r="AC770" s="13"/>
      <c r="AD770" s="13"/>
      <c r="AE770" s="37"/>
      <c r="AF770" s="37"/>
      <c r="AG770" s="14"/>
      <c r="AH770" s="14"/>
      <c r="AI770" s="14"/>
      <c r="AZ770" s="24"/>
    </row>
    <row r="771">
      <c r="B771" s="24"/>
      <c r="E771" s="113"/>
      <c r="F771" s="266"/>
      <c r="G771" s="113"/>
      <c r="K771" s="36"/>
      <c r="L771" s="117"/>
      <c r="N771" s="117"/>
      <c r="R771" s="117"/>
      <c r="T771" s="117"/>
      <c r="V771" s="117"/>
      <c r="X771" s="117"/>
      <c r="Y771" s="10"/>
      <c r="Z771" s="11"/>
      <c r="AA771" s="36"/>
      <c r="AB771" s="36"/>
      <c r="AC771" s="13"/>
      <c r="AD771" s="13"/>
      <c r="AE771" s="37"/>
      <c r="AF771" s="37"/>
      <c r="AG771" s="14"/>
      <c r="AH771" s="14"/>
      <c r="AI771" s="14"/>
      <c r="AZ771" s="24"/>
    </row>
    <row r="772">
      <c r="B772" s="24"/>
      <c r="E772" s="113"/>
      <c r="F772" s="266"/>
      <c r="G772" s="113"/>
      <c r="K772" s="36"/>
      <c r="L772" s="117"/>
      <c r="N772" s="117"/>
      <c r="R772" s="117"/>
      <c r="T772" s="117"/>
      <c r="V772" s="117"/>
      <c r="X772" s="117"/>
      <c r="Y772" s="10"/>
      <c r="Z772" s="11"/>
      <c r="AA772" s="36"/>
      <c r="AB772" s="36"/>
      <c r="AC772" s="13"/>
      <c r="AD772" s="13"/>
      <c r="AE772" s="37"/>
      <c r="AF772" s="37"/>
      <c r="AG772" s="14"/>
      <c r="AH772" s="14"/>
      <c r="AI772" s="14"/>
      <c r="AZ772" s="24"/>
    </row>
    <row r="773">
      <c r="B773" s="24"/>
      <c r="E773" s="113"/>
      <c r="F773" s="266"/>
      <c r="G773" s="113"/>
      <c r="K773" s="36"/>
      <c r="L773" s="117"/>
      <c r="N773" s="117"/>
      <c r="R773" s="117"/>
      <c r="T773" s="117"/>
      <c r="V773" s="117"/>
      <c r="X773" s="117"/>
      <c r="Y773" s="10"/>
      <c r="Z773" s="11"/>
      <c r="AA773" s="36"/>
      <c r="AB773" s="36"/>
      <c r="AC773" s="13"/>
      <c r="AD773" s="13"/>
      <c r="AE773" s="37"/>
      <c r="AF773" s="37"/>
      <c r="AG773" s="14"/>
      <c r="AH773" s="14"/>
      <c r="AI773" s="14"/>
      <c r="AZ773" s="24"/>
    </row>
    <row r="774">
      <c r="B774" s="24"/>
      <c r="E774" s="113"/>
      <c r="F774" s="266"/>
      <c r="G774" s="113"/>
      <c r="K774" s="36"/>
      <c r="L774" s="117"/>
      <c r="N774" s="117"/>
      <c r="R774" s="117"/>
      <c r="T774" s="117"/>
      <c r="V774" s="117"/>
      <c r="X774" s="117"/>
      <c r="Y774" s="10"/>
      <c r="Z774" s="11"/>
      <c r="AA774" s="36"/>
      <c r="AB774" s="36"/>
      <c r="AC774" s="13"/>
      <c r="AD774" s="13"/>
      <c r="AE774" s="37"/>
      <c r="AF774" s="37"/>
      <c r="AG774" s="14"/>
      <c r="AH774" s="14"/>
      <c r="AI774" s="14"/>
      <c r="AZ774" s="24"/>
    </row>
    <row r="775">
      <c r="B775" s="24"/>
      <c r="E775" s="113"/>
      <c r="F775" s="266"/>
      <c r="G775" s="113"/>
      <c r="K775" s="36"/>
      <c r="L775" s="117"/>
      <c r="N775" s="117"/>
      <c r="R775" s="117"/>
      <c r="T775" s="117"/>
      <c r="V775" s="117"/>
      <c r="X775" s="117"/>
      <c r="Y775" s="10"/>
      <c r="Z775" s="11"/>
      <c r="AA775" s="36"/>
      <c r="AB775" s="36"/>
      <c r="AC775" s="13"/>
      <c r="AD775" s="13"/>
      <c r="AE775" s="37"/>
      <c r="AF775" s="37"/>
      <c r="AG775" s="14"/>
      <c r="AH775" s="14"/>
      <c r="AI775" s="14"/>
      <c r="AZ775" s="24"/>
    </row>
    <row r="776">
      <c r="B776" s="24"/>
      <c r="E776" s="113"/>
      <c r="F776" s="266"/>
      <c r="G776" s="113"/>
      <c r="K776" s="36"/>
      <c r="L776" s="117"/>
      <c r="N776" s="117"/>
      <c r="R776" s="117"/>
      <c r="T776" s="117"/>
      <c r="V776" s="117"/>
      <c r="X776" s="117"/>
      <c r="Y776" s="10"/>
      <c r="Z776" s="11"/>
      <c r="AA776" s="36"/>
      <c r="AB776" s="36"/>
      <c r="AC776" s="13"/>
      <c r="AD776" s="13"/>
      <c r="AE776" s="37"/>
      <c r="AF776" s="37"/>
      <c r="AG776" s="14"/>
      <c r="AH776" s="14"/>
      <c r="AI776" s="14"/>
      <c r="AZ776" s="24"/>
    </row>
    <row r="777">
      <c r="B777" s="24"/>
      <c r="E777" s="113"/>
      <c r="F777" s="266"/>
      <c r="G777" s="113"/>
      <c r="K777" s="36"/>
      <c r="L777" s="117"/>
      <c r="N777" s="117"/>
      <c r="R777" s="117"/>
      <c r="T777" s="117"/>
      <c r="V777" s="117"/>
      <c r="X777" s="117"/>
      <c r="Y777" s="10"/>
      <c r="Z777" s="11"/>
      <c r="AA777" s="36"/>
      <c r="AB777" s="36"/>
      <c r="AC777" s="13"/>
      <c r="AD777" s="13"/>
      <c r="AE777" s="37"/>
      <c r="AF777" s="37"/>
      <c r="AG777" s="14"/>
      <c r="AH777" s="14"/>
      <c r="AI777" s="14"/>
      <c r="AZ777" s="24"/>
    </row>
    <row r="778">
      <c r="B778" s="24"/>
      <c r="E778" s="113"/>
      <c r="F778" s="266"/>
      <c r="G778" s="113"/>
      <c r="K778" s="36"/>
      <c r="L778" s="117"/>
      <c r="N778" s="117"/>
      <c r="R778" s="117"/>
      <c r="T778" s="117"/>
      <c r="V778" s="117"/>
      <c r="X778" s="117"/>
      <c r="Y778" s="10"/>
      <c r="Z778" s="11"/>
      <c r="AA778" s="36"/>
      <c r="AB778" s="36"/>
      <c r="AC778" s="13"/>
      <c r="AD778" s="13"/>
      <c r="AE778" s="37"/>
      <c r="AF778" s="37"/>
      <c r="AG778" s="14"/>
      <c r="AH778" s="14"/>
      <c r="AI778" s="14"/>
      <c r="AZ778" s="24"/>
    </row>
    <row r="779">
      <c r="B779" s="24"/>
      <c r="E779" s="113"/>
      <c r="F779" s="266"/>
      <c r="G779" s="113"/>
      <c r="K779" s="36"/>
      <c r="L779" s="117"/>
      <c r="N779" s="117"/>
      <c r="R779" s="117"/>
      <c r="T779" s="117"/>
      <c r="V779" s="117"/>
      <c r="X779" s="117"/>
      <c r="Y779" s="10"/>
      <c r="Z779" s="11"/>
      <c r="AA779" s="36"/>
      <c r="AB779" s="36"/>
      <c r="AC779" s="13"/>
      <c r="AD779" s="13"/>
      <c r="AE779" s="37"/>
      <c r="AF779" s="37"/>
      <c r="AG779" s="14"/>
      <c r="AH779" s="14"/>
      <c r="AI779" s="14"/>
      <c r="AZ779" s="24"/>
    </row>
    <row r="780">
      <c r="B780" s="24"/>
      <c r="E780" s="113"/>
      <c r="F780" s="266"/>
      <c r="G780" s="113"/>
      <c r="K780" s="36"/>
      <c r="L780" s="117"/>
      <c r="N780" s="117"/>
      <c r="R780" s="117"/>
      <c r="T780" s="117"/>
      <c r="V780" s="117"/>
      <c r="X780" s="117"/>
      <c r="Y780" s="10"/>
      <c r="Z780" s="11"/>
      <c r="AA780" s="36"/>
      <c r="AB780" s="36"/>
      <c r="AC780" s="13"/>
      <c r="AD780" s="13"/>
      <c r="AE780" s="37"/>
      <c r="AF780" s="37"/>
      <c r="AG780" s="14"/>
      <c r="AH780" s="14"/>
      <c r="AI780" s="14"/>
      <c r="AZ780" s="24"/>
    </row>
    <row r="781">
      <c r="B781" s="24"/>
      <c r="E781" s="113"/>
      <c r="F781" s="266"/>
      <c r="G781" s="113"/>
      <c r="K781" s="36"/>
      <c r="L781" s="117"/>
      <c r="N781" s="117"/>
      <c r="R781" s="117"/>
      <c r="T781" s="117"/>
      <c r="V781" s="117"/>
      <c r="X781" s="117"/>
      <c r="Y781" s="10"/>
      <c r="Z781" s="11"/>
      <c r="AA781" s="36"/>
      <c r="AB781" s="36"/>
      <c r="AC781" s="13"/>
      <c r="AD781" s="13"/>
      <c r="AE781" s="37"/>
      <c r="AF781" s="37"/>
      <c r="AG781" s="14"/>
      <c r="AH781" s="14"/>
      <c r="AI781" s="14"/>
      <c r="AZ781" s="24"/>
    </row>
    <row r="782">
      <c r="B782" s="24"/>
      <c r="E782" s="113"/>
      <c r="F782" s="266"/>
      <c r="G782" s="113"/>
      <c r="K782" s="36"/>
      <c r="L782" s="117"/>
      <c r="N782" s="117"/>
      <c r="R782" s="117"/>
      <c r="T782" s="117"/>
      <c r="V782" s="117"/>
      <c r="X782" s="117"/>
      <c r="Y782" s="10"/>
      <c r="Z782" s="11"/>
      <c r="AA782" s="36"/>
      <c r="AB782" s="36"/>
      <c r="AC782" s="13"/>
      <c r="AD782" s="13"/>
      <c r="AE782" s="37"/>
      <c r="AF782" s="37"/>
      <c r="AG782" s="14"/>
      <c r="AH782" s="14"/>
      <c r="AI782" s="14"/>
      <c r="AZ782" s="24"/>
    </row>
    <row r="783">
      <c r="B783" s="24"/>
      <c r="E783" s="113"/>
      <c r="F783" s="266"/>
      <c r="G783" s="113"/>
      <c r="K783" s="36"/>
      <c r="L783" s="117"/>
      <c r="N783" s="117"/>
      <c r="R783" s="117"/>
      <c r="T783" s="117"/>
      <c r="V783" s="117"/>
      <c r="X783" s="117"/>
      <c r="Y783" s="10"/>
      <c r="Z783" s="11"/>
      <c r="AA783" s="36"/>
      <c r="AB783" s="36"/>
      <c r="AC783" s="13"/>
      <c r="AD783" s="13"/>
      <c r="AE783" s="37"/>
      <c r="AF783" s="37"/>
      <c r="AG783" s="14"/>
      <c r="AH783" s="14"/>
      <c r="AI783" s="14"/>
      <c r="AZ783" s="24"/>
    </row>
    <row r="784">
      <c r="B784" s="24"/>
      <c r="E784" s="113"/>
      <c r="F784" s="266"/>
      <c r="G784" s="113"/>
      <c r="K784" s="36"/>
      <c r="L784" s="117"/>
      <c r="N784" s="117"/>
      <c r="R784" s="117"/>
      <c r="T784" s="117"/>
      <c r="V784" s="117"/>
      <c r="X784" s="117"/>
      <c r="Y784" s="10"/>
      <c r="Z784" s="11"/>
      <c r="AA784" s="36"/>
      <c r="AB784" s="36"/>
      <c r="AC784" s="13"/>
      <c r="AD784" s="13"/>
      <c r="AE784" s="37"/>
      <c r="AF784" s="37"/>
      <c r="AG784" s="14"/>
      <c r="AH784" s="14"/>
      <c r="AI784" s="14"/>
      <c r="AZ784" s="24"/>
    </row>
    <row r="785">
      <c r="B785" s="24"/>
      <c r="E785" s="113"/>
      <c r="F785" s="266"/>
      <c r="G785" s="113"/>
      <c r="K785" s="36"/>
      <c r="L785" s="117"/>
      <c r="N785" s="117"/>
      <c r="R785" s="117"/>
      <c r="T785" s="117"/>
      <c r="V785" s="117"/>
      <c r="X785" s="117"/>
      <c r="Y785" s="10"/>
      <c r="Z785" s="11"/>
      <c r="AA785" s="36"/>
      <c r="AB785" s="36"/>
      <c r="AC785" s="13"/>
      <c r="AD785" s="13"/>
      <c r="AE785" s="37"/>
      <c r="AF785" s="37"/>
      <c r="AG785" s="14"/>
      <c r="AH785" s="14"/>
      <c r="AI785" s="14"/>
      <c r="AZ785" s="24"/>
    </row>
    <row r="786">
      <c r="B786" s="24"/>
      <c r="E786" s="113"/>
      <c r="F786" s="266"/>
      <c r="G786" s="113"/>
      <c r="K786" s="36"/>
      <c r="L786" s="117"/>
      <c r="N786" s="117"/>
      <c r="R786" s="117"/>
      <c r="T786" s="117"/>
      <c r="V786" s="117"/>
      <c r="X786" s="117"/>
      <c r="Y786" s="10"/>
      <c r="Z786" s="11"/>
      <c r="AA786" s="36"/>
      <c r="AB786" s="36"/>
      <c r="AC786" s="13"/>
      <c r="AD786" s="13"/>
      <c r="AE786" s="37"/>
      <c r="AF786" s="37"/>
      <c r="AG786" s="14"/>
      <c r="AH786" s="14"/>
      <c r="AI786" s="14"/>
      <c r="AZ786" s="24"/>
    </row>
    <row r="787">
      <c r="B787" s="24"/>
      <c r="E787" s="113"/>
      <c r="F787" s="266"/>
      <c r="G787" s="113"/>
      <c r="K787" s="36"/>
      <c r="L787" s="117"/>
      <c r="N787" s="117"/>
      <c r="R787" s="117"/>
      <c r="T787" s="117"/>
      <c r="V787" s="117"/>
      <c r="X787" s="117"/>
      <c r="Y787" s="10"/>
      <c r="Z787" s="11"/>
      <c r="AA787" s="36"/>
      <c r="AB787" s="36"/>
      <c r="AC787" s="13"/>
      <c r="AD787" s="13"/>
      <c r="AE787" s="37"/>
      <c r="AF787" s="37"/>
      <c r="AG787" s="14"/>
      <c r="AH787" s="14"/>
      <c r="AI787" s="14"/>
      <c r="AZ787" s="24"/>
    </row>
    <row r="788">
      <c r="B788" s="24"/>
      <c r="E788" s="113"/>
      <c r="F788" s="266"/>
      <c r="G788" s="113"/>
      <c r="K788" s="36"/>
      <c r="L788" s="117"/>
      <c r="N788" s="117"/>
      <c r="R788" s="117"/>
      <c r="T788" s="117"/>
      <c r="V788" s="117"/>
      <c r="X788" s="117"/>
      <c r="Y788" s="10"/>
      <c r="Z788" s="11"/>
      <c r="AA788" s="36"/>
      <c r="AB788" s="36"/>
      <c r="AC788" s="13"/>
      <c r="AD788" s="13"/>
      <c r="AE788" s="37"/>
      <c r="AF788" s="37"/>
      <c r="AG788" s="14"/>
      <c r="AH788" s="14"/>
      <c r="AI788" s="14"/>
      <c r="AZ788" s="24"/>
    </row>
    <row r="789">
      <c r="B789" s="24"/>
      <c r="E789" s="113"/>
      <c r="F789" s="266"/>
      <c r="G789" s="113"/>
      <c r="K789" s="36"/>
      <c r="L789" s="117"/>
      <c r="N789" s="117"/>
      <c r="R789" s="117"/>
      <c r="T789" s="117"/>
      <c r="V789" s="117"/>
      <c r="X789" s="117"/>
      <c r="Y789" s="10"/>
      <c r="Z789" s="11"/>
      <c r="AA789" s="36"/>
      <c r="AB789" s="36"/>
      <c r="AC789" s="13"/>
      <c r="AD789" s="13"/>
      <c r="AE789" s="37"/>
      <c r="AF789" s="37"/>
      <c r="AG789" s="14"/>
      <c r="AH789" s="14"/>
      <c r="AI789" s="14"/>
      <c r="AZ789" s="24"/>
    </row>
    <row r="790">
      <c r="B790" s="24"/>
      <c r="E790" s="113"/>
      <c r="F790" s="266"/>
      <c r="G790" s="113"/>
      <c r="K790" s="36"/>
      <c r="L790" s="117"/>
      <c r="N790" s="117"/>
      <c r="R790" s="117"/>
      <c r="T790" s="117"/>
      <c r="V790" s="117"/>
      <c r="X790" s="117"/>
      <c r="Y790" s="10"/>
      <c r="Z790" s="11"/>
      <c r="AA790" s="36"/>
      <c r="AB790" s="36"/>
      <c r="AC790" s="13"/>
      <c r="AD790" s="13"/>
      <c r="AE790" s="37"/>
      <c r="AF790" s="37"/>
      <c r="AG790" s="14"/>
      <c r="AH790" s="14"/>
      <c r="AI790" s="14"/>
      <c r="AZ790" s="24"/>
    </row>
    <row r="791">
      <c r="B791" s="24"/>
      <c r="E791" s="113"/>
      <c r="F791" s="266"/>
      <c r="G791" s="113"/>
      <c r="K791" s="36"/>
      <c r="L791" s="117"/>
      <c r="N791" s="117"/>
      <c r="R791" s="117"/>
      <c r="T791" s="117"/>
      <c r="V791" s="117"/>
      <c r="X791" s="117"/>
      <c r="Y791" s="10"/>
      <c r="Z791" s="11"/>
      <c r="AA791" s="36"/>
      <c r="AB791" s="36"/>
      <c r="AC791" s="13"/>
      <c r="AD791" s="13"/>
      <c r="AE791" s="37"/>
      <c r="AF791" s="37"/>
      <c r="AG791" s="14"/>
      <c r="AH791" s="14"/>
      <c r="AI791" s="14"/>
      <c r="AZ791" s="24"/>
    </row>
    <row r="792">
      <c r="B792" s="24"/>
      <c r="E792" s="113"/>
      <c r="F792" s="266"/>
      <c r="G792" s="113"/>
      <c r="K792" s="36"/>
      <c r="L792" s="117"/>
      <c r="N792" s="117"/>
      <c r="R792" s="117"/>
      <c r="T792" s="117"/>
      <c r="V792" s="117"/>
      <c r="X792" s="117"/>
      <c r="Y792" s="10"/>
      <c r="Z792" s="11"/>
      <c r="AA792" s="36"/>
      <c r="AB792" s="36"/>
      <c r="AC792" s="13"/>
      <c r="AD792" s="13"/>
      <c r="AE792" s="37"/>
      <c r="AF792" s="37"/>
      <c r="AG792" s="14"/>
      <c r="AH792" s="14"/>
      <c r="AI792" s="14"/>
      <c r="AZ792" s="24"/>
    </row>
    <row r="793">
      <c r="B793" s="24"/>
      <c r="E793" s="113"/>
      <c r="F793" s="266"/>
      <c r="G793" s="113"/>
      <c r="K793" s="36"/>
      <c r="L793" s="117"/>
      <c r="N793" s="117"/>
      <c r="R793" s="117"/>
      <c r="T793" s="117"/>
      <c r="V793" s="117"/>
      <c r="X793" s="117"/>
      <c r="Y793" s="10"/>
      <c r="Z793" s="11"/>
      <c r="AA793" s="36"/>
      <c r="AB793" s="36"/>
      <c r="AC793" s="13"/>
      <c r="AD793" s="13"/>
      <c r="AE793" s="37"/>
      <c r="AF793" s="37"/>
      <c r="AG793" s="14"/>
      <c r="AH793" s="14"/>
      <c r="AI793" s="14"/>
      <c r="AZ793" s="24"/>
    </row>
    <row r="794">
      <c r="B794" s="24"/>
      <c r="E794" s="113"/>
      <c r="F794" s="266"/>
      <c r="G794" s="113"/>
      <c r="K794" s="36"/>
      <c r="L794" s="117"/>
      <c r="N794" s="117"/>
      <c r="R794" s="117"/>
      <c r="T794" s="117"/>
      <c r="V794" s="117"/>
      <c r="X794" s="117"/>
      <c r="Y794" s="10"/>
      <c r="Z794" s="11"/>
      <c r="AA794" s="36"/>
      <c r="AB794" s="36"/>
      <c r="AC794" s="13"/>
      <c r="AD794" s="13"/>
      <c r="AE794" s="37"/>
      <c r="AF794" s="37"/>
      <c r="AG794" s="14"/>
      <c r="AH794" s="14"/>
      <c r="AI794" s="14"/>
      <c r="AZ794" s="24"/>
    </row>
    <row r="795">
      <c r="B795" s="24"/>
      <c r="E795" s="113"/>
      <c r="F795" s="266"/>
      <c r="G795" s="113"/>
      <c r="K795" s="36"/>
      <c r="L795" s="117"/>
      <c r="N795" s="117"/>
      <c r="R795" s="117"/>
      <c r="T795" s="117"/>
      <c r="V795" s="117"/>
      <c r="X795" s="117"/>
      <c r="Y795" s="10"/>
      <c r="Z795" s="11"/>
      <c r="AA795" s="36"/>
      <c r="AB795" s="36"/>
      <c r="AC795" s="13"/>
      <c r="AD795" s="13"/>
      <c r="AE795" s="37"/>
      <c r="AF795" s="37"/>
      <c r="AG795" s="14"/>
      <c r="AH795" s="14"/>
      <c r="AI795" s="14"/>
      <c r="AZ795" s="24"/>
    </row>
    <row r="796">
      <c r="B796" s="24"/>
      <c r="E796" s="113"/>
      <c r="F796" s="266"/>
      <c r="G796" s="113"/>
      <c r="K796" s="36"/>
      <c r="L796" s="117"/>
      <c r="N796" s="117"/>
      <c r="R796" s="117"/>
      <c r="T796" s="117"/>
      <c r="V796" s="117"/>
      <c r="X796" s="117"/>
      <c r="Y796" s="10"/>
      <c r="Z796" s="11"/>
      <c r="AA796" s="36"/>
      <c r="AB796" s="36"/>
      <c r="AC796" s="13"/>
      <c r="AD796" s="13"/>
      <c r="AE796" s="37"/>
      <c r="AF796" s="37"/>
      <c r="AG796" s="14"/>
      <c r="AH796" s="14"/>
      <c r="AI796" s="14"/>
      <c r="AZ796" s="24"/>
    </row>
    <row r="797">
      <c r="B797" s="24"/>
      <c r="E797" s="113"/>
      <c r="F797" s="266"/>
      <c r="G797" s="113"/>
      <c r="K797" s="36"/>
      <c r="L797" s="117"/>
      <c r="N797" s="117"/>
      <c r="R797" s="117"/>
      <c r="T797" s="117"/>
      <c r="V797" s="117"/>
      <c r="X797" s="117"/>
      <c r="Y797" s="10"/>
      <c r="Z797" s="11"/>
      <c r="AA797" s="36"/>
      <c r="AB797" s="36"/>
      <c r="AC797" s="13"/>
      <c r="AD797" s="13"/>
      <c r="AE797" s="37"/>
      <c r="AF797" s="37"/>
      <c r="AG797" s="14"/>
      <c r="AH797" s="14"/>
      <c r="AI797" s="14"/>
      <c r="AZ797" s="24"/>
    </row>
    <row r="798">
      <c r="B798" s="24"/>
      <c r="E798" s="113"/>
      <c r="F798" s="266"/>
      <c r="G798" s="113"/>
      <c r="K798" s="36"/>
      <c r="L798" s="117"/>
      <c r="N798" s="117"/>
      <c r="R798" s="117"/>
      <c r="T798" s="117"/>
      <c r="V798" s="117"/>
      <c r="X798" s="117"/>
      <c r="Y798" s="10"/>
      <c r="Z798" s="11"/>
      <c r="AA798" s="36"/>
      <c r="AB798" s="36"/>
      <c r="AC798" s="13"/>
      <c r="AD798" s="13"/>
      <c r="AE798" s="37"/>
      <c r="AF798" s="37"/>
      <c r="AG798" s="14"/>
      <c r="AH798" s="14"/>
      <c r="AI798" s="14"/>
      <c r="AZ798" s="24"/>
    </row>
    <row r="799">
      <c r="B799" s="24"/>
      <c r="E799" s="113"/>
      <c r="F799" s="266"/>
      <c r="G799" s="113"/>
      <c r="K799" s="36"/>
      <c r="L799" s="117"/>
      <c r="N799" s="117"/>
      <c r="R799" s="117"/>
      <c r="T799" s="117"/>
      <c r="V799" s="117"/>
      <c r="X799" s="117"/>
      <c r="Y799" s="10"/>
      <c r="Z799" s="11"/>
      <c r="AA799" s="36"/>
      <c r="AB799" s="36"/>
      <c r="AC799" s="13"/>
      <c r="AD799" s="13"/>
      <c r="AE799" s="37"/>
      <c r="AF799" s="37"/>
      <c r="AG799" s="14"/>
      <c r="AH799" s="14"/>
      <c r="AI799" s="14"/>
      <c r="AZ799" s="24"/>
    </row>
    <row r="800">
      <c r="B800" s="24"/>
      <c r="E800" s="113"/>
      <c r="F800" s="266"/>
      <c r="G800" s="113"/>
      <c r="K800" s="36"/>
      <c r="L800" s="117"/>
      <c r="N800" s="117"/>
      <c r="R800" s="117"/>
      <c r="T800" s="117"/>
      <c r="V800" s="117"/>
      <c r="X800" s="117"/>
      <c r="Y800" s="10"/>
      <c r="Z800" s="11"/>
      <c r="AA800" s="36"/>
      <c r="AB800" s="36"/>
      <c r="AC800" s="13"/>
      <c r="AD800" s="13"/>
      <c r="AE800" s="37"/>
      <c r="AF800" s="37"/>
      <c r="AG800" s="14"/>
      <c r="AH800" s="14"/>
      <c r="AI800" s="14"/>
      <c r="AZ800" s="24"/>
    </row>
    <row r="801">
      <c r="B801" s="24"/>
      <c r="E801" s="113"/>
      <c r="F801" s="266"/>
      <c r="G801" s="113"/>
      <c r="K801" s="36"/>
      <c r="L801" s="117"/>
      <c r="N801" s="117"/>
      <c r="R801" s="117"/>
      <c r="T801" s="117"/>
      <c r="V801" s="117"/>
      <c r="X801" s="117"/>
      <c r="Y801" s="10"/>
      <c r="Z801" s="11"/>
      <c r="AA801" s="36"/>
      <c r="AB801" s="36"/>
      <c r="AC801" s="13"/>
      <c r="AD801" s="13"/>
      <c r="AE801" s="37"/>
      <c r="AF801" s="37"/>
      <c r="AG801" s="14"/>
      <c r="AH801" s="14"/>
      <c r="AI801" s="14"/>
      <c r="AZ801" s="24"/>
    </row>
    <row r="802">
      <c r="B802" s="24"/>
      <c r="E802" s="113"/>
      <c r="F802" s="266"/>
      <c r="G802" s="113"/>
      <c r="K802" s="36"/>
      <c r="L802" s="117"/>
      <c r="N802" s="117"/>
      <c r="R802" s="117"/>
      <c r="T802" s="117"/>
      <c r="V802" s="117"/>
      <c r="X802" s="117"/>
      <c r="Y802" s="10"/>
      <c r="Z802" s="11"/>
      <c r="AA802" s="36"/>
      <c r="AB802" s="36"/>
      <c r="AC802" s="13"/>
      <c r="AD802" s="13"/>
      <c r="AE802" s="37"/>
      <c r="AF802" s="37"/>
      <c r="AG802" s="14"/>
      <c r="AH802" s="14"/>
      <c r="AI802" s="14"/>
      <c r="AZ802" s="24"/>
    </row>
    <row r="803">
      <c r="B803" s="24"/>
      <c r="E803" s="113"/>
      <c r="F803" s="266"/>
      <c r="G803" s="113"/>
      <c r="K803" s="36"/>
      <c r="L803" s="117"/>
      <c r="N803" s="117"/>
      <c r="R803" s="117"/>
      <c r="T803" s="117"/>
      <c r="V803" s="117"/>
      <c r="X803" s="117"/>
      <c r="Y803" s="10"/>
      <c r="Z803" s="11"/>
      <c r="AA803" s="36"/>
      <c r="AB803" s="36"/>
      <c r="AC803" s="13"/>
      <c r="AD803" s="13"/>
      <c r="AE803" s="37"/>
      <c r="AF803" s="37"/>
      <c r="AG803" s="14"/>
      <c r="AH803" s="14"/>
      <c r="AI803" s="14"/>
      <c r="AZ803" s="24"/>
    </row>
    <row r="804">
      <c r="B804" s="24"/>
      <c r="E804" s="113"/>
      <c r="F804" s="266"/>
      <c r="G804" s="113"/>
      <c r="K804" s="36"/>
      <c r="L804" s="117"/>
      <c r="N804" s="117"/>
      <c r="R804" s="117"/>
      <c r="T804" s="117"/>
      <c r="V804" s="117"/>
      <c r="X804" s="117"/>
      <c r="Y804" s="10"/>
      <c r="Z804" s="11"/>
      <c r="AA804" s="36"/>
      <c r="AB804" s="36"/>
      <c r="AC804" s="13"/>
      <c r="AD804" s="13"/>
      <c r="AE804" s="37"/>
      <c r="AF804" s="37"/>
      <c r="AG804" s="14"/>
      <c r="AH804" s="14"/>
      <c r="AI804" s="14"/>
      <c r="AZ804" s="24"/>
    </row>
    <row r="805">
      <c r="B805" s="24"/>
      <c r="E805" s="113"/>
      <c r="F805" s="266"/>
      <c r="G805" s="113"/>
      <c r="K805" s="36"/>
      <c r="L805" s="117"/>
      <c r="N805" s="117"/>
      <c r="R805" s="117"/>
      <c r="T805" s="117"/>
      <c r="V805" s="117"/>
      <c r="X805" s="117"/>
      <c r="Y805" s="10"/>
      <c r="Z805" s="11"/>
      <c r="AA805" s="36"/>
      <c r="AB805" s="36"/>
      <c r="AC805" s="13"/>
      <c r="AD805" s="13"/>
      <c r="AE805" s="37"/>
      <c r="AF805" s="37"/>
      <c r="AG805" s="14"/>
      <c r="AH805" s="14"/>
      <c r="AI805" s="14"/>
      <c r="AZ805" s="24"/>
    </row>
    <row r="806">
      <c r="B806" s="24"/>
      <c r="E806" s="113"/>
      <c r="F806" s="266"/>
      <c r="G806" s="113"/>
      <c r="K806" s="36"/>
      <c r="L806" s="117"/>
      <c r="N806" s="117"/>
      <c r="R806" s="117"/>
      <c r="T806" s="117"/>
      <c r="V806" s="117"/>
      <c r="X806" s="117"/>
      <c r="Y806" s="10"/>
      <c r="Z806" s="11"/>
      <c r="AA806" s="36"/>
      <c r="AB806" s="36"/>
      <c r="AC806" s="13"/>
      <c r="AD806" s="13"/>
      <c r="AE806" s="37"/>
      <c r="AF806" s="37"/>
      <c r="AG806" s="14"/>
      <c r="AH806" s="14"/>
      <c r="AI806" s="14"/>
      <c r="AZ806" s="24"/>
    </row>
    <row r="807">
      <c r="B807" s="24"/>
      <c r="E807" s="113"/>
      <c r="F807" s="266"/>
      <c r="G807" s="113"/>
      <c r="K807" s="36"/>
      <c r="L807" s="117"/>
      <c r="N807" s="117"/>
      <c r="R807" s="117"/>
      <c r="T807" s="117"/>
      <c r="V807" s="117"/>
      <c r="X807" s="117"/>
      <c r="Y807" s="10"/>
      <c r="Z807" s="11"/>
      <c r="AA807" s="36"/>
      <c r="AB807" s="36"/>
      <c r="AC807" s="13"/>
      <c r="AD807" s="13"/>
      <c r="AE807" s="37"/>
      <c r="AF807" s="37"/>
      <c r="AG807" s="14"/>
      <c r="AH807" s="14"/>
      <c r="AI807" s="14"/>
      <c r="AZ807" s="24"/>
    </row>
    <row r="808">
      <c r="B808" s="24"/>
      <c r="E808" s="113"/>
      <c r="F808" s="266"/>
      <c r="G808" s="113"/>
      <c r="K808" s="36"/>
      <c r="L808" s="117"/>
      <c r="N808" s="117"/>
      <c r="R808" s="117"/>
      <c r="T808" s="117"/>
      <c r="V808" s="117"/>
      <c r="X808" s="117"/>
      <c r="Y808" s="10"/>
      <c r="Z808" s="11"/>
      <c r="AA808" s="36"/>
      <c r="AB808" s="36"/>
      <c r="AC808" s="13"/>
      <c r="AD808" s="13"/>
      <c r="AE808" s="37"/>
      <c r="AF808" s="37"/>
      <c r="AG808" s="14"/>
      <c r="AH808" s="14"/>
      <c r="AI808" s="14"/>
      <c r="AZ808" s="24"/>
    </row>
    <row r="809">
      <c r="B809" s="24"/>
      <c r="E809" s="113"/>
      <c r="F809" s="266"/>
      <c r="G809" s="113"/>
      <c r="K809" s="36"/>
      <c r="L809" s="117"/>
      <c r="N809" s="117"/>
      <c r="R809" s="117"/>
      <c r="T809" s="117"/>
      <c r="V809" s="117"/>
      <c r="X809" s="117"/>
      <c r="Y809" s="10"/>
      <c r="Z809" s="11"/>
      <c r="AA809" s="36"/>
      <c r="AB809" s="36"/>
      <c r="AC809" s="13"/>
      <c r="AD809" s="13"/>
      <c r="AE809" s="37"/>
      <c r="AF809" s="37"/>
      <c r="AG809" s="14"/>
      <c r="AH809" s="14"/>
      <c r="AI809" s="14"/>
      <c r="AZ809" s="24"/>
    </row>
    <row r="810">
      <c r="B810" s="24"/>
      <c r="E810" s="113"/>
      <c r="F810" s="266"/>
      <c r="G810" s="113"/>
      <c r="K810" s="36"/>
      <c r="L810" s="117"/>
      <c r="N810" s="117"/>
      <c r="R810" s="117"/>
      <c r="T810" s="117"/>
      <c r="V810" s="117"/>
      <c r="X810" s="117"/>
      <c r="Y810" s="10"/>
      <c r="Z810" s="11"/>
      <c r="AA810" s="36"/>
      <c r="AB810" s="36"/>
      <c r="AC810" s="13"/>
      <c r="AD810" s="13"/>
      <c r="AE810" s="37"/>
      <c r="AF810" s="37"/>
      <c r="AG810" s="14"/>
      <c r="AH810" s="14"/>
      <c r="AI810" s="14"/>
      <c r="AZ810" s="24"/>
    </row>
    <row r="811">
      <c r="B811" s="24"/>
      <c r="E811" s="113"/>
      <c r="F811" s="266"/>
      <c r="G811" s="113"/>
      <c r="K811" s="36"/>
      <c r="L811" s="117"/>
      <c r="N811" s="117"/>
      <c r="R811" s="117"/>
      <c r="T811" s="117"/>
      <c r="V811" s="117"/>
      <c r="X811" s="117"/>
      <c r="Y811" s="10"/>
      <c r="Z811" s="11"/>
      <c r="AA811" s="36"/>
      <c r="AB811" s="36"/>
      <c r="AC811" s="13"/>
      <c r="AD811" s="13"/>
      <c r="AE811" s="37"/>
      <c r="AF811" s="37"/>
      <c r="AG811" s="14"/>
      <c r="AH811" s="14"/>
      <c r="AI811" s="14"/>
      <c r="AZ811" s="24"/>
    </row>
    <row r="812">
      <c r="B812" s="24"/>
      <c r="E812" s="113"/>
      <c r="F812" s="266"/>
      <c r="G812" s="113"/>
      <c r="K812" s="36"/>
      <c r="L812" s="117"/>
      <c r="N812" s="117"/>
      <c r="R812" s="117"/>
      <c r="T812" s="117"/>
      <c r="V812" s="117"/>
      <c r="X812" s="117"/>
      <c r="Y812" s="10"/>
      <c r="Z812" s="11"/>
      <c r="AA812" s="36"/>
      <c r="AB812" s="36"/>
      <c r="AC812" s="13"/>
      <c r="AD812" s="13"/>
      <c r="AE812" s="37"/>
      <c r="AF812" s="37"/>
      <c r="AG812" s="14"/>
      <c r="AH812" s="14"/>
      <c r="AI812" s="14"/>
      <c r="AZ812" s="24"/>
    </row>
    <row r="813">
      <c r="B813" s="24"/>
      <c r="E813" s="113"/>
      <c r="F813" s="266"/>
      <c r="G813" s="113"/>
      <c r="K813" s="36"/>
      <c r="L813" s="117"/>
      <c r="N813" s="117"/>
      <c r="R813" s="117"/>
      <c r="T813" s="117"/>
      <c r="V813" s="117"/>
      <c r="X813" s="117"/>
      <c r="Y813" s="10"/>
      <c r="Z813" s="11"/>
      <c r="AA813" s="36"/>
      <c r="AB813" s="36"/>
      <c r="AC813" s="13"/>
      <c r="AD813" s="13"/>
      <c r="AE813" s="37"/>
      <c r="AF813" s="37"/>
      <c r="AG813" s="14"/>
      <c r="AH813" s="14"/>
      <c r="AI813" s="14"/>
      <c r="AZ813" s="24"/>
    </row>
    <row r="814">
      <c r="B814" s="24"/>
      <c r="E814" s="113"/>
      <c r="F814" s="266"/>
      <c r="G814" s="113"/>
      <c r="K814" s="36"/>
      <c r="L814" s="117"/>
      <c r="N814" s="117"/>
      <c r="R814" s="117"/>
      <c r="T814" s="117"/>
      <c r="V814" s="117"/>
      <c r="X814" s="117"/>
      <c r="Y814" s="10"/>
      <c r="Z814" s="11"/>
      <c r="AA814" s="36"/>
      <c r="AB814" s="36"/>
      <c r="AC814" s="13"/>
      <c r="AD814" s="13"/>
      <c r="AE814" s="37"/>
      <c r="AF814" s="37"/>
      <c r="AG814" s="14"/>
      <c r="AH814" s="14"/>
      <c r="AI814" s="14"/>
      <c r="AZ814" s="24"/>
    </row>
    <row r="815">
      <c r="B815" s="24"/>
      <c r="E815" s="113"/>
      <c r="F815" s="266"/>
      <c r="G815" s="113"/>
      <c r="K815" s="36"/>
      <c r="L815" s="117"/>
      <c r="N815" s="117"/>
      <c r="R815" s="117"/>
      <c r="T815" s="117"/>
      <c r="V815" s="117"/>
      <c r="X815" s="117"/>
      <c r="Y815" s="10"/>
      <c r="Z815" s="11"/>
      <c r="AA815" s="36"/>
      <c r="AB815" s="36"/>
      <c r="AC815" s="13"/>
      <c r="AD815" s="13"/>
      <c r="AE815" s="37"/>
      <c r="AF815" s="37"/>
      <c r="AG815" s="14"/>
      <c r="AH815" s="14"/>
      <c r="AI815" s="14"/>
      <c r="AZ815" s="24"/>
    </row>
    <row r="816">
      <c r="B816" s="24"/>
      <c r="E816" s="113"/>
      <c r="F816" s="266"/>
      <c r="G816" s="113"/>
      <c r="K816" s="36"/>
      <c r="L816" s="117"/>
      <c r="N816" s="117"/>
      <c r="R816" s="117"/>
      <c r="T816" s="117"/>
      <c r="V816" s="117"/>
      <c r="X816" s="117"/>
      <c r="Y816" s="10"/>
      <c r="Z816" s="11"/>
      <c r="AA816" s="36"/>
      <c r="AB816" s="36"/>
      <c r="AC816" s="13"/>
      <c r="AD816" s="13"/>
      <c r="AE816" s="37"/>
      <c r="AF816" s="37"/>
      <c r="AG816" s="14"/>
      <c r="AH816" s="14"/>
      <c r="AI816" s="14"/>
      <c r="AZ816" s="24"/>
    </row>
    <row r="817">
      <c r="B817" s="24"/>
      <c r="E817" s="113"/>
      <c r="F817" s="266"/>
      <c r="G817" s="113"/>
      <c r="K817" s="36"/>
      <c r="L817" s="117"/>
      <c r="N817" s="117"/>
      <c r="R817" s="117"/>
      <c r="T817" s="117"/>
      <c r="V817" s="117"/>
      <c r="X817" s="117"/>
      <c r="Y817" s="10"/>
      <c r="Z817" s="11"/>
      <c r="AA817" s="36"/>
      <c r="AB817" s="36"/>
      <c r="AC817" s="13"/>
      <c r="AD817" s="13"/>
      <c r="AE817" s="37"/>
      <c r="AF817" s="37"/>
      <c r="AG817" s="14"/>
      <c r="AH817" s="14"/>
      <c r="AI817" s="14"/>
      <c r="AZ817" s="24"/>
    </row>
    <row r="818">
      <c r="B818" s="24"/>
      <c r="E818" s="113"/>
      <c r="F818" s="266"/>
      <c r="G818" s="113"/>
      <c r="K818" s="36"/>
      <c r="L818" s="117"/>
      <c r="N818" s="117"/>
      <c r="R818" s="117"/>
      <c r="T818" s="117"/>
      <c r="V818" s="117"/>
      <c r="X818" s="117"/>
      <c r="Y818" s="10"/>
      <c r="Z818" s="11"/>
      <c r="AA818" s="36"/>
      <c r="AB818" s="36"/>
      <c r="AC818" s="13"/>
      <c r="AD818" s="13"/>
      <c r="AE818" s="37"/>
      <c r="AF818" s="37"/>
      <c r="AG818" s="14"/>
      <c r="AH818" s="14"/>
      <c r="AI818" s="14"/>
      <c r="AZ818" s="24"/>
    </row>
    <row r="819">
      <c r="B819" s="24"/>
      <c r="E819" s="113"/>
      <c r="F819" s="266"/>
      <c r="G819" s="113"/>
      <c r="K819" s="36"/>
      <c r="L819" s="117"/>
      <c r="N819" s="117"/>
      <c r="R819" s="117"/>
      <c r="T819" s="117"/>
      <c r="V819" s="117"/>
      <c r="X819" s="117"/>
      <c r="Y819" s="10"/>
      <c r="Z819" s="11"/>
      <c r="AA819" s="36"/>
      <c r="AB819" s="36"/>
      <c r="AC819" s="13"/>
      <c r="AD819" s="13"/>
      <c r="AE819" s="37"/>
      <c r="AF819" s="37"/>
      <c r="AG819" s="14"/>
      <c r="AH819" s="14"/>
      <c r="AI819" s="14"/>
      <c r="AZ819" s="24"/>
    </row>
    <row r="820">
      <c r="B820" s="24"/>
      <c r="E820" s="113"/>
      <c r="F820" s="266"/>
      <c r="G820" s="113"/>
      <c r="K820" s="36"/>
      <c r="L820" s="117"/>
      <c r="N820" s="117"/>
      <c r="R820" s="117"/>
      <c r="T820" s="117"/>
      <c r="V820" s="117"/>
      <c r="X820" s="117"/>
      <c r="Y820" s="10"/>
      <c r="Z820" s="11"/>
      <c r="AA820" s="36"/>
      <c r="AB820" s="36"/>
      <c r="AC820" s="13"/>
      <c r="AD820" s="13"/>
      <c r="AE820" s="37"/>
      <c r="AF820" s="37"/>
      <c r="AG820" s="14"/>
      <c r="AH820" s="14"/>
      <c r="AI820" s="14"/>
      <c r="AZ820" s="24"/>
    </row>
    <row r="821">
      <c r="B821" s="24"/>
      <c r="E821" s="113"/>
      <c r="F821" s="266"/>
      <c r="G821" s="113"/>
      <c r="K821" s="36"/>
      <c r="L821" s="117"/>
      <c r="N821" s="117"/>
      <c r="R821" s="117"/>
      <c r="T821" s="117"/>
      <c r="V821" s="117"/>
      <c r="X821" s="117"/>
      <c r="Y821" s="10"/>
      <c r="Z821" s="11"/>
      <c r="AA821" s="36"/>
      <c r="AB821" s="36"/>
      <c r="AC821" s="13"/>
      <c r="AD821" s="13"/>
      <c r="AE821" s="37"/>
      <c r="AF821" s="37"/>
      <c r="AG821" s="14"/>
      <c r="AH821" s="14"/>
      <c r="AI821" s="14"/>
      <c r="AZ821" s="24"/>
    </row>
    <row r="822">
      <c r="B822" s="24"/>
      <c r="E822" s="113"/>
      <c r="F822" s="266"/>
      <c r="G822" s="113"/>
      <c r="K822" s="36"/>
      <c r="L822" s="117"/>
      <c r="N822" s="117"/>
      <c r="R822" s="117"/>
      <c r="T822" s="117"/>
      <c r="V822" s="117"/>
      <c r="X822" s="117"/>
      <c r="Y822" s="10"/>
      <c r="Z822" s="11"/>
      <c r="AA822" s="36"/>
      <c r="AB822" s="36"/>
      <c r="AC822" s="13"/>
      <c r="AD822" s="13"/>
      <c r="AE822" s="37"/>
      <c r="AF822" s="37"/>
      <c r="AG822" s="14"/>
      <c r="AH822" s="14"/>
      <c r="AI822" s="14"/>
      <c r="AZ822" s="24"/>
    </row>
    <row r="823">
      <c r="B823" s="24"/>
      <c r="E823" s="113"/>
      <c r="F823" s="266"/>
      <c r="G823" s="113"/>
      <c r="K823" s="36"/>
      <c r="L823" s="117"/>
      <c r="N823" s="117"/>
      <c r="R823" s="117"/>
      <c r="T823" s="117"/>
      <c r="V823" s="117"/>
      <c r="X823" s="117"/>
      <c r="Y823" s="10"/>
      <c r="Z823" s="11"/>
      <c r="AA823" s="36"/>
      <c r="AB823" s="36"/>
      <c r="AC823" s="13"/>
      <c r="AD823" s="13"/>
      <c r="AE823" s="37"/>
      <c r="AF823" s="37"/>
      <c r="AG823" s="14"/>
      <c r="AH823" s="14"/>
      <c r="AI823" s="14"/>
      <c r="AZ823" s="24"/>
    </row>
    <row r="824">
      <c r="B824" s="24"/>
      <c r="E824" s="113"/>
      <c r="F824" s="266"/>
      <c r="G824" s="113"/>
      <c r="K824" s="36"/>
      <c r="L824" s="117"/>
      <c r="N824" s="117"/>
      <c r="R824" s="117"/>
      <c r="T824" s="117"/>
      <c r="V824" s="117"/>
      <c r="X824" s="117"/>
      <c r="Y824" s="10"/>
      <c r="Z824" s="11"/>
      <c r="AA824" s="36"/>
      <c r="AB824" s="36"/>
      <c r="AC824" s="13"/>
      <c r="AD824" s="13"/>
      <c r="AE824" s="37"/>
      <c r="AF824" s="37"/>
      <c r="AG824" s="14"/>
      <c r="AH824" s="14"/>
      <c r="AI824" s="14"/>
      <c r="AZ824" s="24"/>
    </row>
    <row r="825">
      <c r="B825" s="24"/>
      <c r="E825" s="113"/>
      <c r="F825" s="266"/>
      <c r="G825" s="113"/>
      <c r="K825" s="36"/>
      <c r="L825" s="117"/>
      <c r="N825" s="117"/>
      <c r="R825" s="117"/>
      <c r="T825" s="117"/>
      <c r="V825" s="117"/>
      <c r="X825" s="117"/>
      <c r="Y825" s="10"/>
      <c r="Z825" s="11"/>
      <c r="AA825" s="36"/>
      <c r="AB825" s="36"/>
      <c r="AC825" s="13"/>
      <c r="AD825" s="13"/>
      <c r="AE825" s="37"/>
      <c r="AF825" s="37"/>
      <c r="AG825" s="14"/>
      <c r="AH825" s="14"/>
      <c r="AI825" s="14"/>
      <c r="AZ825" s="24"/>
    </row>
    <row r="826">
      <c r="B826" s="24"/>
      <c r="E826" s="113"/>
      <c r="F826" s="266"/>
      <c r="G826" s="113"/>
      <c r="K826" s="36"/>
      <c r="L826" s="117"/>
      <c r="N826" s="117"/>
      <c r="R826" s="117"/>
      <c r="T826" s="117"/>
      <c r="V826" s="117"/>
      <c r="X826" s="117"/>
      <c r="Y826" s="10"/>
      <c r="Z826" s="11"/>
      <c r="AA826" s="36"/>
      <c r="AB826" s="36"/>
      <c r="AC826" s="13"/>
      <c r="AD826" s="13"/>
      <c r="AE826" s="37"/>
      <c r="AF826" s="37"/>
      <c r="AG826" s="14"/>
      <c r="AH826" s="14"/>
      <c r="AI826" s="14"/>
      <c r="AZ826" s="24"/>
    </row>
    <row r="827">
      <c r="B827" s="24"/>
      <c r="E827" s="113"/>
      <c r="F827" s="266"/>
      <c r="G827" s="113"/>
      <c r="K827" s="36"/>
      <c r="L827" s="117"/>
      <c r="N827" s="117"/>
      <c r="R827" s="117"/>
      <c r="T827" s="117"/>
      <c r="V827" s="117"/>
      <c r="X827" s="117"/>
      <c r="Y827" s="10"/>
      <c r="Z827" s="11"/>
      <c r="AA827" s="36"/>
      <c r="AB827" s="36"/>
      <c r="AC827" s="13"/>
      <c r="AD827" s="13"/>
      <c r="AE827" s="37"/>
      <c r="AF827" s="37"/>
      <c r="AG827" s="14"/>
      <c r="AH827" s="14"/>
      <c r="AI827" s="14"/>
      <c r="AZ827" s="24"/>
    </row>
    <row r="828">
      <c r="B828" s="24"/>
      <c r="E828" s="113"/>
      <c r="F828" s="266"/>
      <c r="G828" s="113"/>
      <c r="K828" s="36"/>
      <c r="L828" s="117"/>
      <c r="N828" s="117"/>
      <c r="R828" s="117"/>
      <c r="T828" s="117"/>
      <c r="V828" s="117"/>
      <c r="X828" s="117"/>
      <c r="Y828" s="10"/>
      <c r="Z828" s="11"/>
      <c r="AA828" s="36"/>
      <c r="AB828" s="36"/>
      <c r="AC828" s="13"/>
      <c r="AD828" s="13"/>
      <c r="AE828" s="37"/>
      <c r="AF828" s="37"/>
      <c r="AG828" s="14"/>
      <c r="AH828" s="14"/>
      <c r="AI828" s="14"/>
      <c r="AZ828" s="24"/>
    </row>
    <row r="829">
      <c r="B829" s="24"/>
      <c r="E829" s="113"/>
      <c r="F829" s="266"/>
      <c r="G829" s="113"/>
      <c r="K829" s="36"/>
      <c r="L829" s="117"/>
      <c r="N829" s="117"/>
      <c r="R829" s="117"/>
      <c r="T829" s="117"/>
      <c r="V829" s="117"/>
      <c r="X829" s="117"/>
      <c r="Y829" s="10"/>
      <c r="Z829" s="11"/>
      <c r="AA829" s="36"/>
      <c r="AB829" s="36"/>
      <c r="AC829" s="13"/>
      <c r="AD829" s="13"/>
      <c r="AE829" s="37"/>
      <c r="AF829" s="37"/>
      <c r="AG829" s="14"/>
      <c r="AH829" s="14"/>
      <c r="AI829" s="14"/>
      <c r="AZ829" s="24"/>
    </row>
    <row r="830">
      <c r="B830" s="24"/>
      <c r="E830" s="113"/>
      <c r="F830" s="266"/>
      <c r="G830" s="113"/>
      <c r="K830" s="36"/>
      <c r="L830" s="117"/>
      <c r="N830" s="117"/>
      <c r="R830" s="117"/>
      <c r="T830" s="117"/>
      <c r="V830" s="117"/>
      <c r="X830" s="117"/>
      <c r="Y830" s="10"/>
      <c r="Z830" s="11"/>
      <c r="AA830" s="36"/>
      <c r="AB830" s="36"/>
      <c r="AC830" s="13"/>
      <c r="AD830" s="13"/>
      <c r="AE830" s="37"/>
      <c r="AF830" s="37"/>
      <c r="AG830" s="14"/>
      <c r="AH830" s="14"/>
      <c r="AI830" s="14"/>
      <c r="AZ830" s="24"/>
    </row>
    <row r="831">
      <c r="B831" s="24"/>
      <c r="E831" s="113"/>
      <c r="F831" s="266"/>
      <c r="G831" s="113"/>
      <c r="K831" s="36"/>
      <c r="L831" s="117"/>
      <c r="N831" s="117"/>
      <c r="R831" s="117"/>
      <c r="T831" s="117"/>
      <c r="V831" s="117"/>
      <c r="X831" s="117"/>
      <c r="Y831" s="10"/>
      <c r="Z831" s="11"/>
      <c r="AA831" s="36"/>
      <c r="AB831" s="36"/>
      <c r="AC831" s="13"/>
      <c r="AD831" s="13"/>
      <c r="AE831" s="37"/>
      <c r="AF831" s="37"/>
      <c r="AG831" s="14"/>
      <c r="AH831" s="14"/>
      <c r="AI831" s="14"/>
      <c r="AZ831" s="24"/>
    </row>
    <row r="832">
      <c r="B832" s="24"/>
      <c r="E832" s="113"/>
      <c r="F832" s="266"/>
      <c r="G832" s="113"/>
      <c r="K832" s="36"/>
      <c r="L832" s="117"/>
      <c r="N832" s="117"/>
      <c r="R832" s="117"/>
      <c r="T832" s="117"/>
      <c r="V832" s="117"/>
      <c r="X832" s="117"/>
      <c r="Y832" s="10"/>
      <c r="Z832" s="11"/>
      <c r="AA832" s="36"/>
      <c r="AB832" s="36"/>
      <c r="AC832" s="13"/>
      <c r="AD832" s="13"/>
      <c r="AE832" s="37"/>
      <c r="AF832" s="37"/>
      <c r="AG832" s="14"/>
      <c r="AH832" s="14"/>
      <c r="AI832" s="14"/>
      <c r="AZ832" s="24"/>
    </row>
    <row r="833">
      <c r="B833" s="24"/>
      <c r="E833" s="113"/>
      <c r="F833" s="266"/>
      <c r="G833" s="113"/>
      <c r="K833" s="36"/>
      <c r="L833" s="117"/>
      <c r="N833" s="117"/>
      <c r="R833" s="117"/>
      <c r="T833" s="117"/>
      <c r="V833" s="117"/>
      <c r="X833" s="117"/>
      <c r="Y833" s="10"/>
      <c r="Z833" s="11"/>
      <c r="AA833" s="36"/>
      <c r="AB833" s="36"/>
      <c r="AC833" s="13"/>
      <c r="AD833" s="13"/>
      <c r="AE833" s="37"/>
      <c r="AF833" s="37"/>
      <c r="AG833" s="14"/>
      <c r="AH833" s="14"/>
      <c r="AI833" s="14"/>
      <c r="AZ833" s="24"/>
    </row>
    <row r="834">
      <c r="B834" s="24"/>
      <c r="E834" s="113"/>
      <c r="F834" s="266"/>
      <c r="G834" s="113"/>
      <c r="K834" s="36"/>
      <c r="L834" s="117"/>
      <c r="N834" s="117"/>
      <c r="R834" s="117"/>
      <c r="T834" s="117"/>
      <c r="V834" s="117"/>
      <c r="X834" s="117"/>
      <c r="Y834" s="10"/>
      <c r="Z834" s="11"/>
      <c r="AA834" s="36"/>
      <c r="AB834" s="36"/>
      <c r="AC834" s="13"/>
      <c r="AD834" s="13"/>
      <c r="AE834" s="37"/>
      <c r="AF834" s="37"/>
      <c r="AG834" s="14"/>
      <c r="AH834" s="14"/>
      <c r="AI834" s="14"/>
      <c r="AZ834" s="24"/>
    </row>
    <row r="835">
      <c r="B835" s="24"/>
      <c r="E835" s="113"/>
      <c r="F835" s="266"/>
      <c r="G835" s="113"/>
      <c r="K835" s="36"/>
      <c r="L835" s="117"/>
      <c r="N835" s="117"/>
      <c r="R835" s="117"/>
      <c r="T835" s="117"/>
      <c r="V835" s="117"/>
      <c r="X835" s="117"/>
      <c r="Y835" s="10"/>
      <c r="Z835" s="11"/>
      <c r="AA835" s="36"/>
      <c r="AB835" s="36"/>
      <c r="AC835" s="13"/>
      <c r="AD835" s="13"/>
      <c r="AE835" s="37"/>
      <c r="AF835" s="37"/>
      <c r="AG835" s="14"/>
      <c r="AH835" s="14"/>
      <c r="AI835" s="14"/>
      <c r="AZ835" s="24"/>
    </row>
    <row r="836">
      <c r="B836" s="24"/>
      <c r="E836" s="113"/>
      <c r="F836" s="266"/>
      <c r="G836" s="113"/>
      <c r="K836" s="36"/>
      <c r="L836" s="117"/>
      <c r="N836" s="117"/>
      <c r="R836" s="117"/>
      <c r="T836" s="117"/>
      <c r="V836" s="117"/>
      <c r="X836" s="117"/>
      <c r="Y836" s="10"/>
      <c r="Z836" s="11"/>
      <c r="AA836" s="36"/>
      <c r="AB836" s="36"/>
      <c r="AC836" s="13"/>
      <c r="AD836" s="13"/>
      <c r="AE836" s="37"/>
      <c r="AF836" s="37"/>
      <c r="AG836" s="14"/>
      <c r="AH836" s="14"/>
      <c r="AI836" s="14"/>
      <c r="AZ836" s="24"/>
    </row>
    <row r="837">
      <c r="B837" s="24"/>
      <c r="E837" s="113"/>
      <c r="F837" s="266"/>
      <c r="G837" s="113"/>
      <c r="K837" s="36"/>
      <c r="L837" s="117"/>
      <c r="N837" s="117"/>
      <c r="R837" s="117"/>
      <c r="T837" s="117"/>
      <c r="V837" s="117"/>
      <c r="X837" s="117"/>
      <c r="Y837" s="10"/>
      <c r="Z837" s="11"/>
      <c r="AA837" s="36"/>
      <c r="AB837" s="36"/>
      <c r="AC837" s="13"/>
      <c r="AD837" s="13"/>
      <c r="AE837" s="37"/>
      <c r="AF837" s="37"/>
      <c r="AG837" s="14"/>
      <c r="AH837" s="14"/>
      <c r="AI837" s="14"/>
      <c r="AZ837" s="24"/>
    </row>
    <row r="838">
      <c r="B838" s="24"/>
      <c r="E838" s="113"/>
      <c r="F838" s="266"/>
      <c r="G838" s="113"/>
      <c r="K838" s="36"/>
      <c r="L838" s="117"/>
      <c r="N838" s="117"/>
      <c r="R838" s="117"/>
      <c r="T838" s="117"/>
      <c r="V838" s="117"/>
      <c r="X838" s="117"/>
      <c r="Y838" s="10"/>
      <c r="Z838" s="11"/>
      <c r="AA838" s="36"/>
      <c r="AB838" s="36"/>
      <c r="AC838" s="13"/>
      <c r="AD838" s="13"/>
      <c r="AE838" s="37"/>
      <c r="AF838" s="37"/>
      <c r="AG838" s="14"/>
      <c r="AH838" s="14"/>
      <c r="AI838" s="14"/>
      <c r="AZ838" s="24"/>
    </row>
    <row r="839">
      <c r="B839" s="24"/>
      <c r="E839" s="113"/>
      <c r="F839" s="266"/>
      <c r="G839" s="113"/>
      <c r="K839" s="36"/>
      <c r="L839" s="117"/>
      <c r="N839" s="117"/>
      <c r="R839" s="117"/>
      <c r="T839" s="117"/>
      <c r="V839" s="117"/>
      <c r="X839" s="117"/>
      <c r="Y839" s="10"/>
      <c r="Z839" s="11"/>
      <c r="AA839" s="36"/>
      <c r="AB839" s="36"/>
      <c r="AC839" s="13"/>
      <c r="AD839" s="13"/>
      <c r="AE839" s="37"/>
      <c r="AF839" s="37"/>
      <c r="AG839" s="14"/>
      <c r="AH839" s="14"/>
      <c r="AI839" s="14"/>
      <c r="AZ839" s="24"/>
    </row>
    <row r="840">
      <c r="B840" s="24"/>
      <c r="E840" s="113"/>
      <c r="F840" s="266"/>
      <c r="G840" s="113"/>
      <c r="K840" s="36"/>
      <c r="L840" s="117"/>
      <c r="N840" s="117"/>
      <c r="R840" s="117"/>
      <c r="T840" s="117"/>
      <c r="V840" s="117"/>
      <c r="X840" s="117"/>
      <c r="Y840" s="10"/>
      <c r="Z840" s="11"/>
      <c r="AA840" s="36"/>
      <c r="AB840" s="36"/>
      <c r="AC840" s="13"/>
      <c r="AD840" s="13"/>
      <c r="AE840" s="37"/>
      <c r="AF840" s="37"/>
      <c r="AG840" s="14"/>
      <c r="AH840" s="14"/>
      <c r="AI840" s="14"/>
      <c r="AZ840" s="24"/>
    </row>
    <row r="841">
      <c r="B841" s="24"/>
      <c r="E841" s="113"/>
      <c r="F841" s="266"/>
      <c r="G841" s="113"/>
      <c r="K841" s="36"/>
      <c r="L841" s="117"/>
      <c r="N841" s="117"/>
      <c r="R841" s="117"/>
      <c r="T841" s="117"/>
      <c r="V841" s="117"/>
      <c r="X841" s="117"/>
      <c r="Y841" s="10"/>
      <c r="Z841" s="11"/>
      <c r="AA841" s="36"/>
      <c r="AB841" s="36"/>
      <c r="AC841" s="13"/>
      <c r="AD841" s="13"/>
      <c r="AE841" s="37"/>
      <c r="AF841" s="37"/>
      <c r="AG841" s="14"/>
      <c r="AH841" s="14"/>
      <c r="AI841" s="14"/>
      <c r="AZ841" s="24"/>
    </row>
    <row r="842">
      <c r="B842" s="24"/>
      <c r="E842" s="113"/>
      <c r="F842" s="266"/>
      <c r="G842" s="113"/>
      <c r="K842" s="36"/>
      <c r="L842" s="117"/>
      <c r="N842" s="117"/>
      <c r="R842" s="117"/>
      <c r="T842" s="117"/>
      <c r="V842" s="117"/>
      <c r="X842" s="117"/>
      <c r="Y842" s="10"/>
      <c r="Z842" s="11"/>
      <c r="AA842" s="36"/>
      <c r="AB842" s="36"/>
      <c r="AC842" s="13"/>
      <c r="AD842" s="13"/>
      <c r="AE842" s="37"/>
      <c r="AF842" s="37"/>
      <c r="AG842" s="14"/>
      <c r="AH842" s="14"/>
      <c r="AI842" s="14"/>
      <c r="AZ842" s="24"/>
    </row>
    <row r="843">
      <c r="B843" s="24"/>
      <c r="E843" s="113"/>
      <c r="F843" s="266"/>
      <c r="G843" s="113"/>
      <c r="K843" s="36"/>
      <c r="L843" s="117"/>
      <c r="N843" s="117"/>
      <c r="R843" s="117"/>
      <c r="T843" s="117"/>
      <c r="V843" s="117"/>
      <c r="X843" s="117"/>
      <c r="Y843" s="10"/>
      <c r="Z843" s="11"/>
      <c r="AA843" s="36"/>
      <c r="AB843" s="36"/>
      <c r="AC843" s="13"/>
      <c r="AD843" s="13"/>
      <c r="AE843" s="37"/>
      <c r="AF843" s="37"/>
      <c r="AG843" s="14"/>
      <c r="AH843" s="14"/>
      <c r="AI843" s="14"/>
      <c r="AZ843" s="24"/>
    </row>
    <row r="844">
      <c r="B844" s="24"/>
      <c r="E844" s="113"/>
      <c r="F844" s="266"/>
      <c r="G844" s="113"/>
      <c r="K844" s="36"/>
      <c r="L844" s="117"/>
      <c r="N844" s="117"/>
      <c r="R844" s="117"/>
      <c r="T844" s="117"/>
      <c r="V844" s="117"/>
      <c r="X844" s="117"/>
      <c r="Y844" s="10"/>
      <c r="Z844" s="11"/>
      <c r="AA844" s="36"/>
      <c r="AB844" s="36"/>
      <c r="AC844" s="13"/>
      <c r="AD844" s="13"/>
      <c r="AE844" s="37"/>
      <c r="AF844" s="37"/>
      <c r="AG844" s="14"/>
      <c r="AH844" s="14"/>
      <c r="AI844" s="14"/>
      <c r="AZ844" s="24"/>
    </row>
    <row r="845">
      <c r="B845" s="24"/>
      <c r="E845" s="113"/>
      <c r="F845" s="266"/>
      <c r="G845" s="113"/>
      <c r="K845" s="36"/>
      <c r="L845" s="117"/>
      <c r="N845" s="117"/>
      <c r="R845" s="117"/>
      <c r="T845" s="117"/>
      <c r="V845" s="117"/>
      <c r="X845" s="117"/>
      <c r="Y845" s="10"/>
      <c r="Z845" s="11"/>
      <c r="AA845" s="36"/>
      <c r="AB845" s="36"/>
      <c r="AC845" s="13"/>
      <c r="AD845" s="13"/>
      <c r="AE845" s="37"/>
      <c r="AF845" s="37"/>
      <c r="AG845" s="14"/>
      <c r="AH845" s="14"/>
      <c r="AI845" s="14"/>
      <c r="AZ845" s="24"/>
    </row>
    <row r="846">
      <c r="B846" s="24"/>
      <c r="E846" s="113"/>
      <c r="F846" s="266"/>
      <c r="G846" s="113"/>
      <c r="K846" s="36"/>
      <c r="L846" s="117"/>
      <c r="N846" s="117"/>
      <c r="R846" s="117"/>
      <c r="T846" s="117"/>
      <c r="V846" s="117"/>
      <c r="X846" s="117"/>
      <c r="Y846" s="10"/>
      <c r="Z846" s="11"/>
      <c r="AA846" s="36"/>
      <c r="AB846" s="36"/>
      <c r="AC846" s="13"/>
      <c r="AD846" s="13"/>
      <c r="AE846" s="37"/>
      <c r="AF846" s="37"/>
      <c r="AG846" s="14"/>
      <c r="AH846" s="14"/>
      <c r="AI846" s="14"/>
      <c r="AZ846" s="24"/>
    </row>
    <row r="847">
      <c r="B847" s="24"/>
      <c r="E847" s="113"/>
      <c r="F847" s="266"/>
      <c r="G847" s="113"/>
      <c r="K847" s="36"/>
      <c r="L847" s="117"/>
      <c r="N847" s="117"/>
      <c r="R847" s="117"/>
      <c r="T847" s="117"/>
      <c r="V847" s="117"/>
      <c r="X847" s="117"/>
      <c r="Y847" s="10"/>
      <c r="Z847" s="11"/>
      <c r="AA847" s="36"/>
      <c r="AB847" s="36"/>
      <c r="AC847" s="13"/>
      <c r="AD847" s="13"/>
      <c r="AE847" s="37"/>
      <c r="AF847" s="37"/>
      <c r="AG847" s="14"/>
      <c r="AH847" s="14"/>
      <c r="AI847" s="14"/>
      <c r="AZ847" s="24"/>
    </row>
    <row r="848">
      <c r="B848" s="24"/>
      <c r="E848" s="113"/>
      <c r="F848" s="266"/>
      <c r="G848" s="113"/>
      <c r="K848" s="36"/>
      <c r="L848" s="117"/>
      <c r="N848" s="117"/>
      <c r="R848" s="117"/>
      <c r="T848" s="117"/>
      <c r="V848" s="117"/>
      <c r="X848" s="117"/>
      <c r="Y848" s="10"/>
      <c r="Z848" s="11"/>
      <c r="AA848" s="36"/>
      <c r="AB848" s="36"/>
      <c r="AC848" s="13"/>
      <c r="AD848" s="13"/>
      <c r="AE848" s="37"/>
      <c r="AF848" s="37"/>
      <c r="AG848" s="14"/>
      <c r="AH848" s="14"/>
      <c r="AI848" s="14"/>
      <c r="AZ848" s="24"/>
    </row>
    <row r="849">
      <c r="B849" s="24"/>
      <c r="E849" s="113"/>
      <c r="F849" s="266"/>
      <c r="G849" s="113"/>
      <c r="K849" s="36"/>
      <c r="L849" s="117"/>
      <c r="N849" s="117"/>
      <c r="R849" s="117"/>
      <c r="T849" s="117"/>
      <c r="V849" s="117"/>
      <c r="X849" s="117"/>
      <c r="Y849" s="10"/>
      <c r="Z849" s="11"/>
      <c r="AA849" s="36"/>
      <c r="AB849" s="36"/>
      <c r="AC849" s="13"/>
      <c r="AD849" s="13"/>
      <c r="AE849" s="37"/>
      <c r="AF849" s="37"/>
      <c r="AG849" s="14"/>
      <c r="AH849" s="14"/>
      <c r="AI849" s="14"/>
      <c r="AZ849" s="24"/>
    </row>
    <row r="850">
      <c r="B850" s="24"/>
      <c r="E850" s="113"/>
      <c r="F850" s="266"/>
      <c r="G850" s="113"/>
      <c r="K850" s="36"/>
      <c r="L850" s="117"/>
      <c r="N850" s="117"/>
      <c r="R850" s="117"/>
      <c r="T850" s="117"/>
      <c r="V850" s="117"/>
      <c r="X850" s="117"/>
      <c r="Y850" s="10"/>
      <c r="Z850" s="11"/>
      <c r="AA850" s="36"/>
      <c r="AB850" s="36"/>
      <c r="AC850" s="13"/>
      <c r="AD850" s="13"/>
      <c r="AE850" s="37"/>
      <c r="AF850" s="37"/>
      <c r="AG850" s="14"/>
      <c r="AH850" s="14"/>
      <c r="AI850" s="14"/>
      <c r="AZ850" s="24"/>
    </row>
    <row r="851">
      <c r="B851" s="24"/>
      <c r="E851" s="113"/>
      <c r="F851" s="266"/>
      <c r="G851" s="113"/>
      <c r="K851" s="36"/>
      <c r="L851" s="117"/>
      <c r="N851" s="117"/>
      <c r="R851" s="117"/>
      <c r="T851" s="117"/>
      <c r="V851" s="117"/>
      <c r="X851" s="117"/>
      <c r="Y851" s="10"/>
      <c r="Z851" s="11"/>
      <c r="AA851" s="36"/>
      <c r="AB851" s="36"/>
      <c r="AC851" s="13"/>
      <c r="AD851" s="13"/>
      <c r="AE851" s="37"/>
      <c r="AF851" s="37"/>
      <c r="AG851" s="14"/>
      <c r="AH851" s="14"/>
      <c r="AI851" s="14"/>
      <c r="AZ851" s="24"/>
    </row>
    <row r="852">
      <c r="B852" s="24"/>
      <c r="E852" s="113"/>
      <c r="F852" s="266"/>
      <c r="G852" s="113"/>
      <c r="K852" s="36"/>
      <c r="L852" s="117"/>
      <c r="N852" s="117"/>
      <c r="R852" s="117"/>
      <c r="T852" s="117"/>
      <c r="V852" s="117"/>
      <c r="X852" s="117"/>
      <c r="Y852" s="10"/>
      <c r="Z852" s="11"/>
      <c r="AA852" s="36"/>
      <c r="AB852" s="36"/>
      <c r="AC852" s="13"/>
      <c r="AD852" s="13"/>
      <c r="AE852" s="37"/>
      <c r="AF852" s="37"/>
      <c r="AG852" s="14"/>
      <c r="AH852" s="14"/>
      <c r="AI852" s="14"/>
      <c r="AZ852" s="24"/>
    </row>
    <row r="853">
      <c r="B853" s="24"/>
      <c r="E853" s="113"/>
      <c r="F853" s="266"/>
      <c r="G853" s="113"/>
      <c r="K853" s="36"/>
      <c r="L853" s="117"/>
      <c r="N853" s="117"/>
      <c r="R853" s="117"/>
      <c r="T853" s="117"/>
      <c r="V853" s="117"/>
      <c r="X853" s="117"/>
      <c r="Y853" s="10"/>
      <c r="Z853" s="11"/>
      <c r="AA853" s="36"/>
      <c r="AB853" s="36"/>
      <c r="AC853" s="13"/>
      <c r="AD853" s="13"/>
      <c r="AE853" s="37"/>
      <c r="AF853" s="37"/>
      <c r="AG853" s="14"/>
      <c r="AH853" s="14"/>
      <c r="AI853" s="14"/>
      <c r="AZ853" s="24"/>
    </row>
    <row r="854">
      <c r="B854" s="24"/>
      <c r="E854" s="113"/>
      <c r="F854" s="266"/>
      <c r="G854" s="113"/>
      <c r="K854" s="36"/>
      <c r="L854" s="117"/>
      <c r="N854" s="117"/>
      <c r="R854" s="117"/>
      <c r="T854" s="117"/>
      <c r="V854" s="117"/>
      <c r="X854" s="117"/>
      <c r="Y854" s="10"/>
      <c r="Z854" s="11"/>
      <c r="AA854" s="36"/>
      <c r="AB854" s="36"/>
      <c r="AC854" s="13"/>
      <c r="AD854" s="13"/>
      <c r="AE854" s="37"/>
      <c r="AF854" s="37"/>
      <c r="AG854" s="14"/>
      <c r="AH854" s="14"/>
      <c r="AI854" s="14"/>
      <c r="AZ854" s="24"/>
    </row>
    <row r="855">
      <c r="B855" s="24"/>
      <c r="E855" s="113"/>
      <c r="F855" s="266"/>
      <c r="G855" s="113"/>
      <c r="K855" s="36"/>
      <c r="L855" s="117"/>
      <c r="N855" s="117"/>
      <c r="R855" s="117"/>
      <c r="T855" s="117"/>
      <c r="V855" s="117"/>
      <c r="X855" s="117"/>
      <c r="Y855" s="10"/>
      <c r="Z855" s="11"/>
      <c r="AA855" s="36"/>
      <c r="AB855" s="36"/>
      <c r="AC855" s="13"/>
      <c r="AD855" s="13"/>
      <c r="AE855" s="37"/>
      <c r="AF855" s="37"/>
      <c r="AG855" s="14"/>
      <c r="AH855" s="14"/>
      <c r="AI855" s="14"/>
      <c r="AZ855" s="24"/>
    </row>
    <row r="856">
      <c r="B856" s="24"/>
      <c r="E856" s="113"/>
      <c r="F856" s="266"/>
      <c r="G856" s="113"/>
      <c r="K856" s="36"/>
      <c r="L856" s="117"/>
      <c r="N856" s="117"/>
      <c r="R856" s="117"/>
      <c r="T856" s="117"/>
      <c r="V856" s="117"/>
      <c r="X856" s="117"/>
      <c r="Y856" s="10"/>
      <c r="Z856" s="11"/>
      <c r="AA856" s="36"/>
      <c r="AB856" s="36"/>
      <c r="AC856" s="13"/>
      <c r="AD856" s="13"/>
      <c r="AE856" s="37"/>
      <c r="AF856" s="37"/>
      <c r="AG856" s="14"/>
      <c r="AH856" s="14"/>
      <c r="AI856" s="14"/>
      <c r="AZ856" s="24"/>
    </row>
    <row r="857">
      <c r="B857" s="24"/>
      <c r="E857" s="113"/>
      <c r="F857" s="266"/>
      <c r="G857" s="113"/>
      <c r="K857" s="36"/>
      <c r="L857" s="117"/>
      <c r="N857" s="117"/>
      <c r="R857" s="117"/>
      <c r="T857" s="117"/>
      <c r="V857" s="117"/>
      <c r="X857" s="117"/>
      <c r="Y857" s="10"/>
      <c r="Z857" s="11"/>
      <c r="AA857" s="36"/>
      <c r="AB857" s="36"/>
      <c r="AC857" s="13"/>
      <c r="AD857" s="13"/>
      <c r="AE857" s="37"/>
      <c r="AF857" s="37"/>
      <c r="AG857" s="14"/>
      <c r="AH857" s="14"/>
      <c r="AI857" s="14"/>
      <c r="AZ857" s="24"/>
    </row>
    <row r="858">
      <c r="B858" s="24"/>
      <c r="E858" s="113"/>
      <c r="F858" s="266"/>
      <c r="G858" s="113"/>
      <c r="K858" s="36"/>
      <c r="L858" s="117"/>
      <c r="N858" s="117"/>
      <c r="R858" s="117"/>
      <c r="T858" s="117"/>
      <c r="V858" s="117"/>
      <c r="X858" s="117"/>
      <c r="Y858" s="10"/>
      <c r="Z858" s="11"/>
      <c r="AA858" s="36"/>
      <c r="AB858" s="36"/>
      <c r="AC858" s="13"/>
      <c r="AD858" s="13"/>
      <c r="AE858" s="37"/>
      <c r="AF858" s="37"/>
      <c r="AG858" s="14"/>
      <c r="AH858" s="14"/>
      <c r="AI858" s="14"/>
      <c r="AZ858" s="24"/>
    </row>
    <row r="859">
      <c r="B859" s="24"/>
      <c r="E859" s="113"/>
      <c r="F859" s="266"/>
      <c r="G859" s="113"/>
      <c r="K859" s="36"/>
      <c r="L859" s="117"/>
      <c r="N859" s="117"/>
      <c r="R859" s="117"/>
      <c r="T859" s="117"/>
      <c r="V859" s="117"/>
      <c r="X859" s="117"/>
      <c r="Y859" s="10"/>
      <c r="Z859" s="11"/>
      <c r="AA859" s="36"/>
      <c r="AB859" s="36"/>
      <c r="AC859" s="13"/>
      <c r="AD859" s="13"/>
      <c r="AE859" s="37"/>
      <c r="AF859" s="37"/>
      <c r="AG859" s="14"/>
      <c r="AH859" s="14"/>
      <c r="AI859" s="14"/>
      <c r="AZ859" s="24"/>
    </row>
    <row r="860">
      <c r="B860" s="24"/>
      <c r="E860" s="113"/>
      <c r="F860" s="266"/>
      <c r="G860" s="113"/>
      <c r="K860" s="36"/>
      <c r="L860" s="117"/>
      <c r="N860" s="117"/>
      <c r="R860" s="117"/>
      <c r="T860" s="117"/>
      <c r="V860" s="117"/>
      <c r="X860" s="117"/>
      <c r="Y860" s="10"/>
      <c r="Z860" s="11"/>
      <c r="AA860" s="36"/>
      <c r="AB860" s="36"/>
      <c r="AC860" s="13"/>
      <c r="AD860" s="13"/>
      <c r="AE860" s="37"/>
      <c r="AF860" s="37"/>
      <c r="AG860" s="14"/>
      <c r="AH860" s="14"/>
      <c r="AI860" s="14"/>
      <c r="AZ860" s="24"/>
    </row>
    <row r="861">
      <c r="B861" s="24"/>
      <c r="E861" s="113"/>
      <c r="F861" s="266"/>
      <c r="G861" s="113"/>
      <c r="K861" s="36"/>
      <c r="L861" s="117"/>
      <c r="N861" s="117"/>
      <c r="R861" s="117"/>
      <c r="T861" s="117"/>
      <c r="V861" s="117"/>
      <c r="X861" s="117"/>
      <c r="Y861" s="10"/>
      <c r="Z861" s="11"/>
      <c r="AA861" s="36"/>
      <c r="AB861" s="36"/>
      <c r="AC861" s="13"/>
      <c r="AD861" s="13"/>
      <c r="AE861" s="37"/>
      <c r="AF861" s="37"/>
      <c r="AG861" s="14"/>
      <c r="AH861" s="14"/>
      <c r="AI861" s="14"/>
      <c r="AZ861" s="24"/>
    </row>
    <row r="862">
      <c r="B862" s="24"/>
      <c r="E862" s="113"/>
      <c r="F862" s="266"/>
      <c r="G862" s="113"/>
      <c r="K862" s="36"/>
      <c r="L862" s="117"/>
      <c r="N862" s="117"/>
      <c r="R862" s="117"/>
      <c r="T862" s="117"/>
      <c r="V862" s="117"/>
      <c r="X862" s="117"/>
      <c r="Y862" s="10"/>
      <c r="Z862" s="11"/>
      <c r="AA862" s="36"/>
      <c r="AB862" s="36"/>
      <c r="AC862" s="13"/>
      <c r="AD862" s="13"/>
      <c r="AE862" s="37"/>
      <c r="AF862" s="37"/>
      <c r="AG862" s="14"/>
      <c r="AH862" s="14"/>
      <c r="AI862" s="14"/>
      <c r="AZ862" s="24"/>
    </row>
    <row r="863">
      <c r="B863" s="24"/>
      <c r="E863" s="113"/>
      <c r="F863" s="266"/>
      <c r="G863" s="113"/>
      <c r="K863" s="36"/>
      <c r="L863" s="117"/>
      <c r="N863" s="117"/>
      <c r="R863" s="117"/>
      <c r="T863" s="117"/>
      <c r="V863" s="117"/>
      <c r="X863" s="117"/>
      <c r="Y863" s="10"/>
      <c r="Z863" s="11"/>
      <c r="AA863" s="36"/>
      <c r="AB863" s="36"/>
      <c r="AC863" s="13"/>
      <c r="AD863" s="13"/>
      <c r="AE863" s="37"/>
      <c r="AF863" s="37"/>
      <c r="AG863" s="14"/>
      <c r="AH863" s="14"/>
      <c r="AI863" s="14"/>
      <c r="AZ863" s="24"/>
    </row>
    <row r="864">
      <c r="B864" s="24"/>
      <c r="E864" s="113"/>
      <c r="F864" s="266"/>
      <c r="G864" s="113"/>
      <c r="K864" s="36"/>
      <c r="L864" s="117"/>
      <c r="N864" s="117"/>
      <c r="R864" s="117"/>
      <c r="T864" s="117"/>
      <c r="V864" s="117"/>
      <c r="X864" s="117"/>
      <c r="Y864" s="10"/>
      <c r="Z864" s="11"/>
      <c r="AA864" s="36"/>
      <c r="AB864" s="36"/>
      <c r="AC864" s="13"/>
      <c r="AD864" s="13"/>
      <c r="AE864" s="37"/>
      <c r="AF864" s="37"/>
      <c r="AG864" s="14"/>
      <c r="AH864" s="14"/>
      <c r="AI864" s="14"/>
      <c r="AZ864" s="24"/>
    </row>
    <row r="865">
      <c r="B865" s="24"/>
      <c r="E865" s="113"/>
      <c r="F865" s="266"/>
      <c r="G865" s="113"/>
      <c r="K865" s="36"/>
      <c r="L865" s="117"/>
      <c r="N865" s="117"/>
      <c r="R865" s="117"/>
      <c r="T865" s="117"/>
      <c r="V865" s="117"/>
      <c r="X865" s="117"/>
      <c r="Y865" s="10"/>
      <c r="Z865" s="11"/>
      <c r="AA865" s="36"/>
      <c r="AB865" s="36"/>
      <c r="AC865" s="13"/>
      <c r="AD865" s="13"/>
      <c r="AE865" s="37"/>
      <c r="AF865" s="37"/>
      <c r="AG865" s="14"/>
      <c r="AH865" s="14"/>
      <c r="AI865" s="14"/>
      <c r="AZ865" s="24"/>
    </row>
    <row r="866">
      <c r="B866" s="24"/>
      <c r="E866" s="113"/>
      <c r="F866" s="266"/>
      <c r="G866" s="113"/>
      <c r="K866" s="36"/>
      <c r="L866" s="117"/>
      <c r="N866" s="117"/>
      <c r="R866" s="117"/>
      <c r="T866" s="117"/>
      <c r="V866" s="117"/>
      <c r="X866" s="117"/>
      <c r="Y866" s="10"/>
      <c r="Z866" s="11"/>
      <c r="AA866" s="36"/>
      <c r="AB866" s="36"/>
      <c r="AC866" s="13"/>
      <c r="AD866" s="13"/>
      <c r="AE866" s="37"/>
      <c r="AF866" s="37"/>
      <c r="AG866" s="14"/>
      <c r="AH866" s="14"/>
      <c r="AI866" s="14"/>
      <c r="AZ866" s="24"/>
    </row>
    <row r="867">
      <c r="B867" s="24"/>
      <c r="E867" s="113"/>
      <c r="F867" s="266"/>
      <c r="G867" s="113"/>
      <c r="K867" s="36"/>
      <c r="L867" s="117"/>
      <c r="N867" s="117"/>
      <c r="R867" s="117"/>
      <c r="T867" s="117"/>
      <c r="V867" s="117"/>
      <c r="X867" s="117"/>
      <c r="Y867" s="10"/>
      <c r="Z867" s="11"/>
      <c r="AA867" s="36"/>
      <c r="AB867" s="36"/>
      <c r="AC867" s="13"/>
      <c r="AD867" s="13"/>
      <c r="AE867" s="37"/>
      <c r="AF867" s="37"/>
      <c r="AG867" s="14"/>
      <c r="AH867" s="14"/>
      <c r="AI867" s="14"/>
      <c r="AZ867" s="24"/>
    </row>
    <row r="868">
      <c r="B868" s="24"/>
      <c r="E868" s="113"/>
      <c r="F868" s="266"/>
      <c r="G868" s="113"/>
      <c r="K868" s="36"/>
      <c r="L868" s="117"/>
      <c r="N868" s="117"/>
      <c r="R868" s="117"/>
      <c r="T868" s="117"/>
      <c r="V868" s="117"/>
      <c r="X868" s="117"/>
      <c r="Y868" s="10"/>
      <c r="Z868" s="11"/>
      <c r="AA868" s="36"/>
      <c r="AB868" s="36"/>
      <c r="AC868" s="13"/>
      <c r="AD868" s="13"/>
      <c r="AE868" s="37"/>
      <c r="AF868" s="37"/>
      <c r="AG868" s="14"/>
      <c r="AH868" s="14"/>
      <c r="AI868" s="14"/>
      <c r="AZ868" s="24"/>
    </row>
    <row r="869">
      <c r="B869" s="24"/>
      <c r="E869" s="113"/>
      <c r="F869" s="266"/>
      <c r="G869" s="113"/>
      <c r="K869" s="36"/>
      <c r="L869" s="117"/>
      <c r="N869" s="117"/>
      <c r="R869" s="117"/>
      <c r="T869" s="117"/>
      <c r="V869" s="117"/>
      <c r="X869" s="117"/>
      <c r="Y869" s="10"/>
      <c r="Z869" s="11"/>
      <c r="AA869" s="36"/>
      <c r="AB869" s="36"/>
      <c r="AC869" s="13"/>
      <c r="AD869" s="13"/>
      <c r="AE869" s="37"/>
      <c r="AF869" s="37"/>
      <c r="AG869" s="14"/>
      <c r="AH869" s="14"/>
      <c r="AI869" s="14"/>
      <c r="AZ869" s="24"/>
    </row>
    <row r="870">
      <c r="B870" s="24"/>
      <c r="E870" s="113"/>
      <c r="F870" s="266"/>
      <c r="G870" s="113"/>
      <c r="K870" s="36"/>
      <c r="L870" s="117"/>
      <c r="N870" s="117"/>
      <c r="R870" s="117"/>
      <c r="T870" s="117"/>
      <c r="V870" s="117"/>
      <c r="X870" s="117"/>
      <c r="Y870" s="10"/>
      <c r="Z870" s="11"/>
      <c r="AA870" s="36"/>
      <c r="AB870" s="36"/>
      <c r="AC870" s="13"/>
      <c r="AD870" s="13"/>
      <c r="AE870" s="37"/>
      <c r="AF870" s="37"/>
      <c r="AG870" s="14"/>
      <c r="AH870" s="14"/>
      <c r="AI870" s="14"/>
      <c r="AZ870" s="24"/>
    </row>
    <row r="871">
      <c r="B871" s="24"/>
      <c r="E871" s="113"/>
      <c r="F871" s="266"/>
      <c r="G871" s="113"/>
      <c r="K871" s="36"/>
      <c r="L871" s="117"/>
      <c r="N871" s="117"/>
      <c r="R871" s="117"/>
      <c r="T871" s="117"/>
      <c r="V871" s="117"/>
      <c r="X871" s="117"/>
      <c r="Y871" s="10"/>
      <c r="Z871" s="11"/>
      <c r="AA871" s="36"/>
      <c r="AB871" s="36"/>
      <c r="AC871" s="13"/>
      <c r="AD871" s="13"/>
      <c r="AE871" s="37"/>
      <c r="AF871" s="37"/>
      <c r="AG871" s="14"/>
      <c r="AH871" s="14"/>
      <c r="AI871" s="14"/>
      <c r="AZ871" s="24"/>
    </row>
    <row r="872">
      <c r="B872" s="24"/>
      <c r="E872" s="113"/>
      <c r="F872" s="266"/>
      <c r="G872" s="113"/>
      <c r="K872" s="36"/>
      <c r="L872" s="117"/>
      <c r="N872" s="117"/>
      <c r="R872" s="117"/>
      <c r="T872" s="117"/>
      <c r="V872" s="117"/>
      <c r="X872" s="117"/>
      <c r="Y872" s="10"/>
      <c r="Z872" s="11"/>
      <c r="AA872" s="36"/>
      <c r="AB872" s="36"/>
      <c r="AC872" s="13"/>
      <c r="AD872" s="13"/>
      <c r="AE872" s="37"/>
      <c r="AF872" s="37"/>
      <c r="AG872" s="14"/>
      <c r="AH872" s="14"/>
      <c r="AI872" s="14"/>
      <c r="AZ872" s="24"/>
    </row>
    <row r="873">
      <c r="B873" s="24"/>
      <c r="E873" s="113"/>
      <c r="F873" s="266"/>
      <c r="G873" s="113"/>
      <c r="K873" s="36"/>
      <c r="L873" s="117"/>
      <c r="N873" s="117"/>
      <c r="R873" s="117"/>
      <c r="T873" s="117"/>
      <c r="V873" s="117"/>
      <c r="X873" s="117"/>
      <c r="Y873" s="10"/>
      <c r="Z873" s="11"/>
      <c r="AA873" s="36"/>
      <c r="AB873" s="36"/>
      <c r="AC873" s="13"/>
      <c r="AD873" s="13"/>
      <c r="AE873" s="37"/>
      <c r="AF873" s="37"/>
      <c r="AG873" s="14"/>
      <c r="AH873" s="14"/>
      <c r="AI873" s="14"/>
      <c r="AZ873" s="24"/>
    </row>
    <row r="874">
      <c r="B874" s="24"/>
      <c r="E874" s="113"/>
      <c r="F874" s="266"/>
      <c r="G874" s="113"/>
      <c r="K874" s="36"/>
      <c r="L874" s="117"/>
      <c r="N874" s="117"/>
      <c r="R874" s="117"/>
      <c r="T874" s="117"/>
      <c r="V874" s="117"/>
      <c r="X874" s="117"/>
      <c r="Y874" s="10"/>
      <c r="Z874" s="11"/>
      <c r="AA874" s="36"/>
      <c r="AB874" s="36"/>
      <c r="AC874" s="13"/>
      <c r="AD874" s="13"/>
      <c r="AE874" s="37"/>
      <c r="AF874" s="37"/>
      <c r="AG874" s="14"/>
      <c r="AH874" s="14"/>
      <c r="AI874" s="14"/>
      <c r="AZ874" s="24"/>
    </row>
    <row r="875">
      <c r="B875" s="24"/>
      <c r="E875" s="113"/>
      <c r="F875" s="266"/>
      <c r="G875" s="113"/>
      <c r="K875" s="36"/>
      <c r="L875" s="117"/>
      <c r="N875" s="117"/>
      <c r="R875" s="117"/>
      <c r="T875" s="117"/>
      <c r="V875" s="117"/>
      <c r="X875" s="117"/>
      <c r="Y875" s="10"/>
      <c r="Z875" s="11"/>
      <c r="AA875" s="36"/>
      <c r="AB875" s="36"/>
      <c r="AC875" s="13"/>
      <c r="AD875" s="13"/>
      <c r="AE875" s="37"/>
      <c r="AF875" s="37"/>
      <c r="AG875" s="14"/>
      <c r="AH875" s="14"/>
      <c r="AI875" s="14"/>
      <c r="AZ875" s="24"/>
    </row>
    <row r="876">
      <c r="B876" s="24"/>
      <c r="E876" s="113"/>
      <c r="F876" s="266"/>
      <c r="G876" s="113"/>
      <c r="K876" s="36"/>
      <c r="L876" s="117"/>
      <c r="N876" s="117"/>
      <c r="R876" s="117"/>
      <c r="T876" s="117"/>
      <c r="V876" s="117"/>
      <c r="X876" s="117"/>
      <c r="Y876" s="10"/>
      <c r="Z876" s="11"/>
      <c r="AA876" s="36"/>
      <c r="AB876" s="36"/>
      <c r="AC876" s="13"/>
      <c r="AD876" s="13"/>
      <c r="AE876" s="37"/>
      <c r="AF876" s="37"/>
      <c r="AG876" s="14"/>
      <c r="AH876" s="14"/>
      <c r="AI876" s="14"/>
      <c r="AZ876" s="24"/>
    </row>
    <row r="877">
      <c r="B877" s="24"/>
      <c r="E877" s="113"/>
      <c r="F877" s="266"/>
      <c r="G877" s="113"/>
      <c r="K877" s="36"/>
      <c r="L877" s="117"/>
      <c r="N877" s="117"/>
      <c r="R877" s="117"/>
      <c r="T877" s="117"/>
      <c r="V877" s="117"/>
      <c r="X877" s="117"/>
      <c r="Y877" s="10"/>
      <c r="Z877" s="11"/>
      <c r="AA877" s="36"/>
      <c r="AB877" s="36"/>
      <c r="AC877" s="13"/>
      <c r="AD877" s="13"/>
      <c r="AE877" s="37"/>
      <c r="AF877" s="37"/>
      <c r="AG877" s="14"/>
      <c r="AH877" s="14"/>
      <c r="AI877" s="14"/>
      <c r="AZ877" s="24"/>
    </row>
    <row r="878">
      <c r="B878" s="24"/>
      <c r="E878" s="113"/>
      <c r="F878" s="266"/>
      <c r="G878" s="113"/>
      <c r="K878" s="36"/>
      <c r="L878" s="117"/>
      <c r="N878" s="117"/>
      <c r="R878" s="117"/>
      <c r="T878" s="117"/>
      <c r="V878" s="117"/>
      <c r="X878" s="117"/>
      <c r="Y878" s="10"/>
      <c r="Z878" s="11"/>
      <c r="AA878" s="36"/>
      <c r="AB878" s="36"/>
      <c r="AC878" s="13"/>
      <c r="AD878" s="13"/>
      <c r="AE878" s="37"/>
      <c r="AF878" s="37"/>
      <c r="AG878" s="14"/>
      <c r="AH878" s="14"/>
      <c r="AI878" s="14"/>
      <c r="AZ878" s="24"/>
    </row>
    <row r="879">
      <c r="B879" s="24"/>
      <c r="E879" s="113"/>
      <c r="F879" s="266"/>
      <c r="G879" s="113"/>
      <c r="K879" s="36"/>
      <c r="L879" s="117"/>
      <c r="N879" s="117"/>
      <c r="R879" s="117"/>
      <c r="T879" s="117"/>
      <c r="V879" s="117"/>
      <c r="X879" s="117"/>
      <c r="Y879" s="10"/>
      <c r="Z879" s="11"/>
      <c r="AA879" s="36"/>
      <c r="AB879" s="36"/>
      <c r="AC879" s="13"/>
      <c r="AD879" s="13"/>
      <c r="AE879" s="37"/>
      <c r="AF879" s="37"/>
      <c r="AG879" s="14"/>
      <c r="AH879" s="14"/>
      <c r="AI879" s="14"/>
      <c r="AZ879" s="24"/>
    </row>
    <row r="880">
      <c r="B880" s="24"/>
      <c r="E880" s="113"/>
      <c r="F880" s="266"/>
      <c r="G880" s="113"/>
      <c r="K880" s="36"/>
      <c r="L880" s="117"/>
      <c r="N880" s="117"/>
      <c r="R880" s="117"/>
      <c r="T880" s="117"/>
      <c r="V880" s="117"/>
      <c r="X880" s="117"/>
      <c r="Y880" s="10"/>
      <c r="Z880" s="11"/>
      <c r="AA880" s="36"/>
      <c r="AB880" s="36"/>
      <c r="AC880" s="13"/>
      <c r="AD880" s="13"/>
      <c r="AE880" s="37"/>
      <c r="AF880" s="37"/>
      <c r="AG880" s="14"/>
      <c r="AH880" s="14"/>
      <c r="AI880" s="14"/>
      <c r="AZ880" s="24"/>
    </row>
    <row r="881">
      <c r="B881" s="24"/>
      <c r="E881" s="113"/>
      <c r="F881" s="266"/>
      <c r="G881" s="113"/>
      <c r="K881" s="36"/>
      <c r="L881" s="117"/>
      <c r="N881" s="117"/>
      <c r="R881" s="117"/>
      <c r="T881" s="117"/>
      <c r="V881" s="117"/>
      <c r="X881" s="117"/>
      <c r="Y881" s="10"/>
      <c r="Z881" s="11"/>
      <c r="AA881" s="36"/>
      <c r="AB881" s="36"/>
      <c r="AC881" s="13"/>
      <c r="AD881" s="13"/>
      <c r="AE881" s="37"/>
      <c r="AF881" s="37"/>
      <c r="AG881" s="14"/>
      <c r="AH881" s="14"/>
      <c r="AI881" s="14"/>
      <c r="AZ881" s="24"/>
    </row>
    <row r="882">
      <c r="B882" s="24"/>
      <c r="E882" s="113"/>
      <c r="F882" s="266"/>
      <c r="G882" s="113"/>
      <c r="K882" s="36"/>
      <c r="L882" s="117"/>
      <c r="N882" s="117"/>
      <c r="R882" s="117"/>
      <c r="T882" s="117"/>
      <c r="V882" s="117"/>
      <c r="X882" s="117"/>
      <c r="Y882" s="10"/>
      <c r="Z882" s="11"/>
      <c r="AA882" s="36"/>
      <c r="AB882" s="36"/>
      <c r="AC882" s="13"/>
      <c r="AD882" s="13"/>
      <c r="AE882" s="37"/>
      <c r="AF882" s="37"/>
      <c r="AG882" s="14"/>
      <c r="AH882" s="14"/>
      <c r="AI882" s="14"/>
      <c r="AZ882" s="24"/>
    </row>
    <row r="883">
      <c r="B883" s="24"/>
      <c r="E883" s="113"/>
      <c r="F883" s="266"/>
      <c r="G883" s="113"/>
      <c r="K883" s="36"/>
      <c r="L883" s="117"/>
      <c r="N883" s="117"/>
      <c r="R883" s="117"/>
      <c r="T883" s="117"/>
      <c r="V883" s="117"/>
      <c r="X883" s="117"/>
      <c r="Y883" s="10"/>
      <c r="Z883" s="11"/>
      <c r="AA883" s="36"/>
      <c r="AB883" s="36"/>
      <c r="AC883" s="13"/>
      <c r="AD883" s="13"/>
      <c r="AE883" s="37"/>
      <c r="AF883" s="37"/>
      <c r="AG883" s="14"/>
      <c r="AH883" s="14"/>
      <c r="AI883" s="14"/>
      <c r="AZ883" s="24"/>
    </row>
    <row r="884">
      <c r="B884" s="24"/>
      <c r="E884" s="113"/>
      <c r="F884" s="266"/>
      <c r="G884" s="113"/>
      <c r="K884" s="36"/>
      <c r="L884" s="117"/>
      <c r="N884" s="117"/>
      <c r="R884" s="117"/>
      <c r="T884" s="117"/>
      <c r="V884" s="117"/>
      <c r="X884" s="117"/>
      <c r="Y884" s="10"/>
      <c r="Z884" s="11"/>
      <c r="AA884" s="36"/>
      <c r="AB884" s="36"/>
      <c r="AC884" s="13"/>
      <c r="AD884" s="13"/>
      <c r="AE884" s="37"/>
      <c r="AF884" s="37"/>
      <c r="AG884" s="14"/>
      <c r="AH884" s="14"/>
      <c r="AI884" s="14"/>
      <c r="AZ884" s="24"/>
    </row>
    <row r="885">
      <c r="B885" s="24"/>
      <c r="E885" s="113"/>
      <c r="F885" s="266"/>
      <c r="G885" s="113"/>
      <c r="K885" s="36"/>
      <c r="L885" s="117"/>
      <c r="N885" s="117"/>
      <c r="R885" s="117"/>
      <c r="T885" s="117"/>
      <c r="V885" s="117"/>
      <c r="X885" s="117"/>
      <c r="Y885" s="10"/>
      <c r="Z885" s="11"/>
      <c r="AA885" s="36"/>
      <c r="AB885" s="36"/>
      <c r="AC885" s="13"/>
      <c r="AD885" s="13"/>
      <c r="AE885" s="37"/>
      <c r="AF885" s="37"/>
      <c r="AG885" s="14"/>
      <c r="AH885" s="14"/>
      <c r="AI885" s="14"/>
      <c r="AZ885" s="24"/>
    </row>
    <row r="886">
      <c r="B886" s="24"/>
      <c r="E886" s="113"/>
      <c r="F886" s="266"/>
      <c r="G886" s="113"/>
      <c r="K886" s="36"/>
      <c r="L886" s="117"/>
      <c r="N886" s="117"/>
      <c r="R886" s="117"/>
      <c r="T886" s="117"/>
      <c r="V886" s="117"/>
      <c r="X886" s="117"/>
      <c r="Y886" s="10"/>
      <c r="Z886" s="11"/>
      <c r="AA886" s="36"/>
      <c r="AB886" s="36"/>
      <c r="AC886" s="13"/>
      <c r="AD886" s="13"/>
      <c r="AE886" s="37"/>
      <c r="AF886" s="37"/>
      <c r="AG886" s="14"/>
      <c r="AH886" s="14"/>
      <c r="AI886" s="14"/>
      <c r="AZ886" s="24"/>
    </row>
    <row r="887">
      <c r="B887" s="24"/>
      <c r="E887" s="113"/>
      <c r="F887" s="266"/>
      <c r="G887" s="113"/>
      <c r="K887" s="36"/>
      <c r="L887" s="117"/>
      <c r="N887" s="117"/>
      <c r="R887" s="117"/>
      <c r="T887" s="117"/>
      <c r="V887" s="117"/>
      <c r="X887" s="117"/>
      <c r="Y887" s="10"/>
      <c r="Z887" s="11"/>
      <c r="AA887" s="36"/>
      <c r="AB887" s="36"/>
      <c r="AC887" s="13"/>
      <c r="AD887" s="13"/>
      <c r="AE887" s="37"/>
      <c r="AF887" s="37"/>
      <c r="AG887" s="14"/>
      <c r="AH887" s="14"/>
      <c r="AI887" s="14"/>
      <c r="AZ887" s="24"/>
    </row>
    <row r="888">
      <c r="B888" s="24"/>
      <c r="E888" s="113"/>
      <c r="F888" s="266"/>
      <c r="G888" s="113"/>
      <c r="K888" s="36"/>
      <c r="L888" s="117"/>
      <c r="N888" s="117"/>
      <c r="R888" s="117"/>
      <c r="T888" s="117"/>
      <c r="V888" s="117"/>
      <c r="X888" s="117"/>
      <c r="Y888" s="10"/>
      <c r="Z888" s="11"/>
      <c r="AA888" s="36"/>
      <c r="AB888" s="36"/>
      <c r="AC888" s="13"/>
      <c r="AD888" s="13"/>
      <c r="AE888" s="37"/>
      <c r="AF888" s="37"/>
      <c r="AG888" s="14"/>
      <c r="AH888" s="14"/>
      <c r="AI888" s="14"/>
      <c r="AZ888" s="24"/>
    </row>
    <row r="889">
      <c r="B889" s="24"/>
      <c r="E889" s="113"/>
      <c r="F889" s="266"/>
      <c r="G889" s="113"/>
      <c r="K889" s="36"/>
      <c r="L889" s="117"/>
      <c r="N889" s="117"/>
      <c r="R889" s="117"/>
      <c r="T889" s="117"/>
      <c r="V889" s="117"/>
      <c r="X889" s="117"/>
      <c r="Y889" s="10"/>
      <c r="Z889" s="11"/>
      <c r="AA889" s="36"/>
      <c r="AB889" s="36"/>
      <c r="AC889" s="13"/>
      <c r="AD889" s="13"/>
      <c r="AE889" s="37"/>
      <c r="AF889" s="37"/>
      <c r="AG889" s="14"/>
      <c r="AH889" s="14"/>
      <c r="AI889" s="14"/>
      <c r="AZ889" s="24"/>
    </row>
    <row r="890">
      <c r="B890" s="24"/>
      <c r="E890" s="113"/>
      <c r="F890" s="266"/>
      <c r="G890" s="113"/>
      <c r="K890" s="36"/>
      <c r="L890" s="117"/>
      <c r="N890" s="117"/>
      <c r="R890" s="117"/>
      <c r="T890" s="117"/>
      <c r="V890" s="117"/>
      <c r="X890" s="117"/>
      <c r="Y890" s="10"/>
      <c r="Z890" s="11"/>
      <c r="AA890" s="36"/>
      <c r="AB890" s="36"/>
      <c r="AC890" s="13"/>
      <c r="AD890" s="13"/>
      <c r="AE890" s="37"/>
      <c r="AF890" s="37"/>
      <c r="AG890" s="14"/>
      <c r="AH890" s="14"/>
      <c r="AI890" s="14"/>
      <c r="AZ890" s="24"/>
    </row>
    <row r="891">
      <c r="B891" s="24"/>
      <c r="E891" s="113"/>
      <c r="F891" s="266"/>
      <c r="G891" s="113"/>
      <c r="K891" s="36"/>
      <c r="L891" s="117"/>
      <c r="N891" s="117"/>
      <c r="R891" s="117"/>
      <c r="T891" s="117"/>
      <c r="V891" s="117"/>
      <c r="X891" s="117"/>
      <c r="Y891" s="10"/>
      <c r="Z891" s="11"/>
      <c r="AA891" s="36"/>
      <c r="AB891" s="36"/>
      <c r="AC891" s="13"/>
      <c r="AD891" s="13"/>
      <c r="AE891" s="37"/>
      <c r="AF891" s="37"/>
      <c r="AG891" s="14"/>
      <c r="AH891" s="14"/>
      <c r="AI891" s="14"/>
      <c r="AZ891" s="24"/>
    </row>
    <row r="892">
      <c r="B892" s="24"/>
      <c r="E892" s="113"/>
      <c r="F892" s="266"/>
      <c r="G892" s="113"/>
      <c r="K892" s="36"/>
      <c r="L892" s="117"/>
      <c r="N892" s="117"/>
      <c r="R892" s="117"/>
      <c r="T892" s="117"/>
      <c r="V892" s="117"/>
      <c r="X892" s="117"/>
      <c r="Y892" s="10"/>
      <c r="Z892" s="11"/>
      <c r="AA892" s="36"/>
      <c r="AB892" s="36"/>
      <c r="AC892" s="13"/>
      <c r="AD892" s="13"/>
      <c r="AE892" s="37"/>
      <c r="AF892" s="37"/>
      <c r="AG892" s="14"/>
      <c r="AH892" s="14"/>
      <c r="AI892" s="14"/>
      <c r="AZ892" s="24"/>
    </row>
    <row r="893">
      <c r="B893" s="24"/>
      <c r="E893" s="113"/>
      <c r="F893" s="266"/>
      <c r="G893" s="113"/>
      <c r="K893" s="36"/>
      <c r="L893" s="117"/>
      <c r="N893" s="117"/>
      <c r="R893" s="117"/>
      <c r="T893" s="117"/>
      <c r="V893" s="117"/>
      <c r="X893" s="117"/>
      <c r="Y893" s="10"/>
      <c r="Z893" s="11"/>
      <c r="AA893" s="36"/>
      <c r="AB893" s="36"/>
      <c r="AC893" s="13"/>
      <c r="AD893" s="13"/>
      <c r="AE893" s="37"/>
      <c r="AF893" s="37"/>
      <c r="AG893" s="14"/>
      <c r="AH893" s="14"/>
      <c r="AI893" s="14"/>
      <c r="AZ893" s="24"/>
    </row>
    <row r="894">
      <c r="B894" s="24"/>
      <c r="E894" s="113"/>
      <c r="F894" s="266"/>
      <c r="G894" s="113"/>
      <c r="K894" s="36"/>
      <c r="L894" s="117"/>
      <c r="N894" s="117"/>
      <c r="R894" s="117"/>
      <c r="T894" s="117"/>
      <c r="V894" s="117"/>
      <c r="X894" s="117"/>
      <c r="Y894" s="10"/>
      <c r="Z894" s="11"/>
      <c r="AA894" s="36"/>
      <c r="AB894" s="36"/>
      <c r="AC894" s="13"/>
      <c r="AD894" s="13"/>
      <c r="AE894" s="37"/>
      <c r="AF894" s="37"/>
      <c r="AG894" s="14"/>
      <c r="AH894" s="14"/>
      <c r="AI894" s="14"/>
      <c r="AZ894" s="24"/>
    </row>
    <row r="895">
      <c r="B895" s="24"/>
      <c r="E895" s="113"/>
      <c r="F895" s="266"/>
      <c r="G895" s="113"/>
      <c r="K895" s="36"/>
      <c r="L895" s="117"/>
      <c r="N895" s="117"/>
      <c r="R895" s="117"/>
      <c r="T895" s="117"/>
      <c r="V895" s="117"/>
      <c r="X895" s="117"/>
      <c r="Y895" s="10"/>
      <c r="Z895" s="11"/>
      <c r="AA895" s="36"/>
      <c r="AB895" s="36"/>
      <c r="AC895" s="13"/>
      <c r="AD895" s="13"/>
      <c r="AE895" s="37"/>
      <c r="AF895" s="37"/>
      <c r="AG895" s="14"/>
      <c r="AH895" s="14"/>
      <c r="AI895" s="14"/>
      <c r="AZ895" s="24"/>
    </row>
    <row r="896">
      <c r="B896" s="24"/>
      <c r="E896" s="113"/>
      <c r="F896" s="266"/>
      <c r="G896" s="113"/>
      <c r="K896" s="36"/>
      <c r="L896" s="117"/>
      <c r="N896" s="117"/>
      <c r="R896" s="117"/>
      <c r="T896" s="117"/>
      <c r="V896" s="117"/>
      <c r="X896" s="117"/>
      <c r="Y896" s="10"/>
      <c r="Z896" s="11"/>
      <c r="AA896" s="36"/>
      <c r="AB896" s="36"/>
      <c r="AC896" s="13"/>
      <c r="AD896" s="13"/>
      <c r="AE896" s="37"/>
      <c r="AF896" s="37"/>
      <c r="AG896" s="14"/>
      <c r="AH896" s="14"/>
      <c r="AI896" s="14"/>
      <c r="AZ896" s="24"/>
    </row>
    <row r="897">
      <c r="B897" s="24"/>
      <c r="E897" s="113"/>
      <c r="F897" s="266"/>
      <c r="G897" s="113"/>
      <c r="K897" s="36"/>
      <c r="L897" s="117"/>
      <c r="N897" s="117"/>
      <c r="R897" s="117"/>
      <c r="T897" s="117"/>
      <c r="V897" s="117"/>
      <c r="X897" s="117"/>
      <c r="Y897" s="10"/>
      <c r="Z897" s="11"/>
      <c r="AA897" s="36"/>
      <c r="AB897" s="36"/>
      <c r="AC897" s="13"/>
      <c r="AD897" s="13"/>
      <c r="AE897" s="37"/>
      <c r="AF897" s="37"/>
      <c r="AG897" s="14"/>
      <c r="AH897" s="14"/>
      <c r="AI897" s="14"/>
      <c r="AZ897" s="24"/>
    </row>
    <row r="898">
      <c r="B898" s="24"/>
      <c r="E898" s="113"/>
      <c r="F898" s="266"/>
      <c r="G898" s="113"/>
      <c r="K898" s="36"/>
      <c r="L898" s="117"/>
      <c r="N898" s="117"/>
      <c r="R898" s="117"/>
      <c r="T898" s="117"/>
      <c r="V898" s="117"/>
      <c r="X898" s="117"/>
      <c r="Y898" s="10"/>
      <c r="Z898" s="11"/>
      <c r="AA898" s="36"/>
      <c r="AB898" s="36"/>
      <c r="AC898" s="13"/>
      <c r="AD898" s="13"/>
      <c r="AE898" s="37"/>
      <c r="AF898" s="37"/>
      <c r="AG898" s="14"/>
      <c r="AH898" s="14"/>
      <c r="AI898" s="14"/>
      <c r="AZ898" s="24"/>
    </row>
    <row r="899">
      <c r="B899" s="24"/>
      <c r="E899" s="113"/>
      <c r="F899" s="266"/>
      <c r="G899" s="113"/>
      <c r="K899" s="36"/>
      <c r="L899" s="117"/>
      <c r="N899" s="117"/>
      <c r="R899" s="117"/>
      <c r="T899" s="117"/>
      <c r="V899" s="117"/>
      <c r="X899" s="117"/>
      <c r="Y899" s="10"/>
      <c r="Z899" s="11"/>
      <c r="AA899" s="36"/>
      <c r="AB899" s="36"/>
      <c r="AC899" s="13"/>
      <c r="AD899" s="13"/>
      <c r="AE899" s="37"/>
      <c r="AF899" s="37"/>
      <c r="AG899" s="14"/>
      <c r="AH899" s="14"/>
      <c r="AI899" s="14"/>
      <c r="AZ899" s="24"/>
    </row>
    <row r="900">
      <c r="B900" s="24"/>
      <c r="E900" s="113"/>
      <c r="F900" s="266"/>
      <c r="G900" s="113"/>
      <c r="K900" s="36"/>
      <c r="L900" s="117"/>
      <c r="N900" s="117"/>
      <c r="R900" s="117"/>
      <c r="T900" s="117"/>
      <c r="V900" s="117"/>
      <c r="X900" s="117"/>
      <c r="Y900" s="10"/>
      <c r="Z900" s="11"/>
      <c r="AA900" s="36"/>
      <c r="AB900" s="36"/>
      <c r="AC900" s="13"/>
      <c r="AD900" s="13"/>
      <c r="AE900" s="37"/>
      <c r="AF900" s="37"/>
      <c r="AG900" s="14"/>
      <c r="AH900" s="14"/>
      <c r="AI900" s="14"/>
      <c r="AZ900" s="24"/>
    </row>
    <row r="901">
      <c r="B901" s="24"/>
      <c r="E901" s="113"/>
      <c r="F901" s="266"/>
      <c r="G901" s="113"/>
      <c r="K901" s="36"/>
      <c r="L901" s="117"/>
      <c r="N901" s="117"/>
      <c r="R901" s="117"/>
      <c r="T901" s="117"/>
      <c r="V901" s="117"/>
      <c r="X901" s="117"/>
      <c r="Y901" s="10"/>
      <c r="Z901" s="11"/>
      <c r="AA901" s="36"/>
      <c r="AB901" s="36"/>
      <c r="AC901" s="13"/>
      <c r="AD901" s="13"/>
      <c r="AE901" s="37"/>
      <c r="AF901" s="37"/>
      <c r="AG901" s="14"/>
      <c r="AH901" s="14"/>
      <c r="AI901" s="14"/>
      <c r="AZ901" s="24"/>
    </row>
    <row r="902">
      <c r="B902" s="24"/>
      <c r="E902" s="113"/>
      <c r="F902" s="266"/>
      <c r="G902" s="113"/>
      <c r="K902" s="36"/>
      <c r="L902" s="117"/>
      <c r="N902" s="117"/>
      <c r="R902" s="117"/>
      <c r="T902" s="117"/>
      <c r="V902" s="117"/>
      <c r="X902" s="117"/>
      <c r="Y902" s="10"/>
      <c r="Z902" s="11"/>
      <c r="AA902" s="36"/>
      <c r="AB902" s="36"/>
      <c r="AC902" s="13"/>
      <c r="AD902" s="13"/>
      <c r="AE902" s="37"/>
      <c r="AF902" s="37"/>
      <c r="AG902" s="14"/>
      <c r="AH902" s="14"/>
      <c r="AI902" s="14"/>
      <c r="AZ902" s="24"/>
    </row>
    <row r="903">
      <c r="B903" s="24"/>
      <c r="E903" s="113"/>
      <c r="F903" s="266"/>
      <c r="G903" s="113"/>
      <c r="K903" s="36"/>
      <c r="L903" s="117"/>
      <c r="N903" s="117"/>
      <c r="R903" s="117"/>
      <c r="T903" s="117"/>
      <c r="V903" s="117"/>
      <c r="X903" s="117"/>
      <c r="Y903" s="10"/>
      <c r="Z903" s="11"/>
      <c r="AA903" s="36"/>
      <c r="AB903" s="36"/>
      <c r="AC903" s="13"/>
      <c r="AD903" s="13"/>
      <c r="AE903" s="37"/>
      <c r="AF903" s="37"/>
      <c r="AG903" s="14"/>
      <c r="AH903" s="14"/>
      <c r="AI903" s="14"/>
      <c r="AZ903" s="24"/>
    </row>
    <row r="904">
      <c r="B904" s="24"/>
      <c r="E904" s="113"/>
      <c r="F904" s="266"/>
      <c r="G904" s="113"/>
      <c r="K904" s="36"/>
      <c r="L904" s="117"/>
      <c r="N904" s="117"/>
      <c r="R904" s="117"/>
      <c r="T904" s="117"/>
      <c r="V904" s="117"/>
      <c r="X904" s="117"/>
      <c r="Y904" s="10"/>
      <c r="Z904" s="11"/>
      <c r="AA904" s="36"/>
      <c r="AB904" s="36"/>
      <c r="AC904" s="13"/>
      <c r="AD904" s="13"/>
      <c r="AE904" s="37"/>
      <c r="AF904" s="37"/>
      <c r="AG904" s="14"/>
      <c r="AH904" s="14"/>
      <c r="AI904" s="14"/>
      <c r="AZ904" s="24"/>
    </row>
    <row r="905">
      <c r="B905" s="24"/>
      <c r="E905" s="113"/>
      <c r="F905" s="266"/>
      <c r="G905" s="113"/>
      <c r="K905" s="36"/>
      <c r="L905" s="117"/>
      <c r="N905" s="117"/>
      <c r="R905" s="117"/>
      <c r="T905" s="117"/>
      <c r="V905" s="117"/>
      <c r="X905" s="117"/>
      <c r="Y905" s="10"/>
      <c r="Z905" s="11"/>
      <c r="AA905" s="36"/>
      <c r="AB905" s="36"/>
      <c r="AC905" s="13"/>
      <c r="AD905" s="13"/>
      <c r="AE905" s="37"/>
      <c r="AF905" s="37"/>
      <c r="AG905" s="14"/>
      <c r="AH905" s="14"/>
      <c r="AI905" s="14"/>
      <c r="AZ905" s="24"/>
    </row>
    <row r="906">
      <c r="B906" s="24"/>
      <c r="E906" s="113"/>
      <c r="F906" s="266"/>
      <c r="G906" s="113"/>
      <c r="K906" s="36"/>
      <c r="L906" s="117"/>
      <c r="N906" s="117"/>
      <c r="R906" s="117"/>
      <c r="T906" s="117"/>
      <c r="V906" s="117"/>
      <c r="X906" s="117"/>
      <c r="Y906" s="10"/>
      <c r="Z906" s="11"/>
      <c r="AA906" s="36"/>
      <c r="AB906" s="36"/>
      <c r="AC906" s="13"/>
      <c r="AD906" s="13"/>
      <c r="AE906" s="37"/>
      <c r="AF906" s="37"/>
      <c r="AG906" s="14"/>
      <c r="AH906" s="14"/>
      <c r="AI906" s="14"/>
      <c r="AZ906" s="24"/>
    </row>
    <row r="907">
      <c r="B907" s="24"/>
      <c r="E907" s="113"/>
      <c r="F907" s="266"/>
      <c r="G907" s="113"/>
      <c r="K907" s="36"/>
      <c r="L907" s="117"/>
      <c r="N907" s="117"/>
      <c r="R907" s="117"/>
      <c r="T907" s="117"/>
      <c r="V907" s="117"/>
      <c r="X907" s="117"/>
      <c r="Y907" s="10"/>
      <c r="Z907" s="11"/>
      <c r="AA907" s="36"/>
      <c r="AB907" s="36"/>
      <c r="AC907" s="13"/>
      <c r="AD907" s="13"/>
      <c r="AE907" s="37"/>
      <c r="AF907" s="37"/>
      <c r="AG907" s="14"/>
      <c r="AH907" s="14"/>
      <c r="AI907" s="14"/>
      <c r="AZ907" s="24"/>
    </row>
    <row r="908">
      <c r="B908" s="24"/>
      <c r="E908" s="113"/>
      <c r="F908" s="266"/>
      <c r="G908" s="113"/>
      <c r="K908" s="36"/>
      <c r="L908" s="117"/>
      <c r="N908" s="117"/>
      <c r="R908" s="117"/>
      <c r="T908" s="117"/>
      <c r="V908" s="117"/>
      <c r="X908" s="117"/>
      <c r="Y908" s="10"/>
      <c r="Z908" s="11"/>
      <c r="AA908" s="36"/>
      <c r="AB908" s="36"/>
      <c r="AC908" s="13"/>
      <c r="AD908" s="13"/>
      <c r="AE908" s="37"/>
      <c r="AF908" s="37"/>
      <c r="AG908" s="14"/>
      <c r="AH908" s="14"/>
      <c r="AI908" s="14"/>
      <c r="AZ908" s="24"/>
    </row>
    <row r="909">
      <c r="B909" s="24"/>
      <c r="E909" s="113"/>
      <c r="F909" s="266"/>
      <c r="G909" s="113"/>
      <c r="K909" s="36"/>
      <c r="L909" s="117"/>
      <c r="N909" s="117"/>
      <c r="R909" s="117"/>
      <c r="T909" s="117"/>
      <c r="V909" s="117"/>
      <c r="X909" s="117"/>
      <c r="Y909" s="10"/>
      <c r="Z909" s="11"/>
      <c r="AA909" s="36"/>
      <c r="AB909" s="36"/>
      <c r="AC909" s="13"/>
      <c r="AD909" s="13"/>
      <c r="AE909" s="37"/>
      <c r="AF909" s="37"/>
      <c r="AG909" s="14"/>
      <c r="AH909" s="14"/>
      <c r="AI909" s="14"/>
      <c r="AZ909" s="24"/>
    </row>
    <row r="910">
      <c r="B910" s="24"/>
      <c r="E910" s="113"/>
      <c r="F910" s="266"/>
      <c r="G910" s="113"/>
      <c r="K910" s="36"/>
      <c r="L910" s="117"/>
      <c r="N910" s="117"/>
      <c r="R910" s="117"/>
      <c r="T910" s="117"/>
      <c r="V910" s="117"/>
      <c r="X910" s="117"/>
      <c r="Y910" s="10"/>
      <c r="Z910" s="11"/>
      <c r="AA910" s="36"/>
      <c r="AB910" s="36"/>
      <c r="AC910" s="13"/>
      <c r="AD910" s="13"/>
      <c r="AE910" s="37"/>
      <c r="AF910" s="37"/>
      <c r="AG910" s="14"/>
      <c r="AH910" s="14"/>
      <c r="AI910" s="14"/>
      <c r="AZ910" s="24"/>
    </row>
    <row r="911">
      <c r="B911" s="24"/>
      <c r="E911" s="113"/>
      <c r="F911" s="266"/>
      <c r="G911" s="113"/>
      <c r="K911" s="36"/>
      <c r="L911" s="117"/>
      <c r="N911" s="117"/>
      <c r="R911" s="117"/>
      <c r="T911" s="117"/>
      <c r="V911" s="117"/>
      <c r="X911" s="117"/>
      <c r="Y911" s="10"/>
      <c r="Z911" s="11"/>
      <c r="AA911" s="36"/>
      <c r="AB911" s="36"/>
      <c r="AC911" s="13"/>
      <c r="AD911" s="13"/>
      <c r="AE911" s="37"/>
      <c r="AF911" s="37"/>
      <c r="AG911" s="14"/>
      <c r="AH911" s="14"/>
      <c r="AI911" s="14"/>
      <c r="AZ911" s="24"/>
    </row>
    <row r="912">
      <c r="B912" s="24"/>
      <c r="E912" s="113"/>
      <c r="F912" s="266"/>
      <c r="G912" s="113"/>
      <c r="K912" s="36"/>
      <c r="L912" s="117"/>
      <c r="N912" s="117"/>
      <c r="R912" s="117"/>
      <c r="T912" s="117"/>
      <c r="V912" s="117"/>
      <c r="X912" s="117"/>
      <c r="Y912" s="10"/>
      <c r="Z912" s="11"/>
      <c r="AA912" s="36"/>
      <c r="AB912" s="36"/>
      <c r="AC912" s="13"/>
      <c r="AD912" s="13"/>
      <c r="AE912" s="37"/>
      <c r="AF912" s="37"/>
      <c r="AG912" s="14"/>
      <c r="AH912" s="14"/>
      <c r="AI912" s="14"/>
      <c r="AZ912" s="24"/>
    </row>
    <row r="913">
      <c r="B913" s="24"/>
      <c r="E913" s="113"/>
      <c r="F913" s="266"/>
      <c r="G913" s="113"/>
      <c r="K913" s="36"/>
      <c r="L913" s="117"/>
      <c r="N913" s="117"/>
      <c r="R913" s="117"/>
      <c r="T913" s="117"/>
      <c r="V913" s="117"/>
      <c r="X913" s="117"/>
      <c r="Y913" s="10"/>
      <c r="Z913" s="11"/>
      <c r="AA913" s="36"/>
      <c r="AB913" s="36"/>
      <c r="AC913" s="13"/>
      <c r="AD913" s="13"/>
      <c r="AE913" s="37"/>
      <c r="AF913" s="37"/>
      <c r="AG913" s="14"/>
      <c r="AH913" s="14"/>
      <c r="AI913" s="14"/>
      <c r="AZ913" s="24"/>
    </row>
    <row r="914">
      <c r="B914" s="24"/>
      <c r="E914" s="113"/>
      <c r="F914" s="266"/>
      <c r="G914" s="113"/>
      <c r="K914" s="36"/>
      <c r="L914" s="117"/>
      <c r="N914" s="117"/>
      <c r="R914" s="117"/>
      <c r="T914" s="117"/>
      <c r="V914" s="117"/>
      <c r="X914" s="117"/>
      <c r="Y914" s="10"/>
      <c r="Z914" s="11"/>
      <c r="AA914" s="36"/>
      <c r="AB914" s="36"/>
      <c r="AC914" s="13"/>
      <c r="AD914" s="13"/>
      <c r="AE914" s="37"/>
      <c r="AF914" s="37"/>
      <c r="AG914" s="14"/>
      <c r="AH914" s="14"/>
      <c r="AI914" s="14"/>
      <c r="AZ914" s="24"/>
    </row>
    <row r="915">
      <c r="B915" s="24"/>
      <c r="E915" s="113"/>
      <c r="F915" s="266"/>
      <c r="G915" s="113"/>
      <c r="K915" s="36"/>
      <c r="L915" s="117"/>
      <c r="N915" s="117"/>
      <c r="R915" s="117"/>
      <c r="T915" s="117"/>
      <c r="V915" s="117"/>
      <c r="X915" s="117"/>
      <c r="Y915" s="10"/>
      <c r="Z915" s="11"/>
      <c r="AA915" s="36"/>
      <c r="AB915" s="36"/>
      <c r="AC915" s="13"/>
      <c r="AD915" s="13"/>
      <c r="AE915" s="37"/>
      <c r="AF915" s="37"/>
      <c r="AG915" s="14"/>
      <c r="AH915" s="14"/>
      <c r="AI915" s="14"/>
      <c r="AZ915" s="24"/>
    </row>
    <row r="916">
      <c r="B916" s="24"/>
      <c r="E916" s="113"/>
      <c r="F916" s="266"/>
      <c r="G916" s="113"/>
      <c r="K916" s="36"/>
      <c r="L916" s="117"/>
      <c r="N916" s="117"/>
      <c r="R916" s="117"/>
      <c r="T916" s="117"/>
      <c r="V916" s="117"/>
      <c r="X916" s="117"/>
      <c r="Y916" s="10"/>
      <c r="Z916" s="11"/>
      <c r="AA916" s="36"/>
      <c r="AB916" s="36"/>
      <c r="AC916" s="13"/>
      <c r="AD916" s="13"/>
      <c r="AE916" s="37"/>
      <c r="AF916" s="37"/>
      <c r="AG916" s="14"/>
      <c r="AH916" s="14"/>
      <c r="AI916" s="14"/>
      <c r="AZ916" s="24"/>
    </row>
    <row r="917">
      <c r="B917" s="24"/>
      <c r="E917" s="113"/>
      <c r="F917" s="266"/>
      <c r="G917" s="113"/>
      <c r="K917" s="36"/>
      <c r="L917" s="117"/>
      <c r="N917" s="117"/>
      <c r="R917" s="117"/>
      <c r="T917" s="117"/>
      <c r="V917" s="117"/>
      <c r="X917" s="117"/>
      <c r="Y917" s="10"/>
      <c r="Z917" s="11"/>
      <c r="AA917" s="36"/>
      <c r="AB917" s="36"/>
      <c r="AC917" s="13"/>
      <c r="AD917" s="13"/>
      <c r="AE917" s="37"/>
      <c r="AF917" s="37"/>
      <c r="AG917" s="14"/>
      <c r="AH917" s="14"/>
      <c r="AI917" s="14"/>
      <c r="AZ917" s="24"/>
    </row>
    <row r="918">
      <c r="B918" s="24"/>
      <c r="E918" s="113"/>
      <c r="F918" s="266"/>
      <c r="G918" s="113"/>
      <c r="K918" s="36"/>
      <c r="L918" s="117"/>
      <c r="N918" s="117"/>
      <c r="R918" s="117"/>
      <c r="T918" s="117"/>
      <c r="V918" s="117"/>
      <c r="X918" s="117"/>
      <c r="Y918" s="10"/>
      <c r="Z918" s="11"/>
      <c r="AA918" s="36"/>
      <c r="AB918" s="36"/>
      <c r="AC918" s="13"/>
      <c r="AD918" s="13"/>
      <c r="AE918" s="37"/>
      <c r="AF918" s="37"/>
      <c r="AG918" s="14"/>
      <c r="AH918" s="14"/>
      <c r="AI918" s="14"/>
      <c r="AZ918" s="24"/>
    </row>
    <row r="919">
      <c r="B919" s="24"/>
      <c r="E919" s="113"/>
      <c r="F919" s="266"/>
      <c r="G919" s="113"/>
      <c r="K919" s="36"/>
      <c r="L919" s="117"/>
      <c r="N919" s="117"/>
      <c r="R919" s="117"/>
      <c r="T919" s="117"/>
      <c r="V919" s="117"/>
      <c r="X919" s="117"/>
      <c r="Y919" s="10"/>
      <c r="Z919" s="11"/>
      <c r="AA919" s="36"/>
      <c r="AB919" s="36"/>
      <c r="AC919" s="13"/>
      <c r="AD919" s="13"/>
      <c r="AE919" s="37"/>
      <c r="AF919" s="37"/>
      <c r="AG919" s="14"/>
      <c r="AH919" s="14"/>
      <c r="AI919" s="14"/>
      <c r="AZ919" s="24"/>
    </row>
    <row r="920">
      <c r="B920" s="24"/>
      <c r="E920" s="113"/>
      <c r="F920" s="266"/>
      <c r="G920" s="113"/>
      <c r="K920" s="36"/>
      <c r="L920" s="117"/>
      <c r="N920" s="117"/>
      <c r="R920" s="117"/>
      <c r="T920" s="117"/>
      <c r="V920" s="117"/>
      <c r="X920" s="117"/>
      <c r="Y920" s="10"/>
      <c r="Z920" s="11"/>
      <c r="AA920" s="36"/>
      <c r="AB920" s="36"/>
      <c r="AC920" s="13"/>
      <c r="AD920" s="13"/>
      <c r="AE920" s="37"/>
      <c r="AF920" s="37"/>
      <c r="AG920" s="14"/>
      <c r="AH920" s="14"/>
      <c r="AI920" s="14"/>
      <c r="AZ920" s="24"/>
    </row>
    <row r="921">
      <c r="B921" s="24"/>
      <c r="E921" s="113"/>
      <c r="F921" s="266"/>
      <c r="G921" s="113"/>
      <c r="K921" s="36"/>
      <c r="L921" s="117"/>
      <c r="N921" s="117"/>
      <c r="R921" s="117"/>
      <c r="T921" s="117"/>
      <c r="V921" s="117"/>
      <c r="X921" s="117"/>
      <c r="Y921" s="10"/>
      <c r="Z921" s="11"/>
      <c r="AA921" s="36"/>
      <c r="AB921" s="36"/>
      <c r="AC921" s="13"/>
      <c r="AD921" s="13"/>
      <c r="AE921" s="37"/>
      <c r="AF921" s="37"/>
      <c r="AG921" s="14"/>
      <c r="AH921" s="14"/>
      <c r="AI921" s="14"/>
      <c r="AZ921" s="24"/>
    </row>
    <row r="922">
      <c r="B922" s="24"/>
      <c r="E922" s="113"/>
      <c r="F922" s="266"/>
      <c r="G922" s="113"/>
      <c r="K922" s="36"/>
      <c r="L922" s="117"/>
      <c r="N922" s="117"/>
      <c r="R922" s="117"/>
      <c r="T922" s="117"/>
      <c r="V922" s="117"/>
      <c r="X922" s="117"/>
      <c r="Y922" s="10"/>
      <c r="Z922" s="11"/>
      <c r="AA922" s="36"/>
      <c r="AB922" s="36"/>
      <c r="AC922" s="13"/>
      <c r="AD922" s="13"/>
      <c r="AE922" s="37"/>
      <c r="AF922" s="37"/>
      <c r="AG922" s="14"/>
      <c r="AH922" s="14"/>
      <c r="AI922" s="14"/>
      <c r="AZ922" s="24"/>
    </row>
    <row r="923">
      <c r="B923" s="24"/>
      <c r="E923" s="113"/>
      <c r="F923" s="266"/>
      <c r="G923" s="113"/>
      <c r="K923" s="36"/>
      <c r="L923" s="117"/>
      <c r="N923" s="117"/>
      <c r="R923" s="117"/>
      <c r="T923" s="117"/>
      <c r="V923" s="117"/>
      <c r="X923" s="117"/>
      <c r="Y923" s="10"/>
      <c r="Z923" s="11"/>
      <c r="AA923" s="36"/>
      <c r="AB923" s="36"/>
      <c r="AC923" s="13"/>
      <c r="AD923" s="13"/>
      <c r="AE923" s="37"/>
      <c r="AF923" s="37"/>
      <c r="AG923" s="14"/>
      <c r="AH923" s="14"/>
      <c r="AI923" s="14"/>
      <c r="AZ923" s="24"/>
    </row>
    <row r="924">
      <c r="B924" s="24"/>
      <c r="E924" s="113"/>
      <c r="F924" s="266"/>
      <c r="G924" s="113"/>
      <c r="K924" s="36"/>
      <c r="L924" s="117"/>
      <c r="N924" s="117"/>
      <c r="R924" s="117"/>
      <c r="T924" s="117"/>
      <c r="V924" s="117"/>
      <c r="X924" s="117"/>
      <c r="Y924" s="10"/>
      <c r="Z924" s="11"/>
      <c r="AA924" s="36"/>
      <c r="AB924" s="36"/>
      <c r="AC924" s="13"/>
      <c r="AD924" s="13"/>
      <c r="AE924" s="37"/>
      <c r="AF924" s="37"/>
      <c r="AG924" s="14"/>
      <c r="AH924" s="14"/>
      <c r="AI924" s="14"/>
      <c r="AZ924" s="24"/>
    </row>
    <row r="925">
      <c r="B925" s="24"/>
      <c r="E925" s="113"/>
      <c r="F925" s="266"/>
      <c r="G925" s="113"/>
      <c r="K925" s="36"/>
      <c r="L925" s="117"/>
      <c r="N925" s="117"/>
      <c r="R925" s="117"/>
      <c r="T925" s="117"/>
      <c r="V925" s="117"/>
      <c r="X925" s="117"/>
      <c r="Y925" s="10"/>
      <c r="Z925" s="11"/>
      <c r="AA925" s="36"/>
      <c r="AB925" s="36"/>
      <c r="AC925" s="13"/>
      <c r="AD925" s="13"/>
      <c r="AE925" s="37"/>
      <c r="AF925" s="37"/>
      <c r="AG925" s="14"/>
      <c r="AH925" s="14"/>
      <c r="AI925" s="14"/>
      <c r="AZ925" s="24"/>
    </row>
    <row r="926">
      <c r="B926" s="24"/>
      <c r="E926" s="113"/>
      <c r="F926" s="266"/>
      <c r="G926" s="113"/>
      <c r="K926" s="36"/>
      <c r="L926" s="117"/>
      <c r="N926" s="117"/>
      <c r="R926" s="117"/>
      <c r="T926" s="117"/>
      <c r="V926" s="117"/>
      <c r="X926" s="117"/>
      <c r="Y926" s="10"/>
      <c r="Z926" s="11"/>
      <c r="AA926" s="36"/>
      <c r="AB926" s="36"/>
      <c r="AC926" s="13"/>
      <c r="AD926" s="13"/>
      <c r="AE926" s="37"/>
      <c r="AF926" s="37"/>
      <c r="AG926" s="14"/>
      <c r="AH926" s="14"/>
      <c r="AI926" s="14"/>
      <c r="AZ926" s="24"/>
    </row>
    <row r="927">
      <c r="B927" s="24"/>
      <c r="E927" s="113"/>
      <c r="F927" s="266"/>
      <c r="G927" s="113"/>
      <c r="K927" s="36"/>
      <c r="L927" s="117"/>
      <c r="N927" s="117"/>
      <c r="R927" s="117"/>
      <c r="T927" s="117"/>
      <c r="V927" s="117"/>
      <c r="X927" s="117"/>
      <c r="Y927" s="10"/>
      <c r="Z927" s="11"/>
      <c r="AA927" s="36"/>
      <c r="AB927" s="36"/>
      <c r="AC927" s="13"/>
      <c r="AD927" s="13"/>
      <c r="AE927" s="37"/>
      <c r="AF927" s="37"/>
      <c r="AG927" s="14"/>
      <c r="AH927" s="14"/>
      <c r="AI927" s="14"/>
      <c r="AZ927" s="24"/>
    </row>
    <row r="928">
      <c r="B928" s="24"/>
      <c r="E928" s="113"/>
      <c r="F928" s="266"/>
      <c r="G928" s="113"/>
      <c r="K928" s="36"/>
      <c r="L928" s="117"/>
      <c r="N928" s="117"/>
      <c r="R928" s="117"/>
      <c r="T928" s="117"/>
      <c r="V928" s="117"/>
      <c r="X928" s="117"/>
      <c r="Y928" s="10"/>
      <c r="Z928" s="11"/>
      <c r="AA928" s="36"/>
      <c r="AB928" s="36"/>
      <c r="AC928" s="13"/>
      <c r="AD928" s="13"/>
      <c r="AE928" s="37"/>
      <c r="AF928" s="37"/>
      <c r="AG928" s="14"/>
      <c r="AH928" s="14"/>
      <c r="AI928" s="14"/>
      <c r="AZ928" s="24"/>
    </row>
    <row r="929">
      <c r="B929" s="24"/>
      <c r="E929" s="113"/>
      <c r="F929" s="266"/>
      <c r="G929" s="113"/>
      <c r="K929" s="36"/>
      <c r="L929" s="117"/>
      <c r="N929" s="117"/>
      <c r="R929" s="117"/>
      <c r="T929" s="117"/>
      <c r="V929" s="117"/>
      <c r="X929" s="117"/>
      <c r="Y929" s="10"/>
      <c r="Z929" s="11"/>
      <c r="AA929" s="36"/>
      <c r="AB929" s="36"/>
      <c r="AC929" s="13"/>
      <c r="AD929" s="13"/>
      <c r="AE929" s="37"/>
      <c r="AF929" s="37"/>
      <c r="AG929" s="14"/>
      <c r="AH929" s="14"/>
      <c r="AI929" s="14"/>
      <c r="AZ929" s="24"/>
    </row>
    <row r="930">
      <c r="B930" s="24"/>
      <c r="E930" s="113"/>
      <c r="F930" s="266"/>
      <c r="G930" s="113"/>
      <c r="K930" s="36"/>
      <c r="L930" s="117"/>
      <c r="N930" s="117"/>
      <c r="R930" s="117"/>
      <c r="T930" s="117"/>
      <c r="V930" s="117"/>
      <c r="X930" s="117"/>
      <c r="Y930" s="10"/>
      <c r="Z930" s="11"/>
      <c r="AA930" s="36"/>
      <c r="AB930" s="36"/>
      <c r="AC930" s="13"/>
      <c r="AD930" s="13"/>
      <c r="AE930" s="37"/>
      <c r="AF930" s="37"/>
      <c r="AG930" s="14"/>
      <c r="AH930" s="14"/>
      <c r="AI930" s="14"/>
      <c r="AZ930" s="24"/>
    </row>
    <row r="931">
      <c r="B931" s="24"/>
      <c r="E931" s="113"/>
      <c r="F931" s="266"/>
      <c r="G931" s="113"/>
      <c r="K931" s="36"/>
      <c r="L931" s="117"/>
      <c r="N931" s="117"/>
      <c r="R931" s="117"/>
      <c r="T931" s="117"/>
      <c r="V931" s="117"/>
      <c r="X931" s="117"/>
      <c r="Y931" s="10"/>
      <c r="Z931" s="11"/>
      <c r="AA931" s="36"/>
      <c r="AB931" s="36"/>
      <c r="AC931" s="13"/>
      <c r="AD931" s="13"/>
      <c r="AE931" s="37"/>
      <c r="AF931" s="37"/>
      <c r="AG931" s="14"/>
      <c r="AH931" s="14"/>
      <c r="AI931" s="14"/>
      <c r="AZ931" s="24"/>
    </row>
    <row r="932">
      <c r="B932" s="24"/>
      <c r="E932" s="113"/>
      <c r="F932" s="266"/>
      <c r="G932" s="113"/>
      <c r="K932" s="36"/>
      <c r="L932" s="117"/>
      <c r="N932" s="117"/>
      <c r="R932" s="117"/>
      <c r="T932" s="117"/>
      <c r="V932" s="117"/>
      <c r="X932" s="117"/>
      <c r="Y932" s="10"/>
      <c r="Z932" s="11"/>
      <c r="AA932" s="36"/>
      <c r="AB932" s="36"/>
      <c r="AC932" s="13"/>
      <c r="AD932" s="13"/>
      <c r="AE932" s="37"/>
      <c r="AF932" s="37"/>
      <c r="AG932" s="14"/>
      <c r="AH932" s="14"/>
      <c r="AI932" s="14"/>
      <c r="AZ932" s="24"/>
    </row>
    <row r="933">
      <c r="B933" s="24"/>
      <c r="E933" s="113"/>
      <c r="F933" s="266"/>
      <c r="G933" s="113"/>
      <c r="K933" s="36"/>
      <c r="L933" s="117"/>
      <c r="N933" s="117"/>
      <c r="R933" s="117"/>
      <c r="T933" s="117"/>
      <c r="V933" s="117"/>
      <c r="X933" s="117"/>
      <c r="Y933" s="10"/>
      <c r="Z933" s="11"/>
      <c r="AA933" s="36"/>
      <c r="AB933" s="36"/>
      <c r="AC933" s="13"/>
      <c r="AD933" s="13"/>
      <c r="AE933" s="37"/>
      <c r="AF933" s="37"/>
      <c r="AG933" s="14"/>
      <c r="AH933" s="14"/>
      <c r="AI933" s="14"/>
      <c r="AZ933" s="24"/>
    </row>
    <row r="934">
      <c r="B934" s="24"/>
      <c r="E934" s="113"/>
      <c r="F934" s="266"/>
      <c r="G934" s="113"/>
      <c r="K934" s="36"/>
      <c r="L934" s="117"/>
      <c r="N934" s="117"/>
      <c r="R934" s="117"/>
      <c r="T934" s="117"/>
      <c r="V934" s="117"/>
      <c r="X934" s="117"/>
      <c r="Y934" s="10"/>
      <c r="Z934" s="11"/>
      <c r="AA934" s="36"/>
      <c r="AB934" s="36"/>
      <c r="AC934" s="13"/>
      <c r="AD934" s="13"/>
      <c r="AE934" s="37"/>
      <c r="AF934" s="37"/>
      <c r="AG934" s="14"/>
      <c r="AH934" s="14"/>
      <c r="AI934" s="14"/>
      <c r="AZ934" s="24"/>
    </row>
    <row r="935">
      <c r="B935" s="24"/>
      <c r="E935" s="113"/>
      <c r="F935" s="266"/>
      <c r="G935" s="113"/>
      <c r="K935" s="36"/>
      <c r="L935" s="117"/>
      <c r="N935" s="117"/>
      <c r="R935" s="117"/>
      <c r="T935" s="117"/>
      <c r="V935" s="117"/>
      <c r="X935" s="117"/>
      <c r="Y935" s="10"/>
      <c r="Z935" s="11"/>
      <c r="AA935" s="36"/>
      <c r="AB935" s="36"/>
      <c r="AC935" s="13"/>
      <c r="AD935" s="13"/>
      <c r="AE935" s="37"/>
      <c r="AF935" s="37"/>
      <c r="AG935" s="14"/>
      <c r="AH935" s="14"/>
      <c r="AI935" s="14"/>
      <c r="AZ935" s="24"/>
    </row>
    <row r="936">
      <c r="B936" s="24"/>
      <c r="E936" s="113"/>
      <c r="F936" s="266"/>
      <c r="G936" s="113"/>
      <c r="K936" s="36"/>
      <c r="L936" s="117"/>
      <c r="N936" s="117"/>
      <c r="R936" s="117"/>
      <c r="T936" s="117"/>
      <c r="V936" s="117"/>
      <c r="X936" s="117"/>
      <c r="Y936" s="10"/>
      <c r="Z936" s="11"/>
      <c r="AA936" s="36"/>
      <c r="AB936" s="36"/>
      <c r="AC936" s="13"/>
      <c r="AD936" s="13"/>
      <c r="AE936" s="37"/>
      <c r="AF936" s="37"/>
      <c r="AG936" s="14"/>
      <c r="AH936" s="14"/>
      <c r="AI936" s="14"/>
      <c r="AZ936" s="24"/>
    </row>
    <row r="937">
      <c r="B937" s="24"/>
      <c r="E937" s="113"/>
      <c r="F937" s="266"/>
      <c r="G937" s="113"/>
      <c r="K937" s="36"/>
      <c r="L937" s="117"/>
      <c r="N937" s="117"/>
      <c r="R937" s="117"/>
      <c r="T937" s="117"/>
      <c r="V937" s="117"/>
      <c r="X937" s="117"/>
      <c r="Y937" s="10"/>
      <c r="Z937" s="11"/>
      <c r="AA937" s="36"/>
      <c r="AB937" s="36"/>
      <c r="AC937" s="13"/>
      <c r="AD937" s="13"/>
      <c r="AE937" s="37"/>
      <c r="AF937" s="37"/>
      <c r="AG937" s="14"/>
      <c r="AH937" s="14"/>
      <c r="AI937" s="14"/>
      <c r="AZ937" s="24"/>
    </row>
    <row r="938">
      <c r="B938" s="24"/>
      <c r="E938" s="113"/>
      <c r="F938" s="266"/>
      <c r="G938" s="113"/>
      <c r="K938" s="36"/>
      <c r="L938" s="117"/>
      <c r="N938" s="117"/>
      <c r="R938" s="117"/>
      <c r="T938" s="117"/>
      <c r="V938" s="117"/>
      <c r="X938" s="117"/>
      <c r="Y938" s="10"/>
      <c r="Z938" s="11"/>
      <c r="AA938" s="36"/>
      <c r="AB938" s="36"/>
      <c r="AC938" s="13"/>
      <c r="AD938" s="13"/>
      <c r="AE938" s="37"/>
      <c r="AF938" s="37"/>
      <c r="AG938" s="14"/>
      <c r="AH938" s="14"/>
      <c r="AI938" s="14"/>
      <c r="AZ938" s="24"/>
    </row>
    <row r="939">
      <c r="B939" s="24"/>
      <c r="E939" s="113"/>
      <c r="F939" s="266"/>
      <c r="G939" s="113"/>
      <c r="K939" s="36"/>
      <c r="L939" s="117"/>
      <c r="N939" s="117"/>
      <c r="R939" s="117"/>
      <c r="T939" s="117"/>
      <c r="V939" s="117"/>
      <c r="X939" s="117"/>
      <c r="Y939" s="10"/>
      <c r="Z939" s="11"/>
      <c r="AA939" s="36"/>
      <c r="AB939" s="36"/>
      <c r="AC939" s="13"/>
      <c r="AD939" s="13"/>
      <c r="AE939" s="37"/>
      <c r="AF939" s="37"/>
      <c r="AG939" s="14"/>
      <c r="AH939" s="14"/>
      <c r="AI939" s="14"/>
      <c r="AZ939" s="24"/>
    </row>
    <row r="940">
      <c r="B940" s="24"/>
      <c r="E940" s="113"/>
      <c r="F940" s="266"/>
      <c r="G940" s="113"/>
      <c r="K940" s="36"/>
      <c r="L940" s="117"/>
      <c r="N940" s="117"/>
      <c r="R940" s="117"/>
      <c r="T940" s="117"/>
      <c r="V940" s="117"/>
      <c r="X940" s="117"/>
      <c r="Y940" s="10"/>
      <c r="Z940" s="11"/>
      <c r="AA940" s="36"/>
      <c r="AB940" s="36"/>
      <c r="AC940" s="13"/>
      <c r="AD940" s="13"/>
      <c r="AE940" s="37"/>
      <c r="AF940" s="37"/>
      <c r="AG940" s="14"/>
      <c r="AH940" s="14"/>
      <c r="AI940" s="14"/>
      <c r="AZ940" s="24"/>
    </row>
    <row r="941">
      <c r="B941" s="24"/>
      <c r="E941" s="113"/>
      <c r="F941" s="266"/>
      <c r="G941" s="113"/>
      <c r="K941" s="36"/>
      <c r="L941" s="117"/>
      <c r="N941" s="117"/>
      <c r="R941" s="117"/>
      <c r="T941" s="117"/>
      <c r="V941" s="117"/>
      <c r="X941" s="117"/>
      <c r="Y941" s="10"/>
      <c r="Z941" s="11"/>
      <c r="AA941" s="36"/>
      <c r="AB941" s="36"/>
      <c r="AC941" s="13"/>
      <c r="AD941" s="13"/>
      <c r="AE941" s="37"/>
      <c r="AF941" s="37"/>
      <c r="AG941" s="14"/>
      <c r="AH941" s="14"/>
      <c r="AI941" s="14"/>
      <c r="AZ941" s="24"/>
    </row>
    <row r="942">
      <c r="B942" s="24"/>
      <c r="E942" s="113"/>
      <c r="F942" s="266"/>
      <c r="G942" s="113"/>
      <c r="K942" s="36"/>
      <c r="L942" s="117"/>
      <c r="N942" s="117"/>
      <c r="R942" s="117"/>
      <c r="T942" s="117"/>
      <c r="V942" s="117"/>
      <c r="X942" s="117"/>
      <c r="Y942" s="10"/>
      <c r="Z942" s="11"/>
      <c r="AA942" s="36"/>
      <c r="AB942" s="36"/>
      <c r="AC942" s="13"/>
      <c r="AD942" s="13"/>
      <c r="AE942" s="37"/>
      <c r="AF942" s="37"/>
      <c r="AG942" s="14"/>
      <c r="AH942" s="14"/>
      <c r="AI942" s="14"/>
      <c r="AZ942" s="24"/>
    </row>
    <row r="943">
      <c r="B943" s="24"/>
      <c r="E943" s="113"/>
      <c r="F943" s="266"/>
      <c r="G943" s="113"/>
      <c r="K943" s="36"/>
      <c r="L943" s="117"/>
      <c r="N943" s="117"/>
      <c r="R943" s="117"/>
      <c r="T943" s="117"/>
      <c r="V943" s="117"/>
      <c r="X943" s="117"/>
      <c r="Y943" s="10"/>
      <c r="Z943" s="11"/>
      <c r="AA943" s="36"/>
      <c r="AB943" s="36"/>
      <c r="AC943" s="13"/>
      <c r="AD943" s="13"/>
      <c r="AE943" s="37"/>
      <c r="AF943" s="37"/>
      <c r="AG943" s="14"/>
      <c r="AH943" s="14"/>
      <c r="AI943" s="14"/>
      <c r="AZ943" s="24"/>
    </row>
    <row r="944">
      <c r="B944" s="24"/>
      <c r="E944" s="113"/>
      <c r="F944" s="266"/>
      <c r="G944" s="113"/>
      <c r="K944" s="36"/>
      <c r="L944" s="117"/>
      <c r="N944" s="117"/>
      <c r="R944" s="117"/>
      <c r="T944" s="117"/>
      <c r="V944" s="117"/>
      <c r="X944" s="117"/>
      <c r="Y944" s="10"/>
      <c r="Z944" s="11"/>
      <c r="AA944" s="36"/>
      <c r="AB944" s="36"/>
      <c r="AC944" s="13"/>
      <c r="AD944" s="13"/>
      <c r="AE944" s="37"/>
      <c r="AF944" s="37"/>
      <c r="AG944" s="14"/>
      <c r="AH944" s="14"/>
      <c r="AI944" s="14"/>
      <c r="AZ944" s="24"/>
    </row>
    <row r="945">
      <c r="B945" s="24"/>
      <c r="E945" s="113"/>
      <c r="F945" s="266"/>
      <c r="G945" s="113"/>
      <c r="K945" s="36"/>
      <c r="L945" s="117"/>
      <c r="N945" s="117"/>
      <c r="R945" s="117"/>
      <c r="T945" s="117"/>
      <c r="V945" s="117"/>
      <c r="X945" s="117"/>
      <c r="Y945" s="10"/>
      <c r="Z945" s="11"/>
      <c r="AA945" s="36"/>
      <c r="AB945" s="36"/>
      <c r="AC945" s="13"/>
      <c r="AD945" s="13"/>
      <c r="AE945" s="37"/>
      <c r="AF945" s="37"/>
      <c r="AG945" s="14"/>
      <c r="AH945" s="14"/>
      <c r="AI945" s="14"/>
      <c r="AZ945" s="24"/>
    </row>
    <row r="946">
      <c r="B946" s="24"/>
      <c r="E946" s="113"/>
      <c r="F946" s="266"/>
      <c r="G946" s="113"/>
      <c r="K946" s="36"/>
      <c r="L946" s="117"/>
      <c r="N946" s="117"/>
      <c r="R946" s="117"/>
      <c r="T946" s="117"/>
      <c r="V946" s="117"/>
      <c r="X946" s="117"/>
      <c r="Y946" s="10"/>
      <c r="Z946" s="11"/>
      <c r="AA946" s="36"/>
      <c r="AB946" s="36"/>
      <c r="AC946" s="13"/>
      <c r="AD946" s="13"/>
      <c r="AE946" s="37"/>
      <c r="AF946" s="37"/>
      <c r="AG946" s="14"/>
      <c r="AH946" s="14"/>
      <c r="AI946" s="14"/>
      <c r="AZ946" s="24"/>
    </row>
    <row r="947">
      <c r="B947" s="24"/>
      <c r="E947" s="113"/>
      <c r="F947" s="266"/>
      <c r="G947" s="113"/>
      <c r="K947" s="36"/>
      <c r="L947" s="117"/>
      <c r="N947" s="117"/>
      <c r="R947" s="117"/>
      <c r="T947" s="117"/>
      <c r="V947" s="117"/>
      <c r="X947" s="117"/>
      <c r="Y947" s="10"/>
      <c r="Z947" s="11"/>
      <c r="AA947" s="36"/>
      <c r="AB947" s="36"/>
      <c r="AC947" s="13"/>
      <c r="AD947" s="13"/>
      <c r="AE947" s="37"/>
      <c r="AF947" s="37"/>
      <c r="AG947" s="14"/>
      <c r="AH947" s="14"/>
      <c r="AI947" s="14"/>
      <c r="AZ947" s="24"/>
    </row>
    <row r="948">
      <c r="B948" s="24"/>
      <c r="E948" s="113"/>
      <c r="F948" s="266"/>
      <c r="G948" s="113"/>
      <c r="K948" s="36"/>
      <c r="L948" s="117"/>
      <c r="N948" s="117"/>
      <c r="R948" s="117"/>
      <c r="T948" s="117"/>
      <c r="V948" s="117"/>
      <c r="X948" s="117"/>
      <c r="Y948" s="10"/>
      <c r="Z948" s="11"/>
      <c r="AA948" s="36"/>
      <c r="AB948" s="36"/>
      <c r="AC948" s="13"/>
      <c r="AD948" s="13"/>
      <c r="AE948" s="37"/>
      <c r="AF948" s="37"/>
      <c r="AG948" s="14"/>
      <c r="AH948" s="14"/>
      <c r="AI948" s="14"/>
      <c r="AZ948" s="24"/>
    </row>
    <row r="949">
      <c r="B949" s="24"/>
      <c r="E949" s="113"/>
      <c r="F949" s="266"/>
      <c r="G949" s="113"/>
      <c r="K949" s="36"/>
      <c r="L949" s="117"/>
      <c r="N949" s="117"/>
      <c r="R949" s="117"/>
      <c r="T949" s="117"/>
      <c r="V949" s="117"/>
      <c r="X949" s="117"/>
      <c r="Y949" s="10"/>
      <c r="Z949" s="11"/>
      <c r="AA949" s="36"/>
      <c r="AB949" s="36"/>
      <c r="AC949" s="13"/>
      <c r="AD949" s="13"/>
      <c r="AE949" s="37"/>
      <c r="AF949" s="37"/>
      <c r="AG949" s="14"/>
      <c r="AH949" s="14"/>
      <c r="AI949" s="14"/>
      <c r="AZ949" s="24"/>
    </row>
    <row r="950">
      <c r="B950" s="24"/>
      <c r="E950" s="113"/>
      <c r="F950" s="266"/>
      <c r="G950" s="113"/>
      <c r="K950" s="36"/>
      <c r="L950" s="117"/>
      <c r="N950" s="117"/>
      <c r="R950" s="117"/>
      <c r="T950" s="117"/>
      <c r="V950" s="117"/>
      <c r="X950" s="117"/>
      <c r="Y950" s="10"/>
      <c r="Z950" s="11"/>
      <c r="AA950" s="36"/>
      <c r="AB950" s="36"/>
      <c r="AC950" s="13"/>
      <c r="AD950" s="13"/>
      <c r="AE950" s="37"/>
      <c r="AF950" s="37"/>
      <c r="AG950" s="14"/>
      <c r="AH950" s="14"/>
      <c r="AI950" s="14"/>
      <c r="AZ950" s="24"/>
    </row>
    <row r="951">
      <c r="B951" s="24"/>
      <c r="E951" s="113"/>
      <c r="F951" s="266"/>
      <c r="G951" s="113"/>
      <c r="K951" s="36"/>
      <c r="L951" s="117"/>
      <c r="N951" s="117"/>
      <c r="R951" s="117"/>
      <c r="T951" s="117"/>
      <c r="V951" s="117"/>
      <c r="X951" s="117"/>
      <c r="Y951" s="10"/>
      <c r="Z951" s="11"/>
      <c r="AA951" s="36"/>
      <c r="AB951" s="36"/>
      <c r="AC951" s="13"/>
      <c r="AD951" s="13"/>
      <c r="AE951" s="37"/>
      <c r="AF951" s="37"/>
      <c r="AG951" s="14"/>
      <c r="AH951" s="14"/>
      <c r="AI951" s="14"/>
      <c r="AZ951" s="24"/>
    </row>
    <row r="952">
      <c r="B952" s="24"/>
      <c r="E952" s="113"/>
      <c r="F952" s="266"/>
      <c r="G952" s="113"/>
      <c r="K952" s="36"/>
      <c r="L952" s="117"/>
      <c r="N952" s="117"/>
      <c r="R952" s="117"/>
      <c r="T952" s="117"/>
      <c r="V952" s="117"/>
      <c r="X952" s="117"/>
      <c r="Y952" s="10"/>
      <c r="Z952" s="11"/>
      <c r="AA952" s="36"/>
      <c r="AB952" s="36"/>
      <c r="AC952" s="13"/>
      <c r="AD952" s="13"/>
      <c r="AE952" s="37"/>
      <c r="AF952" s="37"/>
      <c r="AG952" s="14"/>
      <c r="AH952" s="14"/>
      <c r="AI952" s="14"/>
      <c r="AZ952" s="24"/>
    </row>
    <row r="953">
      <c r="B953" s="24"/>
      <c r="E953" s="113"/>
      <c r="F953" s="266"/>
      <c r="G953" s="113"/>
      <c r="K953" s="36"/>
      <c r="L953" s="117"/>
      <c r="N953" s="117"/>
      <c r="R953" s="117"/>
      <c r="T953" s="117"/>
      <c r="V953" s="117"/>
      <c r="X953" s="117"/>
      <c r="Y953" s="10"/>
      <c r="Z953" s="11"/>
      <c r="AA953" s="36"/>
      <c r="AB953" s="36"/>
      <c r="AC953" s="13"/>
      <c r="AD953" s="13"/>
      <c r="AE953" s="37"/>
      <c r="AF953" s="37"/>
      <c r="AG953" s="14"/>
      <c r="AH953" s="14"/>
      <c r="AI953" s="14"/>
      <c r="AZ953" s="24"/>
    </row>
    <row r="954">
      <c r="B954" s="24"/>
      <c r="E954" s="113"/>
      <c r="F954" s="266"/>
      <c r="G954" s="113"/>
      <c r="K954" s="36"/>
      <c r="L954" s="117"/>
      <c r="N954" s="117"/>
      <c r="R954" s="117"/>
      <c r="T954" s="117"/>
      <c r="V954" s="117"/>
      <c r="X954" s="117"/>
      <c r="Y954" s="10"/>
      <c r="Z954" s="11"/>
      <c r="AA954" s="36"/>
      <c r="AB954" s="36"/>
      <c r="AC954" s="13"/>
      <c r="AD954" s="13"/>
      <c r="AE954" s="37"/>
      <c r="AF954" s="37"/>
      <c r="AG954" s="14"/>
      <c r="AH954" s="14"/>
      <c r="AI954" s="14"/>
      <c r="AZ954" s="24"/>
    </row>
    <row r="955">
      <c r="B955" s="24"/>
      <c r="E955" s="113"/>
      <c r="F955" s="266"/>
      <c r="G955" s="113"/>
      <c r="K955" s="36"/>
      <c r="L955" s="117"/>
      <c r="N955" s="117"/>
      <c r="R955" s="117"/>
      <c r="T955" s="117"/>
      <c r="V955" s="117"/>
      <c r="X955" s="117"/>
      <c r="Y955" s="10"/>
      <c r="Z955" s="11"/>
      <c r="AA955" s="36"/>
      <c r="AB955" s="36"/>
      <c r="AC955" s="13"/>
      <c r="AD955" s="13"/>
      <c r="AE955" s="37"/>
      <c r="AF955" s="37"/>
      <c r="AG955" s="14"/>
      <c r="AH955" s="14"/>
      <c r="AI955" s="14"/>
      <c r="AZ955" s="24"/>
    </row>
    <row r="956">
      <c r="B956" s="24"/>
      <c r="E956" s="113"/>
      <c r="F956" s="266"/>
      <c r="G956" s="113"/>
      <c r="K956" s="36"/>
      <c r="L956" s="117"/>
      <c r="N956" s="117"/>
      <c r="R956" s="117"/>
      <c r="T956" s="117"/>
      <c r="V956" s="117"/>
      <c r="X956" s="117"/>
      <c r="Y956" s="10"/>
      <c r="Z956" s="11"/>
      <c r="AA956" s="36"/>
      <c r="AB956" s="36"/>
      <c r="AC956" s="13"/>
      <c r="AD956" s="13"/>
      <c r="AE956" s="37"/>
      <c r="AF956" s="37"/>
      <c r="AG956" s="14"/>
      <c r="AH956" s="14"/>
      <c r="AI956" s="14"/>
      <c r="AZ956" s="24"/>
    </row>
    <row r="957">
      <c r="B957" s="24"/>
      <c r="E957" s="113"/>
      <c r="F957" s="266"/>
      <c r="G957" s="113"/>
      <c r="K957" s="36"/>
      <c r="L957" s="117"/>
      <c r="N957" s="117"/>
      <c r="R957" s="117"/>
      <c r="T957" s="117"/>
      <c r="V957" s="117"/>
      <c r="X957" s="117"/>
      <c r="Y957" s="10"/>
      <c r="Z957" s="11"/>
      <c r="AA957" s="36"/>
      <c r="AB957" s="36"/>
      <c r="AC957" s="13"/>
      <c r="AD957" s="13"/>
      <c r="AE957" s="37"/>
      <c r="AF957" s="37"/>
      <c r="AG957" s="14"/>
      <c r="AH957" s="14"/>
      <c r="AI957" s="14"/>
      <c r="AZ957" s="24"/>
    </row>
    <row r="958">
      <c r="B958" s="24"/>
      <c r="E958" s="113"/>
      <c r="F958" s="266"/>
      <c r="G958" s="113"/>
      <c r="K958" s="36"/>
      <c r="L958" s="117"/>
      <c r="N958" s="117"/>
      <c r="R958" s="117"/>
      <c r="T958" s="117"/>
      <c r="V958" s="117"/>
      <c r="X958" s="117"/>
      <c r="Y958" s="10"/>
      <c r="Z958" s="11"/>
      <c r="AA958" s="36"/>
      <c r="AB958" s="36"/>
      <c r="AC958" s="13"/>
      <c r="AD958" s="13"/>
      <c r="AE958" s="37"/>
      <c r="AF958" s="37"/>
      <c r="AG958" s="14"/>
      <c r="AH958" s="14"/>
      <c r="AI958" s="14"/>
      <c r="AZ958" s="24"/>
    </row>
    <row r="959">
      <c r="B959" s="24"/>
      <c r="E959" s="113"/>
      <c r="F959" s="266"/>
      <c r="G959" s="113"/>
      <c r="K959" s="36"/>
      <c r="L959" s="117"/>
      <c r="N959" s="117"/>
      <c r="R959" s="117"/>
      <c r="T959" s="117"/>
      <c r="V959" s="117"/>
      <c r="X959" s="117"/>
      <c r="Y959" s="10"/>
      <c r="Z959" s="11"/>
      <c r="AA959" s="36"/>
      <c r="AB959" s="36"/>
      <c r="AC959" s="13"/>
      <c r="AD959" s="13"/>
      <c r="AE959" s="37"/>
      <c r="AF959" s="37"/>
      <c r="AG959" s="14"/>
      <c r="AH959" s="14"/>
      <c r="AI959" s="14"/>
      <c r="AZ959" s="24"/>
    </row>
    <row r="960">
      <c r="B960" s="24"/>
      <c r="E960" s="113"/>
      <c r="F960" s="266"/>
      <c r="G960" s="113"/>
      <c r="K960" s="36"/>
      <c r="L960" s="117"/>
      <c r="N960" s="117"/>
      <c r="R960" s="117"/>
      <c r="T960" s="117"/>
      <c r="V960" s="117"/>
      <c r="X960" s="117"/>
      <c r="Y960" s="10"/>
      <c r="Z960" s="11"/>
      <c r="AA960" s="36"/>
      <c r="AB960" s="36"/>
      <c r="AC960" s="13"/>
      <c r="AD960" s="13"/>
      <c r="AE960" s="37"/>
      <c r="AF960" s="37"/>
      <c r="AG960" s="14"/>
      <c r="AH960" s="14"/>
      <c r="AI960" s="14"/>
      <c r="AZ960" s="24"/>
    </row>
    <row r="961">
      <c r="B961" s="24"/>
      <c r="E961" s="113"/>
      <c r="F961" s="266"/>
      <c r="G961" s="113"/>
      <c r="K961" s="36"/>
      <c r="L961" s="117"/>
      <c r="N961" s="117"/>
      <c r="R961" s="117"/>
      <c r="T961" s="117"/>
      <c r="V961" s="117"/>
      <c r="X961" s="117"/>
      <c r="Y961" s="10"/>
      <c r="Z961" s="11"/>
      <c r="AA961" s="36"/>
      <c r="AB961" s="36"/>
      <c r="AC961" s="13"/>
      <c r="AD961" s="13"/>
      <c r="AE961" s="37"/>
      <c r="AF961" s="37"/>
      <c r="AG961" s="14"/>
      <c r="AH961" s="14"/>
      <c r="AI961" s="14"/>
      <c r="AZ961" s="24"/>
    </row>
    <row r="962">
      <c r="B962" s="24"/>
      <c r="E962" s="113"/>
      <c r="F962" s="266"/>
      <c r="G962" s="113"/>
      <c r="K962" s="36"/>
      <c r="L962" s="117"/>
      <c r="N962" s="117"/>
      <c r="R962" s="117"/>
      <c r="T962" s="117"/>
      <c r="V962" s="117"/>
      <c r="X962" s="117"/>
      <c r="Y962" s="10"/>
      <c r="Z962" s="11"/>
      <c r="AA962" s="36"/>
      <c r="AB962" s="36"/>
      <c r="AC962" s="13"/>
      <c r="AD962" s="13"/>
      <c r="AE962" s="37"/>
      <c r="AF962" s="37"/>
      <c r="AG962" s="14"/>
      <c r="AH962" s="14"/>
      <c r="AI962" s="14"/>
      <c r="AZ962" s="24"/>
    </row>
    <row r="963">
      <c r="B963" s="24"/>
      <c r="E963" s="113"/>
      <c r="F963" s="266"/>
      <c r="G963" s="113"/>
      <c r="K963" s="36"/>
      <c r="L963" s="117"/>
      <c r="N963" s="117"/>
      <c r="R963" s="117"/>
      <c r="T963" s="117"/>
      <c r="V963" s="117"/>
      <c r="X963" s="117"/>
      <c r="Y963" s="10"/>
      <c r="Z963" s="11"/>
      <c r="AA963" s="36"/>
      <c r="AB963" s="36"/>
      <c r="AC963" s="13"/>
      <c r="AD963" s="13"/>
      <c r="AE963" s="37"/>
      <c r="AF963" s="37"/>
      <c r="AG963" s="14"/>
      <c r="AH963" s="14"/>
      <c r="AI963" s="14"/>
      <c r="AZ963" s="24"/>
    </row>
    <row r="964">
      <c r="B964" s="24"/>
      <c r="E964" s="113"/>
      <c r="F964" s="266"/>
      <c r="G964" s="113"/>
      <c r="K964" s="36"/>
      <c r="L964" s="117"/>
      <c r="N964" s="117"/>
      <c r="R964" s="117"/>
      <c r="T964" s="117"/>
      <c r="V964" s="117"/>
      <c r="X964" s="117"/>
      <c r="Y964" s="10"/>
      <c r="Z964" s="11"/>
      <c r="AA964" s="36"/>
      <c r="AB964" s="36"/>
      <c r="AC964" s="13"/>
      <c r="AD964" s="13"/>
      <c r="AE964" s="37"/>
      <c r="AF964" s="37"/>
      <c r="AG964" s="14"/>
      <c r="AH964" s="14"/>
      <c r="AI964" s="14"/>
      <c r="AZ964" s="24"/>
    </row>
    <row r="965">
      <c r="B965" s="24"/>
      <c r="E965" s="113"/>
      <c r="F965" s="266"/>
      <c r="G965" s="113"/>
      <c r="K965" s="36"/>
      <c r="L965" s="117"/>
      <c r="N965" s="117"/>
      <c r="R965" s="117"/>
      <c r="T965" s="117"/>
      <c r="V965" s="117"/>
      <c r="X965" s="117"/>
      <c r="Y965" s="10"/>
      <c r="Z965" s="11"/>
      <c r="AA965" s="36"/>
      <c r="AB965" s="36"/>
      <c r="AC965" s="13"/>
      <c r="AD965" s="13"/>
      <c r="AE965" s="37"/>
      <c r="AF965" s="37"/>
      <c r="AG965" s="14"/>
      <c r="AH965" s="14"/>
      <c r="AI965" s="14"/>
      <c r="AZ965" s="24"/>
    </row>
    <row r="966">
      <c r="B966" s="24"/>
      <c r="E966" s="113"/>
      <c r="F966" s="266"/>
      <c r="G966" s="113"/>
      <c r="K966" s="36"/>
      <c r="L966" s="117"/>
      <c r="N966" s="117"/>
      <c r="R966" s="117"/>
      <c r="T966" s="117"/>
      <c r="V966" s="117"/>
      <c r="X966" s="117"/>
      <c r="Y966" s="10"/>
      <c r="Z966" s="11"/>
      <c r="AA966" s="36"/>
      <c r="AB966" s="36"/>
      <c r="AC966" s="13"/>
      <c r="AD966" s="13"/>
      <c r="AE966" s="37"/>
      <c r="AF966" s="37"/>
      <c r="AG966" s="14"/>
      <c r="AH966" s="14"/>
      <c r="AI966" s="14"/>
      <c r="AZ966" s="24"/>
    </row>
    <row r="967">
      <c r="B967" s="24"/>
      <c r="E967" s="113"/>
      <c r="F967" s="266"/>
      <c r="G967" s="113"/>
      <c r="K967" s="36"/>
      <c r="L967" s="117"/>
      <c r="N967" s="117"/>
      <c r="R967" s="117"/>
      <c r="T967" s="117"/>
      <c r="V967" s="117"/>
      <c r="X967" s="117"/>
      <c r="Y967" s="10"/>
      <c r="Z967" s="11"/>
      <c r="AA967" s="36"/>
      <c r="AB967" s="36"/>
      <c r="AC967" s="13"/>
      <c r="AD967" s="13"/>
      <c r="AE967" s="37"/>
      <c r="AF967" s="37"/>
      <c r="AG967" s="14"/>
      <c r="AH967" s="14"/>
      <c r="AI967" s="14"/>
      <c r="AZ967" s="24"/>
    </row>
    <row r="968">
      <c r="B968" s="24"/>
      <c r="E968" s="113"/>
      <c r="F968" s="266"/>
      <c r="G968" s="113"/>
      <c r="K968" s="36"/>
      <c r="L968" s="117"/>
      <c r="N968" s="117"/>
      <c r="R968" s="117"/>
      <c r="T968" s="117"/>
      <c r="V968" s="117"/>
      <c r="X968" s="117"/>
      <c r="Y968" s="10"/>
      <c r="Z968" s="11"/>
      <c r="AA968" s="36"/>
      <c r="AB968" s="36"/>
      <c r="AC968" s="13"/>
      <c r="AD968" s="13"/>
      <c r="AE968" s="37"/>
      <c r="AF968" s="37"/>
      <c r="AG968" s="14"/>
      <c r="AH968" s="14"/>
      <c r="AI968" s="14"/>
      <c r="AZ968" s="24"/>
    </row>
    <row r="969">
      <c r="B969" s="24"/>
      <c r="E969" s="113"/>
      <c r="F969" s="266"/>
      <c r="G969" s="113"/>
      <c r="K969" s="36"/>
      <c r="L969" s="117"/>
      <c r="N969" s="117"/>
      <c r="R969" s="117"/>
      <c r="T969" s="117"/>
      <c r="V969" s="117"/>
      <c r="X969" s="117"/>
      <c r="Y969" s="10"/>
      <c r="Z969" s="11"/>
      <c r="AA969" s="36"/>
      <c r="AB969" s="36"/>
      <c r="AC969" s="13"/>
      <c r="AD969" s="13"/>
      <c r="AE969" s="37"/>
      <c r="AF969" s="37"/>
      <c r="AG969" s="14"/>
      <c r="AH969" s="14"/>
      <c r="AI969" s="14"/>
      <c r="AZ969" s="24"/>
    </row>
    <row r="970">
      <c r="B970" s="24"/>
      <c r="E970" s="113"/>
      <c r="F970" s="266"/>
      <c r="G970" s="113"/>
      <c r="K970" s="36"/>
      <c r="L970" s="117"/>
      <c r="N970" s="117"/>
      <c r="R970" s="117"/>
      <c r="T970" s="117"/>
      <c r="V970" s="117"/>
      <c r="X970" s="117"/>
      <c r="Y970" s="10"/>
      <c r="Z970" s="11"/>
      <c r="AA970" s="36"/>
      <c r="AB970" s="36"/>
      <c r="AC970" s="13"/>
      <c r="AD970" s="13"/>
      <c r="AE970" s="37"/>
      <c r="AF970" s="37"/>
      <c r="AG970" s="14"/>
      <c r="AH970" s="14"/>
      <c r="AI970" s="14"/>
      <c r="AZ970" s="24"/>
    </row>
    <row r="971">
      <c r="B971" s="24"/>
      <c r="E971" s="113"/>
      <c r="F971" s="266"/>
      <c r="G971" s="113"/>
      <c r="K971" s="36"/>
      <c r="L971" s="117"/>
      <c r="N971" s="117"/>
      <c r="R971" s="117"/>
      <c r="T971" s="117"/>
      <c r="V971" s="117"/>
      <c r="X971" s="117"/>
      <c r="Y971" s="10"/>
      <c r="Z971" s="11"/>
      <c r="AA971" s="36"/>
      <c r="AB971" s="36"/>
      <c r="AC971" s="13"/>
      <c r="AD971" s="13"/>
      <c r="AE971" s="37"/>
      <c r="AF971" s="37"/>
      <c r="AG971" s="14"/>
      <c r="AH971" s="14"/>
      <c r="AI971" s="14"/>
      <c r="AZ971" s="24"/>
    </row>
    <row r="972">
      <c r="B972" s="24"/>
      <c r="E972" s="113"/>
      <c r="F972" s="266"/>
      <c r="G972" s="113"/>
      <c r="K972" s="36"/>
      <c r="L972" s="117"/>
      <c r="N972" s="117"/>
      <c r="R972" s="117"/>
      <c r="T972" s="117"/>
      <c r="V972" s="117"/>
      <c r="X972" s="117"/>
      <c r="Y972" s="10"/>
      <c r="Z972" s="11"/>
      <c r="AA972" s="36"/>
      <c r="AB972" s="36"/>
      <c r="AC972" s="13"/>
      <c r="AD972" s="13"/>
      <c r="AE972" s="37"/>
      <c r="AF972" s="37"/>
      <c r="AG972" s="14"/>
      <c r="AH972" s="14"/>
      <c r="AI972" s="14"/>
      <c r="AZ972" s="24"/>
    </row>
    <row r="973">
      <c r="B973" s="24"/>
      <c r="E973" s="113"/>
      <c r="F973" s="266"/>
      <c r="G973" s="113"/>
      <c r="K973" s="36"/>
      <c r="L973" s="117"/>
      <c r="N973" s="117"/>
      <c r="R973" s="117"/>
      <c r="T973" s="117"/>
      <c r="V973" s="117"/>
      <c r="X973" s="117"/>
      <c r="Y973" s="10"/>
      <c r="Z973" s="11"/>
      <c r="AA973" s="36"/>
      <c r="AB973" s="36"/>
      <c r="AC973" s="13"/>
      <c r="AD973" s="13"/>
      <c r="AE973" s="37"/>
      <c r="AF973" s="37"/>
      <c r="AG973" s="14"/>
      <c r="AH973" s="14"/>
      <c r="AI973" s="14"/>
      <c r="AZ973" s="24"/>
    </row>
    <row r="974">
      <c r="B974" s="24"/>
      <c r="E974" s="113"/>
      <c r="F974" s="266"/>
      <c r="G974" s="113"/>
      <c r="K974" s="36"/>
      <c r="L974" s="117"/>
      <c r="N974" s="117"/>
      <c r="R974" s="117"/>
      <c r="T974" s="117"/>
      <c r="V974" s="117"/>
      <c r="X974" s="117"/>
      <c r="Y974" s="10"/>
      <c r="Z974" s="11"/>
      <c r="AA974" s="36"/>
      <c r="AB974" s="36"/>
      <c r="AC974" s="13"/>
      <c r="AD974" s="13"/>
      <c r="AE974" s="37"/>
      <c r="AF974" s="37"/>
      <c r="AG974" s="14"/>
      <c r="AH974" s="14"/>
      <c r="AI974" s="14"/>
      <c r="AZ974" s="24"/>
    </row>
    <row r="975">
      <c r="B975" s="24"/>
      <c r="E975" s="113"/>
      <c r="F975" s="266"/>
      <c r="G975" s="113"/>
      <c r="K975" s="36"/>
      <c r="L975" s="117"/>
      <c r="N975" s="117"/>
      <c r="R975" s="117"/>
      <c r="T975" s="117"/>
      <c r="V975" s="117"/>
      <c r="X975" s="117"/>
      <c r="Y975" s="10"/>
      <c r="Z975" s="11"/>
      <c r="AA975" s="36"/>
      <c r="AB975" s="36"/>
      <c r="AC975" s="13"/>
      <c r="AD975" s="13"/>
      <c r="AE975" s="37"/>
      <c r="AF975" s="37"/>
      <c r="AG975" s="14"/>
      <c r="AH975" s="14"/>
      <c r="AI975" s="14"/>
      <c r="AZ975" s="24"/>
    </row>
    <row r="976">
      <c r="B976" s="24"/>
      <c r="E976" s="113"/>
      <c r="F976" s="266"/>
      <c r="G976" s="113"/>
      <c r="K976" s="36"/>
      <c r="L976" s="117"/>
      <c r="N976" s="117"/>
      <c r="R976" s="117"/>
      <c r="T976" s="117"/>
      <c r="V976" s="117"/>
      <c r="X976" s="117"/>
      <c r="Y976" s="10"/>
      <c r="Z976" s="11"/>
      <c r="AA976" s="36"/>
      <c r="AB976" s="36"/>
      <c r="AC976" s="13"/>
      <c r="AD976" s="13"/>
      <c r="AE976" s="37"/>
      <c r="AF976" s="37"/>
      <c r="AG976" s="14"/>
      <c r="AH976" s="14"/>
      <c r="AI976" s="14"/>
      <c r="AZ976" s="24"/>
    </row>
    <row r="977">
      <c r="B977" s="24"/>
      <c r="E977" s="113"/>
      <c r="F977" s="266"/>
      <c r="G977" s="113"/>
      <c r="K977" s="36"/>
      <c r="L977" s="117"/>
      <c r="N977" s="117"/>
      <c r="R977" s="117"/>
      <c r="T977" s="117"/>
      <c r="V977" s="117"/>
      <c r="X977" s="117"/>
      <c r="Y977" s="10"/>
      <c r="Z977" s="11"/>
      <c r="AA977" s="36"/>
      <c r="AB977" s="36"/>
      <c r="AC977" s="13"/>
      <c r="AD977" s="13"/>
      <c r="AE977" s="37"/>
      <c r="AF977" s="37"/>
      <c r="AG977" s="14"/>
      <c r="AH977" s="14"/>
      <c r="AI977" s="14"/>
      <c r="AZ977" s="24"/>
    </row>
    <row r="978">
      <c r="B978" s="24"/>
      <c r="E978" s="113"/>
      <c r="F978" s="266"/>
      <c r="G978" s="113"/>
      <c r="K978" s="36"/>
      <c r="L978" s="117"/>
      <c r="N978" s="117"/>
      <c r="R978" s="117"/>
      <c r="T978" s="117"/>
      <c r="V978" s="117"/>
      <c r="X978" s="117"/>
      <c r="Y978" s="10"/>
      <c r="Z978" s="11"/>
      <c r="AA978" s="36"/>
      <c r="AB978" s="36"/>
      <c r="AC978" s="13"/>
      <c r="AD978" s="13"/>
      <c r="AE978" s="37"/>
      <c r="AF978" s="37"/>
      <c r="AG978" s="14"/>
      <c r="AH978" s="14"/>
      <c r="AI978" s="14"/>
      <c r="AZ978" s="24"/>
    </row>
    <row r="979">
      <c r="B979" s="24"/>
      <c r="E979" s="113"/>
      <c r="F979" s="266"/>
      <c r="G979" s="113"/>
      <c r="K979" s="36"/>
      <c r="L979" s="117"/>
      <c r="N979" s="117"/>
      <c r="R979" s="117"/>
      <c r="T979" s="117"/>
      <c r="V979" s="117"/>
      <c r="X979" s="117"/>
      <c r="Y979" s="10"/>
      <c r="Z979" s="11"/>
      <c r="AA979" s="36"/>
      <c r="AB979" s="36"/>
      <c r="AC979" s="13"/>
      <c r="AD979" s="13"/>
      <c r="AE979" s="37"/>
      <c r="AF979" s="37"/>
      <c r="AG979" s="14"/>
      <c r="AH979" s="14"/>
      <c r="AI979" s="14"/>
      <c r="AZ979" s="24"/>
    </row>
    <row r="980">
      <c r="B980" s="24"/>
      <c r="E980" s="113"/>
      <c r="F980" s="266"/>
      <c r="G980" s="113"/>
      <c r="K980" s="36"/>
      <c r="L980" s="117"/>
      <c r="N980" s="117"/>
      <c r="R980" s="117"/>
      <c r="T980" s="117"/>
      <c r="V980" s="117"/>
      <c r="X980" s="117"/>
      <c r="Y980" s="10"/>
      <c r="Z980" s="11"/>
      <c r="AA980" s="36"/>
      <c r="AB980" s="36"/>
      <c r="AC980" s="13"/>
      <c r="AD980" s="13"/>
      <c r="AE980" s="37"/>
      <c r="AF980" s="37"/>
      <c r="AG980" s="14"/>
      <c r="AH980" s="14"/>
      <c r="AI980" s="14"/>
      <c r="AZ980" s="24"/>
    </row>
    <row r="981">
      <c r="B981" s="24"/>
      <c r="E981" s="113"/>
      <c r="F981" s="266"/>
      <c r="G981" s="113"/>
      <c r="K981" s="36"/>
      <c r="L981" s="117"/>
      <c r="N981" s="117"/>
      <c r="R981" s="117"/>
      <c r="T981" s="117"/>
      <c r="V981" s="117"/>
      <c r="X981" s="117"/>
      <c r="Y981" s="10"/>
      <c r="Z981" s="11"/>
      <c r="AA981" s="36"/>
      <c r="AB981" s="36"/>
      <c r="AC981" s="13"/>
      <c r="AD981" s="13"/>
      <c r="AE981" s="37"/>
      <c r="AF981" s="37"/>
      <c r="AG981" s="14"/>
      <c r="AH981" s="14"/>
      <c r="AI981" s="14"/>
      <c r="AZ981" s="24"/>
    </row>
    <row r="982">
      <c r="B982" s="24"/>
      <c r="E982" s="113"/>
      <c r="F982" s="266"/>
      <c r="G982" s="113"/>
      <c r="K982" s="36"/>
      <c r="L982" s="117"/>
      <c r="N982" s="117"/>
      <c r="R982" s="117"/>
      <c r="T982" s="117"/>
      <c r="V982" s="117"/>
      <c r="X982" s="117"/>
      <c r="Y982" s="10"/>
      <c r="Z982" s="11"/>
      <c r="AA982" s="36"/>
      <c r="AB982" s="36"/>
      <c r="AC982" s="13"/>
      <c r="AD982" s="13"/>
      <c r="AE982" s="37"/>
      <c r="AF982" s="37"/>
      <c r="AG982" s="14"/>
      <c r="AH982" s="14"/>
      <c r="AI982" s="14"/>
      <c r="AZ982" s="24"/>
    </row>
    <row r="983">
      <c r="B983" s="24"/>
      <c r="E983" s="113"/>
      <c r="F983" s="266"/>
      <c r="G983" s="113"/>
      <c r="K983" s="36"/>
      <c r="L983" s="117"/>
      <c r="N983" s="117"/>
      <c r="R983" s="117"/>
      <c r="T983" s="117"/>
      <c r="V983" s="117"/>
      <c r="X983" s="117"/>
      <c r="Y983" s="10"/>
      <c r="Z983" s="11"/>
      <c r="AA983" s="36"/>
      <c r="AB983" s="36"/>
      <c r="AC983" s="13"/>
      <c r="AD983" s="13"/>
      <c r="AE983" s="37"/>
      <c r="AF983" s="37"/>
      <c r="AG983" s="14"/>
      <c r="AH983" s="14"/>
      <c r="AI983" s="14"/>
      <c r="AZ983" s="24"/>
    </row>
    <row r="984">
      <c r="B984" s="24"/>
      <c r="E984" s="113"/>
      <c r="F984" s="266"/>
      <c r="G984" s="113"/>
      <c r="K984" s="36"/>
      <c r="L984" s="117"/>
      <c r="N984" s="117"/>
      <c r="R984" s="117"/>
      <c r="T984" s="117"/>
      <c r="V984" s="117"/>
      <c r="X984" s="117"/>
      <c r="Y984" s="10"/>
      <c r="Z984" s="11"/>
      <c r="AA984" s="36"/>
      <c r="AB984" s="36"/>
      <c r="AC984" s="13"/>
      <c r="AD984" s="13"/>
      <c r="AE984" s="37"/>
      <c r="AF984" s="37"/>
      <c r="AG984" s="14"/>
      <c r="AH984" s="14"/>
      <c r="AI984" s="14"/>
      <c r="AZ984" s="24"/>
    </row>
    <row r="985">
      <c r="B985" s="24"/>
      <c r="E985" s="113"/>
      <c r="F985" s="266"/>
      <c r="G985" s="113"/>
      <c r="K985" s="36"/>
      <c r="L985" s="117"/>
      <c r="N985" s="117"/>
      <c r="R985" s="117"/>
      <c r="T985" s="117"/>
      <c r="V985" s="117"/>
      <c r="X985" s="117"/>
      <c r="Y985" s="10"/>
      <c r="Z985" s="11"/>
      <c r="AA985" s="36"/>
      <c r="AB985" s="36"/>
      <c r="AC985" s="13"/>
      <c r="AD985" s="13"/>
      <c r="AE985" s="37"/>
      <c r="AF985" s="37"/>
      <c r="AG985" s="14"/>
      <c r="AH985" s="14"/>
      <c r="AI985" s="14"/>
      <c r="AZ985" s="24"/>
    </row>
    <row r="986">
      <c r="B986" s="24"/>
      <c r="E986" s="113"/>
      <c r="F986" s="266"/>
      <c r="G986" s="113"/>
      <c r="K986" s="36"/>
      <c r="L986" s="117"/>
      <c r="N986" s="117"/>
      <c r="R986" s="117"/>
      <c r="T986" s="117"/>
      <c r="V986" s="117"/>
      <c r="X986" s="117"/>
      <c r="Y986" s="10"/>
      <c r="Z986" s="11"/>
      <c r="AA986" s="36"/>
      <c r="AB986" s="36"/>
      <c r="AC986" s="13"/>
      <c r="AD986" s="13"/>
      <c r="AE986" s="37"/>
      <c r="AF986" s="37"/>
      <c r="AG986" s="14"/>
      <c r="AH986" s="14"/>
      <c r="AI986" s="14"/>
      <c r="AZ986" s="24"/>
    </row>
    <row r="987">
      <c r="B987" s="24"/>
      <c r="E987" s="113"/>
      <c r="F987" s="266"/>
      <c r="G987" s="113"/>
      <c r="K987" s="36"/>
      <c r="L987" s="117"/>
      <c r="N987" s="117"/>
      <c r="R987" s="117"/>
      <c r="T987" s="117"/>
      <c r="V987" s="117"/>
      <c r="X987" s="117"/>
      <c r="Y987" s="10"/>
      <c r="Z987" s="11"/>
      <c r="AA987" s="36"/>
      <c r="AB987" s="36"/>
      <c r="AC987" s="13"/>
      <c r="AD987" s="13"/>
      <c r="AE987" s="37"/>
      <c r="AF987" s="37"/>
      <c r="AG987" s="14"/>
      <c r="AH987" s="14"/>
      <c r="AI987" s="14"/>
      <c r="AZ987" s="24"/>
    </row>
    <row r="988">
      <c r="B988" s="24"/>
      <c r="E988" s="113"/>
      <c r="F988" s="266"/>
      <c r="G988" s="113"/>
      <c r="K988" s="36"/>
      <c r="L988" s="117"/>
      <c r="N988" s="117"/>
      <c r="R988" s="117"/>
      <c r="T988" s="117"/>
      <c r="V988" s="117"/>
      <c r="X988" s="117"/>
      <c r="Y988" s="10"/>
      <c r="Z988" s="11"/>
      <c r="AA988" s="36"/>
      <c r="AB988" s="36"/>
      <c r="AC988" s="13"/>
      <c r="AD988" s="13"/>
      <c r="AE988" s="37"/>
      <c r="AF988" s="37"/>
      <c r="AG988" s="14"/>
      <c r="AH988" s="14"/>
      <c r="AI988" s="14"/>
      <c r="AZ988" s="24"/>
    </row>
    <row r="989">
      <c r="B989" s="24"/>
      <c r="E989" s="113"/>
      <c r="F989" s="266"/>
      <c r="G989" s="113"/>
      <c r="K989" s="36"/>
      <c r="L989" s="117"/>
      <c r="N989" s="117"/>
      <c r="R989" s="117"/>
      <c r="T989" s="117"/>
      <c r="V989" s="117"/>
      <c r="X989" s="117"/>
      <c r="Y989" s="10"/>
      <c r="Z989" s="11"/>
      <c r="AA989" s="36"/>
      <c r="AB989" s="36"/>
      <c r="AC989" s="13"/>
      <c r="AD989" s="13"/>
      <c r="AE989" s="37"/>
      <c r="AF989" s="37"/>
      <c r="AG989" s="14"/>
      <c r="AH989" s="14"/>
      <c r="AI989" s="14"/>
      <c r="AZ989" s="24"/>
    </row>
    <row r="990">
      <c r="B990" s="24"/>
      <c r="E990" s="113"/>
      <c r="F990" s="266"/>
      <c r="G990" s="113"/>
      <c r="K990" s="36"/>
      <c r="L990" s="117"/>
      <c r="N990" s="117"/>
      <c r="R990" s="117"/>
      <c r="T990" s="117"/>
      <c r="V990" s="117"/>
      <c r="X990" s="117"/>
      <c r="Y990" s="10"/>
      <c r="Z990" s="11"/>
      <c r="AA990" s="36"/>
      <c r="AB990" s="36"/>
      <c r="AC990" s="13"/>
      <c r="AD990" s="13"/>
      <c r="AE990" s="37"/>
      <c r="AF990" s="37"/>
      <c r="AG990" s="14"/>
      <c r="AH990" s="14"/>
      <c r="AI990" s="14"/>
      <c r="AZ990" s="24"/>
    </row>
    <row r="991">
      <c r="B991" s="24"/>
      <c r="E991" s="113"/>
      <c r="F991" s="266"/>
      <c r="G991" s="113"/>
      <c r="K991" s="36"/>
      <c r="L991" s="117"/>
      <c r="N991" s="117"/>
      <c r="R991" s="117"/>
      <c r="T991" s="117"/>
      <c r="V991" s="117"/>
      <c r="X991" s="117"/>
      <c r="Y991" s="10"/>
      <c r="Z991" s="11"/>
      <c r="AA991" s="36"/>
      <c r="AB991" s="36"/>
      <c r="AC991" s="13"/>
      <c r="AD991" s="13"/>
      <c r="AE991" s="37"/>
      <c r="AF991" s="37"/>
      <c r="AG991" s="14"/>
      <c r="AH991" s="14"/>
      <c r="AI991" s="14"/>
      <c r="AZ991" s="24"/>
    </row>
    <row r="992">
      <c r="B992" s="24"/>
      <c r="E992" s="113"/>
      <c r="F992" s="266"/>
      <c r="G992" s="113"/>
      <c r="K992" s="36"/>
      <c r="L992" s="117"/>
      <c r="N992" s="117"/>
      <c r="R992" s="117"/>
      <c r="T992" s="117"/>
      <c r="V992" s="117"/>
      <c r="X992" s="117"/>
      <c r="Y992" s="10"/>
      <c r="Z992" s="11"/>
      <c r="AA992" s="36"/>
      <c r="AB992" s="36"/>
      <c r="AC992" s="13"/>
      <c r="AD992" s="13"/>
      <c r="AE992" s="37"/>
      <c r="AF992" s="37"/>
      <c r="AG992" s="14"/>
      <c r="AH992" s="14"/>
      <c r="AI992" s="14"/>
      <c r="AZ992" s="24"/>
    </row>
    <row r="993">
      <c r="B993" s="24"/>
      <c r="E993" s="113"/>
      <c r="F993" s="266"/>
      <c r="G993" s="113"/>
      <c r="K993" s="36"/>
      <c r="L993" s="117"/>
      <c r="N993" s="117"/>
      <c r="R993" s="117"/>
      <c r="T993" s="117"/>
      <c r="V993" s="117"/>
      <c r="X993" s="117"/>
      <c r="Y993" s="10"/>
      <c r="Z993" s="11"/>
      <c r="AA993" s="36"/>
      <c r="AB993" s="36"/>
      <c r="AC993" s="13"/>
      <c r="AD993" s="13"/>
      <c r="AE993" s="37"/>
      <c r="AF993" s="37"/>
      <c r="AG993" s="14"/>
      <c r="AH993" s="14"/>
      <c r="AI993" s="14"/>
      <c r="AZ993" s="24"/>
    </row>
    <row r="994">
      <c r="B994" s="24"/>
      <c r="E994" s="113"/>
      <c r="F994" s="266"/>
      <c r="G994" s="113"/>
      <c r="K994" s="36"/>
      <c r="L994" s="117"/>
      <c r="N994" s="117"/>
      <c r="R994" s="117"/>
      <c r="T994" s="117"/>
      <c r="V994" s="117"/>
      <c r="X994" s="117"/>
      <c r="Y994" s="10"/>
      <c r="Z994" s="11"/>
      <c r="AA994" s="36"/>
      <c r="AB994" s="36"/>
      <c r="AC994" s="13"/>
      <c r="AD994" s="13"/>
      <c r="AE994" s="37"/>
      <c r="AF994" s="37"/>
      <c r="AG994" s="14"/>
      <c r="AH994" s="14"/>
      <c r="AI994" s="14"/>
      <c r="AZ994" s="24"/>
    </row>
    <row r="995">
      <c r="B995" s="24"/>
      <c r="E995" s="113"/>
      <c r="F995" s="266"/>
      <c r="G995" s="113"/>
      <c r="K995" s="36"/>
      <c r="L995" s="117"/>
      <c r="N995" s="117"/>
      <c r="R995" s="117"/>
      <c r="T995" s="117"/>
      <c r="V995" s="117"/>
      <c r="X995" s="117"/>
      <c r="Y995" s="10"/>
      <c r="Z995" s="11"/>
      <c r="AA995" s="36"/>
      <c r="AB995" s="36"/>
      <c r="AC995" s="13"/>
      <c r="AD995" s="13"/>
      <c r="AE995" s="37"/>
      <c r="AF995" s="37"/>
      <c r="AG995" s="14"/>
      <c r="AH995" s="14"/>
      <c r="AI995" s="14"/>
      <c r="AZ995" s="24"/>
    </row>
    <row r="996">
      <c r="B996" s="24"/>
      <c r="E996" s="113"/>
      <c r="F996" s="266"/>
      <c r="G996" s="113"/>
      <c r="K996" s="36"/>
      <c r="L996" s="117"/>
      <c r="N996" s="117"/>
      <c r="R996" s="117"/>
      <c r="T996" s="117"/>
      <c r="V996" s="117"/>
      <c r="X996" s="117"/>
      <c r="Y996" s="10"/>
      <c r="Z996" s="11"/>
      <c r="AA996" s="36"/>
      <c r="AB996" s="36"/>
      <c r="AC996" s="13"/>
      <c r="AD996" s="13"/>
      <c r="AE996" s="37"/>
      <c r="AF996" s="37"/>
      <c r="AG996" s="14"/>
      <c r="AH996" s="14"/>
      <c r="AI996" s="14"/>
      <c r="AZ996" s="24"/>
    </row>
    <row r="997">
      <c r="B997" s="24"/>
      <c r="E997" s="113"/>
      <c r="F997" s="266"/>
      <c r="G997" s="113"/>
      <c r="K997" s="36"/>
      <c r="L997" s="117"/>
      <c r="N997" s="117"/>
      <c r="R997" s="117"/>
      <c r="T997" s="117"/>
      <c r="V997" s="117"/>
      <c r="X997" s="117"/>
      <c r="Y997" s="10"/>
      <c r="Z997" s="11"/>
      <c r="AA997" s="36"/>
      <c r="AB997" s="36"/>
      <c r="AC997" s="13"/>
      <c r="AD997" s="13"/>
      <c r="AE997" s="37"/>
      <c r="AF997" s="37"/>
      <c r="AG997" s="14"/>
      <c r="AH997" s="14"/>
      <c r="AI997" s="14"/>
      <c r="AZ997" s="24"/>
    </row>
    <row r="998">
      <c r="B998" s="24"/>
      <c r="E998" s="113"/>
      <c r="F998" s="266"/>
      <c r="G998" s="113"/>
      <c r="K998" s="36"/>
      <c r="L998" s="117"/>
      <c r="N998" s="117"/>
      <c r="R998" s="117"/>
      <c r="T998" s="117"/>
      <c r="V998" s="117"/>
      <c r="X998" s="117"/>
      <c r="Y998" s="10"/>
      <c r="Z998" s="11"/>
      <c r="AA998" s="36"/>
      <c r="AB998" s="36"/>
      <c r="AC998" s="13"/>
      <c r="AD998" s="13"/>
      <c r="AE998" s="37"/>
      <c r="AF998" s="37"/>
      <c r="AG998" s="14"/>
      <c r="AH998" s="14"/>
      <c r="AI998" s="14"/>
      <c r="AZ998" s="24"/>
    </row>
    <row r="999">
      <c r="B999" s="24"/>
      <c r="E999" s="113"/>
      <c r="F999" s="266"/>
      <c r="G999" s="113"/>
      <c r="K999" s="36"/>
      <c r="L999" s="117"/>
      <c r="N999" s="117"/>
      <c r="R999" s="117"/>
      <c r="T999" s="117"/>
      <c r="V999" s="117"/>
      <c r="X999" s="117"/>
      <c r="Y999" s="10"/>
      <c r="Z999" s="11"/>
      <c r="AA999" s="36"/>
      <c r="AB999" s="36"/>
      <c r="AC999" s="13"/>
      <c r="AD999" s="13"/>
      <c r="AE999" s="37"/>
      <c r="AF999" s="37"/>
      <c r="AG999" s="14"/>
      <c r="AH999" s="14"/>
      <c r="AI999" s="14"/>
      <c r="AZ999" s="24"/>
    </row>
    <row r="1000">
      <c r="B1000" s="24"/>
      <c r="E1000" s="113"/>
      <c r="F1000" s="266"/>
      <c r="G1000" s="113"/>
      <c r="K1000" s="36"/>
      <c r="L1000" s="117"/>
      <c r="N1000" s="117"/>
      <c r="R1000" s="117"/>
      <c r="T1000" s="117"/>
      <c r="V1000" s="117"/>
      <c r="X1000" s="117"/>
      <c r="Y1000" s="10"/>
      <c r="Z1000" s="11"/>
      <c r="AA1000" s="36"/>
      <c r="AB1000" s="36"/>
      <c r="AC1000" s="13"/>
      <c r="AD1000" s="13"/>
      <c r="AE1000" s="37"/>
      <c r="AF1000" s="37"/>
      <c r="AG1000" s="14"/>
      <c r="AH1000" s="14"/>
      <c r="AI1000" s="14"/>
      <c r="AZ1000" s="24"/>
    </row>
    <row r="1001">
      <c r="B1001" s="24"/>
      <c r="E1001" s="113"/>
      <c r="F1001" s="266"/>
      <c r="G1001" s="113"/>
      <c r="K1001" s="36"/>
      <c r="L1001" s="117"/>
      <c r="N1001" s="117"/>
      <c r="R1001" s="117"/>
      <c r="T1001" s="117"/>
      <c r="V1001" s="117"/>
      <c r="X1001" s="117"/>
      <c r="Y1001" s="10"/>
      <c r="Z1001" s="11"/>
      <c r="AA1001" s="36"/>
      <c r="AB1001" s="36"/>
      <c r="AC1001" s="13"/>
      <c r="AD1001" s="13"/>
      <c r="AE1001" s="37"/>
      <c r="AF1001" s="37"/>
      <c r="AG1001" s="14"/>
      <c r="AH1001" s="14"/>
      <c r="AI1001" s="14"/>
      <c r="AZ1001" s="24"/>
    </row>
    <row r="1002">
      <c r="B1002" s="24"/>
      <c r="E1002" s="113"/>
      <c r="F1002" s="266"/>
      <c r="G1002" s="113"/>
      <c r="K1002" s="36"/>
      <c r="L1002" s="117"/>
      <c r="N1002" s="117"/>
      <c r="R1002" s="117"/>
      <c r="T1002" s="117"/>
      <c r="V1002" s="117"/>
      <c r="X1002" s="117"/>
      <c r="Y1002" s="10"/>
      <c r="Z1002" s="11"/>
      <c r="AA1002" s="36"/>
      <c r="AB1002" s="36"/>
      <c r="AC1002" s="13"/>
      <c r="AD1002" s="13"/>
      <c r="AE1002" s="37"/>
      <c r="AF1002" s="37"/>
      <c r="AG1002" s="14"/>
      <c r="AH1002" s="14"/>
      <c r="AI1002" s="14"/>
      <c r="AZ1002" s="24"/>
    </row>
    <row r="1003">
      <c r="B1003" s="24"/>
      <c r="E1003" s="113"/>
      <c r="F1003" s="266"/>
      <c r="G1003" s="113"/>
      <c r="K1003" s="36"/>
      <c r="L1003" s="117"/>
      <c r="N1003" s="117"/>
      <c r="R1003" s="117"/>
      <c r="T1003" s="117"/>
      <c r="V1003" s="117"/>
      <c r="X1003" s="117"/>
      <c r="Y1003" s="10"/>
      <c r="Z1003" s="11"/>
      <c r="AA1003" s="36"/>
      <c r="AB1003" s="36"/>
      <c r="AC1003" s="13"/>
      <c r="AD1003" s="13"/>
      <c r="AE1003" s="37"/>
      <c r="AF1003" s="37"/>
      <c r="AG1003" s="14"/>
      <c r="AH1003" s="14"/>
      <c r="AI1003" s="14"/>
      <c r="AZ1003" s="24"/>
    </row>
    <row r="1004">
      <c r="B1004" s="24"/>
      <c r="E1004" s="113"/>
      <c r="F1004" s="266"/>
      <c r="G1004" s="113"/>
      <c r="K1004" s="36"/>
      <c r="L1004" s="117"/>
      <c r="N1004" s="117"/>
      <c r="R1004" s="117"/>
      <c r="T1004" s="117"/>
      <c r="V1004" s="117"/>
      <c r="X1004" s="117"/>
      <c r="Y1004" s="10"/>
      <c r="Z1004" s="11"/>
      <c r="AA1004" s="36"/>
      <c r="AB1004" s="36"/>
      <c r="AC1004" s="13"/>
      <c r="AD1004" s="13"/>
      <c r="AE1004" s="37"/>
      <c r="AF1004" s="37"/>
      <c r="AG1004" s="14"/>
      <c r="AH1004" s="14"/>
      <c r="AI1004" s="14"/>
      <c r="AZ1004" s="24"/>
    </row>
    <row r="1005">
      <c r="B1005" s="24"/>
      <c r="E1005" s="113"/>
      <c r="F1005" s="266"/>
      <c r="G1005" s="113"/>
      <c r="K1005" s="36"/>
      <c r="L1005" s="117"/>
      <c r="N1005" s="117"/>
      <c r="R1005" s="117"/>
      <c r="T1005" s="117"/>
      <c r="V1005" s="117"/>
      <c r="X1005" s="117"/>
      <c r="Y1005" s="10"/>
      <c r="Z1005" s="11"/>
      <c r="AA1005" s="36"/>
      <c r="AB1005" s="36"/>
      <c r="AC1005" s="13"/>
      <c r="AD1005" s="13"/>
      <c r="AE1005" s="37"/>
      <c r="AF1005" s="37"/>
      <c r="AG1005" s="14"/>
      <c r="AH1005" s="14"/>
      <c r="AI1005" s="14"/>
      <c r="AZ1005" s="24"/>
    </row>
    <row r="1006">
      <c r="B1006" s="24"/>
      <c r="E1006" s="113"/>
      <c r="F1006" s="266"/>
      <c r="G1006" s="113"/>
      <c r="K1006" s="36"/>
      <c r="L1006" s="117"/>
      <c r="N1006" s="117"/>
      <c r="R1006" s="117"/>
      <c r="T1006" s="117"/>
      <c r="V1006" s="117"/>
      <c r="X1006" s="117"/>
      <c r="Y1006" s="10"/>
      <c r="Z1006" s="11"/>
      <c r="AA1006" s="36"/>
      <c r="AB1006" s="36"/>
      <c r="AC1006" s="13"/>
      <c r="AD1006" s="13"/>
      <c r="AE1006" s="37"/>
      <c r="AF1006" s="37"/>
      <c r="AG1006" s="14"/>
      <c r="AH1006" s="14"/>
      <c r="AI1006" s="14"/>
      <c r="AZ1006" s="24"/>
    </row>
    <row r="1007">
      <c r="B1007" s="24"/>
      <c r="E1007" s="113"/>
      <c r="F1007" s="266"/>
      <c r="G1007" s="113"/>
      <c r="K1007" s="36"/>
      <c r="L1007" s="117"/>
      <c r="N1007" s="117"/>
      <c r="R1007" s="117"/>
      <c r="T1007" s="117"/>
      <c r="V1007" s="117"/>
      <c r="X1007" s="117"/>
      <c r="Y1007" s="10"/>
      <c r="Z1007" s="11"/>
      <c r="AA1007" s="36"/>
      <c r="AB1007" s="36"/>
      <c r="AC1007" s="13"/>
      <c r="AD1007" s="13"/>
      <c r="AE1007" s="37"/>
      <c r="AF1007" s="37"/>
      <c r="AG1007" s="14"/>
      <c r="AH1007" s="14"/>
      <c r="AI1007" s="14"/>
      <c r="AZ1007" s="24"/>
    </row>
    <row r="1008">
      <c r="B1008" s="24"/>
      <c r="E1008" s="113"/>
      <c r="F1008" s="266"/>
      <c r="G1008" s="113"/>
      <c r="K1008" s="36"/>
      <c r="L1008" s="117"/>
      <c r="N1008" s="117"/>
      <c r="R1008" s="117"/>
      <c r="T1008" s="117"/>
      <c r="V1008" s="117"/>
      <c r="X1008" s="117"/>
      <c r="Y1008" s="10"/>
      <c r="Z1008" s="11"/>
      <c r="AA1008" s="36"/>
      <c r="AB1008" s="36"/>
      <c r="AC1008" s="13"/>
      <c r="AD1008" s="13"/>
      <c r="AE1008" s="37"/>
      <c r="AF1008" s="37"/>
      <c r="AG1008" s="14"/>
      <c r="AH1008" s="14"/>
      <c r="AI1008" s="14"/>
      <c r="AZ1008" s="24"/>
    </row>
    <row r="1009">
      <c r="B1009" s="24"/>
      <c r="E1009" s="113"/>
      <c r="F1009" s="266"/>
      <c r="G1009" s="113"/>
      <c r="K1009" s="36"/>
      <c r="L1009" s="117"/>
      <c r="N1009" s="117"/>
      <c r="R1009" s="117"/>
      <c r="T1009" s="117"/>
      <c r="V1009" s="117"/>
      <c r="X1009" s="117"/>
      <c r="Y1009" s="10"/>
      <c r="Z1009" s="11"/>
      <c r="AA1009" s="36"/>
      <c r="AB1009" s="36"/>
      <c r="AC1009" s="13"/>
      <c r="AD1009" s="13"/>
      <c r="AE1009" s="37"/>
      <c r="AF1009" s="37"/>
      <c r="AG1009" s="14"/>
      <c r="AH1009" s="14"/>
      <c r="AI1009" s="14"/>
      <c r="AZ1009" s="24"/>
    </row>
    <row r="1010">
      <c r="B1010" s="24"/>
      <c r="E1010" s="113"/>
      <c r="F1010" s="266"/>
      <c r="G1010" s="113"/>
      <c r="K1010" s="36"/>
      <c r="L1010" s="117"/>
      <c r="N1010" s="117"/>
      <c r="R1010" s="117"/>
      <c r="T1010" s="117"/>
      <c r="V1010" s="117"/>
      <c r="X1010" s="117"/>
      <c r="Y1010" s="10"/>
      <c r="Z1010" s="11"/>
      <c r="AA1010" s="36"/>
      <c r="AB1010" s="36"/>
      <c r="AC1010" s="13"/>
      <c r="AD1010" s="13"/>
      <c r="AE1010" s="37"/>
      <c r="AF1010" s="37"/>
      <c r="AG1010" s="14"/>
      <c r="AH1010" s="14"/>
      <c r="AI1010" s="14"/>
      <c r="AZ1010" s="24"/>
    </row>
    <row r="1011">
      <c r="B1011" s="24"/>
      <c r="E1011" s="113"/>
      <c r="F1011" s="266"/>
      <c r="G1011" s="113"/>
      <c r="K1011" s="36"/>
      <c r="L1011" s="117"/>
      <c r="N1011" s="117"/>
      <c r="R1011" s="117"/>
      <c r="T1011" s="117"/>
      <c r="V1011" s="117"/>
      <c r="X1011" s="117"/>
      <c r="Y1011" s="10"/>
      <c r="Z1011" s="11"/>
      <c r="AA1011" s="36"/>
      <c r="AB1011" s="36"/>
      <c r="AC1011" s="13"/>
      <c r="AD1011" s="13"/>
      <c r="AE1011" s="37"/>
      <c r="AF1011" s="37"/>
      <c r="AG1011" s="14"/>
      <c r="AH1011" s="14"/>
      <c r="AI1011" s="14"/>
      <c r="AZ1011" s="24"/>
    </row>
    <row r="1012">
      <c r="B1012" s="24"/>
      <c r="E1012" s="113"/>
      <c r="F1012" s="266"/>
      <c r="G1012" s="113"/>
      <c r="K1012" s="36"/>
      <c r="L1012" s="117"/>
      <c r="N1012" s="117"/>
      <c r="R1012" s="117"/>
      <c r="T1012" s="117"/>
      <c r="V1012" s="117"/>
      <c r="X1012" s="117"/>
      <c r="Y1012" s="10"/>
      <c r="Z1012" s="11"/>
      <c r="AA1012" s="36"/>
      <c r="AB1012" s="36"/>
      <c r="AC1012" s="13"/>
      <c r="AD1012" s="13"/>
      <c r="AE1012" s="37"/>
      <c r="AF1012" s="37"/>
      <c r="AG1012" s="14"/>
      <c r="AH1012" s="14"/>
      <c r="AI1012" s="14"/>
      <c r="AZ1012" s="24"/>
    </row>
    <row r="1013">
      <c r="B1013" s="24"/>
      <c r="E1013" s="113"/>
      <c r="F1013" s="266"/>
      <c r="G1013" s="113"/>
      <c r="K1013" s="36"/>
      <c r="L1013" s="117"/>
      <c r="N1013" s="117"/>
      <c r="R1013" s="117"/>
      <c r="T1013" s="117"/>
      <c r="V1013" s="117"/>
      <c r="X1013" s="117"/>
      <c r="Y1013" s="10"/>
      <c r="Z1013" s="11"/>
      <c r="AA1013" s="36"/>
      <c r="AB1013" s="36"/>
      <c r="AC1013" s="13"/>
      <c r="AD1013" s="13"/>
      <c r="AE1013" s="37"/>
      <c r="AF1013" s="37"/>
      <c r="AG1013" s="14"/>
      <c r="AH1013" s="14"/>
      <c r="AI1013" s="14"/>
      <c r="AZ1013" s="24"/>
    </row>
    <row r="1014">
      <c r="B1014" s="24"/>
      <c r="E1014" s="113"/>
      <c r="F1014" s="266"/>
      <c r="G1014" s="113"/>
      <c r="K1014" s="36"/>
      <c r="L1014" s="117"/>
      <c r="N1014" s="117"/>
      <c r="R1014" s="117"/>
      <c r="T1014" s="117"/>
      <c r="V1014" s="117"/>
      <c r="X1014" s="117"/>
      <c r="Y1014" s="10"/>
      <c r="Z1014" s="11"/>
      <c r="AA1014" s="36"/>
      <c r="AB1014" s="36"/>
      <c r="AC1014" s="13"/>
      <c r="AD1014" s="13"/>
      <c r="AE1014" s="37"/>
      <c r="AF1014" s="37"/>
      <c r="AG1014" s="14"/>
      <c r="AH1014" s="14"/>
      <c r="AI1014" s="14"/>
      <c r="AZ1014" s="24"/>
    </row>
    <row r="1015">
      <c r="B1015" s="24"/>
      <c r="E1015" s="113"/>
      <c r="F1015" s="266"/>
      <c r="G1015" s="113"/>
      <c r="K1015" s="36"/>
      <c r="L1015" s="117"/>
      <c r="N1015" s="117"/>
      <c r="R1015" s="117"/>
      <c r="T1015" s="117"/>
      <c r="V1015" s="117"/>
      <c r="X1015" s="117"/>
      <c r="Y1015" s="10"/>
      <c r="Z1015" s="11"/>
      <c r="AA1015" s="36"/>
      <c r="AB1015" s="36"/>
      <c r="AC1015" s="13"/>
      <c r="AD1015" s="13"/>
      <c r="AE1015" s="37"/>
      <c r="AF1015" s="37"/>
      <c r="AG1015" s="14"/>
      <c r="AH1015" s="14"/>
      <c r="AI1015" s="14"/>
      <c r="AZ1015" s="24"/>
    </row>
    <row r="1016">
      <c r="B1016" s="24"/>
      <c r="E1016" s="113"/>
      <c r="F1016" s="266"/>
      <c r="G1016" s="113"/>
      <c r="K1016" s="36"/>
      <c r="L1016" s="117"/>
      <c r="N1016" s="117"/>
      <c r="R1016" s="117"/>
      <c r="T1016" s="117"/>
      <c r="V1016" s="117"/>
      <c r="X1016" s="117"/>
      <c r="Y1016" s="10"/>
      <c r="Z1016" s="11"/>
      <c r="AA1016" s="36"/>
      <c r="AB1016" s="36"/>
      <c r="AC1016" s="13"/>
      <c r="AD1016" s="13"/>
      <c r="AE1016" s="37"/>
      <c r="AF1016" s="37"/>
      <c r="AG1016" s="14"/>
      <c r="AH1016" s="14"/>
      <c r="AI1016" s="14"/>
      <c r="AZ1016" s="24"/>
    </row>
    <row r="1017">
      <c r="B1017" s="24"/>
      <c r="E1017" s="113"/>
      <c r="F1017" s="266"/>
      <c r="G1017" s="113"/>
      <c r="K1017" s="36"/>
      <c r="L1017" s="117"/>
      <c r="N1017" s="117"/>
      <c r="R1017" s="117"/>
      <c r="T1017" s="117"/>
      <c r="V1017" s="117"/>
      <c r="X1017" s="117"/>
      <c r="Y1017" s="10"/>
      <c r="Z1017" s="11"/>
      <c r="AA1017" s="36"/>
      <c r="AB1017" s="36"/>
      <c r="AC1017" s="13"/>
      <c r="AD1017" s="13"/>
      <c r="AE1017" s="37"/>
      <c r="AF1017" s="37"/>
      <c r="AG1017" s="14"/>
      <c r="AH1017" s="14"/>
      <c r="AI1017" s="14"/>
      <c r="AZ1017" s="24"/>
    </row>
    <row r="1018">
      <c r="B1018" s="24"/>
      <c r="E1018" s="113"/>
      <c r="F1018" s="266"/>
      <c r="G1018" s="113"/>
      <c r="K1018" s="36"/>
      <c r="L1018" s="117"/>
      <c r="N1018" s="117"/>
      <c r="R1018" s="117"/>
      <c r="T1018" s="117"/>
      <c r="V1018" s="117"/>
      <c r="X1018" s="117"/>
      <c r="Y1018" s="10"/>
      <c r="Z1018" s="11"/>
      <c r="AA1018" s="36"/>
      <c r="AB1018" s="36"/>
      <c r="AC1018" s="13"/>
      <c r="AD1018" s="13"/>
      <c r="AE1018" s="37"/>
      <c r="AF1018" s="37"/>
      <c r="AG1018" s="14"/>
      <c r="AH1018" s="14"/>
      <c r="AI1018" s="14"/>
      <c r="AZ1018" s="24"/>
    </row>
    <row r="1019">
      <c r="B1019" s="24"/>
      <c r="E1019" s="113"/>
      <c r="F1019" s="266"/>
      <c r="G1019" s="113"/>
      <c r="K1019" s="36"/>
      <c r="L1019" s="117"/>
      <c r="N1019" s="117"/>
      <c r="R1019" s="117"/>
      <c r="T1019" s="117"/>
      <c r="V1019" s="117"/>
      <c r="X1019" s="117"/>
      <c r="Y1019" s="10"/>
      <c r="Z1019" s="11"/>
      <c r="AA1019" s="36"/>
      <c r="AB1019" s="36"/>
      <c r="AC1019" s="13"/>
      <c r="AD1019" s="13"/>
      <c r="AE1019" s="37"/>
      <c r="AF1019" s="37"/>
      <c r="AG1019" s="14"/>
      <c r="AH1019" s="14"/>
      <c r="AI1019" s="14"/>
      <c r="AZ1019" s="24"/>
    </row>
    <row r="1020">
      <c r="B1020" s="24"/>
      <c r="E1020" s="113"/>
      <c r="F1020" s="266"/>
      <c r="G1020" s="113"/>
      <c r="K1020" s="36"/>
      <c r="L1020" s="117"/>
      <c r="N1020" s="117"/>
      <c r="R1020" s="117"/>
      <c r="T1020" s="117"/>
      <c r="V1020" s="117"/>
      <c r="X1020" s="117"/>
      <c r="Y1020" s="10"/>
      <c r="Z1020" s="11"/>
      <c r="AA1020" s="36"/>
      <c r="AB1020" s="36"/>
      <c r="AC1020" s="13"/>
      <c r="AD1020" s="13"/>
      <c r="AE1020" s="37"/>
      <c r="AF1020" s="37"/>
      <c r="AG1020" s="14"/>
      <c r="AH1020" s="14"/>
      <c r="AI1020" s="14"/>
      <c r="AZ1020" s="24"/>
    </row>
    <row r="1021">
      <c r="B1021" s="24"/>
      <c r="E1021" s="113"/>
      <c r="F1021" s="266"/>
      <c r="G1021" s="113"/>
      <c r="K1021" s="36"/>
      <c r="L1021" s="117"/>
      <c r="N1021" s="117"/>
      <c r="R1021" s="117"/>
      <c r="T1021" s="117"/>
      <c r="V1021" s="117"/>
      <c r="X1021" s="117"/>
      <c r="Y1021" s="10"/>
      <c r="Z1021" s="11"/>
      <c r="AA1021" s="36"/>
      <c r="AB1021" s="36"/>
      <c r="AC1021" s="13"/>
      <c r="AD1021" s="13"/>
      <c r="AE1021" s="37"/>
      <c r="AF1021" s="37"/>
      <c r="AG1021" s="14"/>
      <c r="AH1021" s="14"/>
      <c r="AI1021" s="14"/>
      <c r="AZ1021" s="24"/>
    </row>
    <row r="1022">
      <c r="B1022" s="24"/>
      <c r="E1022" s="113"/>
      <c r="F1022" s="266"/>
      <c r="G1022" s="113"/>
      <c r="K1022" s="36"/>
      <c r="L1022" s="117"/>
      <c r="N1022" s="117"/>
      <c r="R1022" s="117"/>
      <c r="T1022" s="117"/>
      <c r="V1022" s="117"/>
      <c r="X1022" s="117"/>
      <c r="Y1022" s="10"/>
      <c r="Z1022" s="11"/>
      <c r="AA1022" s="36"/>
      <c r="AB1022" s="36"/>
      <c r="AC1022" s="13"/>
      <c r="AD1022" s="13"/>
      <c r="AE1022" s="37"/>
      <c r="AF1022" s="37"/>
      <c r="AG1022" s="14"/>
      <c r="AH1022" s="14"/>
      <c r="AI1022" s="14"/>
      <c r="AZ1022" s="24"/>
    </row>
    <row r="1023">
      <c r="B1023" s="24"/>
      <c r="E1023" s="113"/>
      <c r="F1023" s="266"/>
      <c r="G1023" s="113"/>
      <c r="K1023" s="36"/>
      <c r="L1023" s="117"/>
      <c r="N1023" s="117"/>
      <c r="R1023" s="117"/>
      <c r="T1023" s="117"/>
      <c r="V1023" s="117"/>
      <c r="X1023" s="117"/>
      <c r="Y1023" s="10"/>
      <c r="Z1023" s="11"/>
      <c r="AA1023" s="36"/>
      <c r="AB1023" s="36"/>
      <c r="AC1023" s="13"/>
      <c r="AD1023" s="13"/>
      <c r="AE1023" s="37"/>
      <c r="AF1023" s="37"/>
      <c r="AG1023" s="14"/>
      <c r="AH1023" s="14"/>
      <c r="AI1023" s="14"/>
      <c r="AZ1023" s="24"/>
    </row>
    <row r="1024">
      <c r="B1024" s="24"/>
      <c r="E1024" s="113"/>
      <c r="F1024" s="266"/>
      <c r="G1024" s="113"/>
      <c r="K1024" s="36"/>
      <c r="L1024" s="117"/>
      <c r="N1024" s="117"/>
      <c r="R1024" s="117"/>
      <c r="T1024" s="117"/>
      <c r="V1024" s="117"/>
      <c r="X1024" s="117"/>
      <c r="Y1024" s="10"/>
      <c r="Z1024" s="11"/>
      <c r="AA1024" s="36"/>
      <c r="AB1024" s="36"/>
      <c r="AC1024" s="13"/>
      <c r="AD1024" s="13"/>
      <c r="AE1024" s="37"/>
      <c r="AF1024" s="37"/>
      <c r="AG1024" s="14"/>
      <c r="AH1024" s="14"/>
      <c r="AI1024" s="14"/>
      <c r="AZ1024" s="24"/>
    </row>
    <row r="1025">
      <c r="B1025" s="24"/>
      <c r="E1025" s="113"/>
      <c r="F1025" s="266"/>
      <c r="G1025" s="113"/>
      <c r="K1025" s="36"/>
      <c r="L1025" s="117"/>
      <c r="N1025" s="117"/>
      <c r="R1025" s="117"/>
      <c r="T1025" s="117"/>
      <c r="V1025" s="117"/>
      <c r="X1025" s="117"/>
      <c r="Y1025" s="10"/>
      <c r="Z1025" s="11"/>
      <c r="AA1025" s="36"/>
      <c r="AB1025" s="36"/>
      <c r="AC1025" s="13"/>
      <c r="AD1025" s="13"/>
      <c r="AE1025" s="37"/>
      <c r="AF1025" s="37"/>
      <c r="AG1025" s="14"/>
      <c r="AH1025" s="14"/>
      <c r="AI1025" s="14"/>
      <c r="AZ1025" s="24"/>
    </row>
    <row r="1026">
      <c r="B1026" s="24"/>
      <c r="E1026" s="113"/>
      <c r="F1026" s="266"/>
      <c r="G1026" s="113"/>
      <c r="K1026" s="36"/>
      <c r="L1026" s="117"/>
      <c r="N1026" s="117"/>
      <c r="R1026" s="117"/>
      <c r="T1026" s="117"/>
      <c r="V1026" s="117"/>
      <c r="X1026" s="117"/>
      <c r="Y1026" s="10"/>
      <c r="Z1026" s="11"/>
      <c r="AA1026" s="36"/>
      <c r="AB1026" s="36"/>
      <c r="AC1026" s="13"/>
      <c r="AD1026" s="13"/>
      <c r="AE1026" s="37"/>
      <c r="AF1026" s="37"/>
      <c r="AG1026" s="14"/>
      <c r="AH1026" s="14"/>
      <c r="AI1026" s="14"/>
      <c r="AZ1026" s="24"/>
    </row>
    <row r="1027">
      <c r="B1027" s="24"/>
      <c r="E1027" s="113"/>
      <c r="F1027" s="266"/>
      <c r="G1027" s="113"/>
      <c r="K1027" s="36"/>
      <c r="L1027" s="117"/>
      <c r="N1027" s="117"/>
      <c r="R1027" s="117"/>
      <c r="T1027" s="117"/>
      <c r="V1027" s="117"/>
      <c r="X1027" s="117"/>
      <c r="Y1027" s="10"/>
      <c r="Z1027" s="11"/>
      <c r="AA1027" s="36"/>
      <c r="AB1027" s="36"/>
      <c r="AC1027" s="13"/>
      <c r="AD1027" s="13"/>
      <c r="AE1027" s="37"/>
      <c r="AF1027" s="37"/>
      <c r="AG1027" s="14"/>
      <c r="AH1027" s="14"/>
      <c r="AI1027" s="14"/>
      <c r="AZ1027" s="24"/>
    </row>
    <row r="1028">
      <c r="B1028" s="24"/>
      <c r="E1028" s="113"/>
      <c r="F1028" s="266"/>
      <c r="G1028" s="113"/>
      <c r="K1028" s="36"/>
      <c r="L1028" s="117"/>
      <c r="N1028" s="117"/>
      <c r="R1028" s="117"/>
      <c r="T1028" s="117"/>
      <c r="V1028" s="117"/>
      <c r="X1028" s="117"/>
      <c r="Y1028" s="10"/>
      <c r="Z1028" s="11"/>
      <c r="AA1028" s="36"/>
      <c r="AB1028" s="36"/>
      <c r="AC1028" s="13"/>
      <c r="AD1028" s="13"/>
      <c r="AE1028" s="37"/>
      <c r="AF1028" s="37"/>
      <c r="AG1028" s="14"/>
      <c r="AH1028" s="14"/>
      <c r="AI1028" s="14"/>
      <c r="AZ1028" s="24"/>
    </row>
    <row r="1029">
      <c r="B1029" s="24"/>
      <c r="E1029" s="113"/>
      <c r="F1029" s="266"/>
      <c r="G1029" s="113"/>
      <c r="K1029" s="36"/>
      <c r="L1029" s="117"/>
      <c r="N1029" s="117"/>
      <c r="R1029" s="117"/>
      <c r="T1029" s="117"/>
      <c r="V1029" s="117"/>
      <c r="X1029" s="117"/>
      <c r="Y1029" s="10"/>
      <c r="Z1029" s="11"/>
      <c r="AA1029" s="36"/>
      <c r="AB1029" s="36"/>
      <c r="AC1029" s="13"/>
      <c r="AD1029" s="13"/>
      <c r="AE1029" s="37"/>
      <c r="AF1029" s="37"/>
      <c r="AG1029" s="14"/>
      <c r="AH1029" s="14"/>
      <c r="AI1029" s="14"/>
      <c r="AZ1029" s="24"/>
    </row>
    <row r="1030">
      <c r="B1030" s="24"/>
      <c r="E1030" s="113"/>
      <c r="F1030" s="266"/>
      <c r="G1030" s="113"/>
      <c r="K1030" s="36"/>
      <c r="L1030" s="117"/>
      <c r="N1030" s="117"/>
      <c r="R1030" s="117"/>
      <c r="T1030" s="117"/>
      <c r="V1030" s="117"/>
      <c r="X1030" s="117"/>
      <c r="Y1030" s="10"/>
      <c r="Z1030" s="11"/>
      <c r="AA1030" s="36"/>
      <c r="AB1030" s="36"/>
      <c r="AC1030" s="13"/>
      <c r="AD1030" s="13"/>
      <c r="AE1030" s="37"/>
      <c r="AF1030" s="37"/>
      <c r="AG1030" s="14"/>
      <c r="AH1030" s="14"/>
      <c r="AI1030" s="14"/>
      <c r="AZ1030" s="24"/>
    </row>
    <row r="1031">
      <c r="B1031" s="24"/>
      <c r="E1031" s="113"/>
      <c r="F1031" s="266"/>
      <c r="G1031" s="113"/>
      <c r="K1031" s="36"/>
      <c r="L1031" s="117"/>
      <c r="N1031" s="117"/>
      <c r="R1031" s="117"/>
      <c r="T1031" s="117"/>
      <c r="V1031" s="117"/>
      <c r="X1031" s="117"/>
      <c r="Y1031" s="10"/>
      <c r="Z1031" s="11"/>
      <c r="AA1031" s="36"/>
      <c r="AB1031" s="36"/>
      <c r="AC1031" s="13"/>
      <c r="AD1031" s="13"/>
      <c r="AE1031" s="37"/>
      <c r="AF1031" s="37"/>
      <c r="AG1031" s="14"/>
      <c r="AH1031" s="14"/>
      <c r="AI1031" s="14"/>
      <c r="AZ1031" s="24"/>
    </row>
    <row r="1032">
      <c r="B1032" s="24"/>
      <c r="E1032" s="113"/>
      <c r="F1032" s="266"/>
      <c r="G1032" s="113"/>
      <c r="K1032" s="36"/>
      <c r="L1032" s="117"/>
      <c r="N1032" s="117"/>
      <c r="R1032" s="117"/>
      <c r="T1032" s="117"/>
      <c r="V1032" s="117"/>
      <c r="X1032" s="117"/>
      <c r="Y1032" s="10"/>
      <c r="Z1032" s="11"/>
      <c r="AA1032" s="36"/>
      <c r="AB1032" s="36"/>
      <c r="AC1032" s="13"/>
      <c r="AD1032" s="13"/>
      <c r="AE1032" s="37"/>
      <c r="AF1032" s="37"/>
      <c r="AG1032" s="14"/>
      <c r="AH1032" s="14"/>
      <c r="AI1032" s="14"/>
      <c r="AZ1032" s="24"/>
    </row>
    <row r="1033">
      <c r="B1033" s="24"/>
      <c r="E1033" s="113"/>
      <c r="F1033" s="266"/>
      <c r="G1033" s="113"/>
      <c r="K1033" s="36"/>
      <c r="L1033" s="117"/>
      <c r="N1033" s="117"/>
      <c r="R1033" s="117"/>
      <c r="T1033" s="117"/>
      <c r="V1033" s="117"/>
      <c r="X1033" s="117"/>
      <c r="Y1033" s="10"/>
      <c r="Z1033" s="11"/>
      <c r="AA1033" s="36"/>
      <c r="AB1033" s="36"/>
      <c r="AC1033" s="13"/>
      <c r="AD1033" s="13"/>
      <c r="AE1033" s="37"/>
      <c r="AF1033" s="37"/>
      <c r="AG1033" s="14"/>
      <c r="AH1033" s="14"/>
      <c r="AI1033" s="14"/>
      <c r="AZ1033" s="24"/>
    </row>
    <row r="1034">
      <c r="B1034" s="24"/>
      <c r="E1034" s="113"/>
      <c r="F1034" s="266"/>
      <c r="G1034" s="113"/>
      <c r="K1034" s="36"/>
      <c r="L1034" s="117"/>
      <c r="N1034" s="117"/>
      <c r="R1034" s="117"/>
      <c r="T1034" s="117"/>
      <c r="V1034" s="117"/>
      <c r="X1034" s="117"/>
      <c r="Y1034" s="10"/>
      <c r="Z1034" s="11"/>
      <c r="AA1034" s="36"/>
      <c r="AB1034" s="36"/>
      <c r="AC1034" s="13"/>
      <c r="AD1034" s="13"/>
      <c r="AE1034" s="37"/>
      <c r="AF1034" s="37"/>
      <c r="AG1034" s="14"/>
      <c r="AH1034" s="14"/>
      <c r="AI1034" s="14"/>
      <c r="AZ1034" s="24"/>
    </row>
    <row r="1035">
      <c r="B1035" s="24"/>
      <c r="E1035" s="113"/>
      <c r="F1035" s="266"/>
      <c r="G1035" s="113"/>
      <c r="K1035" s="36"/>
      <c r="L1035" s="117"/>
      <c r="N1035" s="117"/>
      <c r="R1035" s="117"/>
      <c r="T1035" s="117"/>
      <c r="V1035" s="117"/>
      <c r="X1035" s="117"/>
      <c r="Y1035" s="10"/>
      <c r="Z1035" s="11"/>
      <c r="AA1035" s="36"/>
      <c r="AB1035" s="36"/>
      <c r="AC1035" s="13"/>
      <c r="AD1035" s="13"/>
      <c r="AE1035" s="37"/>
      <c r="AF1035" s="37"/>
      <c r="AG1035" s="14"/>
      <c r="AH1035" s="14"/>
      <c r="AI1035" s="14"/>
      <c r="AZ1035" s="24"/>
    </row>
    <row r="1036">
      <c r="B1036" s="24"/>
      <c r="E1036" s="113"/>
      <c r="F1036" s="266"/>
      <c r="G1036" s="113"/>
      <c r="K1036" s="36"/>
      <c r="L1036" s="117"/>
      <c r="N1036" s="117"/>
      <c r="R1036" s="117"/>
      <c r="T1036" s="117"/>
      <c r="V1036" s="117"/>
      <c r="X1036" s="117"/>
      <c r="Y1036" s="10"/>
      <c r="Z1036" s="11"/>
      <c r="AA1036" s="36"/>
      <c r="AB1036" s="36"/>
      <c r="AC1036" s="13"/>
      <c r="AD1036" s="13"/>
      <c r="AE1036" s="37"/>
      <c r="AF1036" s="37"/>
      <c r="AG1036" s="14"/>
      <c r="AH1036" s="14"/>
      <c r="AI1036" s="14"/>
      <c r="AZ1036" s="24"/>
    </row>
    <row r="1037">
      <c r="B1037" s="24"/>
      <c r="E1037" s="113"/>
      <c r="F1037" s="266"/>
      <c r="G1037" s="113"/>
      <c r="K1037" s="36"/>
      <c r="L1037" s="117"/>
      <c r="N1037" s="117"/>
      <c r="R1037" s="117"/>
      <c r="T1037" s="117"/>
      <c r="V1037" s="117"/>
      <c r="X1037" s="117"/>
      <c r="Y1037" s="10"/>
      <c r="Z1037" s="11"/>
      <c r="AA1037" s="36"/>
      <c r="AB1037" s="36"/>
      <c r="AC1037" s="13"/>
      <c r="AD1037" s="13"/>
      <c r="AE1037" s="37"/>
      <c r="AF1037" s="37"/>
      <c r="AG1037" s="14"/>
      <c r="AH1037" s="14"/>
      <c r="AI1037" s="14"/>
      <c r="AZ1037" s="24"/>
    </row>
    <row r="1038">
      <c r="B1038" s="24"/>
      <c r="E1038" s="113"/>
      <c r="F1038" s="266"/>
      <c r="G1038" s="113"/>
      <c r="K1038" s="36"/>
      <c r="L1038" s="117"/>
      <c r="N1038" s="117"/>
      <c r="R1038" s="117"/>
      <c r="T1038" s="117"/>
      <c r="V1038" s="117"/>
      <c r="X1038" s="117"/>
      <c r="Y1038" s="10"/>
      <c r="Z1038" s="11"/>
      <c r="AA1038" s="36"/>
      <c r="AB1038" s="36"/>
      <c r="AC1038" s="13"/>
      <c r="AD1038" s="13"/>
      <c r="AE1038" s="37"/>
      <c r="AF1038" s="37"/>
      <c r="AG1038" s="14"/>
      <c r="AH1038" s="14"/>
      <c r="AI1038" s="14"/>
      <c r="AZ1038" s="24"/>
    </row>
    <row r="1039">
      <c r="B1039" s="24"/>
      <c r="E1039" s="113"/>
      <c r="F1039" s="266"/>
      <c r="G1039" s="113"/>
      <c r="K1039" s="36"/>
      <c r="L1039" s="117"/>
      <c r="N1039" s="117"/>
      <c r="R1039" s="117"/>
      <c r="T1039" s="117"/>
      <c r="V1039" s="117"/>
      <c r="X1039" s="117"/>
      <c r="Y1039" s="10"/>
      <c r="Z1039" s="11"/>
      <c r="AA1039" s="36"/>
      <c r="AB1039" s="36"/>
      <c r="AC1039" s="13"/>
      <c r="AD1039" s="13"/>
      <c r="AE1039" s="37"/>
      <c r="AF1039" s="37"/>
      <c r="AG1039" s="14"/>
      <c r="AH1039" s="14"/>
      <c r="AI1039" s="14"/>
      <c r="AZ1039" s="24"/>
    </row>
    <row r="1040">
      <c r="B1040" s="24"/>
      <c r="E1040" s="113"/>
      <c r="F1040" s="266"/>
      <c r="G1040" s="113"/>
      <c r="K1040" s="36"/>
      <c r="L1040" s="117"/>
      <c r="N1040" s="117"/>
      <c r="R1040" s="117"/>
      <c r="T1040" s="117"/>
      <c r="V1040" s="117"/>
      <c r="X1040" s="117"/>
      <c r="Y1040" s="10"/>
      <c r="Z1040" s="11"/>
      <c r="AA1040" s="36"/>
      <c r="AB1040" s="36"/>
      <c r="AC1040" s="13"/>
      <c r="AD1040" s="13"/>
      <c r="AE1040" s="37"/>
      <c r="AF1040" s="37"/>
      <c r="AG1040" s="14"/>
      <c r="AH1040" s="14"/>
      <c r="AI1040" s="14"/>
      <c r="AZ1040" s="24"/>
    </row>
    <row r="1041">
      <c r="B1041" s="24"/>
      <c r="E1041" s="113"/>
      <c r="F1041" s="266"/>
      <c r="G1041" s="113"/>
      <c r="K1041" s="36"/>
      <c r="L1041" s="117"/>
      <c r="N1041" s="117"/>
      <c r="R1041" s="117"/>
      <c r="T1041" s="117"/>
      <c r="V1041" s="117"/>
      <c r="X1041" s="117"/>
      <c r="Y1041" s="10"/>
      <c r="Z1041" s="11"/>
      <c r="AA1041" s="36"/>
      <c r="AB1041" s="36"/>
      <c r="AC1041" s="13"/>
      <c r="AD1041" s="13"/>
      <c r="AE1041" s="37"/>
      <c r="AF1041" s="37"/>
      <c r="AG1041" s="14"/>
      <c r="AH1041" s="14"/>
      <c r="AI1041" s="14"/>
      <c r="AZ1041" s="24"/>
    </row>
    <row r="1042">
      <c r="B1042" s="24"/>
      <c r="E1042" s="113"/>
      <c r="F1042" s="266"/>
      <c r="G1042" s="113"/>
      <c r="K1042" s="36"/>
      <c r="L1042" s="117"/>
      <c r="N1042" s="117"/>
      <c r="R1042" s="117"/>
      <c r="T1042" s="117"/>
      <c r="V1042" s="117"/>
      <c r="X1042" s="117"/>
      <c r="Y1042" s="10"/>
      <c r="Z1042" s="11"/>
      <c r="AA1042" s="36"/>
      <c r="AB1042" s="36"/>
      <c r="AC1042" s="13"/>
      <c r="AD1042" s="13"/>
      <c r="AE1042" s="37"/>
      <c r="AF1042" s="37"/>
      <c r="AG1042" s="14"/>
      <c r="AH1042" s="14"/>
      <c r="AI1042" s="14"/>
      <c r="AZ1042" s="24"/>
    </row>
    <row r="1043">
      <c r="B1043" s="24"/>
      <c r="E1043" s="113"/>
      <c r="F1043" s="266"/>
      <c r="G1043" s="113"/>
      <c r="K1043" s="36"/>
      <c r="L1043" s="117"/>
      <c r="N1043" s="117"/>
      <c r="R1043" s="117"/>
      <c r="T1043" s="117"/>
      <c r="V1043" s="117"/>
      <c r="X1043" s="117"/>
      <c r="Y1043" s="10"/>
      <c r="Z1043" s="11"/>
      <c r="AA1043" s="36"/>
      <c r="AB1043" s="36"/>
      <c r="AC1043" s="13"/>
      <c r="AD1043" s="13"/>
      <c r="AE1043" s="37"/>
      <c r="AF1043" s="37"/>
      <c r="AG1043" s="14"/>
      <c r="AH1043" s="14"/>
      <c r="AI1043" s="14"/>
      <c r="AZ1043" s="24"/>
    </row>
    <row r="1044">
      <c r="B1044" s="24"/>
      <c r="E1044" s="113"/>
      <c r="F1044" s="266"/>
      <c r="G1044" s="113"/>
      <c r="K1044" s="36"/>
      <c r="L1044" s="117"/>
      <c r="N1044" s="117"/>
      <c r="R1044" s="117"/>
      <c r="T1044" s="117"/>
      <c r="V1044" s="117"/>
      <c r="X1044" s="117"/>
      <c r="Y1044" s="10"/>
      <c r="Z1044" s="11"/>
      <c r="AA1044" s="36"/>
      <c r="AB1044" s="36"/>
      <c r="AC1044" s="13"/>
      <c r="AD1044" s="13"/>
      <c r="AE1044" s="37"/>
      <c r="AF1044" s="37"/>
      <c r="AG1044" s="14"/>
      <c r="AH1044" s="14"/>
      <c r="AI1044" s="14"/>
      <c r="AZ1044" s="24"/>
    </row>
    <row r="1045">
      <c r="B1045" s="24"/>
      <c r="E1045" s="113"/>
      <c r="F1045" s="266"/>
      <c r="G1045" s="113"/>
      <c r="K1045" s="36"/>
      <c r="L1045" s="117"/>
      <c r="N1045" s="117"/>
      <c r="R1045" s="117"/>
      <c r="T1045" s="117"/>
      <c r="V1045" s="117"/>
      <c r="X1045" s="117"/>
      <c r="Y1045" s="10"/>
      <c r="Z1045" s="11"/>
      <c r="AA1045" s="36"/>
      <c r="AB1045" s="36"/>
      <c r="AC1045" s="13"/>
      <c r="AD1045" s="13"/>
      <c r="AE1045" s="37"/>
      <c r="AF1045" s="37"/>
      <c r="AG1045" s="14"/>
      <c r="AH1045" s="14"/>
      <c r="AI1045" s="14"/>
      <c r="AZ1045" s="24"/>
    </row>
    <row r="1046">
      <c r="B1046" s="24"/>
      <c r="E1046" s="113"/>
      <c r="F1046" s="266"/>
      <c r="G1046" s="113"/>
      <c r="K1046" s="36"/>
      <c r="L1046" s="117"/>
      <c r="N1046" s="117"/>
      <c r="R1046" s="117"/>
      <c r="T1046" s="117"/>
      <c r="V1046" s="117"/>
      <c r="X1046" s="117"/>
      <c r="Y1046" s="10"/>
      <c r="Z1046" s="11"/>
      <c r="AA1046" s="36"/>
      <c r="AB1046" s="36"/>
      <c r="AC1046" s="13"/>
      <c r="AD1046" s="13"/>
      <c r="AE1046" s="37"/>
      <c r="AF1046" s="37"/>
      <c r="AG1046" s="14"/>
      <c r="AH1046" s="14"/>
      <c r="AI1046" s="14"/>
      <c r="AZ1046" s="24"/>
    </row>
    <row r="1047">
      <c r="B1047" s="24"/>
      <c r="E1047" s="113"/>
      <c r="F1047" s="266"/>
      <c r="G1047" s="113"/>
      <c r="K1047" s="36"/>
      <c r="L1047" s="117"/>
      <c r="N1047" s="117"/>
      <c r="R1047" s="117"/>
      <c r="T1047" s="117"/>
      <c r="V1047" s="117"/>
      <c r="X1047" s="117"/>
      <c r="Y1047" s="10"/>
      <c r="Z1047" s="11"/>
      <c r="AA1047" s="36"/>
      <c r="AB1047" s="36"/>
      <c r="AC1047" s="13"/>
      <c r="AD1047" s="13"/>
      <c r="AE1047" s="37"/>
      <c r="AF1047" s="37"/>
      <c r="AG1047" s="14"/>
      <c r="AH1047" s="14"/>
      <c r="AI1047" s="14"/>
      <c r="AZ1047" s="24"/>
    </row>
    <row r="1048">
      <c r="B1048" s="24"/>
      <c r="E1048" s="113"/>
      <c r="F1048" s="266"/>
      <c r="G1048" s="113"/>
      <c r="K1048" s="36"/>
      <c r="L1048" s="117"/>
      <c r="N1048" s="117"/>
      <c r="R1048" s="117"/>
      <c r="T1048" s="117"/>
      <c r="V1048" s="117"/>
      <c r="X1048" s="117"/>
      <c r="Y1048" s="10"/>
      <c r="Z1048" s="11"/>
      <c r="AA1048" s="36"/>
      <c r="AB1048" s="36"/>
      <c r="AC1048" s="13"/>
      <c r="AD1048" s="13"/>
      <c r="AE1048" s="37"/>
      <c r="AF1048" s="37"/>
      <c r="AG1048" s="14"/>
      <c r="AH1048" s="14"/>
      <c r="AI1048" s="14"/>
      <c r="AZ1048" s="24"/>
    </row>
    <row r="1049">
      <c r="B1049" s="24"/>
      <c r="E1049" s="113"/>
      <c r="F1049" s="266"/>
      <c r="G1049" s="113"/>
      <c r="K1049" s="36"/>
      <c r="L1049" s="117"/>
      <c r="N1049" s="117"/>
      <c r="R1049" s="117"/>
      <c r="T1049" s="117"/>
      <c r="V1049" s="117"/>
      <c r="X1049" s="117"/>
      <c r="Y1049" s="10"/>
      <c r="Z1049" s="11"/>
      <c r="AA1049" s="36"/>
      <c r="AB1049" s="36"/>
      <c r="AC1049" s="13"/>
      <c r="AD1049" s="13"/>
      <c r="AE1049" s="37"/>
      <c r="AF1049" s="37"/>
      <c r="AG1049" s="14"/>
      <c r="AH1049" s="14"/>
      <c r="AI1049" s="14"/>
      <c r="AZ1049" s="24"/>
    </row>
    <row r="1050">
      <c r="B1050" s="24"/>
      <c r="E1050" s="113"/>
      <c r="F1050" s="266"/>
      <c r="G1050" s="113"/>
      <c r="K1050" s="36"/>
      <c r="L1050" s="117"/>
      <c r="N1050" s="117"/>
      <c r="R1050" s="117"/>
      <c r="T1050" s="117"/>
      <c r="V1050" s="117"/>
      <c r="X1050" s="117"/>
      <c r="Y1050" s="10"/>
      <c r="Z1050" s="11"/>
      <c r="AA1050" s="36"/>
      <c r="AB1050" s="36"/>
      <c r="AC1050" s="13"/>
      <c r="AD1050" s="13"/>
      <c r="AE1050" s="37"/>
      <c r="AF1050" s="37"/>
      <c r="AG1050" s="14"/>
      <c r="AH1050" s="14"/>
      <c r="AI1050" s="14"/>
      <c r="AZ1050" s="24"/>
    </row>
    <row r="1051">
      <c r="B1051" s="24"/>
      <c r="E1051" s="113"/>
      <c r="F1051" s="266"/>
      <c r="G1051" s="113"/>
      <c r="K1051" s="36"/>
      <c r="L1051" s="117"/>
      <c r="N1051" s="117"/>
      <c r="R1051" s="117"/>
      <c r="T1051" s="117"/>
      <c r="V1051" s="117"/>
      <c r="X1051" s="117"/>
      <c r="Y1051" s="10"/>
      <c r="Z1051" s="11"/>
      <c r="AA1051" s="36"/>
      <c r="AB1051" s="36"/>
      <c r="AC1051" s="13"/>
      <c r="AD1051" s="13"/>
      <c r="AE1051" s="37"/>
      <c r="AF1051" s="37"/>
      <c r="AG1051" s="14"/>
      <c r="AH1051" s="14"/>
      <c r="AI1051" s="14"/>
      <c r="AZ1051" s="24"/>
    </row>
    <row r="1052">
      <c r="B1052" s="24"/>
      <c r="E1052" s="113"/>
      <c r="F1052" s="266"/>
      <c r="G1052" s="113"/>
      <c r="K1052" s="36"/>
      <c r="L1052" s="117"/>
      <c r="N1052" s="117"/>
      <c r="R1052" s="117"/>
      <c r="T1052" s="117"/>
      <c r="V1052" s="117"/>
      <c r="X1052" s="117"/>
      <c r="Y1052" s="10"/>
      <c r="Z1052" s="11"/>
      <c r="AA1052" s="36"/>
      <c r="AB1052" s="36"/>
      <c r="AC1052" s="13"/>
      <c r="AD1052" s="13"/>
      <c r="AE1052" s="37"/>
      <c r="AF1052" s="37"/>
      <c r="AG1052" s="14"/>
      <c r="AH1052" s="14"/>
      <c r="AI1052" s="14"/>
      <c r="AZ1052" s="24"/>
    </row>
    <row r="1053">
      <c r="B1053" s="24"/>
      <c r="E1053" s="113"/>
      <c r="F1053" s="266"/>
      <c r="G1053" s="113"/>
      <c r="K1053" s="36"/>
      <c r="L1053" s="117"/>
      <c r="N1053" s="117"/>
      <c r="R1053" s="117"/>
      <c r="T1053" s="117"/>
      <c r="V1053" s="117"/>
      <c r="X1053" s="117"/>
      <c r="Y1053" s="10"/>
      <c r="Z1053" s="11"/>
      <c r="AA1053" s="36"/>
      <c r="AB1053" s="36"/>
      <c r="AC1053" s="13"/>
      <c r="AD1053" s="13"/>
      <c r="AE1053" s="37"/>
      <c r="AF1053" s="37"/>
      <c r="AG1053" s="14"/>
      <c r="AH1053" s="14"/>
      <c r="AI1053" s="14"/>
      <c r="AZ1053" s="24"/>
    </row>
    <row r="1054">
      <c r="B1054" s="24"/>
      <c r="E1054" s="113"/>
      <c r="F1054" s="266"/>
      <c r="G1054" s="113"/>
      <c r="K1054" s="36"/>
      <c r="L1054" s="117"/>
      <c r="N1054" s="117"/>
      <c r="R1054" s="117"/>
      <c r="T1054" s="117"/>
      <c r="V1054" s="117"/>
      <c r="X1054" s="117"/>
      <c r="Y1054" s="10"/>
      <c r="Z1054" s="11"/>
      <c r="AA1054" s="36"/>
      <c r="AB1054" s="36"/>
      <c r="AC1054" s="13"/>
      <c r="AD1054" s="13"/>
      <c r="AE1054" s="37"/>
      <c r="AF1054" s="37"/>
      <c r="AG1054" s="14"/>
      <c r="AH1054" s="14"/>
      <c r="AI1054" s="14"/>
      <c r="AZ1054" s="24"/>
    </row>
    <row r="1055">
      <c r="B1055" s="24"/>
      <c r="E1055" s="113"/>
      <c r="F1055" s="266"/>
      <c r="G1055" s="113"/>
      <c r="K1055" s="36"/>
      <c r="L1055" s="117"/>
      <c r="N1055" s="117"/>
      <c r="R1055" s="117"/>
      <c r="T1055" s="117"/>
      <c r="V1055" s="117"/>
      <c r="X1055" s="117"/>
      <c r="Y1055" s="10"/>
      <c r="Z1055" s="11"/>
      <c r="AA1055" s="36"/>
      <c r="AB1055" s="36"/>
      <c r="AC1055" s="13"/>
      <c r="AD1055" s="13"/>
      <c r="AE1055" s="37"/>
      <c r="AF1055" s="37"/>
      <c r="AG1055" s="14"/>
      <c r="AH1055" s="14"/>
      <c r="AI1055" s="14"/>
      <c r="AZ1055" s="24"/>
    </row>
    <row r="1056">
      <c r="B1056" s="24"/>
      <c r="E1056" s="113"/>
      <c r="F1056" s="266"/>
      <c r="G1056" s="113"/>
      <c r="K1056" s="36"/>
      <c r="L1056" s="117"/>
      <c r="N1056" s="117"/>
      <c r="R1056" s="117"/>
      <c r="T1056" s="117"/>
      <c r="V1056" s="117"/>
      <c r="X1056" s="117"/>
      <c r="Y1056" s="10"/>
      <c r="Z1056" s="11"/>
      <c r="AA1056" s="36"/>
      <c r="AB1056" s="36"/>
      <c r="AC1056" s="13"/>
      <c r="AD1056" s="13"/>
      <c r="AE1056" s="37"/>
      <c r="AF1056" s="37"/>
      <c r="AG1056" s="14"/>
      <c r="AH1056" s="14"/>
      <c r="AI1056" s="14"/>
      <c r="AZ1056" s="24"/>
    </row>
    <row r="1057">
      <c r="B1057" s="24"/>
      <c r="E1057" s="113"/>
      <c r="F1057" s="266"/>
      <c r="G1057" s="113"/>
      <c r="K1057" s="36"/>
      <c r="L1057" s="117"/>
      <c r="N1057" s="117"/>
      <c r="R1057" s="117"/>
      <c r="T1057" s="117"/>
      <c r="V1057" s="117"/>
      <c r="X1057" s="117"/>
      <c r="Y1057" s="10"/>
      <c r="Z1057" s="11"/>
      <c r="AA1057" s="36"/>
      <c r="AB1057" s="36"/>
      <c r="AC1057" s="13"/>
      <c r="AD1057" s="13"/>
      <c r="AE1057" s="37"/>
      <c r="AF1057" s="37"/>
      <c r="AG1057" s="14"/>
      <c r="AH1057" s="14"/>
      <c r="AI1057" s="14"/>
      <c r="AZ1057" s="24"/>
    </row>
    <row r="1058">
      <c r="B1058" s="24"/>
      <c r="E1058" s="113"/>
      <c r="F1058" s="266"/>
      <c r="G1058" s="113"/>
      <c r="K1058" s="36"/>
      <c r="L1058" s="117"/>
      <c r="N1058" s="117"/>
      <c r="R1058" s="117"/>
      <c r="T1058" s="117"/>
      <c r="V1058" s="117"/>
      <c r="X1058" s="117"/>
      <c r="Y1058" s="10"/>
      <c r="Z1058" s="11"/>
      <c r="AA1058" s="36"/>
      <c r="AB1058" s="36"/>
      <c r="AC1058" s="13"/>
      <c r="AD1058" s="13"/>
      <c r="AE1058" s="37"/>
      <c r="AF1058" s="37"/>
      <c r="AG1058" s="14"/>
      <c r="AH1058" s="14"/>
      <c r="AI1058" s="14"/>
      <c r="AZ1058" s="24"/>
    </row>
    <row r="1059">
      <c r="B1059" s="24"/>
      <c r="E1059" s="113"/>
      <c r="F1059" s="266"/>
      <c r="G1059" s="113"/>
      <c r="K1059" s="36"/>
      <c r="L1059" s="117"/>
      <c r="N1059" s="117"/>
      <c r="R1059" s="117"/>
      <c r="T1059" s="117"/>
      <c r="V1059" s="117"/>
      <c r="X1059" s="117"/>
      <c r="Y1059" s="10"/>
      <c r="Z1059" s="11"/>
      <c r="AA1059" s="36"/>
      <c r="AB1059" s="36"/>
      <c r="AC1059" s="13"/>
      <c r="AD1059" s="13"/>
      <c r="AE1059" s="37"/>
      <c r="AF1059" s="37"/>
      <c r="AG1059" s="14"/>
      <c r="AH1059" s="14"/>
      <c r="AI1059" s="14"/>
      <c r="AZ1059" s="24"/>
    </row>
    <row r="1060">
      <c r="B1060" s="24"/>
      <c r="E1060" s="113"/>
      <c r="F1060" s="266"/>
      <c r="G1060" s="113"/>
      <c r="K1060" s="36"/>
      <c r="L1060" s="117"/>
      <c r="N1060" s="117"/>
      <c r="R1060" s="117"/>
      <c r="T1060" s="117"/>
      <c r="V1060" s="117"/>
      <c r="X1060" s="117"/>
      <c r="Y1060" s="10"/>
      <c r="Z1060" s="11"/>
      <c r="AA1060" s="36"/>
      <c r="AB1060" s="36"/>
      <c r="AC1060" s="13"/>
      <c r="AD1060" s="13"/>
      <c r="AE1060" s="37"/>
      <c r="AF1060" s="37"/>
      <c r="AG1060" s="14"/>
      <c r="AH1060" s="14"/>
      <c r="AI1060" s="14"/>
      <c r="AZ1060" s="24"/>
    </row>
    <row r="1061">
      <c r="B1061" s="24"/>
      <c r="E1061" s="113"/>
      <c r="F1061" s="266"/>
      <c r="G1061" s="113"/>
      <c r="K1061" s="36"/>
      <c r="L1061" s="117"/>
      <c r="N1061" s="117"/>
      <c r="R1061" s="117"/>
      <c r="T1061" s="117"/>
      <c r="V1061" s="117"/>
      <c r="X1061" s="117"/>
      <c r="Y1061" s="10"/>
      <c r="Z1061" s="11"/>
      <c r="AA1061" s="36"/>
      <c r="AB1061" s="36"/>
      <c r="AC1061" s="13"/>
      <c r="AD1061" s="13"/>
      <c r="AE1061" s="37"/>
      <c r="AF1061" s="37"/>
      <c r="AG1061" s="14"/>
      <c r="AH1061" s="14"/>
      <c r="AI1061" s="14"/>
      <c r="AZ1061" s="24"/>
    </row>
    <row r="1062">
      <c r="B1062" s="24"/>
      <c r="E1062" s="113"/>
      <c r="F1062" s="266"/>
      <c r="G1062" s="113"/>
      <c r="K1062" s="36"/>
      <c r="L1062" s="117"/>
      <c r="N1062" s="117"/>
      <c r="R1062" s="117"/>
      <c r="T1062" s="117"/>
      <c r="V1062" s="117"/>
      <c r="X1062" s="117"/>
      <c r="Y1062" s="10"/>
      <c r="Z1062" s="11"/>
      <c r="AA1062" s="36"/>
      <c r="AB1062" s="36"/>
      <c r="AC1062" s="13"/>
      <c r="AD1062" s="13"/>
      <c r="AE1062" s="37"/>
      <c r="AF1062" s="37"/>
      <c r="AG1062" s="14"/>
      <c r="AH1062" s="14"/>
      <c r="AI1062" s="14"/>
      <c r="AZ1062" s="24"/>
    </row>
    <row r="1063">
      <c r="B1063" s="24"/>
      <c r="E1063" s="113"/>
      <c r="F1063" s="266"/>
      <c r="G1063" s="113"/>
      <c r="K1063" s="36"/>
      <c r="L1063" s="117"/>
      <c r="N1063" s="117"/>
      <c r="R1063" s="117"/>
      <c r="T1063" s="117"/>
      <c r="V1063" s="117"/>
      <c r="X1063" s="117"/>
      <c r="Y1063" s="10"/>
      <c r="Z1063" s="11"/>
      <c r="AA1063" s="36"/>
      <c r="AB1063" s="36"/>
      <c r="AC1063" s="13"/>
      <c r="AD1063" s="13"/>
      <c r="AE1063" s="37"/>
      <c r="AF1063" s="37"/>
      <c r="AG1063" s="14"/>
      <c r="AH1063" s="14"/>
      <c r="AI1063" s="14"/>
      <c r="AZ1063" s="24"/>
    </row>
    <row r="1064">
      <c r="B1064" s="24"/>
      <c r="E1064" s="113"/>
      <c r="F1064" s="266"/>
      <c r="G1064" s="113"/>
      <c r="K1064" s="36"/>
      <c r="L1064" s="117"/>
      <c r="N1064" s="117"/>
      <c r="R1064" s="117"/>
      <c r="T1064" s="117"/>
      <c r="V1064" s="117"/>
      <c r="X1064" s="117"/>
      <c r="Y1064" s="10"/>
      <c r="Z1064" s="11"/>
      <c r="AA1064" s="36"/>
      <c r="AB1064" s="36"/>
      <c r="AC1064" s="13"/>
      <c r="AD1064" s="13"/>
      <c r="AE1064" s="37"/>
      <c r="AF1064" s="37"/>
      <c r="AG1064" s="14"/>
      <c r="AH1064" s="14"/>
      <c r="AI1064" s="14"/>
      <c r="AZ1064" s="24"/>
    </row>
    <row r="1065">
      <c r="B1065" s="24"/>
      <c r="E1065" s="113"/>
      <c r="F1065" s="266"/>
      <c r="G1065" s="113"/>
      <c r="K1065" s="36"/>
      <c r="L1065" s="117"/>
      <c r="N1065" s="117"/>
      <c r="R1065" s="117"/>
      <c r="T1065" s="117"/>
      <c r="V1065" s="117"/>
      <c r="X1065" s="117"/>
      <c r="Y1065" s="10"/>
      <c r="Z1065" s="11"/>
      <c r="AA1065" s="36"/>
      <c r="AB1065" s="36"/>
      <c r="AC1065" s="13"/>
      <c r="AD1065" s="13"/>
      <c r="AE1065" s="37"/>
      <c r="AF1065" s="37"/>
      <c r="AG1065" s="14"/>
      <c r="AH1065" s="14"/>
      <c r="AI1065" s="14"/>
      <c r="AZ1065" s="24"/>
    </row>
    <row r="1066">
      <c r="B1066" s="24"/>
      <c r="E1066" s="113"/>
      <c r="F1066" s="266"/>
      <c r="G1066" s="113"/>
      <c r="K1066" s="36"/>
      <c r="L1066" s="117"/>
      <c r="N1066" s="117"/>
      <c r="R1066" s="117"/>
      <c r="T1066" s="117"/>
      <c r="V1066" s="117"/>
      <c r="X1066" s="117"/>
      <c r="Y1066" s="10"/>
      <c r="Z1066" s="11"/>
      <c r="AA1066" s="36"/>
      <c r="AB1066" s="36"/>
      <c r="AC1066" s="13"/>
      <c r="AD1066" s="13"/>
      <c r="AE1066" s="37"/>
      <c r="AF1066" s="37"/>
      <c r="AG1066" s="14"/>
      <c r="AH1066" s="14"/>
      <c r="AI1066" s="14"/>
      <c r="AZ1066" s="24"/>
    </row>
    <row r="1067">
      <c r="B1067" s="24"/>
      <c r="E1067" s="113"/>
      <c r="F1067" s="266"/>
      <c r="G1067" s="113"/>
      <c r="K1067" s="36"/>
      <c r="L1067" s="117"/>
      <c r="N1067" s="117"/>
      <c r="R1067" s="117"/>
      <c r="T1067" s="117"/>
      <c r="V1067" s="117"/>
      <c r="X1067" s="117"/>
      <c r="Y1067" s="10"/>
      <c r="Z1067" s="11"/>
      <c r="AA1067" s="36"/>
      <c r="AB1067" s="36"/>
      <c r="AC1067" s="13"/>
      <c r="AD1067" s="13"/>
      <c r="AE1067" s="37"/>
      <c r="AF1067" s="37"/>
      <c r="AG1067" s="14"/>
      <c r="AH1067" s="14"/>
      <c r="AI1067" s="14"/>
      <c r="AZ1067" s="24"/>
    </row>
    <row r="1068">
      <c r="B1068" s="24"/>
      <c r="E1068" s="113"/>
      <c r="F1068" s="266"/>
      <c r="G1068" s="113"/>
      <c r="K1068" s="36"/>
      <c r="L1068" s="117"/>
      <c r="N1068" s="117"/>
      <c r="R1068" s="117"/>
      <c r="T1068" s="117"/>
      <c r="V1068" s="117"/>
      <c r="X1068" s="117"/>
      <c r="Y1068" s="10"/>
      <c r="Z1068" s="11"/>
      <c r="AA1068" s="36"/>
      <c r="AB1068" s="36"/>
      <c r="AC1068" s="13"/>
      <c r="AD1068" s="13"/>
      <c r="AE1068" s="37"/>
      <c r="AF1068" s="37"/>
      <c r="AG1068" s="14"/>
      <c r="AH1068" s="14"/>
      <c r="AI1068" s="14"/>
      <c r="AZ1068" s="24"/>
    </row>
    <row r="1069">
      <c r="B1069" s="24"/>
      <c r="E1069" s="113"/>
      <c r="F1069" s="266"/>
      <c r="G1069" s="113"/>
      <c r="K1069" s="36"/>
      <c r="L1069" s="117"/>
      <c r="N1069" s="117"/>
      <c r="R1069" s="117"/>
      <c r="T1069" s="117"/>
      <c r="V1069" s="117"/>
      <c r="X1069" s="117"/>
      <c r="Y1069" s="10"/>
      <c r="Z1069" s="11"/>
      <c r="AA1069" s="36"/>
      <c r="AB1069" s="36"/>
      <c r="AC1069" s="13"/>
      <c r="AD1069" s="13"/>
      <c r="AE1069" s="37"/>
      <c r="AF1069" s="37"/>
      <c r="AG1069" s="14"/>
      <c r="AH1069" s="14"/>
      <c r="AI1069" s="14"/>
      <c r="AZ1069" s="24"/>
    </row>
    <row r="1070">
      <c r="B1070" s="24"/>
      <c r="E1070" s="113"/>
      <c r="F1070" s="266"/>
      <c r="G1070" s="113"/>
      <c r="K1070" s="36"/>
      <c r="L1070" s="117"/>
      <c r="N1070" s="117"/>
      <c r="R1070" s="117"/>
      <c r="T1070" s="117"/>
      <c r="V1070" s="117"/>
      <c r="X1070" s="117"/>
      <c r="Y1070" s="10"/>
      <c r="Z1070" s="11"/>
      <c r="AA1070" s="36"/>
      <c r="AB1070" s="36"/>
      <c r="AC1070" s="13"/>
      <c r="AD1070" s="13"/>
      <c r="AE1070" s="37"/>
      <c r="AF1070" s="37"/>
      <c r="AG1070" s="14"/>
      <c r="AH1070" s="14"/>
      <c r="AI1070" s="14"/>
      <c r="AZ1070" s="24"/>
    </row>
    <row r="1071">
      <c r="B1071" s="24"/>
      <c r="E1071" s="113"/>
      <c r="F1071" s="266"/>
      <c r="G1071" s="113"/>
      <c r="K1071" s="36"/>
      <c r="L1071" s="117"/>
      <c r="N1071" s="117"/>
      <c r="R1071" s="117"/>
      <c r="T1071" s="117"/>
      <c r="V1071" s="117"/>
      <c r="X1071" s="117"/>
      <c r="Y1071" s="10"/>
      <c r="Z1071" s="11"/>
      <c r="AA1071" s="36"/>
      <c r="AB1071" s="36"/>
      <c r="AC1071" s="13"/>
      <c r="AD1071" s="13"/>
      <c r="AE1071" s="37"/>
      <c r="AF1071" s="37"/>
      <c r="AG1071" s="14"/>
      <c r="AH1071" s="14"/>
      <c r="AI1071" s="14"/>
      <c r="AZ1071" s="24"/>
    </row>
    <row r="1072">
      <c r="B1072" s="24"/>
      <c r="E1072" s="113"/>
      <c r="F1072" s="266"/>
      <c r="G1072" s="113"/>
      <c r="K1072" s="36"/>
      <c r="L1072" s="117"/>
      <c r="N1072" s="117"/>
      <c r="R1072" s="117"/>
      <c r="T1072" s="117"/>
      <c r="V1072" s="117"/>
      <c r="X1072" s="117"/>
      <c r="Y1072" s="10"/>
      <c r="Z1072" s="11"/>
      <c r="AA1072" s="36"/>
      <c r="AB1072" s="36"/>
      <c r="AC1072" s="13"/>
      <c r="AD1072" s="13"/>
      <c r="AE1072" s="37"/>
      <c r="AF1072" s="37"/>
      <c r="AG1072" s="14"/>
      <c r="AH1072" s="14"/>
      <c r="AI1072" s="14"/>
      <c r="AZ1072" s="24"/>
    </row>
    <row r="1073">
      <c r="B1073" s="24"/>
      <c r="E1073" s="113"/>
      <c r="F1073" s="266"/>
      <c r="G1073" s="113"/>
      <c r="K1073" s="36"/>
      <c r="L1073" s="117"/>
      <c r="N1073" s="117"/>
      <c r="R1073" s="117"/>
      <c r="T1073" s="117"/>
      <c r="V1073" s="117"/>
      <c r="X1073" s="117"/>
      <c r="Y1073" s="10"/>
      <c r="Z1073" s="11"/>
      <c r="AA1073" s="36"/>
      <c r="AB1073" s="36"/>
      <c r="AC1073" s="13"/>
      <c r="AD1073" s="13"/>
      <c r="AE1073" s="37"/>
      <c r="AF1073" s="37"/>
      <c r="AG1073" s="14"/>
      <c r="AH1073" s="14"/>
      <c r="AI1073" s="14"/>
      <c r="AZ1073" s="24"/>
    </row>
    <row r="1074">
      <c r="B1074" s="24"/>
      <c r="E1074" s="113"/>
      <c r="F1074" s="266"/>
      <c r="G1074" s="113"/>
      <c r="K1074" s="36"/>
      <c r="L1074" s="117"/>
      <c r="N1074" s="117"/>
      <c r="R1074" s="117"/>
      <c r="T1074" s="117"/>
      <c r="V1074" s="117"/>
      <c r="X1074" s="117"/>
      <c r="Y1074" s="10"/>
      <c r="Z1074" s="11"/>
      <c r="AA1074" s="36"/>
      <c r="AB1074" s="36"/>
      <c r="AC1074" s="13"/>
      <c r="AD1074" s="13"/>
      <c r="AE1074" s="37"/>
      <c r="AF1074" s="37"/>
      <c r="AG1074" s="14"/>
      <c r="AH1074" s="14"/>
      <c r="AI1074" s="14"/>
      <c r="AZ1074" s="24"/>
    </row>
    <row r="1075">
      <c r="B1075" s="24"/>
      <c r="E1075" s="113"/>
      <c r="F1075" s="266"/>
      <c r="G1075" s="113"/>
      <c r="K1075" s="36"/>
      <c r="L1075" s="117"/>
      <c r="N1075" s="117"/>
      <c r="R1075" s="117"/>
      <c r="T1075" s="117"/>
      <c r="V1075" s="117"/>
      <c r="X1075" s="117"/>
      <c r="Y1075" s="10"/>
      <c r="Z1075" s="11"/>
      <c r="AA1075" s="36"/>
      <c r="AB1075" s="36"/>
      <c r="AC1075" s="13"/>
      <c r="AD1075" s="13"/>
      <c r="AE1075" s="37"/>
      <c r="AF1075" s="37"/>
      <c r="AG1075" s="14"/>
      <c r="AH1075" s="14"/>
      <c r="AI1075" s="14"/>
      <c r="AZ1075" s="24"/>
    </row>
    <row r="1076">
      <c r="B1076" s="24"/>
      <c r="E1076" s="113"/>
      <c r="F1076" s="266"/>
      <c r="G1076" s="113"/>
      <c r="K1076" s="36"/>
      <c r="L1076" s="117"/>
      <c r="N1076" s="117"/>
      <c r="R1076" s="117"/>
      <c r="T1076" s="117"/>
      <c r="V1076" s="117"/>
      <c r="X1076" s="117"/>
      <c r="Y1076" s="10"/>
      <c r="Z1076" s="11"/>
      <c r="AA1076" s="36"/>
      <c r="AB1076" s="36"/>
      <c r="AC1076" s="13"/>
      <c r="AD1076" s="13"/>
      <c r="AE1076" s="37"/>
      <c r="AF1076" s="37"/>
      <c r="AG1076" s="14"/>
      <c r="AH1076" s="14"/>
      <c r="AI1076" s="14"/>
      <c r="AZ1076" s="24"/>
    </row>
    <row r="1077">
      <c r="B1077" s="24"/>
      <c r="E1077" s="113"/>
      <c r="F1077" s="266"/>
      <c r="G1077" s="113"/>
      <c r="K1077" s="36"/>
      <c r="L1077" s="117"/>
      <c r="N1077" s="117"/>
      <c r="R1077" s="117"/>
      <c r="T1077" s="117"/>
      <c r="V1077" s="117"/>
      <c r="X1077" s="117"/>
      <c r="Y1077" s="10"/>
      <c r="Z1077" s="11"/>
      <c r="AA1077" s="36"/>
      <c r="AB1077" s="36"/>
      <c r="AC1077" s="13"/>
      <c r="AD1077" s="13"/>
      <c r="AE1077" s="37"/>
      <c r="AF1077" s="37"/>
      <c r="AG1077" s="14"/>
      <c r="AH1077" s="14"/>
      <c r="AI1077" s="14"/>
      <c r="AZ1077" s="24"/>
    </row>
    <row r="1078">
      <c r="B1078" s="24"/>
      <c r="E1078" s="113"/>
      <c r="F1078" s="266"/>
      <c r="G1078" s="113"/>
      <c r="K1078" s="36"/>
      <c r="L1078" s="117"/>
      <c r="N1078" s="117"/>
      <c r="R1078" s="117"/>
      <c r="T1078" s="117"/>
      <c r="V1078" s="117"/>
      <c r="X1078" s="117"/>
      <c r="Y1078" s="10"/>
      <c r="Z1078" s="11"/>
      <c r="AA1078" s="36"/>
      <c r="AB1078" s="36"/>
      <c r="AC1078" s="13"/>
      <c r="AD1078" s="13"/>
      <c r="AE1078" s="37"/>
      <c r="AF1078" s="37"/>
      <c r="AG1078" s="14"/>
      <c r="AH1078" s="14"/>
      <c r="AI1078" s="14"/>
      <c r="AZ1078" s="24"/>
    </row>
    <row r="1079">
      <c r="B1079" s="24"/>
      <c r="E1079" s="113"/>
      <c r="F1079" s="266"/>
      <c r="G1079" s="113"/>
      <c r="K1079" s="36"/>
      <c r="L1079" s="117"/>
      <c r="N1079" s="117"/>
      <c r="R1079" s="117"/>
      <c r="T1079" s="117"/>
      <c r="V1079" s="117"/>
      <c r="X1079" s="117"/>
      <c r="Y1079" s="10"/>
      <c r="Z1079" s="11"/>
      <c r="AA1079" s="36"/>
      <c r="AB1079" s="36"/>
      <c r="AC1079" s="13"/>
      <c r="AD1079" s="13"/>
      <c r="AE1079" s="37"/>
      <c r="AF1079" s="37"/>
      <c r="AG1079" s="14"/>
      <c r="AH1079" s="14"/>
      <c r="AI1079" s="14"/>
      <c r="AZ1079" s="24"/>
    </row>
    <row r="1080">
      <c r="B1080" s="24"/>
      <c r="E1080" s="113"/>
      <c r="F1080" s="266"/>
      <c r="G1080" s="113"/>
      <c r="K1080" s="36"/>
      <c r="L1080" s="117"/>
      <c r="N1080" s="117"/>
      <c r="R1080" s="117"/>
      <c r="T1080" s="117"/>
      <c r="V1080" s="117"/>
      <c r="X1080" s="117"/>
      <c r="Y1080" s="10"/>
      <c r="Z1080" s="11"/>
      <c r="AA1080" s="36"/>
      <c r="AB1080" s="36"/>
      <c r="AC1080" s="13"/>
      <c r="AD1080" s="13"/>
      <c r="AE1080" s="37"/>
      <c r="AF1080" s="37"/>
      <c r="AG1080" s="14"/>
      <c r="AH1080" s="14"/>
      <c r="AI1080" s="14"/>
      <c r="AZ1080" s="24"/>
    </row>
    <row r="1081">
      <c r="B1081" s="24"/>
      <c r="E1081" s="113"/>
      <c r="F1081" s="266"/>
      <c r="G1081" s="113"/>
      <c r="K1081" s="36"/>
      <c r="L1081" s="117"/>
      <c r="N1081" s="117"/>
      <c r="R1081" s="117"/>
      <c r="T1081" s="117"/>
      <c r="V1081" s="117"/>
      <c r="X1081" s="117"/>
      <c r="Y1081" s="10"/>
      <c r="Z1081" s="11"/>
      <c r="AA1081" s="36"/>
      <c r="AB1081" s="36"/>
      <c r="AC1081" s="13"/>
      <c r="AD1081" s="13"/>
      <c r="AE1081" s="37"/>
      <c r="AF1081" s="37"/>
      <c r="AG1081" s="14"/>
      <c r="AH1081" s="14"/>
      <c r="AI1081" s="14"/>
      <c r="AZ1081" s="24"/>
    </row>
    <row r="1082">
      <c r="B1082" s="24"/>
      <c r="E1082" s="113"/>
      <c r="F1082" s="266"/>
      <c r="G1082" s="113"/>
      <c r="K1082" s="36"/>
      <c r="L1082" s="117"/>
      <c r="N1082" s="117"/>
      <c r="R1082" s="117"/>
      <c r="T1082" s="117"/>
      <c r="V1082" s="117"/>
      <c r="X1082" s="117"/>
      <c r="Y1082" s="10"/>
      <c r="Z1082" s="11"/>
      <c r="AA1082" s="36"/>
      <c r="AB1082" s="36"/>
      <c r="AC1082" s="13"/>
      <c r="AD1082" s="13"/>
      <c r="AE1082" s="37"/>
      <c r="AF1082" s="37"/>
      <c r="AG1082" s="14"/>
      <c r="AH1082" s="14"/>
      <c r="AI1082" s="14"/>
      <c r="AZ1082" s="24"/>
    </row>
    <row r="1083">
      <c r="B1083" s="24"/>
      <c r="E1083" s="113"/>
      <c r="F1083" s="266"/>
      <c r="G1083" s="113"/>
      <c r="K1083" s="36"/>
      <c r="L1083" s="117"/>
      <c r="N1083" s="117"/>
      <c r="R1083" s="117"/>
      <c r="T1083" s="117"/>
      <c r="V1083" s="117"/>
      <c r="X1083" s="117"/>
      <c r="Y1083" s="10"/>
      <c r="Z1083" s="11"/>
      <c r="AA1083" s="36"/>
      <c r="AB1083" s="36"/>
      <c r="AC1083" s="13"/>
      <c r="AD1083" s="13"/>
      <c r="AE1083" s="37"/>
      <c r="AF1083" s="37"/>
      <c r="AG1083" s="14"/>
      <c r="AH1083" s="14"/>
      <c r="AI1083" s="14"/>
      <c r="AZ1083" s="24"/>
    </row>
    <row r="1084">
      <c r="B1084" s="24"/>
      <c r="E1084" s="113"/>
      <c r="F1084" s="266"/>
      <c r="G1084" s="113"/>
      <c r="K1084" s="36"/>
      <c r="L1084" s="117"/>
      <c r="N1084" s="117"/>
      <c r="R1084" s="117"/>
      <c r="T1084" s="117"/>
      <c r="V1084" s="117"/>
      <c r="X1084" s="117"/>
      <c r="Y1084" s="10"/>
      <c r="Z1084" s="11"/>
      <c r="AA1084" s="36"/>
      <c r="AB1084" s="36"/>
      <c r="AC1084" s="13"/>
      <c r="AD1084" s="13"/>
      <c r="AE1084" s="37"/>
      <c r="AF1084" s="37"/>
      <c r="AG1084" s="14"/>
      <c r="AH1084" s="14"/>
      <c r="AI1084" s="14"/>
      <c r="AZ1084" s="24"/>
    </row>
    <row r="1085">
      <c r="B1085" s="24"/>
      <c r="E1085" s="113"/>
      <c r="F1085" s="266"/>
      <c r="G1085" s="113"/>
      <c r="K1085" s="36"/>
      <c r="L1085" s="117"/>
      <c r="N1085" s="117"/>
      <c r="R1085" s="117"/>
      <c r="T1085" s="117"/>
      <c r="V1085" s="117"/>
      <c r="X1085" s="117"/>
      <c r="Y1085" s="10"/>
      <c r="Z1085" s="11"/>
      <c r="AA1085" s="36"/>
      <c r="AB1085" s="36"/>
      <c r="AC1085" s="13"/>
      <c r="AD1085" s="13"/>
      <c r="AE1085" s="37"/>
      <c r="AF1085" s="37"/>
      <c r="AG1085" s="14"/>
      <c r="AH1085" s="14"/>
      <c r="AI1085" s="14"/>
      <c r="AZ1085" s="24"/>
    </row>
    <row r="1086">
      <c r="B1086" s="24"/>
      <c r="E1086" s="113"/>
      <c r="F1086" s="266"/>
      <c r="G1086" s="113"/>
      <c r="K1086" s="36"/>
      <c r="L1086" s="117"/>
      <c r="N1086" s="117"/>
      <c r="R1086" s="117"/>
      <c r="T1086" s="117"/>
      <c r="V1086" s="117"/>
      <c r="X1086" s="117"/>
      <c r="Y1086" s="10"/>
      <c r="Z1086" s="11"/>
      <c r="AA1086" s="36"/>
      <c r="AB1086" s="36"/>
      <c r="AC1086" s="13"/>
      <c r="AD1086" s="13"/>
      <c r="AE1086" s="37"/>
      <c r="AF1086" s="37"/>
      <c r="AG1086" s="14"/>
      <c r="AH1086" s="14"/>
      <c r="AI1086" s="14"/>
      <c r="AZ1086" s="24"/>
    </row>
    <row r="1087">
      <c r="B1087" s="24"/>
      <c r="E1087" s="113"/>
      <c r="F1087" s="266"/>
      <c r="G1087" s="113"/>
      <c r="K1087" s="36"/>
      <c r="L1087" s="117"/>
      <c r="N1087" s="117"/>
      <c r="R1087" s="117"/>
      <c r="T1087" s="117"/>
      <c r="V1087" s="117"/>
      <c r="X1087" s="117"/>
      <c r="Y1087" s="10"/>
      <c r="Z1087" s="11"/>
      <c r="AA1087" s="36"/>
      <c r="AB1087" s="36"/>
      <c r="AC1087" s="13"/>
      <c r="AD1087" s="13"/>
      <c r="AE1087" s="37"/>
      <c r="AF1087" s="37"/>
      <c r="AG1087" s="14"/>
      <c r="AH1087" s="14"/>
      <c r="AI1087" s="14"/>
      <c r="AZ1087" s="24"/>
    </row>
    <row r="1088">
      <c r="B1088" s="24"/>
      <c r="E1088" s="113"/>
      <c r="F1088" s="266"/>
      <c r="G1088" s="113"/>
      <c r="K1088" s="36"/>
      <c r="L1088" s="117"/>
      <c r="N1088" s="117"/>
      <c r="R1088" s="117"/>
      <c r="T1088" s="117"/>
      <c r="V1088" s="117"/>
      <c r="X1088" s="117"/>
      <c r="Y1088" s="10"/>
      <c r="Z1088" s="11"/>
      <c r="AA1088" s="36"/>
      <c r="AB1088" s="36"/>
      <c r="AC1088" s="13"/>
      <c r="AD1088" s="13"/>
      <c r="AE1088" s="37"/>
      <c r="AF1088" s="37"/>
      <c r="AG1088" s="14"/>
      <c r="AH1088" s="14"/>
      <c r="AI1088" s="14"/>
      <c r="AZ1088" s="24"/>
    </row>
    <row r="1089">
      <c r="B1089" s="24"/>
      <c r="E1089" s="113"/>
      <c r="F1089" s="266"/>
      <c r="G1089" s="113"/>
      <c r="K1089" s="36"/>
      <c r="L1089" s="117"/>
      <c r="N1089" s="117"/>
      <c r="R1089" s="117"/>
      <c r="T1089" s="117"/>
      <c r="V1089" s="117"/>
      <c r="X1089" s="117"/>
      <c r="Y1089" s="10"/>
      <c r="Z1089" s="11"/>
      <c r="AA1089" s="36"/>
      <c r="AB1089" s="36"/>
      <c r="AC1089" s="13"/>
      <c r="AD1089" s="13"/>
      <c r="AE1089" s="37"/>
      <c r="AF1089" s="37"/>
      <c r="AG1089" s="14"/>
      <c r="AH1089" s="14"/>
      <c r="AI1089" s="14"/>
      <c r="AZ1089" s="24"/>
    </row>
    <row r="1090">
      <c r="B1090" s="24"/>
      <c r="E1090" s="113"/>
      <c r="F1090" s="266"/>
      <c r="G1090" s="113"/>
      <c r="K1090" s="36"/>
      <c r="L1090" s="117"/>
      <c r="N1090" s="117"/>
      <c r="R1090" s="117"/>
      <c r="T1090" s="117"/>
      <c r="V1090" s="117"/>
      <c r="X1090" s="117"/>
      <c r="Y1090" s="10"/>
      <c r="Z1090" s="11"/>
      <c r="AA1090" s="36"/>
      <c r="AB1090" s="36"/>
      <c r="AC1090" s="13"/>
      <c r="AD1090" s="13"/>
      <c r="AE1090" s="37"/>
      <c r="AF1090" s="37"/>
      <c r="AG1090" s="14"/>
      <c r="AH1090" s="14"/>
      <c r="AI1090" s="14"/>
      <c r="AZ1090" s="24"/>
    </row>
    <row r="1091">
      <c r="B1091" s="24"/>
      <c r="E1091" s="113"/>
      <c r="F1091" s="266"/>
      <c r="G1091" s="113"/>
      <c r="K1091" s="36"/>
      <c r="L1091" s="117"/>
      <c r="N1091" s="117"/>
      <c r="R1091" s="117"/>
      <c r="T1091" s="117"/>
      <c r="V1091" s="117"/>
      <c r="X1091" s="117"/>
      <c r="Y1091" s="10"/>
      <c r="Z1091" s="11"/>
      <c r="AA1091" s="36"/>
      <c r="AB1091" s="36"/>
      <c r="AC1091" s="13"/>
      <c r="AD1091" s="13"/>
      <c r="AE1091" s="37"/>
      <c r="AF1091" s="37"/>
      <c r="AG1091" s="14"/>
      <c r="AH1091" s="14"/>
      <c r="AI1091" s="14"/>
      <c r="AZ1091" s="24"/>
    </row>
    <row r="1092">
      <c r="B1092" s="24"/>
      <c r="E1092" s="113"/>
      <c r="F1092" s="266"/>
      <c r="G1092" s="113"/>
      <c r="K1092" s="36"/>
      <c r="L1092" s="117"/>
      <c r="N1092" s="117"/>
      <c r="R1092" s="117"/>
      <c r="T1092" s="117"/>
      <c r="V1092" s="117"/>
      <c r="X1092" s="117"/>
      <c r="Y1092" s="10"/>
      <c r="Z1092" s="11"/>
      <c r="AA1092" s="36"/>
      <c r="AB1092" s="36"/>
      <c r="AC1092" s="13"/>
      <c r="AD1092" s="13"/>
      <c r="AE1092" s="37"/>
      <c r="AF1092" s="37"/>
      <c r="AG1092" s="14"/>
      <c r="AH1092" s="14"/>
      <c r="AI1092" s="14"/>
      <c r="AZ1092" s="24"/>
    </row>
    <row r="1093">
      <c r="B1093" s="24"/>
      <c r="E1093" s="113"/>
      <c r="F1093" s="266"/>
      <c r="G1093" s="113"/>
      <c r="K1093" s="36"/>
      <c r="L1093" s="117"/>
      <c r="N1093" s="117"/>
      <c r="R1093" s="117"/>
      <c r="T1093" s="117"/>
      <c r="V1093" s="117"/>
      <c r="X1093" s="117"/>
      <c r="Y1093" s="10"/>
      <c r="Z1093" s="11"/>
      <c r="AA1093" s="36"/>
      <c r="AB1093" s="36"/>
      <c r="AC1093" s="13"/>
      <c r="AD1093" s="13"/>
      <c r="AE1093" s="37"/>
      <c r="AF1093" s="37"/>
      <c r="AG1093" s="14"/>
      <c r="AH1093" s="14"/>
      <c r="AI1093" s="14"/>
      <c r="AZ1093" s="24"/>
    </row>
    <row r="1094">
      <c r="B1094" s="24"/>
      <c r="E1094" s="113"/>
      <c r="F1094" s="266"/>
      <c r="G1094" s="113"/>
      <c r="K1094" s="36"/>
      <c r="L1094" s="117"/>
      <c r="N1094" s="117"/>
      <c r="R1094" s="117"/>
      <c r="T1094" s="117"/>
      <c r="V1094" s="117"/>
      <c r="X1094" s="117"/>
      <c r="Y1094" s="10"/>
      <c r="Z1094" s="11"/>
      <c r="AA1094" s="36"/>
      <c r="AB1094" s="36"/>
      <c r="AC1094" s="13"/>
      <c r="AD1094" s="13"/>
      <c r="AE1094" s="37"/>
      <c r="AF1094" s="37"/>
      <c r="AG1094" s="14"/>
      <c r="AH1094" s="14"/>
      <c r="AI1094" s="14"/>
      <c r="AZ1094" s="24"/>
    </row>
    <row r="1095">
      <c r="B1095" s="24"/>
      <c r="E1095" s="113"/>
      <c r="F1095" s="266"/>
      <c r="G1095" s="113"/>
      <c r="K1095" s="36"/>
      <c r="L1095" s="117"/>
      <c r="N1095" s="117"/>
      <c r="R1095" s="117"/>
      <c r="T1095" s="117"/>
      <c r="V1095" s="117"/>
      <c r="X1095" s="117"/>
      <c r="Y1095" s="10"/>
      <c r="Z1095" s="11"/>
      <c r="AA1095" s="36"/>
      <c r="AB1095" s="36"/>
      <c r="AC1095" s="13"/>
      <c r="AD1095" s="13"/>
      <c r="AE1095" s="37"/>
      <c r="AF1095" s="37"/>
      <c r="AG1095" s="14"/>
      <c r="AH1095" s="14"/>
      <c r="AI1095" s="14"/>
      <c r="AZ1095" s="24"/>
    </row>
    <row r="1096">
      <c r="B1096" s="24"/>
      <c r="E1096" s="113"/>
      <c r="F1096" s="266"/>
      <c r="G1096" s="113"/>
      <c r="K1096" s="36"/>
      <c r="L1096" s="117"/>
      <c r="N1096" s="117"/>
      <c r="R1096" s="117"/>
      <c r="T1096" s="117"/>
      <c r="V1096" s="117"/>
      <c r="X1096" s="117"/>
      <c r="Y1096" s="10"/>
      <c r="Z1096" s="11"/>
      <c r="AA1096" s="36"/>
      <c r="AB1096" s="36"/>
      <c r="AC1096" s="13"/>
      <c r="AD1096" s="13"/>
      <c r="AE1096" s="37"/>
      <c r="AF1096" s="37"/>
      <c r="AG1096" s="14"/>
      <c r="AH1096" s="14"/>
      <c r="AI1096" s="14"/>
      <c r="AZ1096" s="24"/>
    </row>
    <row r="1097">
      <c r="B1097" s="24"/>
      <c r="E1097" s="113"/>
      <c r="F1097" s="266"/>
      <c r="G1097" s="113"/>
      <c r="K1097" s="36"/>
      <c r="L1097" s="117"/>
      <c r="N1097" s="117"/>
      <c r="R1097" s="117"/>
      <c r="T1097" s="117"/>
      <c r="V1097" s="117"/>
      <c r="X1097" s="117"/>
      <c r="Y1097" s="10"/>
      <c r="Z1097" s="11"/>
      <c r="AA1097" s="36"/>
      <c r="AB1097" s="36"/>
      <c r="AC1097" s="13"/>
      <c r="AD1097" s="13"/>
      <c r="AE1097" s="37"/>
      <c r="AF1097" s="37"/>
      <c r="AG1097" s="14"/>
      <c r="AH1097" s="14"/>
      <c r="AI1097" s="14"/>
      <c r="AZ1097" s="24"/>
    </row>
    <row r="1098">
      <c r="B1098" s="24"/>
      <c r="E1098" s="113"/>
      <c r="F1098" s="266"/>
      <c r="G1098" s="113"/>
      <c r="K1098" s="36"/>
      <c r="L1098" s="117"/>
      <c r="N1098" s="117"/>
      <c r="R1098" s="117"/>
      <c r="T1098" s="117"/>
      <c r="V1098" s="117"/>
      <c r="X1098" s="117"/>
      <c r="Y1098" s="10"/>
      <c r="Z1098" s="11"/>
      <c r="AA1098" s="36"/>
      <c r="AB1098" s="36"/>
      <c r="AC1098" s="13"/>
      <c r="AD1098" s="13"/>
      <c r="AE1098" s="37"/>
      <c r="AF1098" s="37"/>
      <c r="AG1098" s="14"/>
      <c r="AH1098" s="14"/>
      <c r="AI1098" s="14"/>
      <c r="AZ1098" s="24"/>
    </row>
    <row r="1099">
      <c r="B1099" s="24"/>
      <c r="E1099" s="113"/>
      <c r="F1099" s="266"/>
      <c r="G1099" s="113"/>
      <c r="K1099" s="36"/>
      <c r="L1099" s="117"/>
      <c r="N1099" s="117"/>
      <c r="R1099" s="117"/>
      <c r="T1099" s="117"/>
      <c r="V1099" s="117"/>
      <c r="X1099" s="117"/>
      <c r="Y1099" s="10"/>
      <c r="Z1099" s="11"/>
      <c r="AA1099" s="36"/>
      <c r="AB1099" s="36"/>
      <c r="AC1099" s="13"/>
      <c r="AD1099" s="13"/>
      <c r="AE1099" s="37"/>
      <c r="AF1099" s="37"/>
      <c r="AG1099" s="14"/>
      <c r="AH1099" s="14"/>
      <c r="AI1099" s="14"/>
      <c r="AZ1099" s="24"/>
    </row>
    <row r="1100">
      <c r="B1100" s="24"/>
      <c r="E1100" s="113"/>
      <c r="F1100" s="266"/>
      <c r="G1100" s="113"/>
      <c r="K1100" s="36"/>
      <c r="L1100" s="117"/>
      <c r="N1100" s="117"/>
      <c r="R1100" s="117"/>
      <c r="T1100" s="117"/>
      <c r="V1100" s="117"/>
      <c r="X1100" s="117"/>
      <c r="Y1100" s="10"/>
      <c r="Z1100" s="11"/>
      <c r="AA1100" s="36"/>
      <c r="AB1100" s="36"/>
      <c r="AC1100" s="13"/>
      <c r="AD1100" s="13"/>
      <c r="AE1100" s="37"/>
      <c r="AF1100" s="37"/>
      <c r="AG1100" s="14"/>
      <c r="AH1100" s="14"/>
      <c r="AI1100" s="14"/>
      <c r="AZ1100" s="24"/>
    </row>
    <row r="1101">
      <c r="B1101" s="24"/>
      <c r="E1101" s="113"/>
      <c r="F1101" s="266"/>
      <c r="G1101" s="113"/>
      <c r="K1101" s="36"/>
      <c r="L1101" s="117"/>
      <c r="N1101" s="117"/>
      <c r="R1101" s="117"/>
      <c r="T1101" s="117"/>
      <c r="V1101" s="117"/>
      <c r="X1101" s="117"/>
      <c r="Y1101" s="10"/>
      <c r="Z1101" s="11"/>
      <c r="AA1101" s="36"/>
      <c r="AB1101" s="36"/>
      <c r="AC1101" s="13"/>
      <c r="AD1101" s="13"/>
      <c r="AE1101" s="37"/>
      <c r="AF1101" s="37"/>
      <c r="AG1101" s="14"/>
      <c r="AH1101" s="14"/>
      <c r="AI1101" s="14"/>
      <c r="AZ1101" s="24"/>
    </row>
    <row r="1102">
      <c r="B1102" s="24"/>
      <c r="E1102" s="113"/>
      <c r="F1102" s="266"/>
      <c r="G1102" s="113"/>
      <c r="K1102" s="36"/>
      <c r="L1102" s="117"/>
      <c r="N1102" s="117"/>
      <c r="R1102" s="117"/>
      <c r="T1102" s="117"/>
      <c r="V1102" s="117"/>
      <c r="X1102" s="117"/>
      <c r="Y1102" s="10"/>
      <c r="Z1102" s="11"/>
      <c r="AA1102" s="36"/>
      <c r="AB1102" s="36"/>
      <c r="AC1102" s="13"/>
      <c r="AD1102" s="13"/>
      <c r="AE1102" s="37"/>
      <c r="AF1102" s="37"/>
      <c r="AG1102" s="14"/>
      <c r="AH1102" s="14"/>
      <c r="AI1102" s="14"/>
      <c r="AZ1102" s="24"/>
    </row>
    <row r="1103">
      <c r="B1103" s="24"/>
      <c r="E1103" s="113"/>
      <c r="F1103" s="266"/>
      <c r="G1103" s="113"/>
      <c r="K1103" s="36"/>
      <c r="L1103" s="117"/>
      <c r="N1103" s="117"/>
      <c r="R1103" s="117"/>
      <c r="T1103" s="117"/>
      <c r="V1103" s="117"/>
      <c r="X1103" s="117"/>
      <c r="Y1103" s="10"/>
      <c r="Z1103" s="11"/>
      <c r="AA1103" s="36"/>
      <c r="AB1103" s="36"/>
      <c r="AC1103" s="13"/>
      <c r="AD1103" s="13"/>
      <c r="AE1103" s="37"/>
      <c r="AF1103" s="37"/>
      <c r="AG1103" s="14"/>
      <c r="AH1103" s="14"/>
      <c r="AI1103" s="14"/>
      <c r="AZ1103" s="24"/>
    </row>
    <row r="1104">
      <c r="B1104" s="24"/>
      <c r="E1104" s="113"/>
      <c r="F1104" s="266"/>
      <c r="G1104" s="113"/>
      <c r="K1104" s="36"/>
      <c r="L1104" s="117"/>
      <c r="N1104" s="117"/>
      <c r="R1104" s="117"/>
      <c r="T1104" s="117"/>
      <c r="V1104" s="117"/>
      <c r="X1104" s="117"/>
      <c r="Y1104" s="10"/>
      <c r="Z1104" s="11"/>
      <c r="AA1104" s="36"/>
      <c r="AB1104" s="36"/>
      <c r="AC1104" s="13"/>
      <c r="AD1104" s="13"/>
      <c r="AE1104" s="37"/>
      <c r="AF1104" s="37"/>
      <c r="AG1104" s="14"/>
      <c r="AH1104" s="14"/>
      <c r="AI1104" s="14"/>
      <c r="AZ1104" s="24"/>
    </row>
    <row r="1105">
      <c r="B1105" s="24"/>
      <c r="E1105" s="113"/>
      <c r="F1105" s="266"/>
      <c r="G1105" s="113"/>
      <c r="K1105" s="36"/>
      <c r="L1105" s="117"/>
      <c r="N1105" s="117"/>
      <c r="R1105" s="117"/>
      <c r="T1105" s="117"/>
      <c r="V1105" s="117"/>
      <c r="X1105" s="117"/>
      <c r="Y1105" s="10"/>
      <c r="Z1105" s="11"/>
      <c r="AA1105" s="36"/>
      <c r="AB1105" s="36"/>
      <c r="AC1105" s="13"/>
      <c r="AD1105" s="13"/>
      <c r="AE1105" s="37"/>
      <c r="AF1105" s="37"/>
      <c r="AG1105" s="14"/>
      <c r="AH1105" s="14"/>
      <c r="AI1105" s="14"/>
      <c r="AZ1105" s="24"/>
    </row>
    <row r="1106">
      <c r="B1106" s="24"/>
      <c r="E1106" s="113"/>
      <c r="F1106" s="266"/>
      <c r="G1106" s="113"/>
      <c r="K1106" s="36"/>
      <c r="L1106" s="117"/>
      <c r="N1106" s="117"/>
      <c r="R1106" s="117"/>
      <c r="T1106" s="117"/>
      <c r="V1106" s="117"/>
      <c r="X1106" s="117"/>
      <c r="Y1106" s="10"/>
      <c r="Z1106" s="11"/>
      <c r="AA1106" s="36"/>
      <c r="AB1106" s="36"/>
      <c r="AC1106" s="13"/>
      <c r="AD1106" s="13"/>
      <c r="AE1106" s="37"/>
      <c r="AF1106" s="37"/>
      <c r="AG1106" s="14"/>
      <c r="AH1106" s="14"/>
      <c r="AI1106" s="14"/>
      <c r="AZ1106" s="24"/>
    </row>
    <row r="1107">
      <c r="B1107" s="24"/>
      <c r="E1107" s="113"/>
      <c r="F1107" s="266"/>
      <c r="G1107" s="113"/>
      <c r="K1107" s="36"/>
      <c r="L1107" s="117"/>
      <c r="N1107" s="117"/>
      <c r="R1107" s="117"/>
      <c r="T1107" s="117"/>
      <c r="V1107" s="117"/>
      <c r="X1107" s="117"/>
      <c r="Y1107" s="10"/>
      <c r="Z1107" s="11"/>
      <c r="AA1107" s="36"/>
      <c r="AB1107" s="36"/>
      <c r="AC1107" s="13"/>
      <c r="AD1107" s="13"/>
      <c r="AE1107" s="37"/>
      <c r="AF1107" s="37"/>
      <c r="AG1107" s="14"/>
      <c r="AH1107" s="14"/>
      <c r="AI1107" s="14"/>
      <c r="AZ1107" s="24"/>
    </row>
    <row r="1108">
      <c r="B1108" s="24"/>
      <c r="E1108" s="113"/>
      <c r="F1108" s="266"/>
      <c r="G1108" s="113"/>
      <c r="K1108" s="36"/>
      <c r="L1108" s="117"/>
      <c r="N1108" s="117"/>
      <c r="R1108" s="117"/>
      <c r="T1108" s="117"/>
      <c r="V1108" s="117"/>
      <c r="X1108" s="117"/>
      <c r="Y1108" s="10"/>
      <c r="Z1108" s="11"/>
      <c r="AA1108" s="36"/>
      <c r="AB1108" s="36"/>
      <c r="AC1108" s="13"/>
      <c r="AD1108" s="13"/>
      <c r="AE1108" s="37"/>
      <c r="AF1108" s="37"/>
      <c r="AG1108" s="14"/>
      <c r="AH1108" s="14"/>
      <c r="AI1108" s="14"/>
      <c r="AZ1108" s="24"/>
    </row>
    <row r="1109">
      <c r="B1109" s="24"/>
      <c r="E1109" s="113"/>
      <c r="F1109" s="266"/>
      <c r="G1109" s="113"/>
      <c r="K1109" s="36"/>
      <c r="L1109" s="117"/>
      <c r="N1109" s="117"/>
      <c r="R1109" s="117"/>
      <c r="T1109" s="117"/>
      <c r="V1109" s="117"/>
      <c r="X1109" s="117"/>
      <c r="Y1109" s="10"/>
      <c r="Z1109" s="11"/>
      <c r="AA1109" s="36"/>
      <c r="AB1109" s="36"/>
      <c r="AC1109" s="13"/>
      <c r="AD1109" s="13"/>
      <c r="AE1109" s="37"/>
      <c r="AF1109" s="37"/>
      <c r="AG1109" s="14"/>
      <c r="AH1109" s="14"/>
      <c r="AI1109" s="14"/>
      <c r="AZ1109" s="24"/>
    </row>
    <row r="1110">
      <c r="B1110" s="24"/>
      <c r="E1110" s="113"/>
      <c r="F1110" s="266"/>
      <c r="G1110" s="113"/>
      <c r="K1110" s="36"/>
      <c r="L1110" s="117"/>
      <c r="N1110" s="117"/>
      <c r="R1110" s="117"/>
      <c r="T1110" s="117"/>
      <c r="V1110" s="117"/>
      <c r="X1110" s="117"/>
      <c r="Y1110" s="10"/>
      <c r="Z1110" s="11"/>
      <c r="AA1110" s="36"/>
      <c r="AB1110" s="36"/>
      <c r="AC1110" s="13"/>
      <c r="AD1110" s="13"/>
      <c r="AE1110" s="37"/>
      <c r="AF1110" s="37"/>
      <c r="AG1110" s="14"/>
      <c r="AH1110" s="14"/>
      <c r="AI1110" s="14"/>
      <c r="AZ1110" s="24"/>
    </row>
    <row r="1111">
      <c r="B1111" s="24"/>
      <c r="E1111" s="113"/>
      <c r="F1111" s="266"/>
      <c r="G1111" s="113"/>
      <c r="K1111" s="36"/>
      <c r="L1111" s="117"/>
      <c r="N1111" s="117"/>
      <c r="R1111" s="117"/>
      <c r="T1111" s="117"/>
      <c r="V1111" s="117"/>
      <c r="X1111" s="117"/>
      <c r="Y1111" s="10"/>
      <c r="Z1111" s="11"/>
      <c r="AA1111" s="36"/>
      <c r="AB1111" s="36"/>
      <c r="AC1111" s="13"/>
      <c r="AD1111" s="13"/>
      <c r="AE1111" s="37"/>
      <c r="AF1111" s="37"/>
      <c r="AG1111" s="14"/>
      <c r="AH1111" s="14"/>
      <c r="AI1111" s="14"/>
      <c r="AZ1111" s="24"/>
    </row>
    <row r="1112">
      <c r="B1112" s="24"/>
      <c r="E1112" s="113"/>
      <c r="F1112" s="266"/>
      <c r="G1112" s="113"/>
      <c r="K1112" s="36"/>
      <c r="L1112" s="117"/>
      <c r="N1112" s="117"/>
      <c r="R1112" s="117"/>
      <c r="T1112" s="117"/>
      <c r="V1112" s="117"/>
      <c r="X1112" s="117"/>
      <c r="Y1112" s="10"/>
      <c r="Z1112" s="11"/>
      <c r="AA1112" s="36"/>
      <c r="AB1112" s="36"/>
      <c r="AC1112" s="13"/>
      <c r="AD1112" s="13"/>
      <c r="AE1112" s="37"/>
      <c r="AF1112" s="37"/>
      <c r="AG1112" s="14"/>
      <c r="AH1112" s="14"/>
      <c r="AI1112" s="14"/>
      <c r="AZ1112" s="24"/>
    </row>
    <row r="1113">
      <c r="B1113" s="24"/>
      <c r="E1113" s="113"/>
      <c r="F1113" s="266"/>
      <c r="G1113" s="113"/>
      <c r="K1113" s="36"/>
      <c r="L1113" s="117"/>
      <c r="N1113" s="117"/>
      <c r="R1113" s="117"/>
      <c r="T1113" s="117"/>
      <c r="V1113" s="117"/>
      <c r="X1113" s="117"/>
      <c r="Y1113" s="10"/>
      <c r="Z1113" s="11"/>
      <c r="AA1113" s="36"/>
      <c r="AB1113" s="36"/>
      <c r="AC1113" s="13"/>
      <c r="AD1113" s="13"/>
      <c r="AE1113" s="37"/>
      <c r="AF1113" s="37"/>
      <c r="AG1113" s="14"/>
      <c r="AH1113" s="14"/>
      <c r="AI1113" s="14"/>
      <c r="AZ1113" s="24"/>
    </row>
  </sheetData>
  <mergeCells count="585">
    <mergeCell ref="AL1:AL2"/>
    <mergeCell ref="AN1:AN2"/>
    <mergeCell ref="AP1:AP2"/>
    <mergeCell ref="AR1:AR2"/>
    <mergeCell ref="AT1:AT2"/>
    <mergeCell ref="AV1:AV2"/>
    <mergeCell ref="AX1:AX2"/>
    <mergeCell ref="Y5:Z5"/>
    <mergeCell ref="AA5:AB5"/>
    <mergeCell ref="AC5:AD5"/>
    <mergeCell ref="AG5:AI5"/>
    <mergeCell ref="AJ1:AJ2"/>
    <mergeCell ref="E2:F2"/>
    <mergeCell ref="I2:J2"/>
    <mergeCell ref="AA2:AB2"/>
    <mergeCell ref="G3:H3"/>
    <mergeCell ref="I3:J3"/>
    <mergeCell ref="I4:J4"/>
    <mergeCell ref="U7:V7"/>
    <mergeCell ref="W7:X7"/>
    <mergeCell ref="G4:H4"/>
    <mergeCell ref="G5:H5"/>
    <mergeCell ref="I5:J5"/>
    <mergeCell ref="E7:F7"/>
    <mergeCell ref="M7:N7"/>
    <mergeCell ref="O7:R7"/>
    <mergeCell ref="S7:T7"/>
    <mergeCell ref="O13:R13"/>
    <mergeCell ref="S13:T13"/>
    <mergeCell ref="U13:V13"/>
    <mergeCell ref="W13:X13"/>
    <mergeCell ref="C14:D14"/>
    <mergeCell ref="E14:F14"/>
    <mergeCell ref="G14:H14"/>
    <mergeCell ref="I14:J14"/>
    <mergeCell ref="C21:D22"/>
    <mergeCell ref="C23:D23"/>
    <mergeCell ref="E24:F24"/>
    <mergeCell ref="G24:H24"/>
    <mergeCell ref="I24:J24"/>
    <mergeCell ref="E25:F25"/>
    <mergeCell ref="M25:N25"/>
    <mergeCell ref="C26:D26"/>
    <mergeCell ref="E26:F26"/>
    <mergeCell ref="G26:H26"/>
    <mergeCell ref="I26:J26"/>
    <mergeCell ref="E27:F27"/>
    <mergeCell ref="G27:H27"/>
    <mergeCell ref="I27:J27"/>
    <mergeCell ref="C8:D8"/>
    <mergeCell ref="E8:F8"/>
    <mergeCell ref="G8:H8"/>
    <mergeCell ref="I8:J8"/>
    <mergeCell ref="E9:F9"/>
    <mergeCell ref="G9:H9"/>
    <mergeCell ref="I9:J9"/>
    <mergeCell ref="C9:D10"/>
    <mergeCell ref="C11:D11"/>
    <mergeCell ref="E12:F12"/>
    <mergeCell ref="G12:H12"/>
    <mergeCell ref="I12:J12"/>
    <mergeCell ref="E13:F13"/>
    <mergeCell ref="M13:N13"/>
    <mergeCell ref="E18:F18"/>
    <mergeCell ref="E19:F19"/>
    <mergeCell ref="M19:N19"/>
    <mergeCell ref="O19:R19"/>
    <mergeCell ref="S19:T19"/>
    <mergeCell ref="U19:V19"/>
    <mergeCell ref="W19:X19"/>
    <mergeCell ref="C15:D16"/>
    <mergeCell ref="E15:F15"/>
    <mergeCell ref="G15:H15"/>
    <mergeCell ref="I15:J15"/>
    <mergeCell ref="C17:D17"/>
    <mergeCell ref="G18:H18"/>
    <mergeCell ref="I18:J18"/>
    <mergeCell ref="C20:D20"/>
    <mergeCell ref="E20:F20"/>
    <mergeCell ref="G20:H20"/>
    <mergeCell ref="I20:J20"/>
    <mergeCell ref="E21:F21"/>
    <mergeCell ref="G21:H21"/>
    <mergeCell ref="I21:J21"/>
    <mergeCell ref="O25:R25"/>
    <mergeCell ref="S25:T25"/>
    <mergeCell ref="U25:V25"/>
    <mergeCell ref="W25:X25"/>
    <mergeCell ref="O31:R31"/>
    <mergeCell ref="S31:T31"/>
    <mergeCell ref="U31:V31"/>
    <mergeCell ref="W31:X31"/>
    <mergeCell ref="C39:D40"/>
    <mergeCell ref="C41:D41"/>
    <mergeCell ref="E42:F42"/>
    <mergeCell ref="G42:H42"/>
    <mergeCell ref="I42:J42"/>
    <mergeCell ref="E43:F43"/>
    <mergeCell ref="M43:N43"/>
    <mergeCell ref="C44:D44"/>
    <mergeCell ref="E44:F44"/>
    <mergeCell ref="G44:H44"/>
    <mergeCell ref="I44:J44"/>
    <mergeCell ref="E45:F45"/>
    <mergeCell ref="G45:H45"/>
    <mergeCell ref="I45:J45"/>
    <mergeCell ref="C27:D28"/>
    <mergeCell ref="C29:D29"/>
    <mergeCell ref="E30:F30"/>
    <mergeCell ref="G30:H30"/>
    <mergeCell ref="I30:J30"/>
    <mergeCell ref="E31:F31"/>
    <mergeCell ref="M31:N31"/>
    <mergeCell ref="C32:D32"/>
    <mergeCell ref="E32:F32"/>
    <mergeCell ref="G32:H32"/>
    <mergeCell ref="I32:J32"/>
    <mergeCell ref="E33:F33"/>
    <mergeCell ref="G33:H33"/>
    <mergeCell ref="I33:J33"/>
    <mergeCell ref="M37:N37"/>
    <mergeCell ref="O37:R37"/>
    <mergeCell ref="S37:T37"/>
    <mergeCell ref="U37:V37"/>
    <mergeCell ref="W37:X37"/>
    <mergeCell ref="C33:D34"/>
    <mergeCell ref="C35:D35"/>
    <mergeCell ref="E36:F36"/>
    <mergeCell ref="G36:H36"/>
    <mergeCell ref="I36:J36"/>
    <mergeCell ref="C37:D37"/>
    <mergeCell ref="E37:F37"/>
    <mergeCell ref="C38:D38"/>
    <mergeCell ref="E38:F38"/>
    <mergeCell ref="G38:H38"/>
    <mergeCell ref="I38:J38"/>
    <mergeCell ref="E39:F39"/>
    <mergeCell ref="G39:H39"/>
    <mergeCell ref="I39:J39"/>
    <mergeCell ref="O43:R43"/>
    <mergeCell ref="S43:T43"/>
    <mergeCell ref="U43:V43"/>
    <mergeCell ref="W43:X43"/>
    <mergeCell ref="I49:J49"/>
    <mergeCell ref="M49:N49"/>
    <mergeCell ref="O49:R49"/>
    <mergeCell ref="S49:T49"/>
    <mergeCell ref="U49:V49"/>
    <mergeCell ref="W49:X49"/>
    <mergeCell ref="C57:D58"/>
    <mergeCell ref="C59:D59"/>
    <mergeCell ref="E60:F60"/>
    <mergeCell ref="G60:H60"/>
    <mergeCell ref="I60:J60"/>
    <mergeCell ref="E61:F61"/>
    <mergeCell ref="G61:H61"/>
    <mergeCell ref="C62:D62"/>
    <mergeCell ref="E62:F62"/>
    <mergeCell ref="G62:H62"/>
    <mergeCell ref="I62:J62"/>
    <mergeCell ref="E63:F63"/>
    <mergeCell ref="G63:H63"/>
    <mergeCell ref="I63:J63"/>
    <mergeCell ref="C75:D76"/>
    <mergeCell ref="C77:D77"/>
    <mergeCell ref="E79:F79"/>
    <mergeCell ref="G79:H79"/>
    <mergeCell ref="I79:J79"/>
    <mergeCell ref="E80:F80"/>
    <mergeCell ref="G80:H80"/>
    <mergeCell ref="C81:D81"/>
    <mergeCell ref="E81:F81"/>
    <mergeCell ref="G81:H81"/>
    <mergeCell ref="I81:J81"/>
    <mergeCell ref="E82:F82"/>
    <mergeCell ref="G82:H82"/>
    <mergeCell ref="I82:J82"/>
    <mergeCell ref="C135:D135"/>
    <mergeCell ref="E135:F135"/>
    <mergeCell ref="G135:H135"/>
    <mergeCell ref="I135:J135"/>
    <mergeCell ref="E136:F136"/>
    <mergeCell ref="G136:H136"/>
    <mergeCell ref="I136:J136"/>
    <mergeCell ref="C136:D137"/>
    <mergeCell ref="C138:D138"/>
    <mergeCell ref="E139:F139"/>
    <mergeCell ref="G139:H139"/>
    <mergeCell ref="I139:J139"/>
    <mergeCell ref="E140:F140"/>
    <mergeCell ref="G140:H140"/>
    <mergeCell ref="U146:V146"/>
    <mergeCell ref="W146:X146"/>
    <mergeCell ref="E145:F145"/>
    <mergeCell ref="E146:F146"/>
    <mergeCell ref="G146:H146"/>
    <mergeCell ref="I146:J146"/>
    <mergeCell ref="M146:N146"/>
    <mergeCell ref="O146:R146"/>
    <mergeCell ref="S146:T146"/>
    <mergeCell ref="C142:D143"/>
    <mergeCell ref="E142:F142"/>
    <mergeCell ref="G142:H142"/>
    <mergeCell ref="I142:J142"/>
    <mergeCell ref="C144:D144"/>
    <mergeCell ref="G145:H145"/>
    <mergeCell ref="I145:J145"/>
    <mergeCell ref="I153:J153"/>
    <mergeCell ref="M153:N153"/>
    <mergeCell ref="O153:R153"/>
    <mergeCell ref="S153:T153"/>
    <mergeCell ref="U153:V153"/>
    <mergeCell ref="W153:X153"/>
    <mergeCell ref="C154:D154"/>
    <mergeCell ref="E154:F154"/>
    <mergeCell ref="G154:H154"/>
    <mergeCell ref="I154:J154"/>
    <mergeCell ref="C166:D166"/>
    <mergeCell ref="E166:F166"/>
    <mergeCell ref="G166:H166"/>
    <mergeCell ref="I166:J166"/>
    <mergeCell ref="E167:F167"/>
    <mergeCell ref="G167:H167"/>
    <mergeCell ref="I167:J167"/>
    <mergeCell ref="C167:D168"/>
    <mergeCell ref="C169:D169"/>
    <mergeCell ref="E170:F170"/>
    <mergeCell ref="G170:H170"/>
    <mergeCell ref="I170:J170"/>
    <mergeCell ref="E171:F171"/>
    <mergeCell ref="G171:H171"/>
    <mergeCell ref="C172:D172"/>
    <mergeCell ref="E172:F172"/>
    <mergeCell ref="G172:H172"/>
    <mergeCell ref="I172:J172"/>
    <mergeCell ref="E173:F173"/>
    <mergeCell ref="G173:H173"/>
    <mergeCell ref="I173:J173"/>
    <mergeCell ref="O177:R177"/>
    <mergeCell ref="S177:T177"/>
    <mergeCell ref="U177:V177"/>
    <mergeCell ref="W177:X177"/>
    <mergeCell ref="C173:D174"/>
    <mergeCell ref="C175:D175"/>
    <mergeCell ref="E176:F176"/>
    <mergeCell ref="G176:H176"/>
    <mergeCell ref="I176:J176"/>
    <mergeCell ref="E177:F177"/>
    <mergeCell ref="M177:N177"/>
    <mergeCell ref="C179:D180"/>
    <mergeCell ref="C181:D181"/>
    <mergeCell ref="E182:F182"/>
    <mergeCell ref="G182:H182"/>
    <mergeCell ref="I182:J182"/>
    <mergeCell ref="C178:D178"/>
    <mergeCell ref="E178:F178"/>
    <mergeCell ref="G178:H178"/>
    <mergeCell ref="I178:J178"/>
    <mergeCell ref="E179:F179"/>
    <mergeCell ref="G179:H179"/>
    <mergeCell ref="I179:J179"/>
    <mergeCell ref="C147:D147"/>
    <mergeCell ref="E147:F147"/>
    <mergeCell ref="G147:H147"/>
    <mergeCell ref="I147:J147"/>
    <mergeCell ref="E148:F148"/>
    <mergeCell ref="G148:H148"/>
    <mergeCell ref="I148:J148"/>
    <mergeCell ref="C148:D149"/>
    <mergeCell ref="C150:D150"/>
    <mergeCell ref="E152:F152"/>
    <mergeCell ref="G152:H152"/>
    <mergeCell ref="I152:J152"/>
    <mergeCell ref="E153:F153"/>
    <mergeCell ref="G153:H153"/>
    <mergeCell ref="U159:V159"/>
    <mergeCell ref="W159:X159"/>
    <mergeCell ref="E158:F158"/>
    <mergeCell ref="E159:F159"/>
    <mergeCell ref="G159:H159"/>
    <mergeCell ref="I159:J159"/>
    <mergeCell ref="M159:N159"/>
    <mergeCell ref="O159:R159"/>
    <mergeCell ref="S159:T159"/>
    <mergeCell ref="C155:D156"/>
    <mergeCell ref="E155:F155"/>
    <mergeCell ref="G155:H155"/>
    <mergeCell ref="I155:J155"/>
    <mergeCell ref="C157:D157"/>
    <mergeCell ref="G158:H158"/>
    <mergeCell ref="I158:J158"/>
    <mergeCell ref="I165:J165"/>
    <mergeCell ref="M165:N165"/>
    <mergeCell ref="O165:R165"/>
    <mergeCell ref="S165:T165"/>
    <mergeCell ref="U165:V165"/>
    <mergeCell ref="W165:X165"/>
    <mergeCell ref="I171:J171"/>
    <mergeCell ref="M171:N171"/>
    <mergeCell ref="O171:R171"/>
    <mergeCell ref="S171:T171"/>
    <mergeCell ref="U171:V171"/>
    <mergeCell ref="W171:X171"/>
    <mergeCell ref="C45:D46"/>
    <mergeCell ref="C47:D47"/>
    <mergeCell ref="E48:F48"/>
    <mergeCell ref="G48:H48"/>
    <mergeCell ref="I48:J48"/>
    <mergeCell ref="E49:F49"/>
    <mergeCell ref="G49:H49"/>
    <mergeCell ref="C50:D50"/>
    <mergeCell ref="E50:F50"/>
    <mergeCell ref="G50:H50"/>
    <mergeCell ref="I50:J50"/>
    <mergeCell ref="E51:F51"/>
    <mergeCell ref="G51:H51"/>
    <mergeCell ref="I51:J51"/>
    <mergeCell ref="I55:J55"/>
    <mergeCell ref="M55:N55"/>
    <mergeCell ref="O55:R55"/>
    <mergeCell ref="S55:T55"/>
    <mergeCell ref="U55:V55"/>
    <mergeCell ref="W55:X55"/>
    <mergeCell ref="C51:D52"/>
    <mergeCell ref="C53:D53"/>
    <mergeCell ref="E54:F54"/>
    <mergeCell ref="G54:H54"/>
    <mergeCell ref="I54:J54"/>
    <mergeCell ref="E55:F55"/>
    <mergeCell ref="G55:H55"/>
    <mergeCell ref="C56:D56"/>
    <mergeCell ref="E56:F56"/>
    <mergeCell ref="G56:H56"/>
    <mergeCell ref="I56:J56"/>
    <mergeCell ref="E57:F57"/>
    <mergeCell ref="G57:H57"/>
    <mergeCell ref="I57:J57"/>
    <mergeCell ref="I61:J61"/>
    <mergeCell ref="M61:N61"/>
    <mergeCell ref="O61:R61"/>
    <mergeCell ref="S61:T61"/>
    <mergeCell ref="U61:V61"/>
    <mergeCell ref="W61:X61"/>
    <mergeCell ref="I67:J67"/>
    <mergeCell ref="M67:N67"/>
    <mergeCell ref="O67:R67"/>
    <mergeCell ref="S67:T67"/>
    <mergeCell ref="U67:V67"/>
    <mergeCell ref="W67:X67"/>
    <mergeCell ref="C63:D64"/>
    <mergeCell ref="C65:D65"/>
    <mergeCell ref="E66:F66"/>
    <mergeCell ref="G66:H66"/>
    <mergeCell ref="I66:J66"/>
    <mergeCell ref="E67:F67"/>
    <mergeCell ref="G67:H67"/>
    <mergeCell ref="C68:D68"/>
    <mergeCell ref="E68:F68"/>
    <mergeCell ref="G68:H68"/>
    <mergeCell ref="I68:J68"/>
    <mergeCell ref="E69:F69"/>
    <mergeCell ref="G69:H69"/>
    <mergeCell ref="I69:J69"/>
    <mergeCell ref="I73:J73"/>
    <mergeCell ref="M73:N73"/>
    <mergeCell ref="O73:R73"/>
    <mergeCell ref="S73:T73"/>
    <mergeCell ref="U73:V73"/>
    <mergeCell ref="W73:X73"/>
    <mergeCell ref="C69:D70"/>
    <mergeCell ref="C71:D71"/>
    <mergeCell ref="E72:F72"/>
    <mergeCell ref="G72:H72"/>
    <mergeCell ref="I72:J72"/>
    <mergeCell ref="E73:F73"/>
    <mergeCell ref="G73:H73"/>
    <mergeCell ref="C74:D74"/>
    <mergeCell ref="E74:F74"/>
    <mergeCell ref="G74:H74"/>
    <mergeCell ref="I74:J74"/>
    <mergeCell ref="E75:F75"/>
    <mergeCell ref="G75:H75"/>
    <mergeCell ref="I75:J75"/>
    <mergeCell ref="I80:J80"/>
    <mergeCell ref="M80:N80"/>
    <mergeCell ref="O80:R80"/>
    <mergeCell ref="S80:T80"/>
    <mergeCell ref="U80:V80"/>
    <mergeCell ref="W80:X80"/>
    <mergeCell ref="I86:J86"/>
    <mergeCell ref="M86:N86"/>
    <mergeCell ref="O86:R86"/>
    <mergeCell ref="S86:T86"/>
    <mergeCell ref="U86:V86"/>
    <mergeCell ref="W86:X86"/>
    <mergeCell ref="C82:D83"/>
    <mergeCell ref="C84:D84"/>
    <mergeCell ref="E85:F85"/>
    <mergeCell ref="G85:H85"/>
    <mergeCell ref="I85:J85"/>
    <mergeCell ref="E86:F86"/>
    <mergeCell ref="G86:H86"/>
    <mergeCell ref="C87:D87"/>
    <mergeCell ref="E87:F87"/>
    <mergeCell ref="G87:H87"/>
    <mergeCell ref="I87:J87"/>
    <mergeCell ref="E88:F88"/>
    <mergeCell ref="G88:H88"/>
    <mergeCell ref="I88:J88"/>
    <mergeCell ref="I92:J92"/>
    <mergeCell ref="M92:N92"/>
    <mergeCell ref="O92:R92"/>
    <mergeCell ref="S92:T92"/>
    <mergeCell ref="U92:V92"/>
    <mergeCell ref="W92:X92"/>
    <mergeCell ref="C88:D89"/>
    <mergeCell ref="C90:D90"/>
    <mergeCell ref="E91:F91"/>
    <mergeCell ref="G91:H91"/>
    <mergeCell ref="I91:J91"/>
    <mergeCell ref="E92:F92"/>
    <mergeCell ref="G92:H92"/>
    <mergeCell ref="C93:D93"/>
    <mergeCell ref="E93:F93"/>
    <mergeCell ref="G93:H93"/>
    <mergeCell ref="I93:J93"/>
    <mergeCell ref="C94:D95"/>
    <mergeCell ref="G94:H94"/>
    <mergeCell ref="I94:J94"/>
    <mergeCell ref="M98:N98"/>
    <mergeCell ref="O98:R98"/>
    <mergeCell ref="S98:T98"/>
    <mergeCell ref="U98:V98"/>
    <mergeCell ref="W98:X98"/>
    <mergeCell ref="E94:F94"/>
    <mergeCell ref="E97:F97"/>
    <mergeCell ref="G97:H97"/>
    <mergeCell ref="I97:J97"/>
    <mergeCell ref="E98:F98"/>
    <mergeCell ref="G98:H98"/>
    <mergeCell ref="I98:J98"/>
    <mergeCell ref="C99:D99"/>
    <mergeCell ref="E99:F99"/>
    <mergeCell ref="G99:H99"/>
    <mergeCell ref="I99:J99"/>
    <mergeCell ref="E100:F100"/>
    <mergeCell ref="G100:H100"/>
    <mergeCell ref="I100:J100"/>
    <mergeCell ref="I104:J104"/>
    <mergeCell ref="M104:N104"/>
    <mergeCell ref="O104:R104"/>
    <mergeCell ref="S104:T104"/>
    <mergeCell ref="U104:V104"/>
    <mergeCell ref="W104:X104"/>
    <mergeCell ref="C100:D101"/>
    <mergeCell ref="C102:D102"/>
    <mergeCell ref="E103:F103"/>
    <mergeCell ref="G103:H103"/>
    <mergeCell ref="I103:J103"/>
    <mergeCell ref="E104:F104"/>
    <mergeCell ref="G104:H104"/>
    <mergeCell ref="C105:D105"/>
    <mergeCell ref="E105:F105"/>
    <mergeCell ref="G105:H105"/>
    <mergeCell ref="I105:J105"/>
    <mergeCell ref="E106:F106"/>
    <mergeCell ref="G106:H106"/>
    <mergeCell ref="I106:J106"/>
    <mergeCell ref="I110:J110"/>
    <mergeCell ref="M110:N110"/>
    <mergeCell ref="O110:R110"/>
    <mergeCell ref="S110:T110"/>
    <mergeCell ref="U110:V110"/>
    <mergeCell ref="W110:X110"/>
    <mergeCell ref="C106:D107"/>
    <mergeCell ref="C108:D108"/>
    <mergeCell ref="E109:F109"/>
    <mergeCell ref="G109:H109"/>
    <mergeCell ref="I109:J109"/>
    <mergeCell ref="E110:F110"/>
    <mergeCell ref="G110:H110"/>
    <mergeCell ref="I116:J116"/>
    <mergeCell ref="M116:N116"/>
    <mergeCell ref="O116:R116"/>
    <mergeCell ref="S116:T116"/>
    <mergeCell ref="U116:V116"/>
    <mergeCell ref="W116:X116"/>
    <mergeCell ref="C111:D111"/>
    <mergeCell ref="E111:F111"/>
    <mergeCell ref="G111:H111"/>
    <mergeCell ref="I111:J111"/>
    <mergeCell ref="E112:F112"/>
    <mergeCell ref="G112:H112"/>
    <mergeCell ref="I112:J112"/>
    <mergeCell ref="C112:D113"/>
    <mergeCell ref="C114:D114"/>
    <mergeCell ref="E115:F115"/>
    <mergeCell ref="G115:H115"/>
    <mergeCell ref="I115:J115"/>
    <mergeCell ref="E116:F116"/>
    <mergeCell ref="G116:H116"/>
    <mergeCell ref="C117:D117"/>
    <mergeCell ref="E117:F117"/>
    <mergeCell ref="G117:H117"/>
    <mergeCell ref="I117:J117"/>
    <mergeCell ref="E118:F118"/>
    <mergeCell ref="G118:H118"/>
    <mergeCell ref="I118:J118"/>
    <mergeCell ref="I122:J122"/>
    <mergeCell ref="M122:N122"/>
    <mergeCell ref="O122:R122"/>
    <mergeCell ref="S122:T122"/>
    <mergeCell ref="U122:V122"/>
    <mergeCell ref="W122:X122"/>
    <mergeCell ref="C118:D119"/>
    <mergeCell ref="C120:D120"/>
    <mergeCell ref="E121:F121"/>
    <mergeCell ref="G121:H121"/>
    <mergeCell ref="I121:J121"/>
    <mergeCell ref="E122:F122"/>
    <mergeCell ref="G122:H122"/>
    <mergeCell ref="I128:J128"/>
    <mergeCell ref="M128:N128"/>
    <mergeCell ref="O128:R128"/>
    <mergeCell ref="S128:T128"/>
    <mergeCell ref="U128:V128"/>
    <mergeCell ref="W128:X128"/>
    <mergeCell ref="C129:D129"/>
    <mergeCell ref="E129:F129"/>
    <mergeCell ref="G129:H129"/>
    <mergeCell ref="I129:J129"/>
    <mergeCell ref="C123:D123"/>
    <mergeCell ref="E123:F123"/>
    <mergeCell ref="G123:H123"/>
    <mergeCell ref="I123:J123"/>
    <mergeCell ref="E124:F124"/>
    <mergeCell ref="G124:H124"/>
    <mergeCell ref="I124:J124"/>
    <mergeCell ref="C124:D125"/>
    <mergeCell ref="C126:D126"/>
    <mergeCell ref="E127:F127"/>
    <mergeCell ref="G127:H127"/>
    <mergeCell ref="I127:J127"/>
    <mergeCell ref="E128:F128"/>
    <mergeCell ref="G128:H128"/>
    <mergeCell ref="U134:V134"/>
    <mergeCell ref="W134:X134"/>
    <mergeCell ref="E133:F133"/>
    <mergeCell ref="E134:F134"/>
    <mergeCell ref="G134:H134"/>
    <mergeCell ref="I134:J134"/>
    <mergeCell ref="M134:N134"/>
    <mergeCell ref="O134:R134"/>
    <mergeCell ref="S134:T134"/>
    <mergeCell ref="C130:D131"/>
    <mergeCell ref="E130:F130"/>
    <mergeCell ref="G130:H130"/>
    <mergeCell ref="I130:J130"/>
    <mergeCell ref="C132:D132"/>
    <mergeCell ref="G133:H133"/>
    <mergeCell ref="I133:J133"/>
    <mergeCell ref="I140:J140"/>
    <mergeCell ref="M140:N140"/>
    <mergeCell ref="O140:R140"/>
    <mergeCell ref="S140:T140"/>
    <mergeCell ref="U140:V140"/>
    <mergeCell ref="W140:X140"/>
    <mergeCell ref="C141:D141"/>
    <mergeCell ref="E141:F141"/>
    <mergeCell ref="G141:H141"/>
    <mergeCell ref="I141:J141"/>
    <mergeCell ref="C160:D160"/>
    <mergeCell ref="E160:F160"/>
    <mergeCell ref="G160:H160"/>
    <mergeCell ref="I160:J160"/>
    <mergeCell ref="E161:F161"/>
    <mergeCell ref="G161:H161"/>
    <mergeCell ref="I161:J161"/>
    <mergeCell ref="C161:D162"/>
    <mergeCell ref="C163:D163"/>
    <mergeCell ref="E164:F164"/>
    <mergeCell ref="G164:H164"/>
    <mergeCell ref="I164:J164"/>
    <mergeCell ref="E165:F165"/>
    <mergeCell ref="G165:H16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topLeftCell="G1" activePane="topRight" state="frozen"/>
      <selection activeCell="H2" sqref="H2" pane="topRight"/>
    </sheetView>
  </sheetViews>
  <sheetFormatPr customHeight="1" defaultColWidth="12.63" defaultRowHeight="15.75"/>
  <cols>
    <col customWidth="1" min="1" max="1" width="18.88"/>
    <col customWidth="1" min="2" max="2" width="0.88"/>
    <col customWidth="1" min="3" max="3" width="6.25"/>
    <col customWidth="1" min="4" max="4" width="5.5"/>
    <col customWidth="1" min="5" max="5" width="5.0"/>
    <col customWidth="1" min="6" max="6" width="4.88"/>
    <col customWidth="1" min="7" max="7" width="5.38"/>
    <col customWidth="1" min="8" max="8" width="5.13"/>
    <col customWidth="1" min="9" max="9" width="4.13"/>
    <col customWidth="1" min="10" max="10" width="3.75"/>
    <col customWidth="1" min="11" max="11" width="9.38"/>
    <col customWidth="1" min="12" max="12" width="6.75"/>
    <col customWidth="1" min="13" max="15" width="3.63"/>
    <col customWidth="1" min="16" max="16" width="3.75"/>
    <col customWidth="1" min="17" max="17" width="3.63"/>
    <col customWidth="1" min="18" max="20" width="4.5"/>
    <col customWidth="1" min="21" max="21" width="3.25"/>
    <col customWidth="1" min="22" max="22" width="4.25"/>
    <col customWidth="1" min="23" max="23" width="3.88"/>
    <col customWidth="1" min="24" max="24" width="3.75"/>
    <col customWidth="1" min="25" max="25" width="5.13"/>
    <col customWidth="1" min="26" max="26" width="16.38"/>
    <col customWidth="1" min="27" max="27" width="4.38"/>
    <col customWidth="1" min="28" max="28" width="23.0"/>
    <col customWidth="1" min="29" max="29" width="5.63"/>
    <col customWidth="1" min="30" max="30" width="20.38"/>
    <col customWidth="1" min="33" max="33" width="6.38"/>
    <col customWidth="1" min="34" max="34" width="5.13"/>
    <col customWidth="1" min="35" max="35" width="16.13"/>
    <col customWidth="1" min="36" max="36" width="6.88"/>
    <col customWidth="1" min="38" max="38" width="5.88"/>
    <col customWidth="1" min="40" max="40" width="5.38"/>
    <col customWidth="1" min="42" max="42" width="5.63"/>
    <col customWidth="1" min="44" max="44" width="6.63"/>
    <col customWidth="1" min="46" max="46" width="5.13"/>
    <col customWidth="1" min="48" max="48" width="4.63"/>
    <col customWidth="1" min="50" max="50" width="4.75"/>
    <col customWidth="1" min="52" max="52" width="1.25"/>
  </cols>
  <sheetData>
    <row r="1">
      <c r="A1" s="1"/>
      <c r="B1" s="2"/>
      <c r="C1" s="1"/>
      <c r="D1" s="1"/>
      <c r="E1" s="3"/>
      <c r="F1" s="3"/>
      <c r="G1" s="4"/>
      <c r="H1" s="4"/>
      <c r="I1" s="5"/>
      <c r="J1" s="5"/>
      <c r="K1" s="6"/>
      <c r="L1" s="7"/>
      <c r="M1" s="114"/>
      <c r="N1" s="8"/>
      <c r="O1" s="8"/>
      <c r="P1" s="8"/>
      <c r="Q1" s="8"/>
      <c r="R1" s="8"/>
      <c r="S1" s="8"/>
      <c r="T1" s="8"/>
      <c r="U1" s="9"/>
      <c r="V1" s="9"/>
      <c r="W1" s="9"/>
      <c r="X1" s="9"/>
      <c r="Y1" s="10"/>
      <c r="Z1" s="11"/>
      <c r="AA1" s="12"/>
      <c r="AB1" s="12"/>
      <c r="AC1" s="13"/>
      <c r="AD1" s="13"/>
      <c r="AE1" s="1"/>
      <c r="AF1" s="1"/>
      <c r="AG1" s="14"/>
      <c r="AH1" s="14"/>
      <c r="AI1" s="14"/>
      <c r="AJ1" s="15" t="s">
        <v>0</v>
      </c>
      <c r="AK1" s="16" t="s">
        <v>1</v>
      </c>
      <c r="AL1" s="17" t="s">
        <v>2</v>
      </c>
      <c r="AM1" s="16" t="s">
        <v>3</v>
      </c>
      <c r="AN1" s="18" t="s">
        <v>4</v>
      </c>
      <c r="AO1" s="16" t="s">
        <v>5</v>
      </c>
      <c r="AP1" s="19" t="s">
        <v>6</v>
      </c>
      <c r="AQ1" s="16" t="s">
        <v>7</v>
      </c>
      <c r="AR1" s="20" t="s">
        <v>8</v>
      </c>
      <c r="AS1" s="16" t="s">
        <v>9</v>
      </c>
      <c r="AT1" s="21" t="s">
        <v>10</v>
      </c>
      <c r="AU1" s="16" t="s">
        <v>11</v>
      </c>
      <c r="AV1" s="22" t="s">
        <v>12</v>
      </c>
      <c r="AW1" s="16" t="s">
        <v>13</v>
      </c>
      <c r="AX1" s="23" t="s">
        <v>14</v>
      </c>
      <c r="AY1" s="16" t="s">
        <v>15</v>
      </c>
      <c r="AZ1" s="24"/>
    </row>
    <row r="2">
      <c r="A2" s="1"/>
      <c r="B2" s="2"/>
      <c r="C2" s="1"/>
      <c r="D2" s="1"/>
      <c r="E2" s="3"/>
      <c r="G2" s="4" t="s">
        <v>307</v>
      </c>
      <c r="H2" s="4"/>
      <c r="I2" s="5" t="s">
        <v>17</v>
      </c>
      <c r="K2" s="6"/>
      <c r="L2" s="7"/>
      <c r="M2" s="114"/>
      <c r="N2" s="8"/>
      <c r="O2" s="8"/>
      <c r="P2" s="8"/>
      <c r="Q2" s="8"/>
      <c r="R2" s="8"/>
      <c r="S2" s="8"/>
      <c r="T2" s="8"/>
      <c r="U2" s="9"/>
      <c r="V2" s="9"/>
      <c r="W2" s="9"/>
      <c r="X2" s="9"/>
      <c r="Y2" s="10"/>
      <c r="Z2" s="11"/>
      <c r="AA2" s="12" t="s">
        <v>18</v>
      </c>
      <c r="AC2" s="13"/>
      <c r="AD2" s="25" t="s">
        <v>19</v>
      </c>
      <c r="AE2" s="1" t="s">
        <v>20</v>
      </c>
      <c r="AF2" s="1" t="s">
        <v>21</v>
      </c>
      <c r="AG2" s="14"/>
      <c r="AH2" s="14"/>
      <c r="AI2" s="14"/>
      <c r="AK2" s="16" t="s">
        <v>22</v>
      </c>
      <c r="AM2" s="16" t="s">
        <v>23</v>
      </c>
      <c r="AO2" s="16" t="s">
        <v>24</v>
      </c>
      <c r="AQ2" s="16" t="s">
        <v>25</v>
      </c>
      <c r="AS2" s="16" t="s">
        <v>26</v>
      </c>
      <c r="AU2" s="16" t="s">
        <v>27</v>
      </c>
      <c r="AW2" s="16" t="s">
        <v>28</v>
      </c>
      <c r="AY2" s="16" t="s">
        <v>29</v>
      </c>
      <c r="AZ2" s="24"/>
    </row>
    <row r="3">
      <c r="A3" s="1"/>
      <c r="B3" s="2"/>
      <c r="C3" s="1"/>
      <c r="D3" s="1"/>
      <c r="E3" s="26"/>
      <c r="F3" s="26"/>
      <c r="G3" s="290" t="s">
        <v>201</v>
      </c>
      <c r="I3" s="291" t="s">
        <v>147</v>
      </c>
      <c r="K3" s="6"/>
      <c r="L3" s="7"/>
      <c r="M3" s="114"/>
      <c r="N3" s="8"/>
      <c r="O3" s="8"/>
      <c r="P3" s="8"/>
      <c r="Q3" s="8"/>
      <c r="R3" s="8"/>
      <c r="S3" s="8"/>
      <c r="T3" s="8"/>
      <c r="U3" s="9"/>
      <c r="V3" s="9"/>
      <c r="W3" s="9"/>
      <c r="X3" s="9"/>
      <c r="Y3" s="10"/>
      <c r="Z3" s="11"/>
      <c r="AA3" s="29" t="s">
        <v>171</v>
      </c>
      <c r="AB3" s="29" t="s">
        <v>172</v>
      </c>
      <c r="AC3" s="13"/>
      <c r="AD3" s="1" t="s">
        <v>36</v>
      </c>
      <c r="AE3" s="1" t="s">
        <v>303</v>
      </c>
      <c r="AF3" s="1" t="s">
        <v>34</v>
      </c>
      <c r="AG3" s="14"/>
      <c r="AH3" s="14"/>
      <c r="AI3" s="14"/>
      <c r="AJ3" s="30" t="s">
        <v>43</v>
      </c>
      <c r="AK3" s="16" t="s">
        <v>46</v>
      </c>
      <c r="AL3" s="22" t="s">
        <v>45</v>
      </c>
      <c r="AM3" s="16" t="s">
        <v>48</v>
      </c>
      <c r="AN3" s="32" t="s">
        <v>47</v>
      </c>
      <c r="AO3" s="16" t="s">
        <v>50</v>
      </c>
      <c r="AP3" s="30" t="s">
        <v>49</v>
      </c>
      <c r="AQ3" s="16" t="s">
        <v>52</v>
      </c>
      <c r="AR3" s="33" t="s">
        <v>51</v>
      </c>
      <c r="AS3" s="16" t="s">
        <v>38</v>
      </c>
      <c r="AT3" s="30" t="s">
        <v>37</v>
      </c>
      <c r="AU3" s="16" t="s">
        <v>40</v>
      </c>
      <c r="AV3" s="31" t="s">
        <v>39</v>
      </c>
      <c r="AW3" s="16" t="s">
        <v>42</v>
      </c>
      <c r="AX3" s="22" t="s">
        <v>41</v>
      </c>
      <c r="AY3" s="16" t="s">
        <v>44</v>
      </c>
      <c r="AZ3" s="24"/>
    </row>
    <row r="4">
      <c r="A4" s="1"/>
      <c r="B4" s="2"/>
      <c r="C4" s="1"/>
      <c r="D4" s="1"/>
      <c r="E4" s="26"/>
      <c r="F4" s="26"/>
      <c r="G4" s="292" t="s">
        <v>189</v>
      </c>
      <c r="I4" s="293" t="s">
        <v>202</v>
      </c>
      <c r="K4" s="6"/>
      <c r="L4" s="7"/>
      <c r="M4" s="114"/>
      <c r="N4" s="8"/>
      <c r="O4" s="8"/>
      <c r="P4" s="8"/>
      <c r="Q4" s="8"/>
      <c r="R4" s="8"/>
      <c r="S4" s="8"/>
      <c r="T4" s="8"/>
      <c r="U4" s="9"/>
      <c r="V4" s="9"/>
      <c r="W4" s="9"/>
      <c r="X4" s="9"/>
      <c r="Y4" s="10"/>
      <c r="Z4" s="11"/>
      <c r="AA4" s="36"/>
      <c r="AB4" s="36"/>
      <c r="AC4" s="13"/>
      <c r="AD4" s="13"/>
      <c r="AE4" s="37"/>
      <c r="AF4" s="37"/>
      <c r="AG4" s="14"/>
      <c r="AH4" s="14"/>
      <c r="AI4" s="14"/>
      <c r="AJ4" s="33" t="s">
        <v>51</v>
      </c>
      <c r="AK4" s="16" t="s">
        <v>40</v>
      </c>
      <c r="AL4" s="30" t="s">
        <v>37</v>
      </c>
      <c r="AM4" s="16" t="s">
        <v>42</v>
      </c>
      <c r="AN4" s="31" t="s">
        <v>39</v>
      </c>
      <c r="AO4" s="16" t="s">
        <v>44</v>
      </c>
      <c r="AP4" s="22" t="s">
        <v>41</v>
      </c>
      <c r="AQ4" s="16" t="s">
        <v>46</v>
      </c>
      <c r="AR4" s="30" t="s">
        <v>43</v>
      </c>
      <c r="AS4" s="16" t="s">
        <v>48</v>
      </c>
      <c r="AT4" s="22" t="s">
        <v>45</v>
      </c>
      <c r="AU4" s="16" t="s">
        <v>50</v>
      </c>
      <c r="AV4" s="32" t="s">
        <v>47</v>
      </c>
      <c r="AW4" s="16" t="s">
        <v>52</v>
      </c>
      <c r="AX4" s="30" t="s">
        <v>49</v>
      </c>
      <c r="AY4" s="16" t="s">
        <v>38</v>
      </c>
      <c r="AZ4" s="24"/>
    </row>
    <row r="5">
      <c r="A5" s="1"/>
      <c r="B5" s="2"/>
      <c r="C5" s="1"/>
      <c r="D5" s="1"/>
      <c r="E5" s="26"/>
      <c r="F5" s="26"/>
      <c r="G5" s="38" t="s">
        <v>321</v>
      </c>
      <c r="I5" s="39" t="s">
        <v>305</v>
      </c>
      <c r="K5" s="6"/>
      <c r="L5" s="7"/>
      <c r="M5" s="114"/>
      <c r="N5" s="8"/>
      <c r="O5" s="8"/>
      <c r="P5" s="8"/>
      <c r="Q5" s="8"/>
      <c r="R5" s="8"/>
      <c r="S5" s="8"/>
      <c r="T5" s="8"/>
      <c r="U5" s="9"/>
      <c r="V5" s="9"/>
      <c r="W5" s="9"/>
      <c r="X5" s="9"/>
      <c r="Y5" s="40" t="s">
        <v>57</v>
      </c>
      <c r="Z5" s="41"/>
      <c r="AA5" s="42" t="s">
        <v>58</v>
      </c>
      <c r="AB5" s="41"/>
      <c r="AC5" s="40" t="s">
        <v>59</v>
      </c>
      <c r="AD5" s="41"/>
      <c r="AE5" s="43" t="s">
        <v>60</v>
      </c>
      <c r="AF5" s="43" t="s">
        <v>61</v>
      </c>
      <c r="AG5" s="42" t="s">
        <v>306</v>
      </c>
      <c r="AH5" s="44"/>
      <c r="AI5" s="41"/>
      <c r="AJ5" s="45"/>
      <c r="AK5" s="16"/>
      <c r="AL5" s="45"/>
      <c r="AM5" s="16"/>
      <c r="AN5" s="45"/>
      <c r="AO5" s="16"/>
      <c r="AP5" s="45"/>
      <c r="AQ5" s="16"/>
      <c r="AR5" s="46"/>
      <c r="AS5" s="16"/>
      <c r="AT5" s="46"/>
      <c r="AU5" s="16"/>
      <c r="AV5" s="47"/>
      <c r="AW5" s="16"/>
      <c r="AX5" s="47"/>
      <c r="AY5" s="16"/>
      <c r="AZ5" s="48"/>
      <c r="BA5" s="16"/>
      <c r="BB5" s="16"/>
    </row>
    <row r="6" ht="3.75" customHeight="1">
      <c r="A6" s="2"/>
      <c r="B6" s="2"/>
      <c r="C6" s="2"/>
      <c r="D6" s="2"/>
      <c r="E6" s="49"/>
      <c r="F6" s="49"/>
      <c r="G6" s="49"/>
      <c r="H6" s="49"/>
      <c r="I6" s="49"/>
      <c r="J6" s="49"/>
      <c r="K6" s="50"/>
      <c r="L6" s="51"/>
      <c r="M6" s="294"/>
      <c r="N6" s="52"/>
      <c r="O6" s="52"/>
      <c r="P6" s="52"/>
      <c r="Q6" s="52"/>
      <c r="R6" s="52"/>
      <c r="S6" s="52"/>
      <c r="T6" s="52"/>
      <c r="U6" s="53"/>
      <c r="V6" s="53"/>
      <c r="W6" s="53"/>
      <c r="X6" s="53"/>
      <c r="Y6" s="54"/>
      <c r="Z6" s="55"/>
      <c r="AA6" s="56"/>
      <c r="AB6" s="56"/>
      <c r="AC6" s="57"/>
      <c r="AD6" s="57"/>
      <c r="AE6" s="58"/>
      <c r="AF6" s="58"/>
      <c r="AG6" s="59"/>
      <c r="AH6" s="59"/>
      <c r="AI6" s="59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60"/>
      <c r="AY6" s="24"/>
      <c r="AZ6" s="24"/>
      <c r="BA6" s="24"/>
      <c r="BB6" s="24"/>
      <c r="BC6" s="24"/>
      <c r="BD6" s="24"/>
      <c r="BE6" s="24"/>
    </row>
    <row r="7">
      <c r="A7" s="61" t="s">
        <v>169</v>
      </c>
      <c r="B7" s="62"/>
      <c r="C7" s="63"/>
      <c r="D7" s="63"/>
      <c r="E7" s="64">
        <f>(O8+P8+Q8+R8)/(O9+P9+Q9+R9)</f>
        <v>0.5875</v>
      </c>
      <c r="F7" s="65"/>
      <c r="G7" s="66"/>
      <c r="H7" s="66"/>
      <c r="I7" s="67"/>
      <c r="J7" s="67"/>
      <c r="K7" s="68"/>
      <c r="L7" s="69"/>
      <c r="M7" s="295" t="s">
        <v>64</v>
      </c>
      <c r="N7" s="70"/>
      <c r="O7" s="71" t="s">
        <v>65</v>
      </c>
      <c r="P7" s="72"/>
      <c r="Q7" s="72"/>
      <c r="R7" s="70"/>
      <c r="S7" s="71" t="s">
        <v>66</v>
      </c>
      <c r="T7" s="70"/>
      <c r="U7" s="71" t="s">
        <v>67</v>
      </c>
      <c r="V7" s="70"/>
      <c r="W7" s="71" t="s">
        <v>68</v>
      </c>
      <c r="X7" s="70"/>
      <c r="Y7" s="134" t="s">
        <v>80</v>
      </c>
      <c r="Z7" s="74" t="s">
        <v>181</v>
      </c>
      <c r="AA7" s="75" t="s">
        <v>97</v>
      </c>
      <c r="AB7" s="75" t="s">
        <v>317</v>
      </c>
      <c r="AC7" s="95" t="s">
        <v>73</v>
      </c>
      <c r="AD7" s="94" t="s">
        <v>74</v>
      </c>
      <c r="AE7" s="63" t="s">
        <v>35</v>
      </c>
      <c r="AF7" s="78" t="s">
        <v>34</v>
      </c>
      <c r="AG7" s="79" t="s">
        <v>71</v>
      </c>
      <c r="AH7" s="79">
        <v>210.0</v>
      </c>
      <c r="AI7" s="79" t="s">
        <v>175</v>
      </c>
      <c r="AJ7" s="80" t="str">
        <f>AJ1</f>
        <v>開</v>
      </c>
      <c r="AK7" s="81" t="s">
        <v>38</v>
      </c>
      <c r="AL7" s="82" t="str">
        <f>AL1</f>
        <v>休</v>
      </c>
      <c r="AM7" s="81" t="s">
        <v>40</v>
      </c>
      <c r="AN7" s="82" t="s">
        <v>4</v>
      </c>
      <c r="AO7" s="81" t="s">
        <v>42</v>
      </c>
      <c r="AP7" s="82" t="str">
        <f>AP1</f>
        <v>傷</v>
      </c>
      <c r="AQ7" s="81" t="s">
        <v>44</v>
      </c>
      <c r="AR7" s="82" t="s">
        <v>8</v>
      </c>
      <c r="AS7" s="81" t="s">
        <v>46</v>
      </c>
      <c r="AT7" s="82" t="str">
        <f>AT1</f>
        <v>景</v>
      </c>
      <c r="AU7" s="81" t="s">
        <v>48</v>
      </c>
      <c r="AV7" s="82" t="str">
        <f>AV1</f>
        <v>死</v>
      </c>
      <c r="AW7" s="81" t="s">
        <v>50</v>
      </c>
      <c r="AX7" s="82" t="str">
        <f>AX1</f>
        <v>驚</v>
      </c>
      <c r="AY7" s="81" t="s">
        <v>52</v>
      </c>
      <c r="AZ7" s="83"/>
      <c r="BA7" s="84"/>
      <c r="BB7" s="84"/>
      <c r="BC7" s="84"/>
    </row>
    <row r="8">
      <c r="A8" s="85">
        <v>1.0</v>
      </c>
      <c r="B8" s="86"/>
      <c r="C8" s="12" t="s">
        <v>194</v>
      </c>
      <c r="E8" s="87" t="s">
        <v>222</v>
      </c>
      <c r="F8" s="88"/>
      <c r="G8" s="267" t="s">
        <v>195</v>
      </c>
      <c r="I8" s="268" t="str">
        <f t="shared" ref="I8:I9" si="1">I3:J3</f>
        <v>丙</v>
      </c>
      <c r="K8" s="90">
        <f>L8/L9</f>
        <v>0.535</v>
      </c>
      <c r="L8" s="91">
        <f t="shared" ref="L8:L9" si="2">O8+P8+Q8+U8+V8+W8+X8+R8+M8+N8+S8+T8</f>
        <v>535</v>
      </c>
      <c r="M8" s="101">
        <v>0.0</v>
      </c>
      <c r="N8" s="93">
        <v>0.0</v>
      </c>
      <c r="O8" s="92">
        <v>75.0</v>
      </c>
      <c r="P8" s="92">
        <v>60.0</v>
      </c>
      <c r="Q8" s="92">
        <v>0.0</v>
      </c>
      <c r="R8" s="93">
        <v>100.0</v>
      </c>
      <c r="S8" s="92">
        <v>30.0</v>
      </c>
      <c r="T8" s="93">
        <v>100.0</v>
      </c>
      <c r="U8" s="92">
        <v>0.0</v>
      </c>
      <c r="V8" s="93">
        <v>0.0</v>
      </c>
      <c r="W8" s="92">
        <v>110.0</v>
      </c>
      <c r="X8" s="93">
        <v>60.0</v>
      </c>
      <c r="Y8" s="73" t="s">
        <v>98</v>
      </c>
      <c r="Z8" s="94" t="s">
        <v>163</v>
      </c>
      <c r="AA8" s="29"/>
      <c r="AB8" s="29"/>
      <c r="AC8" s="95" t="s">
        <v>82</v>
      </c>
      <c r="AD8" s="96" t="s">
        <v>83</v>
      </c>
      <c r="AE8" s="37"/>
      <c r="AF8" s="97"/>
      <c r="AG8" s="12" t="s">
        <v>53</v>
      </c>
      <c r="AH8" s="12">
        <v>30.0</v>
      </c>
      <c r="AI8" s="12" t="s">
        <v>178</v>
      </c>
      <c r="AJ8" s="98" t="s">
        <v>51</v>
      </c>
      <c r="AK8" s="101" t="s">
        <v>95</v>
      </c>
      <c r="AL8" s="100" t="s">
        <v>86</v>
      </c>
      <c r="AM8" s="99" t="s">
        <v>87</v>
      </c>
      <c r="AN8" s="100" t="s">
        <v>88</v>
      </c>
      <c r="AO8" s="101" t="s">
        <v>89</v>
      </c>
      <c r="AP8" s="100" t="s">
        <v>45</v>
      </c>
      <c r="AQ8" s="102" t="s">
        <v>90</v>
      </c>
      <c r="AR8" s="100" t="s">
        <v>43</v>
      </c>
      <c r="AS8" s="101" t="s">
        <v>91</v>
      </c>
      <c r="AT8" s="100" t="s">
        <v>41</v>
      </c>
      <c r="AU8" s="103" t="s">
        <v>92</v>
      </c>
      <c r="AV8" s="100" t="s">
        <v>39</v>
      </c>
      <c r="AW8" s="99" t="s">
        <v>93</v>
      </c>
      <c r="AX8" s="100" t="s">
        <v>37</v>
      </c>
      <c r="AY8" s="99" t="s">
        <v>94</v>
      </c>
      <c r="AZ8" s="24"/>
      <c r="BA8" s="47" t="s">
        <v>86</v>
      </c>
      <c r="BB8" s="104" t="s">
        <v>87</v>
      </c>
      <c r="BC8" s="47" t="s">
        <v>88</v>
      </c>
      <c r="BD8" s="105" t="s">
        <v>89</v>
      </c>
      <c r="BE8" s="47"/>
    </row>
    <row r="9">
      <c r="A9" s="85" t="s">
        <v>307</v>
      </c>
      <c r="B9" s="86"/>
      <c r="C9" s="161" t="s">
        <v>223</v>
      </c>
      <c r="E9" s="162" t="s">
        <v>206</v>
      </c>
      <c r="F9" s="88"/>
      <c r="G9" s="269" t="s">
        <v>180</v>
      </c>
      <c r="I9" s="35" t="str">
        <f t="shared" si="1"/>
        <v>午</v>
      </c>
      <c r="K9" s="36"/>
      <c r="L9" s="109">
        <f t="shared" si="2"/>
        <v>1000</v>
      </c>
      <c r="M9" s="105">
        <v>0.0</v>
      </c>
      <c r="N9" s="110">
        <v>0.0</v>
      </c>
      <c r="O9" s="9">
        <v>100.0</v>
      </c>
      <c r="P9" s="9">
        <v>100.0</v>
      </c>
      <c r="Q9" s="9">
        <v>100.0</v>
      </c>
      <c r="R9" s="110">
        <v>100.0</v>
      </c>
      <c r="S9" s="9">
        <v>100.0</v>
      </c>
      <c r="T9" s="110">
        <v>100.0</v>
      </c>
      <c r="U9" s="9">
        <v>100.0</v>
      </c>
      <c r="V9" s="110">
        <v>100.0</v>
      </c>
      <c r="W9" s="9">
        <v>100.0</v>
      </c>
      <c r="X9" s="110">
        <v>100.0</v>
      </c>
      <c r="Y9" s="73" t="s">
        <v>116</v>
      </c>
      <c r="Z9" s="94" t="s">
        <v>153</v>
      </c>
      <c r="AA9" s="36"/>
      <c r="AB9" s="36"/>
      <c r="AC9" s="111"/>
      <c r="AD9" s="112"/>
      <c r="AE9" s="37"/>
      <c r="AF9" s="97"/>
      <c r="AG9" s="14"/>
      <c r="AH9" s="14"/>
      <c r="AI9" s="14"/>
      <c r="AJ9" s="113"/>
      <c r="AK9" s="105" t="s">
        <v>107</v>
      </c>
      <c r="AM9" s="104" t="s">
        <v>100</v>
      </c>
      <c r="AO9" s="114" t="s">
        <v>101</v>
      </c>
      <c r="AQ9" s="105" t="s">
        <v>102</v>
      </c>
      <c r="AS9" s="105" t="s">
        <v>103</v>
      </c>
      <c r="AU9" s="104" t="s">
        <v>104</v>
      </c>
      <c r="AW9" s="104" t="s">
        <v>105</v>
      </c>
      <c r="AY9" s="104" t="s">
        <v>106</v>
      </c>
      <c r="AZ9" s="24"/>
      <c r="BB9" s="104" t="s">
        <v>100</v>
      </c>
      <c r="BD9" s="114" t="s">
        <v>101</v>
      </c>
    </row>
    <row r="10">
      <c r="A10" s="85">
        <v>2569.0</v>
      </c>
      <c r="B10" s="86"/>
      <c r="E10" s="115" t="s">
        <v>165</v>
      </c>
      <c r="F10" s="116" t="s">
        <v>214</v>
      </c>
      <c r="G10" s="9" t="s">
        <v>114</v>
      </c>
      <c r="H10" s="9" t="s">
        <v>111</v>
      </c>
      <c r="I10" s="9" t="s">
        <v>204</v>
      </c>
      <c r="J10" s="9" t="s">
        <v>214</v>
      </c>
      <c r="K10" s="36"/>
      <c r="L10" s="117"/>
      <c r="M10" s="130" t="str">
        <f t="shared" ref="M10:P10" si="3">C10</f>
        <v/>
      </c>
      <c r="N10" s="119" t="str">
        <f t="shared" si="3"/>
        <v/>
      </c>
      <c r="O10" s="118" t="str">
        <f t="shared" si="3"/>
        <v>A12</v>
      </c>
      <c r="P10" s="118" t="str">
        <f t="shared" si="3"/>
        <v>B11</v>
      </c>
      <c r="Q10" s="118" t="str">
        <f t="shared" ref="Q10:R10" si="4">E11</f>
        <v>B7</v>
      </c>
      <c r="R10" s="119" t="str">
        <f t="shared" si="4"/>
        <v>C9</v>
      </c>
      <c r="S10" s="9" t="s">
        <v>198</v>
      </c>
      <c r="T10" s="110" t="s">
        <v>213</v>
      </c>
      <c r="U10" s="9" t="str">
        <f t="shared" ref="U10:X10" si="5">G10</f>
        <v>A10</v>
      </c>
      <c r="V10" s="119" t="str">
        <f t="shared" si="5"/>
        <v>B7</v>
      </c>
      <c r="W10" s="118" t="str">
        <f t="shared" si="5"/>
        <v>A5</v>
      </c>
      <c r="X10" s="120" t="str">
        <f t="shared" si="5"/>
        <v>B11</v>
      </c>
      <c r="Y10" s="73" t="s">
        <v>126</v>
      </c>
      <c r="Z10" s="94" t="s">
        <v>155</v>
      </c>
      <c r="AA10" s="36"/>
      <c r="AB10" s="36"/>
      <c r="AC10" s="111"/>
      <c r="AD10" s="112"/>
      <c r="AE10" s="37"/>
      <c r="AF10" s="97"/>
      <c r="AG10" s="14"/>
      <c r="AH10" s="14"/>
      <c r="AI10" s="14"/>
      <c r="AJ10" s="113"/>
      <c r="AK10" s="105" t="s">
        <v>125</v>
      </c>
      <c r="AM10" s="104" t="s">
        <v>118</v>
      </c>
      <c r="AO10" s="114" t="s">
        <v>119</v>
      </c>
      <c r="AQ10" s="105" t="s">
        <v>120</v>
      </c>
      <c r="AS10" s="105" t="s">
        <v>121</v>
      </c>
      <c r="AU10" s="104" t="s">
        <v>122</v>
      </c>
      <c r="AW10" s="104" t="s">
        <v>123</v>
      </c>
      <c r="AY10" s="104" t="s">
        <v>124</v>
      </c>
      <c r="AZ10" s="24"/>
      <c r="BB10" s="104" t="s">
        <v>118</v>
      </c>
      <c r="BD10" s="114" t="s">
        <v>119</v>
      </c>
    </row>
    <row r="11">
      <c r="A11" s="85">
        <f>A10-543</f>
        <v>2026</v>
      </c>
      <c r="B11" s="86"/>
      <c r="E11" s="115" t="s">
        <v>111</v>
      </c>
      <c r="F11" s="116" t="s">
        <v>229</v>
      </c>
      <c r="G11" s="9"/>
      <c r="H11" s="118"/>
      <c r="I11" s="118"/>
      <c r="J11" s="118"/>
      <c r="K11" s="36"/>
      <c r="L11" s="117"/>
      <c r="M11" s="114"/>
      <c r="N11" s="121"/>
      <c r="O11" s="8"/>
      <c r="P11" s="8"/>
      <c r="Q11" s="8"/>
      <c r="R11" s="121"/>
      <c r="S11" s="8"/>
      <c r="T11" s="121"/>
      <c r="U11" s="9"/>
      <c r="V11" s="110"/>
      <c r="W11" s="9"/>
      <c r="X11" s="110"/>
      <c r="Y11" s="73" t="s">
        <v>69</v>
      </c>
      <c r="Z11" s="94" t="s">
        <v>128</v>
      </c>
      <c r="AA11" s="36"/>
      <c r="AB11" s="36"/>
      <c r="AC11" s="111"/>
      <c r="AD11" s="112"/>
      <c r="AE11" s="37"/>
      <c r="AF11" s="97"/>
      <c r="AG11" s="14"/>
      <c r="AH11" s="14"/>
      <c r="AI11" s="14"/>
      <c r="AJ11" s="113"/>
      <c r="AK11" s="105" t="s">
        <v>136</v>
      </c>
      <c r="AM11" s="104" t="s">
        <v>129</v>
      </c>
      <c r="AO11" s="114" t="s">
        <v>130</v>
      </c>
      <c r="AQ11" s="105" t="s">
        <v>131</v>
      </c>
      <c r="AS11" s="105" t="s">
        <v>132</v>
      </c>
      <c r="AU11" s="104" t="s">
        <v>133</v>
      </c>
      <c r="AW11" s="104" t="s">
        <v>134</v>
      </c>
      <c r="AY11" s="104" t="s">
        <v>135</v>
      </c>
      <c r="AZ11" s="24"/>
      <c r="BB11" s="104" t="s">
        <v>129</v>
      </c>
      <c r="BD11" s="114" t="s">
        <v>130</v>
      </c>
    </row>
    <row r="12">
      <c r="A12" s="213" t="s">
        <v>230</v>
      </c>
      <c r="B12" s="2"/>
      <c r="C12" s="1"/>
      <c r="D12" s="123"/>
      <c r="E12" s="124" t="s">
        <v>185</v>
      </c>
      <c r="F12" s="125"/>
      <c r="G12" s="39" t="s">
        <v>304</v>
      </c>
      <c r="I12" s="39" t="str">
        <f>I5</f>
        <v>อสูรปี N</v>
      </c>
      <c r="K12" s="90"/>
      <c r="L12" s="126"/>
      <c r="M12" s="114"/>
      <c r="N12" s="121"/>
      <c r="O12" s="8"/>
      <c r="P12" s="8"/>
      <c r="Q12" s="8"/>
      <c r="R12" s="121"/>
      <c r="S12" s="8"/>
      <c r="T12" s="121"/>
      <c r="U12" s="9"/>
      <c r="V12" s="110"/>
      <c r="W12" s="9"/>
      <c r="X12" s="110"/>
      <c r="Y12" s="127"/>
      <c r="Z12" s="155"/>
      <c r="AA12" s="36"/>
      <c r="AB12" s="36"/>
      <c r="AC12" s="111"/>
      <c r="AD12" s="112"/>
      <c r="AE12" s="37"/>
      <c r="AF12" s="97"/>
      <c r="AG12" s="14"/>
      <c r="AH12" s="14"/>
      <c r="AI12" s="14"/>
      <c r="AJ12" s="113"/>
      <c r="AY12" s="128"/>
      <c r="AZ12" s="24"/>
      <c r="BB12" s="129"/>
      <c r="BD12" s="128"/>
    </row>
    <row r="13">
      <c r="A13" s="61" t="s">
        <v>186</v>
      </c>
      <c r="B13" s="62"/>
      <c r="C13" s="63"/>
      <c r="D13" s="63"/>
      <c r="E13" s="271">
        <f>(O14+P14+Q14+R14)/(O15+P15+Q15+R15)</f>
        <v>0.35</v>
      </c>
      <c r="F13" s="88"/>
      <c r="G13" s="133"/>
      <c r="H13" s="66"/>
      <c r="I13" s="67"/>
      <c r="J13" s="67"/>
      <c r="K13" s="68"/>
      <c r="L13" s="69"/>
      <c r="M13" s="295" t="s">
        <v>64</v>
      </c>
      <c r="N13" s="70"/>
      <c r="O13" s="71" t="s">
        <v>65</v>
      </c>
      <c r="P13" s="72"/>
      <c r="Q13" s="72"/>
      <c r="R13" s="70"/>
      <c r="S13" s="71" t="s">
        <v>66</v>
      </c>
      <c r="T13" s="70"/>
      <c r="U13" s="71" t="s">
        <v>67</v>
      </c>
      <c r="V13" s="70"/>
      <c r="W13" s="71" t="s">
        <v>68</v>
      </c>
      <c r="X13" s="70"/>
      <c r="Y13" s="134" t="s">
        <v>69</v>
      </c>
      <c r="Z13" s="74" t="s">
        <v>70</v>
      </c>
      <c r="AA13" s="75" t="s">
        <v>71</v>
      </c>
      <c r="AB13" s="75" t="s">
        <v>72</v>
      </c>
      <c r="AC13" s="76" t="s">
        <v>73</v>
      </c>
      <c r="AD13" s="74" t="s">
        <v>74</v>
      </c>
      <c r="AE13" s="63" t="s">
        <v>35</v>
      </c>
      <c r="AF13" s="71" t="s">
        <v>75</v>
      </c>
      <c r="AG13" s="296" t="s">
        <v>76</v>
      </c>
      <c r="AH13" s="79">
        <v>240.0</v>
      </c>
      <c r="AI13" s="79" t="s">
        <v>77</v>
      </c>
      <c r="AJ13" s="80" t="str">
        <f>AJ7</f>
        <v>開</v>
      </c>
      <c r="AK13" s="81" t="s">
        <v>48</v>
      </c>
      <c r="AL13" s="82" t="str">
        <f>AL7</f>
        <v>休</v>
      </c>
      <c r="AM13" s="81" t="s">
        <v>50</v>
      </c>
      <c r="AN13" s="82" t="s">
        <v>4</v>
      </c>
      <c r="AO13" s="81" t="s">
        <v>52</v>
      </c>
      <c r="AP13" s="82" t="str">
        <f>AP7</f>
        <v>傷</v>
      </c>
      <c r="AQ13" s="81" t="s">
        <v>38</v>
      </c>
      <c r="AR13" s="82" t="s">
        <v>8</v>
      </c>
      <c r="AS13" s="81" t="s">
        <v>40</v>
      </c>
      <c r="AT13" s="82" t="str">
        <f>AT7</f>
        <v>景</v>
      </c>
      <c r="AU13" s="81" t="s">
        <v>42</v>
      </c>
      <c r="AV13" s="82" t="str">
        <f>AV7</f>
        <v>死</v>
      </c>
      <c r="AW13" s="81" t="s">
        <v>44</v>
      </c>
      <c r="AX13" s="82" t="str">
        <f>AX7</f>
        <v>驚</v>
      </c>
      <c r="AY13" s="81" t="s">
        <v>46</v>
      </c>
      <c r="AZ13" s="83"/>
      <c r="BA13" s="84"/>
      <c r="BB13" s="84"/>
      <c r="BC13" s="84"/>
    </row>
    <row r="14">
      <c r="A14" s="85">
        <f>A8+1</f>
        <v>2</v>
      </c>
      <c r="B14" s="86"/>
      <c r="C14" s="12" t="s">
        <v>78</v>
      </c>
      <c r="E14" s="87" t="s">
        <v>31</v>
      </c>
      <c r="F14" s="88"/>
      <c r="G14" s="194" t="str">
        <f t="shared" ref="G14:G15" si="7">G8:H8</f>
        <v>庚</v>
      </c>
      <c r="I14" s="275" t="str">
        <f t="shared" ref="I14:I15" si="8">I8:J8</f>
        <v>丙</v>
      </c>
      <c r="K14" s="90">
        <f>L14/L15</f>
        <v>0.44</v>
      </c>
      <c r="L14" s="126">
        <f t="shared" ref="L14:L15" si="9">O14+P14+Q14+U14+V14+W14+X14+R14+M14+N14+S14+T14</f>
        <v>440</v>
      </c>
      <c r="M14" s="101">
        <v>0.0</v>
      </c>
      <c r="N14" s="93">
        <v>0.0</v>
      </c>
      <c r="O14" s="92">
        <v>10.0</v>
      </c>
      <c r="P14" s="92">
        <v>10.0</v>
      </c>
      <c r="Q14" s="92">
        <v>90.0</v>
      </c>
      <c r="R14" s="93">
        <v>30.0</v>
      </c>
      <c r="S14" s="92">
        <v>20.0</v>
      </c>
      <c r="T14" s="93">
        <v>110.0</v>
      </c>
      <c r="U14" s="92">
        <f t="shared" ref="U14:X14" si="6">U8</f>
        <v>0</v>
      </c>
      <c r="V14" s="93">
        <f t="shared" si="6"/>
        <v>0</v>
      </c>
      <c r="W14" s="92">
        <f t="shared" si="6"/>
        <v>110</v>
      </c>
      <c r="X14" s="93">
        <f t="shared" si="6"/>
        <v>60</v>
      </c>
      <c r="Y14" s="73" t="s">
        <v>80</v>
      </c>
      <c r="Z14" s="94" t="s">
        <v>81</v>
      </c>
      <c r="AA14" s="36"/>
      <c r="AB14" s="36"/>
      <c r="AC14" s="95" t="s">
        <v>82</v>
      </c>
      <c r="AD14" s="96" t="s">
        <v>83</v>
      </c>
      <c r="AE14" s="37"/>
      <c r="AF14" s="297"/>
      <c r="AG14" s="298" t="s">
        <v>84</v>
      </c>
      <c r="AH14" s="12">
        <v>0.0</v>
      </c>
      <c r="AI14" s="299" t="s">
        <v>85</v>
      </c>
      <c r="AJ14" s="98" t="s">
        <v>51</v>
      </c>
      <c r="AK14" s="101" t="s">
        <v>95</v>
      </c>
      <c r="AL14" s="100" t="s">
        <v>86</v>
      </c>
      <c r="AM14" s="99" t="s">
        <v>87</v>
      </c>
      <c r="AN14" s="100" t="s">
        <v>88</v>
      </c>
      <c r="AO14" s="101" t="s">
        <v>89</v>
      </c>
      <c r="AP14" s="100" t="s">
        <v>45</v>
      </c>
      <c r="AQ14" s="102" t="s">
        <v>90</v>
      </c>
      <c r="AR14" s="100" t="s">
        <v>43</v>
      </c>
      <c r="AS14" s="101" t="s">
        <v>91</v>
      </c>
      <c r="AT14" s="100" t="s">
        <v>41</v>
      </c>
      <c r="AU14" s="103" t="s">
        <v>92</v>
      </c>
      <c r="AV14" s="100" t="s">
        <v>39</v>
      </c>
      <c r="AW14" s="99" t="s">
        <v>93</v>
      </c>
      <c r="AX14" s="100" t="s">
        <v>37</v>
      </c>
      <c r="AY14" s="99" t="s">
        <v>94</v>
      </c>
      <c r="AZ14" s="24"/>
    </row>
    <row r="15">
      <c r="A15" s="85" t="str">
        <f t="shared" ref="A15:A17" si="10">A9</f>
        <v>มีนาคม</v>
      </c>
      <c r="B15" s="86"/>
      <c r="C15" s="212" t="s">
        <v>228</v>
      </c>
      <c r="E15" s="107" t="s">
        <v>97</v>
      </c>
      <c r="F15" s="88"/>
      <c r="G15" s="274" t="str">
        <f t="shared" si="7"/>
        <v>寅</v>
      </c>
      <c r="I15" s="142" t="str">
        <f t="shared" si="8"/>
        <v>午</v>
      </c>
      <c r="K15" s="36"/>
      <c r="L15" s="109">
        <f t="shared" si="9"/>
        <v>1000</v>
      </c>
      <c r="M15" s="105">
        <v>0.0</v>
      </c>
      <c r="N15" s="110">
        <v>0.0</v>
      </c>
      <c r="O15" s="9">
        <v>100.0</v>
      </c>
      <c r="P15" s="9">
        <v>100.0</v>
      </c>
      <c r="Q15" s="9">
        <v>100.0</v>
      </c>
      <c r="R15" s="110">
        <v>100.0</v>
      </c>
      <c r="S15" s="9">
        <v>100.0</v>
      </c>
      <c r="T15" s="110">
        <v>100.0</v>
      </c>
      <c r="U15" s="9">
        <v>100.0</v>
      </c>
      <c r="V15" s="110">
        <v>100.0</v>
      </c>
      <c r="W15" s="9">
        <v>100.0</v>
      </c>
      <c r="X15" s="110">
        <v>100.0</v>
      </c>
      <c r="Y15" s="73" t="s">
        <v>98</v>
      </c>
      <c r="Z15" s="94" t="s">
        <v>99</v>
      </c>
      <c r="AA15" s="36"/>
      <c r="AB15" s="36"/>
      <c r="AC15" s="111"/>
      <c r="AD15" s="112"/>
      <c r="AE15" s="37"/>
      <c r="AF15" s="97"/>
      <c r="AG15" s="298"/>
      <c r="AH15" s="12"/>
      <c r="AI15" s="299"/>
      <c r="AJ15" s="113"/>
      <c r="AK15" s="105" t="s">
        <v>107</v>
      </c>
      <c r="AM15" s="104" t="s">
        <v>100</v>
      </c>
      <c r="AO15" s="114" t="s">
        <v>101</v>
      </c>
      <c r="AQ15" s="105" t="s">
        <v>102</v>
      </c>
      <c r="AS15" s="105" t="s">
        <v>103</v>
      </c>
      <c r="AU15" s="104" t="s">
        <v>104</v>
      </c>
      <c r="AW15" s="104" t="s">
        <v>105</v>
      </c>
      <c r="AY15" s="104" t="s">
        <v>106</v>
      </c>
      <c r="AZ15" s="24"/>
    </row>
    <row r="16">
      <c r="A16" s="85">
        <f t="shared" si="10"/>
        <v>2569</v>
      </c>
      <c r="B16" s="86"/>
      <c r="E16" s="115" t="s">
        <v>108</v>
      </c>
      <c r="F16" s="116" t="s">
        <v>113</v>
      </c>
      <c r="G16" s="115" t="str">
        <f t="shared" ref="G16:H16" si="11">G10</f>
        <v>A10</v>
      </c>
      <c r="H16" s="9" t="str">
        <f t="shared" si="11"/>
        <v>B7</v>
      </c>
      <c r="I16" s="9" t="s">
        <v>204</v>
      </c>
      <c r="J16" s="9" t="s">
        <v>214</v>
      </c>
      <c r="K16" s="36"/>
      <c r="L16" s="117"/>
      <c r="M16" s="130" t="str">
        <f t="shared" ref="M16:P16" si="12">C16</f>
        <v/>
      </c>
      <c r="N16" s="119" t="str">
        <f t="shared" si="12"/>
        <v/>
      </c>
      <c r="O16" s="118" t="str">
        <f t="shared" si="12"/>
        <v>A8</v>
      </c>
      <c r="P16" s="118" t="str">
        <f t="shared" si="12"/>
        <v>B12</v>
      </c>
      <c r="Q16" s="118" t="str">
        <f t="shared" ref="Q16:R16" si="13">E17</f>
        <v>B6</v>
      </c>
      <c r="R16" s="119" t="str">
        <f t="shared" si="13"/>
        <v>C10</v>
      </c>
      <c r="S16" s="9" t="s">
        <v>115</v>
      </c>
      <c r="T16" s="110" t="s">
        <v>204</v>
      </c>
      <c r="U16" s="9" t="str">
        <f t="shared" ref="U16:W16" si="14">G16</f>
        <v>A10</v>
      </c>
      <c r="V16" s="119" t="str">
        <f t="shared" si="14"/>
        <v>B7</v>
      </c>
      <c r="W16" s="118" t="str">
        <f t="shared" si="14"/>
        <v>A5</v>
      </c>
      <c r="X16" s="120" t="str">
        <f>X10</f>
        <v>B11</v>
      </c>
      <c r="Y16" s="73" t="s">
        <v>116</v>
      </c>
      <c r="Z16" s="94" t="s">
        <v>117</v>
      </c>
      <c r="AA16" s="36"/>
      <c r="AB16" s="36"/>
      <c r="AC16" s="111"/>
      <c r="AD16" s="112"/>
      <c r="AE16" s="37"/>
      <c r="AF16" s="97"/>
      <c r="AG16" s="300"/>
      <c r="AH16" s="14"/>
      <c r="AI16" s="301"/>
      <c r="AJ16" s="113"/>
      <c r="AK16" s="105" t="s">
        <v>125</v>
      </c>
      <c r="AM16" s="104" t="s">
        <v>118</v>
      </c>
      <c r="AO16" s="114" t="s">
        <v>119</v>
      </c>
      <c r="AQ16" s="105" t="s">
        <v>120</v>
      </c>
      <c r="AS16" s="105" t="s">
        <v>121</v>
      </c>
      <c r="AU16" s="104" t="s">
        <v>122</v>
      </c>
      <c r="AW16" s="104" t="s">
        <v>123</v>
      </c>
      <c r="AY16" s="104" t="s">
        <v>124</v>
      </c>
      <c r="AZ16" s="24"/>
    </row>
    <row r="17">
      <c r="A17" s="85">
        <f t="shared" si="10"/>
        <v>2026</v>
      </c>
      <c r="B17" s="86"/>
      <c r="C17" s="12" t="s">
        <v>166</v>
      </c>
      <c r="E17" s="115" t="s">
        <v>126</v>
      </c>
      <c r="F17" s="116" t="s">
        <v>232</v>
      </c>
      <c r="G17" s="115"/>
      <c r="H17" s="118"/>
      <c r="I17" s="118"/>
      <c r="J17" s="118"/>
      <c r="K17" s="36"/>
      <c r="L17" s="117"/>
      <c r="M17" s="114"/>
      <c r="N17" s="121"/>
      <c r="O17" s="8"/>
      <c r="P17" s="8"/>
      <c r="Q17" s="8"/>
      <c r="R17" s="121"/>
      <c r="S17" s="8"/>
      <c r="T17" s="121"/>
      <c r="U17" s="9"/>
      <c r="V17" s="110"/>
      <c r="W17" s="9"/>
      <c r="X17" s="110"/>
      <c r="Y17" s="73" t="s">
        <v>126</v>
      </c>
      <c r="Z17" s="94" t="s">
        <v>128</v>
      </c>
      <c r="AA17" s="36"/>
      <c r="AB17" s="36"/>
      <c r="AC17" s="111"/>
      <c r="AD17" s="112"/>
      <c r="AE17" s="37"/>
      <c r="AF17" s="97"/>
      <c r="AG17" s="300"/>
      <c r="AH17" s="14"/>
      <c r="AI17" s="301"/>
      <c r="AJ17" s="113"/>
      <c r="AK17" s="105" t="s">
        <v>136</v>
      </c>
      <c r="AM17" s="104" t="s">
        <v>129</v>
      </c>
      <c r="AO17" s="114" t="s">
        <v>130</v>
      </c>
      <c r="AQ17" s="105" t="s">
        <v>131</v>
      </c>
      <c r="AS17" s="105" t="s">
        <v>132</v>
      </c>
      <c r="AU17" s="104" t="s">
        <v>133</v>
      </c>
      <c r="AW17" s="104" t="s">
        <v>134</v>
      </c>
      <c r="AY17" s="104" t="s">
        <v>135</v>
      </c>
      <c r="AZ17" s="24"/>
    </row>
    <row r="18">
      <c r="A18" s="272"/>
      <c r="B18" s="144"/>
      <c r="C18" s="1"/>
      <c r="D18" s="123"/>
      <c r="E18" s="124" t="s">
        <v>137</v>
      </c>
      <c r="F18" s="125"/>
      <c r="G18" s="146" t="str">
        <f>G12:H12</f>
        <v>อสูรเดือน N</v>
      </c>
      <c r="H18" s="147"/>
      <c r="I18" s="148" t="str">
        <f>I12:J12</f>
        <v>อสูรปี N</v>
      </c>
      <c r="J18" s="147"/>
      <c r="K18" s="149"/>
      <c r="L18" s="150"/>
      <c r="M18" s="302"/>
      <c r="N18" s="152"/>
      <c r="O18" s="151"/>
      <c r="P18" s="151"/>
      <c r="Q18" s="151"/>
      <c r="R18" s="152"/>
      <c r="S18" s="8"/>
      <c r="T18" s="121"/>
      <c r="U18" s="153"/>
      <c r="V18" s="154"/>
      <c r="W18" s="153"/>
      <c r="X18" s="154"/>
      <c r="Y18" s="127"/>
      <c r="Z18" s="155"/>
      <c r="AA18" s="156"/>
      <c r="AB18" s="156"/>
      <c r="AC18" s="111"/>
      <c r="AD18" s="112"/>
      <c r="AE18" s="37"/>
      <c r="AF18" s="97"/>
      <c r="AG18" s="300"/>
      <c r="AH18" s="14"/>
      <c r="AI18" s="301"/>
      <c r="AJ18" s="113"/>
      <c r="AY18" s="128"/>
      <c r="AZ18" s="159"/>
      <c r="BA18" s="158"/>
      <c r="BB18" s="158"/>
      <c r="BC18" s="158"/>
    </row>
    <row r="19">
      <c r="A19" s="188" t="s">
        <v>191</v>
      </c>
      <c r="B19" s="62"/>
      <c r="C19" s="63"/>
      <c r="D19" s="63"/>
      <c r="E19" s="132">
        <f>(O20+P20+Q20+R20)/(O21+P21+Q21+R21)</f>
        <v>0.7625</v>
      </c>
      <c r="F19" s="88"/>
      <c r="G19" s="133"/>
      <c r="H19" s="66"/>
      <c r="I19" s="67"/>
      <c r="J19" s="67"/>
      <c r="K19" s="68"/>
      <c r="L19" s="69"/>
      <c r="M19" s="295" t="s">
        <v>64</v>
      </c>
      <c r="N19" s="70"/>
      <c r="O19" s="71" t="s">
        <v>65</v>
      </c>
      <c r="P19" s="72"/>
      <c r="Q19" s="72"/>
      <c r="R19" s="70"/>
      <c r="S19" s="71" t="s">
        <v>66</v>
      </c>
      <c r="T19" s="70"/>
      <c r="U19" s="71" t="s">
        <v>67</v>
      </c>
      <c r="V19" s="70"/>
      <c r="W19" s="71" t="s">
        <v>68</v>
      </c>
      <c r="X19" s="70"/>
      <c r="Y19" s="134" t="s">
        <v>116</v>
      </c>
      <c r="Z19" s="74" t="s">
        <v>140</v>
      </c>
      <c r="AA19" s="75" t="s">
        <v>31</v>
      </c>
      <c r="AB19" s="75" t="s">
        <v>141</v>
      </c>
      <c r="AC19" s="135" t="s">
        <v>142</v>
      </c>
      <c r="AD19" s="74" t="s">
        <v>143</v>
      </c>
      <c r="AE19" s="63" t="s">
        <v>75</v>
      </c>
      <c r="AF19" s="78" t="s">
        <v>144</v>
      </c>
      <c r="AG19" s="79" t="s">
        <v>32</v>
      </c>
      <c r="AH19" s="79">
        <v>270.0</v>
      </c>
      <c r="AI19" s="79" t="s">
        <v>145</v>
      </c>
      <c r="AJ19" s="80" t="str">
        <f>AJ13</f>
        <v>開</v>
      </c>
      <c r="AK19" s="81" t="s">
        <v>50</v>
      </c>
      <c r="AL19" s="82" t="str">
        <f>AL13</f>
        <v>休</v>
      </c>
      <c r="AM19" s="81" t="s">
        <v>52</v>
      </c>
      <c r="AN19" s="82" t="s">
        <v>4</v>
      </c>
      <c r="AO19" s="81" t="s">
        <v>38</v>
      </c>
      <c r="AP19" s="82" t="str">
        <f>AP13</f>
        <v>傷</v>
      </c>
      <c r="AQ19" s="81" t="s">
        <v>40</v>
      </c>
      <c r="AR19" s="82" t="s">
        <v>8</v>
      </c>
      <c r="AS19" s="81" t="s">
        <v>42</v>
      </c>
      <c r="AT19" s="82" t="str">
        <f>AT13</f>
        <v>景</v>
      </c>
      <c r="AU19" s="81" t="s">
        <v>44</v>
      </c>
      <c r="AV19" s="82" t="str">
        <f>AV13</f>
        <v>死</v>
      </c>
      <c r="AW19" s="81" t="s">
        <v>46</v>
      </c>
      <c r="AX19" s="82" t="str">
        <f>AX13</f>
        <v>驚</v>
      </c>
      <c r="AY19" s="81" t="s">
        <v>48</v>
      </c>
      <c r="AZ19" s="83"/>
      <c r="BA19" s="84"/>
      <c r="BB19" s="84"/>
      <c r="BC19" s="84"/>
    </row>
    <row r="20">
      <c r="A20" s="85">
        <f>A14+1</f>
        <v>3</v>
      </c>
      <c r="B20" s="86"/>
      <c r="C20" s="12" t="s">
        <v>146</v>
      </c>
      <c r="E20" s="136" t="s">
        <v>147</v>
      </c>
      <c r="G20" s="194" t="str">
        <f t="shared" ref="G20:G21" si="16">G8:H8</f>
        <v>庚</v>
      </c>
      <c r="I20" s="275" t="str">
        <f t="shared" ref="I20:I21" si="17">I8:J8</f>
        <v>丙</v>
      </c>
      <c r="K20" s="90">
        <f>L20/L21</f>
        <v>0.565</v>
      </c>
      <c r="L20" s="126">
        <f t="shared" ref="L20:L21" si="18">O20+P20+Q20+U20+V20+W20+X20+R20+M20+N20+S20+T20</f>
        <v>565</v>
      </c>
      <c r="M20" s="101">
        <v>0.0</v>
      </c>
      <c r="N20" s="93">
        <v>0.0</v>
      </c>
      <c r="O20" s="92">
        <v>55.0</v>
      </c>
      <c r="P20" s="92">
        <v>70.0</v>
      </c>
      <c r="Q20" s="92">
        <v>100.0</v>
      </c>
      <c r="R20" s="93">
        <v>80.0</v>
      </c>
      <c r="S20" s="92">
        <v>10.0</v>
      </c>
      <c r="T20" s="93">
        <v>80.0</v>
      </c>
      <c r="U20" s="92">
        <f t="shared" ref="U20:X20" si="15">U8</f>
        <v>0</v>
      </c>
      <c r="V20" s="93">
        <f t="shared" si="15"/>
        <v>0</v>
      </c>
      <c r="W20" s="92">
        <f t="shared" si="15"/>
        <v>110</v>
      </c>
      <c r="X20" s="92">
        <f t="shared" si="15"/>
        <v>60</v>
      </c>
      <c r="Y20" s="73" t="s">
        <v>126</v>
      </c>
      <c r="Z20" s="94" t="s">
        <v>70</v>
      </c>
      <c r="AA20" s="36"/>
      <c r="AB20" s="169"/>
      <c r="AC20" s="139" t="s">
        <v>148</v>
      </c>
      <c r="AD20" s="96" t="s">
        <v>149</v>
      </c>
      <c r="AE20" s="37"/>
      <c r="AF20" s="97"/>
      <c r="AG20" s="12" t="s">
        <v>97</v>
      </c>
      <c r="AH20" s="12">
        <v>330.0</v>
      </c>
      <c r="AI20" s="12" t="s">
        <v>150</v>
      </c>
      <c r="AJ20" s="98" t="s">
        <v>86</v>
      </c>
      <c r="AK20" s="99" t="s">
        <v>87</v>
      </c>
      <c r="AL20" s="100" t="s">
        <v>88</v>
      </c>
      <c r="AM20" s="101" t="s">
        <v>89</v>
      </c>
      <c r="AN20" s="100" t="s">
        <v>45</v>
      </c>
      <c r="AO20" s="102" t="s">
        <v>90</v>
      </c>
      <c r="AP20" s="100" t="s">
        <v>43</v>
      </c>
      <c r="AQ20" s="101" t="s">
        <v>91</v>
      </c>
      <c r="AR20" s="100" t="s">
        <v>41</v>
      </c>
      <c r="AS20" s="103" t="s">
        <v>92</v>
      </c>
      <c r="AT20" s="100" t="s">
        <v>39</v>
      </c>
      <c r="AU20" s="99" t="s">
        <v>93</v>
      </c>
      <c r="AV20" s="100" t="s">
        <v>37</v>
      </c>
      <c r="AW20" s="99" t="s">
        <v>94</v>
      </c>
      <c r="AX20" s="100" t="s">
        <v>51</v>
      </c>
      <c r="AY20" s="101" t="s">
        <v>95</v>
      </c>
      <c r="AZ20" s="24"/>
    </row>
    <row r="21">
      <c r="A21" s="85" t="str">
        <f>A15</f>
        <v>มีนาคม</v>
      </c>
      <c r="B21" s="86"/>
      <c r="C21" s="140" t="s">
        <v>231</v>
      </c>
      <c r="E21" s="107" t="s">
        <v>84</v>
      </c>
      <c r="G21" s="274" t="str">
        <f t="shared" si="16"/>
        <v>寅</v>
      </c>
      <c r="I21" s="142" t="str">
        <f t="shared" si="17"/>
        <v>午</v>
      </c>
      <c r="K21" s="36"/>
      <c r="L21" s="109">
        <f t="shared" si="18"/>
        <v>1000</v>
      </c>
      <c r="M21" s="105">
        <v>0.0</v>
      </c>
      <c r="N21" s="110">
        <v>0.0</v>
      </c>
      <c r="O21" s="9">
        <v>100.0</v>
      </c>
      <c r="P21" s="9">
        <v>100.0</v>
      </c>
      <c r="Q21" s="9">
        <v>100.0</v>
      </c>
      <c r="R21" s="110">
        <v>100.0</v>
      </c>
      <c r="S21" s="9">
        <v>100.0</v>
      </c>
      <c r="T21" s="110">
        <v>100.0</v>
      </c>
      <c r="U21" s="9">
        <v>100.0</v>
      </c>
      <c r="V21" s="110">
        <v>100.0</v>
      </c>
      <c r="W21" s="9">
        <v>100.0</v>
      </c>
      <c r="X21" s="110">
        <v>100.0</v>
      </c>
      <c r="Y21" s="73" t="s">
        <v>69</v>
      </c>
      <c r="Z21" s="94" t="s">
        <v>152</v>
      </c>
      <c r="AA21" s="36"/>
      <c r="AB21" s="36"/>
      <c r="AC21" s="111"/>
      <c r="AD21" s="112"/>
      <c r="AE21" s="37"/>
      <c r="AF21" s="97"/>
      <c r="AG21" s="14"/>
      <c r="AH21" s="14"/>
      <c r="AI21" s="14"/>
      <c r="AJ21" s="113"/>
      <c r="AK21" s="104" t="s">
        <v>100</v>
      </c>
      <c r="AM21" s="114" t="s">
        <v>101</v>
      </c>
      <c r="AO21" s="105" t="s">
        <v>102</v>
      </c>
      <c r="AQ21" s="105" t="s">
        <v>103</v>
      </c>
      <c r="AS21" s="104" t="s">
        <v>104</v>
      </c>
      <c r="AU21" s="104" t="s">
        <v>105</v>
      </c>
      <c r="AW21" s="104" t="s">
        <v>106</v>
      </c>
      <c r="AY21" s="105" t="s">
        <v>107</v>
      </c>
      <c r="AZ21" s="24"/>
    </row>
    <row r="22">
      <c r="A22" s="85">
        <f>A10</f>
        <v>2569</v>
      </c>
      <c r="B22" s="86"/>
      <c r="E22" s="115" t="s">
        <v>110</v>
      </c>
      <c r="F22" s="116" t="s">
        <v>80</v>
      </c>
      <c r="G22" s="115" t="str">
        <f t="shared" ref="G22:J22" si="19">G10</f>
        <v>A10</v>
      </c>
      <c r="H22" s="9" t="str">
        <f t="shared" si="19"/>
        <v>B7</v>
      </c>
      <c r="I22" s="9" t="str">
        <f t="shared" si="19"/>
        <v>A5</v>
      </c>
      <c r="J22" s="9" t="str">
        <f t="shared" si="19"/>
        <v>B11</v>
      </c>
      <c r="K22" s="36"/>
      <c r="L22" s="117"/>
      <c r="M22" s="130" t="str">
        <f t="shared" ref="M22:P22" si="20">C22</f>
        <v/>
      </c>
      <c r="N22" s="119" t="str">
        <f t="shared" si="20"/>
        <v/>
      </c>
      <c r="O22" s="118" t="str">
        <f t="shared" si="20"/>
        <v>A11</v>
      </c>
      <c r="P22" s="118" t="str">
        <f t="shared" si="20"/>
        <v>B1</v>
      </c>
      <c r="Q22" s="118" t="str">
        <f t="shared" ref="Q22:R22" si="21">E23</f>
        <v>B5</v>
      </c>
      <c r="R22" s="119" t="str">
        <f t="shared" si="21"/>
        <v>C11</v>
      </c>
      <c r="S22" s="9" t="s">
        <v>108</v>
      </c>
      <c r="T22" s="110" t="s">
        <v>182</v>
      </c>
      <c r="U22" s="9" t="str">
        <f t="shared" ref="U22:X22" si="22">G22</f>
        <v>A10</v>
      </c>
      <c r="V22" s="119" t="str">
        <f t="shared" si="22"/>
        <v>B7</v>
      </c>
      <c r="W22" s="118" t="str">
        <f t="shared" si="22"/>
        <v>A5</v>
      </c>
      <c r="X22" s="120" t="str">
        <f t="shared" si="22"/>
        <v>B11</v>
      </c>
      <c r="Y22" s="73" t="s">
        <v>80</v>
      </c>
      <c r="Z22" s="94" t="s">
        <v>153</v>
      </c>
      <c r="AA22" s="36"/>
      <c r="AB22" s="36"/>
      <c r="AC22" s="111"/>
      <c r="AD22" s="112"/>
      <c r="AE22" s="37"/>
      <c r="AF22" s="97"/>
      <c r="AG22" s="14"/>
      <c r="AH22" s="14"/>
      <c r="AI22" s="14"/>
      <c r="AJ22" s="113"/>
      <c r="AK22" s="104" t="s">
        <v>118</v>
      </c>
      <c r="AM22" s="114" t="s">
        <v>119</v>
      </c>
      <c r="AO22" s="105" t="s">
        <v>120</v>
      </c>
      <c r="AQ22" s="105" t="s">
        <v>121</v>
      </c>
      <c r="AS22" s="104" t="s">
        <v>122</v>
      </c>
      <c r="AU22" s="104" t="s">
        <v>123</v>
      </c>
      <c r="AW22" s="104" t="s">
        <v>124</v>
      </c>
      <c r="AY22" s="105" t="s">
        <v>125</v>
      </c>
      <c r="AZ22" s="24"/>
    </row>
    <row r="23">
      <c r="A23" s="85">
        <f>A22-543</f>
        <v>2026</v>
      </c>
      <c r="B23" s="86"/>
      <c r="C23" s="163" t="s">
        <v>166</v>
      </c>
      <c r="E23" s="115" t="s">
        <v>116</v>
      </c>
      <c r="F23" s="116" t="s">
        <v>236</v>
      </c>
      <c r="G23" s="115"/>
      <c r="H23" s="118"/>
      <c r="I23" s="118"/>
      <c r="J23" s="118"/>
      <c r="K23" s="36"/>
      <c r="L23" s="117"/>
      <c r="M23" s="114"/>
      <c r="N23" s="121"/>
      <c r="O23" s="8"/>
      <c r="P23" s="8"/>
      <c r="Q23" s="8"/>
      <c r="R23" s="121"/>
      <c r="S23" s="8"/>
      <c r="T23" s="121"/>
      <c r="U23" s="9"/>
      <c r="V23" s="110"/>
      <c r="W23" s="9"/>
      <c r="X23" s="110"/>
      <c r="Y23" s="73" t="s">
        <v>98</v>
      </c>
      <c r="Z23" s="94" t="s">
        <v>155</v>
      </c>
      <c r="AA23" s="36"/>
      <c r="AB23" s="36"/>
      <c r="AC23" s="111"/>
      <c r="AD23" s="112"/>
      <c r="AE23" s="37"/>
      <c r="AF23" s="97"/>
      <c r="AG23" s="14"/>
      <c r="AH23" s="14"/>
      <c r="AI23" s="14"/>
      <c r="AJ23" s="113"/>
      <c r="AK23" s="104" t="s">
        <v>129</v>
      </c>
      <c r="AM23" s="114" t="s">
        <v>130</v>
      </c>
      <c r="AO23" s="105" t="s">
        <v>131</v>
      </c>
      <c r="AQ23" s="105" t="s">
        <v>132</v>
      </c>
      <c r="AS23" s="104" t="s">
        <v>133</v>
      </c>
      <c r="AU23" s="104" t="s">
        <v>134</v>
      </c>
      <c r="AW23" s="104" t="s">
        <v>135</v>
      </c>
      <c r="AY23" s="105" t="s">
        <v>136</v>
      </c>
      <c r="AZ23" s="24"/>
    </row>
    <row r="24">
      <c r="A24" s="303" t="s">
        <v>237</v>
      </c>
      <c r="B24" s="2"/>
      <c r="C24" s="304" t="s">
        <v>322</v>
      </c>
      <c r="E24" s="145" t="s">
        <v>157</v>
      </c>
      <c r="F24" s="88"/>
      <c r="G24" s="165" t="str">
        <f>G12:H12</f>
        <v>อสูรเดือน N</v>
      </c>
      <c r="I24" s="166" t="str">
        <f>I12:J12</f>
        <v>อสูรปี N</v>
      </c>
      <c r="K24" s="90"/>
      <c r="L24" s="126"/>
      <c r="M24" s="114"/>
      <c r="N24" s="121"/>
      <c r="O24" s="8"/>
      <c r="P24" s="8"/>
      <c r="Q24" s="8"/>
      <c r="R24" s="121"/>
      <c r="S24" s="8"/>
      <c r="T24" s="121"/>
      <c r="U24" s="9"/>
      <c r="V24" s="110"/>
      <c r="W24" s="9"/>
      <c r="X24" s="110"/>
      <c r="Y24" s="127"/>
      <c r="Z24" s="155"/>
      <c r="AA24" s="36"/>
      <c r="AB24" s="36"/>
      <c r="AC24" s="111"/>
      <c r="AD24" s="112"/>
      <c r="AE24" s="37"/>
      <c r="AF24" s="97"/>
      <c r="AG24" s="14"/>
      <c r="AH24" s="14"/>
      <c r="AI24" s="14"/>
      <c r="AJ24" s="113"/>
      <c r="AK24" s="128"/>
      <c r="AM24" s="128"/>
      <c r="AO24" s="128"/>
      <c r="AQ24" s="129"/>
      <c r="AS24" s="130"/>
      <c r="AU24" s="131"/>
      <c r="AW24" s="131"/>
      <c r="AY24" s="131"/>
      <c r="AZ24" s="24"/>
    </row>
    <row r="25">
      <c r="A25" s="188" t="s">
        <v>199</v>
      </c>
      <c r="B25" s="62"/>
      <c r="C25" s="63"/>
      <c r="D25" s="63"/>
      <c r="E25" s="64">
        <f>(O26+P26+Q26+R26)/(O27+P27+Q27+R27)</f>
        <v>0.475</v>
      </c>
      <c r="F25" s="65"/>
      <c r="G25" s="133"/>
      <c r="H25" s="66"/>
      <c r="I25" s="67"/>
      <c r="J25" s="67"/>
      <c r="K25" s="68"/>
      <c r="L25" s="69"/>
      <c r="M25" s="295" t="s">
        <v>64</v>
      </c>
      <c r="N25" s="70"/>
      <c r="O25" s="71" t="s">
        <v>65</v>
      </c>
      <c r="P25" s="72"/>
      <c r="Q25" s="72"/>
      <c r="R25" s="70"/>
      <c r="S25" s="71" t="s">
        <v>66</v>
      </c>
      <c r="T25" s="70"/>
      <c r="U25" s="71" t="s">
        <v>67</v>
      </c>
      <c r="V25" s="70"/>
      <c r="W25" s="71" t="s">
        <v>68</v>
      </c>
      <c r="X25" s="70"/>
      <c r="Y25" s="134" t="s">
        <v>116</v>
      </c>
      <c r="Z25" s="74" t="s">
        <v>159</v>
      </c>
      <c r="AA25" s="75" t="s">
        <v>32</v>
      </c>
      <c r="AB25" s="75" t="s">
        <v>233</v>
      </c>
      <c r="AC25" s="135" t="s">
        <v>142</v>
      </c>
      <c r="AD25" s="74" t="s">
        <v>143</v>
      </c>
      <c r="AE25" s="63" t="s">
        <v>75</v>
      </c>
      <c r="AF25" s="78" t="s">
        <v>36</v>
      </c>
      <c r="AG25" s="79" t="s">
        <v>97</v>
      </c>
      <c r="AH25" s="79">
        <v>330.0</v>
      </c>
      <c r="AI25" s="79" t="s">
        <v>150</v>
      </c>
      <c r="AJ25" s="80" t="str">
        <f>AJ19</f>
        <v>開</v>
      </c>
      <c r="AK25" s="81" t="s">
        <v>48</v>
      </c>
      <c r="AL25" s="82" t="str">
        <f>AL19</f>
        <v>休</v>
      </c>
      <c r="AM25" s="81" t="s">
        <v>50</v>
      </c>
      <c r="AN25" s="82" t="s">
        <v>4</v>
      </c>
      <c r="AO25" s="81" t="s">
        <v>52</v>
      </c>
      <c r="AP25" s="82" t="str">
        <f>AP19</f>
        <v>傷</v>
      </c>
      <c r="AQ25" s="81" t="s">
        <v>38</v>
      </c>
      <c r="AR25" s="82" t="s">
        <v>8</v>
      </c>
      <c r="AS25" s="81" t="s">
        <v>40</v>
      </c>
      <c r="AT25" s="82" t="str">
        <f>AT19</f>
        <v>景</v>
      </c>
      <c r="AU25" s="81" t="s">
        <v>42</v>
      </c>
      <c r="AV25" s="82" t="str">
        <f>AV19</f>
        <v>死</v>
      </c>
      <c r="AW25" s="81" t="s">
        <v>44</v>
      </c>
      <c r="AX25" s="82" t="str">
        <f>AX19</f>
        <v>驚</v>
      </c>
      <c r="AY25" s="81" t="s">
        <v>46</v>
      </c>
      <c r="AZ25" s="83"/>
      <c r="BA25" s="84"/>
      <c r="BB25" s="84"/>
      <c r="BC25" s="84"/>
    </row>
    <row r="26">
      <c r="A26" s="85">
        <f>A20+1</f>
        <v>4</v>
      </c>
      <c r="B26" s="86"/>
      <c r="C26" s="12" t="s">
        <v>160</v>
      </c>
      <c r="E26" s="136" t="s">
        <v>161</v>
      </c>
      <c r="F26" s="88"/>
      <c r="G26" s="194" t="str">
        <f t="shared" ref="G26:G27" si="24">G8:H8</f>
        <v>庚</v>
      </c>
      <c r="I26" s="275" t="str">
        <f t="shared" ref="I26:I27" si="25">I8:J8</f>
        <v>丙</v>
      </c>
      <c r="K26" s="90">
        <f>L26/L27</f>
        <v>0.425</v>
      </c>
      <c r="L26" s="126">
        <f t="shared" ref="L26:L27" si="26">O26+P26+Q26+U26+V26+W26+X26+R26+M26+N26+S26+T26</f>
        <v>425</v>
      </c>
      <c r="M26" s="101">
        <v>0.0</v>
      </c>
      <c r="N26" s="93">
        <v>0.0</v>
      </c>
      <c r="O26" s="92">
        <v>50.0</v>
      </c>
      <c r="P26" s="92">
        <v>80.0</v>
      </c>
      <c r="Q26" s="92">
        <v>30.0</v>
      </c>
      <c r="R26" s="93">
        <v>30.0</v>
      </c>
      <c r="S26" s="92">
        <v>55.0</v>
      </c>
      <c r="T26" s="93">
        <v>10.0</v>
      </c>
      <c r="U26" s="92">
        <f t="shared" ref="U26:X26" si="23">U8</f>
        <v>0</v>
      </c>
      <c r="V26" s="93">
        <f t="shared" si="23"/>
        <v>0</v>
      </c>
      <c r="W26" s="92">
        <f t="shared" si="23"/>
        <v>110</v>
      </c>
      <c r="X26" s="93">
        <f t="shared" si="23"/>
        <v>60</v>
      </c>
      <c r="Y26" s="73" t="s">
        <v>126</v>
      </c>
      <c r="Z26" s="94" t="s">
        <v>152</v>
      </c>
      <c r="AA26" s="36"/>
      <c r="AB26" s="29" t="s">
        <v>323</v>
      </c>
      <c r="AC26" s="139" t="s">
        <v>148</v>
      </c>
      <c r="AD26" s="96" t="s">
        <v>149</v>
      </c>
      <c r="AE26" s="37"/>
      <c r="AF26" s="97"/>
      <c r="AG26" s="12" t="s">
        <v>32</v>
      </c>
      <c r="AH26" s="12">
        <v>270.0</v>
      </c>
      <c r="AI26" s="12" t="s">
        <v>145</v>
      </c>
      <c r="AJ26" s="98" t="s">
        <v>51</v>
      </c>
      <c r="AK26" s="101" t="s">
        <v>95</v>
      </c>
      <c r="AL26" s="100" t="s">
        <v>86</v>
      </c>
      <c r="AM26" s="99" t="s">
        <v>87</v>
      </c>
      <c r="AN26" s="100" t="s">
        <v>88</v>
      </c>
      <c r="AO26" s="101" t="s">
        <v>89</v>
      </c>
      <c r="AP26" s="100" t="s">
        <v>45</v>
      </c>
      <c r="AQ26" s="102" t="s">
        <v>90</v>
      </c>
      <c r="AR26" s="100" t="s">
        <v>43</v>
      </c>
      <c r="AS26" s="101" t="s">
        <v>91</v>
      </c>
      <c r="AT26" s="100" t="s">
        <v>41</v>
      </c>
      <c r="AU26" s="103" t="s">
        <v>92</v>
      </c>
      <c r="AV26" s="100" t="s">
        <v>39</v>
      </c>
      <c r="AW26" s="99" t="s">
        <v>93</v>
      </c>
      <c r="AX26" s="100" t="s">
        <v>37</v>
      </c>
      <c r="AY26" s="99" t="s">
        <v>94</v>
      </c>
      <c r="AZ26" s="24"/>
    </row>
    <row r="27">
      <c r="A27" s="85" t="str">
        <f>A15</f>
        <v>มีนาคม</v>
      </c>
      <c r="B27" s="86"/>
      <c r="C27" s="140" t="s">
        <v>235</v>
      </c>
      <c r="E27" s="162" t="s">
        <v>53</v>
      </c>
      <c r="F27" s="88"/>
      <c r="G27" s="274" t="str">
        <f t="shared" si="24"/>
        <v>寅</v>
      </c>
      <c r="I27" s="142" t="str">
        <f t="shared" si="25"/>
        <v>午</v>
      </c>
      <c r="K27" s="36"/>
      <c r="L27" s="109">
        <f t="shared" si="26"/>
        <v>1000</v>
      </c>
      <c r="M27" s="105">
        <v>0.0</v>
      </c>
      <c r="N27" s="110">
        <v>0.0</v>
      </c>
      <c r="O27" s="9">
        <v>100.0</v>
      </c>
      <c r="P27" s="9">
        <v>100.0</v>
      </c>
      <c r="Q27" s="9">
        <v>100.0</v>
      </c>
      <c r="R27" s="110">
        <v>100.0</v>
      </c>
      <c r="S27" s="9">
        <v>100.0</v>
      </c>
      <c r="T27" s="110">
        <v>100.0</v>
      </c>
      <c r="U27" s="9">
        <v>100.0</v>
      </c>
      <c r="V27" s="110">
        <v>100.0</v>
      </c>
      <c r="W27" s="9">
        <v>100.0</v>
      </c>
      <c r="X27" s="110">
        <v>100.0</v>
      </c>
      <c r="Y27" s="73" t="s">
        <v>69</v>
      </c>
      <c r="Z27" s="94" t="s">
        <v>163</v>
      </c>
      <c r="AA27" s="36"/>
      <c r="AB27" s="36"/>
      <c r="AC27" s="111"/>
      <c r="AD27" s="112"/>
      <c r="AE27" s="37"/>
      <c r="AF27" s="97"/>
      <c r="AG27" s="14"/>
      <c r="AH27" s="14"/>
      <c r="AI27" s="14"/>
      <c r="AJ27" s="113"/>
      <c r="AK27" s="105" t="s">
        <v>107</v>
      </c>
      <c r="AM27" s="104" t="s">
        <v>100</v>
      </c>
      <c r="AO27" s="114" t="s">
        <v>101</v>
      </c>
      <c r="AQ27" s="105" t="s">
        <v>102</v>
      </c>
      <c r="AS27" s="105" t="s">
        <v>103</v>
      </c>
      <c r="AU27" s="104" t="s">
        <v>104</v>
      </c>
      <c r="AW27" s="104" t="s">
        <v>105</v>
      </c>
      <c r="AY27" s="104" t="s">
        <v>106</v>
      </c>
      <c r="AZ27" s="24"/>
    </row>
    <row r="28">
      <c r="A28" s="85">
        <f>A10</f>
        <v>2569</v>
      </c>
      <c r="B28" s="86"/>
      <c r="E28" s="115" t="s">
        <v>164</v>
      </c>
      <c r="F28" s="116" t="s">
        <v>98</v>
      </c>
      <c r="G28" s="115" t="str">
        <f t="shared" ref="G28:J28" si="27">G10</f>
        <v>A10</v>
      </c>
      <c r="H28" s="9" t="str">
        <f t="shared" si="27"/>
        <v>B7</v>
      </c>
      <c r="I28" s="9" t="str">
        <f t="shared" si="27"/>
        <v>A5</v>
      </c>
      <c r="J28" s="9" t="str">
        <f t="shared" si="27"/>
        <v>B11</v>
      </c>
      <c r="K28" s="36"/>
      <c r="L28" s="117"/>
      <c r="M28" s="130" t="str">
        <f t="shared" ref="M28:P28" si="28">C28</f>
        <v/>
      </c>
      <c r="N28" s="119" t="str">
        <f t="shared" si="28"/>
        <v/>
      </c>
      <c r="O28" s="118" t="str">
        <f t="shared" si="28"/>
        <v>A9</v>
      </c>
      <c r="P28" s="118" t="str">
        <f t="shared" si="28"/>
        <v>B2</v>
      </c>
      <c r="Q28" s="118" t="str">
        <f t="shared" ref="Q28:R28" si="29">E29</f>
        <v>B4</v>
      </c>
      <c r="R28" s="119" t="str">
        <f t="shared" si="29"/>
        <v>C12</v>
      </c>
      <c r="S28" s="9" t="s">
        <v>164</v>
      </c>
      <c r="T28" s="110" t="s">
        <v>115</v>
      </c>
      <c r="U28" s="9" t="str">
        <f t="shared" ref="U28:X28" si="30">G28</f>
        <v>A10</v>
      </c>
      <c r="V28" s="119" t="str">
        <f t="shared" si="30"/>
        <v>B7</v>
      </c>
      <c r="W28" s="118" t="str">
        <f t="shared" si="30"/>
        <v>A5</v>
      </c>
      <c r="X28" s="120" t="str">
        <f t="shared" si="30"/>
        <v>B11</v>
      </c>
      <c r="Y28" s="73" t="s">
        <v>80</v>
      </c>
      <c r="Z28" s="94" t="s">
        <v>117</v>
      </c>
      <c r="AA28" s="36"/>
      <c r="AB28" s="36"/>
      <c r="AC28" s="111"/>
      <c r="AD28" s="112"/>
      <c r="AE28" s="37"/>
      <c r="AF28" s="97"/>
      <c r="AG28" s="14"/>
      <c r="AH28" s="14"/>
      <c r="AI28" s="14"/>
      <c r="AJ28" s="113"/>
      <c r="AK28" s="105" t="s">
        <v>125</v>
      </c>
      <c r="AM28" s="104" t="s">
        <v>118</v>
      </c>
      <c r="AO28" s="114" t="s">
        <v>119</v>
      </c>
      <c r="AQ28" s="105" t="s">
        <v>120</v>
      </c>
      <c r="AS28" s="105" t="s">
        <v>121</v>
      </c>
      <c r="AU28" s="104" t="s">
        <v>122</v>
      </c>
      <c r="AW28" s="104" t="s">
        <v>123</v>
      </c>
      <c r="AY28" s="104" t="s">
        <v>124</v>
      </c>
      <c r="AZ28" s="24"/>
    </row>
    <row r="29">
      <c r="A29" s="85">
        <f>A28-543</f>
        <v>2026</v>
      </c>
      <c r="B29" s="86"/>
      <c r="E29" s="115" t="s">
        <v>109</v>
      </c>
      <c r="F29" s="116" t="s">
        <v>127</v>
      </c>
      <c r="G29" s="115"/>
      <c r="H29" s="118"/>
      <c r="I29" s="118"/>
      <c r="J29" s="118"/>
      <c r="K29" s="36"/>
      <c r="L29" s="117"/>
      <c r="M29" s="114"/>
      <c r="N29" s="121"/>
      <c r="O29" s="8"/>
      <c r="P29" s="8"/>
      <c r="Q29" s="8"/>
      <c r="R29" s="121"/>
      <c r="S29" s="8"/>
      <c r="T29" s="121"/>
      <c r="U29" s="9"/>
      <c r="V29" s="110"/>
      <c r="W29" s="9"/>
      <c r="X29" s="110"/>
      <c r="Y29" s="73" t="s">
        <v>98</v>
      </c>
      <c r="Z29" s="94" t="s">
        <v>128</v>
      </c>
      <c r="AA29" s="36"/>
      <c r="AB29" s="36"/>
      <c r="AC29" s="111"/>
      <c r="AD29" s="112"/>
      <c r="AE29" s="37"/>
      <c r="AF29" s="97"/>
      <c r="AG29" s="14"/>
      <c r="AH29" s="14"/>
      <c r="AI29" s="14"/>
      <c r="AJ29" s="113"/>
      <c r="AK29" s="105" t="s">
        <v>136</v>
      </c>
      <c r="AM29" s="104" t="s">
        <v>129</v>
      </c>
      <c r="AO29" s="114" t="s">
        <v>130</v>
      </c>
      <c r="AQ29" s="105" t="s">
        <v>131</v>
      </c>
      <c r="AS29" s="105" t="s">
        <v>132</v>
      </c>
      <c r="AU29" s="104" t="s">
        <v>133</v>
      </c>
      <c r="AW29" s="104" t="s">
        <v>134</v>
      </c>
      <c r="AY29" s="104" t="s">
        <v>135</v>
      </c>
      <c r="AZ29" s="24"/>
    </row>
    <row r="30">
      <c r="A30" s="172"/>
      <c r="B30" s="144"/>
      <c r="C30" s="1"/>
      <c r="D30" s="123"/>
      <c r="E30" s="164" t="s">
        <v>168</v>
      </c>
      <c r="F30" s="88"/>
      <c r="G30" s="173" t="str">
        <f>G12:H12</f>
        <v>อสูรเดือน N</v>
      </c>
      <c r="H30" s="147"/>
      <c r="I30" s="174" t="str">
        <f>I12:J12</f>
        <v>อสูรปี N</v>
      </c>
      <c r="J30" s="147"/>
      <c r="K30" s="149"/>
      <c r="L30" s="150"/>
      <c r="M30" s="302"/>
      <c r="N30" s="152"/>
      <c r="O30" s="151"/>
      <c r="P30" s="151"/>
      <c r="Q30" s="151"/>
      <c r="R30" s="152"/>
      <c r="S30" s="151"/>
      <c r="T30" s="152"/>
      <c r="U30" s="153"/>
      <c r="V30" s="154"/>
      <c r="W30" s="153"/>
      <c r="X30" s="154"/>
      <c r="Y30" s="127"/>
      <c r="Z30" s="155"/>
      <c r="AA30" s="36"/>
      <c r="AB30" s="36"/>
      <c r="AC30" s="111"/>
      <c r="AD30" s="112"/>
      <c r="AE30" s="37"/>
      <c r="AF30" s="97"/>
      <c r="AG30" s="14"/>
      <c r="AH30" s="14"/>
      <c r="AI30" s="14"/>
      <c r="AJ30" s="113"/>
      <c r="AY30" s="128"/>
      <c r="AZ30" s="24"/>
    </row>
    <row r="31">
      <c r="A31" s="188" t="s">
        <v>63</v>
      </c>
      <c r="B31" s="83"/>
      <c r="C31" s="63"/>
      <c r="D31" s="63"/>
      <c r="E31" s="64">
        <f>(O32+P32+Q32+R32)/(O33+P33+Q33+R33)</f>
        <v>0.4125</v>
      </c>
      <c r="F31" s="65"/>
      <c r="G31" s="66"/>
      <c r="H31" s="66"/>
      <c r="I31" s="67"/>
      <c r="J31" s="67"/>
      <c r="K31" s="177"/>
      <c r="L31" s="178"/>
      <c r="M31" s="295" t="s">
        <v>64</v>
      </c>
      <c r="N31" s="70"/>
      <c r="O31" s="71" t="s">
        <v>65</v>
      </c>
      <c r="P31" s="72"/>
      <c r="Q31" s="72"/>
      <c r="R31" s="70"/>
      <c r="S31" s="71" t="s">
        <v>66</v>
      </c>
      <c r="T31" s="70"/>
      <c r="U31" s="71" t="s">
        <v>67</v>
      </c>
      <c r="V31" s="70"/>
      <c r="W31" s="71" t="s">
        <v>68</v>
      </c>
      <c r="X31" s="70"/>
      <c r="Y31" s="134" t="s">
        <v>80</v>
      </c>
      <c r="Z31" s="74" t="s">
        <v>170</v>
      </c>
      <c r="AA31" s="75" t="s">
        <v>171</v>
      </c>
      <c r="AB31" s="75" t="s">
        <v>172</v>
      </c>
      <c r="AC31" s="167" t="s">
        <v>173</v>
      </c>
      <c r="AD31" s="74" t="s">
        <v>174</v>
      </c>
      <c r="AE31" s="63" t="s">
        <v>34</v>
      </c>
      <c r="AF31" s="78" t="s">
        <v>34</v>
      </c>
      <c r="AG31" s="79" t="s">
        <v>71</v>
      </c>
      <c r="AH31" s="79">
        <v>210.0</v>
      </c>
      <c r="AI31" s="79" t="s">
        <v>175</v>
      </c>
      <c r="AJ31" s="80" t="str">
        <f>AJ25</f>
        <v>開</v>
      </c>
      <c r="AK31" s="81" t="s">
        <v>50</v>
      </c>
      <c r="AL31" s="82" t="str">
        <f>AL25</f>
        <v>休</v>
      </c>
      <c r="AM31" s="81" t="s">
        <v>52</v>
      </c>
      <c r="AN31" s="82" t="s">
        <v>4</v>
      </c>
      <c r="AO31" s="81" t="s">
        <v>38</v>
      </c>
      <c r="AP31" s="82" t="str">
        <f>AP25</f>
        <v>傷</v>
      </c>
      <c r="AQ31" s="81" t="s">
        <v>40</v>
      </c>
      <c r="AR31" s="82" t="s">
        <v>8</v>
      </c>
      <c r="AS31" s="81" t="s">
        <v>42</v>
      </c>
      <c r="AT31" s="82" t="str">
        <f>AT25</f>
        <v>景</v>
      </c>
      <c r="AU31" s="81" t="s">
        <v>44</v>
      </c>
      <c r="AV31" s="82" t="str">
        <f>AV25</f>
        <v>死</v>
      </c>
      <c r="AW31" s="81" t="s">
        <v>46</v>
      </c>
      <c r="AX31" s="82" t="str">
        <f>AX25</f>
        <v>驚</v>
      </c>
      <c r="AY31" s="81" t="s">
        <v>48</v>
      </c>
      <c r="AZ31" s="83"/>
      <c r="BA31" s="84"/>
      <c r="BB31" s="84"/>
      <c r="BC31" s="84"/>
    </row>
    <row r="32">
      <c r="A32" s="85">
        <f>A26+1</f>
        <v>5</v>
      </c>
      <c r="B32" s="86"/>
      <c r="C32" s="12" t="s">
        <v>176</v>
      </c>
      <c r="E32" s="270" t="s">
        <v>79</v>
      </c>
      <c r="G32" s="273" t="str">
        <f t="shared" ref="G32:G33" si="32">G8:H8</f>
        <v>庚</v>
      </c>
      <c r="I32" s="268" t="str">
        <f t="shared" ref="I32:I33" si="33">I8:J8</f>
        <v>丙</v>
      </c>
      <c r="K32" s="90">
        <f>L32/L33</f>
        <v>0.41</v>
      </c>
      <c r="L32" s="126">
        <f t="shared" ref="L32:L33" si="34">O32+P32+Q32+U32+V32+W32+X32+R32+M32+N32+S32+T32</f>
        <v>410</v>
      </c>
      <c r="M32" s="101">
        <v>0.0</v>
      </c>
      <c r="N32" s="93">
        <v>0.0</v>
      </c>
      <c r="O32" s="92">
        <v>75.0</v>
      </c>
      <c r="P32" s="92">
        <v>20.0</v>
      </c>
      <c r="Q32" s="92">
        <v>20.0</v>
      </c>
      <c r="R32" s="93">
        <v>50.0</v>
      </c>
      <c r="S32" s="92">
        <v>0.0</v>
      </c>
      <c r="T32" s="93">
        <v>75.0</v>
      </c>
      <c r="U32" s="92">
        <f t="shared" ref="U32:V32" si="31">U8</f>
        <v>0</v>
      </c>
      <c r="V32" s="93">
        <f t="shared" si="31"/>
        <v>0</v>
      </c>
      <c r="W32" s="92">
        <v>110.0</v>
      </c>
      <c r="X32" s="93">
        <v>60.0</v>
      </c>
      <c r="Y32" s="73" t="s">
        <v>98</v>
      </c>
      <c r="Z32" s="94" t="s">
        <v>70</v>
      </c>
      <c r="AA32" s="36"/>
      <c r="AB32" s="169" t="s">
        <v>177</v>
      </c>
      <c r="AC32" s="170" t="s">
        <v>73</v>
      </c>
      <c r="AD32" s="94" t="s">
        <v>74</v>
      </c>
      <c r="AE32" s="37"/>
      <c r="AF32" s="97"/>
      <c r="AG32" s="12" t="s">
        <v>53</v>
      </c>
      <c r="AH32" s="12">
        <v>30.0</v>
      </c>
      <c r="AI32" s="12" t="s">
        <v>178</v>
      </c>
      <c r="AJ32" s="98" t="s">
        <v>51</v>
      </c>
      <c r="AK32" s="101" t="s">
        <v>95</v>
      </c>
      <c r="AL32" s="100" t="s">
        <v>86</v>
      </c>
      <c r="AM32" s="99" t="s">
        <v>87</v>
      </c>
      <c r="AN32" s="100" t="s">
        <v>88</v>
      </c>
      <c r="AO32" s="101" t="s">
        <v>89</v>
      </c>
      <c r="AP32" s="100" t="s">
        <v>45</v>
      </c>
      <c r="AQ32" s="102" t="s">
        <v>90</v>
      </c>
      <c r="AR32" s="100" t="s">
        <v>43</v>
      </c>
      <c r="AS32" s="101" t="s">
        <v>91</v>
      </c>
      <c r="AT32" s="100" t="s">
        <v>41</v>
      </c>
      <c r="AU32" s="103" t="s">
        <v>92</v>
      </c>
      <c r="AV32" s="100" t="s">
        <v>39</v>
      </c>
      <c r="AW32" s="99" t="s">
        <v>93</v>
      </c>
      <c r="AX32" s="100" t="s">
        <v>37</v>
      </c>
      <c r="AY32" s="99" t="s">
        <v>94</v>
      </c>
      <c r="AZ32" s="24"/>
    </row>
    <row r="33">
      <c r="A33" s="85" t="str">
        <f>A27</f>
        <v>มีนาคม</v>
      </c>
      <c r="B33" s="86"/>
      <c r="C33" s="140" t="s">
        <v>239</v>
      </c>
      <c r="E33" s="171" t="s">
        <v>180</v>
      </c>
      <c r="G33" s="274" t="str">
        <f t="shared" si="32"/>
        <v>寅</v>
      </c>
      <c r="I33" s="35" t="str">
        <f t="shared" si="33"/>
        <v>午</v>
      </c>
      <c r="K33" s="36"/>
      <c r="L33" s="109">
        <f t="shared" si="34"/>
        <v>1000</v>
      </c>
      <c r="M33" s="105">
        <v>0.0</v>
      </c>
      <c r="N33" s="110">
        <v>0.0</v>
      </c>
      <c r="O33" s="9">
        <v>100.0</v>
      </c>
      <c r="P33" s="9">
        <v>100.0</v>
      </c>
      <c r="Q33" s="9">
        <v>100.0</v>
      </c>
      <c r="R33" s="110">
        <v>100.0</v>
      </c>
      <c r="S33" s="9">
        <v>100.0</v>
      </c>
      <c r="T33" s="110">
        <v>100.0</v>
      </c>
      <c r="U33" s="9">
        <v>100.0</v>
      </c>
      <c r="V33" s="110">
        <v>100.0</v>
      </c>
      <c r="W33" s="9">
        <v>100.0</v>
      </c>
      <c r="X33" s="110">
        <v>100.0</v>
      </c>
      <c r="Y33" s="73" t="s">
        <v>116</v>
      </c>
      <c r="Z33" s="94" t="s">
        <v>181</v>
      </c>
      <c r="AA33" s="36"/>
      <c r="AB33" s="36"/>
      <c r="AC33" s="111"/>
      <c r="AD33" s="112"/>
      <c r="AE33" s="37"/>
      <c r="AF33" s="97"/>
      <c r="AG33" s="14"/>
      <c r="AH33" s="14"/>
      <c r="AI33" s="14"/>
      <c r="AJ33" s="113"/>
      <c r="AK33" s="105" t="s">
        <v>107</v>
      </c>
      <c r="AM33" s="104" t="s">
        <v>100</v>
      </c>
      <c r="AO33" s="114" t="s">
        <v>101</v>
      </c>
      <c r="AQ33" s="105" t="s">
        <v>102</v>
      </c>
      <c r="AS33" s="105" t="s">
        <v>103</v>
      </c>
      <c r="AU33" s="104" t="s">
        <v>104</v>
      </c>
      <c r="AW33" s="104" t="s">
        <v>105</v>
      </c>
      <c r="AY33" s="104" t="s">
        <v>106</v>
      </c>
      <c r="AZ33" s="24"/>
    </row>
    <row r="34">
      <c r="A34" s="85">
        <f>A10</f>
        <v>2569</v>
      </c>
      <c r="B34" s="86"/>
      <c r="E34" s="115" t="s">
        <v>182</v>
      </c>
      <c r="F34" s="116" t="s">
        <v>183</v>
      </c>
      <c r="G34" s="9" t="str">
        <f t="shared" ref="G34:H34" si="35">G10</f>
        <v>A10</v>
      </c>
      <c r="H34" s="9" t="str">
        <f t="shared" si="35"/>
        <v>B7</v>
      </c>
      <c r="I34" s="9" t="s">
        <v>204</v>
      </c>
      <c r="J34" s="9" t="s">
        <v>214</v>
      </c>
      <c r="K34" s="36"/>
      <c r="L34" s="117"/>
      <c r="M34" s="130" t="str">
        <f t="shared" ref="M34:P34" si="36">C34</f>
        <v/>
      </c>
      <c r="N34" s="119" t="str">
        <f t="shared" si="36"/>
        <v/>
      </c>
      <c r="O34" s="118" t="str">
        <f t="shared" si="36"/>
        <v>A1</v>
      </c>
      <c r="P34" s="118" t="str">
        <f t="shared" si="36"/>
        <v>B3</v>
      </c>
      <c r="Q34" s="118" t="str">
        <f t="shared" ref="Q34:R34" si="37">E35</f>
        <v>B3</v>
      </c>
      <c r="R34" s="119" t="str">
        <f t="shared" si="37"/>
        <v>C1</v>
      </c>
      <c r="S34" s="9" t="s">
        <v>114</v>
      </c>
      <c r="T34" s="110" t="s">
        <v>182</v>
      </c>
      <c r="U34" s="9" t="str">
        <f t="shared" ref="U34:X34" si="38">G34</f>
        <v>A10</v>
      </c>
      <c r="V34" s="110" t="str">
        <f t="shared" si="38"/>
        <v>B7</v>
      </c>
      <c r="W34" s="118" t="str">
        <f t="shared" si="38"/>
        <v>A5</v>
      </c>
      <c r="X34" s="120" t="str">
        <f t="shared" si="38"/>
        <v>B11</v>
      </c>
      <c r="Y34" s="73" t="s">
        <v>126</v>
      </c>
      <c r="Z34" s="94" t="s">
        <v>163</v>
      </c>
      <c r="AA34" s="36"/>
      <c r="AB34" s="36"/>
      <c r="AC34" s="111"/>
      <c r="AD34" s="112"/>
      <c r="AE34" s="37"/>
      <c r="AF34" s="97"/>
      <c r="AG34" s="14"/>
      <c r="AH34" s="14"/>
      <c r="AI34" s="14"/>
      <c r="AJ34" s="113"/>
      <c r="AK34" s="105" t="s">
        <v>125</v>
      </c>
      <c r="AM34" s="104" t="s">
        <v>118</v>
      </c>
      <c r="AO34" s="114" t="s">
        <v>119</v>
      </c>
      <c r="AQ34" s="105" t="s">
        <v>120</v>
      </c>
      <c r="AS34" s="105" t="s">
        <v>121</v>
      </c>
      <c r="AU34" s="104" t="s">
        <v>122</v>
      </c>
      <c r="AW34" s="104" t="s">
        <v>123</v>
      </c>
      <c r="AY34" s="104" t="s">
        <v>124</v>
      </c>
      <c r="AZ34" s="24"/>
    </row>
    <row r="35">
      <c r="A35" s="85">
        <f>A34-543</f>
        <v>2026</v>
      </c>
      <c r="B35" s="86"/>
      <c r="C35" s="181"/>
      <c r="E35" s="115" t="s">
        <v>183</v>
      </c>
      <c r="F35" s="116" t="s">
        <v>154</v>
      </c>
      <c r="G35" s="9"/>
      <c r="H35" s="118"/>
      <c r="I35" s="118"/>
      <c r="J35" s="118"/>
      <c r="K35" s="182"/>
      <c r="L35" s="183"/>
      <c r="M35" s="114"/>
      <c r="N35" s="121"/>
      <c r="O35" s="8"/>
      <c r="P35" s="8"/>
      <c r="Q35" s="8"/>
      <c r="R35" s="121"/>
      <c r="S35" s="8"/>
      <c r="T35" s="121"/>
      <c r="U35" s="9"/>
      <c r="V35" s="110"/>
      <c r="W35" s="9"/>
      <c r="X35" s="110"/>
      <c r="Y35" s="73" t="s">
        <v>69</v>
      </c>
      <c r="Z35" s="94" t="s">
        <v>99</v>
      </c>
      <c r="AA35" s="36"/>
      <c r="AB35" s="36"/>
      <c r="AC35" s="111"/>
      <c r="AD35" s="112"/>
      <c r="AE35" s="37"/>
      <c r="AF35" s="97"/>
      <c r="AG35" s="14"/>
      <c r="AH35" s="14"/>
      <c r="AI35" s="14"/>
      <c r="AJ35" s="113"/>
      <c r="AK35" s="105" t="s">
        <v>136</v>
      </c>
      <c r="AM35" s="104" t="s">
        <v>129</v>
      </c>
      <c r="AO35" s="114" t="s">
        <v>130</v>
      </c>
      <c r="AQ35" s="105" t="s">
        <v>131</v>
      </c>
      <c r="AS35" s="105" t="s">
        <v>132</v>
      </c>
      <c r="AU35" s="104" t="s">
        <v>133</v>
      </c>
      <c r="AW35" s="104" t="s">
        <v>134</v>
      </c>
      <c r="AY35" s="104" t="s">
        <v>135</v>
      </c>
      <c r="AZ35" s="24"/>
    </row>
    <row r="36">
      <c r="A36" s="305" t="s">
        <v>324</v>
      </c>
      <c r="B36" s="2"/>
      <c r="C36" s="185"/>
      <c r="D36" s="186"/>
      <c r="E36" s="164" t="s">
        <v>185</v>
      </c>
      <c r="F36" s="88"/>
      <c r="G36" s="39" t="s">
        <v>304</v>
      </c>
      <c r="I36" s="166" t="str">
        <f>I12:J12</f>
        <v>อสูรปี N</v>
      </c>
      <c r="K36" s="90"/>
      <c r="L36" s="126"/>
      <c r="M36" s="114"/>
      <c r="N36" s="121"/>
      <c r="O36" s="8"/>
      <c r="P36" s="8"/>
      <c r="Q36" s="8"/>
      <c r="R36" s="121"/>
      <c r="S36" s="8"/>
      <c r="T36" s="121"/>
      <c r="U36" s="9"/>
      <c r="V36" s="110"/>
      <c r="W36" s="9"/>
      <c r="X36" s="110"/>
      <c r="Y36" s="127"/>
      <c r="Z36" s="155"/>
      <c r="AA36" s="36"/>
      <c r="AB36" s="36"/>
      <c r="AC36" s="111"/>
      <c r="AD36" s="112"/>
      <c r="AE36" s="37"/>
      <c r="AF36" s="97"/>
      <c r="AG36" s="14"/>
      <c r="AH36" s="14"/>
      <c r="AI36" s="14"/>
      <c r="AJ36" s="113"/>
      <c r="AY36" s="128"/>
      <c r="AZ36" s="24"/>
    </row>
    <row r="37">
      <c r="A37" s="188" t="s">
        <v>63</v>
      </c>
      <c r="B37" s="83"/>
      <c r="C37" s="63"/>
      <c r="D37" s="63"/>
      <c r="E37" s="64">
        <f>(O38+P38+Q38+R38)/(O39+P39+Q39+R39)</f>
        <v>0.5125</v>
      </c>
      <c r="F37" s="65"/>
      <c r="G37" s="66"/>
      <c r="H37" s="66"/>
      <c r="I37" s="67"/>
      <c r="J37" s="67"/>
      <c r="K37" s="177"/>
      <c r="L37" s="178"/>
      <c r="M37" s="295" t="s">
        <v>64</v>
      </c>
      <c r="N37" s="70"/>
      <c r="O37" s="71" t="s">
        <v>65</v>
      </c>
      <c r="P37" s="72"/>
      <c r="Q37" s="72"/>
      <c r="R37" s="70"/>
      <c r="S37" s="71" t="s">
        <v>66</v>
      </c>
      <c r="T37" s="70"/>
      <c r="U37" s="71" t="s">
        <v>67</v>
      </c>
      <c r="V37" s="70"/>
      <c r="W37" s="71" t="s">
        <v>68</v>
      </c>
      <c r="X37" s="70"/>
      <c r="Y37" s="134" t="s">
        <v>80</v>
      </c>
      <c r="Z37" s="74" t="s">
        <v>159</v>
      </c>
      <c r="AA37" s="75" t="s">
        <v>171</v>
      </c>
      <c r="AB37" s="75" t="s">
        <v>172</v>
      </c>
      <c r="AC37" s="167" t="s">
        <v>173</v>
      </c>
      <c r="AD37" s="74" t="s">
        <v>174</v>
      </c>
      <c r="AE37" s="63" t="s">
        <v>34</v>
      </c>
      <c r="AF37" s="78" t="s">
        <v>34</v>
      </c>
      <c r="AG37" s="79" t="s">
        <v>71</v>
      </c>
      <c r="AH37" s="79">
        <v>210.0</v>
      </c>
      <c r="AI37" s="79" t="s">
        <v>175</v>
      </c>
      <c r="AJ37" s="80" t="str">
        <f>AJ31</f>
        <v>開</v>
      </c>
      <c r="AK37" s="81" t="s">
        <v>50</v>
      </c>
      <c r="AL37" s="82" t="str">
        <f>AL31</f>
        <v>休</v>
      </c>
      <c r="AM37" s="81" t="s">
        <v>52</v>
      </c>
      <c r="AN37" s="82" t="s">
        <v>4</v>
      </c>
      <c r="AO37" s="81" t="s">
        <v>38</v>
      </c>
      <c r="AP37" s="82" t="str">
        <f>AP31</f>
        <v>傷</v>
      </c>
      <c r="AQ37" s="81" t="s">
        <v>40</v>
      </c>
      <c r="AR37" s="82" t="s">
        <v>8</v>
      </c>
      <c r="AS37" s="81" t="s">
        <v>42</v>
      </c>
      <c r="AT37" s="82" t="str">
        <f>AT31</f>
        <v>景</v>
      </c>
      <c r="AU37" s="81" t="s">
        <v>44</v>
      </c>
      <c r="AV37" s="82" t="str">
        <f>AV31</f>
        <v>死</v>
      </c>
      <c r="AW37" s="81" t="s">
        <v>46</v>
      </c>
      <c r="AX37" s="82" t="str">
        <f>AX31</f>
        <v>驚</v>
      </c>
      <c r="AY37" s="81" t="s">
        <v>48</v>
      </c>
      <c r="AZ37" s="83"/>
      <c r="BA37" s="84"/>
      <c r="BB37" s="84"/>
      <c r="BC37" s="84"/>
    </row>
    <row r="38">
      <c r="A38" s="179">
        <f t="shared" ref="A38:A39" si="39">A32</f>
        <v>5</v>
      </c>
      <c r="B38" s="86"/>
      <c r="C38" s="12" t="s">
        <v>176</v>
      </c>
      <c r="E38" s="168" t="s">
        <v>79</v>
      </c>
      <c r="G38" s="273" t="str">
        <f t="shared" ref="G38:G39" si="40">G3:H3</f>
        <v>辛</v>
      </c>
      <c r="I38" s="268" t="str">
        <f t="shared" ref="I38:I39" si="41">I3:J3</f>
        <v>丙</v>
      </c>
      <c r="K38" s="90">
        <f>L38/L39</f>
        <v>0.565</v>
      </c>
      <c r="L38" s="126">
        <f t="shared" ref="L38:L39" si="42">O38+P38+Q38+U38+V38+W38+X38+R38+M38+N38+S38+T38</f>
        <v>565</v>
      </c>
      <c r="M38" s="101">
        <v>0.0</v>
      </c>
      <c r="N38" s="93">
        <v>0.0</v>
      </c>
      <c r="O38" s="92">
        <v>75.0</v>
      </c>
      <c r="P38" s="92">
        <v>70.0</v>
      </c>
      <c r="Q38" s="92">
        <v>30.0</v>
      </c>
      <c r="R38" s="93">
        <v>30.0</v>
      </c>
      <c r="S38" s="92">
        <v>65.0</v>
      </c>
      <c r="T38" s="93">
        <v>35.0</v>
      </c>
      <c r="U38" s="92">
        <v>0.0</v>
      </c>
      <c r="V38" s="93">
        <v>90.0</v>
      </c>
      <c r="W38" s="92">
        <v>110.0</v>
      </c>
      <c r="X38" s="93">
        <v>60.0</v>
      </c>
      <c r="Y38" s="73" t="s">
        <v>98</v>
      </c>
      <c r="Z38" s="94" t="s">
        <v>152</v>
      </c>
      <c r="AA38" s="36"/>
      <c r="AB38" s="169" t="s">
        <v>177</v>
      </c>
      <c r="AC38" s="170" t="s">
        <v>73</v>
      </c>
      <c r="AD38" s="94" t="s">
        <v>74</v>
      </c>
      <c r="AE38" s="37"/>
      <c r="AF38" s="97"/>
      <c r="AG38" s="12" t="s">
        <v>53</v>
      </c>
      <c r="AH38" s="12">
        <v>30.0</v>
      </c>
      <c r="AI38" s="12" t="s">
        <v>178</v>
      </c>
      <c r="AJ38" s="98" t="s">
        <v>51</v>
      </c>
      <c r="AK38" s="101" t="s">
        <v>95</v>
      </c>
      <c r="AL38" s="100" t="s">
        <v>86</v>
      </c>
      <c r="AM38" s="99" t="s">
        <v>87</v>
      </c>
      <c r="AN38" s="100" t="s">
        <v>88</v>
      </c>
      <c r="AO38" s="101" t="s">
        <v>89</v>
      </c>
      <c r="AP38" s="100" t="s">
        <v>45</v>
      </c>
      <c r="AQ38" s="102" t="s">
        <v>90</v>
      </c>
      <c r="AR38" s="100" t="s">
        <v>43</v>
      </c>
      <c r="AS38" s="101" t="s">
        <v>91</v>
      </c>
      <c r="AT38" s="100" t="s">
        <v>41</v>
      </c>
      <c r="AU38" s="103" t="s">
        <v>92</v>
      </c>
      <c r="AV38" s="100" t="s">
        <v>39</v>
      </c>
      <c r="AW38" s="99" t="s">
        <v>93</v>
      </c>
      <c r="AX38" s="100" t="s">
        <v>37</v>
      </c>
      <c r="AY38" s="99" t="s">
        <v>94</v>
      </c>
      <c r="AZ38" s="24"/>
    </row>
    <row r="39">
      <c r="A39" s="85" t="str">
        <f t="shared" si="39"/>
        <v>มีนาคม</v>
      </c>
      <c r="B39" s="86"/>
      <c r="C39" s="140" t="s">
        <v>231</v>
      </c>
      <c r="E39" s="171" t="s">
        <v>180</v>
      </c>
      <c r="G39" s="274" t="str">
        <f t="shared" si="40"/>
        <v>卯</v>
      </c>
      <c r="I39" s="35" t="str">
        <f t="shared" si="41"/>
        <v>午</v>
      </c>
      <c r="K39" s="36"/>
      <c r="L39" s="109">
        <f t="shared" si="42"/>
        <v>1000</v>
      </c>
      <c r="M39" s="105">
        <v>0.0</v>
      </c>
      <c r="N39" s="110">
        <v>0.0</v>
      </c>
      <c r="O39" s="9">
        <v>100.0</v>
      </c>
      <c r="P39" s="9">
        <v>100.0</v>
      </c>
      <c r="Q39" s="9">
        <v>100.0</v>
      </c>
      <c r="R39" s="110">
        <v>100.0</v>
      </c>
      <c r="S39" s="9">
        <v>100.0</v>
      </c>
      <c r="T39" s="110">
        <v>100.0</v>
      </c>
      <c r="U39" s="9">
        <v>100.0</v>
      </c>
      <c r="V39" s="110">
        <v>100.0</v>
      </c>
      <c r="W39" s="9">
        <v>100.0</v>
      </c>
      <c r="X39" s="110">
        <v>100.0</v>
      </c>
      <c r="Y39" s="73" t="s">
        <v>116</v>
      </c>
      <c r="Z39" s="94" t="s">
        <v>81</v>
      </c>
      <c r="AA39" s="36"/>
      <c r="AB39" s="36"/>
      <c r="AC39" s="111"/>
      <c r="AD39" s="112"/>
      <c r="AE39" s="37"/>
      <c r="AF39" s="97"/>
      <c r="AG39" s="14"/>
      <c r="AH39" s="14"/>
      <c r="AI39" s="14"/>
      <c r="AJ39" s="113"/>
      <c r="AK39" s="105" t="s">
        <v>107</v>
      </c>
      <c r="AM39" s="104" t="s">
        <v>100</v>
      </c>
      <c r="AO39" s="114" t="s">
        <v>101</v>
      </c>
      <c r="AQ39" s="105" t="s">
        <v>102</v>
      </c>
      <c r="AS39" s="105" t="s">
        <v>103</v>
      </c>
      <c r="AU39" s="104" t="s">
        <v>104</v>
      </c>
      <c r="AW39" s="104" t="s">
        <v>105</v>
      </c>
      <c r="AY39" s="104" t="s">
        <v>106</v>
      </c>
      <c r="AZ39" s="24"/>
    </row>
    <row r="40">
      <c r="A40" s="85">
        <f>A16</f>
        <v>2569</v>
      </c>
      <c r="B40" s="86"/>
      <c r="E40" s="115" t="s">
        <v>182</v>
      </c>
      <c r="F40" s="116" t="s">
        <v>80</v>
      </c>
      <c r="G40" s="9" t="s">
        <v>114</v>
      </c>
      <c r="H40" s="9" t="s">
        <v>69</v>
      </c>
      <c r="I40" s="9" t="s">
        <v>204</v>
      </c>
      <c r="J40" s="9" t="s">
        <v>214</v>
      </c>
      <c r="K40" s="36"/>
      <c r="L40" s="117"/>
      <c r="M40" s="130" t="str">
        <f t="shared" ref="M40:P40" si="43">C40</f>
        <v/>
      </c>
      <c r="N40" s="119" t="str">
        <f t="shared" si="43"/>
        <v/>
      </c>
      <c r="O40" s="118" t="str">
        <f t="shared" si="43"/>
        <v>A1</v>
      </c>
      <c r="P40" s="118" t="str">
        <f t="shared" si="43"/>
        <v>B1</v>
      </c>
      <c r="Q40" s="118" t="str">
        <f t="shared" ref="Q40:R40" si="44">E41</f>
        <v>B3</v>
      </c>
      <c r="R40" s="119" t="str">
        <f t="shared" si="44"/>
        <v>C12</v>
      </c>
      <c r="S40" s="9" t="s">
        <v>110</v>
      </c>
      <c r="T40" s="110" t="s">
        <v>112</v>
      </c>
      <c r="U40" s="9" t="str">
        <f t="shared" ref="U40:X40" si="45">G40</f>
        <v>A10</v>
      </c>
      <c r="V40" s="110" t="str">
        <f t="shared" si="45"/>
        <v>B8</v>
      </c>
      <c r="W40" s="118" t="str">
        <f t="shared" si="45"/>
        <v>A5</v>
      </c>
      <c r="X40" s="120" t="str">
        <f t="shared" si="45"/>
        <v>B11</v>
      </c>
      <c r="Y40" s="73" t="s">
        <v>126</v>
      </c>
      <c r="Z40" s="94" t="s">
        <v>99</v>
      </c>
      <c r="AA40" s="36"/>
      <c r="AB40" s="36"/>
      <c r="AC40" s="111"/>
      <c r="AD40" s="112"/>
      <c r="AE40" s="37"/>
      <c r="AF40" s="97"/>
      <c r="AG40" s="14"/>
      <c r="AH40" s="14"/>
      <c r="AI40" s="14"/>
      <c r="AJ40" s="113"/>
      <c r="AK40" s="105" t="s">
        <v>125</v>
      </c>
      <c r="AM40" s="104" t="s">
        <v>118</v>
      </c>
      <c r="AO40" s="114" t="s">
        <v>119</v>
      </c>
      <c r="AQ40" s="105" t="s">
        <v>120</v>
      </c>
      <c r="AS40" s="105" t="s">
        <v>121</v>
      </c>
      <c r="AU40" s="104" t="s">
        <v>122</v>
      </c>
      <c r="AW40" s="104" t="s">
        <v>123</v>
      </c>
      <c r="AY40" s="104" t="s">
        <v>124</v>
      </c>
      <c r="AZ40" s="24"/>
    </row>
    <row r="41">
      <c r="A41" s="85">
        <f>A40-543</f>
        <v>2026</v>
      </c>
      <c r="B41" s="86"/>
      <c r="C41" s="140"/>
      <c r="D41" s="140"/>
      <c r="E41" s="115" t="s">
        <v>183</v>
      </c>
      <c r="F41" s="116" t="s">
        <v>127</v>
      </c>
      <c r="G41" s="9"/>
      <c r="H41" s="118"/>
      <c r="I41" s="118"/>
      <c r="J41" s="118"/>
      <c r="K41" s="182"/>
      <c r="L41" s="183"/>
      <c r="M41" s="114"/>
      <c r="N41" s="121"/>
      <c r="O41" s="8"/>
      <c r="P41" s="8"/>
      <c r="Q41" s="8"/>
      <c r="R41" s="121"/>
      <c r="S41" s="8"/>
      <c r="T41" s="121"/>
      <c r="U41" s="9"/>
      <c r="V41" s="110"/>
      <c r="W41" s="9"/>
      <c r="X41" s="110"/>
      <c r="Y41" s="73" t="s">
        <v>69</v>
      </c>
      <c r="Z41" s="94" t="s">
        <v>155</v>
      </c>
      <c r="AA41" s="36"/>
      <c r="AB41" s="36"/>
      <c r="AC41" s="111"/>
      <c r="AD41" s="112"/>
      <c r="AE41" s="37"/>
      <c r="AF41" s="97"/>
      <c r="AG41" s="14"/>
      <c r="AH41" s="14"/>
      <c r="AI41" s="14"/>
      <c r="AJ41" s="113"/>
      <c r="AK41" s="105" t="s">
        <v>136</v>
      </c>
      <c r="AM41" s="104" t="s">
        <v>129</v>
      </c>
      <c r="AO41" s="114" t="s">
        <v>130</v>
      </c>
      <c r="AQ41" s="105" t="s">
        <v>131</v>
      </c>
      <c r="AS41" s="105" t="s">
        <v>132</v>
      </c>
      <c r="AU41" s="104" t="s">
        <v>133</v>
      </c>
      <c r="AW41" s="104" t="s">
        <v>134</v>
      </c>
      <c r="AY41" s="104" t="s">
        <v>135</v>
      </c>
      <c r="AZ41" s="24"/>
    </row>
    <row r="42">
      <c r="A42" s="184">
        <v>0.8736111111111111</v>
      </c>
      <c r="B42" s="2"/>
      <c r="C42" s="185"/>
      <c r="D42" s="186"/>
      <c r="E42" s="164" t="s">
        <v>185</v>
      </c>
      <c r="F42" s="88"/>
      <c r="G42" s="39" t="str">
        <f>G5</f>
        <v>อสูรเดือน W</v>
      </c>
      <c r="I42" s="166" t="str">
        <f>I18:J18</f>
        <v>อสูรปี N</v>
      </c>
      <c r="K42" s="90"/>
      <c r="L42" s="126"/>
      <c r="M42" s="114"/>
      <c r="N42" s="121"/>
      <c r="O42" s="8"/>
      <c r="P42" s="8"/>
      <c r="Q42" s="8"/>
      <c r="R42" s="121"/>
      <c r="S42" s="8"/>
      <c r="T42" s="121"/>
      <c r="U42" s="9"/>
      <c r="V42" s="110"/>
      <c r="W42" s="9"/>
      <c r="X42" s="110"/>
      <c r="Y42" s="127"/>
      <c r="Z42" s="155"/>
      <c r="AA42" s="36"/>
      <c r="AB42" s="36"/>
      <c r="AC42" s="111"/>
      <c r="AD42" s="112"/>
      <c r="AE42" s="37"/>
      <c r="AF42" s="97"/>
      <c r="AG42" s="14"/>
      <c r="AH42" s="14"/>
      <c r="AI42" s="14"/>
      <c r="AJ42" s="113"/>
      <c r="AY42" s="128"/>
      <c r="AZ42" s="24"/>
    </row>
    <row r="43">
      <c r="A43" s="188" t="s">
        <v>139</v>
      </c>
      <c r="B43" s="189"/>
      <c r="C43" s="63"/>
      <c r="D43" s="72"/>
      <c r="E43" s="64">
        <f>(O44+P44+Q44+R44)/(O45+P45+Q45+R45)</f>
        <v>0.5625</v>
      </c>
      <c r="F43" s="65"/>
      <c r="G43" s="133"/>
      <c r="H43" s="66"/>
      <c r="I43" s="67"/>
      <c r="J43" s="67"/>
      <c r="K43" s="68"/>
      <c r="L43" s="69"/>
      <c r="M43" s="295" t="s">
        <v>64</v>
      </c>
      <c r="N43" s="70"/>
      <c r="O43" s="71" t="s">
        <v>65</v>
      </c>
      <c r="P43" s="72"/>
      <c r="Q43" s="72"/>
      <c r="R43" s="70"/>
      <c r="S43" s="71" t="s">
        <v>66</v>
      </c>
      <c r="T43" s="70"/>
      <c r="U43" s="71" t="s">
        <v>67</v>
      </c>
      <c r="V43" s="70"/>
      <c r="W43" s="71" t="s">
        <v>68</v>
      </c>
      <c r="X43" s="70"/>
      <c r="Y43" s="134" t="s">
        <v>80</v>
      </c>
      <c r="Z43" s="74" t="s">
        <v>181</v>
      </c>
      <c r="AA43" s="75" t="s">
        <v>171</v>
      </c>
      <c r="AB43" s="75" t="s">
        <v>172</v>
      </c>
      <c r="AC43" s="167" t="s">
        <v>173</v>
      </c>
      <c r="AD43" s="74" t="s">
        <v>174</v>
      </c>
      <c r="AE43" s="63" t="s">
        <v>34</v>
      </c>
      <c r="AF43" s="78" t="s">
        <v>75</v>
      </c>
      <c r="AG43" s="79" t="s">
        <v>84</v>
      </c>
      <c r="AH43" s="79">
        <v>0.0</v>
      </c>
      <c r="AI43" s="79" t="s">
        <v>85</v>
      </c>
      <c r="AJ43" s="80" t="str">
        <f>AJ31</f>
        <v>開</v>
      </c>
      <c r="AK43" s="81" t="s">
        <v>44</v>
      </c>
      <c r="AL43" s="82" t="str">
        <f>AL31</f>
        <v>休</v>
      </c>
      <c r="AM43" s="81" t="s">
        <v>46</v>
      </c>
      <c r="AN43" s="82" t="s">
        <v>4</v>
      </c>
      <c r="AO43" s="81" t="s">
        <v>48</v>
      </c>
      <c r="AP43" s="82" t="str">
        <f>AP31</f>
        <v>傷</v>
      </c>
      <c r="AQ43" s="81" t="s">
        <v>50</v>
      </c>
      <c r="AR43" s="82" t="s">
        <v>8</v>
      </c>
      <c r="AS43" s="81" t="s">
        <v>52</v>
      </c>
      <c r="AT43" s="82" t="str">
        <f>AT31</f>
        <v>景</v>
      </c>
      <c r="AU43" s="81" t="s">
        <v>38</v>
      </c>
      <c r="AV43" s="82" t="str">
        <f>AV31</f>
        <v>死</v>
      </c>
      <c r="AW43" s="81" t="s">
        <v>40</v>
      </c>
      <c r="AX43" s="82" t="str">
        <f>AX31</f>
        <v>驚</v>
      </c>
      <c r="AY43" s="81" t="s">
        <v>42</v>
      </c>
      <c r="AZ43" s="191"/>
      <c r="BA43" s="84"/>
      <c r="BB43" s="84"/>
      <c r="BC43" s="84"/>
    </row>
    <row r="44">
      <c r="A44" s="192">
        <f>A32+1</f>
        <v>6</v>
      </c>
      <c r="B44" s="193"/>
      <c r="C44" s="12" t="s">
        <v>187</v>
      </c>
      <c r="E44" s="270" t="s">
        <v>30</v>
      </c>
      <c r="F44" s="88"/>
      <c r="G44" s="273" t="str">
        <f t="shared" ref="G44:G45" si="48">G3:H3</f>
        <v>辛</v>
      </c>
      <c r="I44" s="275" t="str">
        <f t="shared" ref="I44:I45" si="49">I32:J32</f>
        <v>丙</v>
      </c>
      <c r="K44" s="90">
        <f>L44/L45</f>
        <v>0.5</v>
      </c>
      <c r="L44" s="126">
        <f t="shared" ref="L44:L45" si="50">O44+P44+Q44+U44+V44+W44+X44+R44+M44+N44+S44+T44</f>
        <v>500</v>
      </c>
      <c r="M44" s="101">
        <v>0.0</v>
      </c>
      <c r="N44" s="93">
        <v>0.0</v>
      </c>
      <c r="O44" s="92">
        <v>15.0</v>
      </c>
      <c r="P44" s="92">
        <v>80.0</v>
      </c>
      <c r="Q44" s="92">
        <v>80.0</v>
      </c>
      <c r="R44" s="93">
        <v>50.0</v>
      </c>
      <c r="S44" s="92">
        <v>0.0</v>
      </c>
      <c r="T44" s="93">
        <v>15.0</v>
      </c>
      <c r="U44" s="92">
        <f t="shared" ref="U44:V44" si="46">U38</f>
        <v>0</v>
      </c>
      <c r="V44" s="93">
        <f t="shared" si="46"/>
        <v>90</v>
      </c>
      <c r="W44" s="92">
        <f t="shared" ref="W44:X44" si="47">W32</f>
        <v>110</v>
      </c>
      <c r="X44" s="93">
        <f t="shared" si="47"/>
        <v>60</v>
      </c>
      <c r="Y44" s="73" t="s">
        <v>98</v>
      </c>
      <c r="Z44" s="94" t="s">
        <v>163</v>
      </c>
      <c r="AA44" s="36"/>
      <c r="AB44" s="169" t="s">
        <v>177</v>
      </c>
      <c r="AC44" s="170" t="s">
        <v>73</v>
      </c>
      <c r="AD44" s="94" t="s">
        <v>74</v>
      </c>
      <c r="AE44" s="37"/>
      <c r="AF44" s="97"/>
      <c r="AG44" s="12" t="s">
        <v>76</v>
      </c>
      <c r="AH44" s="12">
        <v>240.0</v>
      </c>
      <c r="AI44" s="12" t="s">
        <v>77</v>
      </c>
      <c r="AJ44" s="98" t="s">
        <v>88</v>
      </c>
      <c r="AK44" s="101" t="s">
        <v>89</v>
      </c>
      <c r="AL44" s="100" t="s">
        <v>45</v>
      </c>
      <c r="AM44" s="102" t="s">
        <v>90</v>
      </c>
      <c r="AN44" s="100" t="s">
        <v>43</v>
      </c>
      <c r="AO44" s="101" t="s">
        <v>91</v>
      </c>
      <c r="AP44" s="100" t="s">
        <v>41</v>
      </c>
      <c r="AQ44" s="103" t="s">
        <v>92</v>
      </c>
      <c r="AR44" s="100" t="s">
        <v>39</v>
      </c>
      <c r="AS44" s="99" t="s">
        <v>93</v>
      </c>
      <c r="AT44" s="100" t="s">
        <v>37</v>
      </c>
      <c r="AU44" s="99" t="s">
        <v>94</v>
      </c>
      <c r="AV44" s="100" t="s">
        <v>51</v>
      </c>
      <c r="AW44" s="101" t="s">
        <v>95</v>
      </c>
      <c r="AX44" s="100" t="s">
        <v>86</v>
      </c>
      <c r="AY44" s="99" t="s">
        <v>87</v>
      </c>
      <c r="AZ44" s="24"/>
    </row>
    <row r="45">
      <c r="A45" s="196" t="str">
        <f>A33</f>
        <v>มีนาคม</v>
      </c>
      <c r="B45" s="193"/>
      <c r="C45" s="140" t="s">
        <v>235</v>
      </c>
      <c r="E45" s="171" t="s">
        <v>189</v>
      </c>
      <c r="F45" s="88"/>
      <c r="G45" s="274" t="str">
        <f t="shared" si="48"/>
        <v>卯</v>
      </c>
      <c r="I45" s="142" t="str">
        <f t="shared" si="49"/>
        <v>午</v>
      </c>
      <c r="K45" s="36"/>
      <c r="L45" s="109">
        <f t="shared" si="50"/>
        <v>1000</v>
      </c>
      <c r="M45" s="105">
        <v>0.0</v>
      </c>
      <c r="N45" s="110">
        <v>0.0</v>
      </c>
      <c r="O45" s="9">
        <v>100.0</v>
      </c>
      <c r="P45" s="9">
        <v>100.0</v>
      </c>
      <c r="Q45" s="9">
        <v>100.0</v>
      </c>
      <c r="R45" s="110">
        <v>100.0</v>
      </c>
      <c r="S45" s="9">
        <v>100.0</v>
      </c>
      <c r="T45" s="110">
        <v>100.0</v>
      </c>
      <c r="U45" s="9">
        <v>100.0</v>
      </c>
      <c r="V45" s="110">
        <v>100.0</v>
      </c>
      <c r="W45" s="9">
        <v>100.0</v>
      </c>
      <c r="X45" s="110">
        <v>100.0</v>
      </c>
      <c r="Y45" s="73" t="s">
        <v>116</v>
      </c>
      <c r="Z45" s="94" t="s">
        <v>153</v>
      </c>
      <c r="AA45" s="36"/>
      <c r="AB45" s="36"/>
      <c r="AC45" s="111"/>
      <c r="AD45" s="112"/>
      <c r="AE45" s="37"/>
      <c r="AF45" s="97"/>
      <c r="AG45" s="14"/>
      <c r="AH45" s="14"/>
      <c r="AI45" s="14"/>
      <c r="AJ45" s="113"/>
      <c r="AK45" s="114" t="s">
        <v>101</v>
      </c>
      <c r="AM45" s="105" t="s">
        <v>102</v>
      </c>
      <c r="AO45" s="105" t="s">
        <v>103</v>
      </c>
      <c r="AQ45" s="104" t="s">
        <v>104</v>
      </c>
      <c r="AS45" s="104" t="s">
        <v>105</v>
      </c>
      <c r="AU45" s="104" t="s">
        <v>106</v>
      </c>
      <c r="AW45" s="105" t="s">
        <v>107</v>
      </c>
      <c r="AY45" s="104" t="s">
        <v>100</v>
      </c>
      <c r="AZ45" s="24"/>
    </row>
    <row r="46">
      <c r="A46" s="192">
        <f>A10</f>
        <v>2569</v>
      </c>
      <c r="B46" s="193"/>
      <c r="E46" s="115" t="s">
        <v>115</v>
      </c>
      <c r="F46" s="116" t="s">
        <v>98</v>
      </c>
      <c r="G46" s="115" t="str">
        <f>G34</f>
        <v>A10</v>
      </c>
      <c r="H46" s="9" t="str">
        <f>H40</f>
        <v>B8</v>
      </c>
      <c r="I46" s="9" t="str">
        <f t="shared" ref="I46:J46" si="51">I34</f>
        <v>A5</v>
      </c>
      <c r="J46" s="9" t="str">
        <f t="shared" si="51"/>
        <v>B11</v>
      </c>
      <c r="K46" s="36"/>
      <c r="L46" s="117"/>
      <c r="M46" s="130" t="str">
        <f t="shared" ref="M46:P46" si="52">C46</f>
        <v/>
      </c>
      <c r="N46" s="119" t="str">
        <f t="shared" si="52"/>
        <v/>
      </c>
      <c r="O46" s="118" t="str">
        <f t="shared" si="52"/>
        <v>A7</v>
      </c>
      <c r="P46" s="118" t="str">
        <f t="shared" si="52"/>
        <v>B2</v>
      </c>
      <c r="Q46" s="118" t="str">
        <f t="shared" ref="Q46:R46" si="53">E47</f>
        <v>B2</v>
      </c>
      <c r="R46" s="119" t="str">
        <f t="shared" si="53"/>
        <v>C1</v>
      </c>
      <c r="S46" s="9" t="s">
        <v>114</v>
      </c>
      <c r="T46" s="110" t="s">
        <v>115</v>
      </c>
      <c r="U46" s="9" t="str">
        <f t="shared" ref="U46:X46" si="54">G46</f>
        <v>A10</v>
      </c>
      <c r="V46" s="119" t="str">
        <f t="shared" si="54"/>
        <v>B8</v>
      </c>
      <c r="W46" s="118" t="str">
        <f t="shared" si="54"/>
        <v>A5</v>
      </c>
      <c r="X46" s="120" t="str">
        <f t="shared" si="54"/>
        <v>B11</v>
      </c>
      <c r="Y46" s="73" t="s">
        <v>126</v>
      </c>
      <c r="Z46" s="94" t="s">
        <v>155</v>
      </c>
      <c r="AA46" s="36"/>
      <c r="AB46" s="36"/>
      <c r="AC46" s="111"/>
      <c r="AD46" s="112"/>
      <c r="AE46" s="37"/>
      <c r="AF46" s="97"/>
      <c r="AG46" s="14"/>
      <c r="AH46" s="14"/>
      <c r="AI46" s="14"/>
      <c r="AJ46" s="113"/>
      <c r="AK46" s="114" t="s">
        <v>119</v>
      </c>
      <c r="AM46" s="105" t="s">
        <v>120</v>
      </c>
      <c r="AO46" s="105" t="s">
        <v>121</v>
      </c>
      <c r="AQ46" s="104" t="s">
        <v>122</v>
      </c>
      <c r="AS46" s="104" t="s">
        <v>123</v>
      </c>
      <c r="AU46" s="104" t="s">
        <v>124</v>
      </c>
      <c r="AW46" s="105" t="s">
        <v>125</v>
      </c>
      <c r="AY46" s="104" t="s">
        <v>118</v>
      </c>
      <c r="AZ46" s="24"/>
    </row>
    <row r="47">
      <c r="A47" s="192">
        <f>A46-543</f>
        <v>2026</v>
      </c>
      <c r="B47" s="193"/>
      <c r="C47" s="140"/>
      <c r="D47" s="140"/>
      <c r="E47" s="115" t="s">
        <v>98</v>
      </c>
      <c r="F47" s="116" t="s">
        <v>154</v>
      </c>
      <c r="G47" s="115"/>
      <c r="H47" s="118"/>
      <c r="I47" s="118"/>
      <c r="J47" s="118"/>
      <c r="K47" s="36"/>
      <c r="L47" s="117"/>
      <c r="M47" s="114"/>
      <c r="N47" s="121"/>
      <c r="O47" s="8"/>
      <c r="P47" s="8"/>
      <c r="Q47" s="8"/>
      <c r="R47" s="121"/>
      <c r="S47" s="8"/>
      <c r="T47" s="121"/>
      <c r="U47" s="9"/>
      <c r="V47" s="110"/>
      <c r="W47" s="9"/>
      <c r="X47" s="110"/>
      <c r="Y47" s="73" t="s">
        <v>69</v>
      </c>
      <c r="Z47" s="94" t="s">
        <v>128</v>
      </c>
      <c r="AA47" s="36"/>
      <c r="AB47" s="36"/>
      <c r="AC47" s="111"/>
      <c r="AD47" s="112"/>
      <c r="AE47" s="37"/>
      <c r="AF47" s="97"/>
      <c r="AG47" s="14"/>
      <c r="AH47" s="14"/>
      <c r="AI47" s="14"/>
      <c r="AJ47" s="113"/>
      <c r="AK47" s="114" t="s">
        <v>130</v>
      </c>
      <c r="AM47" s="105" t="s">
        <v>131</v>
      </c>
      <c r="AO47" s="105" t="s">
        <v>132</v>
      </c>
      <c r="AQ47" s="104" t="s">
        <v>133</v>
      </c>
      <c r="AS47" s="104" t="s">
        <v>134</v>
      </c>
      <c r="AU47" s="104" t="s">
        <v>135</v>
      </c>
      <c r="AW47" s="105" t="s">
        <v>136</v>
      </c>
      <c r="AY47" s="104" t="s">
        <v>129</v>
      </c>
      <c r="AZ47" s="24"/>
    </row>
    <row r="48">
      <c r="A48" s="279"/>
      <c r="B48" s="197"/>
      <c r="C48" s="123"/>
      <c r="D48" s="123"/>
      <c r="E48" s="176" t="s">
        <v>137</v>
      </c>
      <c r="F48" s="88"/>
      <c r="G48" s="165" t="str">
        <f>G5</f>
        <v>อสูรเดือน W</v>
      </c>
      <c r="I48" s="166" t="str">
        <f>I12:J12</f>
        <v>อสูรปี N</v>
      </c>
      <c r="K48" s="90"/>
      <c r="L48" s="126"/>
      <c r="M48" s="114"/>
      <c r="N48" s="121"/>
      <c r="O48" s="8"/>
      <c r="P48" s="8"/>
      <c r="Q48" s="8"/>
      <c r="R48" s="121"/>
      <c r="S48" s="8"/>
      <c r="T48" s="121"/>
      <c r="U48" s="9"/>
      <c r="V48" s="110"/>
      <c r="W48" s="9"/>
      <c r="X48" s="110"/>
      <c r="Y48" s="127"/>
      <c r="Z48" s="155"/>
      <c r="AA48" s="36"/>
      <c r="AB48" s="36"/>
      <c r="AC48" s="111"/>
      <c r="AD48" s="112"/>
      <c r="AE48" s="37"/>
      <c r="AF48" s="97"/>
      <c r="AG48" s="14"/>
      <c r="AH48" s="14"/>
      <c r="AI48" s="14"/>
      <c r="AJ48" s="113"/>
      <c r="AU48" s="128"/>
      <c r="AZ48" s="24"/>
    </row>
    <row r="49">
      <c r="A49" s="188" t="s">
        <v>158</v>
      </c>
      <c r="B49" s="189"/>
      <c r="C49" s="63"/>
      <c r="D49" s="63"/>
      <c r="E49" s="64">
        <f>(O50+P50+Q50+R50)/(O51+P51+Q51+R51)</f>
        <v>0.475</v>
      </c>
      <c r="F49" s="65"/>
      <c r="G49" s="133"/>
      <c r="H49" s="66"/>
      <c r="I49" s="67"/>
      <c r="J49" s="67"/>
      <c r="K49" s="68"/>
      <c r="L49" s="69"/>
      <c r="M49" s="295" t="s">
        <v>64</v>
      </c>
      <c r="N49" s="70"/>
      <c r="O49" s="71" t="s">
        <v>65</v>
      </c>
      <c r="P49" s="72"/>
      <c r="Q49" s="72"/>
      <c r="R49" s="70"/>
      <c r="S49" s="71" t="s">
        <v>66</v>
      </c>
      <c r="T49" s="70"/>
      <c r="U49" s="71" t="s">
        <v>67</v>
      </c>
      <c r="V49" s="70"/>
      <c r="W49" s="71" t="s">
        <v>68</v>
      </c>
      <c r="X49" s="70"/>
      <c r="Y49" s="134" t="s">
        <v>69</v>
      </c>
      <c r="Z49" s="74" t="s">
        <v>70</v>
      </c>
      <c r="AA49" s="75" t="s">
        <v>189</v>
      </c>
      <c r="AB49" s="75" t="s">
        <v>192</v>
      </c>
      <c r="AC49" s="190" t="s">
        <v>173</v>
      </c>
      <c r="AD49" s="77" t="s">
        <v>193</v>
      </c>
      <c r="AE49" s="63" t="s">
        <v>36</v>
      </c>
      <c r="AF49" s="78" t="s">
        <v>144</v>
      </c>
      <c r="AG49" s="79" t="s">
        <v>53</v>
      </c>
      <c r="AH49" s="79">
        <v>30.0</v>
      </c>
      <c r="AI49" s="79" t="s">
        <v>178</v>
      </c>
      <c r="AJ49" s="80" t="str">
        <f>AJ37</f>
        <v>開</v>
      </c>
      <c r="AK49" s="81" t="s">
        <v>44</v>
      </c>
      <c r="AL49" s="82" t="str">
        <f>AL37</f>
        <v>休</v>
      </c>
      <c r="AM49" s="81" t="s">
        <v>46</v>
      </c>
      <c r="AN49" s="82" t="s">
        <v>4</v>
      </c>
      <c r="AO49" s="81" t="s">
        <v>48</v>
      </c>
      <c r="AP49" s="82" t="str">
        <f>AP37</f>
        <v>傷</v>
      </c>
      <c r="AQ49" s="81" t="s">
        <v>50</v>
      </c>
      <c r="AR49" s="82" t="s">
        <v>8</v>
      </c>
      <c r="AS49" s="81" t="s">
        <v>52</v>
      </c>
      <c r="AT49" s="82" t="str">
        <f>AT37</f>
        <v>景</v>
      </c>
      <c r="AU49" s="81" t="s">
        <v>38</v>
      </c>
      <c r="AV49" s="82" t="str">
        <f>AV37</f>
        <v>死</v>
      </c>
      <c r="AW49" s="81" t="s">
        <v>40</v>
      </c>
      <c r="AX49" s="82" t="str">
        <f>AX37</f>
        <v>驚</v>
      </c>
      <c r="AY49" s="81" t="s">
        <v>42</v>
      </c>
      <c r="AZ49" s="83"/>
      <c r="BA49" s="84"/>
      <c r="BB49" s="84"/>
      <c r="BC49" s="84"/>
    </row>
    <row r="50">
      <c r="A50" s="192">
        <f>A44+1</f>
        <v>7</v>
      </c>
      <c r="B50" s="193"/>
      <c r="C50" s="12" t="s">
        <v>194</v>
      </c>
      <c r="E50" s="194" t="s">
        <v>195</v>
      </c>
      <c r="G50" s="273" t="str">
        <f t="shared" ref="G50:G51" si="57">G3:H3</f>
        <v>辛</v>
      </c>
      <c r="I50" s="268" t="str">
        <f t="shared" ref="I50:I51" si="58">I32:J32</f>
        <v>丙</v>
      </c>
      <c r="K50" s="90">
        <f>L50/L51</f>
        <v>0.565</v>
      </c>
      <c r="L50" s="126">
        <f t="shared" ref="L50:L51" si="59">O50+P50+Q50+U50+V50+W50+X50+R50+M50+N50+S50+T50</f>
        <v>565</v>
      </c>
      <c r="M50" s="101">
        <v>0.0</v>
      </c>
      <c r="N50" s="93">
        <v>0.0</v>
      </c>
      <c r="O50" s="92">
        <v>70.0</v>
      </c>
      <c r="P50" s="92">
        <v>20.0</v>
      </c>
      <c r="Q50" s="92">
        <v>70.0</v>
      </c>
      <c r="R50" s="93">
        <v>30.0</v>
      </c>
      <c r="S50" s="92">
        <v>50.0</v>
      </c>
      <c r="T50" s="93">
        <v>65.0</v>
      </c>
      <c r="U50" s="92">
        <f t="shared" ref="U50:V50" si="55">U38</f>
        <v>0</v>
      </c>
      <c r="V50" s="93">
        <f t="shared" si="55"/>
        <v>90</v>
      </c>
      <c r="W50" s="92">
        <f t="shared" ref="W50:X50" si="56">W32</f>
        <v>110</v>
      </c>
      <c r="X50" s="93">
        <f t="shared" si="56"/>
        <v>60</v>
      </c>
      <c r="Y50" s="73" t="s">
        <v>80</v>
      </c>
      <c r="Z50" s="94" t="s">
        <v>81</v>
      </c>
      <c r="AA50" s="36"/>
      <c r="AB50" s="169"/>
      <c r="AC50" s="195" t="s">
        <v>196</v>
      </c>
      <c r="AD50" s="96" t="s">
        <v>149</v>
      </c>
      <c r="AE50" s="37"/>
      <c r="AF50" s="97"/>
      <c r="AG50" s="12" t="s">
        <v>71</v>
      </c>
      <c r="AH50" s="12">
        <v>210.0</v>
      </c>
      <c r="AI50" s="12" t="s">
        <v>175</v>
      </c>
      <c r="AJ50" s="98" t="s">
        <v>86</v>
      </c>
      <c r="AK50" s="99" t="s">
        <v>87</v>
      </c>
      <c r="AL50" s="100" t="s">
        <v>88</v>
      </c>
      <c r="AM50" s="101" t="s">
        <v>89</v>
      </c>
      <c r="AN50" s="100" t="s">
        <v>45</v>
      </c>
      <c r="AO50" s="102" t="s">
        <v>90</v>
      </c>
      <c r="AP50" s="100" t="s">
        <v>43</v>
      </c>
      <c r="AQ50" s="101" t="s">
        <v>91</v>
      </c>
      <c r="AR50" s="100" t="s">
        <v>41</v>
      </c>
      <c r="AS50" s="103" t="s">
        <v>92</v>
      </c>
      <c r="AT50" s="100" t="s">
        <v>39</v>
      </c>
      <c r="AU50" s="99" t="s">
        <v>93</v>
      </c>
      <c r="AV50" s="100" t="s">
        <v>37</v>
      </c>
      <c r="AW50" s="99" t="s">
        <v>94</v>
      </c>
      <c r="AX50" s="100" t="s">
        <v>51</v>
      </c>
      <c r="AY50" s="101" t="s">
        <v>95</v>
      </c>
      <c r="AZ50" s="24"/>
    </row>
    <row r="51">
      <c r="A51" s="196" t="str">
        <f t="shared" ref="A51:A52" si="60">A9</f>
        <v>มีนาคม</v>
      </c>
      <c r="B51" s="193"/>
      <c r="C51" s="140" t="s">
        <v>239</v>
      </c>
      <c r="E51" s="162" t="s">
        <v>197</v>
      </c>
      <c r="G51" s="274" t="str">
        <f t="shared" si="57"/>
        <v>卯</v>
      </c>
      <c r="I51" s="142" t="str">
        <f t="shared" si="58"/>
        <v>午</v>
      </c>
      <c r="K51" s="36"/>
      <c r="L51" s="109">
        <f t="shared" si="59"/>
        <v>1000</v>
      </c>
      <c r="M51" s="105">
        <v>0.0</v>
      </c>
      <c r="N51" s="110">
        <v>0.0</v>
      </c>
      <c r="O51" s="9">
        <v>100.0</v>
      </c>
      <c r="P51" s="9">
        <v>100.0</v>
      </c>
      <c r="Q51" s="9">
        <v>100.0</v>
      </c>
      <c r="R51" s="110">
        <v>100.0</v>
      </c>
      <c r="S51" s="9">
        <v>100.0</v>
      </c>
      <c r="T51" s="110">
        <v>100.0</v>
      </c>
      <c r="U51" s="9">
        <v>100.0</v>
      </c>
      <c r="V51" s="110">
        <v>100.0</v>
      </c>
      <c r="W51" s="9">
        <v>100.0</v>
      </c>
      <c r="X51" s="110">
        <v>100.0</v>
      </c>
      <c r="Y51" s="73" t="s">
        <v>98</v>
      </c>
      <c r="Z51" s="94" t="s">
        <v>99</v>
      </c>
      <c r="AA51" s="36"/>
      <c r="AB51" s="36"/>
      <c r="AC51" s="111"/>
      <c r="AD51" s="112"/>
      <c r="AE51" s="37"/>
      <c r="AF51" s="97"/>
      <c r="AG51" s="14"/>
      <c r="AH51" s="14"/>
      <c r="AI51" s="14"/>
      <c r="AJ51" s="113"/>
      <c r="AK51" s="104" t="s">
        <v>100</v>
      </c>
      <c r="AM51" s="114" t="s">
        <v>101</v>
      </c>
      <c r="AO51" s="105" t="s">
        <v>102</v>
      </c>
      <c r="AQ51" s="105" t="s">
        <v>103</v>
      </c>
      <c r="AS51" s="104" t="s">
        <v>104</v>
      </c>
      <c r="AU51" s="104" t="s">
        <v>105</v>
      </c>
      <c r="AW51" s="104" t="s">
        <v>106</v>
      </c>
      <c r="AY51" s="105" t="s">
        <v>107</v>
      </c>
      <c r="AZ51" s="24"/>
    </row>
    <row r="52">
      <c r="A52" s="192">
        <f t="shared" si="60"/>
        <v>2569</v>
      </c>
      <c r="B52" s="193"/>
      <c r="E52" s="115" t="s">
        <v>165</v>
      </c>
      <c r="F52" s="116" t="s">
        <v>183</v>
      </c>
      <c r="G52" s="115" t="str">
        <f>G34</f>
        <v>A10</v>
      </c>
      <c r="H52" s="9" t="str">
        <f>H40</f>
        <v>B8</v>
      </c>
      <c r="I52" s="9" t="str">
        <f t="shared" ref="I52:J52" si="61">I34</f>
        <v>A5</v>
      </c>
      <c r="J52" s="9" t="str">
        <f t="shared" si="61"/>
        <v>B11</v>
      </c>
      <c r="K52" s="36"/>
      <c r="L52" s="117"/>
      <c r="M52" s="130" t="str">
        <f t="shared" ref="M52:P52" si="62">C52</f>
        <v/>
      </c>
      <c r="N52" s="119" t="str">
        <f t="shared" si="62"/>
        <v/>
      </c>
      <c r="O52" s="118" t="str">
        <f t="shared" si="62"/>
        <v>A12</v>
      </c>
      <c r="P52" s="118" t="str">
        <f t="shared" si="62"/>
        <v>B3</v>
      </c>
      <c r="Q52" s="118" t="str">
        <f t="shared" ref="Q52:R52" si="63">E53</f>
        <v>B1</v>
      </c>
      <c r="R52" s="119" t="str">
        <f t="shared" si="63"/>
        <v>C2</v>
      </c>
      <c r="S52" s="9" t="s">
        <v>164</v>
      </c>
      <c r="T52" s="110" t="s">
        <v>110</v>
      </c>
      <c r="U52" s="9" t="str">
        <f t="shared" ref="U52:X52" si="64">G52</f>
        <v>A10</v>
      </c>
      <c r="V52" s="119" t="str">
        <f t="shared" si="64"/>
        <v>B8</v>
      </c>
      <c r="W52" s="118" t="str">
        <f t="shared" si="64"/>
        <v>A5</v>
      </c>
      <c r="X52" s="120" t="str">
        <f t="shared" si="64"/>
        <v>B11</v>
      </c>
      <c r="Y52" s="73" t="s">
        <v>116</v>
      </c>
      <c r="Z52" s="94" t="s">
        <v>117</v>
      </c>
      <c r="AA52" s="36"/>
      <c r="AB52" s="36"/>
      <c r="AC52" s="111"/>
      <c r="AD52" s="112"/>
      <c r="AE52" s="37"/>
      <c r="AF52" s="97"/>
      <c r="AG52" s="14"/>
      <c r="AH52" s="14"/>
      <c r="AI52" s="14"/>
      <c r="AJ52" s="113"/>
      <c r="AK52" s="104" t="s">
        <v>118</v>
      </c>
      <c r="AM52" s="114" t="s">
        <v>119</v>
      </c>
      <c r="AO52" s="105" t="s">
        <v>120</v>
      </c>
      <c r="AQ52" s="105" t="s">
        <v>121</v>
      </c>
      <c r="AS52" s="104" t="s">
        <v>122</v>
      </c>
      <c r="AU52" s="104" t="s">
        <v>123</v>
      </c>
      <c r="AW52" s="104" t="s">
        <v>124</v>
      </c>
      <c r="AY52" s="105" t="s">
        <v>125</v>
      </c>
      <c r="AZ52" s="24"/>
    </row>
    <row r="53">
      <c r="A53" s="192">
        <f>A52-543</f>
        <v>2026</v>
      </c>
      <c r="B53" s="193"/>
      <c r="C53" s="140"/>
      <c r="D53" s="140"/>
      <c r="E53" s="115" t="s">
        <v>80</v>
      </c>
      <c r="F53" s="116" t="s">
        <v>167</v>
      </c>
      <c r="G53" s="115"/>
      <c r="H53" s="118"/>
      <c r="I53" s="118"/>
      <c r="J53" s="118"/>
      <c r="K53" s="36"/>
      <c r="L53" s="117"/>
      <c r="M53" s="128"/>
      <c r="N53" s="117"/>
      <c r="O53" s="118"/>
      <c r="P53" s="118"/>
      <c r="Q53" s="118"/>
      <c r="R53" s="119"/>
      <c r="S53" s="118"/>
      <c r="T53" s="119"/>
      <c r="V53" s="117"/>
      <c r="X53" s="117"/>
      <c r="Y53" s="73" t="s">
        <v>126</v>
      </c>
      <c r="Z53" s="94" t="s">
        <v>128</v>
      </c>
      <c r="AA53" s="36"/>
      <c r="AB53" s="36"/>
      <c r="AC53" s="111"/>
      <c r="AD53" s="112"/>
      <c r="AE53" s="37"/>
      <c r="AF53" s="97"/>
      <c r="AG53" s="14"/>
      <c r="AH53" s="14"/>
      <c r="AI53" s="14"/>
      <c r="AJ53" s="113"/>
      <c r="AK53" s="104" t="s">
        <v>129</v>
      </c>
      <c r="AM53" s="114" t="s">
        <v>130</v>
      </c>
      <c r="AO53" s="105" t="s">
        <v>131</v>
      </c>
      <c r="AQ53" s="105" t="s">
        <v>132</v>
      </c>
      <c r="AS53" s="104" t="s">
        <v>133</v>
      </c>
      <c r="AU53" s="104" t="s">
        <v>134</v>
      </c>
      <c r="AW53" s="104" t="s">
        <v>135</v>
      </c>
      <c r="AY53" s="105" t="s">
        <v>136</v>
      </c>
      <c r="AZ53" s="24"/>
    </row>
    <row r="54">
      <c r="A54" s="196"/>
      <c r="B54" s="197"/>
      <c r="C54" s="123"/>
      <c r="D54" s="123"/>
      <c r="E54" s="198" t="s">
        <v>157</v>
      </c>
      <c r="F54" s="88"/>
      <c r="G54" s="165" t="str">
        <f>G5</f>
        <v>อสูรเดือน W</v>
      </c>
      <c r="I54" s="166" t="str">
        <f>I12:J12</f>
        <v>อสูรปี N</v>
      </c>
      <c r="K54" s="90"/>
      <c r="L54" s="126"/>
      <c r="M54" s="114"/>
      <c r="N54" s="121"/>
      <c r="O54" s="9"/>
      <c r="P54" s="9"/>
      <c r="Q54" s="9"/>
      <c r="R54" s="110"/>
      <c r="S54" s="9"/>
      <c r="T54" s="110"/>
      <c r="U54" s="9"/>
      <c r="V54" s="110"/>
      <c r="W54" s="9"/>
      <c r="X54" s="110"/>
      <c r="Y54" s="233"/>
      <c r="Z54" s="234"/>
      <c r="AA54" s="36"/>
      <c r="AB54" s="36"/>
      <c r="AC54" s="111"/>
      <c r="AD54" s="112"/>
      <c r="AE54" s="37"/>
      <c r="AF54" s="97"/>
      <c r="AG54" s="14"/>
      <c r="AH54" s="14"/>
      <c r="AI54" s="14"/>
      <c r="AJ54" s="113"/>
      <c r="AK54" s="128"/>
      <c r="AM54" s="128"/>
      <c r="AO54" s="128"/>
      <c r="AQ54" s="129"/>
      <c r="AS54" s="130"/>
      <c r="AU54" s="131"/>
      <c r="AW54" s="131"/>
      <c r="AY54" s="131"/>
      <c r="AZ54" s="24"/>
    </row>
    <row r="55">
      <c r="A55" s="188" t="s">
        <v>169</v>
      </c>
      <c r="B55" s="189"/>
      <c r="C55" s="63"/>
      <c r="D55" s="63"/>
      <c r="E55" s="64">
        <f>(O56+P56+Q56+R56)/(O57+P57+Q57+R57)</f>
        <v>0.3125</v>
      </c>
      <c r="F55" s="65"/>
      <c r="G55" s="133"/>
      <c r="H55" s="72"/>
      <c r="I55" s="67"/>
      <c r="J55" s="72"/>
      <c r="K55" s="68"/>
      <c r="L55" s="69"/>
      <c r="M55" s="295" t="s">
        <v>64</v>
      </c>
      <c r="N55" s="70"/>
      <c r="O55" s="71" t="s">
        <v>65</v>
      </c>
      <c r="P55" s="72"/>
      <c r="Q55" s="72"/>
      <c r="R55" s="70"/>
      <c r="S55" s="71" t="s">
        <v>66</v>
      </c>
      <c r="T55" s="70"/>
      <c r="U55" s="71" t="s">
        <v>67</v>
      </c>
      <c r="V55" s="70"/>
      <c r="W55" s="71" t="s">
        <v>68</v>
      </c>
      <c r="X55" s="70"/>
      <c r="Y55" s="134" t="s">
        <v>116</v>
      </c>
      <c r="Z55" s="74" t="s">
        <v>140</v>
      </c>
      <c r="AA55" s="75" t="s">
        <v>171</v>
      </c>
      <c r="AB55" s="75" t="s">
        <v>172</v>
      </c>
      <c r="AC55" s="190" t="s">
        <v>173</v>
      </c>
      <c r="AD55" s="77" t="s">
        <v>193</v>
      </c>
      <c r="AE55" s="63" t="s">
        <v>36</v>
      </c>
      <c r="AF55" s="78" t="s">
        <v>36</v>
      </c>
      <c r="AG55" s="79" t="s">
        <v>180</v>
      </c>
      <c r="AH55" s="79">
        <v>60.0</v>
      </c>
      <c r="AI55" s="79" t="s">
        <v>200</v>
      </c>
      <c r="AJ55" s="80" t="str">
        <f>AJ49</f>
        <v>開</v>
      </c>
      <c r="AK55" s="81" t="s">
        <v>52</v>
      </c>
      <c r="AL55" s="82" t="str">
        <f>AL49</f>
        <v>休</v>
      </c>
      <c r="AM55" s="81" t="s">
        <v>38</v>
      </c>
      <c r="AN55" s="82" t="s">
        <v>4</v>
      </c>
      <c r="AO55" s="81" t="s">
        <v>40</v>
      </c>
      <c r="AP55" s="82" t="str">
        <f>AP49</f>
        <v>傷</v>
      </c>
      <c r="AQ55" s="81" t="s">
        <v>42</v>
      </c>
      <c r="AR55" s="82" t="str">
        <f>AR49</f>
        <v>杜</v>
      </c>
      <c r="AS55" s="81" t="s">
        <v>44</v>
      </c>
      <c r="AT55" s="82" t="str">
        <f>AT49</f>
        <v>景</v>
      </c>
      <c r="AU55" s="81" t="s">
        <v>46</v>
      </c>
      <c r="AV55" s="82" t="str">
        <f>AV49</f>
        <v>死</v>
      </c>
      <c r="AW55" s="81" t="s">
        <v>48</v>
      </c>
      <c r="AX55" s="82" t="str">
        <f>AX49</f>
        <v>驚</v>
      </c>
      <c r="AY55" s="81" t="s">
        <v>50</v>
      </c>
      <c r="AZ55" s="83"/>
      <c r="BA55" s="84"/>
      <c r="BB55" s="84"/>
      <c r="BC55" s="84"/>
    </row>
    <row r="56">
      <c r="A56" s="192">
        <f>A50+1</f>
        <v>8</v>
      </c>
      <c r="B56" s="193"/>
      <c r="C56" s="12" t="s">
        <v>78</v>
      </c>
      <c r="E56" s="306" t="s">
        <v>201</v>
      </c>
      <c r="G56" s="273" t="str">
        <f t="shared" ref="G56:G57" si="67">G3:H3</f>
        <v>辛</v>
      </c>
      <c r="I56" s="268" t="str">
        <f t="shared" ref="I56:I57" si="68">I32:J32</f>
        <v>丙</v>
      </c>
      <c r="K56" s="90">
        <f>L56/L57</f>
        <v>0.39</v>
      </c>
      <c r="L56" s="126">
        <f t="shared" ref="L56:L57" si="69">O56+P56+Q56+U56+V56+W56+X56+R56+M56+N56+S56+T56</f>
        <v>390</v>
      </c>
      <c r="M56" s="101">
        <v>0.0</v>
      </c>
      <c r="N56" s="93">
        <v>0.0</v>
      </c>
      <c r="O56" s="92">
        <v>5.0</v>
      </c>
      <c r="P56" s="92">
        <v>30.0</v>
      </c>
      <c r="Q56" s="92">
        <v>10.0</v>
      </c>
      <c r="R56" s="93">
        <v>80.0</v>
      </c>
      <c r="S56" s="92">
        <v>5.0</v>
      </c>
      <c r="T56" s="93">
        <v>0.0</v>
      </c>
      <c r="U56" s="92">
        <f t="shared" ref="U56:V56" si="65">U38</f>
        <v>0</v>
      </c>
      <c r="V56" s="93">
        <f t="shared" si="65"/>
        <v>90</v>
      </c>
      <c r="W56" s="92">
        <f t="shared" ref="W56:X56" si="66">W32</f>
        <v>110</v>
      </c>
      <c r="X56" s="93">
        <f t="shared" si="66"/>
        <v>60</v>
      </c>
      <c r="Y56" s="73" t="s">
        <v>126</v>
      </c>
      <c r="Z56" s="94" t="s">
        <v>70</v>
      </c>
      <c r="AA56" s="36"/>
      <c r="AB56" s="36"/>
      <c r="AC56" s="195" t="s">
        <v>196</v>
      </c>
      <c r="AD56" s="96" t="s">
        <v>149</v>
      </c>
      <c r="AE56" s="37"/>
      <c r="AF56" s="97"/>
      <c r="AG56" s="12" t="s">
        <v>202</v>
      </c>
      <c r="AH56" s="12">
        <v>180.0</v>
      </c>
      <c r="AI56" s="12" t="s">
        <v>203</v>
      </c>
      <c r="AJ56" s="98" t="s">
        <v>37</v>
      </c>
      <c r="AK56" s="99" t="s">
        <v>94</v>
      </c>
      <c r="AL56" s="100" t="s">
        <v>51</v>
      </c>
      <c r="AM56" s="101" t="s">
        <v>95</v>
      </c>
      <c r="AN56" s="100" t="s">
        <v>86</v>
      </c>
      <c r="AO56" s="99" t="s">
        <v>87</v>
      </c>
      <c r="AP56" s="100" t="s">
        <v>88</v>
      </c>
      <c r="AQ56" s="101" t="s">
        <v>89</v>
      </c>
      <c r="AR56" s="100" t="s">
        <v>45</v>
      </c>
      <c r="AS56" s="102" t="s">
        <v>90</v>
      </c>
      <c r="AT56" s="100" t="s">
        <v>43</v>
      </c>
      <c r="AU56" s="101" t="s">
        <v>91</v>
      </c>
      <c r="AV56" s="100" t="s">
        <v>41</v>
      </c>
      <c r="AW56" s="103" t="s">
        <v>92</v>
      </c>
      <c r="AX56" s="100" t="s">
        <v>39</v>
      </c>
      <c r="AY56" s="99" t="s">
        <v>93</v>
      </c>
      <c r="AZ56" s="24"/>
    </row>
    <row r="57">
      <c r="A57" s="200" t="str">
        <f>G2</f>
        <v>มีนาคม</v>
      </c>
      <c r="B57" s="193"/>
      <c r="C57" s="106" t="s">
        <v>96</v>
      </c>
      <c r="E57" s="201" t="s">
        <v>54</v>
      </c>
      <c r="G57" s="274" t="str">
        <f t="shared" si="67"/>
        <v>卯</v>
      </c>
      <c r="I57" s="142" t="str">
        <f t="shared" si="68"/>
        <v>午</v>
      </c>
      <c r="K57" s="36"/>
      <c r="L57" s="109">
        <f t="shared" si="69"/>
        <v>1000</v>
      </c>
      <c r="M57" s="105">
        <v>0.0</v>
      </c>
      <c r="N57" s="110">
        <v>0.0</v>
      </c>
      <c r="O57" s="9">
        <v>100.0</v>
      </c>
      <c r="P57" s="9">
        <v>100.0</v>
      </c>
      <c r="Q57" s="9">
        <v>100.0</v>
      </c>
      <c r="R57" s="110">
        <v>100.0</v>
      </c>
      <c r="S57" s="9">
        <v>100.0</v>
      </c>
      <c r="T57" s="110">
        <v>100.0</v>
      </c>
      <c r="U57" s="9">
        <v>100.0</v>
      </c>
      <c r="V57" s="110">
        <v>100.0</v>
      </c>
      <c r="W57" s="9">
        <v>100.0</v>
      </c>
      <c r="X57" s="110">
        <v>100.0</v>
      </c>
      <c r="Y57" s="73" t="s">
        <v>69</v>
      </c>
      <c r="Z57" s="94" t="s">
        <v>152</v>
      </c>
      <c r="AA57" s="36"/>
      <c r="AB57" s="36"/>
      <c r="AC57" s="111"/>
      <c r="AD57" s="112"/>
      <c r="AE57" s="37"/>
      <c r="AF57" s="97"/>
      <c r="AG57" s="14"/>
      <c r="AH57" s="14"/>
      <c r="AI57" s="14"/>
      <c r="AJ57" s="113"/>
      <c r="AK57" s="104" t="s">
        <v>106</v>
      </c>
      <c r="AM57" s="105" t="s">
        <v>107</v>
      </c>
      <c r="AO57" s="104" t="s">
        <v>100</v>
      </c>
      <c r="AQ57" s="114" t="s">
        <v>101</v>
      </c>
      <c r="AS57" s="105" t="s">
        <v>102</v>
      </c>
      <c r="AU57" s="105" t="s">
        <v>103</v>
      </c>
      <c r="AW57" s="104" t="s">
        <v>104</v>
      </c>
      <c r="AY57" s="104" t="s">
        <v>105</v>
      </c>
      <c r="AZ57" s="24"/>
    </row>
    <row r="58">
      <c r="A58" s="192">
        <f>A10</f>
        <v>2569</v>
      </c>
      <c r="B58" s="193"/>
      <c r="E58" s="115" t="s">
        <v>108</v>
      </c>
      <c r="F58" s="116" t="s">
        <v>109</v>
      </c>
      <c r="G58" s="115" t="str">
        <f>G34</f>
        <v>A10</v>
      </c>
      <c r="H58" s="9" t="str">
        <f>H40</f>
        <v>B8</v>
      </c>
      <c r="I58" s="9" t="str">
        <f t="shared" ref="I58:J58" si="70">I34</f>
        <v>A5</v>
      </c>
      <c r="J58" s="9" t="str">
        <f t="shared" si="70"/>
        <v>B11</v>
      </c>
      <c r="K58" s="36"/>
      <c r="L58" s="117"/>
      <c r="M58" s="130" t="str">
        <f t="shared" ref="M58:P58" si="71">C58</f>
        <v/>
      </c>
      <c r="N58" s="119" t="str">
        <f t="shared" si="71"/>
        <v/>
      </c>
      <c r="O58" s="118" t="str">
        <f t="shared" si="71"/>
        <v>A8</v>
      </c>
      <c r="P58" s="118" t="str">
        <f t="shared" si="71"/>
        <v>B4</v>
      </c>
      <c r="Q58" s="118" t="str">
        <f t="shared" ref="Q58:R58" si="72">E59</f>
        <v>B12</v>
      </c>
      <c r="R58" s="119" t="str">
        <f t="shared" si="72"/>
        <v>C3</v>
      </c>
      <c r="S58" s="9" t="s">
        <v>108</v>
      </c>
      <c r="T58" s="110" t="s">
        <v>114</v>
      </c>
      <c r="U58" s="9" t="str">
        <f t="shared" ref="U58:X58" si="73">G58</f>
        <v>A10</v>
      </c>
      <c r="V58" s="119" t="str">
        <f t="shared" si="73"/>
        <v>B8</v>
      </c>
      <c r="W58" s="118" t="str">
        <f t="shared" si="73"/>
        <v>A5</v>
      </c>
      <c r="X58" s="120" t="str">
        <f t="shared" si="73"/>
        <v>B11</v>
      </c>
      <c r="Y58" s="73" t="s">
        <v>80</v>
      </c>
      <c r="Z58" s="94" t="s">
        <v>153</v>
      </c>
      <c r="AA58" s="36"/>
      <c r="AB58" s="36"/>
      <c r="AC58" s="111"/>
      <c r="AD58" s="112"/>
      <c r="AE58" s="37"/>
      <c r="AF58" s="97"/>
      <c r="AG58" s="14"/>
      <c r="AH58" s="14"/>
      <c r="AI58" s="14"/>
      <c r="AJ58" s="113"/>
      <c r="AK58" s="104" t="s">
        <v>124</v>
      </c>
      <c r="AM58" s="105" t="s">
        <v>125</v>
      </c>
      <c r="AO58" s="104" t="s">
        <v>118</v>
      </c>
      <c r="AQ58" s="114" t="s">
        <v>119</v>
      </c>
      <c r="AS58" s="105" t="s">
        <v>120</v>
      </c>
      <c r="AU58" s="105" t="s">
        <v>121</v>
      </c>
      <c r="AW58" s="104" t="s">
        <v>122</v>
      </c>
      <c r="AY58" s="104" t="s">
        <v>123</v>
      </c>
      <c r="AZ58" s="24"/>
    </row>
    <row r="59">
      <c r="A59" s="192">
        <f>A58-543</f>
        <v>2026</v>
      </c>
      <c r="B59" s="193"/>
      <c r="C59" s="106"/>
      <c r="D59" s="106"/>
      <c r="E59" s="115" t="s">
        <v>113</v>
      </c>
      <c r="F59" s="116" t="s">
        <v>184</v>
      </c>
      <c r="G59" s="115"/>
      <c r="H59" s="118"/>
      <c r="I59" s="118"/>
      <c r="J59" s="118"/>
      <c r="K59" s="36"/>
      <c r="L59" s="117"/>
      <c r="M59" s="128"/>
      <c r="N59" s="117"/>
      <c r="R59" s="117"/>
      <c r="T59" s="117"/>
      <c r="V59" s="117"/>
      <c r="X59" s="117"/>
      <c r="Y59" s="73" t="s">
        <v>98</v>
      </c>
      <c r="Z59" s="94" t="s">
        <v>155</v>
      </c>
      <c r="AA59" s="36"/>
      <c r="AB59" s="36"/>
      <c r="AC59" s="111"/>
      <c r="AD59" s="112"/>
      <c r="AE59" s="37"/>
      <c r="AF59" s="97"/>
      <c r="AG59" s="14"/>
      <c r="AH59" s="14"/>
      <c r="AI59" s="14"/>
      <c r="AJ59" s="113"/>
      <c r="AK59" s="104" t="s">
        <v>135</v>
      </c>
      <c r="AM59" s="105" t="s">
        <v>136</v>
      </c>
      <c r="AO59" s="104" t="s">
        <v>129</v>
      </c>
      <c r="AQ59" s="114" t="s">
        <v>130</v>
      </c>
      <c r="AS59" s="105" t="s">
        <v>131</v>
      </c>
      <c r="AU59" s="105" t="s">
        <v>132</v>
      </c>
      <c r="AW59" s="104" t="s">
        <v>133</v>
      </c>
      <c r="AY59" s="104" t="s">
        <v>134</v>
      </c>
      <c r="AZ59" s="24"/>
    </row>
    <row r="60">
      <c r="A60" s="272"/>
      <c r="B60" s="197"/>
      <c r="C60" s="123"/>
      <c r="D60" s="123"/>
      <c r="E60" s="164" t="s">
        <v>168</v>
      </c>
      <c r="F60" s="88"/>
      <c r="G60" s="165" t="str">
        <f>G5</f>
        <v>อสูรเดือน W</v>
      </c>
      <c r="I60" s="166" t="str">
        <f>I12:J12</f>
        <v>อสูรปี N</v>
      </c>
      <c r="K60" s="90"/>
      <c r="L60" s="126"/>
      <c r="M60" s="114"/>
      <c r="N60" s="121"/>
      <c r="O60" s="8"/>
      <c r="P60" s="8"/>
      <c r="Q60" s="8"/>
      <c r="R60" s="121"/>
      <c r="S60" s="8"/>
      <c r="T60" s="121"/>
      <c r="U60" s="9"/>
      <c r="V60" s="110"/>
      <c r="W60" s="9"/>
      <c r="X60" s="110"/>
      <c r="Y60" s="127"/>
      <c r="Z60" s="155"/>
      <c r="AA60" s="36"/>
      <c r="AB60" s="36"/>
      <c r="AC60" s="111"/>
      <c r="AD60" s="112"/>
      <c r="AE60" s="37"/>
      <c r="AF60" s="97"/>
      <c r="AG60" s="14"/>
      <c r="AH60" s="14"/>
      <c r="AI60" s="14"/>
      <c r="AJ60" s="113"/>
      <c r="AY60" s="128"/>
      <c r="AZ60" s="24"/>
    </row>
    <row r="61">
      <c r="A61" s="188" t="s">
        <v>186</v>
      </c>
      <c r="B61" s="189"/>
      <c r="C61" s="63"/>
      <c r="D61" s="63"/>
      <c r="E61" s="216">
        <f>(O62+P62+Q62+R62)/(O63+P63+Q63+R63)</f>
        <v>0.6875</v>
      </c>
      <c r="F61" s="65"/>
      <c r="G61" s="133"/>
      <c r="H61" s="72"/>
      <c r="I61" s="67"/>
      <c r="J61" s="72"/>
      <c r="K61" s="68"/>
      <c r="L61" s="69"/>
      <c r="M61" s="295" t="s">
        <v>64</v>
      </c>
      <c r="N61" s="70"/>
      <c r="O61" s="71" t="s">
        <v>65</v>
      </c>
      <c r="P61" s="72"/>
      <c r="Q61" s="72"/>
      <c r="R61" s="70"/>
      <c r="S61" s="71" t="s">
        <v>66</v>
      </c>
      <c r="T61" s="70"/>
      <c r="U61" s="71" t="s">
        <v>67</v>
      </c>
      <c r="V61" s="70"/>
      <c r="W61" s="71" t="s">
        <v>68</v>
      </c>
      <c r="X61" s="70"/>
      <c r="Y61" s="134" t="s">
        <v>116</v>
      </c>
      <c r="Z61" s="74" t="s">
        <v>140</v>
      </c>
      <c r="AA61" s="75" t="s">
        <v>206</v>
      </c>
      <c r="AB61" s="75" t="s">
        <v>207</v>
      </c>
      <c r="AC61" s="202" t="s">
        <v>142</v>
      </c>
      <c r="AD61" s="74" t="s">
        <v>143</v>
      </c>
      <c r="AE61" s="63" t="s">
        <v>144</v>
      </c>
      <c r="AF61" s="78" t="s">
        <v>34</v>
      </c>
      <c r="AG61" s="79" t="s">
        <v>189</v>
      </c>
      <c r="AH61" s="79">
        <v>90.0</v>
      </c>
      <c r="AI61" s="79" t="s">
        <v>208</v>
      </c>
      <c r="AJ61" s="80" t="str">
        <f>AJ55</f>
        <v>開</v>
      </c>
      <c r="AK61" s="81" t="s">
        <v>48</v>
      </c>
      <c r="AL61" s="82" t="str">
        <f>AL55</f>
        <v>休</v>
      </c>
      <c r="AM61" s="81" t="s">
        <v>50</v>
      </c>
      <c r="AN61" s="82" t="s">
        <v>4</v>
      </c>
      <c r="AO61" s="81" t="s">
        <v>52</v>
      </c>
      <c r="AP61" s="82" t="str">
        <f>AP55</f>
        <v>傷</v>
      </c>
      <c r="AQ61" s="81" t="s">
        <v>38</v>
      </c>
      <c r="AR61" s="82" t="s">
        <v>8</v>
      </c>
      <c r="AS61" s="81" t="s">
        <v>40</v>
      </c>
      <c r="AT61" s="82" t="str">
        <f>AT55</f>
        <v>景</v>
      </c>
      <c r="AU61" s="81" t="s">
        <v>42</v>
      </c>
      <c r="AV61" s="82" t="str">
        <f>AV55</f>
        <v>死</v>
      </c>
      <c r="AW61" s="81" t="s">
        <v>44</v>
      </c>
      <c r="AX61" s="82" t="str">
        <f>AX55</f>
        <v>驚</v>
      </c>
      <c r="AY61" s="81" t="s">
        <v>46</v>
      </c>
      <c r="AZ61" s="83"/>
      <c r="BA61" s="84"/>
      <c r="BB61" s="84"/>
      <c r="BC61" s="84"/>
    </row>
    <row r="62">
      <c r="A62" s="192">
        <f>A56+1</f>
        <v>9</v>
      </c>
      <c r="B62" s="193"/>
      <c r="C62" s="12" t="s">
        <v>146</v>
      </c>
      <c r="E62" s="203" t="s">
        <v>209</v>
      </c>
      <c r="G62" s="273" t="str">
        <f t="shared" ref="G62:G63" si="76">G3:H3</f>
        <v>辛</v>
      </c>
      <c r="I62" s="275" t="str">
        <f t="shared" ref="I62:I63" si="77">I32:J32</f>
        <v>丙</v>
      </c>
      <c r="K62" s="90">
        <f>L62/L63</f>
        <v>0.56</v>
      </c>
      <c r="L62" s="126">
        <f t="shared" ref="L62:L63" si="78">O62+P62+Q62+U62+V62+W62+X62+R62+M62+N62+S62+T62</f>
        <v>560</v>
      </c>
      <c r="M62" s="101">
        <v>0.0</v>
      </c>
      <c r="N62" s="93">
        <v>0.0</v>
      </c>
      <c r="O62" s="92">
        <v>65.0</v>
      </c>
      <c r="P62" s="92">
        <v>100.0</v>
      </c>
      <c r="Q62" s="92">
        <v>60.0</v>
      </c>
      <c r="R62" s="93">
        <v>50.0</v>
      </c>
      <c r="S62" s="92">
        <v>15.0</v>
      </c>
      <c r="T62" s="93">
        <v>10.0</v>
      </c>
      <c r="U62" s="92">
        <f t="shared" ref="U62:V62" si="74">U38</f>
        <v>0</v>
      </c>
      <c r="V62" s="93">
        <f t="shared" si="74"/>
        <v>90</v>
      </c>
      <c r="W62" s="92">
        <f t="shared" ref="W62:X62" si="75">W32</f>
        <v>110</v>
      </c>
      <c r="X62" s="93">
        <f t="shared" si="75"/>
        <v>60</v>
      </c>
      <c r="Y62" s="73" t="s">
        <v>126</v>
      </c>
      <c r="Z62" s="94" t="s">
        <v>70</v>
      </c>
      <c r="AA62" s="36"/>
      <c r="AB62" s="36"/>
      <c r="AC62" s="204" t="s">
        <v>82</v>
      </c>
      <c r="AD62" s="96" t="s">
        <v>83</v>
      </c>
      <c r="AE62" s="37"/>
      <c r="AF62" s="97"/>
      <c r="AG62" s="12" t="s">
        <v>54</v>
      </c>
      <c r="AH62" s="12">
        <v>150.0</v>
      </c>
      <c r="AI62" s="12" t="s">
        <v>210</v>
      </c>
      <c r="AJ62" s="98" t="s">
        <v>43</v>
      </c>
      <c r="AK62" s="101" t="s">
        <v>91</v>
      </c>
      <c r="AL62" s="100" t="s">
        <v>41</v>
      </c>
      <c r="AM62" s="103" t="s">
        <v>92</v>
      </c>
      <c r="AN62" s="100" t="s">
        <v>39</v>
      </c>
      <c r="AO62" s="99" t="s">
        <v>93</v>
      </c>
      <c r="AP62" s="100" t="s">
        <v>37</v>
      </c>
      <c r="AQ62" s="99" t="s">
        <v>94</v>
      </c>
      <c r="AR62" s="100" t="s">
        <v>51</v>
      </c>
      <c r="AS62" s="101" t="s">
        <v>95</v>
      </c>
      <c r="AT62" s="100" t="s">
        <v>86</v>
      </c>
      <c r="AU62" s="99" t="s">
        <v>87</v>
      </c>
      <c r="AV62" s="100" t="s">
        <v>88</v>
      </c>
      <c r="AW62" s="101" t="s">
        <v>89</v>
      </c>
      <c r="AX62" s="100" t="s">
        <v>45</v>
      </c>
      <c r="AY62" s="102" t="s">
        <v>90</v>
      </c>
      <c r="AZ62" s="24"/>
    </row>
    <row r="63">
      <c r="A63" s="196" t="str">
        <f>A51</f>
        <v>มีนาคม</v>
      </c>
      <c r="B63" s="193"/>
      <c r="C63" s="106" t="s">
        <v>151</v>
      </c>
      <c r="E63" s="201" t="s">
        <v>202</v>
      </c>
      <c r="G63" s="274" t="str">
        <f t="shared" si="76"/>
        <v>卯</v>
      </c>
      <c r="I63" s="142" t="str">
        <f t="shared" si="77"/>
        <v>午</v>
      </c>
      <c r="K63" s="36"/>
      <c r="L63" s="109">
        <f t="shared" si="78"/>
        <v>1000</v>
      </c>
      <c r="M63" s="105">
        <v>0.0</v>
      </c>
      <c r="N63" s="110">
        <v>0.0</v>
      </c>
      <c r="O63" s="9">
        <v>100.0</v>
      </c>
      <c r="P63" s="9">
        <v>100.0</v>
      </c>
      <c r="Q63" s="9">
        <v>100.0</v>
      </c>
      <c r="R63" s="110">
        <v>100.0</v>
      </c>
      <c r="S63" s="9">
        <v>100.0</v>
      </c>
      <c r="T63" s="110">
        <v>100.0</v>
      </c>
      <c r="U63" s="9">
        <v>100.0</v>
      </c>
      <c r="V63" s="110">
        <v>100.0</v>
      </c>
      <c r="W63" s="9">
        <v>100.0</v>
      </c>
      <c r="X63" s="110">
        <v>100.0</v>
      </c>
      <c r="Y63" s="73" t="s">
        <v>69</v>
      </c>
      <c r="Z63" s="94" t="s">
        <v>152</v>
      </c>
      <c r="AA63" s="36"/>
      <c r="AB63" s="36"/>
      <c r="AC63" s="111"/>
      <c r="AD63" s="112"/>
      <c r="AE63" s="37"/>
      <c r="AF63" s="97"/>
      <c r="AG63" s="14"/>
      <c r="AH63" s="14"/>
      <c r="AI63" s="14"/>
      <c r="AJ63" s="113"/>
      <c r="AK63" s="105" t="s">
        <v>103</v>
      </c>
      <c r="AM63" s="104" t="s">
        <v>104</v>
      </c>
      <c r="AO63" s="104" t="s">
        <v>105</v>
      </c>
      <c r="AQ63" s="104" t="s">
        <v>106</v>
      </c>
      <c r="AS63" s="105" t="s">
        <v>107</v>
      </c>
      <c r="AU63" s="104" t="s">
        <v>100</v>
      </c>
      <c r="AW63" s="114" t="s">
        <v>101</v>
      </c>
      <c r="AY63" s="105" t="s">
        <v>102</v>
      </c>
      <c r="AZ63" s="24"/>
    </row>
    <row r="64">
      <c r="A64" s="192">
        <f>A10</f>
        <v>2569</v>
      </c>
      <c r="B64" s="193"/>
      <c r="E64" s="115" t="s">
        <v>110</v>
      </c>
      <c r="F64" s="116" t="s">
        <v>116</v>
      </c>
      <c r="G64" s="115" t="str">
        <f>G34</f>
        <v>A10</v>
      </c>
      <c r="H64" s="9" t="str">
        <f>H40</f>
        <v>B8</v>
      </c>
      <c r="I64" s="9" t="str">
        <f t="shared" ref="I64:J64" si="79">I34</f>
        <v>A5</v>
      </c>
      <c r="J64" s="9" t="str">
        <f t="shared" si="79"/>
        <v>B11</v>
      </c>
      <c r="K64" s="36"/>
      <c r="L64" s="117"/>
      <c r="M64" s="130" t="str">
        <f t="shared" ref="M64:P64" si="80">C64</f>
        <v/>
      </c>
      <c r="N64" s="119" t="str">
        <f t="shared" si="80"/>
        <v/>
      </c>
      <c r="O64" s="118" t="str">
        <f t="shared" si="80"/>
        <v>A11</v>
      </c>
      <c r="P64" s="118" t="str">
        <f t="shared" si="80"/>
        <v>B5</v>
      </c>
      <c r="Q64" s="118" t="str">
        <f t="shared" ref="Q64:R64" si="81">E65</f>
        <v>B11</v>
      </c>
      <c r="R64" s="119" t="str">
        <f t="shared" si="81"/>
        <v>C4</v>
      </c>
      <c r="S64" s="9" t="s">
        <v>115</v>
      </c>
      <c r="T64" s="110" t="s">
        <v>108</v>
      </c>
      <c r="U64" s="9" t="str">
        <f t="shared" ref="U64:X64" si="82">G64</f>
        <v>A10</v>
      </c>
      <c r="V64" s="119" t="str">
        <f t="shared" si="82"/>
        <v>B8</v>
      </c>
      <c r="W64" s="118" t="str">
        <f t="shared" si="82"/>
        <v>A5</v>
      </c>
      <c r="X64" s="120" t="str">
        <f t="shared" si="82"/>
        <v>B11</v>
      </c>
      <c r="Y64" s="73" t="s">
        <v>80</v>
      </c>
      <c r="Z64" s="94" t="s">
        <v>153</v>
      </c>
      <c r="AA64" s="36"/>
      <c r="AB64" s="36"/>
      <c r="AC64" s="111"/>
      <c r="AD64" s="112"/>
      <c r="AE64" s="37"/>
      <c r="AF64" s="97"/>
      <c r="AG64" s="14"/>
      <c r="AH64" s="14"/>
      <c r="AI64" s="14"/>
      <c r="AJ64" s="113"/>
      <c r="AK64" s="105" t="s">
        <v>121</v>
      </c>
      <c r="AM64" s="104" t="s">
        <v>122</v>
      </c>
      <c r="AO64" s="104" t="s">
        <v>123</v>
      </c>
      <c r="AQ64" s="104" t="s">
        <v>124</v>
      </c>
      <c r="AS64" s="105" t="s">
        <v>125</v>
      </c>
      <c r="AU64" s="104" t="s">
        <v>118</v>
      </c>
      <c r="AW64" s="114" t="s">
        <v>119</v>
      </c>
      <c r="AY64" s="105" t="s">
        <v>120</v>
      </c>
      <c r="AZ64" s="24"/>
    </row>
    <row r="65">
      <c r="A65" s="192">
        <f>A64-543</f>
        <v>2026</v>
      </c>
      <c r="B65" s="193"/>
      <c r="C65" s="106"/>
      <c r="D65" s="106"/>
      <c r="E65" s="115" t="s">
        <v>214</v>
      </c>
      <c r="F65" s="116" t="s">
        <v>190</v>
      </c>
      <c r="G65" s="115"/>
      <c r="H65" s="118"/>
      <c r="I65" s="118"/>
      <c r="J65" s="118"/>
      <c r="K65" s="36"/>
      <c r="L65" s="117"/>
      <c r="M65" s="128"/>
      <c r="N65" s="117"/>
      <c r="R65" s="117"/>
      <c r="T65" s="117"/>
      <c r="V65" s="117"/>
      <c r="X65" s="117"/>
      <c r="Y65" s="73" t="s">
        <v>98</v>
      </c>
      <c r="Z65" s="94" t="s">
        <v>155</v>
      </c>
      <c r="AA65" s="36"/>
      <c r="AB65" s="36"/>
      <c r="AC65" s="111"/>
      <c r="AD65" s="112"/>
      <c r="AE65" s="37"/>
      <c r="AF65" s="97"/>
      <c r="AG65" s="14"/>
      <c r="AH65" s="14"/>
      <c r="AI65" s="14"/>
      <c r="AJ65" s="113"/>
      <c r="AK65" s="105" t="s">
        <v>132</v>
      </c>
      <c r="AM65" s="104" t="s">
        <v>133</v>
      </c>
      <c r="AO65" s="104" t="s">
        <v>134</v>
      </c>
      <c r="AQ65" s="104" t="s">
        <v>135</v>
      </c>
      <c r="AS65" s="105" t="s">
        <v>136</v>
      </c>
      <c r="AU65" s="104" t="s">
        <v>129</v>
      </c>
      <c r="AW65" s="114" t="s">
        <v>130</v>
      </c>
      <c r="AY65" s="105" t="s">
        <v>131</v>
      </c>
      <c r="AZ65" s="24"/>
    </row>
    <row r="66">
      <c r="A66" s="303" t="s">
        <v>237</v>
      </c>
      <c r="B66" s="206"/>
      <c r="C66" s="123"/>
      <c r="D66" s="123"/>
      <c r="E66" s="164" t="s">
        <v>185</v>
      </c>
      <c r="F66" s="88"/>
      <c r="G66" s="207" t="str">
        <f>G5:H5</f>
        <v>อสูรเดือน W</v>
      </c>
      <c r="I66" s="208" t="str">
        <f>I5:J5</f>
        <v>อสูรปี N</v>
      </c>
      <c r="K66" s="36"/>
      <c r="L66" s="117"/>
      <c r="M66" s="128"/>
      <c r="N66" s="117"/>
      <c r="R66" s="117"/>
      <c r="S66" s="8"/>
      <c r="T66" s="121"/>
      <c r="V66" s="117"/>
      <c r="X66" s="117"/>
      <c r="Y66" s="127"/>
      <c r="Z66" s="155"/>
      <c r="AA66" s="36"/>
      <c r="AB66" s="36"/>
      <c r="AC66" s="111"/>
      <c r="AD66" s="112"/>
      <c r="AE66" s="37"/>
      <c r="AF66" s="97"/>
      <c r="AG66" s="14"/>
      <c r="AH66" s="14"/>
      <c r="AI66" s="14"/>
      <c r="AJ66" s="113"/>
      <c r="AQ66" s="128"/>
      <c r="AZ66" s="24"/>
    </row>
    <row r="67">
      <c r="A67" s="307" t="s">
        <v>242</v>
      </c>
      <c r="B67" s="206"/>
      <c r="C67" s="123"/>
      <c r="D67" s="123"/>
      <c r="E67" s="164"/>
      <c r="F67" s="88"/>
      <c r="G67" s="283"/>
      <c r="I67" s="284"/>
      <c r="J67" s="284"/>
      <c r="K67" s="36"/>
      <c r="L67" s="117"/>
      <c r="M67" s="128"/>
      <c r="N67" s="117"/>
      <c r="R67" s="117"/>
      <c r="S67" s="8"/>
      <c r="T67" s="121"/>
      <c r="V67" s="117"/>
      <c r="X67" s="117"/>
      <c r="Y67" s="127"/>
      <c r="Z67" s="155"/>
      <c r="AA67" s="36"/>
      <c r="AB67" s="36"/>
      <c r="AC67" s="111"/>
      <c r="AD67" s="112"/>
      <c r="AE67" s="37"/>
      <c r="AF67" s="97"/>
      <c r="AG67" s="14"/>
      <c r="AH67" s="14"/>
      <c r="AI67" s="14"/>
      <c r="AJ67" s="113"/>
      <c r="AQ67" s="128"/>
      <c r="AZ67" s="24"/>
    </row>
    <row r="68">
      <c r="A68" s="188" t="s">
        <v>191</v>
      </c>
      <c r="B68" s="189"/>
      <c r="C68" s="63"/>
      <c r="D68" s="63"/>
      <c r="E68" s="64">
        <f>(O69+P69+Q69+R69)/(O70+P70+Q70+R70)</f>
        <v>0.6375</v>
      </c>
      <c r="F68" s="65"/>
      <c r="G68" s="133"/>
      <c r="H68" s="72"/>
      <c r="I68" s="67"/>
      <c r="J68" s="72"/>
      <c r="K68" s="68"/>
      <c r="L68" s="69"/>
      <c r="M68" s="295" t="s">
        <v>64</v>
      </c>
      <c r="N68" s="70"/>
      <c r="O68" s="71" t="s">
        <v>65</v>
      </c>
      <c r="P68" s="72"/>
      <c r="Q68" s="72"/>
      <c r="R68" s="70"/>
      <c r="S68" s="71" t="s">
        <v>66</v>
      </c>
      <c r="T68" s="70"/>
      <c r="U68" s="71" t="s">
        <v>67</v>
      </c>
      <c r="V68" s="70"/>
      <c r="W68" s="71" t="s">
        <v>68</v>
      </c>
      <c r="X68" s="70"/>
      <c r="Y68" s="134" t="s">
        <v>116</v>
      </c>
      <c r="Z68" s="74" t="s">
        <v>159</v>
      </c>
      <c r="AA68" s="75" t="s">
        <v>189</v>
      </c>
      <c r="AB68" s="75" t="s">
        <v>192</v>
      </c>
      <c r="AC68" s="202" t="s">
        <v>142</v>
      </c>
      <c r="AD68" s="74" t="s">
        <v>143</v>
      </c>
      <c r="AE68" s="63" t="s">
        <v>144</v>
      </c>
      <c r="AF68" s="78" t="s">
        <v>75</v>
      </c>
      <c r="AG68" s="79" t="s">
        <v>54</v>
      </c>
      <c r="AH68" s="79">
        <v>150.0</v>
      </c>
      <c r="AI68" s="79" t="s">
        <v>210</v>
      </c>
      <c r="AJ68" s="80" t="str">
        <f>AJ61</f>
        <v>開</v>
      </c>
      <c r="AK68" s="81" t="s">
        <v>38</v>
      </c>
      <c r="AL68" s="82" t="str">
        <f>AL61</f>
        <v>休</v>
      </c>
      <c r="AM68" s="81" t="s">
        <v>40</v>
      </c>
      <c r="AN68" s="82" t="s">
        <v>4</v>
      </c>
      <c r="AO68" s="81" t="s">
        <v>42</v>
      </c>
      <c r="AP68" s="82" t="str">
        <f>AP61</f>
        <v>傷</v>
      </c>
      <c r="AQ68" s="81" t="s">
        <v>44</v>
      </c>
      <c r="AR68" s="82" t="s">
        <v>8</v>
      </c>
      <c r="AS68" s="81" t="s">
        <v>46</v>
      </c>
      <c r="AT68" s="82" t="str">
        <f>AT61</f>
        <v>景</v>
      </c>
      <c r="AU68" s="81" t="s">
        <v>48</v>
      </c>
      <c r="AV68" s="82" t="str">
        <f>AV61</f>
        <v>死</v>
      </c>
      <c r="AW68" s="81" t="s">
        <v>50</v>
      </c>
      <c r="AX68" s="82" t="str">
        <f>AX61</f>
        <v>驚</v>
      </c>
      <c r="AY68" s="81" t="s">
        <v>52</v>
      </c>
      <c r="AZ68" s="83"/>
      <c r="BA68" s="84"/>
      <c r="BB68" s="84"/>
      <c r="BC68" s="84"/>
    </row>
    <row r="69">
      <c r="A69" s="192">
        <f>A62+1</f>
        <v>10</v>
      </c>
      <c r="B69" s="193"/>
      <c r="C69" s="12" t="s">
        <v>216</v>
      </c>
      <c r="E69" s="203" t="s">
        <v>171</v>
      </c>
      <c r="G69" s="273" t="str">
        <f t="shared" ref="G69:G70" si="85">G3:H3</f>
        <v>辛</v>
      </c>
      <c r="I69" s="275" t="str">
        <f t="shared" ref="I69:I70" si="86">I32:J32</f>
        <v>丙</v>
      </c>
      <c r="K69" s="90">
        <f>L69/L70</f>
        <v>0.625</v>
      </c>
      <c r="L69" s="126">
        <f t="shared" ref="L69:L70" si="87">O69+P69+Q69+U69+V69+W69+X69+R69+M69+N69+S69+T69</f>
        <v>625</v>
      </c>
      <c r="M69" s="101">
        <v>0.0</v>
      </c>
      <c r="N69" s="93">
        <v>0.0</v>
      </c>
      <c r="O69" s="92">
        <v>45.0</v>
      </c>
      <c r="P69" s="92">
        <v>90.0</v>
      </c>
      <c r="Q69" s="92">
        <v>40.0</v>
      </c>
      <c r="R69" s="93">
        <v>80.0</v>
      </c>
      <c r="S69" s="92">
        <v>30.0</v>
      </c>
      <c r="T69" s="93">
        <v>80.0</v>
      </c>
      <c r="U69" s="92">
        <f t="shared" ref="U69:V69" si="83">U38</f>
        <v>0</v>
      </c>
      <c r="V69" s="93">
        <f t="shared" si="83"/>
        <v>90</v>
      </c>
      <c r="W69" s="92">
        <f t="shared" ref="W69:X69" si="84">W32</f>
        <v>110</v>
      </c>
      <c r="X69" s="93">
        <f t="shared" si="84"/>
        <v>60</v>
      </c>
      <c r="Y69" s="73" t="s">
        <v>126</v>
      </c>
      <c r="Z69" s="94" t="s">
        <v>152</v>
      </c>
      <c r="AA69" s="276"/>
      <c r="AB69" s="277"/>
      <c r="AC69" s="204" t="s">
        <v>82</v>
      </c>
      <c r="AD69" s="96" t="s">
        <v>83</v>
      </c>
      <c r="AE69" s="37"/>
      <c r="AF69" s="97"/>
      <c r="AG69" s="12" t="s">
        <v>189</v>
      </c>
      <c r="AH69" s="12">
        <v>90.0</v>
      </c>
      <c r="AI69" s="12" t="s">
        <v>208</v>
      </c>
      <c r="AJ69" s="98" t="s">
        <v>86</v>
      </c>
      <c r="AK69" s="99" t="s">
        <v>87</v>
      </c>
      <c r="AL69" s="100" t="s">
        <v>88</v>
      </c>
      <c r="AM69" s="101" t="s">
        <v>89</v>
      </c>
      <c r="AN69" s="100" t="s">
        <v>45</v>
      </c>
      <c r="AO69" s="102" t="s">
        <v>90</v>
      </c>
      <c r="AP69" s="100" t="s">
        <v>43</v>
      </c>
      <c r="AQ69" s="101" t="s">
        <v>91</v>
      </c>
      <c r="AR69" s="100" t="s">
        <v>41</v>
      </c>
      <c r="AS69" s="103" t="s">
        <v>92</v>
      </c>
      <c r="AT69" s="100" t="s">
        <v>39</v>
      </c>
      <c r="AU69" s="99" t="s">
        <v>93</v>
      </c>
      <c r="AV69" s="100" t="s">
        <v>37</v>
      </c>
      <c r="AW69" s="99" t="s">
        <v>94</v>
      </c>
      <c r="AX69" s="100" t="s">
        <v>51</v>
      </c>
      <c r="AY69" s="101" t="s">
        <v>95</v>
      </c>
      <c r="AZ69" s="24"/>
    </row>
    <row r="70">
      <c r="A70" s="200" t="str">
        <f>G2</f>
        <v>มีนาคม</v>
      </c>
      <c r="B70" s="193"/>
      <c r="C70" s="106" t="s">
        <v>162</v>
      </c>
      <c r="E70" s="162" t="s">
        <v>71</v>
      </c>
      <c r="G70" s="274" t="str">
        <f t="shared" si="85"/>
        <v>卯</v>
      </c>
      <c r="I70" s="142" t="str">
        <f t="shared" si="86"/>
        <v>午</v>
      </c>
      <c r="K70" s="36"/>
      <c r="L70" s="109">
        <f t="shared" si="87"/>
        <v>1000</v>
      </c>
      <c r="M70" s="105">
        <v>0.0</v>
      </c>
      <c r="N70" s="110">
        <v>0.0</v>
      </c>
      <c r="O70" s="9">
        <v>100.0</v>
      </c>
      <c r="P70" s="9">
        <v>100.0</v>
      </c>
      <c r="Q70" s="9">
        <v>100.0</v>
      </c>
      <c r="R70" s="110">
        <v>100.0</v>
      </c>
      <c r="S70" s="9">
        <v>100.0</v>
      </c>
      <c r="T70" s="110">
        <v>100.0</v>
      </c>
      <c r="U70" s="9">
        <v>100.0</v>
      </c>
      <c r="V70" s="110">
        <v>100.0</v>
      </c>
      <c r="W70" s="9">
        <v>100.0</v>
      </c>
      <c r="X70" s="110">
        <v>100.0</v>
      </c>
      <c r="Y70" s="73" t="s">
        <v>69</v>
      </c>
      <c r="Z70" s="94" t="s">
        <v>163</v>
      </c>
      <c r="AA70" s="36"/>
      <c r="AB70" s="36"/>
      <c r="AC70" s="111"/>
      <c r="AD70" s="112"/>
      <c r="AE70" s="37"/>
      <c r="AF70" s="97"/>
      <c r="AG70" s="14"/>
      <c r="AH70" s="14"/>
      <c r="AI70" s="14"/>
      <c r="AJ70" s="113"/>
      <c r="AK70" s="104" t="s">
        <v>100</v>
      </c>
      <c r="AM70" s="114" t="s">
        <v>101</v>
      </c>
      <c r="AO70" s="105" t="s">
        <v>102</v>
      </c>
      <c r="AQ70" s="105" t="s">
        <v>103</v>
      </c>
      <c r="AS70" s="104" t="s">
        <v>104</v>
      </c>
      <c r="AU70" s="104" t="s">
        <v>105</v>
      </c>
      <c r="AW70" s="104" t="s">
        <v>106</v>
      </c>
      <c r="AY70" s="105" t="s">
        <v>107</v>
      </c>
      <c r="AZ70" s="24"/>
    </row>
    <row r="71">
      <c r="A71" s="192">
        <f>A10</f>
        <v>2569</v>
      </c>
      <c r="B71" s="193"/>
      <c r="E71" s="115" t="s">
        <v>164</v>
      </c>
      <c r="F71" s="116" t="s">
        <v>126</v>
      </c>
      <c r="G71" s="115" t="str">
        <f>G34</f>
        <v>A10</v>
      </c>
      <c r="H71" s="9" t="str">
        <f>H40</f>
        <v>B8</v>
      </c>
      <c r="I71" s="9" t="str">
        <f t="shared" ref="I71:J71" si="88">I34</f>
        <v>A5</v>
      </c>
      <c r="J71" s="9" t="str">
        <f t="shared" si="88"/>
        <v>B11</v>
      </c>
      <c r="K71" s="36"/>
      <c r="L71" s="117"/>
      <c r="M71" s="130" t="str">
        <f t="shared" ref="M71:P71" si="89">C71</f>
        <v/>
      </c>
      <c r="N71" s="119" t="str">
        <f t="shared" si="89"/>
        <v/>
      </c>
      <c r="O71" s="118" t="str">
        <f t="shared" si="89"/>
        <v>A9</v>
      </c>
      <c r="P71" s="118" t="str">
        <f t="shared" si="89"/>
        <v>B6</v>
      </c>
      <c r="Q71" s="118" t="str">
        <f t="shared" ref="Q71:R71" si="90">E72</f>
        <v>B10</v>
      </c>
      <c r="R71" s="119" t="str">
        <f t="shared" si="90"/>
        <v>C5</v>
      </c>
      <c r="S71" s="9" t="s">
        <v>198</v>
      </c>
      <c r="T71" s="110" t="s">
        <v>182</v>
      </c>
      <c r="U71" s="9" t="str">
        <f t="shared" ref="U71:X71" si="91">G71</f>
        <v>A10</v>
      </c>
      <c r="V71" s="119" t="str">
        <f t="shared" si="91"/>
        <v>B8</v>
      </c>
      <c r="W71" s="118" t="str">
        <f t="shared" si="91"/>
        <v>A5</v>
      </c>
      <c r="X71" s="120" t="str">
        <f t="shared" si="91"/>
        <v>B11</v>
      </c>
      <c r="Y71" s="73" t="s">
        <v>80</v>
      </c>
      <c r="Z71" s="94" t="s">
        <v>117</v>
      </c>
      <c r="AA71" s="36"/>
      <c r="AB71" s="36"/>
      <c r="AC71" s="111"/>
      <c r="AD71" s="112"/>
      <c r="AE71" s="37"/>
      <c r="AF71" s="97"/>
      <c r="AG71" s="14"/>
      <c r="AH71" s="14"/>
      <c r="AI71" s="14"/>
      <c r="AJ71" s="113"/>
      <c r="AK71" s="104" t="s">
        <v>118</v>
      </c>
      <c r="AM71" s="114" t="s">
        <v>119</v>
      </c>
      <c r="AO71" s="105" t="s">
        <v>120</v>
      </c>
      <c r="AQ71" s="105" t="s">
        <v>121</v>
      </c>
      <c r="AS71" s="104" t="s">
        <v>122</v>
      </c>
      <c r="AU71" s="104" t="s">
        <v>123</v>
      </c>
      <c r="AW71" s="104" t="s">
        <v>124</v>
      </c>
      <c r="AY71" s="105" t="s">
        <v>125</v>
      </c>
      <c r="AZ71" s="24"/>
    </row>
    <row r="72">
      <c r="A72" s="192">
        <f>A71-543</f>
        <v>2026</v>
      </c>
      <c r="B72" s="193"/>
      <c r="C72" s="106"/>
      <c r="D72" s="106"/>
      <c r="E72" s="115" t="s">
        <v>218</v>
      </c>
      <c r="F72" s="116" t="s">
        <v>205</v>
      </c>
      <c r="G72" s="115"/>
      <c r="H72" s="118"/>
      <c r="I72" s="118"/>
      <c r="J72" s="118"/>
      <c r="K72" s="36"/>
      <c r="L72" s="117"/>
      <c r="M72" s="128"/>
      <c r="N72" s="117"/>
      <c r="R72" s="117"/>
      <c r="T72" s="117"/>
      <c r="V72" s="117"/>
      <c r="X72" s="117"/>
      <c r="Y72" s="73" t="s">
        <v>98</v>
      </c>
      <c r="Z72" s="94" t="s">
        <v>128</v>
      </c>
      <c r="AA72" s="36"/>
      <c r="AB72" s="36"/>
      <c r="AC72" s="111"/>
      <c r="AD72" s="112"/>
      <c r="AE72" s="37"/>
      <c r="AF72" s="97"/>
      <c r="AG72" s="14"/>
      <c r="AH72" s="14"/>
      <c r="AI72" s="14"/>
      <c r="AJ72" s="113"/>
      <c r="AK72" s="104" t="s">
        <v>129</v>
      </c>
      <c r="AM72" s="114" t="s">
        <v>130</v>
      </c>
      <c r="AO72" s="105" t="s">
        <v>131</v>
      </c>
      <c r="AQ72" s="105" t="s">
        <v>132</v>
      </c>
      <c r="AS72" s="104" t="s">
        <v>133</v>
      </c>
      <c r="AU72" s="104" t="s">
        <v>134</v>
      </c>
      <c r="AW72" s="104" t="s">
        <v>135</v>
      </c>
      <c r="AY72" s="105" t="s">
        <v>136</v>
      </c>
      <c r="AZ72" s="24"/>
    </row>
    <row r="73">
      <c r="A73" s="113"/>
      <c r="B73" s="206"/>
      <c r="C73" s="123"/>
      <c r="D73" s="123"/>
      <c r="E73" s="198" t="s">
        <v>137</v>
      </c>
      <c r="F73" s="88"/>
      <c r="G73" s="210" t="str">
        <f>G5:H5</f>
        <v>อสูรเดือน W</v>
      </c>
      <c r="I73" s="211" t="str">
        <f>I5:J5</f>
        <v>อสูรปี N</v>
      </c>
      <c r="K73" s="36"/>
      <c r="L73" s="117"/>
      <c r="M73" s="128"/>
      <c r="N73" s="117"/>
      <c r="R73" s="117"/>
      <c r="S73" s="8"/>
      <c r="T73" s="121"/>
      <c r="V73" s="117"/>
      <c r="X73" s="117"/>
      <c r="Y73" s="127"/>
      <c r="Z73" s="155"/>
      <c r="AA73" s="36"/>
      <c r="AB73" s="36"/>
      <c r="AC73" s="111"/>
      <c r="AD73" s="112"/>
      <c r="AE73" s="37"/>
      <c r="AF73" s="97"/>
      <c r="AG73" s="14"/>
      <c r="AH73" s="14"/>
      <c r="AI73" s="14"/>
      <c r="AJ73" s="113"/>
      <c r="AK73" s="128"/>
      <c r="AM73" s="128"/>
      <c r="AO73" s="128"/>
      <c r="AQ73" s="129"/>
      <c r="AS73" s="130"/>
      <c r="AU73" s="131"/>
      <c r="AW73" s="131"/>
      <c r="AY73" s="131"/>
      <c r="AZ73" s="24"/>
    </row>
    <row r="74">
      <c r="A74" s="188" t="s">
        <v>199</v>
      </c>
      <c r="B74" s="189"/>
      <c r="C74" s="63"/>
      <c r="D74" s="63"/>
      <c r="E74" s="64">
        <f>(O75+P75+Q75+R75)/(O76+P76+Q76+R76)</f>
        <v>0.325</v>
      </c>
      <c r="F74" s="65"/>
      <c r="G74" s="133"/>
      <c r="H74" s="72"/>
      <c r="I74" s="67"/>
      <c r="J74" s="72"/>
      <c r="K74" s="68"/>
      <c r="L74" s="69"/>
      <c r="M74" s="295" t="s">
        <v>64</v>
      </c>
      <c r="N74" s="70"/>
      <c r="O74" s="71" t="s">
        <v>65</v>
      </c>
      <c r="P74" s="72"/>
      <c r="Q74" s="72"/>
      <c r="R74" s="70"/>
      <c r="S74" s="71" t="s">
        <v>66</v>
      </c>
      <c r="T74" s="70"/>
      <c r="U74" s="71" t="s">
        <v>67</v>
      </c>
      <c r="V74" s="70"/>
      <c r="W74" s="71" t="s">
        <v>68</v>
      </c>
      <c r="X74" s="70"/>
      <c r="Y74" s="134" t="s">
        <v>80</v>
      </c>
      <c r="Z74" s="74" t="s">
        <v>170</v>
      </c>
      <c r="AA74" s="75" t="s">
        <v>171</v>
      </c>
      <c r="AB74" s="75" t="s">
        <v>172</v>
      </c>
      <c r="AC74" s="135" t="s">
        <v>142</v>
      </c>
      <c r="AD74" s="74" t="s">
        <v>143</v>
      </c>
      <c r="AE74" s="63" t="s">
        <v>35</v>
      </c>
      <c r="AF74" s="78" t="s">
        <v>144</v>
      </c>
      <c r="AG74" s="79" t="s">
        <v>71</v>
      </c>
      <c r="AH74" s="79">
        <v>210.0</v>
      </c>
      <c r="AI74" s="79" t="s">
        <v>175</v>
      </c>
      <c r="AJ74" s="80" t="str">
        <f>AJ68</f>
        <v>開</v>
      </c>
      <c r="AK74" s="81" t="s">
        <v>38</v>
      </c>
      <c r="AL74" s="82" t="str">
        <f>AL68</f>
        <v>休</v>
      </c>
      <c r="AM74" s="81" t="s">
        <v>40</v>
      </c>
      <c r="AN74" s="82" t="s">
        <v>4</v>
      </c>
      <c r="AO74" s="81" t="s">
        <v>42</v>
      </c>
      <c r="AP74" s="82" t="str">
        <f>AP68</f>
        <v>傷</v>
      </c>
      <c r="AQ74" s="81" t="s">
        <v>44</v>
      </c>
      <c r="AR74" s="82" t="s">
        <v>8</v>
      </c>
      <c r="AS74" s="81" t="s">
        <v>46</v>
      </c>
      <c r="AT74" s="82" t="str">
        <f>AT68</f>
        <v>景</v>
      </c>
      <c r="AU74" s="81" t="s">
        <v>48</v>
      </c>
      <c r="AV74" s="82" t="str">
        <f>AV68</f>
        <v>死</v>
      </c>
      <c r="AW74" s="81" t="s">
        <v>50</v>
      </c>
      <c r="AX74" s="82" t="str">
        <f>AX68</f>
        <v>驚</v>
      </c>
      <c r="AY74" s="81" t="s">
        <v>52</v>
      </c>
      <c r="AZ74" s="83"/>
      <c r="BA74" s="84"/>
      <c r="BB74" s="84"/>
      <c r="BC74" s="84"/>
    </row>
    <row r="75">
      <c r="A75" s="192">
        <f>A69+1</f>
        <v>11</v>
      </c>
      <c r="B75" s="193"/>
      <c r="C75" s="12" t="s">
        <v>221</v>
      </c>
      <c r="E75" s="87" t="s">
        <v>222</v>
      </c>
      <c r="G75" s="273" t="str">
        <f t="shared" ref="G75:G76" si="94">G3:H3</f>
        <v>辛</v>
      </c>
      <c r="I75" s="275" t="str">
        <f t="shared" ref="I75:I76" si="95">I32:J32</f>
        <v>丙</v>
      </c>
      <c r="K75" s="90">
        <f>L75/L76</f>
        <v>0.61</v>
      </c>
      <c r="L75" s="126">
        <f t="shared" ref="L75:L76" si="96">O75+P75+Q75+U75+V75+W75+X75+R75+M75+N75+S75+T75</f>
        <v>610</v>
      </c>
      <c r="M75" s="101">
        <v>0.0</v>
      </c>
      <c r="N75" s="93">
        <v>0.0</v>
      </c>
      <c r="O75" s="92">
        <v>0.0</v>
      </c>
      <c r="P75" s="92">
        <v>0.0</v>
      </c>
      <c r="Q75" s="92">
        <v>50.0</v>
      </c>
      <c r="R75" s="93">
        <v>80.0</v>
      </c>
      <c r="S75" s="92">
        <v>110.0</v>
      </c>
      <c r="T75" s="93">
        <v>110.0</v>
      </c>
      <c r="U75" s="92">
        <f t="shared" ref="U75:V75" si="92">U38</f>
        <v>0</v>
      </c>
      <c r="V75" s="93">
        <f t="shared" si="92"/>
        <v>90</v>
      </c>
      <c r="W75" s="92">
        <f t="shared" ref="W75:X75" si="93">W32</f>
        <v>110</v>
      </c>
      <c r="X75" s="93">
        <f t="shared" si="93"/>
        <v>60</v>
      </c>
      <c r="Y75" s="73" t="s">
        <v>98</v>
      </c>
      <c r="Z75" s="94" t="s">
        <v>70</v>
      </c>
      <c r="AA75" s="36"/>
      <c r="AB75" s="29"/>
      <c r="AC75" s="139" t="s">
        <v>148</v>
      </c>
      <c r="AD75" s="96" t="s">
        <v>149</v>
      </c>
      <c r="AE75" s="37"/>
      <c r="AF75" s="97"/>
      <c r="AG75" s="12" t="s">
        <v>53</v>
      </c>
      <c r="AH75" s="12">
        <v>30.0</v>
      </c>
      <c r="AI75" s="12" t="s">
        <v>178</v>
      </c>
      <c r="AJ75" s="98" t="s">
        <v>37</v>
      </c>
      <c r="AK75" s="99" t="s">
        <v>94</v>
      </c>
      <c r="AL75" s="100" t="s">
        <v>51</v>
      </c>
      <c r="AM75" s="101" t="s">
        <v>95</v>
      </c>
      <c r="AN75" s="100" t="s">
        <v>86</v>
      </c>
      <c r="AO75" s="99" t="s">
        <v>87</v>
      </c>
      <c r="AP75" s="100" t="s">
        <v>88</v>
      </c>
      <c r="AQ75" s="101" t="s">
        <v>89</v>
      </c>
      <c r="AR75" s="100" t="s">
        <v>45</v>
      </c>
      <c r="AS75" s="102" t="s">
        <v>90</v>
      </c>
      <c r="AT75" s="100" t="s">
        <v>43</v>
      </c>
      <c r="AU75" s="101" t="s">
        <v>91</v>
      </c>
      <c r="AV75" s="100" t="s">
        <v>41</v>
      </c>
      <c r="AW75" s="103" t="s">
        <v>92</v>
      </c>
      <c r="AX75" s="100" t="s">
        <v>39</v>
      </c>
      <c r="AY75" s="99" t="s">
        <v>93</v>
      </c>
      <c r="AZ75" s="24"/>
    </row>
    <row r="76">
      <c r="A76" s="196" t="str">
        <f>A51</f>
        <v>มีนาคม</v>
      </c>
      <c r="B76" s="193"/>
      <c r="C76" s="308" t="s">
        <v>179</v>
      </c>
      <c r="E76" s="209" t="s">
        <v>76</v>
      </c>
      <c r="G76" s="274" t="str">
        <f t="shared" si="94"/>
        <v>卯</v>
      </c>
      <c r="I76" s="142" t="str">
        <f t="shared" si="95"/>
        <v>午</v>
      </c>
      <c r="K76" s="36"/>
      <c r="L76" s="109">
        <f t="shared" si="96"/>
        <v>1000</v>
      </c>
      <c r="M76" s="105">
        <v>0.0</v>
      </c>
      <c r="N76" s="110">
        <v>0.0</v>
      </c>
      <c r="O76" s="9">
        <v>100.0</v>
      </c>
      <c r="P76" s="9">
        <v>100.0</v>
      </c>
      <c r="Q76" s="9">
        <v>100.0</v>
      </c>
      <c r="R76" s="110">
        <v>100.0</v>
      </c>
      <c r="S76" s="9">
        <v>100.0</v>
      </c>
      <c r="T76" s="110">
        <v>100.0</v>
      </c>
      <c r="U76" s="9">
        <v>100.0</v>
      </c>
      <c r="V76" s="110">
        <v>100.0</v>
      </c>
      <c r="W76" s="9">
        <v>100.0</v>
      </c>
      <c r="X76" s="110">
        <v>100.0</v>
      </c>
      <c r="Y76" s="73" t="s">
        <v>116</v>
      </c>
      <c r="Z76" s="94" t="s">
        <v>181</v>
      </c>
      <c r="AA76" s="36"/>
      <c r="AB76" s="36"/>
      <c r="AC76" s="111"/>
      <c r="AD76" s="112"/>
      <c r="AE76" s="37"/>
      <c r="AF76" s="97"/>
      <c r="AG76" s="14"/>
      <c r="AH76" s="14"/>
      <c r="AI76" s="14"/>
      <c r="AJ76" s="113"/>
      <c r="AK76" s="104" t="s">
        <v>106</v>
      </c>
      <c r="AM76" s="105" t="s">
        <v>107</v>
      </c>
      <c r="AO76" s="104" t="s">
        <v>100</v>
      </c>
      <c r="AQ76" s="114" t="s">
        <v>101</v>
      </c>
      <c r="AS76" s="105" t="s">
        <v>102</v>
      </c>
      <c r="AU76" s="105" t="s">
        <v>103</v>
      </c>
      <c r="AW76" s="104" t="s">
        <v>104</v>
      </c>
      <c r="AY76" s="104" t="s">
        <v>105</v>
      </c>
      <c r="AZ76" s="24"/>
    </row>
    <row r="77">
      <c r="A77" s="192">
        <f>A10</f>
        <v>2569</v>
      </c>
      <c r="B77" s="193"/>
      <c r="E77" s="115" t="s">
        <v>114</v>
      </c>
      <c r="F77" s="116" t="s">
        <v>111</v>
      </c>
      <c r="G77" s="115" t="str">
        <f>G34</f>
        <v>A10</v>
      </c>
      <c r="H77" s="9" t="str">
        <f>H40</f>
        <v>B8</v>
      </c>
      <c r="I77" s="9" t="str">
        <f t="shared" ref="I77:J77" si="97">I34</f>
        <v>A5</v>
      </c>
      <c r="J77" s="9" t="str">
        <f t="shared" si="97"/>
        <v>B11</v>
      </c>
      <c r="K77" s="36"/>
      <c r="L77" s="117"/>
      <c r="M77" s="130" t="str">
        <f t="shared" ref="M77:P77" si="98">C77</f>
        <v/>
      </c>
      <c r="N77" s="119" t="str">
        <f t="shared" si="98"/>
        <v/>
      </c>
      <c r="O77" s="118" t="str">
        <f t="shared" si="98"/>
        <v>A10</v>
      </c>
      <c r="P77" s="118" t="str">
        <f t="shared" si="98"/>
        <v>B7</v>
      </c>
      <c r="Q77" s="118" t="str">
        <f t="shared" ref="Q77:R77" si="99">E78</f>
        <v>B9</v>
      </c>
      <c r="R77" s="119" t="str">
        <f t="shared" si="99"/>
        <v>C6</v>
      </c>
      <c r="S77" s="9" t="s">
        <v>204</v>
      </c>
      <c r="T77" s="110" t="s">
        <v>204</v>
      </c>
      <c r="U77" s="9" t="str">
        <f t="shared" ref="U77:X77" si="100">G77</f>
        <v>A10</v>
      </c>
      <c r="V77" s="119" t="str">
        <f t="shared" si="100"/>
        <v>B8</v>
      </c>
      <c r="W77" s="118" t="str">
        <f t="shared" si="100"/>
        <v>A5</v>
      </c>
      <c r="X77" s="120" t="str">
        <f t="shared" si="100"/>
        <v>B11</v>
      </c>
      <c r="Y77" s="73" t="s">
        <v>126</v>
      </c>
      <c r="Z77" s="94" t="s">
        <v>163</v>
      </c>
      <c r="AA77" s="36"/>
      <c r="AB77" s="36"/>
      <c r="AC77" s="111"/>
      <c r="AD77" s="112"/>
      <c r="AE77" s="37"/>
      <c r="AF77" s="97"/>
      <c r="AG77" s="14"/>
      <c r="AH77" s="14"/>
      <c r="AI77" s="14"/>
      <c r="AJ77" s="113"/>
      <c r="AK77" s="104" t="s">
        <v>124</v>
      </c>
      <c r="AM77" s="105" t="s">
        <v>125</v>
      </c>
      <c r="AO77" s="104" t="s">
        <v>118</v>
      </c>
      <c r="AQ77" s="114" t="s">
        <v>119</v>
      </c>
      <c r="AS77" s="105" t="s">
        <v>120</v>
      </c>
      <c r="AU77" s="105" t="s">
        <v>121</v>
      </c>
      <c r="AW77" s="104" t="s">
        <v>122</v>
      </c>
      <c r="AY77" s="104" t="s">
        <v>123</v>
      </c>
      <c r="AZ77" s="24"/>
    </row>
    <row r="78">
      <c r="A78" s="192">
        <f>A77-543</f>
        <v>2026</v>
      </c>
      <c r="B78" s="193"/>
      <c r="C78" s="163" t="s">
        <v>166</v>
      </c>
      <c r="E78" s="115" t="s">
        <v>212</v>
      </c>
      <c r="F78" s="116" t="s">
        <v>215</v>
      </c>
      <c r="G78" s="115"/>
      <c r="H78" s="118"/>
      <c r="I78" s="118"/>
      <c r="J78" s="118"/>
      <c r="K78" s="36"/>
      <c r="L78" s="117"/>
      <c r="M78" s="128"/>
      <c r="N78" s="117"/>
      <c r="R78" s="117"/>
      <c r="T78" s="117"/>
      <c r="V78" s="117"/>
      <c r="X78" s="117"/>
      <c r="Y78" s="73" t="s">
        <v>69</v>
      </c>
      <c r="Z78" s="94" t="s">
        <v>99</v>
      </c>
      <c r="AA78" s="36"/>
      <c r="AB78" s="36"/>
      <c r="AC78" s="111"/>
      <c r="AD78" s="112"/>
      <c r="AE78" s="37"/>
      <c r="AF78" s="97"/>
      <c r="AG78" s="14"/>
      <c r="AH78" s="14"/>
      <c r="AI78" s="14"/>
      <c r="AJ78" s="113"/>
      <c r="AK78" s="104" t="s">
        <v>135</v>
      </c>
      <c r="AM78" s="105" t="s">
        <v>136</v>
      </c>
      <c r="AO78" s="104" t="s">
        <v>129</v>
      </c>
      <c r="AQ78" s="114" t="s">
        <v>130</v>
      </c>
      <c r="AS78" s="105" t="s">
        <v>131</v>
      </c>
      <c r="AU78" s="105" t="s">
        <v>132</v>
      </c>
      <c r="AW78" s="104" t="s">
        <v>133</v>
      </c>
      <c r="AY78" s="104" t="s">
        <v>134</v>
      </c>
      <c r="AZ78" s="24"/>
    </row>
    <row r="79">
      <c r="A79" s="279"/>
      <c r="B79" s="206"/>
      <c r="C79" s="123"/>
      <c r="D79" s="123"/>
      <c r="E79" s="176" t="s">
        <v>157</v>
      </c>
      <c r="F79" s="88"/>
      <c r="G79" s="207" t="str">
        <f>G5:H5</f>
        <v>อสูรเดือน W</v>
      </c>
      <c r="I79" s="208" t="str">
        <f>I5:J5</f>
        <v>อสูรปี N</v>
      </c>
      <c r="K79" s="36"/>
      <c r="L79" s="117"/>
      <c r="M79" s="128"/>
      <c r="N79" s="117"/>
      <c r="R79" s="117"/>
      <c r="T79" s="117"/>
      <c r="V79" s="117"/>
      <c r="X79" s="117"/>
      <c r="Y79" s="127"/>
      <c r="Z79" s="155"/>
      <c r="AA79" s="36"/>
      <c r="AB79" s="36"/>
      <c r="AC79" s="111"/>
      <c r="AD79" s="112"/>
      <c r="AE79" s="37"/>
      <c r="AF79" s="97"/>
      <c r="AG79" s="14"/>
      <c r="AH79" s="14"/>
      <c r="AI79" s="14"/>
      <c r="AJ79" s="113"/>
      <c r="AO79" s="128"/>
      <c r="AZ79" s="24"/>
    </row>
    <row r="80">
      <c r="A80" s="188" t="s">
        <v>63</v>
      </c>
      <c r="B80" s="189"/>
      <c r="C80" s="63"/>
      <c r="D80" s="63"/>
      <c r="E80" s="64">
        <f>(O81+P81+Q81+R81)/(O82+P82+Q82+R82)</f>
        <v>0.475</v>
      </c>
      <c r="F80" s="65"/>
      <c r="G80" s="133"/>
      <c r="H80" s="72"/>
      <c r="I80" s="67"/>
      <c r="J80" s="72"/>
      <c r="K80" s="68"/>
      <c r="L80" s="69"/>
      <c r="M80" s="295" t="s">
        <v>64</v>
      </c>
      <c r="N80" s="70"/>
      <c r="O80" s="71" t="s">
        <v>65</v>
      </c>
      <c r="P80" s="72"/>
      <c r="Q80" s="72"/>
      <c r="R80" s="70"/>
      <c r="S80" s="71" t="s">
        <v>66</v>
      </c>
      <c r="T80" s="70"/>
      <c r="U80" s="71" t="s">
        <v>67</v>
      </c>
      <c r="V80" s="70"/>
      <c r="W80" s="71" t="s">
        <v>68</v>
      </c>
      <c r="X80" s="70"/>
      <c r="Y80" s="134" t="s">
        <v>80</v>
      </c>
      <c r="Z80" s="74" t="s">
        <v>159</v>
      </c>
      <c r="AA80" s="75" t="s">
        <v>202</v>
      </c>
      <c r="AB80" s="75" t="s">
        <v>226</v>
      </c>
      <c r="AC80" s="135" t="s">
        <v>142</v>
      </c>
      <c r="AD80" s="74" t="s">
        <v>143</v>
      </c>
      <c r="AE80" s="63" t="s">
        <v>35</v>
      </c>
      <c r="AF80" s="78" t="s">
        <v>36</v>
      </c>
      <c r="AG80" s="296" t="s">
        <v>76</v>
      </c>
      <c r="AH80" s="79">
        <v>240.0</v>
      </c>
      <c r="AI80" s="309" t="s">
        <v>77</v>
      </c>
      <c r="AJ80" s="80" t="str">
        <f>AJ74</f>
        <v>開</v>
      </c>
      <c r="AK80" s="81" t="s">
        <v>40</v>
      </c>
      <c r="AL80" s="82" t="str">
        <f>AL74</f>
        <v>休</v>
      </c>
      <c r="AM80" s="81" t="s">
        <v>42</v>
      </c>
      <c r="AN80" s="82" t="s">
        <v>4</v>
      </c>
      <c r="AO80" s="81" t="s">
        <v>44</v>
      </c>
      <c r="AP80" s="82" t="str">
        <f>AP74</f>
        <v>傷</v>
      </c>
      <c r="AQ80" s="81" t="s">
        <v>46</v>
      </c>
      <c r="AR80" s="82" t="s">
        <v>8</v>
      </c>
      <c r="AS80" s="81" t="s">
        <v>48</v>
      </c>
      <c r="AT80" s="82" t="str">
        <f>AT74</f>
        <v>景</v>
      </c>
      <c r="AU80" s="81" t="s">
        <v>50</v>
      </c>
      <c r="AV80" s="82" t="str">
        <f>AV74</f>
        <v>死</v>
      </c>
      <c r="AW80" s="81" t="s">
        <v>52</v>
      </c>
      <c r="AX80" s="82" t="str">
        <f>AX74</f>
        <v>驚</v>
      </c>
      <c r="AY80" s="81" t="s">
        <v>38</v>
      </c>
      <c r="AZ80" s="83"/>
      <c r="BA80" s="84"/>
      <c r="BB80" s="84"/>
      <c r="BC80" s="84"/>
    </row>
    <row r="81">
      <c r="A81" s="192">
        <f>A75+1</f>
        <v>12</v>
      </c>
      <c r="B81" s="193"/>
      <c r="C81" s="12" t="s">
        <v>221</v>
      </c>
      <c r="E81" s="87" t="s">
        <v>31</v>
      </c>
      <c r="G81" s="273" t="str">
        <f t="shared" ref="G81:G82" si="103">G3:H3</f>
        <v>辛</v>
      </c>
      <c r="I81" s="275" t="str">
        <f t="shared" ref="I81:I82" si="104">I32:J32</f>
        <v>丙</v>
      </c>
      <c r="K81" s="90">
        <f>L81/L82</f>
        <v>0.65</v>
      </c>
      <c r="L81" s="126">
        <f t="shared" ref="L81:L82" si="105">O81+P81+Q81+U81+V81+W81+X81+R81+M81+N81+S81+T81</f>
        <v>650</v>
      </c>
      <c r="M81" s="101">
        <v>0.0</v>
      </c>
      <c r="N81" s="93">
        <v>0.0</v>
      </c>
      <c r="O81" s="92">
        <v>0.0</v>
      </c>
      <c r="P81" s="92">
        <v>90.0</v>
      </c>
      <c r="Q81" s="92">
        <v>90.0</v>
      </c>
      <c r="R81" s="93">
        <v>10.0</v>
      </c>
      <c r="S81" s="92">
        <v>100.0</v>
      </c>
      <c r="T81" s="93">
        <v>100.0</v>
      </c>
      <c r="U81" s="92">
        <f t="shared" ref="U81:V81" si="101">U38</f>
        <v>0</v>
      </c>
      <c r="V81" s="93">
        <f t="shared" si="101"/>
        <v>90</v>
      </c>
      <c r="W81" s="92">
        <f t="shared" ref="W81:X81" si="102">W32</f>
        <v>110</v>
      </c>
      <c r="X81" s="93">
        <f t="shared" si="102"/>
        <v>60</v>
      </c>
      <c r="Y81" s="73" t="s">
        <v>98</v>
      </c>
      <c r="Z81" s="94" t="s">
        <v>152</v>
      </c>
      <c r="AA81" s="36"/>
      <c r="AB81" s="29" t="s">
        <v>227</v>
      </c>
      <c r="AC81" s="139" t="s">
        <v>148</v>
      </c>
      <c r="AD81" s="96" t="s">
        <v>149</v>
      </c>
      <c r="AE81" s="97"/>
      <c r="AF81" s="97"/>
      <c r="AG81" s="298" t="s">
        <v>84</v>
      </c>
      <c r="AH81" s="12">
        <v>0.0</v>
      </c>
      <c r="AI81" s="299" t="s">
        <v>85</v>
      </c>
      <c r="AJ81" s="98" t="s">
        <v>86</v>
      </c>
      <c r="AK81" s="99" t="s">
        <v>87</v>
      </c>
      <c r="AL81" s="100" t="s">
        <v>88</v>
      </c>
      <c r="AM81" s="101" t="s">
        <v>89</v>
      </c>
      <c r="AN81" s="100" t="s">
        <v>45</v>
      </c>
      <c r="AO81" s="102" t="s">
        <v>90</v>
      </c>
      <c r="AP81" s="100" t="s">
        <v>43</v>
      </c>
      <c r="AQ81" s="101" t="s">
        <v>91</v>
      </c>
      <c r="AR81" s="100" t="s">
        <v>41</v>
      </c>
      <c r="AS81" s="103" t="s">
        <v>92</v>
      </c>
      <c r="AT81" s="100" t="s">
        <v>39</v>
      </c>
      <c r="AU81" s="99" t="s">
        <v>93</v>
      </c>
      <c r="AV81" s="100" t="s">
        <v>37</v>
      </c>
      <c r="AW81" s="99" t="s">
        <v>94</v>
      </c>
      <c r="AX81" s="100" t="s">
        <v>51</v>
      </c>
      <c r="AY81" s="101" t="s">
        <v>95</v>
      </c>
      <c r="AZ81" s="24"/>
    </row>
    <row r="82">
      <c r="A82" s="215" t="str">
        <f>G2</f>
        <v>มีนาคม</v>
      </c>
      <c r="B82" s="193"/>
      <c r="C82" s="175" t="s">
        <v>188</v>
      </c>
      <c r="E82" s="209" t="s">
        <v>32</v>
      </c>
      <c r="G82" s="274" t="str">
        <f t="shared" si="103"/>
        <v>卯</v>
      </c>
      <c r="I82" s="142" t="str">
        <f t="shared" si="104"/>
        <v>午</v>
      </c>
      <c r="K82" s="36"/>
      <c r="L82" s="109">
        <f t="shared" si="105"/>
        <v>1000</v>
      </c>
      <c r="M82" s="105">
        <v>0.0</v>
      </c>
      <c r="N82" s="110">
        <v>0.0</v>
      </c>
      <c r="O82" s="9">
        <v>100.0</v>
      </c>
      <c r="P82" s="9">
        <v>100.0</v>
      </c>
      <c r="Q82" s="9">
        <v>100.0</v>
      </c>
      <c r="R82" s="110">
        <v>100.0</v>
      </c>
      <c r="S82" s="9">
        <v>100.0</v>
      </c>
      <c r="T82" s="110">
        <v>100.0</v>
      </c>
      <c r="U82" s="9">
        <v>100.0</v>
      </c>
      <c r="V82" s="110">
        <v>100.0</v>
      </c>
      <c r="W82" s="9">
        <v>100.0</v>
      </c>
      <c r="X82" s="110">
        <v>100.0</v>
      </c>
      <c r="Y82" s="73" t="s">
        <v>116</v>
      </c>
      <c r="Z82" s="94" t="s">
        <v>81</v>
      </c>
      <c r="AA82" s="36"/>
      <c r="AB82" s="36"/>
      <c r="AC82" s="111"/>
      <c r="AD82" s="13"/>
      <c r="AE82" s="280"/>
      <c r="AF82" s="280"/>
      <c r="AG82" s="14"/>
      <c r="AH82" s="14"/>
      <c r="AI82" s="14"/>
      <c r="AJ82" s="113"/>
      <c r="AK82" s="104" t="s">
        <v>100</v>
      </c>
      <c r="AM82" s="114" t="s">
        <v>101</v>
      </c>
      <c r="AO82" s="105" t="s">
        <v>102</v>
      </c>
      <c r="AQ82" s="105" t="s">
        <v>103</v>
      </c>
      <c r="AS82" s="104" t="s">
        <v>104</v>
      </c>
      <c r="AU82" s="104" t="s">
        <v>105</v>
      </c>
      <c r="AW82" s="104" t="s">
        <v>106</v>
      </c>
      <c r="AY82" s="105" t="s">
        <v>107</v>
      </c>
      <c r="AZ82" s="24"/>
    </row>
    <row r="83">
      <c r="A83" s="192">
        <f>A10</f>
        <v>2569</v>
      </c>
      <c r="B83" s="193"/>
      <c r="E83" s="115" t="s">
        <v>114</v>
      </c>
      <c r="F83" s="116" t="s">
        <v>69</v>
      </c>
      <c r="G83" s="115" t="str">
        <f>G34</f>
        <v>A10</v>
      </c>
      <c r="H83" s="9" t="str">
        <f>H40</f>
        <v>B8</v>
      </c>
      <c r="I83" s="9" t="str">
        <f t="shared" ref="I83:J83" si="106">I34</f>
        <v>A5</v>
      </c>
      <c r="J83" s="9" t="str">
        <f t="shared" si="106"/>
        <v>B11</v>
      </c>
      <c r="K83" s="36"/>
      <c r="L83" s="117"/>
      <c r="M83" s="130" t="str">
        <f t="shared" ref="M83:P83" si="107">C83</f>
        <v/>
      </c>
      <c r="N83" s="119" t="str">
        <f t="shared" si="107"/>
        <v/>
      </c>
      <c r="O83" s="118" t="str">
        <f t="shared" si="107"/>
        <v>A10</v>
      </c>
      <c r="P83" s="118" t="str">
        <f t="shared" si="107"/>
        <v>B8</v>
      </c>
      <c r="Q83" s="118" t="str">
        <f t="shared" ref="Q83:R83" si="108">E84</f>
        <v>B8</v>
      </c>
      <c r="R83" s="119" t="str">
        <f t="shared" si="108"/>
        <v>C7</v>
      </c>
      <c r="S83" s="9" t="s">
        <v>213</v>
      </c>
      <c r="T83" s="110" t="s">
        <v>213</v>
      </c>
      <c r="U83" s="9" t="str">
        <f t="shared" ref="U83:X83" si="109">G83</f>
        <v>A10</v>
      </c>
      <c r="V83" s="119" t="str">
        <f t="shared" si="109"/>
        <v>B8</v>
      </c>
      <c r="W83" s="118" t="str">
        <f t="shared" si="109"/>
        <v>A5</v>
      </c>
      <c r="X83" s="120" t="str">
        <f t="shared" si="109"/>
        <v>B11</v>
      </c>
      <c r="Y83" s="73" t="s">
        <v>126</v>
      </c>
      <c r="Z83" s="94" t="s">
        <v>99</v>
      </c>
      <c r="AA83" s="36"/>
      <c r="AB83" s="36"/>
      <c r="AC83" s="111"/>
      <c r="AD83" s="112"/>
      <c r="AE83" s="37"/>
      <c r="AF83" s="97"/>
      <c r="AG83" s="14"/>
      <c r="AH83" s="14"/>
      <c r="AI83" s="14"/>
      <c r="AJ83" s="113"/>
      <c r="AK83" s="104" t="s">
        <v>118</v>
      </c>
      <c r="AM83" s="114" t="s">
        <v>119</v>
      </c>
      <c r="AO83" s="105" t="s">
        <v>120</v>
      </c>
      <c r="AQ83" s="105" t="s">
        <v>121</v>
      </c>
      <c r="AS83" s="104" t="s">
        <v>122</v>
      </c>
      <c r="AU83" s="104" t="s">
        <v>123</v>
      </c>
      <c r="AW83" s="104" t="s">
        <v>124</v>
      </c>
      <c r="AY83" s="105" t="s">
        <v>125</v>
      </c>
      <c r="AZ83" s="24"/>
    </row>
    <row r="84">
      <c r="A84" s="192">
        <f>A83-543</f>
        <v>2026</v>
      </c>
      <c r="B84" s="193"/>
      <c r="C84" s="12" t="s">
        <v>313</v>
      </c>
      <c r="E84" s="115" t="s">
        <v>69</v>
      </c>
      <c r="F84" s="116" t="s">
        <v>220</v>
      </c>
      <c r="G84" s="115"/>
      <c r="H84" s="118"/>
      <c r="I84" s="118"/>
      <c r="J84" s="118"/>
      <c r="K84" s="36"/>
      <c r="L84" s="117"/>
      <c r="M84" s="128"/>
      <c r="N84" s="117"/>
      <c r="R84" s="117"/>
      <c r="T84" s="117"/>
      <c r="V84" s="117"/>
      <c r="X84" s="117"/>
      <c r="Y84" s="73" t="s">
        <v>69</v>
      </c>
      <c r="Z84" s="94" t="s">
        <v>155</v>
      </c>
      <c r="AA84" s="36"/>
      <c r="AB84" s="36"/>
      <c r="AC84" s="111"/>
      <c r="AD84" s="112"/>
      <c r="AE84" s="37"/>
      <c r="AF84" s="97"/>
      <c r="AG84" s="14"/>
      <c r="AH84" s="14"/>
      <c r="AI84" s="14"/>
      <c r="AJ84" s="113"/>
      <c r="AK84" s="104" t="s">
        <v>129</v>
      </c>
      <c r="AM84" s="114" t="s">
        <v>130</v>
      </c>
      <c r="AO84" s="105" t="s">
        <v>131</v>
      </c>
      <c r="AQ84" s="105" t="s">
        <v>132</v>
      </c>
      <c r="AS84" s="104" t="s">
        <v>133</v>
      </c>
      <c r="AU84" s="104" t="s">
        <v>134</v>
      </c>
      <c r="AW84" s="104" t="s">
        <v>135</v>
      </c>
      <c r="AY84" s="105" t="s">
        <v>136</v>
      </c>
      <c r="AZ84" s="24"/>
    </row>
    <row r="85">
      <c r="A85" s="310"/>
      <c r="B85" s="206"/>
      <c r="C85" s="123"/>
      <c r="D85" s="123"/>
      <c r="E85" s="164" t="s">
        <v>168</v>
      </c>
      <c r="F85" s="88"/>
      <c r="G85" s="207" t="str">
        <f>G5:H5</f>
        <v>อสูรเดือน W</v>
      </c>
      <c r="I85" s="208" t="str">
        <f>I5:J5</f>
        <v>อสูรปี N</v>
      </c>
      <c r="K85" s="36"/>
      <c r="L85" s="117"/>
      <c r="M85" s="128"/>
      <c r="N85" s="117"/>
      <c r="R85" s="117"/>
      <c r="T85" s="117"/>
      <c r="V85" s="117"/>
      <c r="X85" s="117"/>
      <c r="Y85" s="127"/>
      <c r="Z85" s="155"/>
      <c r="AA85" s="36"/>
      <c r="AB85" s="36"/>
      <c r="AC85" s="111"/>
      <c r="AD85" s="112"/>
      <c r="AE85" s="37"/>
      <c r="AF85" s="97"/>
      <c r="AG85" s="14"/>
      <c r="AH85" s="14"/>
      <c r="AI85" s="14"/>
      <c r="AJ85" s="113"/>
      <c r="AY85" s="128"/>
      <c r="AZ85" s="24"/>
    </row>
    <row r="86">
      <c r="A86" s="188" t="s">
        <v>139</v>
      </c>
      <c r="B86" s="189"/>
      <c r="C86" s="63"/>
      <c r="D86" s="63"/>
      <c r="E86" s="64">
        <f>(O87+P87+Q87+R87)/(O88+P88+Q88+R88)</f>
        <v>0.3</v>
      </c>
      <c r="F86" s="65"/>
      <c r="G86" s="133"/>
      <c r="H86" s="72"/>
      <c r="I86" s="67"/>
      <c r="J86" s="72"/>
      <c r="K86" s="68"/>
      <c r="L86" s="69"/>
      <c r="M86" s="295" t="s">
        <v>64</v>
      </c>
      <c r="N86" s="70"/>
      <c r="O86" s="71" t="s">
        <v>65</v>
      </c>
      <c r="P86" s="72"/>
      <c r="Q86" s="72"/>
      <c r="R86" s="70"/>
      <c r="S86" s="71" t="s">
        <v>66</v>
      </c>
      <c r="T86" s="70"/>
      <c r="U86" s="71" t="s">
        <v>67</v>
      </c>
      <c r="V86" s="70"/>
      <c r="W86" s="71" t="s">
        <v>68</v>
      </c>
      <c r="X86" s="70"/>
      <c r="Y86" s="134" t="s">
        <v>80</v>
      </c>
      <c r="Z86" s="74" t="s">
        <v>181</v>
      </c>
      <c r="AA86" s="75" t="s">
        <v>202</v>
      </c>
      <c r="AB86" s="75" t="s">
        <v>226</v>
      </c>
      <c r="AC86" s="167" t="s">
        <v>173</v>
      </c>
      <c r="AD86" s="74" t="s">
        <v>174</v>
      </c>
      <c r="AE86" s="63" t="s">
        <v>75</v>
      </c>
      <c r="AF86" s="78" t="s">
        <v>34</v>
      </c>
      <c r="AG86" s="79" t="s">
        <v>32</v>
      </c>
      <c r="AH86" s="79">
        <v>270.0</v>
      </c>
      <c r="AI86" s="79" t="s">
        <v>145</v>
      </c>
      <c r="AJ86" s="80" t="str">
        <f>AJ80</f>
        <v>開</v>
      </c>
      <c r="AK86" s="81" t="s">
        <v>46</v>
      </c>
      <c r="AL86" s="82" t="str">
        <f>AL80</f>
        <v>休</v>
      </c>
      <c r="AM86" s="81" t="s">
        <v>48</v>
      </c>
      <c r="AN86" s="82" t="s">
        <v>4</v>
      </c>
      <c r="AO86" s="81" t="s">
        <v>50</v>
      </c>
      <c r="AP86" s="82" t="str">
        <f>AP80</f>
        <v>傷</v>
      </c>
      <c r="AQ86" s="81" t="s">
        <v>52</v>
      </c>
      <c r="AR86" s="82" t="s">
        <v>8</v>
      </c>
      <c r="AS86" s="81" t="s">
        <v>38</v>
      </c>
      <c r="AT86" s="82" t="str">
        <f>AT80</f>
        <v>景</v>
      </c>
      <c r="AU86" s="81" t="s">
        <v>40</v>
      </c>
      <c r="AV86" s="82" t="str">
        <f>AV80</f>
        <v>死</v>
      </c>
      <c r="AW86" s="81" t="s">
        <v>42</v>
      </c>
      <c r="AX86" s="82" t="str">
        <f>AX80</f>
        <v>驚</v>
      </c>
      <c r="AY86" s="81" t="s">
        <v>44</v>
      </c>
      <c r="AZ86" s="83"/>
      <c r="BA86" s="84"/>
      <c r="BB86" s="84"/>
      <c r="BC86" s="84"/>
    </row>
    <row r="87">
      <c r="A87" s="192">
        <f>A81+1</f>
        <v>13</v>
      </c>
      <c r="B87" s="193"/>
      <c r="C87" s="12" t="s">
        <v>216</v>
      </c>
      <c r="E87" s="214" t="s">
        <v>147</v>
      </c>
      <c r="G87" s="273" t="str">
        <f t="shared" ref="G87:G88" si="112">G3:H3</f>
        <v>辛</v>
      </c>
      <c r="I87" s="275" t="str">
        <f t="shared" ref="I87:I88" si="113">I32:J32</f>
        <v>丙</v>
      </c>
      <c r="K87" s="90">
        <f>L87/L88</f>
        <v>0.51</v>
      </c>
      <c r="L87" s="126">
        <f t="shared" ref="L87:L88" si="114">O87+P87+Q87+U87+V87+W87+X87+R87+M87+N87+S87+T87</f>
        <v>510</v>
      </c>
      <c r="M87" s="101">
        <v>0.0</v>
      </c>
      <c r="N87" s="93">
        <v>0.0</v>
      </c>
      <c r="O87" s="92">
        <v>50.0</v>
      </c>
      <c r="P87" s="92">
        <v>50.0</v>
      </c>
      <c r="Q87" s="92">
        <v>0.0</v>
      </c>
      <c r="R87" s="93">
        <v>20.0</v>
      </c>
      <c r="S87" s="92">
        <v>90.0</v>
      </c>
      <c r="T87" s="93">
        <v>40.0</v>
      </c>
      <c r="U87" s="92">
        <f t="shared" ref="U87:V87" si="110">U38</f>
        <v>0</v>
      </c>
      <c r="V87" s="93">
        <f t="shared" si="110"/>
        <v>90</v>
      </c>
      <c r="W87" s="92">
        <f t="shared" ref="W87:X87" si="111">W32</f>
        <v>110</v>
      </c>
      <c r="X87" s="93">
        <f t="shared" si="111"/>
        <v>60</v>
      </c>
      <c r="Y87" s="73" t="s">
        <v>98</v>
      </c>
      <c r="Z87" s="94" t="s">
        <v>163</v>
      </c>
      <c r="AA87" s="36"/>
      <c r="AB87" s="29" t="s">
        <v>227</v>
      </c>
      <c r="AC87" s="170" t="s">
        <v>73</v>
      </c>
      <c r="AD87" s="94" t="s">
        <v>74</v>
      </c>
      <c r="AE87" s="37"/>
      <c r="AF87" s="97"/>
      <c r="AG87" s="12" t="s">
        <v>97</v>
      </c>
      <c r="AH87" s="12">
        <v>330.0</v>
      </c>
      <c r="AI87" s="12" t="s">
        <v>150</v>
      </c>
      <c r="AJ87" s="98" t="s">
        <v>43</v>
      </c>
      <c r="AK87" s="101" t="s">
        <v>91</v>
      </c>
      <c r="AL87" s="100" t="s">
        <v>41</v>
      </c>
      <c r="AM87" s="103" t="s">
        <v>92</v>
      </c>
      <c r="AN87" s="100" t="s">
        <v>39</v>
      </c>
      <c r="AO87" s="99" t="s">
        <v>93</v>
      </c>
      <c r="AP87" s="100" t="s">
        <v>37</v>
      </c>
      <c r="AQ87" s="99" t="s">
        <v>94</v>
      </c>
      <c r="AR87" s="100" t="s">
        <v>51</v>
      </c>
      <c r="AS87" s="101" t="s">
        <v>95</v>
      </c>
      <c r="AT87" s="100" t="s">
        <v>86</v>
      </c>
      <c r="AU87" s="99" t="s">
        <v>87</v>
      </c>
      <c r="AV87" s="100" t="s">
        <v>88</v>
      </c>
      <c r="AW87" s="101" t="s">
        <v>89</v>
      </c>
      <c r="AX87" s="100" t="s">
        <v>45</v>
      </c>
      <c r="AY87" s="102" t="s">
        <v>90</v>
      </c>
      <c r="AZ87" s="24"/>
    </row>
    <row r="88">
      <c r="A88" s="215" t="str">
        <f>G2</f>
        <v>มีนาคม</v>
      </c>
      <c r="B88" s="193"/>
      <c r="C88" s="175" t="s">
        <v>211</v>
      </c>
      <c r="E88" s="162" t="s">
        <v>206</v>
      </c>
      <c r="G88" s="274" t="str">
        <f t="shared" si="112"/>
        <v>卯</v>
      </c>
      <c r="I88" s="142" t="str">
        <f t="shared" si="113"/>
        <v>午</v>
      </c>
      <c r="K88" s="36"/>
      <c r="L88" s="109">
        <f t="shared" si="114"/>
        <v>1000</v>
      </c>
      <c r="M88" s="105">
        <v>0.0</v>
      </c>
      <c r="N88" s="110">
        <v>0.0</v>
      </c>
      <c r="O88" s="9">
        <v>100.0</v>
      </c>
      <c r="P88" s="9">
        <v>100.0</v>
      </c>
      <c r="Q88" s="9">
        <v>100.0</v>
      </c>
      <c r="R88" s="110">
        <v>100.0</v>
      </c>
      <c r="S88" s="9">
        <v>100.0</v>
      </c>
      <c r="T88" s="110">
        <v>100.0</v>
      </c>
      <c r="U88" s="9">
        <v>100.0</v>
      </c>
      <c r="V88" s="110">
        <v>100.0</v>
      </c>
      <c r="W88" s="9">
        <v>100.0</v>
      </c>
      <c r="X88" s="110">
        <v>100.0</v>
      </c>
      <c r="Y88" s="73" t="s">
        <v>116</v>
      </c>
      <c r="Z88" s="94" t="s">
        <v>153</v>
      </c>
      <c r="AA88" s="36"/>
      <c r="AB88" s="36"/>
      <c r="AC88" s="111"/>
      <c r="AD88" s="112"/>
      <c r="AE88" s="37"/>
      <c r="AF88" s="97"/>
      <c r="AG88" s="14"/>
      <c r="AH88" s="14"/>
      <c r="AI88" s="14"/>
      <c r="AJ88" s="113"/>
      <c r="AK88" s="105" t="s">
        <v>103</v>
      </c>
      <c r="AM88" s="104" t="s">
        <v>104</v>
      </c>
      <c r="AO88" s="104" t="s">
        <v>105</v>
      </c>
      <c r="AQ88" s="104" t="s">
        <v>106</v>
      </c>
      <c r="AS88" s="105" t="s">
        <v>107</v>
      </c>
      <c r="AU88" s="104" t="s">
        <v>100</v>
      </c>
      <c r="AW88" s="114" t="s">
        <v>101</v>
      </c>
      <c r="AY88" s="105" t="s">
        <v>102</v>
      </c>
      <c r="AZ88" s="24"/>
    </row>
    <row r="89">
      <c r="A89" s="192">
        <f>A10</f>
        <v>2569</v>
      </c>
      <c r="B89" s="193"/>
      <c r="E89" s="115" t="s">
        <v>164</v>
      </c>
      <c r="F89" s="116" t="s">
        <v>212</v>
      </c>
      <c r="G89" s="115" t="str">
        <f>G34</f>
        <v>A10</v>
      </c>
      <c r="H89" s="9" t="str">
        <f>H40</f>
        <v>B8</v>
      </c>
      <c r="I89" s="9" t="str">
        <f t="shared" ref="I89:J89" si="115">I34</f>
        <v>A5</v>
      </c>
      <c r="J89" s="9" t="str">
        <f t="shared" si="115"/>
        <v>B11</v>
      </c>
      <c r="K89" s="36"/>
      <c r="L89" s="117"/>
      <c r="M89" s="130" t="str">
        <f t="shared" ref="M89:P89" si="116">C89</f>
        <v/>
      </c>
      <c r="N89" s="119" t="str">
        <f t="shared" si="116"/>
        <v/>
      </c>
      <c r="O89" s="118" t="str">
        <f t="shared" si="116"/>
        <v>A9</v>
      </c>
      <c r="P89" s="118" t="str">
        <f t="shared" si="116"/>
        <v>B9</v>
      </c>
      <c r="Q89" s="118" t="str">
        <f t="shared" ref="Q89:R89" si="117">E90</f>
        <v>B7</v>
      </c>
      <c r="R89" s="119" t="str">
        <f t="shared" si="117"/>
        <v>C8</v>
      </c>
      <c r="S89" s="9" t="s">
        <v>219</v>
      </c>
      <c r="T89" s="110" t="s">
        <v>112</v>
      </c>
      <c r="U89" s="9" t="str">
        <f t="shared" ref="U89:X89" si="118">G89</f>
        <v>A10</v>
      </c>
      <c r="V89" s="119" t="str">
        <f t="shared" si="118"/>
        <v>B8</v>
      </c>
      <c r="W89" s="118" t="str">
        <f t="shared" si="118"/>
        <v>A5</v>
      </c>
      <c r="X89" s="120" t="str">
        <f t="shared" si="118"/>
        <v>B11</v>
      </c>
      <c r="Y89" s="73" t="s">
        <v>126</v>
      </c>
      <c r="Z89" s="94" t="s">
        <v>155</v>
      </c>
      <c r="AA89" s="36"/>
      <c r="AB89" s="36"/>
      <c r="AC89" s="111"/>
      <c r="AD89" s="112"/>
      <c r="AE89" s="37"/>
      <c r="AF89" s="97"/>
      <c r="AG89" s="14"/>
      <c r="AH89" s="14"/>
      <c r="AI89" s="14"/>
      <c r="AJ89" s="113"/>
      <c r="AK89" s="105" t="s">
        <v>121</v>
      </c>
      <c r="AM89" s="104" t="s">
        <v>122</v>
      </c>
      <c r="AO89" s="104" t="s">
        <v>123</v>
      </c>
      <c r="AQ89" s="104" t="s">
        <v>124</v>
      </c>
      <c r="AS89" s="105" t="s">
        <v>125</v>
      </c>
      <c r="AU89" s="104" t="s">
        <v>118</v>
      </c>
      <c r="AW89" s="114" t="s">
        <v>119</v>
      </c>
      <c r="AY89" s="105" t="s">
        <v>120</v>
      </c>
      <c r="AZ89" s="24"/>
    </row>
    <row r="90">
      <c r="A90" s="192">
        <f>A89-543</f>
        <v>2026</v>
      </c>
      <c r="B90" s="193"/>
      <c r="C90" s="181"/>
      <c r="E90" s="115" t="s">
        <v>111</v>
      </c>
      <c r="F90" s="116" t="s">
        <v>225</v>
      </c>
      <c r="G90" s="115"/>
      <c r="H90" s="118"/>
      <c r="I90" s="118"/>
      <c r="J90" s="118"/>
      <c r="K90" s="36"/>
      <c r="L90" s="117"/>
      <c r="M90" s="128"/>
      <c r="N90" s="117"/>
      <c r="R90" s="117"/>
      <c r="T90" s="117"/>
      <c r="V90" s="117"/>
      <c r="X90" s="117"/>
      <c r="Y90" s="73" t="s">
        <v>69</v>
      </c>
      <c r="Z90" s="94" t="s">
        <v>128</v>
      </c>
      <c r="AA90" s="36"/>
      <c r="AB90" s="36"/>
      <c r="AC90" s="111"/>
      <c r="AD90" s="112"/>
      <c r="AE90" s="37"/>
      <c r="AF90" s="97"/>
      <c r="AG90" s="14"/>
      <c r="AH90" s="14"/>
      <c r="AI90" s="14"/>
      <c r="AJ90" s="113"/>
      <c r="AK90" s="105" t="s">
        <v>132</v>
      </c>
      <c r="AM90" s="104" t="s">
        <v>133</v>
      </c>
      <c r="AO90" s="104" t="s">
        <v>134</v>
      </c>
      <c r="AQ90" s="104" t="s">
        <v>135</v>
      </c>
      <c r="AS90" s="105" t="s">
        <v>136</v>
      </c>
      <c r="AU90" s="104" t="s">
        <v>129</v>
      </c>
      <c r="AW90" s="114" t="s">
        <v>130</v>
      </c>
      <c r="AY90" s="105" t="s">
        <v>131</v>
      </c>
      <c r="AZ90" s="24"/>
    </row>
    <row r="91">
      <c r="A91" s="310"/>
      <c r="B91" s="206"/>
      <c r="C91" s="123"/>
      <c r="D91" s="123"/>
      <c r="E91" s="164" t="s">
        <v>185</v>
      </c>
      <c r="F91" s="88"/>
      <c r="G91" s="207" t="str">
        <f>G5:H5</f>
        <v>อสูรเดือน W</v>
      </c>
      <c r="I91" s="208" t="str">
        <f>I5:J5</f>
        <v>อสูรปี N</v>
      </c>
      <c r="K91" s="36"/>
      <c r="L91" s="117"/>
      <c r="M91" s="128"/>
      <c r="N91" s="117"/>
      <c r="R91" s="117"/>
      <c r="T91" s="117"/>
      <c r="V91" s="117"/>
      <c r="X91" s="117"/>
      <c r="Y91" s="127"/>
      <c r="Z91" s="155"/>
      <c r="AA91" s="36"/>
      <c r="AB91" s="36"/>
      <c r="AC91" s="111"/>
      <c r="AD91" s="112"/>
      <c r="AE91" s="37"/>
      <c r="AF91" s="97"/>
      <c r="AG91" s="14"/>
      <c r="AH91" s="14"/>
      <c r="AI91" s="14"/>
      <c r="AJ91" s="113"/>
      <c r="AQ91" s="128"/>
      <c r="AZ91" s="24"/>
    </row>
    <row r="92">
      <c r="A92" s="188" t="s">
        <v>158</v>
      </c>
      <c r="B92" s="189"/>
      <c r="C92" s="63"/>
      <c r="D92" s="63"/>
      <c r="E92" s="64">
        <f>(O93+P93+Q93+R93)/(O94+P94+Q94+R94)</f>
        <v>0.7125</v>
      </c>
      <c r="F92" s="65"/>
      <c r="G92" s="133"/>
      <c r="H92" s="72"/>
      <c r="I92" s="67"/>
      <c r="J92" s="72"/>
      <c r="K92" s="68"/>
      <c r="L92" s="69"/>
      <c r="M92" s="295" t="s">
        <v>64</v>
      </c>
      <c r="N92" s="70"/>
      <c r="O92" s="71" t="s">
        <v>65</v>
      </c>
      <c r="P92" s="72"/>
      <c r="Q92" s="72"/>
      <c r="R92" s="70"/>
      <c r="S92" s="71" t="s">
        <v>66</v>
      </c>
      <c r="T92" s="70"/>
      <c r="U92" s="71" t="s">
        <v>67</v>
      </c>
      <c r="V92" s="70"/>
      <c r="W92" s="71" t="s">
        <v>68</v>
      </c>
      <c r="X92" s="70"/>
      <c r="Y92" s="134" t="s">
        <v>69</v>
      </c>
      <c r="Z92" s="74" t="s">
        <v>70</v>
      </c>
      <c r="AA92" s="75" t="s">
        <v>32</v>
      </c>
      <c r="AB92" s="75" t="s">
        <v>233</v>
      </c>
      <c r="AC92" s="167" t="s">
        <v>173</v>
      </c>
      <c r="AD92" s="74" t="s">
        <v>174</v>
      </c>
      <c r="AE92" s="63" t="s">
        <v>75</v>
      </c>
      <c r="AF92" s="78" t="s">
        <v>75</v>
      </c>
      <c r="AG92" s="79" t="s">
        <v>97</v>
      </c>
      <c r="AH92" s="79">
        <v>330.0</v>
      </c>
      <c r="AI92" s="79" t="s">
        <v>150</v>
      </c>
      <c r="AJ92" s="80" t="str">
        <f>AJ86</f>
        <v>開</v>
      </c>
      <c r="AK92" s="81" t="s">
        <v>46</v>
      </c>
      <c r="AL92" s="82" t="str">
        <f>AL86</f>
        <v>休</v>
      </c>
      <c r="AM92" s="81" t="s">
        <v>48</v>
      </c>
      <c r="AN92" s="82" t="s">
        <v>4</v>
      </c>
      <c r="AO92" s="81" t="s">
        <v>50</v>
      </c>
      <c r="AP92" s="82" t="str">
        <f>AP86</f>
        <v>傷</v>
      </c>
      <c r="AQ92" s="81" t="s">
        <v>52</v>
      </c>
      <c r="AR92" s="82" t="s">
        <v>8</v>
      </c>
      <c r="AS92" s="81" t="s">
        <v>38</v>
      </c>
      <c r="AT92" s="82" t="str">
        <f>AT86</f>
        <v>景</v>
      </c>
      <c r="AU92" s="81" t="s">
        <v>40</v>
      </c>
      <c r="AV92" s="82" t="str">
        <f>AV86</f>
        <v>死</v>
      </c>
      <c r="AW92" s="81" t="s">
        <v>42</v>
      </c>
      <c r="AX92" s="82" t="str">
        <f>AX86</f>
        <v>驚</v>
      </c>
      <c r="AY92" s="81" t="s">
        <v>44</v>
      </c>
      <c r="AZ92" s="83"/>
      <c r="BA92" s="84"/>
      <c r="BB92" s="84"/>
      <c r="BC92" s="84"/>
    </row>
    <row r="93">
      <c r="A93" s="192">
        <f>A87+1</f>
        <v>14</v>
      </c>
      <c r="B93" s="193"/>
      <c r="C93" s="12" t="s">
        <v>146</v>
      </c>
      <c r="E93" s="136" t="s">
        <v>161</v>
      </c>
      <c r="G93" s="273" t="str">
        <f t="shared" ref="G93:G94" si="121">G3:H3</f>
        <v>辛</v>
      </c>
      <c r="I93" s="275" t="str">
        <f t="shared" ref="I93:I94" si="122">I32:J32</f>
        <v>丙</v>
      </c>
      <c r="K93" s="90">
        <f>L93/L94</f>
        <v>0.605</v>
      </c>
      <c r="L93" s="126">
        <f t="shared" ref="L93:L94" si="123">O93+P93+Q93+U93+V93+W93+X93+R93+M93+N93+S93+T93</f>
        <v>605</v>
      </c>
      <c r="M93" s="101">
        <v>0.0</v>
      </c>
      <c r="N93" s="93">
        <v>0.0</v>
      </c>
      <c r="O93" s="92">
        <v>55.0</v>
      </c>
      <c r="P93" s="92">
        <v>40.0</v>
      </c>
      <c r="Q93" s="92">
        <v>90.0</v>
      </c>
      <c r="R93" s="93">
        <v>100.0</v>
      </c>
      <c r="S93" s="92">
        <v>40.0</v>
      </c>
      <c r="T93" s="93">
        <v>20.0</v>
      </c>
      <c r="U93" s="92">
        <f t="shared" ref="U93:V93" si="119">U38</f>
        <v>0</v>
      </c>
      <c r="V93" s="93">
        <f t="shared" si="119"/>
        <v>90</v>
      </c>
      <c r="W93" s="92">
        <f t="shared" ref="W93:X93" si="120">W32</f>
        <v>110</v>
      </c>
      <c r="X93" s="93">
        <f t="shared" si="120"/>
        <v>60</v>
      </c>
      <c r="Y93" s="73" t="s">
        <v>80</v>
      </c>
      <c r="Z93" s="94" t="s">
        <v>81</v>
      </c>
      <c r="AA93" s="36"/>
      <c r="AB93" s="29" t="s">
        <v>323</v>
      </c>
      <c r="AC93" s="170" t="s">
        <v>73</v>
      </c>
      <c r="AD93" s="94" t="s">
        <v>74</v>
      </c>
      <c r="AE93" s="37"/>
      <c r="AF93" s="97"/>
      <c r="AG93" s="12" t="s">
        <v>32</v>
      </c>
      <c r="AH93" s="12">
        <v>270.0</v>
      </c>
      <c r="AI93" s="12" t="s">
        <v>145</v>
      </c>
      <c r="AJ93" s="98" t="s">
        <v>43</v>
      </c>
      <c r="AK93" s="101" t="s">
        <v>91</v>
      </c>
      <c r="AL93" s="100" t="s">
        <v>41</v>
      </c>
      <c r="AM93" s="103" t="s">
        <v>92</v>
      </c>
      <c r="AN93" s="100" t="s">
        <v>39</v>
      </c>
      <c r="AO93" s="99" t="s">
        <v>93</v>
      </c>
      <c r="AP93" s="100" t="s">
        <v>37</v>
      </c>
      <c r="AQ93" s="99" t="s">
        <v>94</v>
      </c>
      <c r="AR93" s="100" t="s">
        <v>51</v>
      </c>
      <c r="AS93" s="101" t="s">
        <v>95</v>
      </c>
      <c r="AT93" s="100" t="s">
        <v>86</v>
      </c>
      <c r="AU93" s="99" t="s">
        <v>87</v>
      </c>
      <c r="AV93" s="100" t="s">
        <v>88</v>
      </c>
      <c r="AW93" s="101" t="s">
        <v>89</v>
      </c>
      <c r="AX93" s="100" t="s">
        <v>45</v>
      </c>
      <c r="AY93" s="102" t="s">
        <v>90</v>
      </c>
      <c r="AZ93" s="24"/>
    </row>
    <row r="94">
      <c r="A94" s="215" t="str">
        <f>G2</f>
        <v>มีนาคม</v>
      </c>
      <c r="B94" s="193"/>
      <c r="C94" s="140" t="s">
        <v>217</v>
      </c>
      <c r="E94" s="107" t="s">
        <v>97</v>
      </c>
      <c r="G94" s="274" t="str">
        <f t="shared" si="121"/>
        <v>卯</v>
      </c>
      <c r="I94" s="142" t="str">
        <f t="shared" si="122"/>
        <v>午</v>
      </c>
      <c r="K94" s="36"/>
      <c r="L94" s="109">
        <f t="shared" si="123"/>
        <v>1000</v>
      </c>
      <c r="M94" s="105">
        <v>0.0</v>
      </c>
      <c r="N94" s="110">
        <v>0.0</v>
      </c>
      <c r="O94" s="9">
        <v>100.0</v>
      </c>
      <c r="P94" s="9">
        <v>100.0</v>
      </c>
      <c r="Q94" s="9">
        <v>100.0</v>
      </c>
      <c r="R94" s="110">
        <v>100.0</v>
      </c>
      <c r="S94" s="9">
        <v>100.0</v>
      </c>
      <c r="T94" s="110">
        <v>100.0</v>
      </c>
      <c r="U94" s="9">
        <v>100.0</v>
      </c>
      <c r="V94" s="110">
        <v>100.0</v>
      </c>
      <c r="W94" s="9">
        <v>100.0</v>
      </c>
      <c r="X94" s="110">
        <v>100.0</v>
      </c>
      <c r="Y94" s="73" t="s">
        <v>98</v>
      </c>
      <c r="Z94" s="94" t="s">
        <v>99</v>
      </c>
      <c r="AA94" s="36"/>
      <c r="AB94" s="36"/>
      <c r="AC94" s="111"/>
      <c r="AD94" s="112"/>
      <c r="AE94" s="37"/>
      <c r="AF94" s="97"/>
      <c r="AG94" s="14"/>
      <c r="AH94" s="14"/>
      <c r="AI94" s="14"/>
      <c r="AJ94" s="113"/>
      <c r="AK94" s="105" t="s">
        <v>103</v>
      </c>
      <c r="AM94" s="104" t="s">
        <v>104</v>
      </c>
      <c r="AO94" s="104" t="s">
        <v>105</v>
      </c>
      <c r="AQ94" s="104" t="s">
        <v>106</v>
      </c>
      <c r="AS94" s="105" t="s">
        <v>107</v>
      </c>
      <c r="AU94" s="104" t="s">
        <v>100</v>
      </c>
      <c r="AW94" s="114" t="s">
        <v>101</v>
      </c>
      <c r="AY94" s="105" t="s">
        <v>102</v>
      </c>
      <c r="AZ94" s="24"/>
    </row>
    <row r="95">
      <c r="A95" s="192">
        <f>A10</f>
        <v>2569</v>
      </c>
      <c r="B95" s="193"/>
      <c r="E95" s="115" t="s">
        <v>110</v>
      </c>
      <c r="F95" s="116" t="s">
        <v>218</v>
      </c>
      <c r="G95" s="115" t="str">
        <f>G34</f>
        <v>A10</v>
      </c>
      <c r="H95" s="9" t="str">
        <f>H40</f>
        <v>B8</v>
      </c>
      <c r="I95" s="9" t="str">
        <f t="shared" ref="I95:J95" si="124">I34</f>
        <v>A5</v>
      </c>
      <c r="J95" s="9" t="str">
        <f t="shared" si="124"/>
        <v>B11</v>
      </c>
      <c r="K95" s="36"/>
      <c r="L95" s="117"/>
      <c r="M95" s="130" t="str">
        <f t="shared" ref="M95:P95" si="125">C95</f>
        <v/>
      </c>
      <c r="N95" s="119" t="str">
        <f t="shared" si="125"/>
        <v/>
      </c>
      <c r="O95" s="118" t="str">
        <f t="shared" si="125"/>
        <v>A11</v>
      </c>
      <c r="P95" s="118" t="str">
        <f t="shared" si="125"/>
        <v>B10</v>
      </c>
      <c r="Q95" s="118" t="str">
        <f t="shared" ref="Q95:R95" si="126">E96</f>
        <v>B6</v>
      </c>
      <c r="R95" s="119" t="str">
        <f t="shared" si="126"/>
        <v>C9</v>
      </c>
      <c r="S95" s="9" t="s">
        <v>112</v>
      </c>
      <c r="T95" s="110" t="s">
        <v>115</v>
      </c>
      <c r="U95" s="9" t="str">
        <f t="shared" ref="U95:X95" si="127">G95</f>
        <v>A10</v>
      </c>
      <c r="V95" s="119" t="str">
        <f t="shared" si="127"/>
        <v>B8</v>
      </c>
      <c r="W95" s="118" t="str">
        <f t="shared" si="127"/>
        <v>A5</v>
      </c>
      <c r="X95" s="120" t="str">
        <f t="shared" si="127"/>
        <v>B11</v>
      </c>
      <c r="Y95" s="73" t="s">
        <v>116</v>
      </c>
      <c r="Z95" s="94" t="s">
        <v>117</v>
      </c>
      <c r="AA95" s="36"/>
      <c r="AB95" s="36"/>
      <c r="AC95" s="111"/>
      <c r="AD95" s="112"/>
      <c r="AE95" s="37"/>
      <c r="AF95" s="97"/>
      <c r="AG95" s="14"/>
      <c r="AH95" s="14"/>
      <c r="AI95" s="14"/>
      <c r="AJ95" s="113"/>
      <c r="AK95" s="105" t="s">
        <v>121</v>
      </c>
      <c r="AM95" s="104" t="s">
        <v>122</v>
      </c>
      <c r="AO95" s="104" t="s">
        <v>123</v>
      </c>
      <c r="AQ95" s="104" t="s">
        <v>124</v>
      </c>
      <c r="AS95" s="105" t="s">
        <v>125</v>
      </c>
      <c r="AU95" s="104" t="s">
        <v>118</v>
      </c>
      <c r="AW95" s="114" t="s">
        <v>119</v>
      </c>
      <c r="AY95" s="105" t="s">
        <v>120</v>
      </c>
      <c r="AZ95" s="24"/>
    </row>
    <row r="96">
      <c r="A96" s="192">
        <f>A95-543</f>
        <v>2026</v>
      </c>
      <c r="B96" s="193"/>
      <c r="E96" s="115" t="s">
        <v>126</v>
      </c>
      <c r="F96" s="116" t="s">
        <v>229</v>
      </c>
      <c r="G96" s="115"/>
      <c r="H96" s="118"/>
      <c r="I96" s="118"/>
      <c r="J96" s="118"/>
      <c r="K96" s="36"/>
      <c r="L96" s="117"/>
      <c r="M96" s="128"/>
      <c r="N96" s="117"/>
      <c r="R96" s="117"/>
      <c r="T96" s="117"/>
      <c r="V96" s="117"/>
      <c r="X96" s="117"/>
      <c r="Y96" s="73" t="s">
        <v>126</v>
      </c>
      <c r="Z96" s="94" t="s">
        <v>128</v>
      </c>
      <c r="AA96" s="36"/>
      <c r="AB96" s="36"/>
      <c r="AC96" s="111"/>
      <c r="AD96" s="112"/>
      <c r="AE96" s="37"/>
      <c r="AF96" s="97"/>
      <c r="AG96" s="14"/>
      <c r="AH96" s="14"/>
      <c r="AI96" s="14"/>
      <c r="AJ96" s="113"/>
      <c r="AK96" s="105" t="s">
        <v>132</v>
      </c>
      <c r="AM96" s="104" t="s">
        <v>133</v>
      </c>
      <c r="AO96" s="104" t="s">
        <v>134</v>
      </c>
      <c r="AQ96" s="104" t="s">
        <v>135</v>
      </c>
      <c r="AS96" s="105" t="s">
        <v>136</v>
      </c>
      <c r="AU96" s="104" t="s">
        <v>129</v>
      </c>
      <c r="AW96" s="114" t="s">
        <v>130</v>
      </c>
      <c r="AY96" s="105" t="s">
        <v>131</v>
      </c>
      <c r="AZ96" s="24"/>
    </row>
    <row r="97">
      <c r="A97" s="213" t="s">
        <v>230</v>
      </c>
      <c r="B97" s="206"/>
      <c r="C97" s="123"/>
      <c r="D97" s="123"/>
      <c r="E97" s="176" t="s">
        <v>137</v>
      </c>
      <c r="F97" s="88"/>
      <c r="G97" s="210" t="str">
        <f>G5:H5</f>
        <v>อสูรเดือน W</v>
      </c>
      <c r="I97" s="211" t="str">
        <f>I5:J5</f>
        <v>อสูรปี N</v>
      </c>
      <c r="K97" s="36"/>
      <c r="L97" s="117"/>
      <c r="M97" s="128"/>
      <c r="N97" s="117"/>
      <c r="R97" s="117"/>
      <c r="T97" s="117"/>
      <c r="V97" s="117"/>
      <c r="X97" s="117"/>
      <c r="Y97" s="127"/>
      <c r="Z97" s="155"/>
      <c r="AA97" s="36"/>
      <c r="AB97" s="36"/>
      <c r="AC97" s="111"/>
      <c r="AD97" s="112"/>
      <c r="AE97" s="37"/>
      <c r="AF97" s="97"/>
      <c r="AG97" s="14"/>
      <c r="AH97" s="14"/>
      <c r="AI97" s="14"/>
      <c r="AJ97" s="113"/>
      <c r="AM97" s="128"/>
      <c r="AZ97" s="24"/>
    </row>
    <row r="98">
      <c r="A98" s="188" t="s">
        <v>169</v>
      </c>
      <c r="B98" s="189"/>
      <c r="C98" s="63"/>
      <c r="D98" s="63"/>
      <c r="E98" s="64">
        <f>(O99+P99+Q99+R99)/(O100+P100+Q100+R100)</f>
        <v>0.6375</v>
      </c>
      <c r="F98" s="65"/>
      <c r="G98" s="133"/>
      <c r="H98" s="72"/>
      <c r="I98" s="67"/>
      <c r="J98" s="72"/>
      <c r="K98" s="68"/>
      <c r="L98" s="69"/>
      <c r="M98" s="295" t="s">
        <v>64</v>
      </c>
      <c r="N98" s="70"/>
      <c r="O98" s="71" t="s">
        <v>65</v>
      </c>
      <c r="P98" s="72"/>
      <c r="Q98" s="72"/>
      <c r="R98" s="70"/>
      <c r="S98" s="71" t="s">
        <v>66</v>
      </c>
      <c r="T98" s="70"/>
      <c r="U98" s="71" t="s">
        <v>67</v>
      </c>
      <c r="V98" s="70"/>
      <c r="W98" s="71" t="s">
        <v>68</v>
      </c>
      <c r="X98" s="70"/>
      <c r="Y98" s="134" t="s">
        <v>116</v>
      </c>
      <c r="Z98" s="74" t="s">
        <v>140</v>
      </c>
      <c r="AA98" s="75" t="s">
        <v>209</v>
      </c>
      <c r="AB98" s="75" t="s">
        <v>238</v>
      </c>
      <c r="AC98" s="76" t="s">
        <v>73</v>
      </c>
      <c r="AD98" s="77" t="s">
        <v>74</v>
      </c>
      <c r="AE98" s="63" t="s">
        <v>34</v>
      </c>
      <c r="AF98" s="78" t="s">
        <v>144</v>
      </c>
      <c r="AG98" s="79" t="s">
        <v>71</v>
      </c>
      <c r="AH98" s="79">
        <v>210.0</v>
      </c>
      <c r="AI98" s="79" t="s">
        <v>175</v>
      </c>
      <c r="AJ98" s="80" t="str">
        <f>AJ92</f>
        <v>開</v>
      </c>
      <c r="AK98" s="81" t="s">
        <v>40</v>
      </c>
      <c r="AL98" s="82" t="str">
        <f>AL92</f>
        <v>休</v>
      </c>
      <c r="AM98" s="81" t="s">
        <v>42</v>
      </c>
      <c r="AN98" s="82" t="s">
        <v>4</v>
      </c>
      <c r="AO98" s="81" t="s">
        <v>44</v>
      </c>
      <c r="AP98" s="82" t="str">
        <f>AP92</f>
        <v>傷</v>
      </c>
      <c r="AQ98" s="81" t="s">
        <v>46</v>
      </c>
      <c r="AR98" s="82" t="s">
        <v>8</v>
      </c>
      <c r="AS98" s="81" t="s">
        <v>48</v>
      </c>
      <c r="AT98" s="82" t="str">
        <f>AT92</f>
        <v>景</v>
      </c>
      <c r="AU98" s="81" t="s">
        <v>50</v>
      </c>
      <c r="AV98" s="82" t="str">
        <f>AV92</f>
        <v>死</v>
      </c>
      <c r="AW98" s="81" t="s">
        <v>52</v>
      </c>
      <c r="AX98" s="82" t="str">
        <f>AX92</f>
        <v>驚</v>
      </c>
      <c r="AY98" s="81" t="s">
        <v>38</v>
      </c>
      <c r="AZ98" s="83"/>
      <c r="BA98" s="84"/>
      <c r="BB98" s="84"/>
      <c r="BC98" s="84"/>
    </row>
    <row r="99">
      <c r="A99" s="192">
        <f>A93+1</f>
        <v>15</v>
      </c>
      <c r="B99" s="193"/>
      <c r="C99" s="12" t="s">
        <v>146</v>
      </c>
      <c r="E99" s="168" t="s">
        <v>79</v>
      </c>
      <c r="G99" s="273" t="str">
        <f t="shared" ref="G99:G100" si="130">G3:H3</f>
        <v>辛</v>
      </c>
      <c r="I99" s="275" t="str">
        <f t="shared" ref="I99:I100" si="131">I32:J32</f>
        <v>丙</v>
      </c>
      <c r="K99" s="90">
        <f>L99/L100</f>
        <v>0.63</v>
      </c>
      <c r="L99" s="126">
        <f t="shared" ref="L99:L100" si="132">O99+P99+Q99+U99+V99+W99+X99+R99+M99+N99+S99+T99</f>
        <v>630</v>
      </c>
      <c r="M99" s="101">
        <v>0.0</v>
      </c>
      <c r="N99" s="93">
        <v>0.0</v>
      </c>
      <c r="O99" s="92">
        <v>65.0</v>
      </c>
      <c r="P99" s="92">
        <v>60.0</v>
      </c>
      <c r="Q99" s="92">
        <v>100.0</v>
      </c>
      <c r="R99" s="93">
        <v>30.0</v>
      </c>
      <c r="S99" s="92">
        <v>80.0</v>
      </c>
      <c r="T99" s="93">
        <v>35.0</v>
      </c>
      <c r="U99" s="92">
        <f t="shared" ref="U99:V99" si="128">U38</f>
        <v>0</v>
      </c>
      <c r="V99" s="93">
        <f t="shared" si="128"/>
        <v>90</v>
      </c>
      <c r="W99" s="92">
        <f t="shared" ref="W99:X99" si="129">W32</f>
        <v>110</v>
      </c>
      <c r="X99" s="93">
        <f t="shared" si="129"/>
        <v>60</v>
      </c>
      <c r="Y99" s="73" t="s">
        <v>126</v>
      </c>
      <c r="Z99" s="94" t="s">
        <v>70</v>
      </c>
      <c r="AA99" s="36"/>
      <c r="AB99" s="29" t="s">
        <v>325</v>
      </c>
      <c r="AC99" s="95" t="s">
        <v>82</v>
      </c>
      <c r="AD99" s="96" t="s">
        <v>83</v>
      </c>
      <c r="AE99" s="37"/>
      <c r="AF99" s="97"/>
      <c r="AG99" s="12" t="s">
        <v>53</v>
      </c>
      <c r="AH99" s="12">
        <v>30.0</v>
      </c>
      <c r="AI99" s="12" t="s">
        <v>178</v>
      </c>
      <c r="AJ99" s="98" t="s">
        <v>88</v>
      </c>
      <c r="AK99" s="101" t="s">
        <v>89</v>
      </c>
      <c r="AL99" s="100" t="s">
        <v>45</v>
      </c>
      <c r="AM99" s="102" t="s">
        <v>90</v>
      </c>
      <c r="AN99" s="100" t="s">
        <v>43</v>
      </c>
      <c r="AO99" s="101" t="s">
        <v>91</v>
      </c>
      <c r="AP99" s="100" t="s">
        <v>41</v>
      </c>
      <c r="AQ99" s="103" t="s">
        <v>92</v>
      </c>
      <c r="AR99" s="100" t="s">
        <v>39</v>
      </c>
      <c r="AS99" s="99" t="s">
        <v>93</v>
      </c>
      <c r="AT99" s="100" t="s">
        <v>37</v>
      </c>
      <c r="AU99" s="99" t="s">
        <v>94</v>
      </c>
      <c r="AV99" s="100" t="s">
        <v>51</v>
      </c>
      <c r="AW99" s="101" t="s">
        <v>95</v>
      </c>
      <c r="AX99" s="100" t="s">
        <v>86</v>
      </c>
      <c r="AY99" s="99" t="s">
        <v>87</v>
      </c>
      <c r="AZ99" s="24"/>
    </row>
    <row r="100">
      <c r="A100" s="215" t="str">
        <f>G2</f>
        <v>มีนาคม</v>
      </c>
      <c r="B100" s="193"/>
      <c r="C100" s="161" t="s">
        <v>223</v>
      </c>
      <c r="E100" s="107" t="s">
        <v>84</v>
      </c>
      <c r="G100" s="274" t="str">
        <f t="shared" si="130"/>
        <v>卯</v>
      </c>
      <c r="I100" s="142" t="str">
        <f t="shared" si="131"/>
        <v>午</v>
      </c>
      <c r="K100" s="36"/>
      <c r="L100" s="109">
        <f t="shared" si="132"/>
        <v>1000</v>
      </c>
      <c r="M100" s="105">
        <v>0.0</v>
      </c>
      <c r="N100" s="110">
        <v>0.0</v>
      </c>
      <c r="O100" s="9">
        <v>100.0</v>
      </c>
      <c r="P100" s="9">
        <v>100.0</v>
      </c>
      <c r="Q100" s="9">
        <v>100.0</v>
      </c>
      <c r="R100" s="110">
        <v>100.0</v>
      </c>
      <c r="S100" s="9">
        <v>100.0</v>
      </c>
      <c r="T100" s="110">
        <v>100.0</v>
      </c>
      <c r="U100" s="9">
        <v>100.0</v>
      </c>
      <c r="V100" s="110">
        <v>100.0</v>
      </c>
      <c r="W100" s="9">
        <v>100.0</v>
      </c>
      <c r="X100" s="110">
        <v>100.0</v>
      </c>
      <c r="Y100" s="73" t="s">
        <v>69</v>
      </c>
      <c r="Z100" s="94" t="s">
        <v>152</v>
      </c>
      <c r="AA100" s="36"/>
      <c r="AB100" s="36"/>
      <c r="AC100" s="111"/>
      <c r="AD100" s="112"/>
      <c r="AE100" s="37"/>
      <c r="AF100" s="97"/>
      <c r="AG100" s="14"/>
      <c r="AH100" s="14"/>
      <c r="AI100" s="14"/>
      <c r="AJ100" s="113"/>
      <c r="AK100" s="114" t="s">
        <v>101</v>
      </c>
      <c r="AM100" s="105" t="s">
        <v>102</v>
      </c>
      <c r="AO100" s="105" t="s">
        <v>103</v>
      </c>
      <c r="AQ100" s="104" t="s">
        <v>104</v>
      </c>
      <c r="AS100" s="104" t="s">
        <v>105</v>
      </c>
      <c r="AU100" s="104" t="s">
        <v>106</v>
      </c>
      <c r="AW100" s="105" t="s">
        <v>107</v>
      </c>
      <c r="AY100" s="104" t="s">
        <v>100</v>
      </c>
      <c r="AZ100" s="24"/>
    </row>
    <row r="101">
      <c r="A101" s="192">
        <v>2569.0</v>
      </c>
      <c r="B101" s="193"/>
      <c r="E101" s="115" t="s">
        <v>110</v>
      </c>
      <c r="F101" s="116" t="s">
        <v>214</v>
      </c>
      <c r="G101" s="115" t="str">
        <f>G34</f>
        <v>A10</v>
      </c>
      <c r="H101" s="9" t="str">
        <f>H40</f>
        <v>B8</v>
      </c>
      <c r="I101" s="9" t="str">
        <f t="shared" ref="I101:J101" si="133">I34</f>
        <v>A5</v>
      </c>
      <c r="J101" s="9" t="str">
        <f t="shared" si="133"/>
        <v>B11</v>
      </c>
      <c r="K101" s="36"/>
      <c r="L101" s="117"/>
      <c r="M101" s="130" t="str">
        <f t="shared" ref="M101:P101" si="134">C101</f>
        <v/>
      </c>
      <c r="N101" s="119" t="str">
        <f t="shared" si="134"/>
        <v/>
      </c>
      <c r="O101" s="118" t="str">
        <f t="shared" si="134"/>
        <v>A11</v>
      </c>
      <c r="P101" s="118" t="str">
        <f t="shared" si="134"/>
        <v>B11</v>
      </c>
      <c r="Q101" s="118" t="str">
        <f t="shared" ref="Q101:R101" si="135">E102</f>
        <v>B5</v>
      </c>
      <c r="R101" s="119" t="str">
        <f t="shared" si="135"/>
        <v>C10</v>
      </c>
      <c r="S101" s="9" t="s">
        <v>182</v>
      </c>
      <c r="T101" s="110" t="s">
        <v>112</v>
      </c>
      <c r="U101" s="9" t="str">
        <f t="shared" ref="U101:X101" si="136">G101</f>
        <v>A10</v>
      </c>
      <c r="V101" s="119" t="str">
        <f t="shared" si="136"/>
        <v>B8</v>
      </c>
      <c r="W101" s="118" t="str">
        <f t="shared" si="136"/>
        <v>A5</v>
      </c>
      <c r="X101" s="120" t="str">
        <f t="shared" si="136"/>
        <v>B11</v>
      </c>
      <c r="Y101" s="73" t="s">
        <v>80</v>
      </c>
      <c r="Z101" s="94" t="s">
        <v>153</v>
      </c>
      <c r="AA101" s="36"/>
      <c r="AB101" s="36"/>
      <c r="AC101" s="111"/>
      <c r="AD101" s="112"/>
      <c r="AE101" s="37"/>
      <c r="AF101" s="97"/>
      <c r="AG101" s="14"/>
      <c r="AH101" s="14"/>
      <c r="AI101" s="14"/>
      <c r="AJ101" s="113"/>
      <c r="AK101" s="114" t="s">
        <v>119</v>
      </c>
      <c r="AM101" s="105" t="s">
        <v>120</v>
      </c>
      <c r="AO101" s="105" t="s">
        <v>121</v>
      </c>
      <c r="AQ101" s="104" t="s">
        <v>122</v>
      </c>
      <c r="AS101" s="104" t="s">
        <v>123</v>
      </c>
      <c r="AU101" s="104" t="s">
        <v>124</v>
      </c>
      <c r="AW101" s="105" t="s">
        <v>125</v>
      </c>
      <c r="AY101" s="104" t="s">
        <v>118</v>
      </c>
      <c r="AZ101" s="24"/>
    </row>
    <row r="102">
      <c r="A102" s="192">
        <f>A101-543</f>
        <v>2026</v>
      </c>
      <c r="B102" s="193"/>
      <c r="E102" s="115" t="s">
        <v>116</v>
      </c>
      <c r="F102" s="116" t="s">
        <v>232</v>
      </c>
      <c r="G102" s="115"/>
      <c r="H102" s="118"/>
      <c r="I102" s="118"/>
      <c r="J102" s="118"/>
      <c r="K102" s="36"/>
      <c r="L102" s="117"/>
      <c r="M102" s="128"/>
      <c r="N102" s="117"/>
      <c r="R102" s="117"/>
      <c r="T102" s="117"/>
      <c r="V102" s="117"/>
      <c r="X102" s="117"/>
      <c r="Y102" s="73" t="s">
        <v>98</v>
      </c>
      <c r="Z102" s="94" t="s">
        <v>155</v>
      </c>
      <c r="AA102" s="36"/>
      <c r="AB102" s="36"/>
      <c r="AC102" s="111"/>
      <c r="AD102" s="112"/>
      <c r="AE102" s="37"/>
      <c r="AF102" s="97"/>
      <c r="AG102" s="14"/>
      <c r="AH102" s="14"/>
      <c r="AI102" s="14"/>
      <c r="AJ102" s="113"/>
      <c r="AK102" s="114" t="s">
        <v>130</v>
      </c>
      <c r="AM102" s="105" t="s">
        <v>131</v>
      </c>
      <c r="AO102" s="105" t="s">
        <v>132</v>
      </c>
      <c r="AQ102" s="104" t="s">
        <v>133</v>
      </c>
      <c r="AS102" s="104" t="s">
        <v>134</v>
      </c>
      <c r="AU102" s="104" t="s">
        <v>135</v>
      </c>
      <c r="AW102" s="105" t="s">
        <v>136</v>
      </c>
      <c r="AY102" s="104" t="s">
        <v>129</v>
      </c>
      <c r="AZ102" s="24"/>
    </row>
    <row r="103">
      <c r="A103" s="310"/>
      <c r="B103" s="206"/>
      <c r="C103" s="123"/>
      <c r="D103" s="123"/>
      <c r="E103" s="176" t="s">
        <v>157</v>
      </c>
      <c r="F103" s="88"/>
      <c r="G103" s="207" t="str">
        <f>G5:H5</f>
        <v>อสูรเดือน W</v>
      </c>
      <c r="I103" s="208" t="str">
        <f>I5:J5</f>
        <v>อสูรปี N</v>
      </c>
      <c r="K103" s="36"/>
      <c r="L103" s="117"/>
      <c r="M103" s="128"/>
      <c r="N103" s="117"/>
      <c r="R103" s="117"/>
      <c r="T103" s="117"/>
      <c r="V103" s="117"/>
      <c r="X103" s="117"/>
      <c r="Y103" s="127"/>
      <c r="Z103" s="155"/>
      <c r="AA103" s="36"/>
      <c r="AB103" s="36"/>
      <c r="AC103" s="111"/>
      <c r="AD103" s="112"/>
      <c r="AE103" s="37"/>
      <c r="AF103" s="97"/>
      <c r="AG103" s="14"/>
      <c r="AH103" s="14"/>
      <c r="AI103" s="14"/>
      <c r="AJ103" s="113"/>
      <c r="AU103" s="128"/>
      <c r="AZ103" s="24"/>
    </row>
    <row r="104">
      <c r="A104" s="188" t="s">
        <v>186</v>
      </c>
      <c r="B104" s="189"/>
      <c r="C104" s="63"/>
      <c r="D104" s="63"/>
      <c r="E104" s="64">
        <f>(O105+P105+Q105+R105)/(O106+P106+Q106+R106)</f>
        <v>0.425</v>
      </c>
      <c r="F104" s="65"/>
      <c r="G104" s="133"/>
      <c r="H104" s="72"/>
      <c r="I104" s="67"/>
      <c r="J104" s="72"/>
      <c r="K104" s="68"/>
      <c r="L104" s="69"/>
      <c r="M104" s="295" t="s">
        <v>64</v>
      </c>
      <c r="N104" s="70"/>
      <c r="O104" s="71" t="s">
        <v>65</v>
      </c>
      <c r="P104" s="72"/>
      <c r="Q104" s="72"/>
      <c r="R104" s="70"/>
      <c r="S104" s="71" t="s">
        <v>66</v>
      </c>
      <c r="T104" s="70"/>
      <c r="U104" s="71" t="s">
        <v>67</v>
      </c>
      <c r="V104" s="70"/>
      <c r="W104" s="71" t="s">
        <v>68</v>
      </c>
      <c r="X104" s="70"/>
      <c r="Y104" s="134" t="s">
        <v>116</v>
      </c>
      <c r="Z104" s="74" t="s">
        <v>159</v>
      </c>
      <c r="AA104" s="75" t="s">
        <v>32</v>
      </c>
      <c r="AB104" s="75" t="s">
        <v>233</v>
      </c>
      <c r="AC104" s="76" t="s">
        <v>73</v>
      </c>
      <c r="AD104" s="77" t="s">
        <v>74</v>
      </c>
      <c r="AE104" s="63" t="s">
        <v>34</v>
      </c>
      <c r="AF104" s="78" t="s">
        <v>36</v>
      </c>
      <c r="AG104" s="79" t="s">
        <v>84</v>
      </c>
      <c r="AH104" s="79">
        <v>0.0</v>
      </c>
      <c r="AI104" s="79" t="s">
        <v>85</v>
      </c>
      <c r="AJ104" s="80" t="str">
        <f>AJ98</f>
        <v>開</v>
      </c>
      <c r="AK104" s="81" t="s">
        <v>46</v>
      </c>
      <c r="AL104" s="82" t="str">
        <f>AL98</f>
        <v>休</v>
      </c>
      <c r="AM104" s="81" t="s">
        <v>48</v>
      </c>
      <c r="AN104" s="82" t="str">
        <f>AN98</f>
        <v>生</v>
      </c>
      <c r="AO104" s="81" t="s">
        <v>50</v>
      </c>
      <c r="AP104" s="82" t="str">
        <f>AP98</f>
        <v>傷</v>
      </c>
      <c r="AQ104" s="81" t="s">
        <v>52</v>
      </c>
      <c r="AR104" s="82" t="str">
        <f>AR98</f>
        <v>杜</v>
      </c>
      <c r="AS104" s="81" t="s">
        <v>38</v>
      </c>
      <c r="AT104" s="82" t="str">
        <f>AT98</f>
        <v>景</v>
      </c>
      <c r="AU104" s="81" t="s">
        <v>40</v>
      </c>
      <c r="AV104" s="82" t="str">
        <f>AV98</f>
        <v>死</v>
      </c>
      <c r="AW104" s="81" t="s">
        <v>42</v>
      </c>
      <c r="AX104" s="82" t="str">
        <f>AX98</f>
        <v>驚</v>
      </c>
      <c r="AY104" s="81" t="s">
        <v>44</v>
      </c>
      <c r="AZ104" s="83"/>
      <c r="BA104" s="84"/>
      <c r="BB104" s="84"/>
      <c r="BC104" s="84"/>
    </row>
    <row r="105">
      <c r="A105" s="192">
        <f>A99+1</f>
        <v>16</v>
      </c>
      <c r="B105" s="193"/>
      <c r="C105" s="12" t="s">
        <v>216</v>
      </c>
      <c r="E105" s="168" t="s">
        <v>30</v>
      </c>
      <c r="G105" s="273" t="str">
        <f t="shared" ref="G105:G106" si="139">G3:H3</f>
        <v>辛</v>
      </c>
      <c r="I105" s="275" t="str">
        <f t="shared" ref="I105:I106" si="140">I32:J32</f>
        <v>丙</v>
      </c>
      <c r="K105" s="90">
        <f>L105/L106</f>
        <v>0.515</v>
      </c>
      <c r="L105" s="126">
        <f t="shared" ref="L105:L106" si="141">O105+P105+Q105+U105+V105+W105+X105+R105+M105+N105+S105+T105</f>
        <v>515</v>
      </c>
      <c r="M105" s="101">
        <v>0.0</v>
      </c>
      <c r="N105" s="93">
        <v>0.0</v>
      </c>
      <c r="O105" s="92">
        <v>50.0</v>
      </c>
      <c r="P105" s="92">
        <v>10.0</v>
      </c>
      <c r="Q105" s="92">
        <v>30.0</v>
      </c>
      <c r="R105" s="93">
        <v>80.0</v>
      </c>
      <c r="S105" s="92">
        <v>70.0</v>
      </c>
      <c r="T105" s="93">
        <v>15.0</v>
      </c>
      <c r="U105" s="92">
        <f t="shared" ref="U105:V105" si="137">U38</f>
        <v>0</v>
      </c>
      <c r="V105" s="93">
        <f t="shared" si="137"/>
        <v>90</v>
      </c>
      <c r="W105" s="92">
        <f t="shared" ref="W105:X105" si="138">W32</f>
        <v>110</v>
      </c>
      <c r="X105" s="93">
        <f t="shared" si="138"/>
        <v>60</v>
      </c>
      <c r="Y105" s="73" t="s">
        <v>126</v>
      </c>
      <c r="Z105" s="94" t="s">
        <v>152</v>
      </c>
      <c r="AA105" s="36"/>
      <c r="AB105" s="29" t="s">
        <v>323</v>
      </c>
      <c r="AC105" s="95" t="s">
        <v>82</v>
      </c>
      <c r="AD105" s="96" t="s">
        <v>83</v>
      </c>
      <c r="AE105" s="37"/>
      <c r="AF105" s="97"/>
      <c r="AG105" s="12" t="s">
        <v>76</v>
      </c>
      <c r="AH105" s="12">
        <v>240.0</v>
      </c>
      <c r="AI105" s="12" t="s">
        <v>77</v>
      </c>
      <c r="AJ105" s="98" t="s">
        <v>86</v>
      </c>
      <c r="AK105" s="99" t="s">
        <v>87</v>
      </c>
      <c r="AL105" s="100" t="s">
        <v>88</v>
      </c>
      <c r="AM105" s="101" t="s">
        <v>89</v>
      </c>
      <c r="AN105" s="100" t="s">
        <v>45</v>
      </c>
      <c r="AO105" s="102" t="s">
        <v>90</v>
      </c>
      <c r="AP105" s="100" t="s">
        <v>43</v>
      </c>
      <c r="AQ105" s="101" t="s">
        <v>91</v>
      </c>
      <c r="AR105" s="100" t="s">
        <v>41</v>
      </c>
      <c r="AS105" s="103" t="s">
        <v>92</v>
      </c>
      <c r="AT105" s="100" t="s">
        <v>39</v>
      </c>
      <c r="AU105" s="99" t="s">
        <v>93</v>
      </c>
      <c r="AV105" s="100" t="s">
        <v>37</v>
      </c>
      <c r="AW105" s="99" t="s">
        <v>94</v>
      </c>
      <c r="AX105" s="100" t="s">
        <v>51</v>
      </c>
      <c r="AY105" s="101" t="s">
        <v>95</v>
      </c>
      <c r="AZ105" s="24"/>
    </row>
    <row r="106">
      <c r="A106" s="215" t="str">
        <f>G2</f>
        <v>มีนาคม</v>
      </c>
      <c r="B106" s="193"/>
      <c r="C106" s="212" t="s">
        <v>228</v>
      </c>
      <c r="E106" s="162" t="s">
        <v>53</v>
      </c>
      <c r="G106" s="274" t="str">
        <f t="shared" si="139"/>
        <v>卯</v>
      </c>
      <c r="I106" s="142" t="str">
        <f t="shared" si="140"/>
        <v>午</v>
      </c>
      <c r="K106" s="36"/>
      <c r="L106" s="109">
        <f t="shared" si="141"/>
        <v>1000</v>
      </c>
      <c r="M106" s="105">
        <v>0.0</v>
      </c>
      <c r="N106" s="110">
        <v>0.0</v>
      </c>
      <c r="O106" s="9">
        <v>100.0</v>
      </c>
      <c r="P106" s="9">
        <v>100.0</v>
      </c>
      <c r="Q106" s="9">
        <v>100.0</v>
      </c>
      <c r="R106" s="110">
        <v>100.0</v>
      </c>
      <c r="S106" s="9">
        <v>100.0</v>
      </c>
      <c r="T106" s="110">
        <v>100.0</v>
      </c>
      <c r="U106" s="9">
        <v>100.0</v>
      </c>
      <c r="V106" s="110">
        <v>100.0</v>
      </c>
      <c r="W106" s="9">
        <v>100.0</v>
      </c>
      <c r="X106" s="110">
        <v>100.0</v>
      </c>
      <c r="Y106" s="73" t="s">
        <v>69</v>
      </c>
      <c r="Z106" s="94" t="s">
        <v>163</v>
      </c>
      <c r="AA106" s="36"/>
      <c r="AB106" s="36"/>
      <c r="AC106" s="111"/>
      <c r="AD106" s="112"/>
      <c r="AE106" s="37"/>
      <c r="AF106" s="97"/>
      <c r="AG106" s="14"/>
      <c r="AH106" s="14"/>
      <c r="AI106" s="14"/>
      <c r="AJ106" s="113"/>
      <c r="AK106" s="104" t="s">
        <v>100</v>
      </c>
      <c r="AM106" s="114" t="s">
        <v>101</v>
      </c>
      <c r="AO106" s="105" t="s">
        <v>102</v>
      </c>
      <c r="AQ106" s="105" t="s">
        <v>103</v>
      </c>
      <c r="AS106" s="104" t="s">
        <v>104</v>
      </c>
      <c r="AU106" s="104" t="s">
        <v>105</v>
      </c>
      <c r="AW106" s="104" t="s">
        <v>106</v>
      </c>
      <c r="AY106" s="105" t="s">
        <v>107</v>
      </c>
      <c r="AZ106" s="24"/>
    </row>
    <row r="107">
      <c r="A107" s="192">
        <v>2569.0</v>
      </c>
      <c r="B107" s="193"/>
      <c r="E107" s="115" t="s">
        <v>164</v>
      </c>
      <c r="F107" s="116" t="s">
        <v>113</v>
      </c>
      <c r="G107" s="115" t="str">
        <f>G34</f>
        <v>A10</v>
      </c>
      <c r="H107" s="9" t="str">
        <f>H40</f>
        <v>B8</v>
      </c>
      <c r="I107" s="9" t="str">
        <f t="shared" ref="I107:J107" si="142">I34</f>
        <v>A5</v>
      </c>
      <c r="J107" s="9" t="str">
        <f t="shared" si="142"/>
        <v>B11</v>
      </c>
      <c r="K107" s="36"/>
      <c r="L107" s="117"/>
      <c r="M107" s="130" t="str">
        <f t="shared" ref="M107:P107" si="143">C107</f>
        <v/>
      </c>
      <c r="N107" s="119" t="str">
        <f t="shared" si="143"/>
        <v/>
      </c>
      <c r="O107" s="118" t="str">
        <f t="shared" si="143"/>
        <v>A9</v>
      </c>
      <c r="P107" s="118" t="str">
        <f t="shared" si="143"/>
        <v>B12</v>
      </c>
      <c r="Q107" s="118" t="str">
        <f t="shared" ref="Q107:R107" si="144">E108</f>
        <v>B4</v>
      </c>
      <c r="R107" s="119" t="str">
        <f t="shared" si="144"/>
        <v>C11</v>
      </c>
      <c r="S107" s="9" t="s">
        <v>165</v>
      </c>
      <c r="T107" s="110" t="s">
        <v>115</v>
      </c>
      <c r="U107" s="9" t="str">
        <f t="shared" ref="U107:X107" si="145">G107</f>
        <v>A10</v>
      </c>
      <c r="V107" s="119" t="str">
        <f t="shared" si="145"/>
        <v>B8</v>
      </c>
      <c r="W107" s="118" t="str">
        <f t="shared" si="145"/>
        <v>A5</v>
      </c>
      <c r="X107" s="120" t="str">
        <f t="shared" si="145"/>
        <v>B11</v>
      </c>
      <c r="Y107" s="73" t="s">
        <v>80</v>
      </c>
      <c r="Z107" s="94" t="s">
        <v>117</v>
      </c>
      <c r="AA107" s="36"/>
      <c r="AB107" s="36"/>
      <c r="AC107" s="111"/>
      <c r="AD107" s="112"/>
      <c r="AE107" s="37"/>
      <c r="AF107" s="97"/>
      <c r="AG107" s="14"/>
      <c r="AH107" s="14"/>
      <c r="AI107" s="14"/>
      <c r="AJ107" s="113"/>
      <c r="AK107" s="104" t="s">
        <v>118</v>
      </c>
      <c r="AM107" s="114" t="s">
        <v>119</v>
      </c>
      <c r="AO107" s="105" t="s">
        <v>120</v>
      </c>
      <c r="AQ107" s="105" t="s">
        <v>121</v>
      </c>
      <c r="AS107" s="104" t="s">
        <v>122</v>
      </c>
      <c r="AU107" s="104" t="s">
        <v>123</v>
      </c>
      <c r="AW107" s="104" t="s">
        <v>124</v>
      </c>
      <c r="AY107" s="105" t="s">
        <v>125</v>
      </c>
      <c r="AZ107" s="24"/>
    </row>
    <row r="108">
      <c r="A108" s="192">
        <f>A107-543</f>
        <v>2026</v>
      </c>
      <c r="B108" s="193"/>
      <c r="C108" s="12"/>
      <c r="E108" s="115" t="s">
        <v>109</v>
      </c>
      <c r="F108" s="116" t="s">
        <v>236</v>
      </c>
      <c r="G108" s="115"/>
      <c r="H108" s="118"/>
      <c r="I108" s="118"/>
      <c r="J108" s="118"/>
      <c r="K108" s="36"/>
      <c r="L108" s="117"/>
      <c r="M108" s="128"/>
      <c r="N108" s="117"/>
      <c r="R108" s="117"/>
      <c r="T108" s="117"/>
      <c r="V108" s="117"/>
      <c r="X108" s="117"/>
      <c r="Y108" s="73" t="s">
        <v>98</v>
      </c>
      <c r="Z108" s="94" t="s">
        <v>128</v>
      </c>
      <c r="AA108" s="36"/>
      <c r="AB108" s="36"/>
      <c r="AC108" s="111"/>
      <c r="AD108" s="112"/>
      <c r="AE108" s="37"/>
      <c r="AF108" s="97"/>
      <c r="AG108" s="14"/>
      <c r="AH108" s="14"/>
      <c r="AI108" s="14"/>
      <c r="AJ108" s="113"/>
      <c r="AK108" s="104" t="s">
        <v>129</v>
      </c>
      <c r="AM108" s="114" t="s">
        <v>130</v>
      </c>
      <c r="AO108" s="105" t="s">
        <v>131</v>
      </c>
      <c r="AQ108" s="105" t="s">
        <v>132</v>
      </c>
      <c r="AS108" s="104" t="s">
        <v>133</v>
      </c>
      <c r="AU108" s="104" t="s">
        <v>134</v>
      </c>
      <c r="AW108" s="104" t="s">
        <v>135</v>
      </c>
      <c r="AY108" s="105" t="s">
        <v>136</v>
      </c>
      <c r="AZ108" s="24"/>
    </row>
    <row r="109">
      <c r="A109" s="279"/>
      <c r="B109" s="206"/>
      <c r="C109" s="123"/>
      <c r="D109" s="123"/>
      <c r="E109" s="164" t="s">
        <v>168</v>
      </c>
      <c r="F109" s="88"/>
      <c r="G109" s="207" t="str">
        <f>G5:H5</f>
        <v>อสูรเดือน W</v>
      </c>
      <c r="I109" s="208" t="str">
        <f>I5:J5</f>
        <v>อสูรปี N</v>
      </c>
      <c r="K109" s="36"/>
      <c r="L109" s="117"/>
      <c r="M109" s="128"/>
      <c r="N109" s="117"/>
      <c r="R109" s="117"/>
      <c r="T109" s="117"/>
      <c r="V109" s="117"/>
      <c r="X109" s="117"/>
      <c r="Y109" s="127"/>
      <c r="Z109" s="155"/>
      <c r="AA109" s="36"/>
      <c r="AB109" s="36"/>
      <c r="AC109" s="111"/>
      <c r="AD109" s="112"/>
      <c r="AE109" s="37"/>
      <c r="AF109" s="97"/>
      <c r="AG109" s="14"/>
      <c r="AH109" s="14"/>
      <c r="AI109" s="14"/>
      <c r="AJ109" s="113"/>
      <c r="AK109" s="128"/>
      <c r="AY109" s="220"/>
      <c r="AZ109" s="24"/>
    </row>
    <row r="110">
      <c r="A110" s="188" t="s">
        <v>191</v>
      </c>
      <c r="B110" s="189"/>
      <c r="C110" s="63"/>
      <c r="D110" s="63"/>
      <c r="E110" s="64">
        <f>(O111+P111+Q111+R111)/(O112+P112+Q112+R112)</f>
        <v>0.3</v>
      </c>
      <c r="F110" s="65"/>
      <c r="G110" s="133"/>
      <c r="H110" s="72"/>
      <c r="I110" s="67"/>
      <c r="J110" s="72"/>
      <c r="K110" s="68"/>
      <c r="L110" s="69"/>
      <c r="M110" s="295" t="s">
        <v>64</v>
      </c>
      <c r="N110" s="70"/>
      <c r="O110" s="71" t="s">
        <v>65</v>
      </c>
      <c r="P110" s="72"/>
      <c r="Q110" s="72"/>
      <c r="R110" s="70"/>
      <c r="S110" s="71" t="s">
        <v>66</v>
      </c>
      <c r="T110" s="70"/>
      <c r="U110" s="71" t="s">
        <v>67</v>
      </c>
      <c r="V110" s="70"/>
      <c r="W110" s="71" t="s">
        <v>68</v>
      </c>
      <c r="X110" s="70"/>
      <c r="Y110" s="134" t="s">
        <v>80</v>
      </c>
      <c r="Z110" s="74" t="s">
        <v>170</v>
      </c>
      <c r="AA110" s="75" t="s">
        <v>201</v>
      </c>
      <c r="AB110" s="75" t="s">
        <v>240</v>
      </c>
      <c r="AC110" s="202" t="s">
        <v>142</v>
      </c>
      <c r="AD110" s="74" t="s">
        <v>143</v>
      </c>
      <c r="AE110" s="63" t="s">
        <v>36</v>
      </c>
      <c r="AF110" s="78" t="s">
        <v>34</v>
      </c>
      <c r="AG110" s="79" t="s">
        <v>53</v>
      </c>
      <c r="AH110" s="79">
        <v>30.0</v>
      </c>
      <c r="AI110" s="79" t="s">
        <v>178</v>
      </c>
      <c r="AJ110" s="80" t="str">
        <f>AJ104</f>
        <v>開</v>
      </c>
      <c r="AK110" s="81" t="s">
        <v>46</v>
      </c>
      <c r="AL110" s="82" t="str">
        <f>AL104</f>
        <v>休</v>
      </c>
      <c r="AM110" s="81" t="s">
        <v>48</v>
      </c>
      <c r="AN110" s="82" t="str">
        <f>AN104</f>
        <v>生</v>
      </c>
      <c r="AO110" s="81" t="s">
        <v>50</v>
      </c>
      <c r="AP110" s="82" t="str">
        <f>AP104</f>
        <v>傷</v>
      </c>
      <c r="AQ110" s="81" t="s">
        <v>52</v>
      </c>
      <c r="AR110" s="82" t="str">
        <f>AR104</f>
        <v>杜</v>
      </c>
      <c r="AS110" s="81" t="s">
        <v>38</v>
      </c>
      <c r="AT110" s="82" t="str">
        <f>AT104</f>
        <v>景</v>
      </c>
      <c r="AU110" s="81" t="s">
        <v>40</v>
      </c>
      <c r="AV110" s="82" t="str">
        <f>AV104</f>
        <v>死</v>
      </c>
      <c r="AW110" s="81" t="s">
        <v>42</v>
      </c>
      <c r="AX110" s="82" t="str">
        <f>AX104</f>
        <v>驚</v>
      </c>
      <c r="AY110" s="81" t="s">
        <v>44</v>
      </c>
      <c r="AZ110" s="83"/>
      <c r="BA110" s="84"/>
      <c r="BB110" s="84"/>
      <c r="BC110" s="84"/>
    </row>
    <row r="111">
      <c r="A111" s="192">
        <f>A105+1</f>
        <v>17</v>
      </c>
      <c r="B111" s="193"/>
      <c r="C111" s="12" t="s">
        <v>221</v>
      </c>
      <c r="E111" s="194" t="s">
        <v>195</v>
      </c>
      <c r="G111" s="273" t="str">
        <f t="shared" ref="G111:G112" si="148">G3:H3</f>
        <v>辛</v>
      </c>
      <c r="I111" s="275" t="str">
        <f t="shared" ref="I111:I112" si="149">I32:J32</f>
        <v>丙</v>
      </c>
      <c r="K111" s="90">
        <f>L111/L112</f>
        <v>0.51</v>
      </c>
      <c r="L111" s="126">
        <f t="shared" ref="L111:L112" si="150">O111+P111+Q111+U111+V111+W111+X111+R111+M111+N111+S111+T111</f>
        <v>510</v>
      </c>
      <c r="M111" s="101">
        <v>0.0</v>
      </c>
      <c r="N111" s="93">
        <v>0.0</v>
      </c>
      <c r="O111" s="92">
        <v>0.0</v>
      </c>
      <c r="P111" s="92">
        <v>70.0</v>
      </c>
      <c r="Q111" s="92">
        <v>20.0</v>
      </c>
      <c r="R111" s="93">
        <v>30.0</v>
      </c>
      <c r="S111" s="92">
        <v>65.0</v>
      </c>
      <c r="T111" s="93">
        <v>65.0</v>
      </c>
      <c r="U111" s="92">
        <f t="shared" ref="U111:V111" si="146">U38</f>
        <v>0</v>
      </c>
      <c r="V111" s="93">
        <f t="shared" si="146"/>
        <v>90</v>
      </c>
      <c r="W111" s="92">
        <f t="shared" ref="W111:X111" si="147">W32</f>
        <v>110</v>
      </c>
      <c r="X111" s="93">
        <f t="shared" si="147"/>
        <v>60</v>
      </c>
      <c r="Y111" s="73" t="s">
        <v>98</v>
      </c>
      <c r="Z111" s="94" t="s">
        <v>70</v>
      </c>
      <c r="AA111" s="36"/>
      <c r="AB111" s="36"/>
      <c r="AC111" s="204" t="s">
        <v>82</v>
      </c>
      <c r="AD111" s="96" t="s">
        <v>83</v>
      </c>
      <c r="AE111" s="37"/>
      <c r="AF111" s="97"/>
      <c r="AG111" s="12" t="s">
        <v>71</v>
      </c>
      <c r="AH111" s="12">
        <v>210.0</v>
      </c>
      <c r="AI111" s="12" t="s">
        <v>175</v>
      </c>
      <c r="AJ111" s="98" t="s">
        <v>37</v>
      </c>
      <c r="AK111" s="99" t="s">
        <v>94</v>
      </c>
      <c r="AL111" s="100" t="s">
        <v>51</v>
      </c>
      <c r="AM111" s="101" t="s">
        <v>95</v>
      </c>
      <c r="AN111" s="100" t="s">
        <v>86</v>
      </c>
      <c r="AO111" s="99" t="s">
        <v>87</v>
      </c>
      <c r="AP111" s="100" t="s">
        <v>88</v>
      </c>
      <c r="AQ111" s="101" t="s">
        <v>89</v>
      </c>
      <c r="AR111" s="100" t="s">
        <v>45</v>
      </c>
      <c r="AS111" s="102" t="s">
        <v>90</v>
      </c>
      <c r="AT111" s="100" t="s">
        <v>43</v>
      </c>
      <c r="AU111" s="101" t="s">
        <v>91</v>
      </c>
      <c r="AV111" s="100" t="s">
        <v>41</v>
      </c>
      <c r="AW111" s="103" t="s">
        <v>92</v>
      </c>
      <c r="AX111" s="100" t="s">
        <v>39</v>
      </c>
      <c r="AY111" s="99" t="s">
        <v>93</v>
      </c>
      <c r="AZ111" s="24"/>
    </row>
    <row r="112">
      <c r="A112" s="215" t="str">
        <f>G2</f>
        <v>มีนาคม</v>
      </c>
      <c r="B112" s="193"/>
      <c r="C112" s="140" t="s">
        <v>231</v>
      </c>
      <c r="E112" s="218" t="s">
        <v>180</v>
      </c>
      <c r="G112" s="274" t="str">
        <f t="shared" si="148"/>
        <v>卯</v>
      </c>
      <c r="I112" s="142" t="str">
        <f t="shared" si="149"/>
        <v>午</v>
      </c>
      <c r="K112" s="36"/>
      <c r="L112" s="109">
        <f t="shared" si="150"/>
        <v>1000</v>
      </c>
      <c r="M112" s="105">
        <v>0.0</v>
      </c>
      <c r="N112" s="110">
        <v>0.0</v>
      </c>
      <c r="O112" s="9">
        <v>100.0</v>
      </c>
      <c r="P112" s="9">
        <v>100.0</v>
      </c>
      <c r="Q112" s="9">
        <v>100.0</v>
      </c>
      <c r="R112" s="110">
        <v>100.0</v>
      </c>
      <c r="S112" s="9">
        <v>100.0</v>
      </c>
      <c r="T112" s="110">
        <v>100.0</v>
      </c>
      <c r="U112" s="9">
        <v>100.0</v>
      </c>
      <c r="V112" s="110">
        <v>100.0</v>
      </c>
      <c r="W112" s="9">
        <v>100.0</v>
      </c>
      <c r="X112" s="110">
        <v>100.0</v>
      </c>
      <c r="Y112" s="73" t="s">
        <v>116</v>
      </c>
      <c r="Z112" s="94" t="s">
        <v>181</v>
      </c>
      <c r="AA112" s="36"/>
      <c r="AB112" s="36"/>
      <c r="AC112" s="111"/>
      <c r="AD112" s="112"/>
      <c r="AE112" s="37"/>
      <c r="AF112" s="97"/>
      <c r="AG112" s="14"/>
      <c r="AH112" s="14"/>
      <c r="AI112" s="14"/>
      <c r="AJ112" s="113"/>
      <c r="AK112" s="104" t="s">
        <v>106</v>
      </c>
      <c r="AM112" s="105" t="s">
        <v>107</v>
      </c>
      <c r="AO112" s="104" t="s">
        <v>100</v>
      </c>
      <c r="AQ112" s="114" t="s">
        <v>101</v>
      </c>
      <c r="AS112" s="105" t="s">
        <v>102</v>
      </c>
      <c r="AU112" s="105" t="s">
        <v>103</v>
      </c>
      <c r="AW112" s="104" t="s">
        <v>104</v>
      </c>
      <c r="AY112" s="104" t="s">
        <v>105</v>
      </c>
      <c r="AZ112" s="24"/>
    </row>
    <row r="113">
      <c r="A113" s="192">
        <v>2569.0</v>
      </c>
      <c r="B113" s="193"/>
      <c r="E113" s="115" t="s">
        <v>114</v>
      </c>
      <c r="F113" s="116" t="s">
        <v>80</v>
      </c>
      <c r="G113" s="115" t="str">
        <f>G34</f>
        <v>A10</v>
      </c>
      <c r="H113" s="9" t="str">
        <f>H40</f>
        <v>B8</v>
      </c>
      <c r="I113" s="9" t="str">
        <f t="shared" ref="I113:J113" si="151">I34</f>
        <v>A5</v>
      </c>
      <c r="J113" s="9" t="str">
        <f t="shared" si="151"/>
        <v>B11</v>
      </c>
      <c r="K113" s="36"/>
      <c r="L113" s="117"/>
      <c r="M113" s="130" t="str">
        <f t="shared" ref="M113:P113" si="152">C113</f>
        <v/>
      </c>
      <c r="N113" s="119" t="str">
        <f t="shared" si="152"/>
        <v/>
      </c>
      <c r="O113" s="118" t="str">
        <f t="shared" si="152"/>
        <v>A10</v>
      </c>
      <c r="P113" s="118" t="str">
        <f t="shared" si="152"/>
        <v>B1</v>
      </c>
      <c r="Q113" s="118" t="str">
        <f t="shared" ref="Q113:R113" si="153">E114</f>
        <v>B3</v>
      </c>
      <c r="R113" s="119" t="str">
        <f t="shared" si="153"/>
        <v>C12</v>
      </c>
      <c r="S113" s="9" t="s">
        <v>110</v>
      </c>
      <c r="T113" s="110" t="s">
        <v>110</v>
      </c>
      <c r="U113" s="9" t="str">
        <f t="shared" ref="U113:X113" si="154">G113</f>
        <v>A10</v>
      </c>
      <c r="V113" s="119" t="str">
        <f t="shared" si="154"/>
        <v>B8</v>
      </c>
      <c r="W113" s="118" t="str">
        <f t="shared" si="154"/>
        <v>A5</v>
      </c>
      <c r="X113" s="120" t="str">
        <f t="shared" si="154"/>
        <v>B11</v>
      </c>
      <c r="Y113" s="73" t="s">
        <v>126</v>
      </c>
      <c r="Z113" s="94" t="s">
        <v>163</v>
      </c>
      <c r="AA113" s="36"/>
      <c r="AB113" s="36"/>
      <c r="AC113" s="111"/>
      <c r="AD113" s="112"/>
      <c r="AE113" s="37"/>
      <c r="AF113" s="97"/>
      <c r="AG113" s="14"/>
      <c r="AH113" s="14"/>
      <c r="AI113" s="14"/>
      <c r="AJ113" s="113"/>
      <c r="AK113" s="104" t="s">
        <v>124</v>
      </c>
      <c r="AM113" s="105" t="s">
        <v>125</v>
      </c>
      <c r="AO113" s="104" t="s">
        <v>118</v>
      </c>
      <c r="AQ113" s="114" t="s">
        <v>119</v>
      </c>
      <c r="AS113" s="105" t="s">
        <v>120</v>
      </c>
      <c r="AU113" s="105" t="s">
        <v>121</v>
      </c>
      <c r="AW113" s="104" t="s">
        <v>122</v>
      </c>
      <c r="AY113" s="104" t="s">
        <v>123</v>
      </c>
      <c r="AZ113" s="24"/>
    </row>
    <row r="114">
      <c r="A114" s="192">
        <f>A113-543</f>
        <v>2026</v>
      </c>
      <c r="B114" s="193"/>
      <c r="C114" s="12" t="s">
        <v>166</v>
      </c>
      <c r="E114" s="115" t="s">
        <v>183</v>
      </c>
      <c r="F114" s="116" t="s">
        <v>127</v>
      </c>
      <c r="G114" s="115"/>
      <c r="H114" s="118"/>
      <c r="I114" s="118"/>
      <c r="J114" s="118"/>
      <c r="K114" s="36"/>
      <c r="L114" s="117"/>
      <c r="M114" s="128"/>
      <c r="N114" s="117"/>
      <c r="R114" s="117"/>
      <c r="T114" s="117"/>
      <c r="V114" s="117"/>
      <c r="X114" s="117"/>
      <c r="Y114" s="73" t="s">
        <v>69</v>
      </c>
      <c r="Z114" s="94" t="s">
        <v>99</v>
      </c>
      <c r="AA114" s="36"/>
      <c r="AB114" s="36"/>
      <c r="AC114" s="111"/>
      <c r="AD114" s="112"/>
      <c r="AE114" s="37"/>
      <c r="AF114" s="97"/>
      <c r="AG114" s="14"/>
      <c r="AH114" s="14"/>
      <c r="AI114" s="14"/>
      <c r="AJ114" s="113"/>
      <c r="AK114" s="104" t="s">
        <v>135</v>
      </c>
      <c r="AM114" s="105" t="s">
        <v>136</v>
      </c>
      <c r="AO114" s="104" t="s">
        <v>129</v>
      </c>
      <c r="AQ114" s="114" t="s">
        <v>130</v>
      </c>
      <c r="AS114" s="105" t="s">
        <v>131</v>
      </c>
      <c r="AU114" s="105" t="s">
        <v>132</v>
      </c>
      <c r="AW114" s="104" t="s">
        <v>133</v>
      </c>
      <c r="AY114" s="104" t="s">
        <v>134</v>
      </c>
      <c r="AZ114" s="24"/>
    </row>
    <row r="115">
      <c r="A115" s="113"/>
      <c r="B115" s="206"/>
      <c r="C115" s="123"/>
      <c r="D115" s="123"/>
      <c r="E115" s="164" t="s">
        <v>185</v>
      </c>
      <c r="F115" s="88"/>
      <c r="G115" s="207" t="str">
        <f>G5:H5</f>
        <v>อสูรเดือน W</v>
      </c>
      <c r="I115" s="208" t="str">
        <f>I5:J5</f>
        <v>อสูรปี N</v>
      </c>
      <c r="K115" s="36"/>
      <c r="L115" s="117"/>
      <c r="M115" s="128"/>
      <c r="N115" s="117"/>
      <c r="R115" s="117"/>
      <c r="T115" s="117"/>
      <c r="V115" s="117"/>
      <c r="X115" s="117"/>
      <c r="Y115" s="127"/>
      <c r="Z115" s="155"/>
      <c r="AA115" s="36"/>
      <c r="AB115" s="36"/>
      <c r="AC115" s="111"/>
      <c r="AD115" s="112"/>
      <c r="AE115" s="37"/>
      <c r="AF115" s="97"/>
      <c r="AG115" s="14"/>
      <c r="AH115" s="14"/>
      <c r="AI115" s="14"/>
      <c r="AJ115" s="113"/>
      <c r="AU115" s="128"/>
      <c r="AZ115" s="24"/>
    </row>
    <row r="116">
      <c r="A116" s="188" t="s">
        <v>199</v>
      </c>
      <c r="B116" s="189"/>
      <c r="C116" s="63"/>
      <c r="D116" s="63"/>
      <c r="E116" s="64">
        <f>(O117+P117+Q117+R117)/(O118+P118+Q118+R118)</f>
        <v>0.525</v>
      </c>
      <c r="F116" s="65"/>
      <c r="G116" s="133"/>
      <c r="H116" s="72"/>
      <c r="I116" s="67"/>
      <c r="J116" s="72"/>
      <c r="K116" s="68"/>
      <c r="L116" s="69"/>
      <c r="M116" s="295" t="s">
        <v>64</v>
      </c>
      <c r="N116" s="70"/>
      <c r="O116" s="71" t="s">
        <v>65</v>
      </c>
      <c r="P116" s="72"/>
      <c r="Q116" s="72"/>
      <c r="R116" s="70"/>
      <c r="S116" s="71" t="s">
        <v>66</v>
      </c>
      <c r="T116" s="70"/>
      <c r="U116" s="71" t="s">
        <v>67</v>
      </c>
      <c r="V116" s="70"/>
      <c r="W116" s="71" t="s">
        <v>68</v>
      </c>
      <c r="X116" s="70"/>
      <c r="Y116" s="134" t="s">
        <v>80</v>
      </c>
      <c r="Z116" s="74" t="s">
        <v>159</v>
      </c>
      <c r="AA116" s="75" t="s">
        <v>209</v>
      </c>
      <c r="AB116" s="75" t="s">
        <v>238</v>
      </c>
      <c r="AC116" s="202" t="s">
        <v>142</v>
      </c>
      <c r="AD116" s="74" t="s">
        <v>143</v>
      </c>
      <c r="AE116" s="63" t="s">
        <v>36</v>
      </c>
      <c r="AF116" s="78" t="s">
        <v>75</v>
      </c>
      <c r="AG116" s="79" t="s">
        <v>180</v>
      </c>
      <c r="AH116" s="79">
        <v>60.0</v>
      </c>
      <c r="AI116" s="79" t="s">
        <v>200</v>
      </c>
      <c r="AJ116" s="80" t="str">
        <f>AJ110</f>
        <v>開</v>
      </c>
      <c r="AK116" s="81" t="s">
        <v>42</v>
      </c>
      <c r="AL116" s="82" t="str">
        <f>AL110</f>
        <v>休</v>
      </c>
      <c r="AM116" s="81" t="s">
        <v>44</v>
      </c>
      <c r="AN116" s="82" t="s">
        <v>4</v>
      </c>
      <c r="AO116" s="81" t="s">
        <v>46</v>
      </c>
      <c r="AP116" s="82" t="str">
        <f>AP110</f>
        <v>傷</v>
      </c>
      <c r="AQ116" s="81" t="s">
        <v>48</v>
      </c>
      <c r="AR116" s="82" t="s">
        <v>8</v>
      </c>
      <c r="AS116" s="81" t="s">
        <v>50</v>
      </c>
      <c r="AT116" s="82" t="str">
        <f>AT110</f>
        <v>景</v>
      </c>
      <c r="AU116" s="81" t="s">
        <v>52</v>
      </c>
      <c r="AV116" s="82" t="str">
        <f>AV110</f>
        <v>死</v>
      </c>
      <c r="AW116" s="81" t="s">
        <v>38</v>
      </c>
      <c r="AX116" s="82" t="str">
        <f>AX110</f>
        <v>驚</v>
      </c>
      <c r="AY116" s="81" t="s">
        <v>40</v>
      </c>
      <c r="AZ116" s="83"/>
      <c r="BA116" s="84"/>
      <c r="BB116" s="84"/>
      <c r="BC116" s="84"/>
    </row>
    <row r="117">
      <c r="A117" s="192">
        <f>A111+1</f>
        <v>18</v>
      </c>
      <c r="B117" s="193"/>
      <c r="C117" s="12" t="s">
        <v>221</v>
      </c>
      <c r="E117" s="199" t="s">
        <v>201</v>
      </c>
      <c r="G117" s="273" t="str">
        <f t="shared" ref="G117:G118" si="157">G3:H3</f>
        <v>辛</v>
      </c>
      <c r="I117" s="275" t="str">
        <f t="shared" ref="I117:I118" si="158">I32:J32</f>
        <v>丙</v>
      </c>
      <c r="K117" s="90">
        <f>L117/L118</f>
        <v>0.47</v>
      </c>
      <c r="L117" s="126">
        <f t="shared" ref="L117:L118" si="159">O117+P117+Q117+U117+V117+W117+X117+R117+M117+N117+S117+T117</f>
        <v>470</v>
      </c>
      <c r="M117" s="101">
        <v>0.0</v>
      </c>
      <c r="N117" s="93">
        <v>0.0</v>
      </c>
      <c r="O117" s="92">
        <v>0.0</v>
      </c>
      <c r="P117" s="92">
        <v>80.0</v>
      </c>
      <c r="Q117" s="92">
        <v>80.0</v>
      </c>
      <c r="R117" s="93">
        <v>50.0</v>
      </c>
      <c r="S117" s="92">
        <v>0.0</v>
      </c>
      <c r="T117" s="93">
        <v>0.0</v>
      </c>
      <c r="U117" s="92">
        <f t="shared" ref="U117:V117" si="155">U38</f>
        <v>0</v>
      </c>
      <c r="V117" s="93">
        <f t="shared" si="155"/>
        <v>90</v>
      </c>
      <c r="W117" s="92">
        <f t="shared" ref="W117:X117" si="156">W32</f>
        <v>110</v>
      </c>
      <c r="X117" s="93">
        <f t="shared" si="156"/>
        <v>60</v>
      </c>
      <c r="Y117" s="73" t="s">
        <v>98</v>
      </c>
      <c r="Z117" s="94" t="s">
        <v>152</v>
      </c>
      <c r="AA117" s="36"/>
      <c r="AB117" s="29" t="s">
        <v>325</v>
      </c>
      <c r="AC117" s="204" t="s">
        <v>82</v>
      </c>
      <c r="AD117" s="96" t="s">
        <v>83</v>
      </c>
      <c r="AE117" s="37"/>
      <c r="AF117" s="97"/>
      <c r="AG117" s="12" t="s">
        <v>202</v>
      </c>
      <c r="AH117" s="12">
        <v>180.0</v>
      </c>
      <c r="AI117" s="12" t="s">
        <v>203</v>
      </c>
      <c r="AJ117" s="98" t="s">
        <v>39</v>
      </c>
      <c r="AK117" s="99" t="s">
        <v>93</v>
      </c>
      <c r="AL117" s="100" t="s">
        <v>37</v>
      </c>
      <c r="AM117" s="99" t="s">
        <v>94</v>
      </c>
      <c r="AN117" s="100" t="s">
        <v>51</v>
      </c>
      <c r="AO117" s="101" t="s">
        <v>95</v>
      </c>
      <c r="AP117" s="100" t="s">
        <v>86</v>
      </c>
      <c r="AQ117" s="99" t="s">
        <v>87</v>
      </c>
      <c r="AR117" s="100" t="s">
        <v>88</v>
      </c>
      <c r="AS117" s="101" t="s">
        <v>89</v>
      </c>
      <c r="AT117" s="100" t="s">
        <v>45</v>
      </c>
      <c r="AU117" s="102" t="s">
        <v>90</v>
      </c>
      <c r="AV117" s="100" t="s">
        <v>43</v>
      </c>
      <c r="AW117" s="101" t="s">
        <v>91</v>
      </c>
      <c r="AX117" s="100" t="s">
        <v>41</v>
      </c>
      <c r="AY117" s="103" t="s">
        <v>92</v>
      </c>
      <c r="AZ117" s="24"/>
    </row>
    <row r="118">
      <c r="A118" s="215" t="str">
        <f>G2</f>
        <v>มีนาคม</v>
      </c>
      <c r="B118" s="193"/>
      <c r="C118" s="140" t="s">
        <v>235</v>
      </c>
      <c r="E118" s="171" t="s">
        <v>189</v>
      </c>
      <c r="G118" s="274" t="str">
        <f t="shared" si="157"/>
        <v>卯</v>
      </c>
      <c r="I118" s="142" t="str">
        <f t="shared" si="158"/>
        <v>午</v>
      </c>
      <c r="K118" s="36"/>
      <c r="L118" s="109">
        <f t="shared" si="159"/>
        <v>1000</v>
      </c>
      <c r="M118" s="105">
        <v>0.0</v>
      </c>
      <c r="N118" s="110">
        <v>0.0</v>
      </c>
      <c r="O118" s="9">
        <v>100.0</v>
      </c>
      <c r="P118" s="9">
        <v>100.0</v>
      </c>
      <c r="Q118" s="9">
        <v>100.0</v>
      </c>
      <c r="R118" s="110">
        <v>100.0</v>
      </c>
      <c r="S118" s="9">
        <v>100.0</v>
      </c>
      <c r="T118" s="110">
        <v>100.0</v>
      </c>
      <c r="U118" s="9">
        <v>100.0</v>
      </c>
      <c r="V118" s="110">
        <v>100.0</v>
      </c>
      <c r="W118" s="9">
        <v>100.0</v>
      </c>
      <c r="X118" s="110">
        <v>100.0</v>
      </c>
      <c r="Y118" s="73" t="s">
        <v>116</v>
      </c>
      <c r="Z118" s="94" t="s">
        <v>81</v>
      </c>
      <c r="AA118" s="36"/>
      <c r="AB118" s="36"/>
      <c r="AC118" s="111"/>
      <c r="AD118" s="112"/>
      <c r="AE118" s="37"/>
      <c r="AF118" s="97"/>
      <c r="AG118" s="14"/>
      <c r="AH118" s="14"/>
      <c r="AI118" s="14"/>
      <c r="AJ118" s="113"/>
      <c r="AK118" s="104" t="s">
        <v>105</v>
      </c>
      <c r="AM118" s="104" t="s">
        <v>106</v>
      </c>
      <c r="AO118" s="105" t="s">
        <v>107</v>
      </c>
      <c r="AQ118" s="104" t="s">
        <v>100</v>
      </c>
      <c r="AS118" s="114" t="s">
        <v>101</v>
      </c>
      <c r="AU118" s="105" t="s">
        <v>102</v>
      </c>
      <c r="AW118" s="105" t="s">
        <v>103</v>
      </c>
      <c r="AY118" s="104" t="s">
        <v>104</v>
      </c>
      <c r="AZ118" s="24"/>
    </row>
    <row r="119">
      <c r="A119" s="192">
        <v>2569.0</v>
      </c>
      <c r="B119" s="193"/>
      <c r="E119" s="115" t="s">
        <v>114</v>
      </c>
      <c r="F119" s="116" t="s">
        <v>98</v>
      </c>
      <c r="G119" s="115" t="str">
        <f>G34</f>
        <v>A10</v>
      </c>
      <c r="H119" s="9" t="str">
        <f>H40</f>
        <v>B8</v>
      </c>
      <c r="I119" s="9" t="str">
        <f t="shared" ref="I119:J119" si="160">I34</f>
        <v>A5</v>
      </c>
      <c r="J119" s="9" t="str">
        <f t="shared" si="160"/>
        <v>B11</v>
      </c>
      <c r="K119" s="36"/>
      <c r="L119" s="117"/>
      <c r="M119" s="130" t="str">
        <f t="shared" ref="M119:P119" si="161">C119</f>
        <v/>
      </c>
      <c r="N119" s="119" t="str">
        <f t="shared" si="161"/>
        <v/>
      </c>
      <c r="O119" s="118" t="str">
        <f t="shared" si="161"/>
        <v>A10</v>
      </c>
      <c r="P119" s="118" t="str">
        <f t="shared" si="161"/>
        <v>B2</v>
      </c>
      <c r="Q119" s="118" t="str">
        <f t="shared" ref="Q119:R119" si="162">E120</f>
        <v>B2</v>
      </c>
      <c r="R119" s="119" t="str">
        <f t="shared" si="162"/>
        <v>C1</v>
      </c>
      <c r="S119" s="9" t="s">
        <v>114</v>
      </c>
      <c r="T119" s="110" t="s">
        <v>114</v>
      </c>
      <c r="U119" s="9" t="str">
        <f t="shared" ref="U119:X119" si="163">G119</f>
        <v>A10</v>
      </c>
      <c r="V119" s="119" t="str">
        <f t="shared" si="163"/>
        <v>B8</v>
      </c>
      <c r="W119" s="118" t="str">
        <f t="shared" si="163"/>
        <v>A5</v>
      </c>
      <c r="X119" s="120" t="str">
        <f t="shared" si="163"/>
        <v>B11</v>
      </c>
      <c r="Y119" s="73" t="s">
        <v>126</v>
      </c>
      <c r="Z119" s="94" t="s">
        <v>99</v>
      </c>
      <c r="AA119" s="36"/>
      <c r="AB119" s="36"/>
      <c r="AC119" s="111"/>
      <c r="AD119" s="112"/>
      <c r="AE119" s="37"/>
      <c r="AF119" s="97"/>
      <c r="AG119" s="14"/>
      <c r="AH119" s="14"/>
      <c r="AI119" s="14"/>
      <c r="AJ119" s="113"/>
      <c r="AK119" s="104" t="s">
        <v>123</v>
      </c>
      <c r="AM119" s="104" t="s">
        <v>124</v>
      </c>
      <c r="AO119" s="105" t="s">
        <v>125</v>
      </c>
      <c r="AQ119" s="104" t="s">
        <v>118</v>
      </c>
      <c r="AS119" s="114" t="s">
        <v>119</v>
      </c>
      <c r="AU119" s="105" t="s">
        <v>120</v>
      </c>
      <c r="AW119" s="105" t="s">
        <v>121</v>
      </c>
      <c r="AY119" s="104" t="s">
        <v>122</v>
      </c>
      <c r="AZ119" s="24"/>
    </row>
    <row r="120">
      <c r="A120" s="192">
        <f>A119-543</f>
        <v>2026</v>
      </c>
      <c r="B120" s="193"/>
      <c r="C120" s="12" t="s">
        <v>166</v>
      </c>
      <c r="E120" s="115" t="s">
        <v>98</v>
      </c>
      <c r="F120" s="116" t="s">
        <v>154</v>
      </c>
      <c r="G120" s="115"/>
      <c r="H120" s="118"/>
      <c r="I120" s="118"/>
      <c r="J120" s="118"/>
      <c r="K120" s="36"/>
      <c r="L120" s="117"/>
      <c r="M120" s="128"/>
      <c r="N120" s="117"/>
      <c r="R120" s="117"/>
      <c r="T120" s="117"/>
      <c r="V120" s="117"/>
      <c r="X120" s="117"/>
      <c r="Y120" s="73" t="s">
        <v>69</v>
      </c>
      <c r="Z120" s="94" t="s">
        <v>155</v>
      </c>
      <c r="AA120" s="36"/>
      <c r="AB120" s="36"/>
      <c r="AC120" s="111"/>
      <c r="AD120" s="112"/>
      <c r="AE120" s="37"/>
      <c r="AF120" s="97"/>
      <c r="AG120" s="14"/>
      <c r="AH120" s="14"/>
      <c r="AI120" s="14"/>
      <c r="AJ120" s="113"/>
      <c r="AK120" s="104" t="s">
        <v>134</v>
      </c>
      <c r="AM120" s="104" t="s">
        <v>135</v>
      </c>
      <c r="AO120" s="105" t="s">
        <v>136</v>
      </c>
      <c r="AQ120" s="104" t="s">
        <v>129</v>
      </c>
      <c r="AS120" s="114" t="s">
        <v>130</v>
      </c>
      <c r="AU120" s="105" t="s">
        <v>131</v>
      </c>
      <c r="AW120" s="105" t="s">
        <v>132</v>
      </c>
      <c r="AY120" s="104" t="s">
        <v>133</v>
      </c>
      <c r="AZ120" s="24"/>
    </row>
    <row r="121">
      <c r="A121" s="279"/>
      <c r="B121" s="206"/>
      <c r="C121" s="123"/>
      <c r="D121" s="123"/>
      <c r="E121" s="176" t="s">
        <v>137</v>
      </c>
      <c r="F121" s="88"/>
      <c r="G121" s="207" t="str">
        <f>G5:H5</f>
        <v>อสูรเดือน W</v>
      </c>
      <c r="I121" s="208" t="str">
        <f>I5:J5</f>
        <v>อสูรปี N</v>
      </c>
      <c r="K121" s="36"/>
      <c r="L121" s="117"/>
      <c r="M121" s="128"/>
      <c r="N121" s="117"/>
      <c r="R121" s="117"/>
      <c r="T121" s="117"/>
      <c r="V121" s="117"/>
      <c r="X121" s="117"/>
      <c r="Y121" s="127"/>
      <c r="Z121" s="155"/>
      <c r="AA121" s="36"/>
      <c r="AB121" s="36"/>
      <c r="AC121" s="111"/>
      <c r="AD121" s="112"/>
      <c r="AE121" s="37"/>
      <c r="AF121" s="97"/>
      <c r="AG121" s="14"/>
      <c r="AH121" s="14"/>
      <c r="AI121" s="14"/>
      <c r="AJ121" s="113"/>
      <c r="AU121" s="128"/>
      <c r="AZ121" s="24"/>
    </row>
    <row r="122">
      <c r="A122" s="188" t="s">
        <v>63</v>
      </c>
      <c r="B122" s="189"/>
      <c r="C122" s="63"/>
      <c r="D122" s="63"/>
      <c r="E122" s="64">
        <f>(O123+P123+Q123+R123)/(O124+P124+Q124+R124)</f>
        <v>0.4125</v>
      </c>
      <c r="F122" s="65"/>
      <c r="G122" s="133"/>
      <c r="H122" s="72"/>
      <c r="I122" s="67"/>
      <c r="J122" s="72"/>
      <c r="K122" s="68"/>
      <c r="L122" s="69"/>
      <c r="M122" s="295" t="s">
        <v>64</v>
      </c>
      <c r="N122" s="70"/>
      <c r="O122" s="71" t="s">
        <v>65</v>
      </c>
      <c r="P122" s="72"/>
      <c r="Q122" s="72"/>
      <c r="R122" s="70"/>
      <c r="S122" s="71" t="s">
        <v>66</v>
      </c>
      <c r="T122" s="70"/>
      <c r="U122" s="71" t="s">
        <v>67</v>
      </c>
      <c r="V122" s="70"/>
      <c r="W122" s="71" t="s">
        <v>68</v>
      </c>
      <c r="X122" s="70"/>
      <c r="Y122" s="134" t="s">
        <v>80</v>
      </c>
      <c r="Z122" s="74" t="s">
        <v>181</v>
      </c>
      <c r="AA122" s="75" t="s">
        <v>76</v>
      </c>
      <c r="AB122" s="75" t="s">
        <v>243</v>
      </c>
      <c r="AC122" s="135" t="s">
        <v>142</v>
      </c>
      <c r="AD122" s="74" t="s">
        <v>143</v>
      </c>
      <c r="AE122" s="63" t="s">
        <v>144</v>
      </c>
      <c r="AF122" s="78" t="s">
        <v>144</v>
      </c>
      <c r="AG122" s="79" t="s">
        <v>189</v>
      </c>
      <c r="AH122" s="79">
        <v>90.0</v>
      </c>
      <c r="AI122" s="79" t="s">
        <v>208</v>
      </c>
      <c r="AJ122" s="80" t="str">
        <f>AJ116</f>
        <v>開</v>
      </c>
      <c r="AK122" s="81" t="s">
        <v>46</v>
      </c>
      <c r="AL122" s="82" t="str">
        <f>AL116</f>
        <v>休</v>
      </c>
      <c r="AM122" s="81" t="s">
        <v>48</v>
      </c>
      <c r="AN122" s="82" t="str">
        <f>AN116</f>
        <v>生</v>
      </c>
      <c r="AO122" s="81" t="s">
        <v>50</v>
      </c>
      <c r="AP122" s="82" t="str">
        <f>AP116</f>
        <v>傷</v>
      </c>
      <c r="AQ122" s="81" t="s">
        <v>52</v>
      </c>
      <c r="AR122" s="82" t="str">
        <f>AR116</f>
        <v>杜</v>
      </c>
      <c r="AS122" s="81" t="s">
        <v>38</v>
      </c>
      <c r="AT122" s="82" t="str">
        <f>AT116</f>
        <v>景</v>
      </c>
      <c r="AU122" s="81" t="s">
        <v>40</v>
      </c>
      <c r="AV122" s="82" t="str">
        <f>AV116</f>
        <v>死</v>
      </c>
      <c r="AW122" s="81" t="s">
        <v>42</v>
      </c>
      <c r="AX122" s="82" t="str">
        <f>AX116</f>
        <v>驚</v>
      </c>
      <c r="AY122" s="81" t="s">
        <v>44</v>
      </c>
      <c r="AZ122" s="83"/>
      <c r="BA122" s="84"/>
      <c r="BB122" s="84"/>
      <c r="BC122" s="84"/>
    </row>
    <row r="123">
      <c r="A123" s="192">
        <f>A117+1</f>
        <v>19</v>
      </c>
      <c r="B123" s="193"/>
      <c r="C123" s="12" t="s">
        <v>216</v>
      </c>
      <c r="E123" s="203" t="s">
        <v>209</v>
      </c>
      <c r="G123" s="273" t="str">
        <f t="shared" ref="G123:G124" si="166">G3:H3</f>
        <v>辛</v>
      </c>
      <c r="I123" s="275" t="str">
        <f t="shared" ref="I123:I124" si="167">I32:J32</f>
        <v>丙</v>
      </c>
      <c r="K123" s="90">
        <f>L123/L124</f>
        <v>0.485</v>
      </c>
      <c r="L123" s="126">
        <f t="shared" ref="L123:L124" si="168">O123+P123+Q123+U123+V123+W123+X123+R123+M123+N123+S123+T123</f>
        <v>485</v>
      </c>
      <c r="M123" s="101">
        <v>0.0</v>
      </c>
      <c r="N123" s="93">
        <v>0.0</v>
      </c>
      <c r="O123" s="92">
        <v>45.0</v>
      </c>
      <c r="P123" s="92">
        <v>20.0</v>
      </c>
      <c r="Q123" s="92">
        <v>70.0</v>
      </c>
      <c r="R123" s="93">
        <v>30.0</v>
      </c>
      <c r="S123" s="92">
        <v>50.0</v>
      </c>
      <c r="T123" s="93">
        <v>10.0</v>
      </c>
      <c r="U123" s="92">
        <f t="shared" ref="U123:V123" si="164">U38</f>
        <v>0</v>
      </c>
      <c r="V123" s="93">
        <f t="shared" si="164"/>
        <v>90</v>
      </c>
      <c r="W123" s="92">
        <f t="shared" ref="W123:X123" si="165">W32</f>
        <v>110</v>
      </c>
      <c r="X123" s="93">
        <f t="shared" si="165"/>
        <v>60</v>
      </c>
      <c r="Y123" s="73" t="s">
        <v>98</v>
      </c>
      <c r="Z123" s="94" t="s">
        <v>163</v>
      </c>
      <c r="AA123" s="36"/>
      <c r="AB123" s="29"/>
      <c r="AC123" s="139" t="s">
        <v>148</v>
      </c>
      <c r="AD123" s="96" t="s">
        <v>149</v>
      </c>
      <c r="AE123" s="37"/>
      <c r="AF123" s="97"/>
      <c r="AG123" s="12" t="s">
        <v>54</v>
      </c>
      <c r="AH123" s="12">
        <v>150.0</v>
      </c>
      <c r="AI123" s="12" t="s">
        <v>210</v>
      </c>
      <c r="AJ123" s="98" t="s">
        <v>39</v>
      </c>
      <c r="AK123" s="99" t="s">
        <v>93</v>
      </c>
      <c r="AL123" s="100" t="s">
        <v>37</v>
      </c>
      <c r="AM123" s="99" t="s">
        <v>94</v>
      </c>
      <c r="AN123" s="100" t="s">
        <v>51</v>
      </c>
      <c r="AO123" s="101" t="s">
        <v>95</v>
      </c>
      <c r="AP123" s="100" t="s">
        <v>86</v>
      </c>
      <c r="AQ123" s="99" t="s">
        <v>87</v>
      </c>
      <c r="AR123" s="100" t="s">
        <v>88</v>
      </c>
      <c r="AS123" s="101" t="s">
        <v>89</v>
      </c>
      <c r="AT123" s="100" t="s">
        <v>45</v>
      </c>
      <c r="AU123" s="102" t="s">
        <v>90</v>
      </c>
      <c r="AV123" s="100" t="s">
        <v>43</v>
      </c>
      <c r="AW123" s="101" t="s">
        <v>91</v>
      </c>
      <c r="AX123" s="100" t="s">
        <v>41</v>
      </c>
      <c r="AY123" s="103" t="s">
        <v>92</v>
      </c>
      <c r="AZ123" s="24"/>
    </row>
    <row r="124">
      <c r="A124" s="215" t="str">
        <f>G2</f>
        <v>มีนาคม</v>
      </c>
      <c r="B124" s="193"/>
      <c r="C124" s="140" t="s">
        <v>239</v>
      </c>
      <c r="E124" s="162" t="s">
        <v>197</v>
      </c>
      <c r="G124" s="274" t="str">
        <f t="shared" si="166"/>
        <v>卯</v>
      </c>
      <c r="I124" s="142" t="str">
        <f t="shared" si="167"/>
        <v>午</v>
      </c>
      <c r="K124" s="36"/>
      <c r="L124" s="109">
        <f t="shared" si="168"/>
        <v>1000</v>
      </c>
      <c r="M124" s="105">
        <v>0.0</v>
      </c>
      <c r="N124" s="110">
        <v>0.0</v>
      </c>
      <c r="O124" s="9">
        <v>100.0</v>
      </c>
      <c r="P124" s="9">
        <v>100.0</v>
      </c>
      <c r="Q124" s="9">
        <v>100.0</v>
      </c>
      <c r="R124" s="110">
        <v>100.0</v>
      </c>
      <c r="S124" s="9">
        <v>100.0</v>
      </c>
      <c r="T124" s="110">
        <v>100.0</v>
      </c>
      <c r="U124" s="9">
        <v>100.0</v>
      </c>
      <c r="V124" s="110">
        <v>100.0</v>
      </c>
      <c r="W124" s="9">
        <v>100.0</v>
      </c>
      <c r="X124" s="110">
        <v>100.0</v>
      </c>
      <c r="Y124" s="73" t="s">
        <v>116</v>
      </c>
      <c r="Z124" s="94" t="s">
        <v>153</v>
      </c>
      <c r="AA124" s="36"/>
      <c r="AB124" s="36"/>
      <c r="AC124" s="111"/>
      <c r="AD124" s="112"/>
      <c r="AE124" s="37"/>
      <c r="AF124" s="97"/>
      <c r="AG124" s="14"/>
      <c r="AH124" s="14"/>
      <c r="AI124" s="14"/>
      <c r="AJ124" s="113"/>
      <c r="AK124" s="104" t="s">
        <v>105</v>
      </c>
      <c r="AM124" s="104" t="s">
        <v>106</v>
      </c>
      <c r="AO124" s="105" t="s">
        <v>107</v>
      </c>
      <c r="AQ124" s="104" t="s">
        <v>100</v>
      </c>
      <c r="AS124" s="114" t="s">
        <v>101</v>
      </c>
      <c r="AU124" s="105" t="s">
        <v>102</v>
      </c>
      <c r="AW124" s="105" t="s">
        <v>103</v>
      </c>
      <c r="AY124" s="104" t="s">
        <v>104</v>
      </c>
      <c r="AZ124" s="24"/>
    </row>
    <row r="125">
      <c r="A125" s="192">
        <v>2569.0</v>
      </c>
      <c r="B125" s="193"/>
      <c r="E125" s="115" t="s">
        <v>164</v>
      </c>
      <c r="F125" s="116" t="s">
        <v>183</v>
      </c>
      <c r="G125" s="115" t="str">
        <f>G34</f>
        <v>A10</v>
      </c>
      <c r="H125" s="9" t="str">
        <f>H40</f>
        <v>B8</v>
      </c>
      <c r="I125" s="9" t="str">
        <f t="shared" ref="I125:J125" si="169">I34</f>
        <v>A5</v>
      </c>
      <c r="J125" s="9" t="str">
        <f t="shared" si="169"/>
        <v>B11</v>
      </c>
      <c r="K125" s="36"/>
      <c r="L125" s="117"/>
      <c r="M125" s="130" t="str">
        <f t="shared" ref="M125:P125" si="170">C125</f>
        <v/>
      </c>
      <c r="N125" s="119" t="str">
        <f t="shared" si="170"/>
        <v/>
      </c>
      <c r="O125" s="118" t="str">
        <f t="shared" si="170"/>
        <v>A9</v>
      </c>
      <c r="P125" s="118" t="str">
        <f t="shared" si="170"/>
        <v>B3</v>
      </c>
      <c r="Q125" s="118" t="str">
        <f t="shared" ref="Q125:R125" si="171">E126</f>
        <v>B1</v>
      </c>
      <c r="R125" s="119" t="str">
        <f t="shared" si="171"/>
        <v>C2</v>
      </c>
      <c r="S125" s="9" t="s">
        <v>164</v>
      </c>
      <c r="T125" s="110" t="s">
        <v>108</v>
      </c>
      <c r="U125" s="9" t="str">
        <f t="shared" ref="U125:X125" si="172">G125</f>
        <v>A10</v>
      </c>
      <c r="V125" s="119" t="str">
        <f t="shared" si="172"/>
        <v>B8</v>
      </c>
      <c r="W125" s="118" t="str">
        <f t="shared" si="172"/>
        <v>A5</v>
      </c>
      <c r="X125" s="120" t="str">
        <f t="shared" si="172"/>
        <v>B11</v>
      </c>
      <c r="Y125" s="73" t="s">
        <v>126</v>
      </c>
      <c r="Z125" s="94" t="s">
        <v>155</v>
      </c>
      <c r="AA125" s="36"/>
      <c r="AB125" s="36"/>
      <c r="AC125" s="111"/>
      <c r="AD125" s="112"/>
      <c r="AE125" s="37"/>
      <c r="AF125" s="97"/>
      <c r="AG125" s="14"/>
      <c r="AH125" s="14"/>
      <c r="AI125" s="14"/>
      <c r="AJ125" s="113"/>
      <c r="AK125" s="104" t="s">
        <v>123</v>
      </c>
      <c r="AM125" s="104" t="s">
        <v>124</v>
      </c>
      <c r="AO125" s="105" t="s">
        <v>125</v>
      </c>
      <c r="AQ125" s="104" t="s">
        <v>118</v>
      </c>
      <c r="AS125" s="114" t="s">
        <v>119</v>
      </c>
      <c r="AU125" s="105" t="s">
        <v>120</v>
      </c>
      <c r="AW125" s="105" t="s">
        <v>121</v>
      </c>
      <c r="AY125" s="104" t="s">
        <v>122</v>
      </c>
      <c r="AZ125" s="24"/>
    </row>
    <row r="126">
      <c r="A126" s="192">
        <f>A125-543</f>
        <v>2026</v>
      </c>
      <c r="B126" s="193"/>
      <c r="E126" s="115" t="s">
        <v>80</v>
      </c>
      <c r="F126" s="116" t="s">
        <v>167</v>
      </c>
      <c r="G126" s="115"/>
      <c r="H126" s="118"/>
      <c r="I126" s="118"/>
      <c r="J126" s="118"/>
      <c r="K126" s="36"/>
      <c r="L126" s="117"/>
      <c r="M126" s="128"/>
      <c r="N126" s="117"/>
      <c r="R126" s="117"/>
      <c r="T126" s="117"/>
      <c r="V126" s="117"/>
      <c r="X126" s="117"/>
      <c r="Y126" s="73" t="s">
        <v>69</v>
      </c>
      <c r="Z126" s="94" t="s">
        <v>128</v>
      </c>
      <c r="AA126" s="36"/>
      <c r="AB126" s="36"/>
      <c r="AC126" s="111"/>
      <c r="AD126" s="112"/>
      <c r="AE126" s="37"/>
      <c r="AF126" s="97"/>
      <c r="AG126" s="14"/>
      <c r="AH126" s="14"/>
      <c r="AI126" s="14"/>
      <c r="AJ126" s="113"/>
      <c r="AK126" s="104" t="s">
        <v>134</v>
      </c>
      <c r="AM126" s="104" t="s">
        <v>135</v>
      </c>
      <c r="AO126" s="105" t="s">
        <v>136</v>
      </c>
      <c r="AQ126" s="104" t="s">
        <v>129</v>
      </c>
      <c r="AS126" s="114" t="s">
        <v>130</v>
      </c>
      <c r="AU126" s="105" t="s">
        <v>131</v>
      </c>
      <c r="AW126" s="105" t="s">
        <v>132</v>
      </c>
      <c r="AY126" s="104" t="s">
        <v>133</v>
      </c>
      <c r="AZ126" s="24"/>
    </row>
    <row r="127">
      <c r="A127" s="113"/>
      <c r="B127" s="206"/>
      <c r="C127" s="123"/>
      <c r="D127" s="123"/>
      <c r="E127" s="176" t="s">
        <v>157</v>
      </c>
      <c r="F127" s="88"/>
      <c r="G127" s="207" t="str">
        <f>G5:H5</f>
        <v>อสูรเดือน W</v>
      </c>
      <c r="I127" s="208" t="str">
        <f>I5:J5</f>
        <v>อสูรปี N</v>
      </c>
      <c r="K127" s="36"/>
      <c r="L127" s="117"/>
      <c r="M127" s="128"/>
      <c r="N127" s="117"/>
      <c r="R127" s="117"/>
      <c r="T127" s="117"/>
      <c r="V127" s="117"/>
      <c r="X127" s="117"/>
      <c r="Y127" s="127"/>
      <c r="Z127" s="155"/>
      <c r="AA127" s="36"/>
      <c r="AB127" s="36"/>
      <c r="AC127" s="111"/>
      <c r="AD127" s="112"/>
      <c r="AE127" s="37"/>
      <c r="AF127" s="97"/>
      <c r="AG127" s="14"/>
      <c r="AH127" s="14"/>
      <c r="AI127" s="14"/>
      <c r="AJ127" s="113"/>
      <c r="AK127" s="128"/>
      <c r="AZ127" s="24"/>
    </row>
    <row r="128">
      <c r="A128" s="188" t="s">
        <v>139</v>
      </c>
      <c r="B128" s="189"/>
      <c r="C128" s="63"/>
      <c r="D128" s="63"/>
      <c r="E128" s="64">
        <f>(O129+P129+Q129+R129)/(O130+P130+Q130+R130)</f>
        <v>0.4625</v>
      </c>
      <c r="F128" s="65"/>
      <c r="G128" s="133"/>
      <c r="H128" s="72"/>
      <c r="I128" s="67"/>
      <c r="J128" s="72"/>
      <c r="K128" s="68"/>
      <c r="L128" s="69"/>
      <c r="M128" s="295" t="s">
        <v>64</v>
      </c>
      <c r="N128" s="70"/>
      <c r="O128" s="71" t="s">
        <v>65</v>
      </c>
      <c r="P128" s="72"/>
      <c r="Q128" s="72"/>
      <c r="R128" s="70"/>
      <c r="S128" s="71" t="s">
        <v>66</v>
      </c>
      <c r="T128" s="70"/>
      <c r="U128" s="71" t="s">
        <v>67</v>
      </c>
      <c r="V128" s="70"/>
      <c r="W128" s="71" t="s">
        <v>68</v>
      </c>
      <c r="X128" s="70"/>
      <c r="Y128" s="134" t="s">
        <v>69</v>
      </c>
      <c r="Z128" s="74" t="s">
        <v>70</v>
      </c>
      <c r="AA128" s="79" t="s">
        <v>161</v>
      </c>
      <c r="AB128" s="221" t="s">
        <v>244</v>
      </c>
      <c r="AC128" s="135" t="s">
        <v>142</v>
      </c>
      <c r="AD128" s="74" t="s">
        <v>143</v>
      </c>
      <c r="AE128" s="63" t="s">
        <v>144</v>
      </c>
      <c r="AF128" s="78" t="s">
        <v>36</v>
      </c>
      <c r="AG128" s="79" t="s">
        <v>54</v>
      </c>
      <c r="AH128" s="79">
        <v>150.0</v>
      </c>
      <c r="AI128" s="79" t="s">
        <v>210</v>
      </c>
      <c r="AJ128" s="80" t="str">
        <f>AJ122</f>
        <v>開</v>
      </c>
      <c r="AK128" s="81" t="s">
        <v>38</v>
      </c>
      <c r="AL128" s="82" t="str">
        <f>AL122</f>
        <v>休</v>
      </c>
      <c r="AM128" s="81" t="s">
        <v>40</v>
      </c>
      <c r="AN128" s="82" t="s">
        <v>4</v>
      </c>
      <c r="AO128" s="81" t="s">
        <v>42</v>
      </c>
      <c r="AP128" s="82" t="str">
        <f>AP122</f>
        <v>傷</v>
      </c>
      <c r="AQ128" s="81" t="s">
        <v>44</v>
      </c>
      <c r="AR128" s="82" t="s">
        <v>8</v>
      </c>
      <c r="AS128" s="81" t="s">
        <v>46</v>
      </c>
      <c r="AT128" s="82" t="str">
        <f>AT122</f>
        <v>景</v>
      </c>
      <c r="AU128" s="81" t="s">
        <v>48</v>
      </c>
      <c r="AV128" s="82" t="str">
        <f>AV122</f>
        <v>死</v>
      </c>
      <c r="AW128" s="81" t="s">
        <v>50</v>
      </c>
      <c r="AX128" s="82" t="str">
        <f>AX122</f>
        <v>驚</v>
      </c>
      <c r="AY128" s="81" t="s">
        <v>52</v>
      </c>
      <c r="AZ128" s="83"/>
      <c r="BA128" s="84"/>
      <c r="BB128" s="84"/>
      <c r="BC128" s="84"/>
    </row>
    <row r="129">
      <c r="A129" s="222">
        <f>A123+1</f>
        <v>20</v>
      </c>
      <c r="B129" s="193"/>
      <c r="C129" s="12" t="s">
        <v>146</v>
      </c>
      <c r="E129" s="203" t="s">
        <v>171</v>
      </c>
      <c r="G129" s="273" t="str">
        <f t="shared" ref="G129:G130" si="175">G3:H3</f>
        <v>辛</v>
      </c>
      <c r="I129" s="275" t="str">
        <f t="shared" ref="I129:I130" si="176">I32:J32</f>
        <v>丙</v>
      </c>
      <c r="K129" s="90">
        <f>L129/L130</f>
        <v>0.53</v>
      </c>
      <c r="L129" s="126">
        <f t="shared" ref="L129:L130" si="177">O129+P129+Q129+U129+V129+W129+X129+R129+M129+N129+S129+T129</f>
        <v>530</v>
      </c>
      <c r="M129" s="101">
        <v>0.0</v>
      </c>
      <c r="N129" s="93">
        <v>0.0</v>
      </c>
      <c r="O129" s="92">
        <v>65.0</v>
      </c>
      <c r="P129" s="92">
        <v>30.0</v>
      </c>
      <c r="Q129" s="92">
        <v>10.0</v>
      </c>
      <c r="R129" s="93">
        <v>80.0</v>
      </c>
      <c r="S129" s="92">
        <v>5.0</v>
      </c>
      <c r="T129" s="93">
        <v>80.0</v>
      </c>
      <c r="U129" s="92">
        <f t="shared" ref="U129:V129" si="173">U38</f>
        <v>0</v>
      </c>
      <c r="V129" s="93">
        <f t="shared" si="173"/>
        <v>90</v>
      </c>
      <c r="W129" s="92">
        <f t="shared" ref="W129:X129" si="174">W32</f>
        <v>110</v>
      </c>
      <c r="X129" s="93">
        <f t="shared" si="174"/>
        <v>60</v>
      </c>
      <c r="Y129" s="73" t="s">
        <v>80</v>
      </c>
      <c r="Z129" s="94" t="s">
        <v>81</v>
      </c>
      <c r="AA129" s="36"/>
      <c r="AB129" s="29"/>
      <c r="AC129" s="139" t="s">
        <v>148</v>
      </c>
      <c r="AD129" s="96" t="s">
        <v>149</v>
      </c>
      <c r="AE129" s="37"/>
      <c r="AF129" s="97"/>
      <c r="AG129" s="12" t="s">
        <v>189</v>
      </c>
      <c r="AH129" s="12">
        <v>90.0</v>
      </c>
      <c r="AI129" s="12" t="s">
        <v>208</v>
      </c>
      <c r="AJ129" s="98" t="s">
        <v>37</v>
      </c>
      <c r="AK129" s="99" t="s">
        <v>94</v>
      </c>
      <c r="AL129" s="100" t="s">
        <v>51</v>
      </c>
      <c r="AM129" s="101" t="s">
        <v>95</v>
      </c>
      <c r="AN129" s="100" t="s">
        <v>86</v>
      </c>
      <c r="AO129" s="99" t="s">
        <v>87</v>
      </c>
      <c r="AP129" s="100" t="s">
        <v>88</v>
      </c>
      <c r="AQ129" s="101" t="s">
        <v>89</v>
      </c>
      <c r="AR129" s="100" t="s">
        <v>45</v>
      </c>
      <c r="AS129" s="102" t="s">
        <v>90</v>
      </c>
      <c r="AT129" s="100" t="s">
        <v>43</v>
      </c>
      <c r="AU129" s="101" t="s">
        <v>91</v>
      </c>
      <c r="AV129" s="100" t="s">
        <v>41</v>
      </c>
      <c r="AW129" s="103" t="s">
        <v>92</v>
      </c>
      <c r="AX129" s="100" t="s">
        <v>39</v>
      </c>
      <c r="AY129" s="99" t="s">
        <v>93</v>
      </c>
      <c r="AZ129" s="24"/>
    </row>
    <row r="130">
      <c r="A130" s="215" t="str">
        <f>G2</f>
        <v>มีนาคม</v>
      </c>
      <c r="B130" s="193"/>
      <c r="C130" s="106" t="s">
        <v>96</v>
      </c>
      <c r="E130" s="201" t="s">
        <v>54</v>
      </c>
      <c r="G130" s="274" t="str">
        <f t="shared" si="175"/>
        <v>卯</v>
      </c>
      <c r="I130" s="142" t="str">
        <f t="shared" si="176"/>
        <v>午</v>
      </c>
      <c r="K130" s="36"/>
      <c r="L130" s="109">
        <f t="shared" si="177"/>
        <v>1000</v>
      </c>
      <c r="M130" s="105">
        <v>0.0</v>
      </c>
      <c r="N130" s="110">
        <v>0.0</v>
      </c>
      <c r="O130" s="9">
        <v>100.0</v>
      </c>
      <c r="P130" s="9">
        <v>100.0</v>
      </c>
      <c r="Q130" s="9">
        <v>100.0</v>
      </c>
      <c r="R130" s="110">
        <v>100.0</v>
      </c>
      <c r="S130" s="9">
        <v>100.0</v>
      </c>
      <c r="T130" s="110">
        <v>100.0</v>
      </c>
      <c r="U130" s="9">
        <v>100.0</v>
      </c>
      <c r="V130" s="110">
        <v>100.0</v>
      </c>
      <c r="W130" s="9">
        <v>100.0</v>
      </c>
      <c r="X130" s="110">
        <v>100.0</v>
      </c>
      <c r="Y130" s="73" t="s">
        <v>98</v>
      </c>
      <c r="Z130" s="94" t="s">
        <v>99</v>
      </c>
      <c r="AA130" s="36"/>
      <c r="AB130" s="36"/>
      <c r="AC130" s="111"/>
      <c r="AD130" s="112"/>
      <c r="AE130" s="37"/>
      <c r="AF130" s="97"/>
      <c r="AG130" s="14"/>
      <c r="AH130" s="14"/>
      <c r="AI130" s="14"/>
      <c r="AJ130" s="113"/>
      <c r="AK130" s="104" t="s">
        <v>106</v>
      </c>
      <c r="AM130" s="105" t="s">
        <v>107</v>
      </c>
      <c r="AO130" s="104" t="s">
        <v>100</v>
      </c>
      <c r="AQ130" s="114" t="s">
        <v>101</v>
      </c>
      <c r="AS130" s="105" t="s">
        <v>102</v>
      </c>
      <c r="AU130" s="105" t="s">
        <v>103</v>
      </c>
      <c r="AW130" s="104" t="s">
        <v>104</v>
      </c>
      <c r="AY130" s="104" t="s">
        <v>105</v>
      </c>
      <c r="AZ130" s="24"/>
    </row>
    <row r="131">
      <c r="A131" s="192">
        <v>2569.0</v>
      </c>
      <c r="B131" s="193"/>
      <c r="E131" s="115" t="s">
        <v>110</v>
      </c>
      <c r="F131" s="116" t="s">
        <v>109</v>
      </c>
      <c r="G131" s="115" t="str">
        <f>G34</f>
        <v>A10</v>
      </c>
      <c r="H131" s="9" t="str">
        <f>H40</f>
        <v>B8</v>
      </c>
      <c r="I131" s="9" t="str">
        <f t="shared" ref="I131:J131" si="178">I34</f>
        <v>A5</v>
      </c>
      <c r="J131" s="9" t="str">
        <f t="shared" si="178"/>
        <v>B11</v>
      </c>
      <c r="K131" s="36"/>
      <c r="L131" s="117"/>
      <c r="M131" s="130" t="str">
        <f t="shared" ref="M131:P131" si="179">C131</f>
        <v/>
      </c>
      <c r="N131" s="119" t="str">
        <f t="shared" si="179"/>
        <v/>
      </c>
      <c r="O131" s="118" t="str">
        <f t="shared" si="179"/>
        <v>A11</v>
      </c>
      <c r="P131" s="118" t="str">
        <f t="shared" si="179"/>
        <v>B4</v>
      </c>
      <c r="Q131" s="118" t="str">
        <f t="shared" ref="Q131:R131" si="180">E132</f>
        <v>B12</v>
      </c>
      <c r="R131" s="119" t="str">
        <f t="shared" si="180"/>
        <v>C3</v>
      </c>
      <c r="S131" s="9" t="s">
        <v>108</v>
      </c>
      <c r="T131" s="110" t="s">
        <v>182</v>
      </c>
      <c r="U131" s="9" t="str">
        <f t="shared" ref="U131:X131" si="181">G131</f>
        <v>A10</v>
      </c>
      <c r="V131" s="119" t="str">
        <f t="shared" si="181"/>
        <v>B8</v>
      </c>
      <c r="W131" s="118" t="str">
        <f t="shared" si="181"/>
        <v>A5</v>
      </c>
      <c r="X131" s="120" t="str">
        <f t="shared" si="181"/>
        <v>B11</v>
      </c>
      <c r="Y131" s="73" t="s">
        <v>116</v>
      </c>
      <c r="Z131" s="94" t="s">
        <v>117</v>
      </c>
      <c r="AA131" s="36"/>
      <c r="AB131" s="36"/>
      <c r="AC131" s="111"/>
      <c r="AD131" s="112"/>
      <c r="AE131" s="37"/>
      <c r="AF131" s="97"/>
      <c r="AG131" s="14"/>
      <c r="AH131" s="14"/>
      <c r="AI131" s="14"/>
      <c r="AJ131" s="113"/>
      <c r="AK131" s="104" t="s">
        <v>124</v>
      </c>
      <c r="AM131" s="105" t="s">
        <v>125</v>
      </c>
      <c r="AO131" s="104" t="s">
        <v>118</v>
      </c>
      <c r="AQ131" s="114" t="s">
        <v>119</v>
      </c>
      <c r="AS131" s="105" t="s">
        <v>120</v>
      </c>
      <c r="AU131" s="105" t="s">
        <v>121</v>
      </c>
      <c r="AW131" s="104" t="s">
        <v>122</v>
      </c>
      <c r="AY131" s="104" t="s">
        <v>123</v>
      </c>
      <c r="AZ131" s="24"/>
    </row>
    <row r="132">
      <c r="A132" s="192">
        <f>A131-543</f>
        <v>2026</v>
      </c>
      <c r="B132" s="193"/>
      <c r="C132" s="181"/>
      <c r="E132" s="115" t="s">
        <v>113</v>
      </c>
      <c r="F132" s="116" t="s">
        <v>184</v>
      </c>
      <c r="G132" s="115"/>
      <c r="H132" s="118"/>
      <c r="I132" s="118"/>
      <c r="J132" s="118"/>
      <c r="K132" s="36"/>
      <c r="L132" s="117"/>
      <c r="M132" s="128"/>
      <c r="N132" s="117"/>
      <c r="R132" s="117"/>
      <c r="T132" s="117"/>
      <c r="V132" s="117"/>
      <c r="X132" s="117"/>
      <c r="Y132" s="73" t="s">
        <v>126</v>
      </c>
      <c r="Z132" s="94" t="s">
        <v>128</v>
      </c>
      <c r="AA132" s="36"/>
      <c r="AB132" s="36"/>
      <c r="AC132" s="111"/>
      <c r="AD132" s="112"/>
      <c r="AE132" s="37"/>
      <c r="AF132" s="97"/>
      <c r="AG132" s="14"/>
      <c r="AH132" s="14"/>
      <c r="AI132" s="14"/>
      <c r="AJ132" s="113"/>
      <c r="AK132" s="104" t="s">
        <v>135</v>
      </c>
      <c r="AM132" s="105" t="s">
        <v>136</v>
      </c>
      <c r="AO132" s="104" t="s">
        <v>129</v>
      </c>
      <c r="AQ132" s="114" t="s">
        <v>130</v>
      </c>
      <c r="AS132" s="105" t="s">
        <v>131</v>
      </c>
      <c r="AU132" s="105" t="s">
        <v>132</v>
      </c>
      <c r="AW132" s="104" t="s">
        <v>133</v>
      </c>
      <c r="AY132" s="104" t="s">
        <v>134</v>
      </c>
      <c r="AZ132" s="24"/>
    </row>
    <row r="133">
      <c r="A133" s="205"/>
      <c r="B133" s="206"/>
      <c r="C133" s="123"/>
      <c r="D133" s="123"/>
      <c r="E133" s="164" t="s">
        <v>168</v>
      </c>
      <c r="F133" s="88"/>
      <c r="G133" s="207" t="str">
        <f>G5:H5</f>
        <v>อสูรเดือน W</v>
      </c>
      <c r="I133" s="208" t="str">
        <f>I5:J5</f>
        <v>อสูรปี N</v>
      </c>
      <c r="K133" s="36"/>
      <c r="L133" s="117"/>
      <c r="M133" s="128"/>
      <c r="N133" s="117"/>
      <c r="R133" s="117"/>
      <c r="T133" s="117"/>
      <c r="V133" s="117"/>
      <c r="X133" s="117"/>
      <c r="Y133" s="127"/>
      <c r="Z133" s="155"/>
      <c r="AA133" s="36"/>
      <c r="AB133" s="36"/>
      <c r="AC133" s="111"/>
      <c r="AD133" s="112"/>
      <c r="AE133" s="37"/>
      <c r="AF133" s="97"/>
      <c r="AG133" s="14"/>
      <c r="AH133" s="14"/>
      <c r="AI133" s="14"/>
      <c r="AJ133" s="113"/>
      <c r="AO133" s="128"/>
      <c r="AZ133" s="24"/>
    </row>
    <row r="134">
      <c r="A134" s="188" t="s">
        <v>158</v>
      </c>
      <c r="B134" s="189"/>
      <c r="C134" s="63"/>
      <c r="D134" s="63"/>
      <c r="E134" s="64">
        <f>(O135+P135+Q135+R135)/(O136+P136+Q136+R136)</f>
        <v>0.5375</v>
      </c>
      <c r="F134" s="65"/>
      <c r="G134" s="133"/>
      <c r="H134" s="72"/>
      <c r="I134" s="67"/>
      <c r="J134" s="72"/>
      <c r="K134" s="68"/>
      <c r="L134" s="69"/>
      <c r="M134" s="295" t="s">
        <v>64</v>
      </c>
      <c r="N134" s="70"/>
      <c r="O134" s="71" t="s">
        <v>65</v>
      </c>
      <c r="P134" s="72"/>
      <c r="Q134" s="72"/>
      <c r="R134" s="70"/>
      <c r="S134" s="71" t="s">
        <v>66</v>
      </c>
      <c r="T134" s="70"/>
      <c r="U134" s="71" t="s">
        <v>67</v>
      </c>
      <c r="V134" s="70"/>
      <c r="W134" s="71" t="s">
        <v>68</v>
      </c>
      <c r="X134" s="70"/>
      <c r="Y134" s="134" t="s">
        <v>116</v>
      </c>
      <c r="Z134" s="74" t="s">
        <v>140</v>
      </c>
      <c r="AA134" s="75" t="s">
        <v>209</v>
      </c>
      <c r="AB134" s="75" t="s">
        <v>238</v>
      </c>
      <c r="AC134" s="190" t="s">
        <v>173</v>
      </c>
      <c r="AD134" s="77" t="s">
        <v>193</v>
      </c>
      <c r="AE134" s="63" t="s">
        <v>35</v>
      </c>
      <c r="AF134" s="78" t="s">
        <v>34</v>
      </c>
      <c r="AG134" s="79" t="s">
        <v>76</v>
      </c>
      <c r="AH134" s="79">
        <v>240.0</v>
      </c>
      <c r="AI134" s="79" t="s">
        <v>77</v>
      </c>
      <c r="AJ134" s="80" t="str">
        <f>AJ128</f>
        <v>開</v>
      </c>
      <c r="AK134" s="81" t="s">
        <v>38</v>
      </c>
      <c r="AL134" s="82" t="str">
        <f>AL128</f>
        <v>休</v>
      </c>
      <c r="AM134" s="81" t="s">
        <v>40</v>
      </c>
      <c r="AN134" s="82" t="s">
        <v>4</v>
      </c>
      <c r="AO134" s="81" t="s">
        <v>42</v>
      </c>
      <c r="AP134" s="82" t="str">
        <f>AP128</f>
        <v>傷</v>
      </c>
      <c r="AQ134" s="81" t="s">
        <v>44</v>
      </c>
      <c r="AR134" s="82" t="s">
        <v>8</v>
      </c>
      <c r="AS134" s="81" t="s">
        <v>46</v>
      </c>
      <c r="AT134" s="82" t="str">
        <f>AT128</f>
        <v>景</v>
      </c>
      <c r="AU134" s="81" t="s">
        <v>48</v>
      </c>
      <c r="AV134" s="82" t="str">
        <f>AV128</f>
        <v>死</v>
      </c>
      <c r="AW134" s="81" t="s">
        <v>50</v>
      </c>
      <c r="AX134" s="82" t="str">
        <f>AX128</f>
        <v>驚</v>
      </c>
      <c r="AY134" s="81" t="s">
        <v>52</v>
      </c>
      <c r="AZ134" s="83"/>
      <c r="BA134" s="84"/>
      <c r="BB134" s="84"/>
      <c r="BC134" s="84"/>
    </row>
    <row r="135">
      <c r="A135" s="192">
        <f>A129+1</f>
        <v>21</v>
      </c>
      <c r="B135" s="193"/>
      <c r="C135" s="12" t="s">
        <v>78</v>
      </c>
      <c r="E135" s="87" t="s">
        <v>222</v>
      </c>
      <c r="G135" s="273" t="str">
        <f t="shared" ref="G135:G136" si="184">G3:H3</f>
        <v>辛</v>
      </c>
      <c r="I135" s="275" t="str">
        <f t="shared" ref="I135:I136" si="185">I32:J32</f>
        <v>丙</v>
      </c>
      <c r="K135" s="90">
        <f>L135/L136</f>
        <v>0.6</v>
      </c>
      <c r="L135" s="126">
        <f t="shared" ref="L135:L136" si="186">O135+P135+Q135+U135+V135+W135+X135+R135+M135+N135+S135+T135</f>
        <v>600</v>
      </c>
      <c r="M135" s="101">
        <v>0.0</v>
      </c>
      <c r="N135" s="93">
        <v>0.0</v>
      </c>
      <c r="O135" s="92">
        <v>5.0</v>
      </c>
      <c r="P135" s="92">
        <v>100.0</v>
      </c>
      <c r="Q135" s="92">
        <v>60.0</v>
      </c>
      <c r="R135" s="93">
        <v>50.0</v>
      </c>
      <c r="S135" s="92">
        <v>15.0</v>
      </c>
      <c r="T135" s="93">
        <v>110.0</v>
      </c>
      <c r="U135" s="92">
        <f t="shared" ref="U135:V135" si="182">U38</f>
        <v>0</v>
      </c>
      <c r="V135" s="93">
        <f t="shared" si="182"/>
        <v>90</v>
      </c>
      <c r="W135" s="92">
        <f t="shared" ref="W135:X135" si="183">W32</f>
        <v>110</v>
      </c>
      <c r="X135" s="93">
        <f t="shared" si="183"/>
        <v>60</v>
      </c>
      <c r="Y135" s="73" t="s">
        <v>126</v>
      </c>
      <c r="Z135" s="94" t="s">
        <v>70</v>
      </c>
      <c r="AA135" s="36"/>
      <c r="AB135" s="29" t="s">
        <v>325</v>
      </c>
      <c r="AC135" s="195" t="s">
        <v>196</v>
      </c>
      <c r="AD135" s="96" t="s">
        <v>149</v>
      </c>
      <c r="AE135" s="37"/>
      <c r="AF135" s="97"/>
      <c r="AG135" s="12" t="s">
        <v>84</v>
      </c>
      <c r="AH135" s="12">
        <v>0.0</v>
      </c>
      <c r="AI135" s="12" t="s">
        <v>85</v>
      </c>
      <c r="AJ135" s="98" t="s">
        <v>37</v>
      </c>
      <c r="AK135" s="99" t="s">
        <v>94</v>
      </c>
      <c r="AL135" s="100" t="s">
        <v>88</v>
      </c>
      <c r="AM135" s="101" t="s">
        <v>89</v>
      </c>
      <c r="AN135" s="100" t="s">
        <v>45</v>
      </c>
      <c r="AO135" s="102" t="s">
        <v>90</v>
      </c>
      <c r="AP135" s="100" t="s">
        <v>43</v>
      </c>
      <c r="AQ135" s="101" t="s">
        <v>91</v>
      </c>
      <c r="AR135" s="100" t="s">
        <v>41</v>
      </c>
      <c r="AS135" s="103" t="s">
        <v>92</v>
      </c>
      <c r="AT135" s="100" t="s">
        <v>41</v>
      </c>
      <c r="AU135" s="103" t="s">
        <v>92</v>
      </c>
      <c r="AV135" s="100" t="s">
        <v>39</v>
      </c>
      <c r="AW135" s="99" t="s">
        <v>93</v>
      </c>
      <c r="AX135" s="100" t="s">
        <v>51</v>
      </c>
      <c r="AY135" s="101" t="s">
        <v>95</v>
      </c>
      <c r="AZ135" s="24"/>
    </row>
    <row r="136">
      <c r="A136" s="215" t="str">
        <f>G2</f>
        <v>มีนาคม</v>
      </c>
      <c r="B136" s="193"/>
      <c r="C136" s="106" t="s">
        <v>151</v>
      </c>
      <c r="E136" s="223" t="s">
        <v>202</v>
      </c>
      <c r="G136" s="274" t="str">
        <f t="shared" si="184"/>
        <v>卯</v>
      </c>
      <c r="I136" s="142" t="str">
        <f t="shared" si="185"/>
        <v>午</v>
      </c>
      <c r="K136" s="36"/>
      <c r="L136" s="109">
        <f t="shared" si="186"/>
        <v>1000</v>
      </c>
      <c r="M136" s="105">
        <v>0.0</v>
      </c>
      <c r="N136" s="110">
        <v>0.0</v>
      </c>
      <c r="O136" s="9">
        <v>100.0</v>
      </c>
      <c r="P136" s="9">
        <v>100.0</v>
      </c>
      <c r="Q136" s="9">
        <v>100.0</v>
      </c>
      <c r="R136" s="110">
        <v>100.0</v>
      </c>
      <c r="S136" s="9">
        <v>100.0</v>
      </c>
      <c r="T136" s="110">
        <v>100.0</v>
      </c>
      <c r="U136" s="9">
        <v>100.0</v>
      </c>
      <c r="V136" s="110">
        <v>100.0</v>
      </c>
      <c r="W136" s="9">
        <v>100.0</v>
      </c>
      <c r="X136" s="110">
        <v>100.0</v>
      </c>
      <c r="Y136" s="73" t="s">
        <v>69</v>
      </c>
      <c r="Z136" s="94" t="s">
        <v>152</v>
      </c>
      <c r="AA136" s="36"/>
      <c r="AB136" s="36"/>
      <c r="AC136" s="111"/>
      <c r="AD136" s="112"/>
      <c r="AE136" s="37"/>
      <c r="AF136" s="97"/>
      <c r="AG136" s="14"/>
      <c r="AH136" s="14"/>
      <c r="AI136" s="14"/>
      <c r="AJ136" s="113"/>
      <c r="AK136" s="104" t="s">
        <v>106</v>
      </c>
      <c r="AM136" s="114" t="s">
        <v>101</v>
      </c>
      <c r="AO136" s="105" t="s">
        <v>102</v>
      </c>
      <c r="AQ136" s="105" t="s">
        <v>103</v>
      </c>
      <c r="AS136" s="104" t="s">
        <v>104</v>
      </c>
      <c r="AU136" s="104" t="s">
        <v>104</v>
      </c>
      <c r="AW136" s="104" t="s">
        <v>105</v>
      </c>
      <c r="AY136" s="105" t="s">
        <v>107</v>
      </c>
      <c r="AZ136" s="24"/>
    </row>
    <row r="137">
      <c r="A137" s="192">
        <v>2569.0</v>
      </c>
      <c r="B137" s="193"/>
      <c r="E137" s="115" t="s">
        <v>108</v>
      </c>
      <c r="F137" s="116" t="s">
        <v>116</v>
      </c>
      <c r="G137" s="115" t="str">
        <f>G34</f>
        <v>A10</v>
      </c>
      <c r="H137" s="9" t="str">
        <f>H40</f>
        <v>B8</v>
      </c>
      <c r="I137" s="9" t="str">
        <f t="shared" ref="I137:J137" si="187">I34</f>
        <v>A5</v>
      </c>
      <c r="J137" s="9" t="str">
        <f t="shared" si="187"/>
        <v>B11</v>
      </c>
      <c r="K137" s="36"/>
      <c r="L137" s="117"/>
      <c r="M137" s="130" t="str">
        <f t="shared" ref="M137:P137" si="188">C137</f>
        <v/>
      </c>
      <c r="N137" s="119" t="str">
        <f t="shared" si="188"/>
        <v/>
      </c>
      <c r="O137" s="118" t="str">
        <f t="shared" si="188"/>
        <v>A8</v>
      </c>
      <c r="P137" s="118" t="str">
        <f t="shared" si="188"/>
        <v>B5</v>
      </c>
      <c r="Q137" s="118" t="str">
        <f t="shared" ref="Q137:R137" si="189">E138</f>
        <v>B11</v>
      </c>
      <c r="R137" s="119" t="str">
        <f t="shared" si="189"/>
        <v>C4</v>
      </c>
      <c r="S137" s="9" t="s">
        <v>115</v>
      </c>
      <c r="T137" s="110" t="s">
        <v>204</v>
      </c>
      <c r="U137" s="9" t="str">
        <f t="shared" ref="U137:X137" si="190">G137</f>
        <v>A10</v>
      </c>
      <c r="V137" s="119" t="str">
        <f t="shared" si="190"/>
        <v>B8</v>
      </c>
      <c r="W137" s="118" t="str">
        <f t="shared" si="190"/>
        <v>A5</v>
      </c>
      <c r="X137" s="120" t="str">
        <f t="shared" si="190"/>
        <v>B11</v>
      </c>
      <c r="Y137" s="73" t="s">
        <v>80</v>
      </c>
      <c r="Z137" s="94" t="s">
        <v>153</v>
      </c>
      <c r="AA137" s="36"/>
      <c r="AB137" s="36"/>
      <c r="AC137" s="111"/>
      <c r="AD137" s="112"/>
      <c r="AE137" s="37"/>
      <c r="AF137" s="97"/>
      <c r="AG137" s="14"/>
      <c r="AH137" s="14"/>
      <c r="AI137" s="14"/>
      <c r="AJ137" s="113"/>
      <c r="AK137" s="104" t="s">
        <v>124</v>
      </c>
      <c r="AM137" s="114" t="s">
        <v>119</v>
      </c>
      <c r="AO137" s="105" t="s">
        <v>120</v>
      </c>
      <c r="AQ137" s="105" t="s">
        <v>121</v>
      </c>
      <c r="AS137" s="104" t="s">
        <v>122</v>
      </c>
      <c r="AU137" s="104" t="s">
        <v>122</v>
      </c>
      <c r="AW137" s="104" t="s">
        <v>123</v>
      </c>
      <c r="AY137" s="105" t="s">
        <v>125</v>
      </c>
      <c r="AZ137" s="24"/>
    </row>
    <row r="138">
      <c r="A138" s="192">
        <f>A137-543</f>
        <v>2026</v>
      </c>
      <c r="B138" s="193"/>
      <c r="C138" s="12" t="s">
        <v>318</v>
      </c>
      <c r="E138" s="115" t="s">
        <v>214</v>
      </c>
      <c r="F138" s="116" t="s">
        <v>190</v>
      </c>
      <c r="G138" s="115"/>
      <c r="H138" s="118"/>
      <c r="I138" s="118"/>
      <c r="J138" s="118"/>
      <c r="K138" s="36"/>
      <c r="L138" s="117"/>
      <c r="M138" s="128"/>
      <c r="N138" s="117"/>
      <c r="R138" s="117"/>
      <c r="T138" s="117"/>
      <c r="V138" s="117"/>
      <c r="X138" s="117"/>
      <c r="Y138" s="73" t="s">
        <v>98</v>
      </c>
      <c r="Z138" s="94" t="s">
        <v>155</v>
      </c>
      <c r="AA138" s="36"/>
      <c r="AB138" s="36"/>
      <c r="AC138" s="111"/>
      <c r="AD138" s="112"/>
      <c r="AE138" s="37"/>
      <c r="AF138" s="97"/>
      <c r="AG138" s="14"/>
      <c r="AH138" s="14"/>
      <c r="AI138" s="14"/>
      <c r="AJ138" s="113"/>
      <c r="AK138" s="104" t="s">
        <v>135</v>
      </c>
      <c r="AM138" s="114" t="s">
        <v>130</v>
      </c>
      <c r="AO138" s="105" t="s">
        <v>131</v>
      </c>
      <c r="AQ138" s="105" t="s">
        <v>132</v>
      </c>
      <c r="AS138" s="104" t="s">
        <v>133</v>
      </c>
      <c r="AU138" s="104" t="s">
        <v>133</v>
      </c>
      <c r="AW138" s="104" t="s">
        <v>134</v>
      </c>
      <c r="AY138" s="105" t="s">
        <v>136</v>
      </c>
      <c r="AZ138" s="24"/>
    </row>
    <row r="139">
      <c r="A139" s="311" t="s">
        <v>242</v>
      </c>
      <c r="B139" s="206"/>
      <c r="C139" s="1"/>
      <c r="D139" s="123"/>
      <c r="E139" s="164" t="s">
        <v>185</v>
      </c>
      <c r="F139" s="88"/>
      <c r="G139" s="207" t="str">
        <f>G5:H5</f>
        <v>อสูรเดือน W</v>
      </c>
      <c r="I139" s="208" t="str">
        <f>I5:J5</f>
        <v>อสูรปี N</v>
      </c>
      <c r="K139" s="36"/>
      <c r="L139" s="117"/>
      <c r="M139" s="128"/>
      <c r="N139" s="117"/>
      <c r="R139" s="117"/>
      <c r="T139" s="117"/>
      <c r="V139" s="117"/>
      <c r="X139" s="117"/>
      <c r="Y139" s="233"/>
      <c r="Z139" s="234"/>
      <c r="AA139" s="36"/>
      <c r="AB139" s="36"/>
      <c r="AC139" s="111"/>
      <c r="AD139" s="112"/>
      <c r="AE139" s="37"/>
      <c r="AF139" s="97"/>
      <c r="AG139" s="14"/>
      <c r="AH139" s="14"/>
      <c r="AI139" s="14"/>
      <c r="AJ139" s="113"/>
      <c r="AM139" s="128"/>
      <c r="AZ139" s="24"/>
    </row>
    <row r="140">
      <c r="A140" s="188" t="s">
        <v>246</v>
      </c>
      <c r="B140" s="189"/>
      <c r="C140" s="63"/>
      <c r="D140" s="63"/>
      <c r="E140" s="216">
        <f>(O141+P141+Q141+R141)/(O142+P142+Q142+R142)</f>
        <v>0.7125</v>
      </c>
      <c r="F140" s="65"/>
      <c r="G140" s="133"/>
      <c r="H140" s="72"/>
      <c r="I140" s="67"/>
      <c r="J140" s="72"/>
      <c r="K140" s="68"/>
      <c r="L140" s="69"/>
      <c r="M140" s="295" t="s">
        <v>64</v>
      </c>
      <c r="N140" s="70"/>
      <c r="O140" s="71" t="s">
        <v>65</v>
      </c>
      <c r="P140" s="72"/>
      <c r="Q140" s="72"/>
      <c r="R140" s="70"/>
      <c r="S140" s="71" t="s">
        <v>66</v>
      </c>
      <c r="T140" s="70"/>
      <c r="U140" s="71" t="s">
        <v>67</v>
      </c>
      <c r="V140" s="70"/>
      <c r="W140" s="71" t="s">
        <v>68</v>
      </c>
      <c r="X140" s="70"/>
      <c r="Y140" s="134" t="s">
        <v>116</v>
      </c>
      <c r="Z140" s="74" t="s">
        <v>159</v>
      </c>
      <c r="AA140" s="75" t="s">
        <v>202</v>
      </c>
      <c r="AB140" s="75" t="s">
        <v>226</v>
      </c>
      <c r="AC140" s="190" t="s">
        <v>173</v>
      </c>
      <c r="AD140" s="77" t="s">
        <v>193</v>
      </c>
      <c r="AE140" s="63" t="s">
        <v>35</v>
      </c>
      <c r="AF140" s="78" t="s">
        <v>75</v>
      </c>
      <c r="AG140" s="79" t="s">
        <v>32</v>
      </c>
      <c r="AH140" s="79">
        <v>270.0</v>
      </c>
      <c r="AI140" s="79" t="s">
        <v>145</v>
      </c>
      <c r="AJ140" s="80" t="str">
        <f>AJ134</f>
        <v>開</v>
      </c>
      <c r="AK140" s="81" t="s">
        <v>42</v>
      </c>
      <c r="AL140" s="82" t="str">
        <f>AL134</f>
        <v>休</v>
      </c>
      <c r="AM140" s="81" t="s">
        <v>44</v>
      </c>
      <c r="AN140" s="82" t="s">
        <v>4</v>
      </c>
      <c r="AO140" s="81" t="s">
        <v>46</v>
      </c>
      <c r="AP140" s="82" t="str">
        <f>AP134</f>
        <v>傷</v>
      </c>
      <c r="AQ140" s="81" t="s">
        <v>48</v>
      </c>
      <c r="AR140" s="82" t="s">
        <v>8</v>
      </c>
      <c r="AS140" s="81" t="s">
        <v>50</v>
      </c>
      <c r="AT140" s="82" t="str">
        <f>AT134</f>
        <v>景</v>
      </c>
      <c r="AU140" s="81" t="s">
        <v>52</v>
      </c>
      <c r="AV140" s="82" t="str">
        <f>AV134</f>
        <v>死</v>
      </c>
      <c r="AW140" s="81" t="s">
        <v>38</v>
      </c>
      <c r="AX140" s="82" t="str">
        <f>AX134</f>
        <v>驚</v>
      </c>
      <c r="AY140" s="81" t="s">
        <v>40</v>
      </c>
      <c r="AZ140" s="83"/>
      <c r="BA140" s="84"/>
      <c r="BB140" s="84"/>
      <c r="BC140" s="84"/>
    </row>
    <row r="141">
      <c r="A141" s="192">
        <f>A135+1</f>
        <v>22</v>
      </c>
      <c r="B141" s="193"/>
      <c r="C141" s="12" t="s">
        <v>194</v>
      </c>
      <c r="E141" s="87" t="s">
        <v>31</v>
      </c>
      <c r="G141" s="273" t="str">
        <f t="shared" ref="G141:G142" si="193">G3:H3</f>
        <v>辛</v>
      </c>
      <c r="I141" s="275" t="str">
        <f t="shared" ref="I141:I142" si="194">I32:J32</f>
        <v>丙</v>
      </c>
      <c r="K141" s="90">
        <f>L141/L142</f>
        <v>0.675</v>
      </c>
      <c r="L141" s="126">
        <f t="shared" ref="L141:L142" si="195">O141+P141+Q141+U141+V141+W141+X141+R141+M141+N141+S141+T141</f>
        <v>675</v>
      </c>
      <c r="M141" s="101">
        <v>0.0</v>
      </c>
      <c r="N141" s="93">
        <v>0.0</v>
      </c>
      <c r="O141" s="92">
        <v>75.0</v>
      </c>
      <c r="P141" s="92">
        <v>90.0</v>
      </c>
      <c r="Q141" s="92">
        <v>40.0</v>
      </c>
      <c r="R141" s="93">
        <v>80.0</v>
      </c>
      <c r="S141" s="92">
        <v>30.0</v>
      </c>
      <c r="T141" s="93">
        <v>100.0</v>
      </c>
      <c r="U141" s="92">
        <f t="shared" ref="U141:V141" si="191">U38</f>
        <v>0</v>
      </c>
      <c r="V141" s="93">
        <f t="shared" si="191"/>
        <v>90</v>
      </c>
      <c r="W141" s="92">
        <f t="shared" ref="W141:X141" si="192">W32</f>
        <v>110</v>
      </c>
      <c r="X141" s="93">
        <f t="shared" si="192"/>
        <v>60</v>
      </c>
      <c r="Y141" s="73" t="s">
        <v>126</v>
      </c>
      <c r="Z141" s="94" t="s">
        <v>152</v>
      </c>
      <c r="AA141" s="36"/>
      <c r="AB141" s="29" t="s">
        <v>227</v>
      </c>
      <c r="AC141" s="195" t="s">
        <v>196</v>
      </c>
      <c r="AD141" s="96" t="s">
        <v>149</v>
      </c>
      <c r="AE141" s="37"/>
      <c r="AF141" s="97"/>
      <c r="AG141" s="12" t="s">
        <v>97</v>
      </c>
      <c r="AH141" s="12">
        <v>330.0</v>
      </c>
      <c r="AI141" s="12" t="s">
        <v>150</v>
      </c>
      <c r="AJ141" s="98" t="s">
        <v>39</v>
      </c>
      <c r="AK141" s="99" t="s">
        <v>93</v>
      </c>
      <c r="AL141" s="100" t="s">
        <v>37</v>
      </c>
      <c r="AM141" s="99" t="s">
        <v>94</v>
      </c>
      <c r="AN141" s="100" t="s">
        <v>51</v>
      </c>
      <c r="AO141" s="101" t="s">
        <v>95</v>
      </c>
      <c r="AP141" s="100" t="s">
        <v>86</v>
      </c>
      <c r="AQ141" s="99" t="s">
        <v>87</v>
      </c>
      <c r="AR141" s="100" t="s">
        <v>88</v>
      </c>
      <c r="AS141" s="101" t="s">
        <v>89</v>
      </c>
      <c r="AT141" s="100" t="s">
        <v>45</v>
      </c>
      <c r="AU141" s="102" t="s">
        <v>90</v>
      </c>
      <c r="AV141" s="100" t="s">
        <v>43</v>
      </c>
      <c r="AW141" s="101" t="s">
        <v>91</v>
      </c>
      <c r="AX141" s="100" t="s">
        <v>41</v>
      </c>
      <c r="AY141" s="103" t="s">
        <v>92</v>
      </c>
      <c r="AZ141" s="24"/>
    </row>
    <row r="142">
      <c r="A142" s="215" t="str">
        <f>G2</f>
        <v>มีนาคม</v>
      </c>
      <c r="B142" s="193"/>
      <c r="C142" s="106" t="s">
        <v>162</v>
      </c>
      <c r="E142" s="162" t="s">
        <v>71</v>
      </c>
      <c r="G142" s="274" t="str">
        <f t="shared" si="193"/>
        <v>卯</v>
      </c>
      <c r="I142" s="142" t="str">
        <f t="shared" si="194"/>
        <v>午</v>
      </c>
      <c r="K142" s="36"/>
      <c r="L142" s="109">
        <f t="shared" si="195"/>
        <v>1000</v>
      </c>
      <c r="M142" s="105">
        <v>0.0</v>
      </c>
      <c r="N142" s="110">
        <v>0.0</v>
      </c>
      <c r="O142" s="9">
        <v>100.0</v>
      </c>
      <c r="P142" s="9">
        <v>100.0</v>
      </c>
      <c r="Q142" s="9">
        <v>100.0</v>
      </c>
      <c r="R142" s="110">
        <v>100.0</v>
      </c>
      <c r="S142" s="9">
        <v>100.0</v>
      </c>
      <c r="T142" s="110">
        <v>100.0</v>
      </c>
      <c r="U142" s="9">
        <v>100.0</v>
      </c>
      <c r="V142" s="110">
        <v>100.0</v>
      </c>
      <c r="W142" s="9">
        <v>100.0</v>
      </c>
      <c r="X142" s="110">
        <v>100.0</v>
      </c>
      <c r="Y142" s="73" t="s">
        <v>69</v>
      </c>
      <c r="Z142" s="94" t="s">
        <v>163</v>
      </c>
      <c r="AA142" s="36"/>
      <c r="AB142" s="36"/>
      <c r="AC142" s="111"/>
      <c r="AD142" s="112"/>
      <c r="AE142" s="37"/>
      <c r="AF142" s="97"/>
      <c r="AG142" s="14"/>
      <c r="AH142" s="14"/>
      <c r="AI142" s="14"/>
      <c r="AJ142" s="113"/>
      <c r="AK142" s="104" t="s">
        <v>105</v>
      </c>
      <c r="AM142" s="104" t="s">
        <v>106</v>
      </c>
      <c r="AO142" s="105" t="s">
        <v>107</v>
      </c>
      <c r="AQ142" s="104" t="s">
        <v>100</v>
      </c>
      <c r="AS142" s="114" t="s">
        <v>101</v>
      </c>
      <c r="AU142" s="105" t="s">
        <v>102</v>
      </c>
      <c r="AW142" s="105" t="s">
        <v>103</v>
      </c>
      <c r="AY142" s="104" t="s">
        <v>104</v>
      </c>
      <c r="AZ142" s="24"/>
    </row>
    <row r="143">
      <c r="A143" s="192">
        <v>2569.0</v>
      </c>
      <c r="B143" s="193"/>
      <c r="E143" s="115" t="s">
        <v>165</v>
      </c>
      <c r="F143" s="116" t="s">
        <v>126</v>
      </c>
      <c r="G143" s="115" t="str">
        <f>G34</f>
        <v>A10</v>
      </c>
      <c r="H143" s="9" t="str">
        <f>H40</f>
        <v>B8</v>
      </c>
      <c r="I143" s="9" t="str">
        <f t="shared" ref="I143:J143" si="196">I34</f>
        <v>A5</v>
      </c>
      <c r="J143" s="9" t="str">
        <f t="shared" si="196"/>
        <v>B11</v>
      </c>
      <c r="K143" s="36"/>
      <c r="L143" s="117"/>
      <c r="M143" s="130" t="str">
        <f t="shared" ref="M143:P143" si="197">C143</f>
        <v/>
      </c>
      <c r="N143" s="119" t="str">
        <f t="shared" si="197"/>
        <v/>
      </c>
      <c r="O143" s="118" t="str">
        <f t="shared" si="197"/>
        <v>A12</v>
      </c>
      <c r="P143" s="118" t="str">
        <f t="shared" si="197"/>
        <v>B6</v>
      </c>
      <c r="Q143" s="118" t="str">
        <f t="shared" ref="Q143:R143" si="198">E144</f>
        <v>B10</v>
      </c>
      <c r="R143" s="119" t="str">
        <f t="shared" si="198"/>
        <v>C5</v>
      </c>
      <c r="S143" s="9" t="s">
        <v>198</v>
      </c>
      <c r="T143" s="110" t="s">
        <v>213</v>
      </c>
      <c r="U143" s="9" t="str">
        <f t="shared" ref="U143:X143" si="199">G143</f>
        <v>A10</v>
      </c>
      <c r="V143" s="119" t="str">
        <f t="shared" si="199"/>
        <v>B8</v>
      </c>
      <c r="W143" s="118" t="str">
        <f t="shared" si="199"/>
        <v>A5</v>
      </c>
      <c r="X143" s="120" t="str">
        <f t="shared" si="199"/>
        <v>B11</v>
      </c>
      <c r="Y143" s="73" t="s">
        <v>80</v>
      </c>
      <c r="Z143" s="94" t="s">
        <v>117</v>
      </c>
      <c r="AA143" s="36"/>
      <c r="AB143" s="36"/>
      <c r="AC143" s="111"/>
      <c r="AD143" s="112"/>
      <c r="AE143" s="37"/>
      <c r="AF143" s="97"/>
      <c r="AG143" s="14"/>
      <c r="AH143" s="14"/>
      <c r="AI143" s="14"/>
      <c r="AJ143" s="113"/>
      <c r="AK143" s="104" t="s">
        <v>123</v>
      </c>
      <c r="AM143" s="104" t="s">
        <v>124</v>
      </c>
      <c r="AO143" s="105" t="s">
        <v>125</v>
      </c>
      <c r="AQ143" s="104" t="s">
        <v>118</v>
      </c>
      <c r="AS143" s="114" t="s">
        <v>119</v>
      </c>
      <c r="AU143" s="105" t="s">
        <v>120</v>
      </c>
      <c r="AW143" s="105" t="s">
        <v>121</v>
      </c>
      <c r="AY143" s="104" t="s">
        <v>122</v>
      </c>
      <c r="AZ143" s="24"/>
    </row>
    <row r="144">
      <c r="A144" s="192">
        <f>A143-543</f>
        <v>2026</v>
      </c>
      <c r="B144" s="193"/>
      <c r="E144" s="115" t="s">
        <v>218</v>
      </c>
      <c r="F144" s="116" t="s">
        <v>205</v>
      </c>
      <c r="G144" s="115"/>
      <c r="H144" s="118"/>
      <c r="I144" s="118"/>
      <c r="J144" s="118"/>
      <c r="K144" s="36"/>
      <c r="L144" s="117"/>
      <c r="M144" s="128"/>
      <c r="N144" s="117"/>
      <c r="R144" s="117"/>
      <c r="T144" s="117"/>
      <c r="V144" s="117"/>
      <c r="X144" s="117"/>
      <c r="Y144" s="73" t="s">
        <v>98</v>
      </c>
      <c r="Z144" s="94" t="s">
        <v>128</v>
      </c>
      <c r="AA144" s="36"/>
      <c r="AB144" s="36"/>
      <c r="AC144" s="111"/>
      <c r="AD144" s="112"/>
      <c r="AE144" s="37"/>
      <c r="AF144" s="97"/>
      <c r="AG144" s="14"/>
      <c r="AH144" s="14"/>
      <c r="AI144" s="14"/>
      <c r="AJ144" s="113"/>
      <c r="AK144" s="104" t="s">
        <v>134</v>
      </c>
      <c r="AM144" s="104" t="s">
        <v>135</v>
      </c>
      <c r="AO144" s="105" t="s">
        <v>136</v>
      </c>
      <c r="AQ144" s="104" t="s">
        <v>129</v>
      </c>
      <c r="AS144" s="114" t="s">
        <v>130</v>
      </c>
      <c r="AU144" s="105" t="s">
        <v>131</v>
      </c>
      <c r="AW144" s="105" t="s">
        <v>132</v>
      </c>
      <c r="AY144" s="104" t="s">
        <v>133</v>
      </c>
      <c r="AZ144" s="24"/>
    </row>
    <row r="145">
      <c r="A145" s="113"/>
      <c r="B145" s="206"/>
      <c r="C145" s="1"/>
      <c r="D145" s="123"/>
      <c r="E145" s="176" t="s">
        <v>137</v>
      </c>
      <c r="F145" s="88"/>
      <c r="G145" s="207" t="str">
        <f>G5:H5</f>
        <v>อสูรเดือน W</v>
      </c>
      <c r="I145" s="208" t="str">
        <f>I5:J5</f>
        <v>อสูรปี N</v>
      </c>
      <c r="K145" s="36"/>
      <c r="L145" s="117"/>
      <c r="M145" s="128"/>
      <c r="N145" s="117"/>
      <c r="R145" s="117"/>
      <c r="T145" s="117"/>
      <c r="V145" s="117"/>
      <c r="X145" s="117"/>
      <c r="Y145" s="233"/>
      <c r="Z145" s="234"/>
      <c r="AA145" s="36"/>
      <c r="AB145" s="36"/>
      <c r="AC145" s="111"/>
      <c r="AD145" s="112"/>
      <c r="AE145" s="37"/>
      <c r="AF145" s="97"/>
      <c r="AG145" s="14"/>
      <c r="AH145" s="14"/>
      <c r="AI145" s="14"/>
      <c r="AJ145" s="113"/>
      <c r="AU145" s="128"/>
      <c r="AZ145" s="24"/>
    </row>
    <row r="146">
      <c r="A146" s="188" t="s">
        <v>186</v>
      </c>
      <c r="B146" s="189"/>
      <c r="C146" s="63"/>
      <c r="D146" s="63"/>
      <c r="E146" s="64">
        <f>(O147+P147+Q147+R147)/(O148+P148+Q148+R148)</f>
        <v>0.3875</v>
      </c>
      <c r="F146" s="65"/>
      <c r="G146" s="133"/>
      <c r="H146" s="72"/>
      <c r="I146" s="67"/>
      <c r="J146" s="72"/>
      <c r="K146" s="68"/>
      <c r="L146" s="69"/>
      <c r="M146" s="295" t="s">
        <v>64</v>
      </c>
      <c r="N146" s="70"/>
      <c r="O146" s="71" t="s">
        <v>65</v>
      </c>
      <c r="P146" s="72"/>
      <c r="Q146" s="72"/>
      <c r="R146" s="70"/>
      <c r="S146" s="71" t="s">
        <v>66</v>
      </c>
      <c r="T146" s="70"/>
      <c r="U146" s="71" t="s">
        <v>67</v>
      </c>
      <c r="V146" s="70"/>
      <c r="W146" s="71" t="s">
        <v>68</v>
      </c>
      <c r="X146" s="70"/>
      <c r="Y146" s="134" t="s">
        <v>80</v>
      </c>
      <c r="Z146" s="74" t="s">
        <v>170</v>
      </c>
      <c r="AA146" s="75" t="s">
        <v>32</v>
      </c>
      <c r="AB146" s="75" t="s">
        <v>233</v>
      </c>
      <c r="AC146" s="76" t="s">
        <v>73</v>
      </c>
      <c r="AD146" s="77" t="s">
        <v>74</v>
      </c>
      <c r="AE146" s="63" t="s">
        <v>75</v>
      </c>
      <c r="AF146" s="78" t="s">
        <v>144</v>
      </c>
      <c r="AG146" s="79" t="s">
        <v>97</v>
      </c>
      <c r="AH146" s="79">
        <v>330.0</v>
      </c>
      <c r="AI146" s="79" t="s">
        <v>150</v>
      </c>
      <c r="AJ146" s="80" t="str">
        <f>AJ140</f>
        <v>開</v>
      </c>
      <c r="AK146" s="81" t="s">
        <v>42</v>
      </c>
      <c r="AL146" s="82" t="str">
        <f>AL140</f>
        <v>休</v>
      </c>
      <c r="AM146" s="81" t="s">
        <v>44</v>
      </c>
      <c r="AN146" s="82" t="s">
        <v>4</v>
      </c>
      <c r="AO146" s="81" t="s">
        <v>46</v>
      </c>
      <c r="AP146" s="82" t="str">
        <f>AP140</f>
        <v>傷</v>
      </c>
      <c r="AQ146" s="81" t="s">
        <v>48</v>
      </c>
      <c r="AR146" s="82" t="s">
        <v>8</v>
      </c>
      <c r="AS146" s="81" t="s">
        <v>50</v>
      </c>
      <c r="AT146" s="82" t="str">
        <f>AT140</f>
        <v>景</v>
      </c>
      <c r="AU146" s="81" t="s">
        <v>52</v>
      </c>
      <c r="AV146" s="82" t="str">
        <f>AV140</f>
        <v>死</v>
      </c>
      <c r="AW146" s="81" t="s">
        <v>38</v>
      </c>
      <c r="AX146" s="82" t="str">
        <f>AX140</f>
        <v>驚</v>
      </c>
      <c r="AY146" s="81" t="s">
        <v>40</v>
      </c>
      <c r="AZ146" s="83"/>
      <c r="BA146" s="84"/>
      <c r="BB146" s="84"/>
      <c r="BC146" s="84"/>
    </row>
    <row r="147">
      <c r="A147" s="192">
        <f>A141+1</f>
        <v>23</v>
      </c>
      <c r="B147" s="193"/>
      <c r="C147" s="12" t="s">
        <v>187</v>
      </c>
      <c r="E147" s="214" t="s">
        <v>147</v>
      </c>
      <c r="G147" s="273" t="str">
        <f t="shared" ref="G147:G148" si="202">G3:H3</f>
        <v>辛</v>
      </c>
      <c r="I147" s="275" t="str">
        <f t="shared" ref="I147:I148" si="203">I32:J32</f>
        <v>丙</v>
      </c>
      <c r="K147" s="90">
        <f>L147/L148</f>
        <v>0.565</v>
      </c>
      <c r="L147" s="126">
        <f t="shared" ref="L147:L148" si="204">O147+P147+Q147+U147+V147+W147+X147+R147+M147+N147+S147+T147</f>
        <v>565</v>
      </c>
      <c r="M147" s="101">
        <v>0.0</v>
      </c>
      <c r="N147" s="93">
        <v>0.0</v>
      </c>
      <c r="O147" s="92">
        <v>25.0</v>
      </c>
      <c r="P147" s="92">
        <v>0.0</v>
      </c>
      <c r="Q147" s="92">
        <v>50.0</v>
      </c>
      <c r="R147" s="93">
        <v>80.0</v>
      </c>
      <c r="S147" s="92">
        <v>110.0</v>
      </c>
      <c r="T147" s="93">
        <v>40.0</v>
      </c>
      <c r="U147" s="92">
        <f t="shared" ref="U147:V147" si="200">U38</f>
        <v>0</v>
      </c>
      <c r="V147" s="93">
        <f t="shared" si="200"/>
        <v>90</v>
      </c>
      <c r="W147" s="92">
        <f t="shared" ref="W147:X147" si="201">W32</f>
        <v>110</v>
      </c>
      <c r="X147" s="93">
        <f t="shared" si="201"/>
        <v>60</v>
      </c>
      <c r="Y147" s="73" t="s">
        <v>98</v>
      </c>
      <c r="Z147" s="94" t="s">
        <v>70</v>
      </c>
      <c r="AA147" s="36"/>
      <c r="AB147" s="29" t="s">
        <v>323</v>
      </c>
      <c r="AC147" s="95" t="s">
        <v>82</v>
      </c>
      <c r="AD147" s="96" t="s">
        <v>83</v>
      </c>
      <c r="AE147" s="37"/>
      <c r="AF147" s="97"/>
      <c r="AG147" s="12" t="s">
        <v>32</v>
      </c>
      <c r="AH147" s="12">
        <v>270.0</v>
      </c>
      <c r="AI147" s="12" t="s">
        <v>145</v>
      </c>
      <c r="AJ147" s="98" t="s">
        <v>39</v>
      </c>
      <c r="AK147" s="99" t="s">
        <v>93</v>
      </c>
      <c r="AL147" s="100" t="s">
        <v>37</v>
      </c>
      <c r="AM147" s="99" t="s">
        <v>94</v>
      </c>
      <c r="AN147" s="100" t="s">
        <v>51</v>
      </c>
      <c r="AO147" s="101" t="s">
        <v>95</v>
      </c>
      <c r="AP147" s="100" t="s">
        <v>86</v>
      </c>
      <c r="AQ147" s="99" t="s">
        <v>87</v>
      </c>
      <c r="AR147" s="100" t="s">
        <v>88</v>
      </c>
      <c r="AS147" s="101" t="s">
        <v>89</v>
      </c>
      <c r="AT147" s="100" t="s">
        <v>45</v>
      </c>
      <c r="AU147" s="102" t="s">
        <v>90</v>
      </c>
      <c r="AV147" s="100" t="s">
        <v>43</v>
      </c>
      <c r="AW147" s="101" t="s">
        <v>91</v>
      </c>
      <c r="AX147" s="100" t="s">
        <v>41</v>
      </c>
      <c r="AY147" s="103" t="s">
        <v>92</v>
      </c>
      <c r="AZ147" s="24"/>
    </row>
    <row r="148">
      <c r="A148" s="215" t="str">
        <f>G2</f>
        <v>มีนาคม</v>
      </c>
      <c r="B148" s="193"/>
      <c r="C148" s="308" t="s">
        <v>179</v>
      </c>
      <c r="E148" s="209" t="s">
        <v>76</v>
      </c>
      <c r="G148" s="274" t="str">
        <f t="shared" si="202"/>
        <v>卯</v>
      </c>
      <c r="I148" s="142" t="str">
        <f t="shared" si="203"/>
        <v>午</v>
      </c>
      <c r="K148" s="36"/>
      <c r="L148" s="109">
        <f t="shared" si="204"/>
        <v>1000</v>
      </c>
      <c r="M148" s="105">
        <v>0.0</v>
      </c>
      <c r="N148" s="110">
        <v>0.0</v>
      </c>
      <c r="O148" s="9">
        <v>100.0</v>
      </c>
      <c r="P148" s="9">
        <v>100.0</v>
      </c>
      <c r="Q148" s="9">
        <v>100.0</v>
      </c>
      <c r="R148" s="110">
        <v>100.0</v>
      </c>
      <c r="S148" s="9">
        <v>100.0</v>
      </c>
      <c r="T148" s="110">
        <v>100.0</v>
      </c>
      <c r="U148" s="9">
        <v>100.0</v>
      </c>
      <c r="V148" s="110">
        <v>100.0</v>
      </c>
      <c r="W148" s="9">
        <v>100.0</v>
      </c>
      <c r="X148" s="110">
        <v>100.0</v>
      </c>
      <c r="Y148" s="73" t="s">
        <v>116</v>
      </c>
      <c r="Z148" s="94" t="s">
        <v>181</v>
      </c>
      <c r="AA148" s="36"/>
      <c r="AB148" s="36"/>
      <c r="AC148" s="111"/>
      <c r="AD148" s="112"/>
      <c r="AE148" s="37"/>
      <c r="AF148" s="97"/>
      <c r="AG148" s="14"/>
      <c r="AH148" s="14"/>
      <c r="AI148" s="14"/>
      <c r="AJ148" s="113"/>
      <c r="AK148" s="104" t="s">
        <v>105</v>
      </c>
      <c r="AM148" s="104" t="s">
        <v>106</v>
      </c>
      <c r="AO148" s="105" t="s">
        <v>107</v>
      </c>
      <c r="AQ148" s="104" t="s">
        <v>100</v>
      </c>
      <c r="AS148" s="114" t="s">
        <v>101</v>
      </c>
      <c r="AU148" s="105" t="s">
        <v>102</v>
      </c>
      <c r="AW148" s="105" t="s">
        <v>103</v>
      </c>
      <c r="AY148" s="104" t="s">
        <v>104</v>
      </c>
      <c r="AZ148" s="24"/>
    </row>
    <row r="149">
      <c r="A149" s="192">
        <v>2569.0</v>
      </c>
      <c r="B149" s="193"/>
      <c r="E149" s="115" t="s">
        <v>115</v>
      </c>
      <c r="F149" s="116" t="s">
        <v>111</v>
      </c>
      <c r="G149" s="115" t="str">
        <f>G34</f>
        <v>A10</v>
      </c>
      <c r="H149" s="9" t="str">
        <f>H40</f>
        <v>B8</v>
      </c>
      <c r="I149" s="9" t="str">
        <f t="shared" ref="I149:J149" si="205">I34</f>
        <v>A5</v>
      </c>
      <c r="J149" s="9" t="str">
        <f t="shared" si="205"/>
        <v>B11</v>
      </c>
      <c r="K149" s="36"/>
      <c r="L149" s="117"/>
      <c r="M149" s="130" t="str">
        <f t="shared" ref="M149:P149" si="206">C149</f>
        <v/>
      </c>
      <c r="N149" s="119" t="str">
        <f t="shared" si="206"/>
        <v/>
      </c>
      <c r="O149" s="118" t="str">
        <f t="shared" si="206"/>
        <v>A7</v>
      </c>
      <c r="P149" s="118" t="str">
        <f t="shared" si="206"/>
        <v>B7</v>
      </c>
      <c r="Q149" s="118" t="str">
        <f t="shared" ref="Q149:R149" si="207">E150</f>
        <v>B9</v>
      </c>
      <c r="R149" s="119" t="str">
        <f t="shared" si="207"/>
        <v>C6</v>
      </c>
      <c r="S149" s="9" t="s">
        <v>204</v>
      </c>
      <c r="T149" s="110" t="s">
        <v>112</v>
      </c>
      <c r="U149" s="9" t="str">
        <f t="shared" ref="U149:X149" si="208">G149</f>
        <v>A10</v>
      </c>
      <c r="V149" s="119" t="str">
        <f t="shared" si="208"/>
        <v>B8</v>
      </c>
      <c r="W149" s="118" t="str">
        <f t="shared" si="208"/>
        <v>A5</v>
      </c>
      <c r="X149" s="120" t="str">
        <f t="shared" si="208"/>
        <v>B11</v>
      </c>
      <c r="Y149" s="73" t="s">
        <v>126</v>
      </c>
      <c r="Z149" s="94" t="s">
        <v>163</v>
      </c>
      <c r="AA149" s="36"/>
      <c r="AB149" s="36"/>
      <c r="AC149" s="111"/>
      <c r="AD149" s="112"/>
      <c r="AE149" s="37"/>
      <c r="AF149" s="97"/>
      <c r="AG149" s="14"/>
      <c r="AH149" s="14"/>
      <c r="AI149" s="14"/>
      <c r="AJ149" s="113"/>
      <c r="AK149" s="104" t="s">
        <v>123</v>
      </c>
      <c r="AM149" s="104" t="s">
        <v>124</v>
      </c>
      <c r="AO149" s="105" t="s">
        <v>125</v>
      </c>
      <c r="AQ149" s="104" t="s">
        <v>118</v>
      </c>
      <c r="AS149" s="114" t="s">
        <v>119</v>
      </c>
      <c r="AU149" s="105" t="s">
        <v>120</v>
      </c>
      <c r="AW149" s="105" t="s">
        <v>121</v>
      </c>
      <c r="AY149" s="104" t="s">
        <v>122</v>
      </c>
      <c r="AZ149" s="24"/>
    </row>
    <row r="150">
      <c r="A150" s="192">
        <f>A149-543</f>
        <v>2026</v>
      </c>
      <c r="B150" s="193"/>
      <c r="E150" s="115" t="s">
        <v>212</v>
      </c>
      <c r="F150" s="116" t="s">
        <v>215</v>
      </c>
      <c r="G150" s="115"/>
      <c r="H150" s="118"/>
      <c r="I150" s="118"/>
      <c r="J150" s="118"/>
      <c r="K150" s="36"/>
      <c r="L150" s="117"/>
      <c r="M150" s="128"/>
      <c r="N150" s="117"/>
      <c r="O150" s="226"/>
      <c r="R150" s="117"/>
      <c r="T150" s="117"/>
      <c r="V150" s="117"/>
      <c r="X150" s="117"/>
      <c r="Y150" s="73" t="s">
        <v>69</v>
      </c>
      <c r="Z150" s="94" t="s">
        <v>99</v>
      </c>
      <c r="AA150" s="36"/>
      <c r="AB150" s="36"/>
      <c r="AC150" s="111"/>
      <c r="AD150" s="112"/>
      <c r="AE150" s="37"/>
      <c r="AF150" s="97"/>
      <c r="AG150" s="14"/>
      <c r="AH150" s="14"/>
      <c r="AI150" s="14"/>
      <c r="AJ150" s="113"/>
      <c r="AK150" s="104" t="s">
        <v>134</v>
      </c>
      <c r="AM150" s="104" t="s">
        <v>135</v>
      </c>
      <c r="AO150" s="105" t="s">
        <v>136</v>
      </c>
      <c r="AQ150" s="104" t="s">
        <v>129</v>
      </c>
      <c r="AS150" s="114" t="s">
        <v>130</v>
      </c>
      <c r="AU150" s="105" t="s">
        <v>131</v>
      </c>
      <c r="AW150" s="105" t="s">
        <v>132</v>
      </c>
      <c r="AY150" s="104" t="s">
        <v>133</v>
      </c>
      <c r="AZ150" s="24"/>
    </row>
    <row r="151">
      <c r="A151" s="279"/>
      <c r="B151" s="206"/>
      <c r="C151" s="1"/>
      <c r="D151" s="123"/>
      <c r="E151" s="176" t="s">
        <v>157</v>
      </c>
      <c r="F151" s="88"/>
      <c r="G151" s="207" t="str">
        <f>G5:H5</f>
        <v>อสูรเดือน W</v>
      </c>
      <c r="I151" s="208" t="str">
        <f>I5:J5</f>
        <v>อสูรปี N</v>
      </c>
      <c r="K151" s="36"/>
      <c r="L151" s="117"/>
      <c r="M151" s="128"/>
      <c r="N151" s="117"/>
      <c r="R151" s="117"/>
      <c r="T151" s="117"/>
      <c r="V151" s="117"/>
      <c r="X151" s="117"/>
      <c r="Y151" s="233"/>
      <c r="Z151" s="234"/>
      <c r="AA151" s="36"/>
      <c r="AB151" s="36"/>
      <c r="AC151" s="111"/>
      <c r="AD151" s="112"/>
      <c r="AE151" s="37"/>
      <c r="AF151" s="97"/>
      <c r="AG151" s="14"/>
      <c r="AH151" s="14"/>
      <c r="AI151" s="14"/>
      <c r="AJ151" s="113"/>
      <c r="AU151" s="128"/>
      <c r="AZ151" s="24"/>
    </row>
    <row r="152">
      <c r="A152" s="188" t="s">
        <v>191</v>
      </c>
      <c r="B152" s="189"/>
      <c r="C152" s="63"/>
      <c r="D152" s="63"/>
      <c r="E152" s="228">
        <f>(O153+P153+Q153+R153)/(O154+P154+Q154+R154)</f>
        <v>0.7125</v>
      </c>
      <c r="F152" s="72"/>
      <c r="G152" s="133"/>
      <c r="H152" s="72"/>
      <c r="I152" s="67"/>
      <c r="J152" s="72"/>
      <c r="K152" s="68"/>
      <c r="L152" s="69"/>
      <c r="M152" s="295" t="s">
        <v>64</v>
      </c>
      <c r="N152" s="70"/>
      <c r="O152" s="71" t="s">
        <v>65</v>
      </c>
      <c r="P152" s="72"/>
      <c r="Q152" s="72"/>
      <c r="R152" s="70"/>
      <c r="S152" s="71" t="s">
        <v>66</v>
      </c>
      <c r="T152" s="70"/>
      <c r="U152" s="71" t="s">
        <v>67</v>
      </c>
      <c r="V152" s="70"/>
      <c r="W152" s="71" t="s">
        <v>68</v>
      </c>
      <c r="X152" s="70"/>
      <c r="Y152" s="134" t="s">
        <v>80</v>
      </c>
      <c r="Z152" s="74" t="s">
        <v>159</v>
      </c>
      <c r="AA152" s="75" t="s">
        <v>71</v>
      </c>
      <c r="AB152" s="75" t="s">
        <v>72</v>
      </c>
      <c r="AC152" s="76" t="s">
        <v>73</v>
      </c>
      <c r="AD152" s="77" t="s">
        <v>74</v>
      </c>
      <c r="AE152" s="63" t="s">
        <v>75</v>
      </c>
      <c r="AF152" s="78" t="s">
        <v>36</v>
      </c>
      <c r="AG152" s="79" t="s">
        <v>97</v>
      </c>
      <c r="AH152" s="79">
        <v>330.0</v>
      </c>
      <c r="AI152" s="79" t="s">
        <v>150</v>
      </c>
      <c r="AJ152" s="80" t="str">
        <f>AJ146</f>
        <v>開</v>
      </c>
      <c r="AK152" s="81" t="s">
        <v>42</v>
      </c>
      <c r="AL152" s="82" t="str">
        <f>AL146</f>
        <v>休</v>
      </c>
      <c r="AM152" s="81" t="s">
        <v>44</v>
      </c>
      <c r="AN152" s="82" t="s">
        <v>4</v>
      </c>
      <c r="AO152" s="81" t="s">
        <v>46</v>
      </c>
      <c r="AP152" s="82" t="str">
        <f>AP146</f>
        <v>傷</v>
      </c>
      <c r="AQ152" s="81" t="s">
        <v>48</v>
      </c>
      <c r="AR152" s="82" t="s">
        <v>8</v>
      </c>
      <c r="AS152" s="81" t="s">
        <v>50</v>
      </c>
      <c r="AT152" s="82" t="str">
        <f>AT146</f>
        <v>景</v>
      </c>
      <c r="AU152" s="81" t="s">
        <v>52</v>
      </c>
      <c r="AV152" s="82" t="str">
        <f>AV146</f>
        <v>死</v>
      </c>
      <c r="AW152" s="81" t="s">
        <v>38</v>
      </c>
      <c r="AX152" s="82" t="str">
        <f>AX146</f>
        <v>驚</v>
      </c>
      <c r="AY152" s="81" t="s">
        <v>40</v>
      </c>
      <c r="AZ152" s="83"/>
      <c r="BA152" s="84"/>
      <c r="BB152" s="84"/>
      <c r="BC152" s="84"/>
    </row>
    <row r="153">
      <c r="A153" s="192">
        <f>A147+1</f>
        <v>24</v>
      </c>
      <c r="B153" s="193"/>
      <c r="C153" s="12" t="s">
        <v>176</v>
      </c>
      <c r="E153" s="160" t="s">
        <v>161</v>
      </c>
      <c r="G153" s="273" t="str">
        <f t="shared" ref="G153:G154" si="211">G3:H3</f>
        <v>辛</v>
      </c>
      <c r="I153" s="275" t="str">
        <f t="shared" ref="I153:I154" si="212">I32:J32</f>
        <v>丙</v>
      </c>
      <c r="K153" s="90">
        <f>L153/L154</f>
        <v>0.665</v>
      </c>
      <c r="L153" s="126">
        <f t="shared" ref="L153:L154" si="213">O153+P153+Q153+U153+V153+W153+X153+R153+M153+N153+S153+T153</f>
        <v>665</v>
      </c>
      <c r="M153" s="101">
        <v>0.0</v>
      </c>
      <c r="N153" s="93">
        <v>0.0</v>
      </c>
      <c r="O153" s="92">
        <v>85.0</v>
      </c>
      <c r="P153" s="92">
        <v>90.0</v>
      </c>
      <c r="Q153" s="92">
        <v>90.0</v>
      </c>
      <c r="R153" s="93">
        <v>20.0</v>
      </c>
      <c r="S153" s="92">
        <v>100.0</v>
      </c>
      <c r="T153" s="93">
        <v>20.0</v>
      </c>
      <c r="U153" s="92">
        <f t="shared" ref="U153:V153" si="209">U38</f>
        <v>0</v>
      </c>
      <c r="V153" s="93">
        <f t="shared" si="209"/>
        <v>90</v>
      </c>
      <c r="W153" s="92">
        <f t="shared" ref="W153:X153" si="210">W32</f>
        <v>110</v>
      </c>
      <c r="X153" s="93">
        <f t="shared" si="210"/>
        <v>60</v>
      </c>
      <c r="Y153" s="73" t="s">
        <v>98</v>
      </c>
      <c r="Z153" s="94" t="s">
        <v>152</v>
      </c>
      <c r="AA153" s="276" t="s">
        <v>53</v>
      </c>
      <c r="AB153" s="277" t="s">
        <v>245</v>
      </c>
      <c r="AC153" s="95" t="s">
        <v>82</v>
      </c>
      <c r="AD153" s="96" t="s">
        <v>83</v>
      </c>
      <c r="AE153" s="37"/>
      <c r="AF153" s="97"/>
      <c r="AG153" s="12" t="s">
        <v>32</v>
      </c>
      <c r="AH153" s="12">
        <v>270.0</v>
      </c>
      <c r="AI153" s="12" t="s">
        <v>145</v>
      </c>
      <c r="AJ153" s="98" t="s">
        <v>39</v>
      </c>
      <c r="AK153" s="99" t="s">
        <v>93</v>
      </c>
      <c r="AL153" s="100" t="s">
        <v>37</v>
      </c>
      <c r="AM153" s="99" t="s">
        <v>94</v>
      </c>
      <c r="AN153" s="100" t="s">
        <v>51</v>
      </c>
      <c r="AO153" s="101" t="s">
        <v>95</v>
      </c>
      <c r="AP153" s="100" t="s">
        <v>86</v>
      </c>
      <c r="AQ153" s="99" t="s">
        <v>87</v>
      </c>
      <c r="AR153" s="100" t="s">
        <v>88</v>
      </c>
      <c r="AS153" s="101" t="s">
        <v>89</v>
      </c>
      <c r="AT153" s="100" t="s">
        <v>45</v>
      </c>
      <c r="AU153" s="102" t="s">
        <v>90</v>
      </c>
      <c r="AV153" s="100" t="s">
        <v>43</v>
      </c>
      <c r="AW153" s="101" t="s">
        <v>91</v>
      </c>
      <c r="AX153" s="100" t="s">
        <v>41</v>
      </c>
      <c r="AY153" s="103" t="s">
        <v>92</v>
      </c>
      <c r="AZ153" s="24"/>
    </row>
    <row r="154">
      <c r="A154" s="215" t="str">
        <f>G2</f>
        <v>มีนาคม</v>
      </c>
      <c r="B154" s="193"/>
      <c r="C154" s="175" t="s">
        <v>188</v>
      </c>
      <c r="E154" s="209" t="s">
        <v>32</v>
      </c>
      <c r="G154" s="274" t="str">
        <f t="shared" si="211"/>
        <v>卯</v>
      </c>
      <c r="I154" s="142" t="str">
        <f t="shared" si="212"/>
        <v>午</v>
      </c>
      <c r="K154" s="36"/>
      <c r="L154" s="109">
        <f t="shared" si="213"/>
        <v>1000</v>
      </c>
      <c r="M154" s="105">
        <v>0.0</v>
      </c>
      <c r="N154" s="110">
        <v>0.0</v>
      </c>
      <c r="O154" s="9">
        <v>100.0</v>
      </c>
      <c r="P154" s="9">
        <v>100.0</v>
      </c>
      <c r="Q154" s="9">
        <v>100.0</v>
      </c>
      <c r="R154" s="110">
        <v>100.0</v>
      </c>
      <c r="S154" s="9">
        <v>100.0</v>
      </c>
      <c r="T154" s="110">
        <v>100.0</v>
      </c>
      <c r="U154" s="9">
        <v>100.0</v>
      </c>
      <c r="V154" s="110">
        <v>100.0</v>
      </c>
      <c r="W154" s="9">
        <v>100.0</v>
      </c>
      <c r="X154" s="110">
        <v>100.0</v>
      </c>
      <c r="Y154" s="73" t="s">
        <v>116</v>
      </c>
      <c r="Z154" s="94" t="s">
        <v>81</v>
      </c>
      <c r="AA154" s="36"/>
      <c r="AB154" s="36"/>
      <c r="AC154" s="111"/>
      <c r="AD154" s="112"/>
      <c r="AE154" s="37"/>
      <c r="AF154" s="97"/>
      <c r="AG154" s="14"/>
      <c r="AH154" s="14"/>
      <c r="AI154" s="14"/>
      <c r="AJ154" s="113"/>
      <c r="AK154" s="104" t="s">
        <v>105</v>
      </c>
      <c r="AM154" s="104" t="s">
        <v>106</v>
      </c>
      <c r="AO154" s="105" t="s">
        <v>107</v>
      </c>
      <c r="AQ154" s="104" t="s">
        <v>100</v>
      </c>
      <c r="AS154" s="114" t="s">
        <v>101</v>
      </c>
      <c r="AU154" s="105" t="s">
        <v>102</v>
      </c>
      <c r="AW154" s="105" t="s">
        <v>103</v>
      </c>
      <c r="AY154" s="104" t="s">
        <v>104</v>
      </c>
      <c r="AZ154" s="24"/>
    </row>
    <row r="155">
      <c r="A155" s="192">
        <v>2569.0</v>
      </c>
      <c r="B155" s="193"/>
      <c r="E155" s="115" t="s">
        <v>182</v>
      </c>
      <c r="F155" s="116" t="s">
        <v>69</v>
      </c>
      <c r="G155" s="115" t="str">
        <f>G34</f>
        <v>A10</v>
      </c>
      <c r="H155" s="9" t="str">
        <f>H40</f>
        <v>B8</v>
      </c>
      <c r="I155" s="9" t="str">
        <f t="shared" ref="I155:J155" si="214">I34</f>
        <v>A5</v>
      </c>
      <c r="J155" s="9" t="str">
        <f t="shared" si="214"/>
        <v>B11</v>
      </c>
      <c r="K155" s="36"/>
      <c r="L155" s="117"/>
      <c r="M155" s="130" t="str">
        <f t="shared" ref="M155:P155" si="215">C155</f>
        <v/>
      </c>
      <c r="N155" s="119" t="str">
        <f t="shared" si="215"/>
        <v/>
      </c>
      <c r="O155" s="118" t="str">
        <f t="shared" si="215"/>
        <v>A1</v>
      </c>
      <c r="P155" s="118" t="str">
        <f t="shared" si="215"/>
        <v>B8</v>
      </c>
      <c r="Q155" s="118" t="str">
        <f t="shared" ref="Q155:R155" si="216">E156</f>
        <v>B8</v>
      </c>
      <c r="R155" s="119" t="str">
        <f t="shared" si="216"/>
        <v>C7</v>
      </c>
      <c r="S155" s="9" t="s">
        <v>213</v>
      </c>
      <c r="T155" s="110" t="s">
        <v>115</v>
      </c>
      <c r="U155" s="9" t="str">
        <f t="shared" ref="U155:X155" si="217">G155</f>
        <v>A10</v>
      </c>
      <c r="V155" s="119" t="str">
        <f t="shared" si="217"/>
        <v>B8</v>
      </c>
      <c r="W155" s="118" t="str">
        <f t="shared" si="217"/>
        <v>A5</v>
      </c>
      <c r="X155" s="120" t="str">
        <f t="shared" si="217"/>
        <v>B11</v>
      </c>
      <c r="Y155" s="73" t="s">
        <v>126</v>
      </c>
      <c r="Z155" s="94" t="s">
        <v>99</v>
      </c>
      <c r="AA155" s="36"/>
      <c r="AB155" s="36"/>
      <c r="AC155" s="111"/>
      <c r="AD155" s="112"/>
      <c r="AE155" s="37"/>
      <c r="AF155" s="97"/>
      <c r="AG155" s="14"/>
      <c r="AH155" s="14"/>
      <c r="AI155" s="14"/>
      <c r="AJ155" s="113"/>
      <c r="AK155" s="104" t="s">
        <v>123</v>
      </c>
      <c r="AM155" s="104" t="s">
        <v>124</v>
      </c>
      <c r="AO155" s="105" t="s">
        <v>125</v>
      </c>
      <c r="AQ155" s="104" t="s">
        <v>118</v>
      </c>
      <c r="AS155" s="114" t="s">
        <v>119</v>
      </c>
      <c r="AU155" s="105" t="s">
        <v>120</v>
      </c>
      <c r="AW155" s="105" t="s">
        <v>121</v>
      </c>
      <c r="AY155" s="104" t="s">
        <v>122</v>
      </c>
      <c r="AZ155" s="24"/>
    </row>
    <row r="156">
      <c r="A156" s="192">
        <f>A155-543</f>
        <v>2026</v>
      </c>
      <c r="B156" s="193"/>
      <c r="E156" s="115" t="s">
        <v>69</v>
      </c>
      <c r="F156" s="116" t="s">
        <v>220</v>
      </c>
      <c r="G156" s="115"/>
      <c r="H156" s="118"/>
      <c r="I156" s="118"/>
      <c r="J156" s="118"/>
      <c r="K156" s="36"/>
      <c r="L156" s="117"/>
      <c r="M156" s="128"/>
      <c r="N156" s="117"/>
      <c r="R156" s="117"/>
      <c r="T156" s="117"/>
      <c r="V156" s="117"/>
      <c r="X156" s="117"/>
      <c r="Y156" s="73" t="s">
        <v>69</v>
      </c>
      <c r="Z156" s="94" t="s">
        <v>155</v>
      </c>
      <c r="AA156" s="36"/>
      <c r="AB156" s="36"/>
      <c r="AC156" s="111"/>
      <c r="AD156" s="112"/>
      <c r="AE156" s="37"/>
      <c r="AF156" s="97"/>
      <c r="AG156" s="14"/>
      <c r="AH156" s="14"/>
      <c r="AI156" s="14"/>
      <c r="AJ156" s="113"/>
      <c r="AK156" s="104" t="s">
        <v>134</v>
      </c>
      <c r="AM156" s="104" t="s">
        <v>135</v>
      </c>
      <c r="AO156" s="105" t="s">
        <v>136</v>
      </c>
      <c r="AQ156" s="104" t="s">
        <v>129</v>
      </c>
      <c r="AS156" s="114" t="s">
        <v>130</v>
      </c>
      <c r="AU156" s="105" t="s">
        <v>131</v>
      </c>
      <c r="AW156" s="105" t="s">
        <v>132</v>
      </c>
      <c r="AY156" s="104" t="s">
        <v>133</v>
      </c>
      <c r="AZ156" s="24"/>
    </row>
    <row r="157">
      <c r="A157" s="310"/>
      <c r="B157" s="206"/>
      <c r="C157" s="1"/>
      <c r="D157" s="312"/>
      <c r="E157" s="164" t="s">
        <v>168</v>
      </c>
      <c r="F157" s="88"/>
      <c r="G157" s="207" t="str">
        <f>G5:H5</f>
        <v>อสูรเดือน W</v>
      </c>
      <c r="I157" s="208" t="str">
        <f>I5:J5</f>
        <v>อสูรปี N</v>
      </c>
      <c r="K157" s="36"/>
      <c r="L157" s="117"/>
      <c r="M157" s="128"/>
      <c r="N157" s="117"/>
      <c r="R157" s="117"/>
      <c r="T157" s="117"/>
      <c r="V157" s="117"/>
      <c r="X157" s="117"/>
      <c r="Y157" s="233"/>
      <c r="Z157" s="234"/>
      <c r="AA157" s="36"/>
      <c r="AB157" s="36"/>
      <c r="AC157" s="111"/>
      <c r="AD157" s="112"/>
      <c r="AE157" s="37"/>
      <c r="AF157" s="97"/>
      <c r="AG157" s="14"/>
      <c r="AH157" s="14"/>
      <c r="AI157" s="14"/>
      <c r="AJ157" s="113"/>
      <c r="AY157" s="128"/>
      <c r="AZ157" s="24"/>
    </row>
    <row r="158">
      <c r="A158" s="188" t="s">
        <v>199</v>
      </c>
      <c r="B158" s="189"/>
      <c r="C158" s="63"/>
      <c r="D158" s="63"/>
      <c r="E158" s="225">
        <f>(O159+P159+Q159+R159)/(O160+P160+Q160+R160)</f>
        <v>0.3</v>
      </c>
      <c r="F158" s="72"/>
      <c r="G158" s="133"/>
      <c r="H158" s="72"/>
      <c r="I158" s="67"/>
      <c r="J158" s="72"/>
      <c r="K158" s="68"/>
      <c r="L158" s="69"/>
      <c r="M158" s="295" t="s">
        <v>64</v>
      </c>
      <c r="N158" s="70"/>
      <c r="O158" s="71" t="s">
        <v>65</v>
      </c>
      <c r="P158" s="72"/>
      <c r="Q158" s="72"/>
      <c r="R158" s="70"/>
      <c r="S158" s="71" t="s">
        <v>66</v>
      </c>
      <c r="T158" s="70"/>
      <c r="U158" s="71" t="s">
        <v>67</v>
      </c>
      <c r="V158" s="70"/>
      <c r="W158" s="71" t="s">
        <v>68</v>
      </c>
      <c r="X158" s="70"/>
      <c r="Y158" s="134" t="s">
        <v>80</v>
      </c>
      <c r="Z158" s="74" t="s">
        <v>181</v>
      </c>
      <c r="AA158" s="75" t="s">
        <v>202</v>
      </c>
      <c r="AB158" s="75" t="s">
        <v>226</v>
      </c>
      <c r="AC158" s="202" t="s">
        <v>142</v>
      </c>
      <c r="AD158" s="74" t="s">
        <v>143</v>
      </c>
      <c r="AE158" s="63" t="s">
        <v>34</v>
      </c>
      <c r="AF158" s="78" t="s">
        <v>34</v>
      </c>
      <c r="AG158" s="79" t="s">
        <v>71</v>
      </c>
      <c r="AH158" s="79">
        <v>210.0</v>
      </c>
      <c r="AI158" s="79" t="s">
        <v>175</v>
      </c>
      <c r="AJ158" s="80" t="str">
        <f>AJ152</f>
        <v>開</v>
      </c>
      <c r="AK158" s="81" t="s">
        <v>40</v>
      </c>
      <c r="AL158" s="82" t="str">
        <f>AL152</f>
        <v>休</v>
      </c>
      <c r="AM158" s="81" t="s">
        <v>42</v>
      </c>
      <c r="AN158" s="82" t="s">
        <v>4</v>
      </c>
      <c r="AO158" s="81" t="s">
        <v>44</v>
      </c>
      <c r="AP158" s="82" t="str">
        <f>AP152</f>
        <v>傷</v>
      </c>
      <c r="AQ158" s="81" t="s">
        <v>46</v>
      </c>
      <c r="AR158" s="82" t="s">
        <v>8</v>
      </c>
      <c r="AS158" s="81" t="s">
        <v>48</v>
      </c>
      <c r="AT158" s="82" t="str">
        <f>AT152</f>
        <v>景</v>
      </c>
      <c r="AU158" s="81" t="s">
        <v>50</v>
      </c>
      <c r="AV158" s="82" t="str">
        <f>AV152</f>
        <v>死</v>
      </c>
      <c r="AW158" s="81" t="s">
        <v>52</v>
      </c>
      <c r="AX158" s="82" t="str">
        <f>AX152</f>
        <v>驚</v>
      </c>
      <c r="AY158" s="81" t="s">
        <v>38</v>
      </c>
      <c r="AZ158" s="83"/>
      <c r="BA158" s="84"/>
      <c r="BB158" s="84"/>
      <c r="BC158" s="84"/>
    </row>
    <row r="159">
      <c r="A159" s="192">
        <f>A153+1</f>
        <v>25</v>
      </c>
      <c r="B159" s="193"/>
      <c r="C159" s="12" t="s">
        <v>216</v>
      </c>
      <c r="E159" s="168" t="s">
        <v>79</v>
      </c>
      <c r="G159" s="273" t="str">
        <f t="shared" ref="G159:G160" si="220">G3:H3</f>
        <v>辛</v>
      </c>
      <c r="I159" s="275" t="str">
        <f t="shared" ref="I159:I160" si="221">I32:J32</f>
        <v>丙</v>
      </c>
      <c r="K159" s="90">
        <f>L159/L160</f>
        <v>0.505</v>
      </c>
      <c r="L159" s="126">
        <f t="shared" ref="L159:L160" si="222">O159+P159+Q159+U159+V159+W159+X159+R159+M159+N159+S159+T159</f>
        <v>505</v>
      </c>
      <c r="M159" s="101">
        <v>0.0</v>
      </c>
      <c r="N159" s="93">
        <v>0.0</v>
      </c>
      <c r="O159" s="92">
        <v>50.0</v>
      </c>
      <c r="P159" s="92">
        <v>50.0</v>
      </c>
      <c r="Q159" s="92">
        <v>0.0</v>
      </c>
      <c r="R159" s="93">
        <v>20.0</v>
      </c>
      <c r="S159" s="92">
        <v>90.0</v>
      </c>
      <c r="T159" s="93">
        <v>35.0</v>
      </c>
      <c r="U159" s="92">
        <f t="shared" ref="U159:V159" si="218">U38</f>
        <v>0</v>
      </c>
      <c r="V159" s="93">
        <f t="shared" si="218"/>
        <v>90</v>
      </c>
      <c r="W159" s="92">
        <f t="shared" ref="W159:X159" si="219">W32</f>
        <v>110</v>
      </c>
      <c r="X159" s="93">
        <f t="shared" si="219"/>
        <v>60</v>
      </c>
      <c r="Y159" s="73" t="s">
        <v>98</v>
      </c>
      <c r="Z159" s="94" t="s">
        <v>163</v>
      </c>
      <c r="AA159" s="36"/>
      <c r="AB159" s="29" t="s">
        <v>227</v>
      </c>
      <c r="AC159" s="204" t="s">
        <v>82</v>
      </c>
      <c r="AD159" s="96" t="s">
        <v>83</v>
      </c>
      <c r="AE159" s="37"/>
      <c r="AF159" s="97"/>
      <c r="AG159" s="12" t="s">
        <v>53</v>
      </c>
      <c r="AH159" s="12">
        <v>30.0</v>
      </c>
      <c r="AI159" s="12" t="s">
        <v>178</v>
      </c>
      <c r="AJ159" s="98" t="s">
        <v>51</v>
      </c>
      <c r="AK159" s="101" t="s">
        <v>95</v>
      </c>
      <c r="AL159" s="100" t="s">
        <v>86</v>
      </c>
      <c r="AM159" s="99" t="s">
        <v>87</v>
      </c>
      <c r="AN159" s="100" t="s">
        <v>88</v>
      </c>
      <c r="AO159" s="101" t="s">
        <v>89</v>
      </c>
      <c r="AP159" s="100" t="s">
        <v>45</v>
      </c>
      <c r="AQ159" s="102" t="s">
        <v>90</v>
      </c>
      <c r="AR159" s="100" t="s">
        <v>43</v>
      </c>
      <c r="AS159" s="101" t="s">
        <v>91</v>
      </c>
      <c r="AT159" s="100" t="s">
        <v>41</v>
      </c>
      <c r="AU159" s="103" t="s">
        <v>92</v>
      </c>
      <c r="AV159" s="100" t="s">
        <v>39</v>
      </c>
      <c r="AW159" s="99" t="s">
        <v>93</v>
      </c>
      <c r="AX159" s="100" t="s">
        <v>37</v>
      </c>
      <c r="AY159" s="99" t="s">
        <v>94</v>
      </c>
      <c r="AZ159" s="24"/>
    </row>
    <row r="160">
      <c r="A160" s="215" t="str">
        <f>G2</f>
        <v>มีนาคม</v>
      </c>
      <c r="B160" s="193"/>
      <c r="C160" s="175" t="s">
        <v>211</v>
      </c>
      <c r="E160" s="162" t="s">
        <v>206</v>
      </c>
      <c r="G160" s="274" t="str">
        <f t="shared" si="220"/>
        <v>卯</v>
      </c>
      <c r="I160" s="142" t="str">
        <f t="shared" si="221"/>
        <v>午</v>
      </c>
      <c r="K160" s="36"/>
      <c r="L160" s="109">
        <f t="shared" si="222"/>
        <v>1000</v>
      </c>
      <c r="M160" s="105">
        <v>0.0</v>
      </c>
      <c r="N160" s="110">
        <v>0.0</v>
      </c>
      <c r="O160" s="9">
        <v>100.0</v>
      </c>
      <c r="P160" s="9">
        <v>100.0</v>
      </c>
      <c r="Q160" s="9">
        <v>100.0</v>
      </c>
      <c r="R160" s="110">
        <v>100.0</v>
      </c>
      <c r="S160" s="9">
        <v>100.0</v>
      </c>
      <c r="T160" s="110">
        <v>100.0</v>
      </c>
      <c r="U160" s="9">
        <v>100.0</v>
      </c>
      <c r="V160" s="110">
        <v>100.0</v>
      </c>
      <c r="W160" s="9">
        <v>100.0</v>
      </c>
      <c r="X160" s="110">
        <v>100.0</v>
      </c>
      <c r="Y160" s="73" t="s">
        <v>116</v>
      </c>
      <c r="Z160" s="94" t="s">
        <v>153</v>
      </c>
      <c r="AA160" s="36"/>
      <c r="AB160" s="36"/>
      <c r="AC160" s="111"/>
      <c r="AD160" s="112"/>
      <c r="AE160" s="37"/>
      <c r="AF160" s="97"/>
      <c r="AG160" s="14"/>
      <c r="AH160" s="14"/>
      <c r="AI160" s="14"/>
      <c r="AJ160" s="113"/>
      <c r="AK160" s="105" t="s">
        <v>107</v>
      </c>
      <c r="AM160" s="104" t="s">
        <v>100</v>
      </c>
      <c r="AO160" s="114" t="s">
        <v>101</v>
      </c>
      <c r="AQ160" s="105" t="s">
        <v>102</v>
      </c>
      <c r="AS160" s="105" t="s">
        <v>103</v>
      </c>
      <c r="AU160" s="104" t="s">
        <v>104</v>
      </c>
      <c r="AW160" s="104" t="s">
        <v>105</v>
      </c>
      <c r="AY160" s="104" t="s">
        <v>106</v>
      </c>
      <c r="AZ160" s="24"/>
    </row>
    <row r="161">
      <c r="A161" s="192">
        <v>2569.0</v>
      </c>
      <c r="B161" s="193"/>
      <c r="E161" s="115" t="s">
        <v>164</v>
      </c>
      <c r="F161" s="116" t="s">
        <v>212</v>
      </c>
      <c r="G161" s="115" t="str">
        <f>G34</f>
        <v>A10</v>
      </c>
      <c r="H161" s="9" t="str">
        <f>H40</f>
        <v>B8</v>
      </c>
      <c r="I161" s="9" t="str">
        <f t="shared" ref="I161:J161" si="223">I34</f>
        <v>A5</v>
      </c>
      <c r="J161" s="9" t="str">
        <f t="shared" si="223"/>
        <v>B11</v>
      </c>
      <c r="K161" s="36"/>
      <c r="L161" s="117"/>
      <c r="M161" s="130" t="str">
        <f t="shared" ref="M161:P161" si="224">C161</f>
        <v/>
      </c>
      <c r="N161" s="119" t="str">
        <f t="shared" si="224"/>
        <v/>
      </c>
      <c r="O161" s="118" t="str">
        <f t="shared" si="224"/>
        <v>A9</v>
      </c>
      <c r="P161" s="118" t="str">
        <f t="shared" si="224"/>
        <v>B9</v>
      </c>
      <c r="Q161" s="118" t="str">
        <f t="shared" ref="Q161:R161" si="225">E162</f>
        <v>B7</v>
      </c>
      <c r="R161" s="119" t="str">
        <f t="shared" si="225"/>
        <v>C8</v>
      </c>
      <c r="S161" s="9" t="s">
        <v>219</v>
      </c>
      <c r="T161" s="110" t="s">
        <v>112</v>
      </c>
      <c r="U161" s="9" t="str">
        <f t="shared" ref="U161:X161" si="226">G161</f>
        <v>A10</v>
      </c>
      <c r="V161" s="119" t="str">
        <f t="shared" si="226"/>
        <v>B8</v>
      </c>
      <c r="W161" s="118" t="str">
        <f t="shared" si="226"/>
        <v>A5</v>
      </c>
      <c r="X161" s="120" t="str">
        <f t="shared" si="226"/>
        <v>B11</v>
      </c>
      <c r="Y161" s="73" t="s">
        <v>126</v>
      </c>
      <c r="Z161" s="94" t="s">
        <v>155</v>
      </c>
      <c r="AA161" s="36"/>
      <c r="AB161" s="36"/>
      <c r="AC161" s="111"/>
      <c r="AD161" s="112"/>
      <c r="AE161" s="37"/>
      <c r="AF161" s="97"/>
      <c r="AG161" s="14"/>
      <c r="AH161" s="14"/>
      <c r="AI161" s="14"/>
      <c r="AJ161" s="113"/>
      <c r="AK161" s="105" t="s">
        <v>125</v>
      </c>
      <c r="AM161" s="104" t="s">
        <v>118</v>
      </c>
      <c r="AO161" s="114" t="s">
        <v>119</v>
      </c>
      <c r="AQ161" s="105" t="s">
        <v>120</v>
      </c>
      <c r="AS161" s="105" t="s">
        <v>121</v>
      </c>
      <c r="AU161" s="104" t="s">
        <v>122</v>
      </c>
      <c r="AW161" s="104" t="s">
        <v>123</v>
      </c>
      <c r="AY161" s="104" t="s">
        <v>124</v>
      </c>
      <c r="AZ161" s="24"/>
    </row>
    <row r="162">
      <c r="A162" s="192">
        <f>A161-543</f>
        <v>2026</v>
      </c>
      <c r="B162" s="193"/>
      <c r="C162" s="12"/>
      <c r="E162" s="115" t="s">
        <v>111</v>
      </c>
      <c r="F162" s="116" t="s">
        <v>225</v>
      </c>
      <c r="G162" s="115"/>
      <c r="H162" s="118"/>
      <c r="I162" s="118"/>
      <c r="J162" s="118"/>
      <c r="K162" s="36"/>
      <c r="L162" s="117"/>
      <c r="M162" s="128"/>
      <c r="N162" s="117"/>
      <c r="R162" s="117"/>
      <c r="T162" s="117"/>
      <c r="V162" s="117"/>
      <c r="X162" s="117"/>
      <c r="Y162" s="73" t="s">
        <v>69</v>
      </c>
      <c r="Z162" s="94" t="s">
        <v>128</v>
      </c>
      <c r="AA162" s="36"/>
      <c r="AB162" s="36"/>
      <c r="AC162" s="111"/>
      <c r="AD162" s="112"/>
      <c r="AE162" s="37"/>
      <c r="AF162" s="97"/>
      <c r="AG162" s="14"/>
      <c r="AH162" s="14"/>
      <c r="AI162" s="14"/>
      <c r="AJ162" s="113"/>
      <c r="AK162" s="105" t="s">
        <v>136</v>
      </c>
      <c r="AM162" s="104" t="s">
        <v>129</v>
      </c>
      <c r="AO162" s="114" t="s">
        <v>130</v>
      </c>
      <c r="AQ162" s="105" t="s">
        <v>131</v>
      </c>
      <c r="AS162" s="105" t="s">
        <v>132</v>
      </c>
      <c r="AU162" s="104" t="s">
        <v>133</v>
      </c>
      <c r="AW162" s="104" t="s">
        <v>134</v>
      </c>
      <c r="AY162" s="104" t="s">
        <v>135</v>
      </c>
      <c r="AZ162" s="24"/>
    </row>
    <row r="163">
      <c r="A163" s="310"/>
      <c r="B163" s="206"/>
      <c r="C163" s="1"/>
      <c r="D163" s="123"/>
      <c r="E163" s="164" t="s">
        <v>185</v>
      </c>
      <c r="F163" s="88"/>
      <c r="G163" s="207" t="str">
        <f>G5:H5</f>
        <v>อสูรเดือน W</v>
      </c>
      <c r="I163" s="208" t="str">
        <f>I5:J5</f>
        <v>อสูรปี N</v>
      </c>
      <c r="K163" s="36"/>
      <c r="L163" s="117"/>
      <c r="M163" s="128"/>
      <c r="N163" s="117"/>
      <c r="R163" s="117"/>
      <c r="T163" s="117"/>
      <c r="V163" s="117"/>
      <c r="X163" s="117"/>
      <c r="Y163" s="127"/>
      <c r="Z163" s="155"/>
      <c r="AA163" s="36"/>
      <c r="AB163" s="36"/>
      <c r="AC163" s="111"/>
      <c r="AD163" s="112"/>
      <c r="AE163" s="37"/>
      <c r="AF163" s="97"/>
      <c r="AG163" s="14"/>
      <c r="AH163" s="14"/>
      <c r="AI163" s="14"/>
      <c r="AJ163" s="113"/>
      <c r="AK163" s="128"/>
      <c r="AZ163" s="24"/>
    </row>
    <row r="164">
      <c r="A164" s="188" t="s">
        <v>63</v>
      </c>
      <c r="B164" s="189"/>
      <c r="C164" s="63"/>
      <c r="D164" s="63"/>
      <c r="E164" s="228">
        <f>(O165+P165+Q165+R165)/(O166+P166+Q166+R166)</f>
        <v>0.7375</v>
      </c>
      <c r="F164" s="72"/>
      <c r="G164" s="133"/>
      <c r="H164" s="72"/>
      <c r="I164" s="67"/>
      <c r="J164" s="72"/>
      <c r="K164" s="68"/>
      <c r="L164" s="69"/>
      <c r="M164" s="295" t="s">
        <v>64</v>
      </c>
      <c r="N164" s="70"/>
      <c r="O164" s="71" t="s">
        <v>65</v>
      </c>
      <c r="P164" s="72"/>
      <c r="Q164" s="72"/>
      <c r="R164" s="70"/>
      <c r="S164" s="71" t="s">
        <v>66</v>
      </c>
      <c r="T164" s="70"/>
      <c r="U164" s="71" t="s">
        <v>67</v>
      </c>
      <c r="V164" s="70"/>
      <c r="W164" s="71" t="s">
        <v>68</v>
      </c>
      <c r="X164" s="70"/>
      <c r="Y164" s="134" t="s">
        <v>69</v>
      </c>
      <c r="Z164" s="74" t="s">
        <v>70</v>
      </c>
      <c r="AA164" s="75" t="s">
        <v>189</v>
      </c>
      <c r="AB164" s="75" t="s">
        <v>192</v>
      </c>
      <c r="AC164" s="202" t="s">
        <v>142</v>
      </c>
      <c r="AD164" s="74" t="s">
        <v>143</v>
      </c>
      <c r="AE164" s="63" t="s">
        <v>34</v>
      </c>
      <c r="AF164" s="78" t="s">
        <v>75</v>
      </c>
      <c r="AG164" s="79" t="s">
        <v>84</v>
      </c>
      <c r="AH164" s="79">
        <v>0.0</v>
      </c>
      <c r="AI164" s="79" t="s">
        <v>85</v>
      </c>
      <c r="AJ164" s="80" t="str">
        <f>AJ158</f>
        <v>開</v>
      </c>
      <c r="AK164" s="81" t="s">
        <v>40</v>
      </c>
      <c r="AL164" s="82" t="str">
        <f>AL158</f>
        <v>休</v>
      </c>
      <c r="AM164" s="81" t="s">
        <v>42</v>
      </c>
      <c r="AN164" s="82" t="s">
        <v>4</v>
      </c>
      <c r="AO164" s="81" t="s">
        <v>44</v>
      </c>
      <c r="AP164" s="82" t="str">
        <f>AP158</f>
        <v>傷</v>
      </c>
      <c r="AQ164" s="81" t="s">
        <v>46</v>
      </c>
      <c r="AR164" s="82" t="s">
        <v>8</v>
      </c>
      <c r="AS164" s="81" t="s">
        <v>48</v>
      </c>
      <c r="AT164" s="82" t="str">
        <f>AT158</f>
        <v>景</v>
      </c>
      <c r="AU164" s="81" t="s">
        <v>50</v>
      </c>
      <c r="AV164" s="82" t="str">
        <f>AV158</f>
        <v>死</v>
      </c>
      <c r="AW164" s="81" t="s">
        <v>52</v>
      </c>
      <c r="AX164" s="82" t="str">
        <f>AX158</f>
        <v>驚</v>
      </c>
      <c r="AY164" s="81" t="s">
        <v>38</v>
      </c>
      <c r="AZ164" s="83"/>
      <c r="BA164" s="84"/>
      <c r="BB164" s="84"/>
      <c r="BC164" s="84"/>
    </row>
    <row r="165">
      <c r="A165" s="192">
        <f>A159+1</f>
        <v>26</v>
      </c>
      <c r="B165" s="193"/>
      <c r="C165" s="12" t="s">
        <v>146</v>
      </c>
      <c r="E165" s="168" t="s">
        <v>30</v>
      </c>
      <c r="G165" s="273" t="str">
        <f t="shared" ref="G165:G166" si="229">G3:H3</f>
        <v>辛</v>
      </c>
      <c r="I165" s="275" t="str">
        <f t="shared" ref="I165:I166" si="230">I32:J32</f>
        <v>丙</v>
      </c>
      <c r="K165" s="90">
        <f>L165/L166</f>
        <v>0.61</v>
      </c>
      <c r="L165" s="126">
        <f>O165+P165+Q165+U165+V165+W165+X165+R165+M165+N165+S165+T165</f>
        <v>610</v>
      </c>
      <c r="M165" s="101">
        <v>0.0</v>
      </c>
      <c r="N165" s="93">
        <v>0.0</v>
      </c>
      <c r="O165" s="92">
        <v>65.0</v>
      </c>
      <c r="P165" s="92">
        <v>40.0</v>
      </c>
      <c r="Q165" s="92">
        <v>90.0</v>
      </c>
      <c r="R165" s="93">
        <v>100.0</v>
      </c>
      <c r="S165" s="92">
        <v>40.0</v>
      </c>
      <c r="T165" s="93">
        <v>15.0</v>
      </c>
      <c r="U165" s="92">
        <f t="shared" ref="U165:V165" si="227">U38</f>
        <v>0</v>
      </c>
      <c r="V165" s="93">
        <f t="shared" si="227"/>
        <v>90</v>
      </c>
      <c r="W165" s="92">
        <f t="shared" ref="W165:X165" si="228">W32</f>
        <v>110</v>
      </c>
      <c r="X165" s="93">
        <f t="shared" si="228"/>
        <v>60</v>
      </c>
      <c r="Y165" s="73" t="s">
        <v>80</v>
      </c>
      <c r="Z165" s="94" t="s">
        <v>81</v>
      </c>
      <c r="AA165" s="36"/>
      <c r="AB165" s="29"/>
      <c r="AC165" s="204" t="s">
        <v>82</v>
      </c>
      <c r="AD165" s="96" t="s">
        <v>83</v>
      </c>
      <c r="AE165" s="37"/>
      <c r="AF165" s="97"/>
      <c r="AG165" s="12" t="s">
        <v>76</v>
      </c>
      <c r="AH165" s="12">
        <v>240.0</v>
      </c>
      <c r="AI165" s="12" t="s">
        <v>77</v>
      </c>
      <c r="AJ165" s="98" t="s">
        <v>37</v>
      </c>
      <c r="AK165" s="99" t="s">
        <v>94</v>
      </c>
      <c r="AL165" s="100" t="s">
        <v>51</v>
      </c>
      <c r="AM165" s="101" t="s">
        <v>95</v>
      </c>
      <c r="AN165" s="100" t="s">
        <v>86</v>
      </c>
      <c r="AO165" s="99" t="s">
        <v>87</v>
      </c>
      <c r="AP165" s="100" t="s">
        <v>88</v>
      </c>
      <c r="AQ165" s="101" t="s">
        <v>89</v>
      </c>
      <c r="AR165" s="100" t="s">
        <v>45</v>
      </c>
      <c r="AS165" s="102" t="s">
        <v>90</v>
      </c>
      <c r="AT165" s="100" t="s">
        <v>43</v>
      </c>
      <c r="AU165" s="101" t="s">
        <v>91</v>
      </c>
      <c r="AV165" s="100" t="s">
        <v>41</v>
      </c>
      <c r="AW165" s="103" t="s">
        <v>92</v>
      </c>
      <c r="AX165" s="100" t="s">
        <v>39</v>
      </c>
      <c r="AY165" s="99" t="s">
        <v>93</v>
      </c>
      <c r="AZ165" s="24"/>
    </row>
    <row r="166">
      <c r="A166" s="215" t="str">
        <f>G2</f>
        <v>มีนาคม</v>
      </c>
      <c r="B166" s="193"/>
      <c r="C166" s="140" t="s">
        <v>217</v>
      </c>
      <c r="E166" s="107" t="s">
        <v>97</v>
      </c>
      <c r="G166" s="274" t="str">
        <f t="shared" si="229"/>
        <v>卯</v>
      </c>
      <c r="I166" s="142" t="str">
        <f t="shared" si="230"/>
        <v>午</v>
      </c>
      <c r="K166" s="36"/>
      <c r="L166" s="109">
        <f>O166+P166+Q166+U166+V166+W166+X166+R166+M166+N166+S166+V166</f>
        <v>1000</v>
      </c>
      <c r="M166" s="105">
        <v>0.0</v>
      </c>
      <c r="N166" s="110">
        <v>0.0</v>
      </c>
      <c r="O166" s="9">
        <v>100.0</v>
      </c>
      <c r="P166" s="9">
        <v>100.0</v>
      </c>
      <c r="Q166" s="9">
        <v>100.0</v>
      </c>
      <c r="R166" s="110">
        <v>100.0</v>
      </c>
      <c r="S166" s="9">
        <v>100.0</v>
      </c>
      <c r="T166" s="110">
        <v>100.0</v>
      </c>
      <c r="U166" s="9">
        <v>100.0</v>
      </c>
      <c r="V166" s="110">
        <v>100.0</v>
      </c>
      <c r="W166" s="9">
        <v>100.0</v>
      </c>
      <c r="X166" s="110">
        <v>100.0</v>
      </c>
      <c r="Y166" s="73" t="s">
        <v>98</v>
      </c>
      <c r="Z166" s="94" t="s">
        <v>99</v>
      </c>
      <c r="AA166" s="36"/>
      <c r="AB166" s="36"/>
      <c r="AC166" s="111"/>
      <c r="AD166" s="112"/>
      <c r="AE166" s="37"/>
      <c r="AF166" s="97"/>
      <c r="AG166" s="14"/>
      <c r="AH166" s="14"/>
      <c r="AI166" s="14"/>
      <c r="AJ166" s="113"/>
      <c r="AK166" s="104" t="s">
        <v>106</v>
      </c>
      <c r="AM166" s="105" t="s">
        <v>107</v>
      </c>
      <c r="AO166" s="104" t="s">
        <v>100</v>
      </c>
      <c r="AQ166" s="114" t="s">
        <v>101</v>
      </c>
      <c r="AS166" s="105" t="s">
        <v>102</v>
      </c>
      <c r="AU166" s="105" t="s">
        <v>103</v>
      </c>
      <c r="AW166" s="104" t="s">
        <v>104</v>
      </c>
      <c r="AY166" s="104" t="s">
        <v>105</v>
      </c>
      <c r="AZ166" s="24"/>
    </row>
    <row r="167">
      <c r="A167" s="192">
        <v>2569.0</v>
      </c>
      <c r="B167" s="193"/>
      <c r="E167" s="115" t="s">
        <v>110</v>
      </c>
      <c r="F167" s="116" t="s">
        <v>218</v>
      </c>
      <c r="G167" s="115" t="str">
        <f>G34</f>
        <v>A10</v>
      </c>
      <c r="H167" s="9" t="str">
        <f>H40</f>
        <v>B8</v>
      </c>
      <c r="I167" s="9" t="str">
        <f t="shared" ref="I167:J167" si="231">I34</f>
        <v>A5</v>
      </c>
      <c r="J167" s="9" t="str">
        <f t="shared" si="231"/>
        <v>B11</v>
      </c>
      <c r="K167" s="36"/>
      <c r="L167" s="117"/>
      <c r="M167" s="130" t="str">
        <f t="shared" ref="M167:P167" si="232">C167</f>
        <v/>
      </c>
      <c r="N167" s="119" t="str">
        <f t="shared" si="232"/>
        <v/>
      </c>
      <c r="O167" s="118" t="str">
        <f t="shared" si="232"/>
        <v>A11</v>
      </c>
      <c r="P167" s="118" t="str">
        <f t="shared" si="232"/>
        <v>B10</v>
      </c>
      <c r="Q167" s="118" t="str">
        <f t="shared" ref="Q167:R167" si="233">E168</f>
        <v>B6</v>
      </c>
      <c r="R167" s="119" t="str">
        <f t="shared" si="233"/>
        <v>C9</v>
      </c>
      <c r="S167" s="9" t="s">
        <v>112</v>
      </c>
      <c r="T167" s="110" t="s">
        <v>115</v>
      </c>
      <c r="U167" s="9" t="str">
        <f t="shared" ref="U167:X167" si="234">G167</f>
        <v>A10</v>
      </c>
      <c r="V167" s="119" t="str">
        <f t="shared" si="234"/>
        <v>B8</v>
      </c>
      <c r="W167" s="118" t="str">
        <f t="shared" si="234"/>
        <v>A5</v>
      </c>
      <c r="X167" s="120" t="str">
        <f t="shared" si="234"/>
        <v>B11</v>
      </c>
      <c r="Y167" s="73" t="s">
        <v>116</v>
      </c>
      <c r="Z167" s="94" t="s">
        <v>117</v>
      </c>
      <c r="AA167" s="36"/>
      <c r="AB167" s="36"/>
      <c r="AC167" s="111"/>
      <c r="AD167" s="112"/>
      <c r="AE167" s="37"/>
      <c r="AF167" s="97"/>
      <c r="AG167" s="14"/>
      <c r="AH167" s="14"/>
      <c r="AI167" s="14"/>
      <c r="AJ167" s="113"/>
      <c r="AK167" s="104" t="s">
        <v>124</v>
      </c>
      <c r="AM167" s="105" t="s">
        <v>125</v>
      </c>
      <c r="AO167" s="104" t="s">
        <v>118</v>
      </c>
      <c r="AQ167" s="114" t="s">
        <v>119</v>
      </c>
      <c r="AS167" s="105" t="s">
        <v>120</v>
      </c>
      <c r="AU167" s="105" t="s">
        <v>121</v>
      </c>
      <c r="AW167" s="104" t="s">
        <v>122</v>
      </c>
      <c r="AY167" s="104" t="s">
        <v>123</v>
      </c>
      <c r="AZ167" s="24"/>
    </row>
    <row r="168">
      <c r="A168" s="192">
        <f>A167-543</f>
        <v>2026</v>
      </c>
      <c r="B168" s="193"/>
      <c r="C168" s="163" t="s">
        <v>166</v>
      </c>
      <c r="E168" s="115" t="s">
        <v>126</v>
      </c>
      <c r="F168" s="116" t="s">
        <v>229</v>
      </c>
      <c r="G168" s="115"/>
      <c r="H168" s="118"/>
      <c r="I168" s="118"/>
      <c r="J168" s="118"/>
      <c r="K168" s="36"/>
      <c r="L168" s="117"/>
      <c r="M168" s="128"/>
      <c r="N168" s="117"/>
      <c r="R168" s="117"/>
      <c r="T168" s="117"/>
      <c r="V168" s="117"/>
      <c r="X168" s="117"/>
      <c r="Y168" s="73" t="s">
        <v>126</v>
      </c>
      <c r="Z168" s="94" t="s">
        <v>128</v>
      </c>
      <c r="AA168" s="36"/>
      <c r="AB168" s="36"/>
      <c r="AC168" s="111"/>
      <c r="AD168" s="112"/>
      <c r="AE168" s="37"/>
      <c r="AF168" s="97"/>
      <c r="AG168" s="14"/>
      <c r="AH168" s="14"/>
      <c r="AI168" s="14"/>
      <c r="AJ168" s="113"/>
      <c r="AK168" s="104" t="s">
        <v>135</v>
      </c>
      <c r="AM168" s="105" t="s">
        <v>136</v>
      </c>
      <c r="AO168" s="104" t="s">
        <v>129</v>
      </c>
      <c r="AQ168" s="114" t="s">
        <v>130</v>
      </c>
      <c r="AS168" s="105" t="s">
        <v>131</v>
      </c>
      <c r="AU168" s="105" t="s">
        <v>132</v>
      </c>
      <c r="AW168" s="104" t="s">
        <v>133</v>
      </c>
      <c r="AY168" s="104" t="s">
        <v>134</v>
      </c>
      <c r="AZ168" s="24"/>
    </row>
    <row r="169">
      <c r="A169" s="213" t="s">
        <v>230</v>
      </c>
      <c r="B169" s="206"/>
      <c r="C169" s="1"/>
      <c r="D169" s="123"/>
      <c r="E169" s="176" t="s">
        <v>137</v>
      </c>
      <c r="F169" s="88"/>
      <c r="G169" s="207" t="str">
        <f>G5:H5</f>
        <v>อสูรเดือน W</v>
      </c>
      <c r="I169" s="208" t="str">
        <f>I5:J5</f>
        <v>อสูรปี N</v>
      </c>
      <c r="K169" s="36"/>
      <c r="L169" s="117"/>
      <c r="M169" s="128"/>
      <c r="N169" s="117"/>
      <c r="R169" s="117"/>
      <c r="T169" s="117"/>
      <c r="V169" s="117"/>
      <c r="X169" s="117"/>
      <c r="Y169" s="127"/>
      <c r="Z169" s="155"/>
      <c r="AA169" s="36"/>
      <c r="AB169" s="36"/>
      <c r="AC169" s="111"/>
      <c r="AD169" s="112"/>
      <c r="AE169" s="37"/>
      <c r="AF169" s="97"/>
      <c r="AG169" s="14"/>
      <c r="AH169" s="14"/>
      <c r="AI169" s="14"/>
      <c r="AJ169" s="113"/>
      <c r="AU169" s="128"/>
      <c r="AZ169" s="24"/>
    </row>
    <row r="170">
      <c r="A170" s="188" t="s">
        <v>139</v>
      </c>
      <c r="B170" s="189"/>
      <c r="C170" s="63"/>
      <c r="D170" s="63"/>
      <c r="E170" s="225">
        <f>(O171+P171+Q171+R171)/(O172+P172+Q172+R172)</f>
        <v>0.4875</v>
      </c>
      <c r="F170" s="72"/>
      <c r="G170" s="133"/>
      <c r="H170" s="72"/>
      <c r="I170" s="67"/>
      <c r="J170" s="72"/>
      <c r="K170" s="68"/>
      <c r="L170" s="69"/>
      <c r="M170" s="295" t="s">
        <v>64</v>
      </c>
      <c r="N170" s="70"/>
      <c r="O170" s="71" t="s">
        <v>65</v>
      </c>
      <c r="P170" s="72"/>
      <c r="Q170" s="72"/>
      <c r="R170" s="70"/>
      <c r="S170" s="71" t="s">
        <v>66</v>
      </c>
      <c r="T170" s="70"/>
      <c r="U170" s="71" t="s">
        <v>67</v>
      </c>
      <c r="V170" s="70"/>
      <c r="W170" s="71" t="s">
        <v>68</v>
      </c>
      <c r="X170" s="70"/>
      <c r="Y170" s="134" t="s">
        <v>116</v>
      </c>
      <c r="Z170" s="74" t="s">
        <v>140</v>
      </c>
      <c r="AA170" s="75" t="s">
        <v>71</v>
      </c>
      <c r="AB170" s="75" t="s">
        <v>72</v>
      </c>
      <c r="AC170" s="167" t="s">
        <v>173</v>
      </c>
      <c r="AD170" s="74" t="s">
        <v>174</v>
      </c>
      <c r="AE170" s="63" t="s">
        <v>36</v>
      </c>
      <c r="AF170" s="78" t="s">
        <v>144</v>
      </c>
      <c r="AG170" s="79" t="s">
        <v>53</v>
      </c>
      <c r="AH170" s="79">
        <v>30.0</v>
      </c>
      <c r="AI170" s="79" t="s">
        <v>178</v>
      </c>
      <c r="AJ170" s="80" t="str">
        <f>AJ164</f>
        <v>開</v>
      </c>
      <c r="AK170" s="81" t="s">
        <v>50</v>
      </c>
      <c r="AL170" s="82" t="str">
        <f>AL164</f>
        <v>休</v>
      </c>
      <c r="AM170" s="81" t="s">
        <v>52</v>
      </c>
      <c r="AN170" s="82" t="s">
        <v>4</v>
      </c>
      <c r="AO170" s="81" t="s">
        <v>38</v>
      </c>
      <c r="AP170" s="82" t="str">
        <f>AP164</f>
        <v>傷</v>
      </c>
      <c r="AQ170" s="81" t="s">
        <v>40</v>
      </c>
      <c r="AR170" s="82" t="s">
        <v>8</v>
      </c>
      <c r="AS170" s="81" t="s">
        <v>42</v>
      </c>
      <c r="AT170" s="82" t="str">
        <f>AT164</f>
        <v>景</v>
      </c>
      <c r="AU170" s="81" t="s">
        <v>44</v>
      </c>
      <c r="AV170" s="82" t="str">
        <f>AV164</f>
        <v>死</v>
      </c>
      <c r="AW170" s="81" t="s">
        <v>46</v>
      </c>
      <c r="AX170" s="82" t="str">
        <f>AX164</f>
        <v>驚</v>
      </c>
      <c r="AY170" s="81" t="s">
        <v>48</v>
      </c>
      <c r="AZ170" s="83"/>
      <c r="BA170" s="84"/>
      <c r="BB170" s="84"/>
      <c r="BC170" s="84"/>
    </row>
    <row r="171">
      <c r="A171" s="192">
        <f>A165+1</f>
        <v>27</v>
      </c>
      <c r="B171" s="193"/>
      <c r="C171" s="12" t="s">
        <v>78</v>
      </c>
      <c r="E171" s="194" t="s">
        <v>195</v>
      </c>
      <c r="G171" s="273" t="str">
        <f t="shared" ref="G171:G172" si="237">G3:H3</f>
        <v>辛</v>
      </c>
      <c r="I171" s="275" t="str">
        <f t="shared" ref="I171:I172" si="238">I32:J32</f>
        <v>丙</v>
      </c>
      <c r="K171" s="90">
        <f>L171/L172</f>
        <v>0.6</v>
      </c>
      <c r="L171" s="126">
        <f t="shared" ref="L171:L172" si="239">O171+P171+Q171+U171+V171+W171+X171+R171+M171+N171+S171+T171</f>
        <v>600</v>
      </c>
      <c r="M171" s="101">
        <v>0.0</v>
      </c>
      <c r="N171" s="93">
        <v>0.0</v>
      </c>
      <c r="O171" s="92">
        <v>5.0</v>
      </c>
      <c r="P171" s="92">
        <v>60.0</v>
      </c>
      <c r="Q171" s="92">
        <v>100.0</v>
      </c>
      <c r="R171" s="93">
        <v>30.0</v>
      </c>
      <c r="S171" s="92">
        <v>80.0</v>
      </c>
      <c r="T171" s="93">
        <v>65.0</v>
      </c>
      <c r="U171" s="92">
        <f t="shared" ref="U171:V171" si="235">U38</f>
        <v>0</v>
      </c>
      <c r="V171" s="93">
        <f t="shared" si="235"/>
        <v>90</v>
      </c>
      <c r="W171" s="92">
        <f t="shared" ref="W171:X171" si="236">W32</f>
        <v>110</v>
      </c>
      <c r="X171" s="93">
        <f t="shared" si="236"/>
        <v>60</v>
      </c>
      <c r="Y171" s="73" t="s">
        <v>126</v>
      </c>
      <c r="Z171" s="94" t="s">
        <v>70</v>
      </c>
      <c r="AA171" s="276" t="s">
        <v>53</v>
      </c>
      <c r="AB171" s="277" t="s">
        <v>245</v>
      </c>
      <c r="AC171" s="170" t="s">
        <v>73</v>
      </c>
      <c r="AD171" s="94" t="s">
        <v>74</v>
      </c>
      <c r="AE171" s="37"/>
      <c r="AF171" s="97"/>
      <c r="AG171" s="12" t="s">
        <v>71</v>
      </c>
      <c r="AH171" s="12">
        <v>210.0</v>
      </c>
      <c r="AI171" s="12" t="s">
        <v>175</v>
      </c>
      <c r="AJ171" s="98" t="s">
        <v>39</v>
      </c>
      <c r="AK171" s="99" t="s">
        <v>93</v>
      </c>
      <c r="AL171" s="100" t="s">
        <v>37</v>
      </c>
      <c r="AM171" s="99" t="s">
        <v>94</v>
      </c>
      <c r="AN171" s="100" t="s">
        <v>51</v>
      </c>
      <c r="AO171" s="101" t="s">
        <v>95</v>
      </c>
      <c r="AP171" s="100" t="s">
        <v>86</v>
      </c>
      <c r="AQ171" s="99" t="s">
        <v>87</v>
      </c>
      <c r="AR171" s="100" t="s">
        <v>88</v>
      </c>
      <c r="AS171" s="101" t="s">
        <v>89</v>
      </c>
      <c r="AT171" s="100" t="s">
        <v>45</v>
      </c>
      <c r="AU171" s="102" t="s">
        <v>90</v>
      </c>
      <c r="AV171" s="100" t="s">
        <v>43</v>
      </c>
      <c r="AW171" s="101" t="s">
        <v>91</v>
      </c>
      <c r="AX171" s="100" t="s">
        <v>41</v>
      </c>
      <c r="AY171" s="103" t="s">
        <v>92</v>
      </c>
      <c r="AZ171" s="24"/>
    </row>
    <row r="172">
      <c r="A172" s="215" t="str">
        <f>G2</f>
        <v>มีนาคม</v>
      </c>
      <c r="B172" s="193"/>
      <c r="C172" s="161" t="s">
        <v>223</v>
      </c>
      <c r="E172" s="107" t="s">
        <v>84</v>
      </c>
      <c r="G172" s="274" t="str">
        <f t="shared" si="237"/>
        <v>卯</v>
      </c>
      <c r="I172" s="35" t="str">
        <f t="shared" si="238"/>
        <v>午</v>
      </c>
      <c r="K172" s="36"/>
      <c r="L172" s="109">
        <f t="shared" si="239"/>
        <v>1000</v>
      </c>
      <c r="M172" s="105">
        <v>0.0</v>
      </c>
      <c r="N172" s="110">
        <v>0.0</v>
      </c>
      <c r="O172" s="9">
        <v>100.0</v>
      </c>
      <c r="P172" s="9">
        <v>100.0</v>
      </c>
      <c r="Q172" s="9">
        <v>100.0</v>
      </c>
      <c r="R172" s="110">
        <v>100.0</v>
      </c>
      <c r="S172" s="9">
        <v>100.0</v>
      </c>
      <c r="T172" s="110">
        <v>100.0</v>
      </c>
      <c r="U172" s="9">
        <v>100.0</v>
      </c>
      <c r="V172" s="110">
        <v>100.0</v>
      </c>
      <c r="W172" s="9">
        <v>100.0</v>
      </c>
      <c r="X172" s="110">
        <v>100.0</v>
      </c>
      <c r="Y172" s="73" t="s">
        <v>69</v>
      </c>
      <c r="Z172" s="94" t="s">
        <v>152</v>
      </c>
      <c r="AA172" s="36"/>
      <c r="AB172" s="36"/>
      <c r="AC172" s="111"/>
      <c r="AD172" s="112"/>
      <c r="AE172" s="37"/>
      <c r="AF172" s="97"/>
      <c r="AG172" s="14"/>
      <c r="AH172" s="14"/>
      <c r="AI172" s="14"/>
      <c r="AJ172" s="113"/>
      <c r="AK172" s="104" t="s">
        <v>105</v>
      </c>
      <c r="AM172" s="104" t="s">
        <v>106</v>
      </c>
      <c r="AO172" s="105" t="s">
        <v>107</v>
      </c>
      <c r="AQ172" s="104" t="s">
        <v>100</v>
      </c>
      <c r="AS172" s="114" t="s">
        <v>101</v>
      </c>
      <c r="AU172" s="105" t="s">
        <v>102</v>
      </c>
      <c r="AW172" s="105" t="s">
        <v>103</v>
      </c>
      <c r="AY172" s="104" t="s">
        <v>104</v>
      </c>
      <c r="AZ172" s="24"/>
    </row>
    <row r="173">
      <c r="A173" s="192">
        <v>2569.0</v>
      </c>
      <c r="B173" s="193"/>
      <c r="E173" s="115" t="s">
        <v>108</v>
      </c>
      <c r="F173" s="116" t="s">
        <v>214</v>
      </c>
      <c r="G173" s="115" t="str">
        <f>G34</f>
        <v>A10</v>
      </c>
      <c r="H173" s="9" t="str">
        <f>H40</f>
        <v>B8</v>
      </c>
      <c r="I173" s="9" t="str">
        <f t="shared" ref="I173:J173" si="240">I34</f>
        <v>A5</v>
      </c>
      <c r="J173" s="9" t="str">
        <f t="shared" si="240"/>
        <v>B11</v>
      </c>
      <c r="K173" s="36"/>
      <c r="L173" s="117"/>
      <c r="M173" s="130" t="str">
        <f t="shared" ref="M173:P173" si="241">C173</f>
        <v/>
      </c>
      <c r="N173" s="119" t="str">
        <f t="shared" si="241"/>
        <v/>
      </c>
      <c r="O173" s="118" t="str">
        <f t="shared" si="241"/>
        <v>A8</v>
      </c>
      <c r="P173" s="118" t="str">
        <f t="shared" si="241"/>
        <v>B11</v>
      </c>
      <c r="Q173" s="118" t="str">
        <f t="shared" ref="Q173:R173" si="242">E174</f>
        <v>B5</v>
      </c>
      <c r="R173" s="119" t="str">
        <f t="shared" si="242"/>
        <v>C10</v>
      </c>
      <c r="S173" s="9" t="s">
        <v>182</v>
      </c>
      <c r="T173" s="110" t="s">
        <v>110</v>
      </c>
      <c r="U173" s="9" t="str">
        <f t="shared" ref="U173:X173" si="243">G173</f>
        <v>A10</v>
      </c>
      <c r="V173" s="119" t="str">
        <f t="shared" si="243"/>
        <v>B8</v>
      </c>
      <c r="W173" s="118" t="str">
        <f t="shared" si="243"/>
        <v>A5</v>
      </c>
      <c r="X173" s="120" t="str">
        <f t="shared" si="243"/>
        <v>B11</v>
      </c>
      <c r="Y173" s="73" t="s">
        <v>80</v>
      </c>
      <c r="Z173" s="94" t="s">
        <v>153</v>
      </c>
      <c r="AA173" s="36"/>
      <c r="AB173" s="36"/>
      <c r="AC173" s="111"/>
      <c r="AD173" s="112"/>
      <c r="AE173" s="37"/>
      <c r="AF173" s="97"/>
      <c r="AG173" s="14"/>
      <c r="AH173" s="14"/>
      <c r="AI173" s="14"/>
      <c r="AJ173" s="113"/>
      <c r="AK173" s="104" t="s">
        <v>123</v>
      </c>
      <c r="AM173" s="104" t="s">
        <v>124</v>
      </c>
      <c r="AO173" s="105" t="s">
        <v>125</v>
      </c>
      <c r="AQ173" s="104" t="s">
        <v>118</v>
      </c>
      <c r="AS173" s="114" t="s">
        <v>119</v>
      </c>
      <c r="AU173" s="105" t="s">
        <v>120</v>
      </c>
      <c r="AW173" s="105" t="s">
        <v>121</v>
      </c>
      <c r="AY173" s="104" t="s">
        <v>122</v>
      </c>
      <c r="AZ173" s="24"/>
    </row>
    <row r="174">
      <c r="A174" s="192">
        <f>A173-543</f>
        <v>2026</v>
      </c>
      <c r="B174" s="193"/>
      <c r="E174" s="115" t="s">
        <v>116</v>
      </c>
      <c r="F174" s="116" t="s">
        <v>232</v>
      </c>
      <c r="G174" s="115"/>
      <c r="H174" s="118"/>
      <c r="I174" s="118"/>
      <c r="J174" s="118"/>
      <c r="K174" s="36"/>
      <c r="L174" s="117"/>
      <c r="M174" s="128"/>
      <c r="N174" s="117"/>
      <c r="R174" s="117"/>
      <c r="T174" s="117"/>
      <c r="V174" s="117"/>
      <c r="X174" s="117"/>
      <c r="Y174" s="73" t="s">
        <v>98</v>
      </c>
      <c r="Z174" s="94" t="s">
        <v>155</v>
      </c>
      <c r="AA174" s="36"/>
      <c r="AB174" s="36"/>
      <c r="AC174" s="111"/>
      <c r="AD174" s="112"/>
      <c r="AE174" s="37"/>
      <c r="AF174" s="97"/>
      <c r="AG174" s="14"/>
      <c r="AH174" s="14"/>
      <c r="AI174" s="14"/>
      <c r="AJ174" s="113"/>
      <c r="AK174" s="104" t="s">
        <v>134</v>
      </c>
      <c r="AM174" s="104" t="s">
        <v>135</v>
      </c>
      <c r="AO174" s="105" t="s">
        <v>136</v>
      </c>
      <c r="AQ174" s="104" t="s">
        <v>129</v>
      </c>
      <c r="AS174" s="114" t="s">
        <v>130</v>
      </c>
      <c r="AU174" s="105" t="s">
        <v>131</v>
      </c>
      <c r="AW174" s="105" t="s">
        <v>132</v>
      </c>
      <c r="AY174" s="104" t="s">
        <v>133</v>
      </c>
      <c r="AZ174" s="24"/>
    </row>
    <row r="175">
      <c r="A175" s="205"/>
      <c r="B175" s="206"/>
      <c r="C175" s="1"/>
      <c r="D175" s="123"/>
      <c r="E175" s="176" t="s">
        <v>157</v>
      </c>
      <c r="F175" s="88"/>
      <c r="G175" s="207" t="str">
        <f>G5:H5</f>
        <v>อสูรเดือน W</v>
      </c>
      <c r="I175" s="208" t="str">
        <f>I5:J5</f>
        <v>อสูรปี N</v>
      </c>
      <c r="K175" s="36"/>
      <c r="L175" s="117"/>
      <c r="M175" s="128"/>
      <c r="N175" s="117"/>
      <c r="R175" s="117"/>
      <c r="T175" s="117"/>
      <c r="V175" s="117"/>
      <c r="X175" s="117"/>
      <c r="Y175" s="127"/>
      <c r="Z175" s="155"/>
      <c r="AA175" s="36"/>
      <c r="AB175" s="36"/>
      <c r="AC175" s="111"/>
      <c r="AD175" s="112"/>
      <c r="AE175" s="37"/>
      <c r="AF175" s="97"/>
      <c r="AG175" s="14"/>
      <c r="AH175" s="14"/>
      <c r="AI175" s="14"/>
      <c r="AJ175" s="113"/>
      <c r="AU175" s="128"/>
      <c r="AZ175" s="24"/>
    </row>
    <row r="176">
      <c r="A176" s="188" t="s">
        <v>139</v>
      </c>
      <c r="B176" s="189"/>
      <c r="C176" s="63"/>
      <c r="D176" s="63"/>
      <c r="E176" s="225">
        <f>(O177+P177+Q177+R177)/(O178+P178+Q178+R178)</f>
        <v>0.475</v>
      </c>
      <c r="F176" s="72"/>
      <c r="G176" s="133"/>
      <c r="H176" s="72"/>
      <c r="I176" s="67"/>
      <c r="J176" s="72"/>
      <c r="K176" s="68"/>
      <c r="L176" s="69"/>
      <c r="M176" s="295" t="s">
        <v>64</v>
      </c>
      <c r="N176" s="70"/>
      <c r="O176" s="71" t="s">
        <v>65</v>
      </c>
      <c r="P176" s="72"/>
      <c r="Q176" s="72"/>
      <c r="R176" s="70"/>
      <c r="S176" s="71" t="s">
        <v>66</v>
      </c>
      <c r="T176" s="70"/>
      <c r="U176" s="71" t="s">
        <v>67</v>
      </c>
      <c r="V176" s="70"/>
      <c r="W176" s="71" t="s">
        <v>68</v>
      </c>
      <c r="X176" s="70"/>
      <c r="Y176" s="134" t="s">
        <v>116</v>
      </c>
      <c r="Z176" s="74" t="s">
        <v>159</v>
      </c>
      <c r="AA176" s="75" t="s">
        <v>171</v>
      </c>
      <c r="AB176" s="75" t="s">
        <v>172</v>
      </c>
      <c r="AC176" s="167" t="s">
        <v>173</v>
      </c>
      <c r="AD176" s="74" t="s">
        <v>174</v>
      </c>
      <c r="AE176" s="63" t="s">
        <v>36</v>
      </c>
      <c r="AF176" s="78" t="s">
        <v>36</v>
      </c>
      <c r="AG176" s="79" t="s">
        <v>180</v>
      </c>
      <c r="AH176" s="79">
        <v>60.0</v>
      </c>
      <c r="AI176" s="79" t="s">
        <v>200</v>
      </c>
      <c r="AJ176" s="80" t="str">
        <f>AJ170</f>
        <v>開</v>
      </c>
      <c r="AK176" s="81" t="s">
        <v>52</v>
      </c>
      <c r="AL176" s="82" t="str">
        <f>AL170</f>
        <v>休</v>
      </c>
      <c r="AM176" s="81" t="s">
        <v>38</v>
      </c>
      <c r="AN176" s="82" t="s">
        <v>4</v>
      </c>
      <c r="AO176" s="81" t="s">
        <v>40</v>
      </c>
      <c r="AP176" s="82" t="str">
        <f>AP170</f>
        <v>傷</v>
      </c>
      <c r="AQ176" s="81" t="s">
        <v>42</v>
      </c>
      <c r="AR176" s="82" t="str">
        <f>AR170</f>
        <v>杜</v>
      </c>
      <c r="AS176" s="81" t="s">
        <v>44</v>
      </c>
      <c r="AT176" s="82" t="str">
        <f>AT170</f>
        <v>景</v>
      </c>
      <c r="AU176" s="81" t="s">
        <v>46</v>
      </c>
      <c r="AV176" s="82" t="str">
        <f>AV170</f>
        <v>死</v>
      </c>
      <c r="AW176" s="81" t="s">
        <v>48</v>
      </c>
      <c r="AX176" s="82" t="str">
        <f>AX170</f>
        <v>驚</v>
      </c>
      <c r="AY176" s="81" t="s">
        <v>50</v>
      </c>
      <c r="AZ176" s="83"/>
      <c r="BA176" s="84"/>
      <c r="BB176" s="84"/>
      <c r="BC176" s="84"/>
    </row>
    <row r="177">
      <c r="A177" s="192">
        <f>A171+1</f>
        <v>28</v>
      </c>
      <c r="B177" s="193"/>
      <c r="C177" s="12" t="s">
        <v>194</v>
      </c>
      <c r="E177" s="199" t="s">
        <v>201</v>
      </c>
      <c r="G177" s="273" t="str">
        <f t="shared" ref="G177:G178" si="246">G3:H3</f>
        <v>辛</v>
      </c>
      <c r="I177" s="275" t="str">
        <f t="shared" ref="I177:I178" si="247">I32:J32</f>
        <v>丙</v>
      </c>
      <c r="K177" s="90">
        <f>L177/L178</f>
        <v>0.52</v>
      </c>
      <c r="L177" s="126">
        <f t="shared" ref="L177:L178" si="248">O177+P177+Q177+U177+V177+W177+X177+R177+M177+N177+S177+T177</f>
        <v>520</v>
      </c>
      <c r="M177" s="101">
        <v>0.0</v>
      </c>
      <c r="N177" s="93">
        <v>0.0</v>
      </c>
      <c r="O177" s="92">
        <v>70.0</v>
      </c>
      <c r="P177" s="92">
        <v>10.0</v>
      </c>
      <c r="Q177" s="92">
        <v>30.0</v>
      </c>
      <c r="R177" s="93">
        <v>80.0</v>
      </c>
      <c r="S177" s="92">
        <v>70.0</v>
      </c>
      <c r="T177" s="93">
        <v>0.0</v>
      </c>
      <c r="U177" s="92">
        <f t="shared" ref="U177:V177" si="244">U38</f>
        <v>0</v>
      </c>
      <c r="V177" s="93">
        <f t="shared" si="244"/>
        <v>90</v>
      </c>
      <c r="W177" s="92">
        <f t="shared" ref="W177:X177" si="245">W32</f>
        <v>110</v>
      </c>
      <c r="X177" s="93">
        <f t="shared" si="245"/>
        <v>60</v>
      </c>
      <c r="Y177" s="73" t="s">
        <v>126</v>
      </c>
      <c r="Z177" s="94" t="s">
        <v>152</v>
      </c>
      <c r="AA177" s="36"/>
      <c r="AB177" s="29"/>
      <c r="AC177" s="170" t="s">
        <v>73</v>
      </c>
      <c r="AD177" s="94" t="s">
        <v>74</v>
      </c>
      <c r="AE177" s="37"/>
      <c r="AF177" s="97"/>
      <c r="AG177" s="12" t="s">
        <v>202</v>
      </c>
      <c r="AH177" s="12">
        <v>180.0</v>
      </c>
      <c r="AI177" s="12" t="s">
        <v>203</v>
      </c>
      <c r="AJ177" s="98" t="s">
        <v>39</v>
      </c>
      <c r="AK177" s="99" t="s">
        <v>93</v>
      </c>
      <c r="AL177" s="100" t="s">
        <v>37</v>
      </c>
      <c r="AM177" s="99" t="s">
        <v>94</v>
      </c>
      <c r="AN177" s="100" t="s">
        <v>51</v>
      </c>
      <c r="AO177" s="101" t="s">
        <v>95</v>
      </c>
      <c r="AP177" s="100" t="s">
        <v>86</v>
      </c>
      <c r="AQ177" s="99" t="s">
        <v>87</v>
      </c>
      <c r="AR177" s="100" t="s">
        <v>88</v>
      </c>
      <c r="AS177" s="101" t="s">
        <v>89</v>
      </c>
      <c r="AT177" s="100" t="s">
        <v>45</v>
      </c>
      <c r="AU177" s="102" t="s">
        <v>90</v>
      </c>
      <c r="AV177" s="100" t="s">
        <v>43</v>
      </c>
      <c r="AW177" s="101" t="s">
        <v>91</v>
      </c>
      <c r="AX177" s="100" t="s">
        <v>41</v>
      </c>
      <c r="AY177" s="103" t="s">
        <v>92</v>
      </c>
      <c r="AZ177" s="24"/>
    </row>
    <row r="178">
      <c r="A178" s="215" t="str">
        <f>G2</f>
        <v>มีนาคม</v>
      </c>
      <c r="B178" s="193"/>
      <c r="C178" s="212" t="s">
        <v>228</v>
      </c>
      <c r="E178" s="162" t="s">
        <v>53</v>
      </c>
      <c r="G178" s="274" t="str">
        <f t="shared" si="246"/>
        <v>卯</v>
      </c>
      <c r="I178" s="142" t="str">
        <f t="shared" si="247"/>
        <v>午</v>
      </c>
      <c r="K178" s="36"/>
      <c r="L178" s="109">
        <f t="shared" si="248"/>
        <v>1000</v>
      </c>
      <c r="M178" s="105">
        <v>0.0</v>
      </c>
      <c r="N178" s="110">
        <v>0.0</v>
      </c>
      <c r="O178" s="9">
        <v>100.0</v>
      </c>
      <c r="P178" s="9">
        <v>100.0</v>
      </c>
      <c r="Q178" s="9">
        <v>100.0</v>
      </c>
      <c r="R178" s="110">
        <v>100.0</v>
      </c>
      <c r="S178" s="9">
        <v>100.0</v>
      </c>
      <c r="T178" s="110">
        <v>100.0</v>
      </c>
      <c r="U178" s="9">
        <v>100.0</v>
      </c>
      <c r="V178" s="110">
        <v>100.0</v>
      </c>
      <c r="W178" s="9">
        <v>100.0</v>
      </c>
      <c r="X178" s="110">
        <v>100.0</v>
      </c>
      <c r="Y178" s="73" t="s">
        <v>69</v>
      </c>
      <c r="Z178" s="94" t="s">
        <v>163</v>
      </c>
      <c r="AA178" s="36"/>
      <c r="AB178" s="36"/>
      <c r="AC178" s="111"/>
      <c r="AD178" s="112"/>
      <c r="AE178" s="37"/>
      <c r="AF178" s="97"/>
      <c r="AG178" s="14"/>
      <c r="AH178" s="14"/>
      <c r="AI178" s="14"/>
      <c r="AJ178" s="113"/>
      <c r="AK178" s="104" t="s">
        <v>105</v>
      </c>
      <c r="AM178" s="104" t="s">
        <v>106</v>
      </c>
      <c r="AO178" s="105" t="s">
        <v>107</v>
      </c>
      <c r="AQ178" s="104" t="s">
        <v>100</v>
      </c>
      <c r="AS178" s="114" t="s">
        <v>101</v>
      </c>
      <c r="AU178" s="105" t="s">
        <v>102</v>
      </c>
      <c r="AW178" s="105" t="s">
        <v>103</v>
      </c>
      <c r="AY178" s="104" t="s">
        <v>104</v>
      </c>
      <c r="AZ178" s="24"/>
    </row>
    <row r="179">
      <c r="A179" s="192">
        <v>2569.0</v>
      </c>
      <c r="B179" s="193"/>
      <c r="E179" s="115" t="s">
        <v>165</v>
      </c>
      <c r="F179" s="116" t="s">
        <v>113</v>
      </c>
      <c r="G179" s="115" t="str">
        <f>G34</f>
        <v>A10</v>
      </c>
      <c r="H179" s="9" t="str">
        <f>H40</f>
        <v>B8</v>
      </c>
      <c r="I179" s="9" t="str">
        <f t="shared" ref="I179:J179" si="249">I34</f>
        <v>A5</v>
      </c>
      <c r="J179" s="9" t="str">
        <f t="shared" si="249"/>
        <v>B11</v>
      </c>
      <c r="K179" s="36"/>
      <c r="L179" s="117"/>
      <c r="M179" s="130" t="str">
        <f t="shared" ref="M179:P179" si="250">C179</f>
        <v/>
      </c>
      <c r="N179" s="119" t="str">
        <f t="shared" si="250"/>
        <v/>
      </c>
      <c r="O179" s="118" t="str">
        <f t="shared" si="250"/>
        <v>A12</v>
      </c>
      <c r="P179" s="118" t="str">
        <f t="shared" si="250"/>
        <v>B12</v>
      </c>
      <c r="Q179" s="118" t="str">
        <f t="shared" ref="Q179:R179" si="251">E180</f>
        <v>B4</v>
      </c>
      <c r="R179" s="119" t="str">
        <f t="shared" si="251"/>
        <v>C11</v>
      </c>
      <c r="S179" s="9" t="s">
        <v>165</v>
      </c>
      <c r="T179" s="110" t="s">
        <v>114</v>
      </c>
      <c r="U179" s="9" t="str">
        <f t="shared" ref="U179:X179" si="252">G179</f>
        <v>A10</v>
      </c>
      <c r="V179" s="119" t="str">
        <f t="shared" si="252"/>
        <v>B8</v>
      </c>
      <c r="W179" s="118" t="str">
        <f t="shared" si="252"/>
        <v>A5</v>
      </c>
      <c r="X179" s="120" t="str">
        <f t="shared" si="252"/>
        <v>B11</v>
      </c>
      <c r="Y179" s="73" t="s">
        <v>80</v>
      </c>
      <c r="Z179" s="94" t="s">
        <v>117</v>
      </c>
      <c r="AA179" s="36"/>
      <c r="AB179" s="36"/>
      <c r="AC179" s="111"/>
      <c r="AD179" s="112"/>
      <c r="AE179" s="37"/>
      <c r="AF179" s="97"/>
      <c r="AG179" s="14"/>
      <c r="AH179" s="14"/>
      <c r="AI179" s="14"/>
      <c r="AJ179" s="113"/>
      <c r="AK179" s="104" t="s">
        <v>123</v>
      </c>
      <c r="AM179" s="104" t="s">
        <v>124</v>
      </c>
      <c r="AO179" s="105" t="s">
        <v>125</v>
      </c>
      <c r="AQ179" s="104" t="s">
        <v>118</v>
      </c>
      <c r="AS179" s="114" t="s">
        <v>119</v>
      </c>
      <c r="AU179" s="105" t="s">
        <v>120</v>
      </c>
      <c r="AW179" s="105" t="s">
        <v>121</v>
      </c>
      <c r="AY179" s="104" t="s">
        <v>122</v>
      </c>
      <c r="AZ179" s="24"/>
    </row>
    <row r="180">
      <c r="A180" s="192">
        <f>A179-543</f>
        <v>2026</v>
      </c>
      <c r="B180" s="193"/>
      <c r="C180" s="181"/>
      <c r="E180" s="115" t="s">
        <v>109</v>
      </c>
      <c r="F180" s="116" t="s">
        <v>236</v>
      </c>
      <c r="G180" s="115"/>
      <c r="H180" s="118"/>
      <c r="I180" s="118"/>
      <c r="J180" s="118"/>
      <c r="K180" s="36"/>
      <c r="L180" s="117"/>
      <c r="M180" s="128"/>
      <c r="N180" s="117"/>
      <c r="R180" s="117"/>
      <c r="T180" s="117"/>
      <c r="V180" s="117"/>
      <c r="X180" s="117"/>
      <c r="Y180" s="73" t="s">
        <v>98</v>
      </c>
      <c r="Z180" s="94" t="s">
        <v>128</v>
      </c>
      <c r="AA180" s="36"/>
      <c r="AB180" s="36"/>
      <c r="AC180" s="111"/>
      <c r="AD180" s="112"/>
      <c r="AE180" s="37"/>
      <c r="AF180" s="97"/>
      <c r="AG180" s="14"/>
      <c r="AH180" s="14"/>
      <c r="AI180" s="14"/>
      <c r="AJ180" s="113"/>
      <c r="AK180" s="104" t="s">
        <v>134</v>
      </c>
      <c r="AM180" s="104" t="s">
        <v>135</v>
      </c>
      <c r="AO180" s="105" t="s">
        <v>136</v>
      </c>
      <c r="AQ180" s="104" t="s">
        <v>129</v>
      </c>
      <c r="AS180" s="114" t="s">
        <v>130</v>
      </c>
      <c r="AU180" s="105" t="s">
        <v>131</v>
      </c>
      <c r="AW180" s="105" t="s">
        <v>132</v>
      </c>
      <c r="AY180" s="104" t="s">
        <v>133</v>
      </c>
      <c r="AZ180" s="24"/>
    </row>
    <row r="181">
      <c r="A181" s="205"/>
      <c r="B181" s="206"/>
      <c r="C181" s="1"/>
      <c r="D181" s="123"/>
      <c r="E181" s="164" t="s">
        <v>168</v>
      </c>
      <c r="F181" s="88"/>
      <c r="G181" s="207" t="str">
        <f>G5:H5</f>
        <v>อสูรเดือน W</v>
      </c>
      <c r="I181" s="208" t="str">
        <f>I5:J5</f>
        <v>อสูรปี N</v>
      </c>
      <c r="K181" s="36"/>
      <c r="L181" s="117"/>
      <c r="M181" s="128"/>
      <c r="N181" s="117"/>
      <c r="R181" s="117"/>
      <c r="T181" s="117"/>
      <c r="V181" s="117"/>
      <c r="X181" s="117"/>
      <c r="Y181" s="127"/>
      <c r="Z181" s="155"/>
      <c r="AA181" s="36"/>
      <c r="AB181" s="36"/>
      <c r="AC181" s="111"/>
      <c r="AD181" s="112"/>
      <c r="AE181" s="37"/>
      <c r="AF181" s="97"/>
      <c r="AG181" s="14"/>
      <c r="AH181" s="14"/>
      <c r="AI181" s="14"/>
      <c r="AJ181" s="113"/>
      <c r="AY181" s="128"/>
      <c r="AZ181" s="24"/>
    </row>
    <row r="182">
      <c r="A182" s="188" t="s">
        <v>246</v>
      </c>
      <c r="B182" s="189"/>
      <c r="C182" s="63"/>
      <c r="D182" s="63"/>
      <c r="E182" s="225">
        <f>(O183+P183+Q183+R183)/(O184+P184+Q184+R184)</f>
        <v>0.3375</v>
      </c>
      <c r="F182" s="72"/>
      <c r="G182" s="133"/>
      <c r="H182" s="66"/>
      <c r="I182" s="67"/>
      <c r="J182" s="67"/>
      <c r="K182" s="68"/>
      <c r="L182" s="69"/>
      <c r="M182" s="295" t="s">
        <v>64</v>
      </c>
      <c r="N182" s="70"/>
      <c r="O182" s="71" t="s">
        <v>65</v>
      </c>
      <c r="P182" s="72"/>
      <c r="Q182" s="72"/>
      <c r="R182" s="70"/>
      <c r="S182" s="71" t="s">
        <v>66</v>
      </c>
      <c r="T182" s="70"/>
      <c r="U182" s="71" t="s">
        <v>67</v>
      </c>
      <c r="V182" s="70"/>
      <c r="W182" s="71" t="s">
        <v>68</v>
      </c>
      <c r="X182" s="70"/>
      <c r="Y182" s="134" t="s">
        <v>80</v>
      </c>
      <c r="Z182" s="74" t="s">
        <v>170</v>
      </c>
      <c r="AA182" s="75" t="s">
        <v>202</v>
      </c>
      <c r="AB182" s="75" t="s">
        <v>226</v>
      </c>
      <c r="AC182" s="190" t="s">
        <v>173</v>
      </c>
      <c r="AD182" s="77" t="s">
        <v>193</v>
      </c>
      <c r="AE182" s="63" t="s">
        <v>144</v>
      </c>
      <c r="AF182" s="78" t="s">
        <v>34</v>
      </c>
      <c r="AG182" s="79" t="s">
        <v>54</v>
      </c>
      <c r="AH182" s="79">
        <v>150.0</v>
      </c>
      <c r="AI182" s="79" t="s">
        <v>210</v>
      </c>
      <c r="AJ182" s="80" t="str">
        <f>AJ170</f>
        <v>開</v>
      </c>
      <c r="AK182" s="81" t="s">
        <v>44</v>
      </c>
      <c r="AL182" s="82" t="str">
        <f>AL170</f>
        <v>休</v>
      </c>
      <c r="AM182" s="81" t="s">
        <v>46</v>
      </c>
      <c r="AN182" s="82" t="s">
        <v>4</v>
      </c>
      <c r="AO182" s="81" t="s">
        <v>48</v>
      </c>
      <c r="AP182" s="82" t="str">
        <f>AP170</f>
        <v>傷</v>
      </c>
      <c r="AQ182" s="81" t="s">
        <v>50</v>
      </c>
      <c r="AR182" s="82" t="s">
        <v>8</v>
      </c>
      <c r="AS182" s="81" t="s">
        <v>52</v>
      </c>
      <c r="AT182" s="82" t="str">
        <f>AT170</f>
        <v>景</v>
      </c>
      <c r="AU182" s="81" t="s">
        <v>38</v>
      </c>
      <c r="AV182" s="82" t="str">
        <f>AV170</f>
        <v>死</v>
      </c>
      <c r="AW182" s="81" t="s">
        <v>40</v>
      </c>
      <c r="AX182" s="82" t="str">
        <f>AX170</f>
        <v>驚</v>
      </c>
      <c r="AY182" s="81" t="s">
        <v>42</v>
      </c>
      <c r="AZ182" s="83"/>
      <c r="BA182" s="84"/>
      <c r="BB182" s="84"/>
      <c r="BC182" s="84"/>
    </row>
    <row r="183">
      <c r="A183" s="192">
        <f>A177+1</f>
        <v>29</v>
      </c>
      <c r="B183" s="193"/>
      <c r="C183" s="12" t="s">
        <v>187</v>
      </c>
      <c r="E183" s="203" t="s">
        <v>209</v>
      </c>
      <c r="G183" s="313" t="str">
        <f t="shared" ref="G183:G184" si="255">G3:H3</f>
        <v>辛</v>
      </c>
      <c r="I183" s="275" t="str">
        <f t="shared" ref="I183:I184" si="256">I32:J32</f>
        <v>丙</v>
      </c>
      <c r="K183" s="90">
        <f>L183/L184</f>
        <v>0.47</v>
      </c>
      <c r="L183" s="126">
        <f t="shared" ref="L183:L184" si="257">O183+P183+Q183+U183+V183+W183+X183+R183+M183+N183+S183+T183</f>
        <v>470</v>
      </c>
      <c r="M183" s="101">
        <v>0.0</v>
      </c>
      <c r="N183" s="93">
        <v>0.0</v>
      </c>
      <c r="O183" s="92">
        <v>15.0</v>
      </c>
      <c r="P183" s="92">
        <v>70.0</v>
      </c>
      <c r="Q183" s="92">
        <v>20.0</v>
      </c>
      <c r="R183" s="93">
        <v>30.0</v>
      </c>
      <c r="S183" s="92">
        <v>65.0</v>
      </c>
      <c r="T183" s="93">
        <v>10.0</v>
      </c>
      <c r="U183" s="92">
        <f t="shared" ref="U183:V183" si="253">U38</f>
        <v>0</v>
      </c>
      <c r="V183" s="93">
        <f t="shared" si="253"/>
        <v>90</v>
      </c>
      <c r="W183" s="92">
        <f t="shared" ref="W183:X183" si="254">W32</f>
        <v>110</v>
      </c>
      <c r="X183" s="93">
        <f t="shared" si="254"/>
        <v>60</v>
      </c>
      <c r="Y183" s="73" t="s">
        <v>98</v>
      </c>
      <c r="Z183" s="94" t="s">
        <v>70</v>
      </c>
      <c r="AA183" s="36"/>
      <c r="AB183" s="29" t="s">
        <v>227</v>
      </c>
      <c r="AC183" s="195" t="s">
        <v>196</v>
      </c>
      <c r="AD183" s="96" t="s">
        <v>149</v>
      </c>
      <c r="AE183" s="37"/>
      <c r="AF183" s="97"/>
      <c r="AG183" s="12" t="s">
        <v>189</v>
      </c>
      <c r="AH183" s="12">
        <v>90.0</v>
      </c>
      <c r="AI183" s="12" t="s">
        <v>208</v>
      </c>
      <c r="AJ183" s="98" t="s">
        <v>43</v>
      </c>
      <c r="AK183" s="101" t="s">
        <v>91</v>
      </c>
      <c r="AL183" s="100" t="s">
        <v>41</v>
      </c>
      <c r="AM183" s="103" t="s">
        <v>92</v>
      </c>
      <c r="AN183" s="100" t="s">
        <v>39</v>
      </c>
      <c r="AO183" s="99" t="s">
        <v>93</v>
      </c>
      <c r="AP183" s="100" t="s">
        <v>37</v>
      </c>
      <c r="AQ183" s="99" t="s">
        <v>94</v>
      </c>
      <c r="AR183" s="100" t="s">
        <v>51</v>
      </c>
      <c r="AS183" s="101" t="s">
        <v>95</v>
      </c>
      <c r="AT183" s="100" t="s">
        <v>86</v>
      </c>
      <c r="AU183" s="99" t="s">
        <v>87</v>
      </c>
      <c r="AV183" s="100" t="s">
        <v>88</v>
      </c>
      <c r="AW183" s="101" t="s">
        <v>89</v>
      </c>
      <c r="AX183" s="100" t="s">
        <v>45</v>
      </c>
      <c r="AY183" s="102" t="s">
        <v>90</v>
      </c>
      <c r="AZ183" s="24"/>
    </row>
    <row r="184">
      <c r="A184" s="229" t="str">
        <f>A178</f>
        <v>มีนาคม</v>
      </c>
      <c r="B184" s="193"/>
      <c r="C184" s="140" t="s">
        <v>231</v>
      </c>
      <c r="E184" s="218" t="s">
        <v>180</v>
      </c>
      <c r="G184" s="274" t="str">
        <f t="shared" si="255"/>
        <v>卯</v>
      </c>
      <c r="I184" s="142" t="str">
        <f t="shared" si="256"/>
        <v>午</v>
      </c>
      <c r="K184" s="36"/>
      <c r="L184" s="109">
        <f t="shared" si="257"/>
        <v>1000</v>
      </c>
      <c r="M184" s="105">
        <v>0.0</v>
      </c>
      <c r="N184" s="110">
        <v>0.0</v>
      </c>
      <c r="O184" s="9">
        <v>100.0</v>
      </c>
      <c r="P184" s="9">
        <v>100.0</v>
      </c>
      <c r="Q184" s="9">
        <v>100.0</v>
      </c>
      <c r="R184" s="110">
        <v>100.0</v>
      </c>
      <c r="S184" s="9">
        <v>100.0</v>
      </c>
      <c r="T184" s="110">
        <v>100.0</v>
      </c>
      <c r="U184" s="9">
        <v>100.0</v>
      </c>
      <c r="V184" s="110">
        <v>100.0</v>
      </c>
      <c r="W184" s="9">
        <v>100.0</v>
      </c>
      <c r="X184" s="110">
        <v>100.0</v>
      </c>
      <c r="Y184" s="73" t="s">
        <v>116</v>
      </c>
      <c r="Z184" s="94" t="s">
        <v>181</v>
      </c>
      <c r="AA184" s="36"/>
      <c r="AB184" s="36"/>
      <c r="AC184" s="111"/>
      <c r="AD184" s="112"/>
      <c r="AE184" s="37"/>
      <c r="AF184" s="97"/>
      <c r="AG184" s="14"/>
      <c r="AH184" s="14"/>
      <c r="AI184" s="14"/>
      <c r="AJ184" s="113"/>
      <c r="AK184" s="105" t="s">
        <v>103</v>
      </c>
      <c r="AM184" s="104" t="s">
        <v>104</v>
      </c>
      <c r="AO184" s="104" t="s">
        <v>105</v>
      </c>
      <c r="AQ184" s="104" t="s">
        <v>106</v>
      </c>
      <c r="AS184" s="105" t="s">
        <v>107</v>
      </c>
      <c r="AU184" s="104" t="s">
        <v>100</v>
      </c>
      <c r="AW184" s="114" t="s">
        <v>101</v>
      </c>
      <c r="AY184" s="105" t="s">
        <v>102</v>
      </c>
      <c r="AZ184" s="24"/>
    </row>
    <row r="185">
      <c r="A185" s="192">
        <v>2569.0</v>
      </c>
      <c r="B185" s="193"/>
      <c r="E185" s="115" t="s">
        <v>115</v>
      </c>
      <c r="F185" s="116" t="s">
        <v>80</v>
      </c>
      <c r="G185" s="115" t="str">
        <f>G34</f>
        <v>A10</v>
      </c>
      <c r="H185" s="9" t="str">
        <f>H40</f>
        <v>B8</v>
      </c>
      <c r="I185" s="9" t="str">
        <f t="shared" ref="I185:J185" si="258">I34</f>
        <v>A5</v>
      </c>
      <c r="J185" s="9" t="str">
        <f t="shared" si="258"/>
        <v>B11</v>
      </c>
      <c r="K185" s="36"/>
      <c r="L185" s="117"/>
      <c r="M185" s="130" t="str">
        <f t="shared" ref="M185:P185" si="259">C185</f>
        <v/>
      </c>
      <c r="N185" s="119" t="str">
        <f t="shared" si="259"/>
        <v/>
      </c>
      <c r="O185" s="118" t="str">
        <f t="shared" si="259"/>
        <v>A7</v>
      </c>
      <c r="P185" s="118" t="str">
        <f t="shared" si="259"/>
        <v>B1</v>
      </c>
      <c r="Q185" s="118" t="str">
        <f t="shared" ref="Q185:R185" si="260">E186</f>
        <v>B3</v>
      </c>
      <c r="R185" s="119" t="str">
        <f t="shared" si="260"/>
        <v>C12</v>
      </c>
      <c r="S185" s="9" t="s">
        <v>110</v>
      </c>
      <c r="T185" s="110" t="s">
        <v>108</v>
      </c>
      <c r="U185" s="9" t="str">
        <f t="shared" ref="U185:X185" si="261">G185</f>
        <v>A10</v>
      </c>
      <c r="V185" s="119" t="str">
        <f t="shared" si="261"/>
        <v>B8</v>
      </c>
      <c r="W185" s="118" t="str">
        <f t="shared" si="261"/>
        <v>A5</v>
      </c>
      <c r="X185" s="120" t="str">
        <f t="shared" si="261"/>
        <v>B11</v>
      </c>
      <c r="Y185" s="73" t="s">
        <v>126</v>
      </c>
      <c r="Z185" s="94" t="s">
        <v>163</v>
      </c>
      <c r="AA185" s="36"/>
      <c r="AB185" s="36"/>
      <c r="AC185" s="111"/>
      <c r="AD185" s="112"/>
      <c r="AE185" s="37"/>
      <c r="AF185" s="97"/>
      <c r="AG185" s="14"/>
      <c r="AH185" s="14"/>
      <c r="AI185" s="14"/>
      <c r="AJ185" s="113"/>
      <c r="AK185" s="105" t="s">
        <v>121</v>
      </c>
      <c r="AM185" s="104" t="s">
        <v>122</v>
      </c>
      <c r="AO185" s="104" t="s">
        <v>123</v>
      </c>
      <c r="AQ185" s="104" t="s">
        <v>124</v>
      </c>
      <c r="AS185" s="105" t="s">
        <v>125</v>
      </c>
      <c r="AU185" s="104" t="s">
        <v>118</v>
      </c>
      <c r="AW185" s="114" t="s">
        <v>119</v>
      </c>
      <c r="AY185" s="105" t="s">
        <v>120</v>
      </c>
      <c r="AZ185" s="24"/>
    </row>
    <row r="186">
      <c r="A186" s="192">
        <f>A185-543</f>
        <v>2026</v>
      </c>
      <c r="B186" s="193"/>
      <c r="E186" s="115" t="s">
        <v>183</v>
      </c>
      <c r="F186" s="116" t="s">
        <v>127</v>
      </c>
      <c r="G186" s="115"/>
      <c r="H186" s="118"/>
      <c r="I186" s="118"/>
      <c r="J186" s="118"/>
      <c r="K186" s="36"/>
      <c r="L186" s="117"/>
      <c r="M186" s="114"/>
      <c r="N186" s="121"/>
      <c r="O186" s="8"/>
      <c r="P186" s="8"/>
      <c r="Q186" s="8"/>
      <c r="R186" s="121"/>
      <c r="S186" s="8"/>
      <c r="T186" s="121"/>
      <c r="U186" s="9"/>
      <c r="V186" s="110"/>
      <c r="W186" s="9"/>
      <c r="X186" s="110"/>
      <c r="Y186" s="73" t="s">
        <v>69</v>
      </c>
      <c r="Z186" s="94" t="s">
        <v>99</v>
      </c>
      <c r="AA186" s="36"/>
      <c r="AB186" s="36"/>
      <c r="AC186" s="111"/>
      <c r="AD186" s="112"/>
      <c r="AE186" s="37"/>
      <c r="AF186" s="97"/>
      <c r="AG186" s="14"/>
      <c r="AH186" s="14"/>
      <c r="AI186" s="14"/>
      <c r="AJ186" s="113"/>
      <c r="AK186" s="105" t="s">
        <v>132</v>
      </c>
      <c r="AM186" s="104" t="s">
        <v>133</v>
      </c>
      <c r="AO186" s="104" t="s">
        <v>134</v>
      </c>
      <c r="AQ186" s="104" t="s">
        <v>135</v>
      </c>
      <c r="AS186" s="105" t="s">
        <v>136</v>
      </c>
      <c r="AU186" s="104" t="s">
        <v>129</v>
      </c>
      <c r="AW186" s="114" t="s">
        <v>130</v>
      </c>
      <c r="AY186" s="105" t="s">
        <v>131</v>
      </c>
      <c r="AZ186" s="24"/>
    </row>
    <row r="187">
      <c r="A187" s="310"/>
      <c r="B187" s="197"/>
      <c r="C187" s="1"/>
      <c r="D187" s="123"/>
      <c r="E187" s="164" t="s">
        <v>185</v>
      </c>
      <c r="F187" s="88"/>
      <c r="G187" s="165" t="str">
        <f>G5:H5</f>
        <v>อสูรเดือน W</v>
      </c>
      <c r="I187" s="166" t="str">
        <f>I5:J5</f>
        <v>อสูรปี N</v>
      </c>
      <c r="K187" s="90"/>
      <c r="L187" s="126"/>
      <c r="M187" s="114"/>
      <c r="N187" s="121"/>
      <c r="O187" s="8"/>
      <c r="P187" s="8"/>
      <c r="Q187" s="8"/>
      <c r="R187" s="121"/>
      <c r="S187" s="8"/>
      <c r="T187" s="121"/>
      <c r="U187" s="9"/>
      <c r="V187" s="110"/>
      <c r="W187" s="9"/>
      <c r="X187" s="110"/>
      <c r="Y187" s="127"/>
      <c r="Z187" s="155"/>
      <c r="AA187" s="36"/>
      <c r="AB187" s="36"/>
      <c r="AC187" s="111"/>
      <c r="AD187" s="112"/>
      <c r="AE187" s="37"/>
      <c r="AF187" s="97"/>
      <c r="AG187" s="14"/>
      <c r="AH187" s="14"/>
      <c r="AI187" s="14"/>
      <c r="AJ187" s="113"/>
      <c r="AW187" s="128"/>
      <c r="AZ187" s="24"/>
    </row>
    <row r="188">
      <c r="A188" s="188" t="s">
        <v>186</v>
      </c>
      <c r="B188" s="189"/>
      <c r="C188" s="63"/>
      <c r="D188" s="63"/>
      <c r="E188" s="228">
        <f>(O189+P189+Q189+R189)/(O190+P190+Q190+R190)</f>
        <v>0.725</v>
      </c>
      <c r="F188" s="72"/>
      <c r="G188" s="133"/>
      <c r="H188" s="66"/>
      <c r="I188" s="67"/>
      <c r="J188" s="67"/>
      <c r="K188" s="68"/>
      <c r="L188" s="69"/>
      <c r="M188" s="295" t="s">
        <v>64</v>
      </c>
      <c r="N188" s="70"/>
      <c r="O188" s="71" t="s">
        <v>65</v>
      </c>
      <c r="P188" s="72"/>
      <c r="Q188" s="72"/>
      <c r="R188" s="70"/>
      <c r="S188" s="71" t="s">
        <v>66</v>
      </c>
      <c r="T188" s="70"/>
      <c r="U188" s="71" t="s">
        <v>67</v>
      </c>
      <c r="V188" s="70"/>
      <c r="W188" s="71" t="s">
        <v>68</v>
      </c>
      <c r="X188" s="70"/>
      <c r="Y188" s="134" t="s">
        <v>80</v>
      </c>
      <c r="Z188" s="74" t="s">
        <v>159</v>
      </c>
      <c r="AA188" s="75" t="s">
        <v>189</v>
      </c>
      <c r="AB188" s="75" t="s">
        <v>192</v>
      </c>
      <c r="AC188" s="190" t="s">
        <v>173</v>
      </c>
      <c r="AD188" s="77" t="s">
        <v>193</v>
      </c>
      <c r="AE188" s="63" t="s">
        <v>144</v>
      </c>
      <c r="AF188" s="78" t="s">
        <v>75</v>
      </c>
      <c r="AG188" s="79" t="s">
        <v>71</v>
      </c>
      <c r="AH188" s="79">
        <v>210.0</v>
      </c>
      <c r="AI188" s="79" t="s">
        <v>175</v>
      </c>
      <c r="AJ188" s="80" t="str">
        <f>AJ182</f>
        <v>開</v>
      </c>
      <c r="AK188" s="81" t="s">
        <v>38</v>
      </c>
      <c r="AL188" s="82" t="str">
        <f>AL182</f>
        <v>休</v>
      </c>
      <c r="AM188" s="81" t="s">
        <v>40</v>
      </c>
      <c r="AN188" s="82" t="s">
        <v>4</v>
      </c>
      <c r="AO188" s="81" t="s">
        <v>42</v>
      </c>
      <c r="AP188" s="82" t="str">
        <f>AP182</f>
        <v>傷</v>
      </c>
      <c r="AQ188" s="81" t="s">
        <v>44</v>
      </c>
      <c r="AR188" s="82" t="s">
        <v>8</v>
      </c>
      <c r="AS188" s="81" t="s">
        <v>46</v>
      </c>
      <c r="AT188" s="82" t="str">
        <f>AT182</f>
        <v>景</v>
      </c>
      <c r="AU188" s="81" t="s">
        <v>48</v>
      </c>
      <c r="AV188" s="82" t="str">
        <f>AV182</f>
        <v>死</v>
      </c>
      <c r="AW188" s="81" t="s">
        <v>50</v>
      </c>
      <c r="AX188" s="82" t="str">
        <f>AX182</f>
        <v>驚</v>
      </c>
      <c r="AY188" s="81" t="s">
        <v>52</v>
      </c>
      <c r="AZ188" s="83"/>
      <c r="BA188" s="84"/>
      <c r="BB188" s="84"/>
      <c r="BC188" s="84"/>
    </row>
    <row r="189">
      <c r="A189" s="192">
        <f>A183+1</f>
        <v>30</v>
      </c>
      <c r="B189" s="193"/>
      <c r="C189" s="12" t="s">
        <v>176</v>
      </c>
      <c r="E189" s="203" t="s">
        <v>171</v>
      </c>
      <c r="G189" s="194" t="str">
        <f t="shared" ref="G189:G190" si="264">G3:H3</f>
        <v>辛</v>
      </c>
      <c r="I189" s="275" t="str">
        <f t="shared" ref="I189:I190" si="265">I32:J32</f>
        <v>丙</v>
      </c>
      <c r="K189" s="90">
        <f>L189/L190</f>
        <v>0.63</v>
      </c>
      <c r="L189" s="126">
        <f t="shared" ref="L189:L190" si="266">O189+P189+Q189+U189+V189+W189+X189+R189+M189+N189+S189+T189</f>
        <v>630</v>
      </c>
      <c r="M189" s="101">
        <v>0.0</v>
      </c>
      <c r="N189" s="93">
        <v>0.0</v>
      </c>
      <c r="O189" s="92">
        <v>80.0</v>
      </c>
      <c r="P189" s="92">
        <v>80.0</v>
      </c>
      <c r="Q189" s="92">
        <v>80.0</v>
      </c>
      <c r="R189" s="93">
        <v>50.0</v>
      </c>
      <c r="S189" s="92">
        <v>0.0</v>
      </c>
      <c r="T189" s="93">
        <v>80.0</v>
      </c>
      <c r="U189" s="92">
        <f t="shared" ref="U189:V189" si="262">U38</f>
        <v>0</v>
      </c>
      <c r="V189" s="93">
        <f t="shared" si="262"/>
        <v>90</v>
      </c>
      <c r="W189" s="92">
        <f t="shared" ref="W189:X189" si="263">W32</f>
        <v>110</v>
      </c>
      <c r="X189" s="93">
        <f t="shared" si="263"/>
        <v>60</v>
      </c>
      <c r="Y189" s="73" t="s">
        <v>98</v>
      </c>
      <c r="Z189" s="94" t="s">
        <v>152</v>
      </c>
      <c r="AA189" s="36"/>
      <c r="AB189" s="29" t="s">
        <v>326</v>
      </c>
      <c r="AC189" s="195" t="s">
        <v>196</v>
      </c>
      <c r="AD189" s="96" t="s">
        <v>149</v>
      </c>
      <c r="AE189" s="37"/>
      <c r="AF189" s="97"/>
      <c r="AG189" s="12" t="s">
        <v>53</v>
      </c>
      <c r="AH189" s="12">
        <v>30.0</v>
      </c>
      <c r="AI189" s="12" t="s">
        <v>178</v>
      </c>
      <c r="AJ189" s="98" t="s">
        <v>41</v>
      </c>
      <c r="AK189" s="103" t="s">
        <v>92</v>
      </c>
      <c r="AL189" s="100" t="s">
        <v>39</v>
      </c>
      <c r="AM189" s="99" t="s">
        <v>93</v>
      </c>
      <c r="AN189" s="100" t="s">
        <v>37</v>
      </c>
      <c r="AO189" s="99" t="s">
        <v>94</v>
      </c>
      <c r="AP189" s="100" t="s">
        <v>51</v>
      </c>
      <c r="AQ189" s="101" t="s">
        <v>95</v>
      </c>
      <c r="AR189" s="100" t="s">
        <v>86</v>
      </c>
      <c r="AS189" s="99" t="s">
        <v>87</v>
      </c>
      <c r="AT189" s="100" t="s">
        <v>88</v>
      </c>
      <c r="AU189" s="101" t="s">
        <v>89</v>
      </c>
      <c r="AV189" s="100" t="s">
        <v>45</v>
      </c>
      <c r="AW189" s="102" t="s">
        <v>90</v>
      </c>
      <c r="AX189" s="100" t="s">
        <v>43</v>
      </c>
      <c r="AY189" s="101" t="s">
        <v>91</v>
      </c>
      <c r="AZ189" s="24"/>
    </row>
    <row r="190">
      <c r="A190" s="229" t="str">
        <f>A184</f>
        <v>มีนาคม</v>
      </c>
      <c r="B190" s="193"/>
      <c r="C190" s="140" t="s">
        <v>235</v>
      </c>
      <c r="E190" s="171" t="s">
        <v>189</v>
      </c>
      <c r="G190" s="274" t="str">
        <f t="shared" si="264"/>
        <v>卯</v>
      </c>
      <c r="I190" s="142" t="str">
        <f t="shared" si="265"/>
        <v>午</v>
      </c>
      <c r="K190" s="36"/>
      <c r="L190" s="109">
        <f t="shared" si="266"/>
        <v>1000</v>
      </c>
      <c r="M190" s="105">
        <v>0.0</v>
      </c>
      <c r="N190" s="110">
        <v>0.0</v>
      </c>
      <c r="O190" s="9">
        <v>100.0</v>
      </c>
      <c r="P190" s="9">
        <v>100.0</v>
      </c>
      <c r="Q190" s="9">
        <v>100.0</v>
      </c>
      <c r="R190" s="110">
        <v>100.0</v>
      </c>
      <c r="S190" s="9">
        <v>100.0</v>
      </c>
      <c r="T190" s="110">
        <v>100.0</v>
      </c>
      <c r="U190" s="9">
        <v>100.0</v>
      </c>
      <c r="V190" s="110">
        <v>100.0</v>
      </c>
      <c r="W190" s="9">
        <v>100.0</v>
      </c>
      <c r="X190" s="110">
        <v>100.0</v>
      </c>
      <c r="Y190" s="73" t="s">
        <v>116</v>
      </c>
      <c r="Z190" s="94" t="s">
        <v>81</v>
      </c>
      <c r="AA190" s="36"/>
      <c r="AB190" s="36"/>
      <c r="AC190" s="111"/>
      <c r="AD190" s="112"/>
      <c r="AE190" s="37"/>
      <c r="AF190" s="97"/>
      <c r="AG190" s="14"/>
      <c r="AH190" s="14"/>
      <c r="AI190" s="14"/>
      <c r="AJ190" s="113"/>
      <c r="AK190" s="104" t="s">
        <v>104</v>
      </c>
      <c r="AM190" s="104" t="s">
        <v>105</v>
      </c>
      <c r="AO190" s="104" t="s">
        <v>106</v>
      </c>
      <c r="AQ190" s="105" t="s">
        <v>107</v>
      </c>
      <c r="AS190" s="104" t="s">
        <v>100</v>
      </c>
      <c r="AU190" s="114" t="s">
        <v>101</v>
      </c>
      <c r="AW190" s="105" t="s">
        <v>102</v>
      </c>
      <c r="AY190" s="105" t="s">
        <v>103</v>
      </c>
      <c r="AZ190" s="24"/>
    </row>
    <row r="191">
      <c r="A191" s="192">
        <v>2569.0</v>
      </c>
      <c r="B191" s="193"/>
      <c r="E191" s="115" t="s">
        <v>182</v>
      </c>
      <c r="F191" s="116" t="s">
        <v>98</v>
      </c>
      <c r="G191" s="115" t="str">
        <f>G34</f>
        <v>A10</v>
      </c>
      <c r="H191" s="9" t="str">
        <f>H40</f>
        <v>B8</v>
      </c>
      <c r="I191" s="9" t="str">
        <f t="shared" ref="I191:J191" si="267">I34</f>
        <v>A5</v>
      </c>
      <c r="J191" s="9" t="str">
        <f t="shared" si="267"/>
        <v>B11</v>
      </c>
      <c r="K191" s="36"/>
      <c r="L191" s="117"/>
      <c r="M191" s="130" t="str">
        <f t="shared" ref="M191:P191" si="268">C191</f>
        <v/>
      </c>
      <c r="N191" s="119" t="str">
        <f t="shared" si="268"/>
        <v/>
      </c>
      <c r="O191" s="118" t="str">
        <f t="shared" si="268"/>
        <v>A1</v>
      </c>
      <c r="P191" s="118" t="str">
        <f t="shared" si="268"/>
        <v>B2</v>
      </c>
      <c r="Q191" s="118" t="str">
        <f t="shared" ref="Q191:R191" si="269">E192</f>
        <v>B2</v>
      </c>
      <c r="R191" s="119" t="str">
        <f t="shared" si="269"/>
        <v>C1</v>
      </c>
      <c r="S191" s="9" t="s">
        <v>114</v>
      </c>
      <c r="T191" s="110" t="s">
        <v>182</v>
      </c>
      <c r="U191" s="9" t="str">
        <f t="shared" ref="U191:X191" si="270">G191</f>
        <v>A10</v>
      </c>
      <c r="V191" s="119" t="str">
        <f t="shared" si="270"/>
        <v>B8</v>
      </c>
      <c r="W191" s="118" t="str">
        <f t="shared" si="270"/>
        <v>A5</v>
      </c>
      <c r="X191" s="120" t="str">
        <f t="shared" si="270"/>
        <v>B11</v>
      </c>
      <c r="Y191" s="73" t="s">
        <v>126</v>
      </c>
      <c r="Z191" s="94" t="s">
        <v>99</v>
      </c>
      <c r="AA191" s="36"/>
      <c r="AB191" s="36"/>
      <c r="AC191" s="111"/>
      <c r="AD191" s="112"/>
      <c r="AE191" s="37"/>
      <c r="AF191" s="97"/>
      <c r="AG191" s="14"/>
      <c r="AH191" s="14"/>
      <c r="AI191" s="14"/>
      <c r="AJ191" s="113"/>
      <c r="AK191" s="104" t="s">
        <v>122</v>
      </c>
      <c r="AM191" s="104" t="s">
        <v>123</v>
      </c>
      <c r="AO191" s="104" t="s">
        <v>124</v>
      </c>
      <c r="AQ191" s="105" t="s">
        <v>125</v>
      </c>
      <c r="AS191" s="104" t="s">
        <v>118</v>
      </c>
      <c r="AU191" s="114" t="s">
        <v>119</v>
      </c>
      <c r="AW191" s="105" t="s">
        <v>120</v>
      </c>
      <c r="AY191" s="105" t="s">
        <v>121</v>
      </c>
      <c r="AZ191" s="24"/>
    </row>
    <row r="192">
      <c r="A192" s="192">
        <f>A191-543</f>
        <v>2026</v>
      </c>
      <c r="B192" s="193"/>
      <c r="E192" s="115" t="s">
        <v>98</v>
      </c>
      <c r="F192" s="116" t="s">
        <v>154</v>
      </c>
      <c r="G192" s="115"/>
      <c r="H192" s="118"/>
      <c r="I192" s="118"/>
      <c r="J192" s="118"/>
      <c r="K192" s="36"/>
      <c r="L192" s="117"/>
      <c r="M192" s="114"/>
      <c r="N192" s="121"/>
      <c r="O192" s="8"/>
      <c r="P192" s="8"/>
      <c r="Q192" s="8"/>
      <c r="R192" s="121"/>
      <c r="S192" s="8"/>
      <c r="T192" s="121"/>
      <c r="U192" s="9"/>
      <c r="V192" s="110"/>
      <c r="W192" s="9"/>
      <c r="X192" s="110"/>
      <c r="Y192" s="73" t="s">
        <v>69</v>
      </c>
      <c r="Z192" s="94" t="s">
        <v>155</v>
      </c>
      <c r="AA192" s="36"/>
      <c r="AB192" s="36"/>
      <c r="AC192" s="111"/>
      <c r="AD192" s="112"/>
      <c r="AE192" s="37"/>
      <c r="AF192" s="97"/>
      <c r="AG192" s="14"/>
      <c r="AH192" s="14"/>
      <c r="AI192" s="14"/>
      <c r="AJ192" s="113"/>
      <c r="AK192" s="104" t="s">
        <v>133</v>
      </c>
      <c r="AM192" s="104" t="s">
        <v>134</v>
      </c>
      <c r="AO192" s="104" t="s">
        <v>135</v>
      </c>
      <c r="AQ192" s="105" t="s">
        <v>136</v>
      </c>
      <c r="AS192" s="104" t="s">
        <v>129</v>
      </c>
      <c r="AU192" s="114" t="s">
        <v>130</v>
      </c>
      <c r="AW192" s="105" t="s">
        <v>131</v>
      </c>
      <c r="AY192" s="105" t="s">
        <v>132</v>
      </c>
      <c r="AZ192" s="24"/>
    </row>
    <row r="193">
      <c r="A193" s="196"/>
      <c r="B193" s="197"/>
      <c r="C193" s="1"/>
      <c r="D193" s="123"/>
      <c r="E193" s="176" t="s">
        <v>137</v>
      </c>
      <c r="F193" s="88"/>
      <c r="G193" s="165" t="str">
        <f>G5:H5</f>
        <v>อสูรเดือน W</v>
      </c>
      <c r="I193" s="166" t="str">
        <f>I5:J5</f>
        <v>อสูรปี N</v>
      </c>
      <c r="K193" s="90"/>
      <c r="L193" s="126"/>
      <c r="M193" s="114"/>
      <c r="N193" s="121"/>
      <c r="O193" s="8"/>
      <c r="P193" s="8"/>
      <c r="Q193" s="8"/>
      <c r="R193" s="121"/>
      <c r="S193" s="8"/>
      <c r="T193" s="121"/>
      <c r="U193" s="9"/>
      <c r="V193" s="110"/>
      <c r="W193" s="9"/>
      <c r="X193" s="110"/>
      <c r="Y193" s="127"/>
      <c r="Z193" s="155"/>
      <c r="AA193" s="36"/>
      <c r="AB193" s="36"/>
      <c r="AC193" s="111"/>
      <c r="AD193" s="112"/>
      <c r="AE193" s="37"/>
      <c r="AF193" s="97"/>
      <c r="AG193" s="14"/>
      <c r="AH193" s="14"/>
      <c r="AI193" s="14"/>
      <c r="AJ193" s="113"/>
      <c r="AW193" s="128"/>
      <c r="AZ193" s="24"/>
    </row>
    <row r="194">
      <c r="A194" s="188" t="s">
        <v>191</v>
      </c>
      <c r="B194" s="189"/>
      <c r="C194" s="63"/>
      <c r="D194" s="63"/>
      <c r="E194" s="225">
        <f>(O195+P195+Q195+R195)/(O196+P196+Q196+R196)</f>
        <v>0.3875</v>
      </c>
      <c r="F194" s="72"/>
      <c r="G194" s="133"/>
      <c r="H194" s="66"/>
      <c r="I194" s="67"/>
      <c r="J194" s="67"/>
      <c r="K194" s="68"/>
      <c r="L194" s="69"/>
      <c r="M194" s="295" t="s">
        <v>64</v>
      </c>
      <c r="N194" s="70"/>
      <c r="O194" s="71" t="s">
        <v>65</v>
      </c>
      <c r="P194" s="72"/>
      <c r="Q194" s="72"/>
      <c r="R194" s="70"/>
      <c r="S194" s="71" t="s">
        <v>66</v>
      </c>
      <c r="T194" s="70"/>
      <c r="U194" s="71" t="s">
        <v>67</v>
      </c>
      <c r="V194" s="70"/>
      <c r="W194" s="71" t="s">
        <v>68</v>
      </c>
      <c r="X194" s="70"/>
      <c r="Y194" s="134" t="s">
        <v>80</v>
      </c>
      <c r="Z194" s="74" t="s">
        <v>181</v>
      </c>
      <c r="AA194" s="75" t="s">
        <v>31</v>
      </c>
      <c r="AB194" s="75" t="s">
        <v>141</v>
      </c>
      <c r="AC194" s="76" t="s">
        <v>73</v>
      </c>
      <c r="AD194" s="77" t="s">
        <v>74</v>
      </c>
      <c r="AE194" s="63" t="s">
        <v>35</v>
      </c>
      <c r="AF194" s="78" t="s">
        <v>144</v>
      </c>
      <c r="AG194" s="79" t="s">
        <v>71</v>
      </c>
      <c r="AH194" s="79">
        <v>210.0</v>
      </c>
      <c r="AI194" s="79" t="s">
        <v>175</v>
      </c>
      <c r="AJ194" s="80" t="str">
        <f>AJ188</f>
        <v>開</v>
      </c>
      <c r="AK194" s="81" t="s">
        <v>38</v>
      </c>
      <c r="AL194" s="82" t="str">
        <f>AL188</f>
        <v>休</v>
      </c>
      <c r="AM194" s="81" t="s">
        <v>40</v>
      </c>
      <c r="AN194" s="82" t="s">
        <v>4</v>
      </c>
      <c r="AO194" s="81" t="s">
        <v>42</v>
      </c>
      <c r="AP194" s="82" t="str">
        <f>AP188</f>
        <v>傷</v>
      </c>
      <c r="AQ194" s="81" t="s">
        <v>44</v>
      </c>
      <c r="AR194" s="82" t="s">
        <v>8</v>
      </c>
      <c r="AS194" s="81" t="s">
        <v>46</v>
      </c>
      <c r="AT194" s="82" t="str">
        <f>AT188</f>
        <v>景</v>
      </c>
      <c r="AU194" s="81" t="s">
        <v>48</v>
      </c>
      <c r="AV194" s="82" t="str">
        <f>AV188</f>
        <v>死</v>
      </c>
      <c r="AW194" s="81" t="s">
        <v>50</v>
      </c>
      <c r="AX194" s="82" t="str">
        <f>AX188</f>
        <v>驚</v>
      </c>
      <c r="AY194" s="81" t="s">
        <v>52</v>
      </c>
      <c r="AZ194" s="83"/>
      <c r="BA194" s="84"/>
      <c r="BB194" s="84"/>
      <c r="BC194" s="84"/>
    </row>
    <row r="195">
      <c r="A195" s="192">
        <f>A189+1</f>
        <v>31</v>
      </c>
      <c r="B195" s="193"/>
      <c r="C195" s="12" t="s">
        <v>248</v>
      </c>
      <c r="E195" s="87" t="s">
        <v>222</v>
      </c>
      <c r="G195" s="194" t="str">
        <f t="shared" ref="G195:G196" si="273">G3:H3</f>
        <v>辛</v>
      </c>
      <c r="I195" s="275" t="str">
        <f t="shared" ref="I195:I196" si="274">I32:J32</f>
        <v>丙</v>
      </c>
      <c r="K195" s="90">
        <f>L195/L196</f>
        <v>0.575</v>
      </c>
      <c r="L195" s="126">
        <f t="shared" ref="L195:L196" si="275">O195+P195+Q195+U195+V195+W195+X195+R195+M195+N195+S195+T195</f>
        <v>575</v>
      </c>
      <c r="M195" s="101">
        <v>0.0</v>
      </c>
      <c r="N195" s="93">
        <v>0.0</v>
      </c>
      <c r="O195" s="92">
        <v>35.0</v>
      </c>
      <c r="P195" s="92">
        <v>20.0</v>
      </c>
      <c r="Q195" s="92">
        <v>70.0</v>
      </c>
      <c r="R195" s="93">
        <v>30.0</v>
      </c>
      <c r="S195" s="92">
        <v>50.0</v>
      </c>
      <c r="T195" s="93">
        <v>110.0</v>
      </c>
      <c r="U195" s="92">
        <f t="shared" ref="U195:V195" si="271">U38</f>
        <v>0</v>
      </c>
      <c r="V195" s="93">
        <f t="shared" si="271"/>
        <v>90</v>
      </c>
      <c r="W195" s="92">
        <f t="shared" ref="W195:X195" si="272">W32</f>
        <v>110</v>
      </c>
      <c r="X195" s="93">
        <f t="shared" si="272"/>
        <v>60</v>
      </c>
      <c r="Y195" s="73" t="s">
        <v>98</v>
      </c>
      <c r="Z195" s="94" t="s">
        <v>163</v>
      </c>
      <c r="AA195" s="36"/>
      <c r="AB195" s="29"/>
      <c r="AC195" s="95" t="s">
        <v>82</v>
      </c>
      <c r="AD195" s="96" t="s">
        <v>83</v>
      </c>
      <c r="AE195" s="37"/>
      <c r="AF195" s="97"/>
      <c r="AG195" s="12" t="s">
        <v>53</v>
      </c>
      <c r="AH195" s="12">
        <v>30.0</v>
      </c>
      <c r="AI195" s="12" t="s">
        <v>178</v>
      </c>
      <c r="AJ195" s="98" t="s">
        <v>41</v>
      </c>
      <c r="AK195" s="103" t="s">
        <v>92</v>
      </c>
      <c r="AL195" s="100" t="s">
        <v>39</v>
      </c>
      <c r="AM195" s="99" t="s">
        <v>93</v>
      </c>
      <c r="AN195" s="100" t="s">
        <v>37</v>
      </c>
      <c r="AO195" s="99" t="s">
        <v>94</v>
      </c>
      <c r="AP195" s="100" t="s">
        <v>51</v>
      </c>
      <c r="AQ195" s="101" t="s">
        <v>95</v>
      </c>
      <c r="AR195" s="100" t="s">
        <v>86</v>
      </c>
      <c r="AS195" s="99" t="s">
        <v>87</v>
      </c>
      <c r="AT195" s="100" t="s">
        <v>88</v>
      </c>
      <c r="AU195" s="101" t="s">
        <v>89</v>
      </c>
      <c r="AV195" s="100" t="s">
        <v>45</v>
      </c>
      <c r="AW195" s="102" t="s">
        <v>90</v>
      </c>
      <c r="AX195" s="100" t="s">
        <v>43</v>
      </c>
      <c r="AY195" s="101" t="s">
        <v>91</v>
      </c>
      <c r="AZ195" s="24"/>
    </row>
    <row r="196">
      <c r="A196" s="215" t="str">
        <f>A190</f>
        <v>มีนาคม</v>
      </c>
      <c r="B196" s="193"/>
      <c r="C196" s="140" t="s">
        <v>239</v>
      </c>
      <c r="E196" s="162" t="s">
        <v>197</v>
      </c>
      <c r="G196" s="274" t="str">
        <f t="shared" si="273"/>
        <v>卯</v>
      </c>
      <c r="I196" s="142" t="str">
        <f t="shared" si="274"/>
        <v>午</v>
      </c>
      <c r="K196" s="36"/>
      <c r="L196" s="109">
        <f t="shared" si="275"/>
        <v>1000</v>
      </c>
      <c r="M196" s="105">
        <v>0.0</v>
      </c>
      <c r="N196" s="110">
        <v>0.0</v>
      </c>
      <c r="O196" s="9">
        <v>100.0</v>
      </c>
      <c r="P196" s="9">
        <v>100.0</v>
      </c>
      <c r="Q196" s="9">
        <v>100.0</v>
      </c>
      <c r="R196" s="110">
        <v>100.0</v>
      </c>
      <c r="S196" s="9">
        <v>100.0</v>
      </c>
      <c r="T196" s="110">
        <v>100.0</v>
      </c>
      <c r="U196" s="9">
        <v>100.0</v>
      </c>
      <c r="V196" s="110">
        <v>100.0</v>
      </c>
      <c r="W196" s="9">
        <v>100.0</v>
      </c>
      <c r="X196" s="110">
        <v>100.0</v>
      </c>
      <c r="Y196" s="73" t="s">
        <v>116</v>
      </c>
      <c r="Z196" s="94" t="s">
        <v>153</v>
      </c>
      <c r="AA196" s="36"/>
      <c r="AB196" s="36"/>
      <c r="AC196" s="111"/>
      <c r="AD196" s="112"/>
      <c r="AE196" s="37"/>
      <c r="AF196" s="97"/>
      <c r="AG196" s="14"/>
      <c r="AH196" s="14"/>
      <c r="AI196" s="14"/>
      <c r="AJ196" s="113"/>
      <c r="AK196" s="104" t="s">
        <v>104</v>
      </c>
      <c r="AM196" s="104" t="s">
        <v>105</v>
      </c>
      <c r="AO196" s="104" t="s">
        <v>106</v>
      </c>
      <c r="AQ196" s="105" t="s">
        <v>107</v>
      </c>
      <c r="AS196" s="104" t="s">
        <v>100</v>
      </c>
      <c r="AU196" s="114" t="s">
        <v>101</v>
      </c>
      <c r="AW196" s="105" t="s">
        <v>102</v>
      </c>
      <c r="AY196" s="105" t="s">
        <v>103</v>
      </c>
      <c r="AZ196" s="24"/>
    </row>
    <row r="197">
      <c r="A197" s="192">
        <v>2569.0</v>
      </c>
      <c r="B197" s="193"/>
      <c r="E197" s="115" t="s">
        <v>198</v>
      </c>
      <c r="F197" s="116" t="s">
        <v>183</v>
      </c>
      <c r="G197" s="115" t="str">
        <f>G34</f>
        <v>A10</v>
      </c>
      <c r="H197" s="9" t="str">
        <f>H40</f>
        <v>B8</v>
      </c>
      <c r="I197" s="9" t="str">
        <f t="shared" ref="I197:J197" si="276">I34</f>
        <v>A5</v>
      </c>
      <c r="J197" s="9" t="str">
        <f t="shared" si="276"/>
        <v>B11</v>
      </c>
      <c r="K197" s="36"/>
      <c r="L197" s="117"/>
      <c r="M197" s="130" t="str">
        <f t="shared" ref="M197:P197" si="277">C197</f>
        <v/>
      </c>
      <c r="N197" s="119" t="str">
        <f t="shared" si="277"/>
        <v/>
      </c>
      <c r="O197" s="118" t="str">
        <f t="shared" si="277"/>
        <v>A6</v>
      </c>
      <c r="P197" s="118" t="str">
        <f t="shared" si="277"/>
        <v>B3</v>
      </c>
      <c r="Q197" s="118" t="str">
        <f t="shared" ref="Q197:R197" si="278">E198</f>
        <v>B1</v>
      </c>
      <c r="R197" s="119" t="str">
        <f t="shared" si="278"/>
        <v>C2</v>
      </c>
      <c r="S197" s="9" t="s">
        <v>164</v>
      </c>
      <c r="T197" s="110" t="s">
        <v>204</v>
      </c>
      <c r="U197" s="9" t="str">
        <f t="shared" ref="U197:X197" si="279">G197</f>
        <v>A10</v>
      </c>
      <c r="V197" s="119" t="str">
        <f t="shared" si="279"/>
        <v>B8</v>
      </c>
      <c r="W197" s="118" t="str">
        <f t="shared" si="279"/>
        <v>A5</v>
      </c>
      <c r="X197" s="120" t="str">
        <f t="shared" si="279"/>
        <v>B11</v>
      </c>
      <c r="Y197" s="73" t="s">
        <v>126</v>
      </c>
      <c r="Z197" s="94" t="s">
        <v>155</v>
      </c>
      <c r="AA197" s="36"/>
      <c r="AB197" s="36"/>
      <c r="AC197" s="111"/>
      <c r="AD197" s="112"/>
      <c r="AE197" s="37"/>
      <c r="AF197" s="97"/>
      <c r="AG197" s="14"/>
      <c r="AH197" s="14"/>
      <c r="AI197" s="14"/>
      <c r="AJ197" s="113"/>
      <c r="AK197" s="104" t="s">
        <v>122</v>
      </c>
      <c r="AM197" s="104" t="s">
        <v>123</v>
      </c>
      <c r="AO197" s="104" t="s">
        <v>124</v>
      </c>
      <c r="AQ197" s="105" t="s">
        <v>125</v>
      </c>
      <c r="AS197" s="104" t="s">
        <v>118</v>
      </c>
      <c r="AU197" s="114" t="s">
        <v>119</v>
      </c>
      <c r="AW197" s="105" t="s">
        <v>120</v>
      </c>
      <c r="AY197" s="105" t="s">
        <v>121</v>
      </c>
      <c r="AZ197" s="24"/>
    </row>
    <row r="198">
      <c r="A198" s="192">
        <f>A197-543</f>
        <v>2026</v>
      </c>
      <c r="B198" s="193"/>
      <c r="E198" s="115" t="s">
        <v>80</v>
      </c>
      <c r="F198" s="116" t="s">
        <v>167</v>
      </c>
      <c r="G198" s="115"/>
      <c r="H198" s="118"/>
      <c r="I198" s="118"/>
      <c r="J198" s="118"/>
      <c r="K198" s="36"/>
      <c r="L198" s="117"/>
      <c r="M198" s="114"/>
      <c r="N198" s="121"/>
      <c r="O198" s="8"/>
      <c r="P198" s="8"/>
      <c r="Q198" s="8"/>
      <c r="R198" s="121"/>
      <c r="S198" s="8"/>
      <c r="T198" s="121"/>
      <c r="U198" s="9"/>
      <c r="V198" s="110"/>
      <c r="W198" s="9"/>
      <c r="X198" s="110"/>
      <c r="Y198" s="73" t="s">
        <v>69</v>
      </c>
      <c r="Z198" s="94" t="s">
        <v>128</v>
      </c>
      <c r="AA198" s="36"/>
      <c r="AB198" s="36"/>
      <c r="AC198" s="111"/>
      <c r="AD198" s="112"/>
      <c r="AE198" s="37"/>
      <c r="AF198" s="97"/>
      <c r="AG198" s="14"/>
      <c r="AH198" s="14"/>
      <c r="AI198" s="14"/>
      <c r="AJ198" s="113"/>
      <c r="AK198" s="104" t="s">
        <v>133</v>
      </c>
      <c r="AM198" s="104" t="s">
        <v>134</v>
      </c>
      <c r="AO198" s="104" t="s">
        <v>135</v>
      </c>
      <c r="AQ198" s="105" t="s">
        <v>136</v>
      </c>
      <c r="AS198" s="104" t="s">
        <v>129</v>
      </c>
      <c r="AU198" s="114" t="s">
        <v>130</v>
      </c>
      <c r="AW198" s="105" t="s">
        <v>131</v>
      </c>
      <c r="AY198" s="105" t="s">
        <v>132</v>
      </c>
      <c r="AZ198" s="24"/>
    </row>
    <row r="199">
      <c r="A199" s="230"/>
      <c r="B199" s="231"/>
      <c r="C199" s="185"/>
      <c r="D199" s="186"/>
      <c r="E199" s="176" t="s">
        <v>157</v>
      </c>
      <c r="F199" s="88"/>
      <c r="G199" s="146" t="str">
        <f>G5:H5</f>
        <v>อสูรเดือน W</v>
      </c>
      <c r="H199" s="147"/>
      <c r="I199" s="148" t="str">
        <f>I5:J5</f>
        <v>อสูรปี N</v>
      </c>
      <c r="J199" s="147"/>
      <c r="K199" s="149"/>
      <c r="L199" s="150"/>
      <c r="M199" s="302"/>
      <c r="N199" s="152"/>
      <c r="O199" s="151"/>
      <c r="P199" s="151"/>
      <c r="Q199" s="151"/>
      <c r="R199" s="152"/>
      <c r="S199" s="151"/>
      <c r="T199" s="152"/>
      <c r="U199" s="153"/>
      <c r="V199" s="154"/>
      <c r="W199" s="153"/>
      <c r="X199" s="154"/>
      <c r="Y199" s="233"/>
      <c r="Z199" s="234"/>
      <c r="AA199" s="156"/>
      <c r="AB199" s="156"/>
      <c r="AC199" s="235"/>
      <c r="AD199" s="236"/>
      <c r="AE199" s="237"/>
      <c r="AF199" s="238"/>
      <c r="AG199" s="239"/>
      <c r="AH199" s="239"/>
      <c r="AI199" s="239"/>
      <c r="AJ199" s="157"/>
      <c r="AK199" s="158"/>
      <c r="AL199" s="158"/>
      <c r="AM199" s="240"/>
      <c r="AN199" s="158"/>
      <c r="AO199" s="158"/>
      <c r="AP199" s="158"/>
      <c r="AQ199" s="158"/>
      <c r="AR199" s="158"/>
      <c r="AS199" s="158"/>
      <c r="AT199" s="158"/>
      <c r="AU199" s="158"/>
      <c r="AV199" s="158"/>
      <c r="AW199" s="158"/>
      <c r="AX199" s="158"/>
      <c r="AY199" s="241"/>
      <c r="AZ199" s="24"/>
    </row>
    <row r="200">
      <c r="B200" s="24"/>
      <c r="E200" s="225"/>
      <c r="F200" s="72"/>
      <c r="G200" s="113"/>
      <c r="K200" s="36"/>
      <c r="L200" s="117"/>
      <c r="M200" s="128"/>
      <c r="N200" s="117"/>
      <c r="R200" s="117"/>
      <c r="T200" s="117"/>
      <c r="V200" s="117"/>
      <c r="X200" s="117"/>
      <c r="Y200" s="127"/>
      <c r="Z200" s="155"/>
      <c r="AA200" s="36"/>
      <c r="AB200" s="36"/>
      <c r="AC200" s="13"/>
      <c r="AD200" s="13"/>
      <c r="AE200" s="1"/>
      <c r="AF200" s="1"/>
      <c r="AG200" s="14"/>
      <c r="AH200" s="14"/>
      <c r="AI200" s="14"/>
      <c r="AZ200" s="24"/>
    </row>
    <row r="201">
      <c r="B201" s="24"/>
      <c r="E201" s="87"/>
      <c r="G201" s="113"/>
      <c r="K201" s="36"/>
      <c r="L201" s="117"/>
      <c r="M201" s="128"/>
      <c r="N201" s="117"/>
      <c r="R201" s="117"/>
      <c r="T201" s="117"/>
      <c r="V201" s="117"/>
      <c r="X201" s="117"/>
      <c r="Y201" s="127"/>
      <c r="Z201" s="11"/>
      <c r="AA201" s="36"/>
      <c r="AB201" s="36"/>
      <c r="AC201" s="13"/>
      <c r="AD201" s="13"/>
      <c r="AE201" s="37"/>
      <c r="AF201" s="37"/>
      <c r="AG201" s="14"/>
      <c r="AH201" s="14"/>
      <c r="AI201" s="14"/>
      <c r="AZ201" s="24"/>
    </row>
    <row r="202">
      <c r="B202" s="24"/>
      <c r="E202" s="113"/>
      <c r="F202" s="266"/>
      <c r="G202" s="113"/>
      <c r="K202" s="36"/>
      <c r="L202" s="117"/>
      <c r="M202" s="128"/>
      <c r="N202" s="117"/>
      <c r="R202" s="117"/>
      <c r="T202" s="117"/>
      <c r="V202" s="117"/>
      <c r="X202" s="117"/>
      <c r="Y202" s="127"/>
      <c r="Z202" s="11"/>
      <c r="AA202" s="36"/>
      <c r="AB202" s="36"/>
      <c r="AC202" s="13"/>
      <c r="AD202" s="13"/>
      <c r="AE202" s="37"/>
      <c r="AF202" s="37"/>
      <c r="AG202" s="14"/>
      <c r="AH202" s="14"/>
      <c r="AI202" s="14"/>
      <c r="AZ202" s="24"/>
    </row>
    <row r="203">
      <c r="A203" s="242"/>
      <c r="B203" s="243"/>
      <c r="C203" s="251" t="s">
        <v>182</v>
      </c>
      <c r="D203" s="251">
        <v>80.0</v>
      </c>
      <c r="E203" s="252" t="s">
        <v>250</v>
      </c>
      <c r="F203" s="253"/>
      <c r="G203" s="254" t="s">
        <v>176</v>
      </c>
      <c r="H203" s="255"/>
      <c r="I203" s="256"/>
      <c r="J203" s="249" t="s">
        <v>80</v>
      </c>
      <c r="K203" s="253">
        <v>70.0</v>
      </c>
      <c r="L203" s="257" t="s">
        <v>251</v>
      </c>
      <c r="M203" s="257" t="s">
        <v>231</v>
      </c>
      <c r="N203" s="258"/>
      <c r="O203" s="258"/>
      <c r="P203" s="258"/>
      <c r="Q203" s="259"/>
      <c r="R203" s="259"/>
      <c r="S203" s="259"/>
      <c r="T203" s="259"/>
      <c r="U203" s="259"/>
      <c r="V203" s="260"/>
      <c r="W203" s="259"/>
      <c r="X203" s="261" t="s">
        <v>154</v>
      </c>
      <c r="Y203" s="261">
        <v>50.0</v>
      </c>
      <c r="Z203" s="262" t="s">
        <v>252</v>
      </c>
      <c r="AA203" s="263" t="s">
        <v>253</v>
      </c>
      <c r="AB203" s="258"/>
      <c r="AC203" s="13"/>
      <c r="AD203" s="13"/>
      <c r="AE203" s="37"/>
      <c r="AF203" s="37"/>
      <c r="AG203" s="14"/>
      <c r="AH203" s="14"/>
      <c r="AI203" s="14"/>
      <c r="AZ203" s="24"/>
    </row>
    <row r="204">
      <c r="A204" s="242"/>
      <c r="B204" s="243"/>
      <c r="C204" s="251" t="s">
        <v>112</v>
      </c>
      <c r="D204" s="251">
        <v>40.0</v>
      </c>
      <c r="E204" s="252" t="s">
        <v>254</v>
      </c>
      <c r="F204" s="253"/>
      <c r="G204" s="254" t="s">
        <v>249</v>
      </c>
      <c r="H204" s="255"/>
      <c r="I204" s="256"/>
      <c r="J204" s="249" t="s">
        <v>98</v>
      </c>
      <c r="K204" s="253">
        <v>80.0</v>
      </c>
      <c r="L204" s="257" t="s">
        <v>255</v>
      </c>
      <c r="M204" s="257" t="s">
        <v>235</v>
      </c>
      <c r="N204" s="258"/>
      <c r="O204" s="258"/>
      <c r="P204" s="258"/>
      <c r="Q204" s="259"/>
      <c r="R204" s="259"/>
      <c r="S204" s="259"/>
      <c r="T204" s="259"/>
      <c r="U204" s="259"/>
      <c r="V204" s="260"/>
      <c r="W204" s="259"/>
      <c r="X204" s="261" t="s">
        <v>167</v>
      </c>
      <c r="Y204" s="261" t="s">
        <v>256</v>
      </c>
      <c r="Z204" s="262" t="s">
        <v>257</v>
      </c>
      <c r="AA204" s="263" t="s">
        <v>258</v>
      </c>
      <c r="AB204" s="258"/>
      <c r="AC204" s="13"/>
      <c r="AD204" s="13"/>
      <c r="AE204" s="37"/>
      <c r="AF204" s="37"/>
      <c r="AG204" s="14"/>
      <c r="AH204" s="14"/>
      <c r="AI204" s="14"/>
      <c r="AZ204" s="24"/>
    </row>
    <row r="205">
      <c r="A205" s="242"/>
      <c r="B205" s="243"/>
      <c r="C205" s="251" t="s">
        <v>219</v>
      </c>
      <c r="D205" s="251">
        <v>90.0</v>
      </c>
      <c r="E205" s="252" t="s">
        <v>259</v>
      </c>
      <c r="F205" s="253"/>
      <c r="G205" s="254" t="s">
        <v>260</v>
      </c>
      <c r="H205" s="255"/>
      <c r="I205" s="256"/>
      <c r="J205" s="249" t="s">
        <v>183</v>
      </c>
      <c r="K205" s="253">
        <v>20.0</v>
      </c>
      <c r="L205" s="264" t="s">
        <v>261</v>
      </c>
      <c r="M205" s="257" t="s">
        <v>239</v>
      </c>
      <c r="N205" s="258"/>
      <c r="O205" s="258"/>
      <c r="P205" s="258"/>
      <c r="Q205" s="259"/>
      <c r="R205" s="259"/>
      <c r="S205" s="259"/>
      <c r="T205" s="259"/>
      <c r="U205" s="259"/>
      <c r="V205" s="259"/>
      <c r="W205" s="260"/>
      <c r="X205" s="261" t="s">
        <v>184</v>
      </c>
      <c r="Y205" s="261">
        <v>80.0</v>
      </c>
      <c r="Z205" s="262" t="s">
        <v>262</v>
      </c>
      <c r="AA205" s="263" t="s">
        <v>263</v>
      </c>
      <c r="AB205" s="258"/>
      <c r="AC205" s="13"/>
      <c r="AD205" s="13"/>
      <c r="AE205" s="37"/>
      <c r="AF205" s="37"/>
      <c r="AG205" s="14"/>
      <c r="AH205" s="14"/>
      <c r="AI205" s="14"/>
      <c r="AZ205" s="24"/>
    </row>
    <row r="206">
      <c r="A206" s="242"/>
      <c r="B206" s="243"/>
      <c r="C206" s="251" t="s">
        <v>213</v>
      </c>
      <c r="D206" s="251">
        <v>100.0</v>
      </c>
      <c r="E206" s="252" t="s">
        <v>264</v>
      </c>
      <c r="F206" s="253"/>
      <c r="G206" s="254" t="s">
        <v>265</v>
      </c>
      <c r="H206" s="255"/>
      <c r="I206" s="256"/>
      <c r="J206" s="249" t="s">
        <v>109</v>
      </c>
      <c r="K206" s="253">
        <v>30.0</v>
      </c>
      <c r="L206" s="264" t="s">
        <v>266</v>
      </c>
      <c r="M206" s="257" t="s">
        <v>96</v>
      </c>
      <c r="N206" s="258"/>
      <c r="O206" s="258"/>
      <c r="P206" s="258"/>
      <c r="Q206" s="259"/>
      <c r="R206" s="259"/>
      <c r="S206" s="259"/>
      <c r="T206" s="259"/>
      <c r="U206" s="259"/>
      <c r="V206" s="259"/>
      <c r="W206" s="260"/>
      <c r="X206" s="261" t="s">
        <v>190</v>
      </c>
      <c r="Y206" s="261">
        <v>50.0</v>
      </c>
      <c r="Z206" s="262" t="s">
        <v>267</v>
      </c>
      <c r="AA206" s="263" t="s">
        <v>268</v>
      </c>
      <c r="AB206" s="258"/>
      <c r="AC206" s="13"/>
      <c r="AD206" s="13"/>
      <c r="AE206" s="37"/>
      <c r="AF206" s="37"/>
      <c r="AG206" s="14"/>
      <c r="AH206" s="14"/>
      <c r="AI206" s="14"/>
      <c r="AZ206" s="24"/>
    </row>
    <row r="207">
      <c r="A207" s="242"/>
      <c r="B207" s="243"/>
      <c r="C207" s="251" t="s">
        <v>204</v>
      </c>
      <c r="D207" s="251">
        <v>110.0</v>
      </c>
      <c r="E207" s="252" t="s">
        <v>269</v>
      </c>
      <c r="F207" s="253"/>
      <c r="G207" s="254" t="s">
        <v>270</v>
      </c>
      <c r="H207" s="255"/>
      <c r="I207" s="256"/>
      <c r="J207" s="249" t="s">
        <v>116</v>
      </c>
      <c r="K207" s="253">
        <v>100.0</v>
      </c>
      <c r="L207" s="264" t="s">
        <v>271</v>
      </c>
      <c r="M207" s="257" t="s">
        <v>151</v>
      </c>
      <c r="N207" s="258"/>
      <c r="O207" s="258"/>
      <c r="P207" s="258"/>
      <c r="Q207" s="259"/>
      <c r="R207" s="259"/>
      <c r="S207" s="259"/>
      <c r="T207" s="259"/>
      <c r="U207" s="259"/>
      <c r="V207" s="259"/>
      <c r="W207" s="260"/>
      <c r="X207" s="261" t="s">
        <v>205</v>
      </c>
      <c r="Y207" s="261">
        <v>80.0</v>
      </c>
      <c r="Z207" s="262" t="s">
        <v>272</v>
      </c>
      <c r="AA207" s="263" t="s">
        <v>273</v>
      </c>
      <c r="AB207" s="258"/>
      <c r="AC207" s="13"/>
      <c r="AD207" s="13"/>
      <c r="AE207" s="37"/>
      <c r="AF207" s="37"/>
      <c r="AG207" s="14"/>
      <c r="AH207" s="14"/>
      <c r="AI207" s="14"/>
      <c r="AZ207" s="24"/>
    </row>
    <row r="208">
      <c r="A208" s="242"/>
      <c r="B208" s="243"/>
      <c r="C208" s="251" t="s">
        <v>198</v>
      </c>
      <c r="D208" s="251">
        <v>30.0</v>
      </c>
      <c r="E208" s="252" t="s">
        <v>274</v>
      </c>
      <c r="F208" s="253"/>
      <c r="G208" s="254" t="s">
        <v>248</v>
      </c>
      <c r="H208" s="255"/>
      <c r="I208" s="256"/>
      <c r="J208" s="249" t="s">
        <v>126</v>
      </c>
      <c r="K208" s="253">
        <v>90.0</v>
      </c>
      <c r="L208" s="264" t="s">
        <v>275</v>
      </c>
      <c r="M208" s="257" t="s">
        <v>162</v>
      </c>
      <c r="N208" s="258"/>
      <c r="O208" s="258"/>
      <c r="P208" s="258"/>
      <c r="Q208" s="259"/>
      <c r="R208" s="259"/>
      <c r="S208" s="259"/>
      <c r="T208" s="259"/>
      <c r="U208" s="259"/>
      <c r="V208" s="259"/>
      <c r="W208" s="260"/>
      <c r="X208" s="261" t="s">
        <v>215</v>
      </c>
      <c r="Y208" s="261">
        <v>80.0</v>
      </c>
      <c r="Z208" s="262" t="s">
        <v>276</v>
      </c>
      <c r="AA208" s="263" t="s">
        <v>277</v>
      </c>
      <c r="AB208" s="258"/>
      <c r="AC208" s="13"/>
      <c r="AD208" s="13"/>
      <c r="AE208" s="37"/>
      <c r="AF208" s="37"/>
      <c r="AG208" s="14"/>
      <c r="AH208" s="14"/>
      <c r="AI208" s="14"/>
      <c r="AZ208" s="24"/>
    </row>
    <row r="209">
      <c r="A209" s="242"/>
      <c r="B209" s="243"/>
      <c r="C209" s="251" t="s">
        <v>115</v>
      </c>
      <c r="D209" s="251">
        <v>20.0</v>
      </c>
      <c r="E209" s="252" t="s">
        <v>278</v>
      </c>
      <c r="F209" s="253"/>
      <c r="G209" s="254" t="s">
        <v>187</v>
      </c>
      <c r="H209" s="255"/>
      <c r="I209" s="256"/>
      <c r="J209" s="249" t="s">
        <v>111</v>
      </c>
      <c r="K209" s="253">
        <v>0.0</v>
      </c>
      <c r="L209" s="264" t="s">
        <v>279</v>
      </c>
      <c r="M209" s="257" t="s">
        <v>179</v>
      </c>
      <c r="N209" s="258"/>
      <c r="O209" s="258"/>
      <c r="P209" s="258"/>
      <c r="Q209" s="259"/>
      <c r="R209" s="259"/>
      <c r="S209" s="259"/>
      <c r="T209" s="259"/>
      <c r="U209" s="259"/>
      <c r="V209" s="259"/>
      <c r="W209" s="260"/>
      <c r="X209" s="261" t="s">
        <v>220</v>
      </c>
      <c r="Y209" s="261">
        <v>10.0</v>
      </c>
      <c r="Z209" s="262" t="s">
        <v>280</v>
      </c>
      <c r="AA209" s="263" t="s">
        <v>281</v>
      </c>
      <c r="AB209" s="258"/>
      <c r="AC209" s="13"/>
      <c r="AD209" s="13"/>
      <c r="AE209" s="37"/>
      <c r="AF209" s="37"/>
      <c r="AG209" s="14"/>
      <c r="AH209" s="14"/>
      <c r="AI209" s="14"/>
      <c r="AZ209" s="24"/>
    </row>
    <row r="210">
      <c r="A210" s="242"/>
      <c r="B210" s="243"/>
      <c r="C210" s="251" t="s">
        <v>108</v>
      </c>
      <c r="D210" s="251">
        <v>10.0</v>
      </c>
      <c r="E210" s="252" t="s">
        <v>282</v>
      </c>
      <c r="F210" s="253"/>
      <c r="G210" s="254" t="s">
        <v>78</v>
      </c>
      <c r="H210" s="255"/>
      <c r="I210" s="256"/>
      <c r="J210" s="249" t="s">
        <v>69</v>
      </c>
      <c r="K210" s="253">
        <v>90.0</v>
      </c>
      <c r="L210" s="264" t="s">
        <v>283</v>
      </c>
      <c r="M210" s="257" t="s">
        <v>188</v>
      </c>
      <c r="N210" s="258"/>
      <c r="O210" s="258"/>
      <c r="P210" s="258"/>
      <c r="Q210" s="259"/>
      <c r="R210" s="259"/>
      <c r="S210" s="259"/>
      <c r="T210" s="259"/>
      <c r="U210" s="259"/>
      <c r="V210" s="259"/>
      <c r="W210" s="260"/>
      <c r="X210" s="261" t="s">
        <v>225</v>
      </c>
      <c r="Y210" s="261">
        <v>20.0</v>
      </c>
      <c r="Z210" s="262" t="s">
        <v>284</v>
      </c>
      <c r="AA210" s="263" t="s">
        <v>285</v>
      </c>
      <c r="AB210" s="258"/>
      <c r="AC210" s="13"/>
      <c r="AD210" s="13"/>
      <c r="AE210" s="37"/>
      <c r="AF210" s="37"/>
      <c r="AG210" s="14"/>
      <c r="AH210" s="14"/>
      <c r="AI210" s="14"/>
      <c r="AZ210" s="24"/>
    </row>
    <row r="211">
      <c r="A211" s="242"/>
      <c r="B211" s="243"/>
      <c r="C211" s="251" t="s">
        <v>164</v>
      </c>
      <c r="D211" s="251">
        <v>50.0</v>
      </c>
      <c r="E211" s="252" t="s">
        <v>286</v>
      </c>
      <c r="F211" s="253"/>
      <c r="G211" s="254" t="s">
        <v>216</v>
      </c>
      <c r="H211" s="255"/>
      <c r="I211" s="256"/>
      <c r="J211" s="249" t="s">
        <v>212</v>
      </c>
      <c r="K211" s="253">
        <v>50.0</v>
      </c>
      <c r="L211" s="264" t="s">
        <v>287</v>
      </c>
      <c r="M211" s="257" t="s">
        <v>211</v>
      </c>
      <c r="N211" s="258"/>
      <c r="O211" s="258"/>
      <c r="P211" s="258"/>
      <c r="Q211" s="259"/>
      <c r="R211" s="259"/>
      <c r="S211" s="259"/>
      <c r="T211" s="259"/>
      <c r="U211" s="259"/>
      <c r="V211" s="259"/>
      <c r="W211" s="260"/>
      <c r="X211" s="261" t="s">
        <v>229</v>
      </c>
      <c r="Y211" s="261">
        <v>100.0</v>
      </c>
      <c r="Z211" s="262" t="s">
        <v>288</v>
      </c>
      <c r="AA211" s="263" t="s">
        <v>104</v>
      </c>
      <c r="AB211" s="258"/>
      <c r="AC211" s="13"/>
      <c r="AD211" s="13"/>
      <c r="AE211" s="37"/>
      <c r="AF211" s="37"/>
      <c r="AG211" s="14"/>
      <c r="AH211" s="14"/>
      <c r="AI211" s="14"/>
      <c r="AZ211" s="24"/>
    </row>
    <row r="212">
      <c r="A212" s="242"/>
      <c r="B212" s="243"/>
      <c r="C212" s="251" t="s">
        <v>114</v>
      </c>
      <c r="D212" s="251">
        <v>0.0</v>
      </c>
      <c r="E212" s="252" t="s">
        <v>289</v>
      </c>
      <c r="F212" s="253"/>
      <c r="G212" s="254" t="s">
        <v>221</v>
      </c>
      <c r="H212" s="255"/>
      <c r="I212" s="256"/>
      <c r="J212" s="249" t="s">
        <v>218</v>
      </c>
      <c r="K212" s="253">
        <v>40.0</v>
      </c>
      <c r="L212" s="264" t="s">
        <v>290</v>
      </c>
      <c r="M212" s="257" t="s">
        <v>217</v>
      </c>
      <c r="N212" s="258"/>
      <c r="O212" s="258"/>
      <c r="P212" s="258"/>
      <c r="Q212" s="259"/>
      <c r="R212" s="259"/>
      <c r="S212" s="259"/>
      <c r="T212" s="259"/>
      <c r="U212" s="259"/>
      <c r="V212" s="259"/>
      <c r="W212" s="260"/>
      <c r="X212" s="261" t="s">
        <v>232</v>
      </c>
      <c r="Y212" s="261" t="s">
        <v>256</v>
      </c>
      <c r="Z212" s="262" t="s">
        <v>291</v>
      </c>
      <c r="AA212" s="263" t="s">
        <v>292</v>
      </c>
      <c r="AB212" s="258"/>
      <c r="AC212" s="13"/>
      <c r="AD212" s="13"/>
      <c r="AE212" s="37"/>
      <c r="AF212" s="37"/>
      <c r="AG212" s="14"/>
      <c r="AH212" s="14"/>
      <c r="AI212" s="14"/>
      <c r="AZ212" s="24"/>
    </row>
    <row r="213">
      <c r="A213" s="242"/>
      <c r="B213" s="243"/>
      <c r="C213" s="251" t="s">
        <v>110</v>
      </c>
      <c r="D213" s="251">
        <v>60.0</v>
      </c>
      <c r="E213" s="252" t="s">
        <v>293</v>
      </c>
      <c r="F213" s="253"/>
      <c r="G213" s="254" t="s">
        <v>294</v>
      </c>
      <c r="H213" s="255"/>
      <c r="I213" s="256"/>
      <c r="J213" s="249" t="s">
        <v>214</v>
      </c>
      <c r="K213" s="253">
        <v>60.0</v>
      </c>
      <c r="L213" s="264" t="s">
        <v>295</v>
      </c>
      <c r="M213" s="257" t="s">
        <v>223</v>
      </c>
      <c r="N213" s="258"/>
      <c r="O213" s="258"/>
      <c r="P213" s="258"/>
      <c r="Q213" s="259"/>
      <c r="R213" s="259"/>
      <c r="S213" s="259"/>
      <c r="T213" s="259"/>
      <c r="U213" s="259"/>
      <c r="V213" s="259"/>
      <c r="W213" s="260"/>
      <c r="X213" s="261" t="s">
        <v>236</v>
      </c>
      <c r="Y213" s="261">
        <v>80.0</v>
      </c>
      <c r="Z213" s="262" t="s">
        <v>296</v>
      </c>
      <c r="AA213" s="263" t="s">
        <v>1</v>
      </c>
      <c r="AB213" s="258"/>
      <c r="AC213" s="13"/>
      <c r="AD213" s="13"/>
      <c r="AE213" s="37"/>
      <c r="AF213" s="37"/>
      <c r="AG213" s="14"/>
      <c r="AH213" s="14"/>
      <c r="AI213" s="14"/>
      <c r="AZ213" s="24"/>
    </row>
    <row r="214">
      <c r="A214" s="242"/>
      <c r="B214" s="243"/>
      <c r="C214" s="251" t="s">
        <v>165</v>
      </c>
      <c r="D214" s="251">
        <v>70.0</v>
      </c>
      <c r="E214" s="252" t="s">
        <v>297</v>
      </c>
      <c r="F214" s="253"/>
      <c r="G214" s="254" t="s">
        <v>298</v>
      </c>
      <c r="H214" s="255"/>
      <c r="I214" s="256"/>
      <c r="J214" s="249" t="s">
        <v>113</v>
      </c>
      <c r="K214" s="253">
        <v>10.0</v>
      </c>
      <c r="L214" s="264" t="s">
        <v>299</v>
      </c>
      <c r="M214" s="257" t="s">
        <v>228</v>
      </c>
      <c r="N214" s="258"/>
      <c r="O214" s="258"/>
      <c r="P214" s="258"/>
      <c r="Q214" s="259"/>
      <c r="R214" s="259"/>
      <c r="S214" s="259"/>
      <c r="T214" s="259"/>
      <c r="U214" s="259"/>
      <c r="V214" s="259"/>
      <c r="W214" s="260"/>
      <c r="X214" s="261" t="s">
        <v>127</v>
      </c>
      <c r="Y214" s="261" t="s">
        <v>256</v>
      </c>
      <c r="Z214" s="262" t="s">
        <v>300</v>
      </c>
      <c r="AA214" s="263" t="s">
        <v>301</v>
      </c>
      <c r="AB214" s="258"/>
      <c r="AC214" s="13"/>
      <c r="AD214" s="13"/>
      <c r="AE214" s="37"/>
      <c r="AF214" s="37"/>
      <c r="AG214" s="14"/>
      <c r="AH214" s="14"/>
      <c r="AI214" s="14"/>
      <c r="AZ214" s="24"/>
    </row>
    <row r="215">
      <c r="B215" s="24"/>
      <c r="E215" s="113"/>
      <c r="F215" s="266"/>
      <c r="G215" s="289"/>
      <c r="H215" s="128"/>
      <c r="I215" s="128"/>
      <c r="J215" s="128"/>
      <c r="K215" s="265"/>
      <c r="L215" s="117"/>
      <c r="M215" s="128"/>
      <c r="N215" s="117"/>
      <c r="R215" s="117"/>
      <c r="T215" s="117"/>
      <c r="V215" s="117"/>
      <c r="Y215" s="314"/>
      <c r="Z215" s="315"/>
      <c r="AA215" s="36"/>
      <c r="AB215" s="36"/>
      <c r="AC215" s="13"/>
      <c r="AD215" s="13"/>
      <c r="AE215" s="37"/>
      <c r="AF215" s="37"/>
      <c r="AG215" s="14"/>
      <c r="AH215" s="14"/>
      <c r="AI215" s="14"/>
      <c r="AZ215" s="24"/>
    </row>
    <row r="216">
      <c r="B216" s="24"/>
      <c r="E216" s="113"/>
      <c r="F216" s="266"/>
      <c r="G216" s="289"/>
      <c r="H216" s="128"/>
      <c r="I216" s="128"/>
      <c r="J216" s="128"/>
      <c r="K216" s="265"/>
      <c r="L216" s="117"/>
      <c r="M216" s="128"/>
      <c r="N216" s="117"/>
      <c r="R216" s="117"/>
      <c r="T216" s="117"/>
      <c r="V216" s="117"/>
      <c r="X216" s="117"/>
      <c r="Y216" s="127"/>
      <c r="Z216" s="11"/>
      <c r="AA216" s="36"/>
      <c r="AB216" s="36"/>
      <c r="AC216" s="13"/>
      <c r="AD216" s="13"/>
      <c r="AE216" s="37"/>
      <c r="AF216" s="37"/>
      <c r="AG216" s="14"/>
      <c r="AH216" s="14"/>
      <c r="AI216" s="14"/>
      <c r="AZ216" s="24"/>
    </row>
    <row r="217">
      <c r="B217" s="24"/>
      <c r="E217" s="113"/>
      <c r="F217" s="266"/>
      <c r="G217" s="289"/>
      <c r="H217" s="128"/>
      <c r="I217" s="128"/>
      <c r="J217" s="128"/>
      <c r="K217" s="265"/>
      <c r="L217" s="117"/>
      <c r="M217" s="128"/>
      <c r="N217" s="117"/>
      <c r="R217" s="117"/>
      <c r="T217" s="117"/>
      <c r="V217" s="117"/>
      <c r="X217" s="117"/>
      <c r="Y217" s="10"/>
      <c r="Z217" s="11"/>
      <c r="AA217" s="36"/>
      <c r="AB217" s="36"/>
      <c r="AC217" s="13"/>
      <c r="AD217" s="13"/>
      <c r="AE217" s="37"/>
      <c r="AF217" s="37"/>
      <c r="AG217" s="14"/>
      <c r="AH217" s="14"/>
      <c r="AI217" s="14"/>
      <c r="AZ217" s="24"/>
    </row>
    <row r="218">
      <c r="B218" s="24"/>
      <c r="E218" s="113"/>
      <c r="F218" s="266"/>
      <c r="G218" s="289"/>
      <c r="H218" s="128"/>
      <c r="I218" s="128"/>
      <c r="J218" s="128"/>
      <c r="K218" s="265"/>
      <c r="L218" s="117"/>
      <c r="M218" s="128"/>
      <c r="N218" s="117"/>
      <c r="R218" s="117"/>
      <c r="T218" s="117"/>
      <c r="V218" s="117"/>
      <c r="X218" s="117"/>
      <c r="Y218" s="10"/>
      <c r="Z218" s="11"/>
      <c r="AA218" s="36"/>
      <c r="AB218" s="36"/>
      <c r="AC218" s="13"/>
      <c r="AD218" s="13"/>
      <c r="AE218" s="37"/>
      <c r="AF218" s="37"/>
      <c r="AG218" s="14"/>
      <c r="AH218" s="14"/>
      <c r="AI218" s="14"/>
      <c r="AZ218" s="24"/>
    </row>
    <row r="219">
      <c r="B219" s="24"/>
      <c r="E219" s="113"/>
      <c r="F219" s="266"/>
      <c r="G219" s="289"/>
      <c r="H219" s="128"/>
      <c r="I219" s="128"/>
      <c r="J219" s="128"/>
      <c r="K219" s="265"/>
      <c r="L219" s="117"/>
      <c r="M219" s="128"/>
      <c r="N219" s="117"/>
      <c r="R219" s="117"/>
      <c r="T219" s="117"/>
      <c r="V219" s="117"/>
      <c r="X219" s="117"/>
      <c r="Y219" s="10"/>
      <c r="Z219" s="11"/>
      <c r="AA219" s="36"/>
      <c r="AB219" s="36"/>
      <c r="AC219" s="13"/>
      <c r="AD219" s="13"/>
      <c r="AE219" s="37"/>
      <c r="AF219" s="37"/>
      <c r="AG219" s="14"/>
      <c r="AH219" s="14"/>
      <c r="AI219" s="14"/>
      <c r="AZ219" s="24"/>
    </row>
    <row r="220">
      <c r="B220" s="24"/>
      <c r="E220" s="113"/>
      <c r="F220" s="266"/>
      <c r="G220" s="289"/>
      <c r="H220" s="128"/>
      <c r="I220" s="128"/>
      <c r="J220" s="128"/>
      <c r="K220" s="265"/>
      <c r="L220" s="117"/>
      <c r="M220" s="128"/>
      <c r="N220" s="117"/>
      <c r="R220" s="117"/>
      <c r="T220" s="117"/>
      <c r="V220" s="117"/>
      <c r="X220" s="117"/>
      <c r="Y220" s="10"/>
      <c r="Z220" s="11"/>
      <c r="AA220" s="36"/>
      <c r="AB220" s="36"/>
      <c r="AC220" s="13"/>
      <c r="AD220" s="13"/>
      <c r="AE220" s="37"/>
      <c r="AF220" s="37"/>
      <c r="AG220" s="14"/>
      <c r="AH220" s="14"/>
      <c r="AI220" s="14"/>
      <c r="AZ220" s="24"/>
    </row>
    <row r="221">
      <c r="B221" s="24"/>
      <c r="E221" s="113"/>
      <c r="F221" s="266"/>
      <c r="G221" s="289"/>
      <c r="H221" s="128"/>
      <c r="I221" s="128"/>
      <c r="J221" s="128"/>
      <c r="K221" s="265"/>
      <c r="L221" s="117"/>
      <c r="M221" s="128"/>
      <c r="N221" s="117"/>
      <c r="R221" s="117"/>
      <c r="T221" s="117"/>
      <c r="V221" s="117"/>
      <c r="X221" s="117"/>
      <c r="Y221" s="10"/>
      <c r="Z221" s="11"/>
      <c r="AA221" s="36"/>
      <c r="AB221" s="36"/>
      <c r="AC221" s="13"/>
      <c r="AD221" s="13"/>
      <c r="AE221" s="37"/>
      <c r="AF221" s="37"/>
      <c r="AG221" s="14"/>
      <c r="AH221" s="14"/>
      <c r="AI221" s="14"/>
      <c r="AZ221" s="24"/>
    </row>
    <row r="222">
      <c r="B222" s="24"/>
      <c r="E222" s="113"/>
      <c r="F222" s="266"/>
      <c r="G222" s="113"/>
      <c r="K222" s="36"/>
      <c r="L222" s="117"/>
      <c r="M222" s="128"/>
      <c r="N222" s="117"/>
      <c r="R222" s="117"/>
      <c r="T222" s="117"/>
      <c r="V222" s="117"/>
      <c r="X222" s="117"/>
      <c r="Y222" s="10"/>
      <c r="Z222" s="11"/>
      <c r="AA222" s="36"/>
      <c r="AB222" s="36"/>
      <c r="AC222" s="13"/>
      <c r="AD222" s="13"/>
      <c r="AE222" s="37"/>
      <c r="AF222" s="37"/>
      <c r="AG222" s="14"/>
      <c r="AH222" s="14"/>
      <c r="AI222" s="14"/>
      <c r="AZ222" s="24"/>
    </row>
    <row r="223">
      <c r="B223" s="24"/>
      <c r="E223" s="113"/>
      <c r="F223" s="266"/>
      <c r="G223" s="113"/>
      <c r="K223" s="36"/>
      <c r="L223" s="117"/>
      <c r="M223" s="128"/>
      <c r="N223" s="117"/>
      <c r="R223" s="117"/>
      <c r="T223" s="117"/>
      <c r="V223" s="117"/>
      <c r="X223" s="117"/>
      <c r="Y223" s="10"/>
      <c r="Z223" s="11"/>
      <c r="AA223" s="36"/>
      <c r="AB223" s="36"/>
      <c r="AC223" s="13"/>
      <c r="AD223" s="13"/>
      <c r="AE223" s="37"/>
      <c r="AF223" s="37"/>
      <c r="AG223" s="14"/>
      <c r="AH223" s="14"/>
      <c r="AI223" s="14"/>
      <c r="AZ223" s="24"/>
    </row>
    <row r="224">
      <c r="B224" s="24"/>
      <c r="E224" s="113"/>
      <c r="F224" s="266"/>
      <c r="G224" s="113"/>
      <c r="K224" s="36"/>
      <c r="L224" s="117"/>
      <c r="M224" s="128"/>
      <c r="N224" s="117"/>
      <c r="R224" s="117"/>
      <c r="T224" s="117"/>
      <c r="V224" s="117"/>
      <c r="X224" s="117"/>
      <c r="Y224" s="10"/>
      <c r="Z224" s="11"/>
      <c r="AA224" s="36"/>
      <c r="AB224" s="36"/>
      <c r="AC224" s="13"/>
      <c r="AD224" s="13"/>
      <c r="AE224" s="37"/>
      <c r="AF224" s="37"/>
      <c r="AG224" s="14"/>
      <c r="AH224" s="14"/>
      <c r="AI224" s="14"/>
      <c r="AZ224" s="24"/>
    </row>
    <row r="225">
      <c r="B225" s="24"/>
      <c r="E225" s="113"/>
      <c r="F225" s="266"/>
      <c r="G225" s="113"/>
      <c r="K225" s="36"/>
      <c r="L225" s="117"/>
      <c r="M225" s="128"/>
      <c r="N225" s="117"/>
      <c r="R225" s="117"/>
      <c r="T225" s="117"/>
      <c r="V225" s="117"/>
      <c r="X225" s="117"/>
      <c r="Y225" s="10"/>
      <c r="Z225" s="11"/>
      <c r="AA225" s="36"/>
      <c r="AB225" s="36"/>
      <c r="AC225" s="13"/>
      <c r="AD225" s="13"/>
      <c r="AE225" s="37"/>
      <c r="AF225" s="37"/>
      <c r="AG225" s="14"/>
      <c r="AH225" s="14"/>
      <c r="AI225" s="14"/>
      <c r="AZ225" s="24"/>
    </row>
    <row r="226">
      <c r="B226" s="24"/>
      <c r="E226" s="113"/>
      <c r="F226" s="266"/>
      <c r="G226" s="113"/>
      <c r="K226" s="36"/>
      <c r="L226" s="117"/>
      <c r="M226" s="128"/>
      <c r="N226" s="117"/>
      <c r="R226" s="117"/>
      <c r="T226" s="117"/>
      <c r="V226" s="117"/>
      <c r="X226" s="117"/>
      <c r="Y226" s="10"/>
      <c r="Z226" s="11"/>
      <c r="AA226" s="36"/>
      <c r="AB226" s="36"/>
      <c r="AC226" s="13"/>
      <c r="AD226" s="13"/>
      <c r="AE226" s="37"/>
      <c r="AF226" s="37"/>
      <c r="AG226" s="14"/>
      <c r="AH226" s="14"/>
      <c r="AI226" s="14"/>
      <c r="AZ226" s="24"/>
    </row>
    <row r="227">
      <c r="B227" s="24"/>
      <c r="E227" s="113"/>
      <c r="F227" s="266"/>
      <c r="G227" s="113"/>
      <c r="K227" s="36"/>
      <c r="L227" s="117"/>
      <c r="M227" s="128"/>
      <c r="N227" s="117"/>
      <c r="R227" s="117"/>
      <c r="T227" s="117"/>
      <c r="V227" s="117"/>
      <c r="X227" s="117"/>
      <c r="Y227" s="10"/>
      <c r="Z227" s="11"/>
      <c r="AA227" s="36"/>
      <c r="AB227" s="36"/>
      <c r="AC227" s="13"/>
      <c r="AD227" s="13"/>
      <c r="AE227" s="37"/>
      <c r="AF227" s="37"/>
      <c r="AG227" s="14"/>
      <c r="AH227" s="14"/>
      <c r="AI227" s="14"/>
      <c r="AZ227" s="24"/>
    </row>
    <row r="228">
      <c r="B228" s="24"/>
      <c r="E228" s="113"/>
      <c r="F228" s="266"/>
      <c r="G228" s="113"/>
      <c r="K228" s="36"/>
      <c r="L228" s="117"/>
      <c r="M228" s="128"/>
      <c r="N228" s="117"/>
      <c r="R228" s="117"/>
      <c r="T228" s="117"/>
      <c r="V228" s="117"/>
      <c r="X228" s="117"/>
      <c r="Y228" s="10"/>
      <c r="Z228" s="11"/>
      <c r="AA228" s="36"/>
      <c r="AB228" s="36"/>
      <c r="AC228" s="13"/>
      <c r="AD228" s="13"/>
      <c r="AE228" s="37"/>
      <c r="AF228" s="37"/>
      <c r="AG228" s="14"/>
      <c r="AH228" s="14"/>
      <c r="AI228" s="14"/>
      <c r="AZ228" s="24"/>
    </row>
    <row r="229">
      <c r="B229" s="24"/>
      <c r="E229" s="113"/>
      <c r="F229" s="266"/>
      <c r="G229" s="113"/>
      <c r="K229" s="36"/>
      <c r="L229" s="117"/>
      <c r="M229" s="128"/>
      <c r="N229" s="117"/>
      <c r="R229" s="117"/>
      <c r="T229" s="117"/>
      <c r="V229" s="117"/>
      <c r="X229" s="117"/>
      <c r="Y229" s="10"/>
      <c r="Z229" s="11"/>
      <c r="AA229" s="36"/>
      <c r="AB229" s="36"/>
      <c r="AC229" s="13"/>
      <c r="AD229" s="13"/>
      <c r="AE229" s="37"/>
      <c r="AF229" s="37"/>
      <c r="AG229" s="14"/>
      <c r="AH229" s="14"/>
      <c r="AI229" s="14"/>
      <c r="AZ229" s="24"/>
    </row>
    <row r="230">
      <c r="B230" s="24"/>
      <c r="E230" s="113"/>
      <c r="F230" s="266"/>
      <c r="G230" s="113"/>
      <c r="K230" s="36"/>
      <c r="L230" s="117"/>
      <c r="M230" s="128"/>
      <c r="N230" s="117"/>
      <c r="R230" s="117"/>
      <c r="T230" s="117"/>
      <c r="V230" s="117"/>
      <c r="X230" s="117"/>
      <c r="Y230" s="10"/>
      <c r="Z230" s="11"/>
      <c r="AA230" s="36"/>
      <c r="AB230" s="36"/>
      <c r="AC230" s="13"/>
      <c r="AD230" s="13"/>
      <c r="AE230" s="37"/>
      <c r="AF230" s="37"/>
      <c r="AG230" s="14"/>
      <c r="AH230" s="14"/>
      <c r="AI230" s="14"/>
      <c r="AZ230" s="24"/>
    </row>
    <row r="231">
      <c r="B231" s="24"/>
      <c r="E231" s="113"/>
      <c r="F231" s="266"/>
      <c r="G231" s="113"/>
      <c r="K231" s="36"/>
      <c r="L231" s="117"/>
      <c r="M231" s="128"/>
      <c r="N231" s="117"/>
      <c r="R231" s="117"/>
      <c r="T231" s="117"/>
      <c r="V231" s="117"/>
      <c r="X231" s="117"/>
      <c r="Y231" s="10"/>
      <c r="Z231" s="11"/>
      <c r="AA231" s="36"/>
      <c r="AB231" s="36"/>
      <c r="AC231" s="13"/>
      <c r="AD231" s="13"/>
      <c r="AE231" s="37"/>
      <c r="AF231" s="37"/>
      <c r="AG231" s="14"/>
      <c r="AH231" s="14"/>
      <c r="AI231" s="14"/>
      <c r="AZ231" s="24"/>
    </row>
    <row r="232">
      <c r="B232" s="24"/>
      <c r="E232" s="113"/>
      <c r="F232" s="266"/>
      <c r="G232" s="113"/>
      <c r="K232" s="36"/>
      <c r="L232" s="117"/>
      <c r="M232" s="128"/>
      <c r="N232" s="117"/>
      <c r="R232" s="117"/>
      <c r="T232" s="117"/>
      <c r="V232" s="117"/>
      <c r="X232" s="117"/>
      <c r="Y232" s="10"/>
      <c r="Z232" s="11"/>
      <c r="AA232" s="36"/>
      <c r="AB232" s="36"/>
      <c r="AC232" s="13"/>
      <c r="AD232" s="13"/>
      <c r="AE232" s="37"/>
      <c r="AF232" s="37"/>
      <c r="AG232" s="14"/>
      <c r="AH232" s="14"/>
      <c r="AI232" s="14"/>
      <c r="AZ232" s="24"/>
    </row>
    <row r="233">
      <c r="B233" s="24"/>
      <c r="E233" s="113"/>
      <c r="F233" s="266"/>
      <c r="G233" s="113"/>
      <c r="K233" s="36"/>
      <c r="L233" s="117"/>
      <c r="M233" s="128"/>
      <c r="N233" s="117"/>
      <c r="R233" s="117"/>
      <c r="T233" s="117"/>
      <c r="V233" s="117"/>
      <c r="X233" s="117"/>
      <c r="Y233" s="10"/>
      <c r="Z233" s="11"/>
      <c r="AA233" s="36"/>
      <c r="AB233" s="36"/>
      <c r="AC233" s="13"/>
      <c r="AD233" s="13"/>
      <c r="AE233" s="37"/>
      <c r="AF233" s="37"/>
      <c r="AG233" s="14"/>
      <c r="AH233" s="14"/>
      <c r="AI233" s="14"/>
      <c r="AZ233" s="24"/>
    </row>
    <row r="234">
      <c r="B234" s="24"/>
      <c r="E234" s="113"/>
      <c r="F234" s="266"/>
      <c r="G234" s="113"/>
      <c r="K234" s="36"/>
      <c r="L234" s="117"/>
      <c r="M234" s="128"/>
      <c r="N234" s="117"/>
      <c r="R234" s="117"/>
      <c r="T234" s="117"/>
      <c r="V234" s="117"/>
      <c r="X234" s="117"/>
      <c r="Y234" s="10"/>
      <c r="Z234" s="11"/>
      <c r="AA234" s="36"/>
      <c r="AB234" s="36"/>
      <c r="AC234" s="13"/>
      <c r="AD234" s="13"/>
      <c r="AE234" s="37"/>
      <c r="AF234" s="37"/>
      <c r="AG234" s="14"/>
      <c r="AH234" s="14"/>
      <c r="AI234" s="14"/>
      <c r="AZ234" s="24"/>
    </row>
    <row r="235">
      <c r="B235" s="24"/>
      <c r="E235" s="113"/>
      <c r="F235" s="266"/>
      <c r="G235" s="113"/>
      <c r="K235" s="36"/>
      <c r="L235" s="117"/>
      <c r="M235" s="128"/>
      <c r="N235" s="117"/>
      <c r="R235" s="117"/>
      <c r="T235" s="117"/>
      <c r="V235" s="117"/>
      <c r="X235" s="117"/>
      <c r="Y235" s="10"/>
      <c r="Z235" s="11"/>
      <c r="AA235" s="36"/>
      <c r="AB235" s="36"/>
      <c r="AC235" s="13"/>
      <c r="AD235" s="13"/>
      <c r="AE235" s="37"/>
      <c r="AF235" s="37"/>
      <c r="AG235" s="14"/>
      <c r="AH235" s="14"/>
      <c r="AI235" s="14"/>
      <c r="AZ235" s="24"/>
    </row>
    <row r="236">
      <c r="B236" s="24"/>
      <c r="E236" s="113"/>
      <c r="F236" s="266"/>
      <c r="G236" s="113"/>
      <c r="K236" s="36"/>
      <c r="L236" s="117"/>
      <c r="M236" s="128"/>
      <c r="N236" s="117"/>
      <c r="R236" s="117"/>
      <c r="T236" s="117"/>
      <c r="V236" s="117"/>
      <c r="X236" s="117"/>
      <c r="Y236" s="10"/>
      <c r="Z236" s="11"/>
      <c r="AA236" s="36"/>
      <c r="AB236" s="36"/>
      <c r="AC236" s="13"/>
      <c r="AD236" s="13"/>
      <c r="AE236" s="37"/>
      <c r="AF236" s="37"/>
      <c r="AG236" s="14"/>
      <c r="AH236" s="14"/>
      <c r="AI236" s="14"/>
      <c r="AZ236" s="24"/>
    </row>
    <row r="237">
      <c r="B237" s="24"/>
      <c r="E237" s="113"/>
      <c r="F237" s="266"/>
      <c r="G237" s="113"/>
      <c r="K237" s="36"/>
      <c r="L237" s="117"/>
      <c r="M237" s="128"/>
      <c r="N237" s="117"/>
      <c r="R237" s="117"/>
      <c r="T237" s="117"/>
      <c r="V237" s="117"/>
      <c r="X237" s="117"/>
      <c r="Y237" s="10"/>
      <c r="Z237" s="11"/>
      <c r="AA237" s="36"/>
      <c r="AB237" s="36"/>
      <c r="AC237" s="13"/>
      <c r="AD237" s="13"/>
      <c r="AE237" s="37"/>
      <c r="AF237" s="37"/>
      <c r="AG237" s="14"/>
      <c r="AH237" s="14"/>
      <c r="AI237" s="14"/>
      <c r="AZ237" s="24"/>
    </row>
    <row r="238">
      <c r="B238" s="24"/>
      <c r="E238" s="113"/>
      <c r="F238" s="266"/>
      <c r="G238" s="113"/>
      <c r="K238" s="36"/>
      <c r="L238" s="117"/>
      <c r="M238" s="128"/>
      <c r="N238" s="117"/>
      <c r="R238" s="117"/>
      <c r="T238" s="117"/>
      <c r="V238" s="117"/>
      <c r="X238" s="117"/>
      <c r="Y238" s="10"/>
      <c r="Z238" s="11"/>
      <c r="AA238" s="36"/>
      <c r="AB238" s="36"/>
      <c r="AC238" s="13"/>
      <c r="AD238" s="13"/>
      <c r="AE238" s="37"/>
      <c r="AF238" s="37"/>
      <c r="AG238" s="14"/>
      <c r="AH238" s="14"/>
      <c r="AI238" s="14"/>
      <c r="AZ238" s="24"/>
    </row>
    <row r="239">
      <c r="B239" s="24"/>
      <c r="E239" s="113"/>
      <c r="F239" s="266"/>
      <c r="G239" s="113"/>
      <c r="K239" s="36"/>
      <c r="L239" s="117"/>
      <c r="M239" s="128"/>
      <c r="N239" s="117"/>
      <c r="R239" s="117"/>
      <c r="T239" s="117"/>
      <c r="V239" s="117"/>
      <c r="X239" s="117"/>
      <c r="Y239" s="10"/>
      <c r="Z239" s="11"/>
      <c r="AA239" s="36"/>
      <c r="AB239" s="36"/>
      <c r="AC239" s="13"/>
      <c r="AD239" s="13"/>
      <c r="AE239" s="37"/>
      <c r="AF239" s="37"/>
      <c r="AG239" s="14"/>
      <c r="AH239" s="14"/>
      <c r="AI239" s="14"/>
      <c r="AZ239" s="24"/>
    </row>
    <row r="240">
      <c r="B240" s="24"/>
      <c r="E240" s="113"/>
      <c r="F240" s="266"/>
      <c r="G240" s="113"/>
      <c r="K240" s="36"/>
      <c r="L240" s="117"/>
      <c r="M240" s="128"/>
      <c r="N240" s="117"/>
      <c r="R240" s="117"/>
      <c r="T240" s="117"/>
      <c r="V240" s="117"/>
      <c r="X240" s="117"/>
      <c r="Y240" s="10"/>
      <c r="Z240" s="11"/>
      <c r="AA240" s="36"/>
      <c r="AB240" s="36"/>
      <c r="AC240" s="13"/>
      <c r="AD240" s="13"/>
      <c r="AE240" s="37"/>
      <c r="AF240" s="37"/>
      <c r="AG240" s="14"/>
      <c r="AH240" s="14"/>
      <c r="AI240" s="14"/>
      <c r="AZ240" s="24"/>
    </row>
    <row r="241">
      <c r="B241" s="24"/>
      <c r="E241" s="113"/>
      <c r="F241" s="266"/>
      <c r="G241" s="113"/>
      <c r="K241" s="36"/>
      <c r="L241" s="117"/>
      <c r="M241" s="128"/>
      <c r="N241" s="117"/>
      <c r="R241" s="117"/>
      <c r="T241" s="117"/>
      <c r="V241" s="117"/>
      <c r="X241" s="117"/>
      <c r="Y241" s="10"/>
      <c r="Z241" s="11"/>
      <c r="AA241" s="36"/>
      <c r="AB241" s="36"/>
      <c r="AC241" s="13"/>
      <c r="AD241" s="13"/>
      <c r="AE241" s="37"/>
      <c r="AF241" s="37"/>
      <c r="AG241" s="14"/>
      <c r="AH241" s="14"/>
      <c r="AI241" s="14"/>
      <c r="AZ241" s="24"/>
    </row>
    <row r="242">
      <c r="B242" s="24"/>
      <c r="E242" s="113"/>
      <c r="F242" s="266"/>
      <c r="G242" s="113"/>
      <c r="K242" s="36"/>
      <c r="L242" s="117"/>
      <c r="M242" s="128"/>
      <c r="N242" s="117"/>
      <c r="R242" s="117"/>
      <c r="T242" s="117"/>
      <c r="V242" s="117"/>
      <c r="X242" s="117"/>
      <c r="Y242" s="10"/>
      <c r="Z242" s="11"/>
      <c r="AA242" s="36"/>
      <c r="AB242" s="36"/>
      <c r="AC242" s="13"/>
      <c r="AD242" s="13"/>
      <c r="AE242" s="37"/>
      <c r="AF242" s="37"/>
      <c r="AG242" s="14"/>
      <c r="AH242" s="14"/>
      <c r="AI242" s="14"/>
      <c r="AZ242" s="24"/>
    </row>
    <row r="243">
      <c r="B243" s="24"/>
      <c r="E243" s="113"/>
      <c r="F243" s="266"/>
      <c r="G243" s="113"/>
      <c r="K243" s="36"/>
      <c r="L243" s="117"/>
      <c r="M243" s="128"/>
      <c r="N243" s="117"/>
      <c r="R243" s="117"/>
      <c r="T243" s="117"/>
      <c r="V243" s="117"/>
      <c r="X243" s="117"/>
      <c r="Y243" s="10"/>
      <c r="Z243" s="11"/>
      <c r="AA243" s="36"/>
      <c r="AB243" s="36"/>
      <c r="AC243" s="13"/>
      <c r="AD243" s="13"/>
      <c r="AE243" s="37"/>
      <c r="AF243" s="37"/>
      <c r="AG243" s="14"/>
      <c r="AH243" s="14"/>
      <c r="AI243" s="14"/>
      <c r="AZ243" s="24"/>
    </row>
    <row r="244">
      <c r="B244" s="24"/>
      <c r="E244" s="113"/>
      <c r="F244" s="266"/>
      <c r="G244" s="113"/>
      <c r="K244" s="36"/>
      <c r="L244" s="117"/>
      <c r="M244" s="128"/>
      <c r="N244" s="117"/>
      <c r="R244" s="117"/>
      <c r="T244" s="117"/>
      <c r="V244" s="117"/>
      <c r="X244" s="117"/>
      <c r="Y244" s="10"/>
      <c r="Z244" s="11"/>
      <c r="AA244" s="36"/>
      <c r="AB244" s="36"/>
      <c r="AC244" s="13"/>
      <c r="AD244" s="13"/>
      <c r="AE244" s="37"/>
      <c r="AF244" s="37"/>
      <c r="AG244" s="14"/>
      <c r="AH244" s="14"/>
      <c r="AI244" s="14"/>
      <c r="AZ244" s="24"/>
    </row>
    <row r="245">
      <c r="B245" s="24"/>
      <c r="E245" s="113"/>
      <c r="F245" s="266"/>
      <c r="G245" s="113"/>
      <c r="K245" s="36"/>
      <c r="L245" s="117"/>
      <c r="M245" s="128"/>
      <c r="N245" s="117"/>
      <c r="R245" s="117"/>
      <c r="T245" s="117"/>
      <c r="V245" s="117"/>
      <c r="X245" s="117"/>
      <c r="Y245" s="10"/>
      <c r="Z245" s="11"/>
      <c r="AA245" s="36"/>
      <c r="AB245" s="36"/>
      <c r="AC245" s="13"/>
      <c r="AD245" s="13"/>
      <c r="AE245" s="37"/>
      <c r="AF245" s="37"/>
      <c r="AG245" s="14"/>
      <c r="AH245" s="14"/>
      <c r="AI245" s="14"/>
      <c r="AZ245" s="24"/>
    </row>
    <row r="246">
      <c r="B246" s="24"/>
      <c r="E246" s="113"/>
      <c r="F246" s="266"/>
      <c r="G246" s="113"/>
      <c r="K246" s="36"/>
      <c r="L246" s="117"/>
      <c r="M246" s="128"/>
      <c r="N246" s="117"/>
      <c r="R246" s="117"/>
      <c r="T246" s="117"/>
      <c r="V246" s="117"/>
      <c r="X246" s="117"/>
      <c r="Y246" s="10"/>
      <c r="Z246" s="11"/>
      <c r="AA246" s="36"/>
      <c r="AB246" s="36"/>
      <c r="AC246" s="13"/>
      <c r="AD246" s="13"/>
      <c r="AE246" s="37"/>
      <c r="AF246" s="37"/>
      <c r="AG246" s="14"/>
      <c r="AH246" s="14"/>
      <c r="AI246" s="14"/>
      <c r="AZ246" s="24"/>
    </row>
    <row r="247">
      <c r="B247" s="24"/>
      <c r="E247" s="113"/>
      <c r="F247" s="266"/>
      <c r="G247" s="113"/>
      <c r="K247" s="36"/>
      <c r="L247" s="117"/>
      <c r="M247" s="128"/>
      <c r="N247" s="117"/>
      <c r="R247" s="117"/>
      <c r="T247" s="117"/>
      <c r="V247" s="117"/>
      <c r="X247" s="117"/>
      <c r="Y247" s="10"/>
      <c r="Z247" s="11"/>
      <c r="AA247" s="36"/>
      <c r="AB247" s="36"/>
      <c r="AC247" s="13"/>
      <c r="AD247" s="13"/>
      <c r="AE247" s="37"/>
      <c r="AF247" s="37"/>
      <c r="AG247" s="14"/>
      <c r="AH247" s="14"/>
      <c r="AI247" s="14"/>
      <c r="AZ247" s="24"/>
    </row>
    <row r="248">
      <c r="B248" s="24"/>
      <c r="E248" s="113"/>
      <c r="F248" s="266"/>
      <c r="G248" s="113"/>
      <c r="K248" s="36"/>
      <c r="L248" s="117"/>
      <c r="M248" s="128"/>
      <c r="N248" s="117"/>
      <c r="R248" s="117"/>
      <c r="T248" s="117"/>
      <c r="V248" s="117"/>
      <c r="X248" s="117"/>
      <c r="Y248" s="10"/>
      <c r="Z248" s="11"/>
      <c r="AA248" s="36"/>
      <c r="AB248" s="36"/>
      <c r="AC248" s="13"/>
      <c r="AD248" s="13"/>
      <c r="AE248" s="37"/>
      <c r="AF248" s="37"/>
      <c r="AG248" s="14"/>
      <c r="AH248" s="14"/>
      <c r="AI248" s="14"/>
      <c r="AZ248" s="24"/>
    </row>
    <row r="249">
      <c r="B249" s="24"/>
      <c r="E249" s="113"/>
      <c r="F249" s="266"/>
      <c r="G249" s="113"/>
      <c r="K249" s="36"/>
      <c r="L249" s="117"/>
      <c r="M249" s="128"/>
      <c r="N249" s="117"/>
      <c r="R249" s="117"/>
      <c r="T249" s="117"/>
      <c r="V249" s="117"/>
      <c r="X249" s="117"/>
      <c r="Y249" s="10"/>
      <c r="Z249" s="11"/>
      <c r="AA249" s="36"/>
      <c r="AB249" s="36"/>
      <c r="AC249" s="13"/>
      <c r="AD249" s="13"/>
      <c r="AE249" s="37"/>
      <c r="AF249" s="37"/>
      <c r="AG249" s="14"/>
      <c r="AH249" s="14"/>
      <c r="AI249" s="14"/>
      <c r="AZ249" s="24"/>
    </row>
    <row r="250">
      <c r="B250" s="24"/>
      <c r="E250" s="113"/>
      <c r="F250" s="266"/>
      <c r="G250" s="113"/>
      <c r="K250" s="36"/>
      <c r="L250" s="117"/>
      <c r="M250" s="128"/>
      <c r="N250" s="117"/>
      <c r="R250" s="117"/>
      <c r="T250" s="117"/>
      <c r="V250" s="117"/>
      <c r="X250" s="117"/>
      <c r="Y250" s="10"/>
      <c r="Z250" s="11"/>
      <c r="AA250" s="36"/>
      <c r="AB250" s="36"/>
      <c r="AC250" s="13"/>
      <c r="AD250" s="13"/>
      <c r="AE250" s="37"/>
      <c r="AF250" s="37"/>
      <c r="AG250" s="14"/>
      <c r="AH250" s="14"/>
      <c r="AI250" s="14"/>
      <c r="AZ250" s="24"/>
    </row>
    <row r="251">
      <c r="B251" s="24"/>
      <c r="E251" s="113"/>
      <c r="F251" s="266"/>
      <c r="G251" s="113"/>
      <c r="K251" s="36"/>
      <c r="L251" s="117"/>
      <c r="M251" s="128"/>
      <c r="N251" s="117"/>
      <c r="R251" s="117"/>
      <c r="T251" s="117"/>
      <c r="V251" s="117"/>
      <c r="X251" s="117"/>
      <c r="Y251" s="10"/>
      <c r="Z251" s="11"/>
      <c r="AA251" s="36"/>
      <c r="AB251" s="36"/>
      <c r="AC251" s="13"/>
      <c r="AD251" s="13"/>
      <c r="AE251" s="37"/>
      <c r="AF251" s="37"/>
      <c r="AG251" s="14"/>
      <c r="AH251" s="14"/>
      <c r="AI251" s="14"/>
      <c r="AZ251" s="24"/>
    </row>
    <row r="252">
      <c r="B252" s="24"/>
      <c r="E252" s="113"/>
      <c r="F252" s="266"/>
      <c r="G252" s="113"/>
      <c r="K252" s="36"/>
      <c r="L252" s="117"/>
      <c r="M252" s="128"/>
      <c r="N252" s="117"/>
      <c r="R252" s="117"/>
      <c r="T252" s="117"/>
      <c r="V252" s="117"/>
      <c r="X252" s="117"/>
      <c r="Y252" s="10"/>
      <c r="Z252" s="11"/>
      <c r="AA252" s="36"/>
      <c r="AB252" s="36"/>
      <c r="AC252" s="13"/>
      <c r="AD252" s="13"/>
      <c r="AE252" s="37"/>
      <c r="AF252" s="37"/>
      <c r="AG252" s="14"/>
      <c r="AH252" s="14"/>
      <c r="AI252" s="14"/>
      <c r="AZ252" s="24"/>
    </row>
    <row r="253">
      <c r="B253" s="24"/>
      <c r="E253" s="113"/>
      <c r="F253" s="266"/>
      <c r="G253" s="113"/>
      <c r="K253" s="36"/>
      <c r="L253" s="117"/>
      <c r="M253" s="128"/>
      <c r="N253" s="117"/>
      <c r="R253" s="117"/>
      <c r="T253" s="117"/>
      <c r="V253" s="117"/>
      <c r="X253" s="117"/>
      <c r="Y253" s="10"/>
      <c r="Z253" s="11"/>
      <c r="AA253" s="36"/>
      <c r="AB253" s="36"/>
      <c r="AC253" s="13"/>
      <c r="AD253" s="13"/>
      <c r="AE253" s="37"/>
      <c r="AF253" s="37"/>
      <c r="AG253" s="14"/>
      <c r="AH253" s="14"/>
      <c r="AI253" s="14"/>
      <c r="AZ253" s="24"/>
    </row>
    <row r="254">
      <c r="B254" s="24"/>
      <c r="E254" s="113"/>
      <c r="F254" s="266"/>
      <c r="G254" s="113"/>
      <c r="K254" s="36"/>
      <c r="L254" s="117"/>
      <c r="M254" s="128"/>
      <c r="N254" s="117"/>
      <c r="R254" s="117"/>
      <c r="T254" s="117"/>
      <c r="V254" s="117"/>
      <c r="X254" s="117"/>
      <c r="Y254" s="10"/>
      <c r="Z254" s="11"/>
      <c r="AA254" s="36"/>
      <c r="AB254" s="36"/>
      <c r="AC254" s="13"/>
      <c r="AD254" s="13"/>
      <c r="AE254" s="37"/>
      <c r="AF254" s="37"/>
      <c r="AG254" s="14"/>
      <c r="AH254" s="14"/>
      <c r="AI254" s="14"/>
      <c r="AZ254" s="24"/>
    </row>
    <row r="255">
      <c r="B255" s="24"/>
      <c r="E255" s="113"/>
      <c r="F255" s="266"/>
      <c r="G255" s="113"/>
      <c r="K255" s="36"/>
      <c r="L255" s="117"/>
      <c r="M255" s="128"/>
      <c r="N255" s="117"/>
      <c r="R255" s="117"/>
      <c r="T255" s="117"/>
      <c r="V255" s="117"/>
      <c r="X255" s="117"/>
      <c r="Y255" s="10"/>
      <c r="Z255" s="11"/>
      <c r="AA255" s="36"/>
      <c r="AB255" s="36"/>
      <c r="AC255" s="13"/>
      <c r="AD255" s="13"/>
      <c r="AE255" s="37"/>
      <c r="AF255" s="37"/>
      <c r="AG255" s="14"/>
      <c r="AH255" s="14"/>
      <c r="AI255" s="14"/>
      <c r="AZ255" s="24"/>
    </row>
    <row r="256">
      <c r="B256" s="24"/>
      <c r="E256" s="113"/>
      <c r="F256" s="266"/>
      <c r="G256" s="113"/>
      <c r="K256" s="36"/>
      <c r="L256" s="117"/>
      <c r="M256" s="128"/>
      <c r="N256" s="117"/>
      <c r="R256" s="117"/>
      <c r="T256" s="117"/>
      <c r="V256" s="117"/>
      <c r="X256" s="117"/>
      <c r="Y256" s="10"/>
      <c r="Z256" s="11"/>
      <c r="AA256" s="36"/>
      <c r="AB256" s="36"/>
      <c r="AC256" s="13"/>
      <c r="AD256" s="13"/>
      <c r="AE256" s="37"/>
      <c r="AF256" s="37"/>
      <c r="AG256" s="14"/>
      <c r="AH256" s="14"/>
      <c r="AI256" s="14"/>
      <c r="AZ256" s="24"/>
    </row>
    <row r="257">
      <c r="B257" s="24"/>
      <c r="E257" s="113"/>
      <c r="F257" s="266"/>
      <c r="G257" s="113"/>
      <c r="K257" s="36"/>
      <c r="L257" s="117"/>
      <c r="M257" s="128"/>
      <c r="N257" s="117"/>
      <c r="R257" s="117"/>
      <c r="T257" s="117"/>
      <c r="V257" s="117"/>
      <c r="X257" s="117"/>
      <c r="Y257" s="10"/>
      <c r="Z257" s="11"/>
      <c r="AA257" s="36"/>
      <c r="AB257" s="36"/>
      <c r="AC257" s="13"/>
      <c r="AD257" s="13"/>
      <c r="AE257" s="37"/>
      <c r="AF257" s="37"/>
      <c r="AG257" s="14"/>
      <c r="AH257" s="14"/>
      <c r="AI257" s="14"/>
      <c r="AZ257" s="24"/>
    </row>
    <row r="258">
      <c r="B258" s="24"/>
      <c r="E258" s="113"/>
      <c r="F258" s="266"/>
      <c r="G258" s="113"/>
      <c r="K258" s="36"/>
      <c r="L258" s="117"/>
      <c r="M258" s="128"/>
      <c r="N258" s="117"/>
      <c r="R258" s="117"/>
      <c r="T258" s="117"/>
      <c r="V258" s="117"/>
      <c r="X258" s="117"/>
      <c r="Y258" s="10"/>
      <c r="Z258" s="11"/>
      <c r="AA258" s="36"/>
      <c r="AB258" s="36"/>
      <c r="AC258" s="13"/>
      <c r="AD258" s="13"/>
      <c r="AE258" s="37"/>
      <c r="AF258" s="37"/>
      <c r="AG258" s="14"/>
      <c r="AH258" s="14"/>
      <c r="AI258" s="14"/>
      <c r="AZ258" s="24"/>
    </row>
    <row r="259">
      <c r="B259" s="24"/>
      <c r="E259" s="113"/>
      <c r="F259" s="266"/>
      <c r="G259" s="113"/>
      <c r="K259" s="36"/>
      <c r="L259" s="117"/>
      <c r="M259" s="128"/>
      <c r="N259" s="117"/>
      <c r="R259" s="117"/>
      <c r="T259" s="117"/>
      <c r="V259" s="117"/>
      <c r="X259" s="117"/>
      <c r="Y259" s="10"/>
      <c r="Z259" s="11"/>
      <c r="AA259" s="36"/>
      <c r="AB259" s="36"/>
      <c r="AC259" s="13"/>
      <c r="AD259" s="13"/>
      <c r="AE259" s="37"/>
      <c r="AF259" s="37"/>
      <c r="AG259" s="14"/>
      <c r="AH259" s="14"/>
      <c r="AI259" s="14"/>
      <c r="AZ259" s="24"/>
    </row>
    <row r="260">
      <c r="B260" s="24"/>
      <c r="E260" s="113"/>
      <c r="F260" s="266"/>
      <c r="G260" s="113"/>
      <c r="K260" s="36"/>
      <c r="L260" s="117"/>
      <c r="M260" s="128"/>
      <c r="N260" s="117"/>
      <c r="R260" s="117"/>
      <c r="T260" s="117"/>
      <c r="V260" s="117"/>
      <c r="X260" s="117"/>
      <c r="Y260" s="10"/>
      <c r="Z260" s="11"/>
      <c r="AA260" s="36"/>
      <c r="AB260" s="36"/>
      <c r="AC260" s="13"/>
      <c r="AD260" s="13"/>
      <c r="AE260" s="37"/>
      <c r="AF260" s="37"/>
      <c r="AG260" s="14"/>
      <c r="AH260" s="14"/>
      <c r="AI260" s="14"/>
      <c r="AZ260" s="24"/>
    </row>
    <row r="261">
      <c r="B261" s="24"/>
      <c r="E261" s="113"/>
      <c r="F261" s="266"/>
      <c r="G261" s="113"/>
      <c r="K261" s="36"/>
      <c r="L261" s="117"/>
      <c r="M261" s="128"/>
      <c r="N261" s="117"/>
      <c r="R261" s="117"/>
      <c r="T261" s="117"/>
      <c r="V261" s="117"/>
      <c r="X261" s="117"/>
      <c r="Y261" s="10"/>
      <c r="Z261" s="11"/>
      <c r="AA261" s="36"/>
      <c r="AB261" s="36"/>
      <c r="AC261" s="13"/>
      <c r="AD261" s="13"/>
      <c r="AE261" s="37"/>
      <c r="AF261" s="37"/>
      <c r="AG261" s="14"/>
      <c r="AH261" s="14"/>
      <c r="AI261" s="14"/>
      <c r="AZ261" s="24"/>
    </row>
    <row r="262">
      <c r="B262" s="24"/>
      <c r="E262" s="113"/>
      <c r="F262" s="266"/>
      <c r="G262" s="113"/>
      <c r="K262" s="36"/>
      <c r="L262" s="117"/>
      <c r="M262" s="128"/>
      <c r="N262" s="117"/>
      <c r="R262" s="117"/>
      <c r="T262" s="117"/>
      <c r="V262" s="117"/>
      <c r="X262" s="117"/>
      <c r="Y262" s="10"/>
      <c r="Z262" s="11"/>
      <c r="AA262" s="36"/>
      <c r="AB262" s="36"/>
      <c r="AC262" s="13"/>
      <c r="AD262" s="13"/>
      <c r="AE262" s="37"/>
      <c r="AF262" s="37"/>
      <c r="AG262" s="14"/>
      <c r="AH262" s="14"/>
      <c r="AI262" s="14"/>
      <c r="AZ262" s="24"/>
    </row>
    <row r="263">
      <c r="B263" s="24"/>
      <c r="E263" s="113"/>
      <c r="F263" s="266"/>
      <c r="G263" s="113"/>
      <c r="K263" s="36"/>
      <c r="L263" s="117"/>
      <c r="M263" s="128"/>
      <c r="N263" s="117"/>
      <c r="R263" s="117"/>
      <c r="T263" s="117"/>
      <c r="V263" s="117"/>
      <c r="X263" s="117"/>
      <c r="Y263" s="10"/>
      <c r="Z263" s="11"/>
      <c r="AA263" s="36"/>
      <c r="AB263" s="36"/>
      <c r="AC263" s="13"/>
      <c r="AD263" s="13"/>
      <c r="AE263" s="37"/>
      <c r="AF263" s="37"/>
      <c r="AG263" s="14"/>
      <c r="AH263" s="14"/>
      <c r="AI263" s="14"/>
      <c r="AZ263" s="24"/>
    </row>
    <row r="264">
      <c r="B264" s="24"/>
      <c r="E264" s="113"/>
      <c r="F264" s="266"/>
      <c r="G264" s="113"/>
      <c r="K264" s="36"/>
      <c r="L264" s="117"/>
      <c r="M264" s="128"/>
      <c r="N264" s="117"/>
      <c r="R264" s="117"/>
      <c r="T264" s="117"/>
      <c r="V264" s="117"/>
      <c r="X264" s="117"/>
      <c r="Y264" s="10"/>
      <c r="Z264" s="11"/>
      <c r="AA264" s="36"/>
      <c r="AB264" s="36"/>
      <c r="AC264" s="13"/>
      <c r="AD264" s="13"/>
      <c r="AE264" s="37"/>
      <c r="AF264" s="37"/>
      <c r="AG264" s="14"/>
      <c r="AH264" s="14"/>
      <c r="AI264" s="14"/>
      <c r="AZ264" s="24"/>
    </row>
    <row r="265">
      <c r="B265" s="24"/>
      <c r="E265" s="113"/>
      <c r="F265" s="266"/>
      <c r="G265" s="113"/>
      <c r="K265" s="36"/>
      <c r="L265" s="117"/>
      <c r="M265" s="128"/>
      <c r="N265" s="117"/>
      <c r="R265" s="117"/>
      <c r="T265" s="117"/>
      <c r="V265" s="117"/>
      <c r="X265" s="117"/>
      <c r="Y265" s="10"/>
      <c r="Z265" s="11"/>
      <c r="AA265" s="36"/>
      <c r="AB265" s="36"/>
      <c r="AC265" s="13"/>
      <c r="AD265" s="13"/>
      <c r="AE265" s="37"/>
      <c r="AF265" s="37"/>
      <c r="AG265" s="14"/>
      <c r="AH265" s="14"/>
      <c r="AI265" s="14"/>
      <c r="AZ265" s="24"/>
    </row>
    <row r="266">
      <c r="B266" s="24"/>
      <c r="E266" s="113"/>
      <c r="F266" s="266"/>
      <c r="G266" s="113"/>
      <c r="K266" s="36"/>
      <c r="L266" s="117"/>
      <c r="M266" s="128"/>
      <c r="N266" s="117"/>
      <c r="R266" s="117"/>
      <c r="T266" s="117"/>
      <c r="V266" s="117"/>
      <c r="X266" s="117"/>
      <c r="Y266" s="10"/>
      <c r="Z266" s="11"/>
      <c r="AA266" s="36"/>
      <c r="AB266" s="36"/>
      <c r="AC266" s="13"/>
      <c r="AD266" s="13"/>
      <c r="AE266" s="37"/>
      <c r="AF266" s="37"/>
      <c r="AG266" s="14"/>
      <c r="AH266" s="14"/>
      <c r="AI266" s="14"/>
      <c r="AZ266" s="24"/>
    </row>
    <row r="267">
      <c r="B267" s="24"/>
      <c r="E267" s="113"/>
      <c r="F267" s="266"/>
      <c r="G267" s="113"/>
      <c r="K267" s="36"/>
      <c r="L267" s="117"/>
      <c r="M267" s="128"/>
      <c r="N267" s="117"/>
      <c r="R267" s="117"/>
      <c r="T267" s="117"/>
      <c r="V267" s="117"/>
      <c r="X267" s="117"/>
      <c r="Y267" s="10"/>
      <c r="Z267" s="11"/>
      <c r="AA267" s="36"/>
      <c r="AB267" s="36"/>
      <c r="AC267" s="13"/>
      <c r="AD267" s="13"/>
      <c r="AE267" s="37"/>
      <c r="AF267" s="37"/>
      <c r="AG267" s="14"/>
      <c r="AH267" s="14"/>
      <c r="AI267" s="14"/>
      <c r="AZ267" s="24"/>
    </row>
    <row r="268">
      <c r="B268" s="24"/>
      <c r="E268" s="113"/>
      <c r="F268" s="266"/>
      <c r="G268" s="113"/>
      <c r="K268" s="36"/>
      <c r="L268" s="117"/>
      <c r="M268" s="128"/>
      <c r="N268" s="117"/>
      <c r="R268" s="117"/>
      <c r="T268" s="117"/>
      <c r="V268" s="117"/>
      <c r="X268" s="117"/>
      <c r="Y268" s="10"/>
      <c r="Z268" s="11"/>
      <c r="AA268" s="36"/>
      <c r="AB268" s="36"/>
      <c r="AC268" s="13"/>
      <c r="AD268" s="13"/>
      <c r="AE268" s="37"/>
      <c r="AF268" s="37"/>
      <c r="AG268" s="14"/>
      <c r="AH268" s="14"/>
      <c r="AI268" s="14"/>
      <c r="AZ268" s="24"/>
    </row>
    <row r="269">
      <c r="B269" s="24"/>
      <c r="E269" s="113"/>
      <c r="F269" s="266"/>
      <c r="G269" s="113"/>
      <c r="K269" s="36"/>
      <c r="L269" s="117"/>
      <c r="M269" s="128"/>
      <c r="N269" s="117"/>
      <c r="R269" s="117"/>
      <c r="T269" s="117"/>
      <c r="V269" s="117"/>
      <c r="X269" s="117"/>
      <c r="Y269" s="10"/>
      <c r="Z269" s="11"/>
      <c r="AA269" s="36"/>
      <c r="AB269" s="36"/>
      <c r="AC269" s="13"/>
      <c r="AD269" s="13"/>
      <c r="AE269" s="37"/>
      <c r="AF269" s="37"/>
      <c r="AG269" s="14"/>
      <c r="AH269" s="14"/>
      <c r="AI269" s="14"/>
      <c r="AZ269" s="24"/>
    </row>
    <row r="270">
      <c r="B270" s="24"/>
      <c r="E270" s="113"/>
      <c r="F270" s="266"/>
      <c r="G270" s="113"/>
      <c r="K270" s="36"/>
      <c r="L270" s="117"/>
      <c r="M270" s="128"/>
      <c r="N270" s="117"/>
      <c r="R270" s="117"/>
      <c r="T270" s="117"/>
      <c r="V270" s="117"/>
      <c r="X270" s="117"/>
      <c r="Y270" s="10"/>
      <c r="Z270" s="11"/>
      <c r="AA270" s="36"/>
      <c r="AB270" s="36"/>
      <c r="AC270" s="13"/>
      <c r="AD270" s="13"/>
      <c r="AE270" s="37"/>
      <c r="AF270" s="37"/>
      <c r="AG270" s="14"/>
      <c r="AH270" s="14"/>
      <c r="AI270" s="14"/>
      <c r="AZ270" s="24"/>
    </row>
    <row r="271">
      <c r="B271" s="24"/>
      <c r="E271" s="113"/>
      <c r="F271" s="266"/>
      <c r="G271" s="113"/>
      <c r="K271" s="36"/>
      <c r="L271" s="117"/>
      <c r="M271" s="128"/>
      <c r="N271" s="117"/>
      <c r="R271" s="117"/>
      <c r="T271" s="117"/>
      <c r="V271" s="117"/>
      <c r="X271" s="117"/>
      <c r="Y271" s="10"/>
      <c r="Z271" s="11"/>
      <c r="AA271" s="36"/>
      <c r="AB271" s="36"/>
      <c r="AC271" s="13"/>
      <c r="AD271" s="13"/>
      <c r="AE271" s="37"/>
      <c r="AF271" s="37"/>
      <c r="AG271" s="14"/>
      <c r="AH271" s="14"/>
      <c r="AI271" s="14"/>
      <c r="AZ271" s="24"/>
    </row>
    <row r="272">
      <c r="B272" s="24"/>
      <c r="E272" s="113"/>
      <c r="F272" s="266"/>
      <c r="G272" s="113"/>
      <c r="K272" s="36"/>
      <c r="L272" s="117"/>
      <c r="M272" s="128"/>
      <c r="N272" s="117"/>
      <c r="R272" s="117"/>
      <c r="T272" s="117"/>
      <c r="V272" s="117"/>
      <c r="X272" s="117"/>
      <c r="Y272" s="10"/>
      <c r="Z272" s="11"/>
      <c r="AA272" s="36"/>
      <c r="AB272" s="36"/>
      <c r="AC272" s="13"/>
      <c r="AD272" s="13"/>
      <c r="AE272" s="37"/>
      <c r="AF272" s="37"/>
      <c r="AG272" s="14"/>
      <c r="AH272" s="14"/>
      <c r="AI272" s="14"/>
      <c r="AZ272" s="24"/>
    </row>
    <row r="273">
      <c r="B273" s="24"/>
      <c r="E273" s="113"/>
      <c r="F273" s="266"/>
      <c r="G273" s="113"/>
      <c r="K273" s="36"/>
      <c r="L273" s="117"/>
      <c r="M273" s="128"/>
      <c r="N273" s="117"/>
      <c r="R273" s="117"/>
      <c r="T273" s="117"/>
      <c r="V273" s="117"/>
      <c r="X273" s="117"/>
      <c r="Y273" s="10"/>
      <c r="Z273" s="11"/>
      <c r="AA273" s="36"/>
      <c r="AB273" s="36"/>
      <c r="AC273" s="13"/>
      <c r="AD273" s="13"/>
      <c r="AE273" s="37"/>
      <c r="AF273" s="37"/>
      <c r="AG273" s="14"/>
      <c r="AH273" s="14"/>
      <c r="AI273" s="14"/>
      <c r="AZ273" s="24"/>
    </row>
    <row r="274">
      <c r="B274" s="24"/>
      <c r="E274" s="113"/>
      <c r="F274" s="266"/>
      <c r="G274" s="113"/>
      <c r="K274" s="36"/>
      <c r="L274" s="117"/>
      <c r="M274" s="128"/>
      <c r="N274" s="117"/>
      <c r="R274" s="117"/>
      <c r="T274" s="117"/>
      <c r="V274" s="117"/>
      <c r="X274" s="117"/>
      <c r="Y274" s="10"/>
      <c r="Z274" s="11"/>
      <c r="AA274" s="36"/>
      <c r="AB274" s="36"/>
      <c r="AC274" s="13"/>
      <c r="AD274" s="13"/>
      <c r="AE274" s="37"/>
      <c r="AF274" s="37"/>
      <c r="AG274" s="14"/>
      <c r="AH274" s="14"/>
      <c r="AI274" s="14"/>
      <c r="AZ274" s="24"/>
    </row>
    <row r="275">
      <c r="B275" s="24"/>
      <c r="E275" s="113"/>
      <c r="F275" s="266"/>
      <c r="G275" s="113"/>
      <c r="K275" s="36"/>
      <c r="L275" s="117"/>
      <c r="M275" s="128"/>
      <c r="N275" s="117"/>
      <c r="R275" s="117"/>
      <c r="T275" s="117"/>
      <c r="V275" s="117"/>
      <c r="X275" s="117"/>
      <c r="Y275" s="10"/>
      <c r="Z275" s="11"/>
      <c r="AA275" s="36"/>
      <c r="AB275" s="36"/>
      <c r="AC275" s="13"/>
      <c r="AD275" s="13"/>
      <c r="AE275" s="37"/>
      <c r="AF275" s="37"/>
      <c r="AG275" s="14"/>
      <c r="AH275" s="14"/>
      <c r="AI275" s="14"/>
      <c r="AZ275" s="24"/>
    </row>
    <row r="276">
      <c r="B276" s="24"/>
      <c r="E276" s="113"/>
      <c r="F276" s="266"/>
      <c r="G276" s="113"/>
      <c r="K276" s="36"/>
      <c r="L276" s="117"/>
      <c r="M276" s="128"/>
      <c r="N276" s="117"/>
      <c r="R276" s="117"/>
      <c r="T276" s="117"/>
      <c r="V276" s="117"/>
      <c r="X276" s="117"/>
      <c r="Y276" s="10"/>
      <c r="Z276" s="11"/>
      <c r="AA276" s="36"/>
      <c r="AB276" s="36"/>
      <c r="AC276" s="13"/>
      <c r="AD276" s="13"/>
      <c r="AE276" s="37"/>
      <c r="AF276" s="37"/>
      <c r="AG276" s="14"/>
      <c r="AH276" s="14"/>
      <c r="AI276" s="14"/>
      <c r="AZ276" s="24"/>
    </row>
    <row r="277">
      <c r="B277" s="24"/>
      <c r="E277" s="113"/>
      <c r="F277" s="266"/>
      <c r="G277" s="113"/>
      <c r="K277" s="36"/>
      <c r="L277" s="117"/>
      <c r="M277" s="128"/>
      <c r="N277" s="117"/>
      <c r="R277" s="117"/>
      <c r="T277" s="117"/>
      <c r="V277" s="117"/>
      <c r="X277" s="117"/>
      <c r="Y277" s="10"/>
      <c r="Z277" s="11"/>
      <c r="AA277" s="36"/>
      <c r="AB277" s="36"/>
      <c r="AC277" s="13"/>
      <c r="AD277" s="13"/>
      <c r="AE277" s="37"/>
      <c r="AF277" s="37"/>
      <c r="AG277" s="14"/>
      <c r="AH277" s="14"/>
      <c r="AI277" s="14"/>
      <c r="AZ277" s="24"/>
    </row>
    <row r="278">
      <c r="B278" s="24"/>
      <c r="E278" s="113"/>
      <c r="F278" s="266"/>
      <c r="G278" s="113"/>
      <c r="K278" s="36"/>
      <c r="L278" s="117"/>
      <c r="M278" s="128"/>
      <c r="N278" s="117"/>
      <c r="R278" s="117"/>
      <c r="T278" s="117"/>
      <c r="V278" s="117"/>
      <c r="X278" s="117"/>
      <c r="Y278" s="10"/>
      <c r="Z278" s="11"/>
      <c r="AA278" s="36"/>
      <c r="AB278" s="36"/>
      <c r="AC278" s="13"/>
      <c r="AD278" s="13"/>
      <c r="AE278" s="37"/>
      <c r="AF278" s="37"/>
      <c r="AG278" s="14"/>
      <c r="AH278" s="14"/>
      <c r="AI278" s="14"/>
      <c r="AZ278" s="24"/>
    </row>
    <row r="279">
      <c r="B279" s="24"/>
      <c r="E279" s="113"/>
      <c r="F279" s="266"/>
      <c r="G279" s="113"/>
      <c r="K279" s="36"/>
      <c r="L279" s="117"/>
      <c r="M279" s="128"/>
      <c r="N279" s="117"/>
      <c r="R279" s="117"/>
      <c r="T279" s="117"/>
      <c r="V279" s="117"/>
      <c r="X279" s="117"/>
      <c r="Y279" s="10"/>
      <c r="Z279" s="11"/>
      <c r="AA279" s="36"/>
      <c r="AB279" s="36"/>
      <c r="AC279" s="13"/>
      <c r="AD279" s="13"/>
      <c r="AE279" s="37"/>
      <c r="AF279" s="37"/>
      <c r="AG279" s="14"/>
      <c r="AH279" s="14"/>
      <c r="AI279" s="14"/>
      <c r="AZ279" s="24"/>
    </row>
    <row r="280">
      <c r="B280" s="24"/>
      <c r="E280" s="113"/>
      <c r="F280" s="266"/>
      <c r="G280" s="113"/>
      <c r="K280" s="36"/>
      <c r="L280" s="117"/>
      <c r="M280" s="128"/>
      <c r="N280" s="117"/>
      <c r="R280" s="117"/>
      <c r="T280" s="117"/>
      <c r="V280" s="117"/>
      <c r="X280" s="117"/>
      <c r="Y280" s="10"/>
      <c r="Z280" s="11"/>
      <c r="AA280" s="36"/>
      <c r="AB280" s="36"/>
      <c r="AC280" s="13"/>
      <c r="AD280" s="13"/>
      <c r="AE280" s="37"/>
      <c r="AF280" s="37"/>
      <c r="AG280" s="14"/>
      <c r="AH280" s="14"/>
      <c r="AI280" s="14"/>
      <c r="AZ280" s="24"/>
    </row>
    <row r="281">
      <c r="B281" s="24"/>
      <c r="E281" s="113"/>
      <c r="F281" s="266"/>
      <c r="G281" s="113"/>
      <c r="K281" s="36"/>
      <c r="L281" s="117"/>
      <c r="M281" s="128"/>
      <c r="N281" s="117"/>
      <c r="R281" s="117"/>
      <c r="T281" s="117"/>
      <c r="V281" s="117"/>
      <c r="X281" s="117"/>
      <c r="Y281" s="10"/>
      <c r="Z281" s="11"/>
      <c r="AA281" s="36"/>
      <c r="AB281" s="36"/>
      <c r="AC281" s="13"/>
      <c r="AD281" s="13"/>
      <c r="AE281" s="37"/>
      <c r="AF281" s="37"/>
      <c r="AG281" s="14"/>
      <c r="AH281" s="14"/>
      <c r="AI281" s="14"/>
      <c r="AZ281" s="24"/>
    </row>
    <row r="282">
      <c r="B282" s="24"/>
      <c r="E282" s="113"/>
      <c r="F282" s="266"/>
      <c r="G282" s="113"/>
      <c r="K282" s="36"/>
      <c r="L282" s="117"/>
      <c r="M282" s="128"/>
      <c r="N282" s="117"/>
      <c r="R282" s="117"/>
      <c r="T282" s="117"/>
      <c r="V282" s="117"/>
      <c r="X282" s="117"/>
      <c r="Y282" s="10"/>
      <c r="Z282" s="11"/>
      <c r="AA282" s="36"/>
      <c r="AB282" s="36"/>
      <c r="AC282" s="13"/>
      <c r="AD282" s="13"/>
      <c r="AE282" s="37"/>
      <c r="AF282" s="37"/>
      <c r="AG282" s="14"/>
      <c r="AH282" s="14"/>
      <c r="AI282" s="14"/>
      <c r="AZ282" s="24"/>
    </row>
    <row r="283">
      <c r="B283" s="24"/>
      <c r="E283" s="113"/>
      <c r="F283" s="266"/>
      <c r="G283" s="113"/>
      <c r="K283" s="36"/>
      <c r="L283" s="117"/>
      <c r="M283" s="128"/>
      <c r="N283" s="117"/>
      <c r="R283" s="117"/>
      <c r="T283" s="117"/>
      <c r="V283" s="117"/>
      <c r="X283" s="117"/>
      <c r="Y283" s="10"/>
      <c r="Z283" s="11"/>
      <c r="AA283" s="36"/>
      <c r="AB283" s="36"/>
      <c r="AC283" s="13"/>
      <c r="AD283" s="13"/>
      <c r="AE283" s="37"/>
      <c r="AF283" s="37"/>
      <c r="AG283" s="14"/>
      <c r="AH283" s="14"/>
      <c r="AI283" s="14"/>
      <c r="AZ283" s="24"/>
    </row>
    <row r="284">
      <c r="B284" s="24"/>
      <c r="E284" s="113"/>
      <c r="F284" s="266"/>
      <c r="G284" s="113"/>
      <c r="K284" s="36"/>
      <c r="L284" s="117"/>
      <c r="M284" s="128"/>
      <c r="N284" s="117"/>
      <c r="R284" s="117"/>
      <c r="T284" s="117"/>
      <c r="V284" s="117"/>
      <c r="X284" s="117"/>
      <c r="Y284" s="10"/>
      <c r="Z284" s="11"/>
      <c r="AA284" s="36"/>
      <c r="AB284" s="36"/>
      <c r="AC284" s="13"/>
      <c r="AD284" s="13"/>
      <c r="AE284" s="37"/>
      <c r="AF284" s="37"/>
      <c r="AG284" s="14"/>
      <c r="AH284" s="14"/>
      <c r="AI284" s="14"/>
      <c r="AZ284" s="24"/>
    </row>
    <row r="285">
      <c r="B285" s="24"/>
      <c r="E285" s="113"/>
      <c r="F285" s="266"/>
      <c r="G285" s="113"/>
      <c r="K285" s="36"/>
      <c r="L285" s="117"/>
      <c r="M285" s="128"/>
      <c r="N285" s="117"/>
      <c r="R285" s="117"/>
      <c r="T285" s="117"/>
      <c r="V285" s="117"/>
      <c r="X285" s="117"/>
      <c r="Y285" s="10"/>
      <c r="Z285" s="11"/>
      <c r="AA285" s="36"/>
      <c r="AB285" s="36"/>
      <c r="AC285" s="13"/>
      <c r="AD285" s="13"/>
      <c r="AE285" s="37"/>
      <c r="AF285" s="37"/>
      <c r="AG285" s="14"/>
      <c r="AH285" s="14"/>
      <c r="AI285" s="14"/>
      <c r="AZ285" s="24"/>
    </row>
    <row r="286">
      <c r="B286" s="24"/>
      <c r="E286" s="113"/>
      <c r="F286" s="266"/>
      <c r="G286" s="113"/>
      <c r="K286" s="36"/>
      <c r="L286" s="117"/>
      <c r="M286" s="128"/>
      <c r="N286" s="117"/>
      <c r="R286" s="117"/>
      <c r="T286" s="117"/>
      <c r="V286" s="117"/>
      <c r="X286" s="117"/>
      <c r="Y286" s="10"/>
      <c r="Z286" s="11"/>
      <c r="AA286" s="36"/>
      <c r="AB286" s="36"/>
      <c r="AC286" s="13"/>
      <c r="AD286" s="13"/>
      <c r="AE286" s="37"/>
      <c r="AF286" s="37"/>
      <c r="AG286" s="14"/>
      <c r="AH286" s="14"/>
      <c r="AI286" s="14"/>
      <c r="AZ286" s="24"/>
    </row>
    <row r="287">
      <c r="B287" s="24"/>
      <c r="E287" s="113"/>
      <c r="F287" s="266"/>
      <c r="G287" s="113"/>
      <c r="K287" s="36"/>
      <c r="L287" s="117"/>
      <c r="M287" s="128"/>
      <c r="N287" s="117"/>
      <c r="R287" s="117"/>
      <c r="T287" s="117"/>
      <c r="V287" s="117"/>
      <c r="X287" s="117"/>
      <c r="Y287" s="10"/>
      <c r="Z287" s="11"/>
      <c r="AA287" s="36"/>
      <c r="AB287" s="36"/>
      <c r="AC287" s="13"/>
      <c r="AD287" s="13"/>
      <c r="AE287" s="37"/>
      <c r="AF287" s="37"/>
      <c r="AG287" s="14"/>
      <c r="AH287" s="14"/>
      <c r="AI287" s="14"/>
      <c r="AZ287" s="24"/>
    </row>
    <row r="288">
      <c r="B288" s="24"/>
      <c r="E288" s="113"/>
      <c r="F288" s="266"/>
      <c r="G288" s="113"/>
      <c r="K288" s="36"/>
      <c r="L288" s="117"/>
      <c r="M288" s="128"/>
      <c r="N288" s="117"/>
      <c r="R288" s="117"/>
      <c r="T288" s="117"/>
      <c r="V288" s="117"/>
      <c r="X288" s="117"/>
      <c r="Y288" s="10"/>
      <c r="Z288" s="11"/>
      <c r="AA288" s="36"/>
      <c r="AB288" s="36"/>
      <c r="AC288" s="13"/>
      <c r="AD288" s="13"/>
      <c r="AE288" s="37"/>
      <c r="AF288" s="37"/>
      <c r="AG288" s="14"/>
      <c r="AH288" s="14"/>
      <c r="AI288" s="14"/>
      <c r="AZ288" s="24"/>
    </row>
    <row r="289">
      <c r="B289" s="24"/>
      <c r="E289" s="113"/>
      <c r="F289" s="266"/>
      <c r="G289" s="113"/>
      <c r="K289" s="36"/>
      <c r="L289" s="117"/>
      <c r="M289" s="128"/>
      <c r="N289" s="117"/>
      <c r="R289" s="117"/>
      <c r="T289" s="117"/>
      <c r="V289" s="117"/>
      <c r="X289" s="117"/>
      <c r="Y289" s="10"/>
      <c r="Z289" s="11"/>
      <c r="AA289" s="36"/>
      <c r="AB289" s="36"/>
      <c r="AC289" s="13"/>
      <c r="AD289" s="13"/>
      <c r="AE289" s="37"/>
      <c r="AF289" s="37"/>
      <c r="AG289" s="14"/>
      <c r="AH289" s="14"/>
      <c r="AI289" s="14"/>
      <c r="AZ289" s="24"/>
    </row>
    <row r="290">
      <c r="B290" s="24"/>
      <c r="E290" s="113"/>
      <c r="F290" s="266"/>
      <c r="G290" s="113"/>
      <c r="K290" s="36"/>
      <c r="L290" s="117"/>
      <c r="M290" s="128"/>
      <c r="N290" s="117"/>
      <c r="R290" s="117"/>
      <c r="T290" s="117"/>
      <c r="V290" s="117"/>
      <c r="X290" s="117"/>
      <c r="Y290" s="10"/>
      <c r="Z290" s="11"/>
      <c r="AA290" s="36"/>
      <c r="AB290" s="36"/>
      <c r="AC290" s="13"/>
      <c r="AD290" s="13"/>
      <c r="AE290" s="37"/>
      <c r="AF290" s="37"/>
      <c r="AG290" s="14"/>
      <c r="AH290" s="14"/>
      <c r="AI290" s="14"/>
      <c r="AZ290" s="24"/>
    </row>
    <row r="291">
      <c r="B291" s="24"/>
      <c r="E291" s="113"/>
      <c r="F291" s="266"/>
      <c r="G291" s="113"/>
      <c r="K291" s="36"/>
      <c r="L291" s="117"/>
      <c r="M291" s="128"/>
      <c r="N291" s="117"/>
      <c r="R291" s="117"/>
      <c r="T291" s="117"/>
      <c r="V291" s="117"/>
      <c r="X291" s="117"/>
      <c r="Y291" s="10"/>
      <c r="Z291" s="11"/>
      <c r="AA291" s="36"/>
      <c r="AB291" s="36"/>
      <c r="AC291" s="13"/>
      <c r="AD291" s="13"/>
      <c r="AE291" s="37"/>
      <c r="AF291" s="37"/>
      <c r="AG291" s="14"/>
      <c r="AH291" s="14"/>
      <c r="AI291" s="14"/>
      <c r="AZ291" s="24"/>
    </row>
    <row r="292">
      <c r="B292" s="24"/>
      <c r="E292" s="113"/>
      <c r="F292" s="266"/>
      <c r="G292" s="113"/>
      <c r="K292" s="36"/>
      <c r="L292" s="117"/>
      <c r="M292" s="128"/>
      <c r="N292" s="117"/>
      <c r="R292" s="117"/>
      <c r="T292" s="117"/>
      <c r="V292" s="117"/>
      <c r="X292" s="117"/>
      <c r="Y292" s="10"/>
      <c r="Z292" s="11"/>
      <c r="AA292" s="36"/>
      <c r="AB292" s="36"/>
      <c r="AC292" s="13"/>
      <c r="AD292" s="13"/>
      <c r="AE292" s="37"/>
      <c r="AF292" s="37"/>
      <c r="AG292" s="14"/>
      <c r="AH292" s="14"/>
      <c r="AI292" s="14"/>
      <c r="AZ292" s="24"/>
    </row>
    <row r="293">
      <c r="B293" s="24"/>
      <c r="E293" s="113"/>
      <c r="F293" s="266"/>
      <c r="G293" s="113"/>
      <c r="K293" s="36"/>
      <c r="L293" s="117"/>
      <c r="M293" s="128"/>
      <c r="N293" s="117"/>
      <c r="R293" s="117"/>
      <c r="T293" s="117"/>
      <c r="V293" s="117"/>
      <c r="X293" s="117"/>
      <c r="Y293" s="10"/>
      <c r="Z293" s="11"/>
      <c r="AA293" s="36"/>
      <c r="AB293" s="36"/>
      <c r="AC293" s="13"/>
      <c r="AD293" s="13"/>
      <c r="AE293" s="37"/>
      <c r="AF293" s="37"/>
      <c r="AG293" s="14"/>
      <c r="AH293" s="14"/>
      <c r="AI293" s="14"/>
      <c r="AZ293" s="24"/>
    </row>
    <row r="294">
      <c r="B294" s="24"/>
      <c r="E294" s="113"/>
      <c r="F294" s="266"/>
      <c r="G294" s="113"/>
      <c r="K294" s="36"/>
      <c r="L294" s="117"/>
      <c r="M294" s="128"/>
      <c r="N294" s="117"/>
      <c r="R294" s="117"/>
      <c r="T294" s="117"/>
      <c r="V294" s="117"/>
      <c r="X294" s="117"/>
      <c r="Y294" s="10"/>
      <c r="Z294" s="11"/>
      <c r="AA294" s="36"/>
      <c r="AB294" s="36"/>
      <c r="AC294" s="13"/>
      <c r="AD294" s="13"/>
      <c r="AE294" s="37"/>
      <c r="AF294" s="37"/>
      <c r="AG294" s="14"/>
      <c r="AH294" s="14"/>
      <c r="AI294" s="14"/>
      <c r="AZ294" s="24"/>
    </row>
    <row r="295">
      <c r="B295" s="24"/>
      <c r="E295" s="113"/>
      <c r="F295" s="266"/>
      <c r="G295" s="113"/>
      <c r="K295" s="36"/>
      <c r="L295" s="117"/>
      <c r="M295" s="128"/>
      <c r="N295" s="117"/>
      <c r="R295" s="117"/>
      <c r="T295" s="117"/>
      <c r="V295" s="117"/>
      <c r="X295" s="117"/>
      <c r="Y295" s="10"/>
      <c r="Z295" s="11"/>
      <c r="AA295" s="36"/>
      <c r="AB295" s="36"/>
      <c r="AC295" s="13"/>
      <c r="AD295" s="13"/>
      <c r="AE295" s="37"/>
      <c r="AF295" s="37"/>
      <c r="AG295" s="14"/>
      <c r="AH295" s="14"/>
      <c r="AI295" s="14"/>
      <c r="AZ295" s="24"/>
    </row>
    <row r="296">
      <c r="B296" s="24"/>
      <c r="E296" s="113"/>
      <c r="F296" s="266"/>
      <c r="G296" s="113"/>
      <c r="K296" s="36"/>
      <c r="L296" s="117"/>
      <c r="M296" s="128"/>
      <c r="N296" s="117"/>
      <c r="R296" s="117"/>
      <c r="T296" s="117"/>
      <c r="V296" s="117"/>
      <c r="X296" s="117"/>
      <c r="Y296" s="10"/>
      <c r="Z296" s="11"/>
      <c r="AA296" s="36"/>
      <c r="AB296" s="36"/>
      <c r="AC296" s="13"/>
      <c r="AD296" s="13"/>
      <c r="AE296" s="37"/>
      <c r="AF296" s="37"/>
      <c r="AG296" s="14"/>
      <c r="AH296" s="14"/>
      <c r="AI296" s="14"/>
      <c r="AZ296" s="24"/>
    </row>
    <row r="297">
      <c r="B297" s="24"/>
      <c r="E297" s="113"/>
      <c r="F297" s="266"/>
      <c r="G297" s="113"/>
      <c r="K297" s="36"/>
      <c r="L297" s="117"/>
      <c r="M297" s="128"/>
      <c r="N297" s="117"/>
      <c r="R297" s="117"/>
      <c r="T297" s="117"/>
      <c r="V297" s="117"/>
      <c r="X297" s="117"/>
      <c r="Y297" s="10"/>
      <c r="Z297" s="11"/>
      <c r="AA297" s="36"/>
      <c r="AB297" s="36"/>
      <c r="AC297" s="13"/>
      <c r="AD297" s="13"/>
      <c r="AE297" s="37"/>
      <c r="AF297" s="37"/>
      <c r="AG297" s="14"/>
      <c r="AH297" s="14"/>
      <c r="AI297" s="14"/>
      <c r="AZ297" s="24"/>
    </row>
    <row r="298">
      <c r="B298" s="24"/>
      <c r="E298" s="113"/>
      <c r="F298" s="266"/>
      <c r="G298" s="113"/>
      <c r="K298" s="36"/>
      <c r="L298" s="117"/>
      <c r="M298" s="128"/>
      <c r="N298" s="117"/>
      <c r="R298" s="117"/>
      <c r="T298" s="117"/>
      <c r="V298" s="117"/>
      <c r="X298" s="117"/>
      <c r="Y298" s="10"/>
      <c r="Z298" s="11"/>
      <c r="AA298" s="36"/>
      <c r="AB298" s="36"/>
      <c r="AC298" s="13"/>
      <c r="AD298" s="13"/>
      <c r="AE298" s="37"/>
      <c r="AF298" s="37"/>
      <c r="AG298" s="14"/>
      <c r="AH298" s="14"/>
      <c r="AI298" s="14"/>
      <c r="AZ298" s="24"/>
    </row>
    <row r="299">
      <c r="B299" s="24"/>
      <c r="E299" s="113"/>
      <c r="F299" s="266"/>
      <c r="G299" s="113"/>
      <c r="K299" s="36"/>
      <c r="L299" s="117"/>
      <c r="M299" s="128"/>
      <c r="N299" s="117"/>
      <c r="R299" s="117"/>
      <c r="T299" s="117"/>
      <c r="V299" s="117"/>
      <c r="X299" s="117"/>
      <c r="Y299" s="10"/>
      <c r="Z299" s="11"/>
      <c r="AA299" s="36"/>
      <c r="AB299" s="36"/>
      <c r="AC299" s="13"/>
      <c r="AD299" s="13"/>
      <c r="AE299" s="37"/>
      <c r="AF299" s="37"/>
      <c r="AG299" s="14"/>
      <c r="AH299" s="14"/>
      <c r="AI299" s="14"/>
      <c r="AZ299" s="24"/>
    </row>
    <row r="300">
      <c r="B300" s="24"/>
      <c r="E300" s="113"/>
      <c r="F300" s="266"/>
      <c r="G300" s="113"/>
      <c r="K300" s="36"/>
      <c r="L300" s="117"/>
      <c r="M300" s="128"/>
      <c r="N300" s="117"/>
      <c r="R300" s="117"/>
      <c r="T300" s="117"/>
      <c r="V300" s="117"/>
      <c r="X300" s="117"/>
      <c r="Y300" s="10"/>
      <c r="Z300" s="11"/>
      <c r="AA300" s="36"/>
      <c r="AB300" s="36"/>
      <c r="AC300" s="13"/>
      <c r="AD300" s="13"/>
      <c r="AE300" s="37"/>
      <c r="AF300" s="37"/>
      <c r="AG300" s="14"/>
      <c r="AH300" s="14"/>
      <c r="AI300" s="14"/>
      <c r="AZ300" s="24"/>
    </row>
    <row r="301">
      <c r="B301" s="24"/>
      <c r="E301" s="113"/>
      <c r="F301" s="266"/>
      <c r="G301" s="113"/>
      <c r="K301" s="36"/>
      <c r="L301" s="117"/>
      <c r="M301" s="128"/>
      <c r="N301" s="117"/>
      <c r="R301" s="117"/>
      <c r="T301" s="117"/>
      <c r="V301" s="117"/>
      <c r="X301" s="117"/>
      <c r="Y301" s="10"/>
      <c r="Z301" s="11"/>
      <c r="AA301" s="36"/>
      <c r="AB301" s="36"/>
      <c r="AC301" s="13"/>
      <c r="AD301" s="13"/>
      <c r="AE301" s="37"/>
      <c r="AF301" s="37"/>
      <c r="AG301" s="14"/>
      <c r="AH301" s="14"/>
      <c r="AI301" s="14"/>
      <c r="AZ301" s="24"/>
    </row>
    <row r="302">
      <c r="B302" s="24"/>
      <c r="E302" s="113"/>
      <c r="F302" s="266"/>
      <c r="G302" s="113"/>
      <c r="K302" s="36"/>
      <c r="L302" s="117"/>
      <c r="M302" s="128"/>
      <c r="N302" s="117"/>
      <c r="R302" s="117"/>
      <c r="T302" s="117"/>
      <c r="V302" s="117"/>
      <c r="X302" s="117"/>
      <c r="Y302" s="10"/>
      <c r="Z302" s="11"/>
      <c r="AA302" s="36"/>
      <c r="AB302" s="36"/>
      <c r="AC302" s="13"/>
      <c r="AD302" s="13"/>
      <c r="AE302" s="37"/>
      <c r="AF302" s="37"/>
      <c r="AG302" s="14"/>
      <c r="AH302" s="14"/>
      <c r="AI302" s="14"/>
      <c r="AZ302" s="24"/>
    </row>
    <row r="303">
      <c r="B303" s="24"/>
      <c r="E303" s="113"/>
      <c r="F303" s="266"/>
      <c r="G303" s="113"/>
      <c r="K303" s="36"/>
      <c r="L303" s="117"/>
      <c r="M303" s="128"/>
      <c r="N303" s="117"/>
      <c r="R303" s="117"/>
      <c r="T303" s="117"/>
      <c r="V303" s="117"/>
      <c r="X303" s="117"/>
      <c r="Y303" s="10"/>
      <c r="Z303" s="11"/>
      <c r="AA303" s="36"/>
      <c r="AB303" s="36"/>
      <c r="AC303" s="13"/>
      <c r="AD303" s="13"/>
      <c r="AE303" s="37"/>
      <c r="AF303" s="37"/>
      <c r="AG303" s="14"/>
      <c r="AH303" s="14"/>
      <c r="AI303" s="14"/>
      <c r="AZ303" s="24"/>
    </row>
    <row r="304">
      <c r="B304" s="24"/>
      <c r="E304" s="113"/>
      <c r="F304" s="266"/>
      <c r="G304" s="113"/>
      <c r="K304" s="36"/>
      <c r="L304" s="117"/>
      <c r="M304" s="128"/>
      <c r="N304" s="117"/>
      <c r="R304" s="117"/>
      <c r="T304" s="117"/>
      <c r="V304" s="117"/>
      <c r="X304" s="117"/>
      <c r="Y304" s="10"/>
      <c r="Z304" s="11"/>
      <c r="AA304" s="36"/>
      <c r="AB304" s="36"/>
      <c r="AC304" s="13"/>
      <c r="AD304" s="13"/>
      <c r="AE304" s="37"/>
      <c r="AF304" s="37"/>
      <c r="AG304" s="14"/>
      <c r="AH304" s="14"/>
      <c r="AI304" s="14"/>
      <c r="AZ304" s="24"/>
    </row>
    <row r="305">
      <c r="B305" s="24"/>
      <c r="E305" s="113"/>
      <c r="F305" s="266"/>
      <c r="G305" s="113"/>
      <c r="K305" s="36"/>
      <c r="L305" s="117"/>
      <c r="M305" s="128"/>
      <c r="N305" s="117"/>
      <c r="R305" s="117"/>
      <c r="T305" s="117"/>
      <c r="V305" s="117"/>
      <c r="X305" s="117"/>
      <c r="Y305" s="10"/>
      <c r="Z305" s="11"/>
      <c r="AA305" s="36"/>
      <c r="AB305" s="36"/>
      <c r="AC305" s="13"/>
      <c r="AD305" s="13"/>
      <c r="AE305" s="37"/>
      <c r="AF305" s="37"/>
      <c r="AG305" s="14"/>
      <c r="AH305" s="14"/>
      <c r="AI305" s="14"/>
      <c r="AZ305" s="24"/>
    </row>
    <row r="306">
      <c r="B306" s="24"/>
      <c r="E306" s="113"/>
      <c r="F306" s="266"/>
      <c r="G306" s="113"/>
      <c r="K306" s="36"/>
      <c r="L306" s="117"/>
      <c r="M306" s="128"/>
      <c r="N306" s="117"/>
      <c r="R306" s="117"/>
      <c r="T306" s="117"/>
      <c r="V306" s="117"/>
      <c r="X306" s="117"/>
      <c r="Y306" s="10"/>
      <c r="Z306" s="11"/>
      <c r="AA306" s="36"/>
      <c r="AB306" s="36"/>
      <c r="AC306" s="13"/>
      <c r="AD306" s="13"/>
      <c r="AE306" s="37"/>
      <c r="AF306" s="37"/>
      <c r="AG306" s="14"/>
      <c r="AH306" s="14"/>
      <c r="AI306" s="14"/>
      <c r="AZ306" s="24"/>
    </row>
    <row r="307">
      <c r="B307" s="24"/>
      <c r="E307" s="113"/>
      <c r="F307" s="266"/>
      <c r="G307" s="113"/>
      <c r="K307" s="36"/>
      <c r="L307" s="117"/>
      <c r="M307" s="128"/>
      <c r="N307" s="117"/>
      <c r="R307" s="117"/>
      <c r="T307" s="117"/>
      <c r="V307" s="117"/>
      <c r="X307" s="117"/>
      <c r="Y307" s="10"/>
      <c r="Z307" s="11"/>
      <c r="AA307" s="36"/>
      <c r="AB307" s="36"/>
      <c r="AC307" s="13"/>
      <c r="AD307" s="13"/>
      <c r="AE307" s="37"/>
      <c r="AF307" s="37"/>
      <c r="AG307" s="14"/>
      <c r="AH307" s="14"/>
      <c r="AI307" s="14"/>
      <c r="AZ307" s="24"/>
    </row>
    <row r="308">
      <c r="B308" s="24"/>
      <c r="E308" s="113"/>
      <c r="F308" s="266"/>
      <c r="G308" s="113"/>
      <c r="K308" s="36"/>
      <c r="L308" s="117"/>
      <c r="M308" s="128"/>
      <c r="N308" s="117"/>
      <c r="R308" s="117"/>
      <c r="T308" s="117"/>
      <c r="V308" s="117"/>
      <c r="X308" s="117"/>
      <c r="Y308" s="10"/>
      <c r="Z308" s="11"/>
      <c r="AA308" s="36"/>
      <c r="AB308" s="36"/>
      <c r="AC308" s="13"/>
      <c r="AD308" s="13"/>
      <c r="AE308" s="37"/>
      <c r="AF308" s="37"/>
      <c r="AG308" s="14"/>
      <c r="AH308" s="14"/>
      <c r="AI308" s="14"/>
      <c r="AZ308" s="24"/>
    </row>
    <row r="309">
      <c r="B309" s="24"/>
      <c r="E309" s="113"/>
      <c r="F309" s="266"/>
      <c r="G309" s="113"/>
      <c r="K309" s="36"/>
      <c r="L309" s="117"/>
      <c r="M309" s="128"/>
      <c r="N309" s="117"/>
      <c r="R309" s="117"/>
      <c r="T309" s="117"/>
      <c r="V309" s="117"/>
      <c r="X309" s="117"/>
      <c r="Y309" s="10"/>
      <c r="Z309" s="11"/>
      <c r="AA309" s="36"/>
      <c r="AB309" s="36"/>
      <c r="AC309" s="13"/>
      <c r="AD309" s="13"/>
      <c r="AE309" s="37"/>
      <c r="AF309" s="37"/>
      <c r="AG309" s="14"/>
      <c r="AH309" s="14"/>
      <c r="AI309" s="14"/>
      <c r="AZ309" s="24"/>
    </row>
    <row r="310">
      <c r="B310" s="24"/>
      <c r="E310" s="113"/>
      <c r="F310" s="266"/>
      <c r="G310" s="113"/>
      <c r="K310" s="36"/>
      <c r="L310" s="117"/>
      <c r="M310" s="128"/>
      <c r="N310" s="117"/>
      <c r="R310" s="117"/>
      <c r="T310" s="117"/>
      <c r="V310" s="117"/>
      <c r="X310" s="117"/>
      <c r="Y310" s="10"/>
      <c r="Z310" s="11"/>
      <c r="AA310" s="36"/>
      <c r="AB310" s="36"/>
      <c r="AC310" s="13"/>
      <c r="AD310" s="13"/>
      <c r="AE310" s="37"/>
      <c r="AF310" s="37"/>
      <c r="AG310" s="14"/>
      <c r="AH310" s="14"/>
      <c r="AI310" s="14"/>
      <c r="AZ310" s="24"/>
    </row>
    <row r="311">
      <c r="B311" s="24"/>
      <c r="E311" s="113"/>
      <c r="F311" s="266"/>
      <c r="G311" s="113"/>
      <c r="K311" s="36"/>
      <c r="L311" s="117"/>
      <c r="M311" s="128"/>
      <c r="N311" s="117"/>
      <c r="R311" s="117"/>
      <c r="T311" s="117"/>
      <c r="V311" s="117"/>
      <c r="X311" s="117"/>
      <c r="Y311" s="10"/>
      <c r="Z311" s="11"/>
      <c r="AA311" s="36"/>
      <c r="AB311" s="36"/>
      <c r="AC311" s="13"/>
      <c r="AD311" s="13"/>
      <c r="AE311" s="37"/>
      <c r="AF311" s="37"/>
      <c r="AG311" s="14"/>
      <c r="AH311" s="14"/>
      <c r="AI311" s="14"/>
      <c r="AZ311" s="24"/>
    </row>
    <row r="312">
      <c r="B312" s="24"/>
      <c r="E312" s="113"/>
      <c r="F312" s="266"/>
      <c r="G312" s="113"/>
      <c r="K312" s="36"/>
      <c r="L312" s="117"/>
      <c r="M312" s="128"/>
      <c r="N312" s="117"/>
      <c r="R312" s="117"/>
      <c r="T312" s="117"/>
      <c r="V312" s="117"/>
      <c r="X312" s="117"/>
      <c r="Y312" s="10"/>
      <c r="Z312" s="11"/>
      <c r="AA312" s="36"/>
      <c r="AB312" s="36"/>
      <c r="AC312" s="13"/>
      <c r="AD312" s="13"/>
      <c r="AE312" s="37"/>
      <c r="AF312" s="37"/>
      <c r="AG312" s="14"/>
      <c r="AH312" s="14"/>
      <c r="AI312" s="14"/>
      <c r="AZ312" s="24"/>
    </row>
    <row r="313">
      <c r="B313" s="24"/>
      <c r="E313" s="113"/>
      <c r="F313" s="266"/>
      <c r="G313" s="113"/>
      <c r="K313" s="36"/>
      <c r="L313" s="117"/>
      <c r="M313" s="128"/>
      <c r="N313" s="117"/>
      <c r="R313" s="117"/>
      <c r="T313" s="117"/>
      <c r="V313" s="117"/>
      <c r="X313" s="117"/>
      <c r="Y313" s="10"/>
      <c r="Z313" s="11"/>
      <c r="AA313" s="36"/>
      <c r="AB313" s="36"/>
      <c r="AC313" s="13"/>
      <c r="AD313" s="13"/>
      <c r="AE313" s="37"/>
      <c r="AF313" s="37"/>
      <c r="AG313" s="14"/>
      <c r="AH313" s="14"/>
      <c r="AI313" s="14"/>
      <c r="AZ313" s="24"/>
    </row>
    <row r="314">
      <c r="B314" s="24"/>
      <c r="E314" s="113"/>
      <c r="F314" s="266"/>
      <c r="G314" s="113"/>
      <c r="K314" s="36"/>
      <c r="L314" s="117"/>
      <c r="M314" s="128"/>
      <c r="N314" s="117"/>
      <c r="R314" s="117"/>
      <c r="T314" s="117"/>
      <c r="V314" s="117"/>
      <c r="X314" s="117"/>
      <c r="Y314" s="10"/>
      <c r="Z314" s="11"/>
      <c r="AA314" s="36"/>
      <c r="AB314" s="36"/>
      <c r="AC314" s="13"/>
      <c r="AD314" s="13"/>
      <c r="AE314" s="37"/>
      <c r="AF314" s="37"/>
      <c r="AG314" s="14"/>
      <c r="AH314" s="14"/>
      <c r="AI314" s="14"/>
      <c r="AZ314" s="24"/>
    </row>
    <row r="315">
      <c r="B315" s="24"/>
      <c r="E315" s="113"/>
      <c r="F315" s="266"/>
      <c r="G315" s="113"/>
      <c r="K315" s="36"/>
      <c r="L315" s="117"/>
      <c r="M315" s="128"/>
      <c r="N315" s="117"/>
      <c r="R315" s="117"/>
      <c r="T315" s="117"/>
      <c r="V315" s="117"/>
      <c r="X315" s="117"/>
      <c r="Y315" s="10"/>
      <c r="Z315" s="11"/>
      <c r="AA315" s="36"/>
      <c r="AB315" s="36"/>
      <c r="AC315" s="13"/>
      <c r="AD315" s="13"/>
      <c r="AE315" s="37"/>
      <c r="AF315" s="37"/>
      <c r="AG315" s="14"/>
      <c r="AH315" s="14"/>
      <c r="AI315" s="14"/>
      <c r="AZ315" s="24"/>
    </row>
    <row r="316">
      <c r="B316" s="24"/>
      <c r="E316" s="113"/>
      <c r="F316" s="266"/>
      <c r="G316" s="113"/>
      <c r="K316" s="36"/>
      <c r="L316" s="117"/>
      <c r="M316" s="128"/>
      <c r="N316" s="117"/>
      <c r="R316" s="117"/>
      <c r="T316" s="117"/>
      <c r="V316" s="117"/>
      <c r="X316" s="117"/>
      <c r="Y316" s="10"/>
      <c r="Z316" s="11"/>
      <c r="AA316" s="36"/>
      <c r="AB316" s="36"/>
      <c r="AC316" s="13"/>
      <c r="AD316" s="13"/>
      <c r="AE316" s="37"/>
      <c r="AF316" s="37"/>
      <c r="AG316" s="14"/>
      <c r="AH316" s="14"/>
      <c r="AI316" s="14"/>
      <c r="AZ316" s="24"/>
    </row>
    <row r="317">
      <c r="B317" s="24"/>
      <c r="E317" s="113"/>
      <c r="F317" s="266"/>
      <c r="G317" s="113"/>
      <c r="K317" s="36"/>
      <c r="L317" s="117"/>
      <c r="M317" s="128"/>
      <c r="N317" s="117"/>
      <c r="R317" s="117"/>
      <c r="T317" s="117"/>
      <c r="V317" s="117"/>
      <c r="X317" s="117"/>
      <c r="Y317" s="10"/>
      <c r="Z317" s="11"/>
      <c r="AA317" s="36"/>
      <c r="AB317" s="36"/>
      <c r="AC317" s="13"/>
      <c r="AD317" s="13"/>
      <c r="AE317" s="37"/>
      <c r="AF317" s="37"/>
      <c r="AG317" s="14"/>
      <c r="AH317" s="14"/>
      <c r="AI317" s="14"/>
      <c r="AZ317" s="24"/>
    </row>
    <row r="318">
      <c r="B318" s="24"/>
      <c r="E318" s="113"/>
      <c r="F318" s="266"/>
      <c r="G318" s="113"/>
      <c r="K318" s="36"/>
      <c r="L318" s="117"/>
      <c r="M318" s="128"/>
      <c r="N318" s="117"/>
      <c r="R318" s="117"/>
      <c r="T318" s="117"/>
      <c r="V318" s="117"/>
      <c r="X318" s="117"/>
      <c r="Y318" s="10"/>
      <c r="Z318" s="11"/>
      <c r="AA318" s="36"/>
      <c r="AB318" s="36"/>
      <c r="AC318" s="13"/>
      <c r="AD318" s="13"/>
      <c r="AE318" s="37"/>
      <c r="AF318" s="37"/>
      <c r="AG318" s="14"/>
      <c r="AH318" s="14"/>
      <c r="AI318" s="14"/>
      <c r="AZ318" s="24"/>
    </row>
    <row r="319">
      <c r="B319" s="24"/>
      <c r="E319" s="113"/>
      <c r="F319" s="266"/>
      <c r="G319" s="113"/>
      <c r="K319" s="36"/>
      <c r="L319" s="117"/>
      <c r="M319" s="128"/>
      <c r="N319" s="117"/>
      <c r="R319" s="117"/>
      <c r="T319" s="117"/>
      <c r="V319" s="117"/>
      <c r="X319" s="117"/>
      <c r="Y319" s="10"/>
      <c r="Z319" s="11"/>
      <c r="AA319" s="36"/>
      <c r="AB319" s="36"/>
      <c r="AC319" s="13"/>
      <c r="AD319" s="13"/>
      <c r="AE319" s="37"/>
      <c r="AF319" s="37"/>
      <c r="AG319" s="14"/>
      <c r="AH319" s="14"/>
      <c r="AI319" s="14"/>
      <c r="AZ319" s="24"/>
    </row>
    <row r="320">
      <c r="B320" s="24"/>
      <c r="E320" s="113"/>
      <c r="F320" s="266"/>
      <c r="G320" s="113"/>
      <c r="K320" s="36"/>
      <c r="L320" s="117"/>
      <c r="M320" s="128"/>
      <c r="N320" s="117"/>
      <c r="R320" s="117"/>
      <c r="T320" s="117"/>
      <c r="V320" s="117"/>
      <c r="X320" s="117"/>
      <c r="Y320" s="10"/>
      <c r="Z320" s="11"/>
      <c r="AA320" s="36"/>
      <c r="AB320" s="36"/>
      <c r="AC320" s="13"/>
      <c r="AD320" s="13"/>
      <c r="AE320" s="37"/>
      <c r="AF320" s="37"/>
      <c r="AG320" s="14"/>
      <c r="AH320" s="14"/>
      <c r="AI320" s="14"/>
      <c r="AZ320" s="24"/>
    </row>
    <row r="321">
      <c r="B321" s="24"/>
      <c r="E321" s="113"/>
      <c r="F321" s="266"/>
      <c r="G321" s="113"/>
      <c r="K321" s="36"/>
      <c r="L321" s="117"/>
      <c r="M321" s="128"/>
      <c r="N321" s="117"/>
      <c r="R321" s="117"/>
      <c r="T321" s="117"/>
      <c r="V321" s="117"/>
      <c r="X321" s="117"/>
      <c r="Y321" s="10"/>
      <c r="Z321" s="11"/>
      <c r="AA321" s="36"/>
      <c r="AB321" s="36"/>
      <c r="AC321" s="13"/>
      <c r="AD321" s="13"/>
      <c r="AE321" s="37"/>
      <c r="AF321" s="37"/>
      <c r="AG321" s="14"/>
      <c r="AH321" s="14"/>
      <c r="AI321" s="14"/>
      <c r="AZ321" s="24"/>
    </row>
    <row r="322">
      <c r="B322" s="24"/>
      <c r="E322" s="113"/>
      <c r="F322" s="266"/>
      <c r="G322" s="113"/>
      <c r="K322" s="36"/>
      <c r="L322" s="117"/>
      <c r="M322" s="128"/>
      <c r="N322" s="117"/>
      <c r="R322" s="117"/>
      <c r="T322" s="117"/>
      <c r="V322" s="117"/>
      <c r="X322" s="117"/>
      <c r="Y322" s="10"/>
      <c r="Z322" s="11"/>
      <c r="AA322" s="36"/>
      <c r="AB322" s="36"/>
      <c r="AC322" s="13"/>
      <c r="AD322" s="13"/>
      <c r="AE322" s="37"/>
      <c r="AF322" s="37"/>
      <c r="AG322" s="14"/>
      <c r="AH322" s="14"/>
      <c r="AI322" s="14"/>
      <c r="AZ322" s="24"/>
    </row>
    <row r="323">
      <c r="B323" s="24"/>
      <c r="E323" s="113"/>
      <c r="F323" s="266"/>
      <c r="G323" s="113"/>
      <c r="K323" s="36"/>
      <c r="L323" s="117"/>
      <c r="M323" s="128"/>
      <c r="N323" s="117"/>
      <c r="R323" s="117"/>
      <c r="T323" s="117"/>
      <c r="V323" s="117"/>
      <c r="X323" s="117"/>
      <c r="Y323" s="10"/>
      <c r="Z323" s="11"/>
      <c r="AA323" s="36"/>
      <c r="AB323" s="36"/>
      <c r="AC323" s="13"/>
      <c r="AD323" s="13"/>
      <c r="AE323" s="37"/>
      <c r="AF323" s="37"/>
      <c r="AG323" s="14"/>
      <c r="AH323" s="14"/>
      <c r="AI323" s="14"/>
      <c r="AZ323" s="24"/>
    </row>
    <row r="324">
      <c r="B324" s="24"/>
      <c r="E324" s="113"/>
      <c r="F324" s="266"/>
      <c r="G324" s="113"/>
      <c r="K324" s="36"/>
      <c r="L324" s="117"/>
      <c r="M324" s="128"/>
      <c r="N324" s="117"/>
      <c r="R324" s="117"/>
      <c r="T324" s="117"/>
      <c r="V324" s="117"/>
      <c r="X324" s="117"/>
      <c r="Y324" s="10"/>
      <c r="Z324" s="11"/>
      <c r="AA324" s="36"/>
      <c r="AB324" s="36"/>
      <c r="AC324" s="13"/>
      <c r="AD324" s="13"/>
      <c r="AE324" s="37"/>
      <c r="AF324" s="37"/>
      <c r="AG324" s="14"/>
      <c r="AH324" s="14"/>
      <c r="AI324" s="14"/>
      <c r="AZ324" s="24"/>
    </row>
    <row r="325">
      <c r="B325" s="24"/>
      <c r="E325" s="113"/>
      <c r="F325" s="266"/>
      <c r="G325" s="113"/>
      <c r="K325" s="36"/>
      <c r="L325" s="117"/>
      <c r="M325" s="128"/>
      <c r="N325" s="117"/>
      <c r="R325" s="117"/>
      <c r="T325" s="117"/>
      <c r="V325" s="117"/>
      <c r="X325" s="117"/>
      <c r="Y325" s="10"/>
      <c r="Z325" s="11"/>
      <c r="AA325" s="36"/>
      <c r="AB325" s="36"/>
      <c r="AC325" s="13"/>
      <c r="AD325" s="13"/>
      <c r="AE325" s="37"/>
      <c r="AF325" s="37"/>
      <c r="AG325" s="14"/>
      <c r="AH325" s="14"/>
      <c r="AI325" s="14"/>
      <c r="AZ325" s="24"/>
    </row>
    <row r="326">
      <c r="B326" s="24"/>
      <c r="E326" s="113"/>
      <c r="F326" s="266"/>
      <c r="G326" s="113"/>
      <c r="K326" s="36"/>
      <c r="L326" s="117"/>
      <c r="M326" s="128"/>
      <c r="N326" s="117"/>
      <c r="R326" s="117"/>
      <c r="T326" s="117"/>
      <c r="V326" s="117"/>
      <c r="X326" s="117"/>
      <c r="Y326" s="10"/>
      <c r="Z326" s="11"/>
      <c r="AA326" s="36"/>
      <c r="AB326" s="36"/>
      <c r="AC326" s="13"/>
      <c r="AD326" s="13"/>
      <c r="AE326" s="37"/>
      <c r="AF326" s="37"/>
      <c r="AG326" s="14"/>
      <c r="AH326" s="14"/>
      <c r="AI326" s="14"/>
      <c r="AZ326" s="24"/>
    </row>
    <row r="327">
      <c r="B327" s="24"/>
      <c r="E327" s="113"/>
      <c r="F327" s="266"/>
      <c r="G327" s="113"/>
      <c r="K327" s="36"/>
      <c r="L327" s="117"/>
      <c r="M327" s="128"/>
      <c r="N327" s="117"/>
      <c r="R327" s="117"/>
      <c r="T327" s="117"/>
      <c r="V327" s="117"/>
      <c r="X327" s="117"/>
      <c r="Y327" s="10"/>
      <c r="Z327" s="11"/>
      <c r="AA327" s="36"/>
      <c r="AB327" s="36"/>
      <c r="AC327" s="13"/>
      <c r="AD327" s="13"/>
      <c r="AE327" s="37"/>
      <c r="AF327" s="37"/>
      <c r="AG327" s="14"/>
      <c r="AH327" s="14"/>
      <c r="AI327" s="14"/>
      <c r="AZ327" s="24"/>
    </row>
    <row r="328">
      <c r="B328" s="24"/>
      <c r="E328" s="113"/>
      <c r="F328" s="266"/>
      <c r="G328" s="113"/>
      <c r="K328" s="36"/>
      <c r="L328" s="117"/>
      <c r="M328" s="128"/>
      <c r="N328" s="117"/>
      <c r="R328" s="117"/>
      <c r="T328" s="117"/>
      <c r="V328" s="117"/>
      <c r="X328" s="117"/>
      <c r="Y328" s="10"/>
      <c r="Z328" s="11"/>
      <c r="AA328" s="36"/>
      <c r="AB328" s="36"/>
      <c r="AC328" s="13"/>
      <c r="AD328" s="13"/>
      <c r="AE328" s="37"/>
      <c r="AF328" s="37"/>
      <c r="AG328" s="14"/>
      <c r="AH328" s="14"/>
      <c r="AI328" s="14"/>
      <c r="AZ328" s="24"/>
    </row>
    <row r="329">
      <c r="B329" s="24"/>
      <c r="E329" s="113"/>
      <c r="F329" s="266"/>
      <c r="G329" s="113"/>
      <c r="K329" s="36"/>
      <c r="L329" s="117"/>
      <c r="M329" s="128"/>
      <c r="N329" s="117"/>
      <c r="R329" s="117"/>
      <c r="T329" s="117"/>
      <c r="V329" s="117"/>
      <c r="X329" s="117"/>
      <c r="Y329" s="10"/>
      <c r="Z329" s="11"/>
      <c r="AA329" s="36"/>
      <c r="AB329" s="36"/>
      <c r="AC329" s="13"/>
      <c r="AD329" s="13"/>
      <c r="AE329" s="37"/>
      <c r="AF329" s="37"/>
      <c r="AG329" s="14"/>
      <c r="AH329" s="14"/>
      <c r="AI329" s="14"/>
      <c r="AZ329" s="24"/>
    </row>
    <row r="330">
      <c r="B330" s="24"/>
      <c r="E330" s="113"/>
      <c r="F330" s="266"/>
      <c r="G330" s="113"/>
      <c r="K330" s="36"/>
      <c r="L330" s="117"/>
      <c r="M330" s="128"/>
      <c r="N330" s="117"/>
      <c r="R330" s="117"/>
      <c r="T330" s="117"/>
      <c r="V330" s="117"/>
      <c r="X330" s="117"/>
      <c r="Y330" s="10"/>
      <c r="Z330" s="11"/>
      <c r="AA330" s="36"/>
      <c r="AB330" s="36"/>
      <c r="AC330" s="13"/>
      <c r="AD330" s="13"/>
      <c r="AE330" s="37"/>
      <c r="AF330" s="37"/>
      <c r="AG330" s="14"/>
      <c r="AH330" s="14"/>
      <c r="AI330" s="14"/>
      <c r="AZ330" s="24"/>
    </row>
    <row r="331">
      <c r="B331" s="24"/>
      <c r="E331" s="113"/>
      <c r="F331" s="266"/>
      <c r="G331" s="113"/>
      <c r="K331" s="36"/>
      <c r="L331" s="117"/>
      <c r="M331" s="128"/>
      <c r="N331" s="117"/>
      <c r="R331" s="117"/>
      <c r="T331" s="117"/>
      <c r="V331" s="117"/>
      <c r="X331" s="117"/>
      <c r="Y331" s="10"/>
      <c r="Z331" s="11"/>
      <c r="AA331" s="36"/>
      <c r="AB331" s="36"/>
      <c r="AC331" s="13"/>
      <c r="AD331" s="13"/>
      <c r="AE331" s="37"/>
      <c r="AF331" s="37"/>
      <c r="AG331" s="14"/>
      <c r="AH331" s="14"/>
      <c r="AI331" s="14"/>
      <c r="AZ331" s="24"/>
    </row>
    <row r="332">
      <c r="B332" s="24"/>
      <c r="E332" s="113"/>
      <c r="F332" s="266"/>
      <c r="G332" s="113"/>
      <c r="K332" s="36"/>
      <c r="L332" s="117"/>
      <c r="M332" s="128"/>
      <c r="N332" s="117"/>
      <c r="R332" s="117"/>
      <c r="T332" s="117"/>
      <c r="V332" s="117"/>
      <c r="X332" s="117"/>
      <c r="Y332" s="10"/>
      <c r="Z332" s="11"/>
      <c r="AA332" s="36"/>
      <c r="AB332" s="36"/>
      <c r="AC332" s="13"/>
      <c r="AD332" s="13"/>
      <c r="AE332" s="37"/>
      <c r="AF332" s="37"/>
      <c r="AG332" s="14"/>
      <c r="AH332" s="14"/>
      <c r="AI332" s="14"/>
      <c r="AZ332" s="24"/>
    </row>
    <row r="333">
      <c r="B333" s="24"/>
      <c r="E333" s="113"/>
      <c r="F333" s="266"/>
      <c r="G333" s="113"/>
      <c r="K333" s="36"/>
      <c r="L333" s="117"/>
      <c r="M333" s="128"/>
      <c r="N333" s="117"/>
      <c r="R333" s="117"/>
      <c r="T333" s="117"/>
      <c r="V333" s="117"/>
      <c r="X333" s="117"/>
      <c r="Y333" s="10"/>
      <c r="Z333" s="11"/>
      <c r="AA333" s="36"/>
      <c r="AB333" s="36"/>
      <c r="AC333" s="13"/>
      <c r="AD333" s="13"/>
      <c r="AE333" s="37"/>
      <c r="AF333" s="37"/>
      <c r="AG333" s="14"/>
      <c r="AH333" s="14"/>
      <c r="AI333" s="14"/>
      <c r="AZ333" s="24"/>
    </row>
    <row r="334">
      <c r="B334" s="24"/>
      <c r="E334" s="113"/>
      <c r="F334" s="266"/>
      <c r="G334" s="113"/>
      <c r="K334" s="36"/>
      <c r="L334" s="117"/>
      <c r="M334" s="128"/>
      <c r="N334" s="117"/>
      <c r="R334" s="117"/>
      <c r="T334" s="117"/>
      <c r="V334" s="117"/>
      <c r="X334" s="117"/>
      <c r="Y334" s="10"/>
      <c r="Z334" s="11"/>
      <c r="AA334" s="36"/>
      <c r="AB334" s="36"/>
      <c r="AC334" s="13"/>
      <c r="AD334" s="13"/>
      <c r="AE334" s="37"/>
      <c r="AF334" s="37"/>
      <c r="AG334" s="14"/>
      <c r="AH334" s="14"/>
      <c r="AI334" s="14"/>
      <c r="AZ334" s="24"/>
    </row>
    <row r="335">
      <c r="B335" s="24"/>
      <c r="E335" s="113"/>
      <c r="F335" s="266"/>
      <c r="G335" s="113"/>
      <c r="K335" s="36"/>
      <c r="L335" s="117"/>
      <c r="M335" s="128"/>
      <c r="N335" s="117"/>
      <c r="R335" s="117"/>
      <c r="T335" s="117"/>
      <c r="V335" s="117"/>
      <c r="X335" s="117"/>
      <c r="Y335" s="10"/>
      <c r="Z335" s="11"/>
      <c r="AA335" s="36"/>
      <c r="AB335" s="36"/>
      <c r="AC335" s="13"/>
      <c r="AD335" s="13"/>
      <c r="AE335" s="37"/>
      <c r="AF335" s="37"/>
      <c r="AG335" s="14"/>
      <c r="AH335" s="14"/>
      <c r="AI335" s="14"/>
      <c r="AZ335" s="24"/>
    </row>
    <row r="336">
      <c r="B336" s="24"/>
      <c r="E336" s="113"/>
      <c r="F336" s="266"/>
      <c r="G336" s="113"/>
      <c r="K336" s="36"/>
      <c r="L336" s="117"/>
      <c r="M336" s="128"/>
      <c r="N336" s="117"/>
      <c r="R336" s="117"/>
      <c r="T336" s="117"/>
      <c r="V336" s="117"/>
      <c r="X336" s="117"/>
      <c r="Y336" s="10"/>
      <c r="Z336" s="11"/>
      <c r="AA336" s="36"/>
      <c r="AB336" s="36"/>
      <c r="AC336" s="13"/>
      <c r="AD336" s="13"/>
      <c r="AE336" s="37"/>
      <c r="AF336" s="37"/>
      <c r="AG336" s="14"/>
      <c r="AH336" s="14"/>
      <c r="AI336" s="14"/>
      <c r="AZ336" s="24"/>
    </row>
    <row r="337">
      <c r="B337" s="24"/>
      <c r="E337" s="113"/>
      <c r="F337" s="266"/>
      <c r="G337" s="113"/>
      <c r="K337" s="36"/>
      <c r="L337" s="117"/>
      <c r="M337" s="128"/>
      <c r="N337" s="117"/>
      <c r="R337" s="117"/>
      <c r="T337" s="117"/>
      <c r="V337" s="117"/>
      <c r="X337" s="117"/>
      <c r="Y337" s="10"/>
      <c r="Z337" s="11"/>
      <c r="AA337" s="36"/>
      <c r="AB337" s="36"/>
      <c r="AC337" s="13"/>
      <c r="AD337" s="13"/>
      <c r="AE337" s="37"/>
      <c r="AF337" s="37"/>
      <c r="AG337" s="14"/>
      <c r="AH337" s="14"/>
      <c r="AI337" s="14"/>
      <c r="AZ337" s="24"/>
    </row>
    <row r="338">
      <c r="B338" s="24"/>
      <c r="E338" s="113"/>
      <c r="F338" s="266"/>
      <c r="G338" s="113"/>
      <c r="K338" s="36"/>
      <c r="L338" s="117"/>
      <c r="M338" s="128"/>
      <c r="N338" s="117"/>
      <c r="R338" s="117"/>
      <c r="T338" s="117"/>
      <c r="V338" s="117"/>
      <c r="X338" s="117"/>
      <c r="Y338" s="10"/>
      <c r="Z338" s="11"/>
      <c r="AA338" s="36"/>
      <c r="AB338" s="36"/>
      <c r="AC338" s="13"/>
      <c r="AD338" s="13"/>
      <c r="AE338" s="37"/>
      <c r="AF338" s="37"/>
      <c r="AG338" s="14"/>
      <c r="AH338" s="14"/>
      <c r="AI338" s="14"/>
      <c r="AZ338" s="24"/>
    </row>
    <row r="339">
      <c r="B339" s="24"/>
      <c r="E339" s="113"/>
      <c r="F339" s="266"/>
      <c r="G339" s="113"/>
      <c r="K339" s="36"/>
      <c r="L339" s="117"/>
      <c r="M339" s="128"/>
      <c r="N339" s="117"/>
      <c r="R339" s="117"/>
      <c r="T339" s="117"/>
      <c r="V339" s="117"/>
      <c r="X339" s="117"/>
      <c r="Y339" s="10"/>
      <c r="Z339" s="11"/>
      <c r="AA339" s="36"/>
      <c r="AB339" s="36"/>
      <c r="AC339" s="13"/>
      <c r="AD339" s="13"/>
      <c r="AE339" s="37"/>
      <c r="AF339" s="37"/>
      <c r="AG339" s="14"/>
      <c r="AH339" s="14"/>
      <c r="AI339" s="14"/>
      <c r="AZ339" s="24"/>
    </row>
    <row r="340">
      <c r="B340" s="24"/>
      <c r="E340" s="113"/>
      <c r="F340" s="266"/>
      <c r="G340" s="113"/>
      <c r="K340" s="36"/>
      <c r="L340" s="117"/>
      <c r="M340" s="128"/>
      <c r="N340" s="117"/>
      <c r="R340" s="117"/>
      <c r="T340" s="117"/>
      <c r="V340" s="117"/>
      <c r="X340" s="117"/>
      <c r="Y340" s="10"/>
      <c r="Z340" s="11"/>
      <c r="AA340" s="36"/>
      <c r="AB340" s="36"/>
      <c r="AC340" s="13"/>
      <c r="AD340" s="13"/>
      <c r="AE340" s="37"/>
      <c r="AF340" s="37"/>
      <c r="AG340" s="14"/>
      <c r="AH340" s="14"/>
      <c r="AI340" s="14"/>
      <c r="AZ340" s="24"/>
    </row>
    <row r="341">
      <c r="B341" s="24"/>
      <c r="E341" s="113"/>
      <c r="F341" s="266"/>
      <c r="G341" s="113"/>
      <c r="K341" s="36"/>
      <c r="L341" s="117"/>
      <c r="M341" s="128"/>
      <c r="N341" s="117"/>
      <c r="R341" s="117"/>
      <c r="T341" s="117"/>
      <c r="V341" s="117"/>
      <c r="X341" s="117"/>
      <c r="Y341" s="10"/>
      <c r="Z341" s="11"/>
      <c r="AA341" s="36"/>
      <c r="AB341" s="36"/>
      <c r="AC341" s="13"/>
      <c r="AD341" s="13"/>
      <c r="AE341" s="37"/>
      <c r="AF341" s="37"/>
      <c r="AG341" s="14"/>
      <c r="AH341" s="14"/>
      <c r="AI341" s="14"/>
      <c r="AZ341" s="24"/>
    </row>
    <row r="342">
      <c r="B342" s="24"/>
      <c r="E342" s="113"/>
      <c r="F342" s="266"/>
      <c r="G342" s="113"/>
      <c r="K342" s="36"/>
      <c r="L342" s="117"/>
      <c r="M342" s="128"/>
      <c r="N342" s="117"/>
      <c r="R342" s="117"/>
      <c r="T342" s="117"/>
      <c r="V342" s="117"/>
      <c r="X342" s="117"/>
      <c r="Y342" s="10"/>
      <c r="Z342" s="11"/>
      <c r="AA342" s="36"/>
      <c r="AB342" s="36"/>
      <c r="AC342" s="13"/>
      <c r="AD342" s="13"/>
      <c r="AE342" s="37"/>
      <c r="AF342" s="37"/>
      <c r="AG342" s="14"/>
      <c r="AH342" s="14"/>
      <c r="AI342" s="14"/>
      <c r="AZ342" s="24"/>
    </row>
    <row r="343">
      <c r="B343" s="24"/>
      <c r="E343" s="113"/>
      <c r="F343" s="266"/>
      <c r="G343" s="113"/>
      <c r="K343" s="36"/>
      <c r="L343" s="117"/>
      <c r="M343" s="128"/>
      <c r="N343" s="117"/>
      <c r="R343" s="117"/>
      <c r="T343" s="117"/>
      <c r="V343" s="117"/>
      <c r="X343" s="117"/>
      <c r="Y343" s="10"/>
      <c r="Z343" s="11"/>
      <c r="AA343" s="36"/>
      <c r="AB343" s="36"/>
      <c r="AC343" s="13"/>
      <c r="AD343" s="13"/>
      <c r="AE343" s="37"/>
      <c r="AF343" s="37"/>
      <c r="AG343" s="14"/>
      <c r="AH343" s="14"/>
      <c r="AI343" s="14"/>
      <c r="AZ343" s="24"/>
    </row>
    <row r="344">
      <c r="B344" s="24"/>
      <c r="E344" s="113"/>
      <c r="F344" s="266"/>
      <c r="G344" s="113"/>
      <c r="K344" s="36"/>
      <c r="L344" s="117"/>
      <c r="M344" s="128"/>
      <c r="N344" s="117"/>
      <c r="R344" s="117"/>
      <c r="T344" s="117"/>
      <c r="V344" s="117"/>
      <c r="X344" s="117"/>
      <c r="Y344" s="10"/>
      <c r="Z344" s="11"/>
      <c r="AA344" s="36"/>
      <c r="AB344" s="36"/>
      <c r="AC344" s="13"/>
      <c r="AD344" s="13"/>
      <c r="AE344" s="37"/>
      <c r="AF344" s="37"/>
      <c r="AG344" s="14"/>
      <c r="AH344" s="14"/>
      <c r="AI344" s="14"/>
      <c r="AZ344" s="24"/>
    </row>
    <row r="345">
      <c r="B345" s="24"/>
      <c r="E345" s="113"/>
      <c r="F345" s="266"/>
      <c r="G345" s="113"/>
      <c r="K345" s="36"/>
      <c r="L345" s="117"/>
      <c r="M345" s="128"/>
      <c r="N345" s="117"/>
      <c r="R345" s="117"/>
      <c r="T345" s="117"/>
      <c r="V345" s="117"/>
      <c r="X345" s="117"/>
      <c r="Y345" s="10"/>
      <c r="Z345" s="11"/>
      <c r="AA345" s="36"/>
      <c r="AB345" s="36"/>
      <c r="AC345" s="13"/>
      <c r="AD345" s="13"/>
      <c r="AE345" s="37"/>
      <c r="AF345" s="37"/>
      <c r="AG345" s="14"/>
      <c r="AH345" s="14"/>
      <c r="AI345" s="14"/>
      <c r="AZ345" s="24"/>
    </row>
    <row r="346">
      <c r="B346" s="24"/>
      <c r="E346" s="113"/>
      <c r="F346" s="266"/>
      <c r="G346" s="113"/>
      <c r="K346" s="36"/>
      <c r="L346" s="117"/>
      <c r="M346" s="128"/>
      <c r="N346" s="117"/>
      <c r="R346" s="117"/>
      <c r="T346" s="117"/>
      <c r="V346" s="117"/>
      <c r="X346" s="117"/>
      <c r="Y346" s="10"/>
      <c r="Z346" s="11"/>
      <c r="AA346" s="36"/>
      <c r="AB346" s="36"/>
      <c r="AC346" s="13"/>
      <c r="AD346" s="13"/>
      <c r="AE346" s="37"/>
      <c r="AF346" s="37"/>
      <c r="AG346" s="14"/>
      <c r="AH346" s="14"/>
      <c r="AI346" s="14"/>
      <c r="AZ346" s="24"/>
    </row>
    <row r="347">
      <c r="B347" s="24"/>
      <c r="E347" s="113"/>
      <c r="F347" s="266"/>
      <c r="G347" s="113"/>
      <c r="K347" s="36"/>
      <c r="L347" s="117"/>
      <c r="M347" s="128"/>
      <c r="N347" s="117"/>
      <c r="R347" s="117"/>
      <c r="T347" s="117"/>
      <c r="V347" s="117"/>
      <c r="X347" s="117"/>
      <c r="Y347" s="10"/>
      <c r="Z347" s="11"/>
      <c r="AA347" s="36"/>
      <c r="AB347" s="36"/>
      <c r="AC347" s="13"/>
      <c r="AD347" s="13"/>
      <c r="AE347" s="37"/>
      <c r="AF347" s="37"/>
      <c r="AG347" s="14"/>
      <c r="AH347" s="14"/>
      <c r="AI347" s="14"/>
      <c r="AZ347" s="24"/>
    </row>
    <row r="348">
      <c r="B348" s="24"/>
      <c r="E348" s="113"/>
      <c r="F348" s="266"/>
      <c r="G348" s="113"/>
      <c r="K348" s="36"/>
      <c r="L348" s="117"/>
      <c r="M348" s="128"/>
      <c r="N348" s="117"/>
      <c r="R348" s="117"/>
      <c r="T348" s="117"/>
      <c r="V348" s="117"/>
      <c r="X348" s="117"/>
      <c r="Y348" s="10"/>
      <c r="Z348" s="11"/>
      <c r="AA348" s="36"/>
      <c r="AB348" s="36"/>
      <c r="AC348" s="13"/>
      <c r="AD348" s="13"/>
      <c r="AE348" s="37"/>
      <c r="AF348" s="37"/>
      <c r="AG348" s="14"/>
      <c r="AH348" s="14"/>
      <c r="AI348" s="14"/>
      <c r="AZ348" s="24"/>
    </row>
    <row r="349">
      <c r="B349" s="24"/>
      <c r="E349" s="113"/>
      <c r="F349" s="266"/>
      <c r="G349" s="113"/>
      <c r="K349" s="36"/>
      <c r="L349" s="117"/>
      <c r="M349" s="128"/>
      <c r="N349" s="117"/>
      <c r="R349" s="117"/>
      <c r="T349" s="117"/>
      <c r="V349" s="117"/>
      <c r="X349" s="117"/>
      <c r="Y349" s="10"/>
      <c r="Z349" s="11"/>
      <c r="AA349" s="36"/>
      <c r="AB349" s="36"/>
      <c r="AC349" s="13"/>
      <c r="AD349" s="13"/>
      <c r="AE349" s="37"/>
      <c r="AF349" s="37"/>
      <c r="AG349" s="14"/>
      <c r="AH349" s="14"/>
      <c r="AI349" s="14"/>
      <c r="AZ349" s="24"/>
    </row>
    <row r="350">
      <c r="B350" s="24"/>
      <c r="E350" s="113"/>
      <c r="F350" s="266"/>
      <c r="G350" s="113"/>
      <c r="K350" s="36"/>
      <c r="L350" s="117"/>
      <c r="M350" s="128"/>
      <c r="N350" s="117"/>
      <c r="R350" s="117"/>
      <c r="T350" s="117"/>
      <c r="V350" s="117"/>
      <c r="X350" s="117"/>
      <c r="Y350" s="10"/>
      <c r="Z350" s="11"/>
      <c r="AA350" s="36"/>
      <c r="AB350" s="36"/>
      <c r="AC350" s="13"/>
      <c r="AD350" s="13"/>
      <c r="AE350" s="37"/>
      <c r="AF350" s="37"/>
      <c r="AG350" s="14"/>
      <c r="AH350" s="14"/>
      <c r="AI350" s="14"/>
      <c r="AZ350" s="24"/>
    </row>
    <row r="351">
      <c r="B351" s="24"/>
      <c r="E351" s="113"/>
      <c r="F351" s="266"/>
      <c r="G351" s="113"/>
      <c r="K351" s="36"/>
      <c r="L351" s="117"/>
      <c r="M351" s="128"/>
      <c r="N351" s="117"/>
      <c r="R351" s="117"/>
      <c r="T351" s="117"/>
      <c r="V351" s="117"/>
      <c r="X351" s="117"/>
      <c r="Y351" s="10"/>
      <c r="Z351" s="11"/>
      <c r="AA351" s="36"/>
      <c r="AB351" s="36"/>
      <c r="AC351" s="13"/>
      <c r="AD351" s="13"/>
      <c r="AE351" s="37"/>
      <c r="AF351" s="37"/>
      <c r="AG351" s="14"/>
      <c r="AH351" s="14"/>
      <c r="AI351" s="14"/>
      <c r="AZ351" s="24"/>
    </row>
    <row r="352">
      <c r="B352" s="24"/>
      <c r="E352" s="113"/>
      <c r="F352" s="266"/>
      <c r="G352" s="113"/>
      <c r="K352" s="36"/>
      <c r="L352" s="117"/>
      <c r="M352" s="128"/>
      <c r="N352" s="117"/>
      <c r="R352" s="117"/>
      <c r="T352" s="117"/>
      <c r="V352" s="117"/>
      <c r="X352" s="117"/>
      <c r="Y352" s="10"/>
      <c r="Z352" s="11"/>
      <c r="AA352" s="36"/>
      <c r="AB352" s="36"/>
      <c r="AC352" s="13"/>
      <c r="AD352" s="13"/>
      <c r="AE352" s="37"/>
      <c r="AF352" s="37"/>
      <c r="AG352" s="14"/>
      <c r="AH352" s="14"/>
      <c r="AI352" s="14"/>
      <c r="AZ352" s="24"/>
    </row>
    <row r="353">
      <c r="B353" s="24"/>
      <c r="E353" s="113"/>
      <c r="F353" s="266"/>
      <c r="G353" s="113"/>
      <c r="K353" s="36"/>
      <c r="L353" s="117"/>
      <c r="M353" s="128"/>
      <c r="N353" s="117"/>
      <c r="R353" s="117"/>
      <c r="T353" s="117"/>
      <c r="V353" s="117"/>
      <c r="X353" s="117"/>
      <c r="Y353" s="10"/>
      <c r="Z353" s="11"/>
      <c r="AA353" s="36"/>
      <c r="AB353" s="36"/>
      <c r="AC353" s="13"/>
      <c r="AD353" s="13"/>
      <c r="AE353" s="37"/>
      <c r="AF353" s="37"/>
      <c r="AG353" s="14"/>
      <c r="AH353" s="14"/>
      <c r="AI353" s="14"/>
      <c r="AZ353" s="24"/>
    </row>
    <row r="354">
      <c r="B354" s="24"/>
      <c r="E354" s="113"/>
      <c r="F354" s="266"/>
      <c r="G354" s="113"/>
      <c r="K354" s="36"/>
      <c r="L354" s="117"/>
      <c r="M354" s="128"/>
      <c r="N354" s="117"/>
      <c r="R354" s="117"/>
      <c r="T354" s="117"/>
      <c r="V354" s="117"/>
      <c r="X354" s="117"/>
      <c r="Y354" s="10"/>
      <c r="Z354" s="11"/>
      <c r="AA354" s="36"/>
      <c r="AB354" s="36"/>
      <c r="AC354" s="13"/>
      <c r="AD354" s="13"/>
      <c r="AE354" s="37"/>
      <c r="AF354" s="37"/>
      <c r="AG354" s="14"/>
      <c r="AH354" s="14"/>
      <c r="AI354" s="14"/>
      <c r="AZ354" s="24"/>
    </row>
    <row r="355">
      <c r="B355" s="24"/>
      <c r="E355" s="113"/>
      <c r="F355" s="266"/>
      <c r="G355" s="113"/>
      <c r="K355" s="36"/>
      <c r="L355" s="117"/>
      <c r="M355" s="128"/>
      <c r="N355" s="117"/>
      <c r="R355" s="117"/>
      <c r="T355" s="117"/>
      <c r="V355" s="117"/>
      <c r="X355" s="117"/>
      <c r="Y355" s="10"/>
      <c r="Z355" s="11"/>
      <c r="AA355" s="36"/>
      <c r="AB355" s="36"/>
      <c r="AC355" s="13"/>
      <c r="AD355" s="13"/>
      <c r="AE355" s="37"/>
      <c r="AF355" s="37"/>
      <c r="AG355" s="14"/>
      <c r="AH355" s="14"/>
      <c r="AI355" s="14"/>
      <c r="AZ355" s="24"/>
    </row>
    <row r="356">
      <c r="B356" s="24"/>
      <c r="E356" s="113"/>
      <c r="F356" s="266"/>
      <c r="G356" s="113"/>
      <c r="K356" s="36"/>
      <c r="L356" s="117"/>
      <c r="M356" s="128"/>
      <c r="N356" s="117"/>
      <c r="R356" s="117"/>
      <c r="T356" s="117"/>
      <c r="V356" s="117"/>
      <c r="X356" s="117"/>
      <c r="Y356" s="10"/>
      <c r="Z356" s="11"/>
      <c r="AA356" s="36"/>
      <c r="AB356" s="36"/>
      <c r="AC356" s="13"/>
      <c r="AD356" s="13"/>
      <c r="AE356" s="37"/>
      <c r="AF356" s="37"/>
      <c r="AG356" s="14"/>
      <c r="AH356" s="14"/>
      <c r="AI356" s="14"/>
      <c r="AZ356" s="24"/>
    </row>
    <row r="357">
      <c r="B357" s="24"/>
      <c r="E357" s="113"/>
      <c r="F357" s="266"/>
      <c r="G357" s="113"/>
      <c r="K357" s="36"/>
      <c r="L357" s="117"/>
      <c r="M357" s="128"/>
      <c r="N357" s="117"/>
      <c r="R357" s="117"/>
      <c r="T357" s="117"/>
      <c r="V357" s="117"/>
      <c r="X357" s="117"/>
      <c r="Y357" s="10"/>
      <c r="Z357" s="11"/>
      <c r="AA357" s="36"/>
      <c r="AB357" s="36"/>
      <c r="AC357" s="13"/>
      <c r="AD357" s="13"/>
      <c r="AE357" s="37"/>
      <c r="AF357" s="37"/>
      <c r="AG357" s="14"/>
      <c r="AH357" s="14"/>
      <c r="AI357" s="14"/>
      <c r="AZ357" s="24"/>
    </row>
    <row r="358">
      <c r="B358" s="24"/>
      <c r="E358" s="113"/>
      <c r="F358" s="266"/>
      <c r="G358" s="113"/>
      <c r="K358" s="36"/>
      <c r="L358" s="117"/>
      <c r="M358" s="128"/>
      <c r="N358" s="117"/>
      <c r="R358" s="117"/>
      <c r="T358" s="117"/>
      <c r="V358" s="117"/>
      <c r="X358" s="117"/>
      <c r="Y358" s="10"/>
      <c r="Z358" s="11"/>
      <c r="AA358" s="36"/>
      <c r="AB358" s="36"/>
      <c r="AC358" s="13"/>
      <c r="AD358" s="13"/>
      <c r="AE358" s="37"/>
      <c r="AF358" s="37"/>
      <c r="AG358" s="14"/>
      <c r="AH358" s="14"/>
      <c r="AI358" s="14"/>
      <c r="AZ358" s="24"/>
    </row>
    <row r="359">
      <c r="B359" s="24"/>
      <c r="E359" s="113"/>
      <c r="F359" s="266"/>
      <c r="G359" s="113"/>
      <c r="K359" s="36"/>
      <c r="L359" s="117"/>
      <c r="M359" s="128"/>
      <c r="N359" s="117"/>
      <c r="R359" s="117"/>
      <c r="T359" s="117"/>
      <c r="V359" s="117"/>
      <c r="X359" s="117"/>
      <c r="Y359" s="10"/>
      <c r="Z359" s="11"/>
      <c r="AA359" s="36"/>
      <c r="AB359" s="36"/>
      <c r="AC359" s="13"/>
      <c r="AD359" s="13"/>
      <c r="AE359" s="37"/>
      <c r="AF359" s="37"/>
      <c r="AG359" s="14"/>
      <c r="AH359" s="14"/>
      <c r="AI359" s="14"/>
      <c r="AZ359" s="24"/>
    </row>
    <row r="360">
      <c r="B360" s="24"/>
      <c r="E360" s="113"/>
      <c r="F360" s="266"/>
      <c r="G360" s="113"/>
      <c r="K360" s="36"/>
      <c r="L360" s="117"/>
      <c r="M360" s="128"/>
      <c r="N360" s="117"/>
      <c r="R360" s="117"/>
      <c r="T360" s="117"/>
      <c r="V360" s="117"/>
      <c r="X360" s="117"/>
      <c r="Y360" s="10"/>
      <c r="Z360" s="11"/>
      <c r="AA360" s="36"/>
      <c r="AB360" s="36"/>
      <c r="AC360" s="13"/>
      <c r="AD360" s="13"/>
      <c r="AE360" s="37"/>
      <c r="AF360" s="37"/>
      <c r="AG360" s="14"/>
      <c r="AH360" s="14"/>
      <c r="AI360" s="14"/>
      <c r="AZ360" s="24"/>
    </row>
    <row r="361">
      <c r="B361" s="24"/>
      <c r="E361" s="113"/>
      <c r="F361" s="266"/>
      <c r="G361" s="113"/>
      <c r="K361" s="36"/>
      <c r="L361" s="117"/>
      <c r="M361" s="128"/>
      <c r="N361" s="117"/>
      <c r="R361" s="117"/>
      <c r="T361" s="117"/>
      <c r="V361" s="117"/>
      <c r="X361" s="117"/>
      <c r="Y361" s="10"/>
      <c r="Z361" s="11"/>
      <c r="AA361" s="36"/>
      <c r="AB361" s="36"/>
      <c r="AC361" s="13"/>
      <c r="AD361" s="13"/>
      <c r="AE361" s="37"/>
      <c r="AF361" s="37"/>
      <c r="AG361" s="14"/>
      <c r="AH361" s="14"/>
      <c r="AI361" s="14"/>
      <c r="AZ361" s="24"/>
    </row>
    <row r="362">
      <c r="B362" s="24"/>
      <c r="E362" s="113"/>
      <c r="F362" s="266"/>
      <c r="G362" s="113"/>
      <c r="K362" s="36"/>
      <c r="L362" s="117"/>
      <c r="M362" s="128"/>
      <c r="N362" s="117"/>
      <c r="R362" s="117"/>
      <c r="T362" s="117"/>
      <c r="V362" s="117"/>
      <c r="X362" s="117"/>
      <c r="Y362" s="10"/>
      <c r="Z362" s="11"/>
      <c r="AA362" s="36"/>
      <c r="AB362" s="36"/>
      <c r="AC362" s="13"/>
      <c r="AD362" s="13"/>
      <c r="AE362" s="37"/>
      <c r="AF362" s="37"/>
      <c r="AG362" s="14"/>
      <c r="AH362" s="14"/>
      <c r="AI362" s="14"/>
      <c r="AZ362" s="24"/>
    </row>
    <row r="363">
      <c r="B363" s="24"/>
      <c r="E363" s="113"/>
      <c r="F363" s="266"/>
      <c r="G363" s="113"/>
      <c r="K363" s="36"/>
      <c r="L363" s="117"/>
      <c r="M363" s="128"/>
      <c r="N363" s="117"/>
      <c r="R363" s="117"/>
      <c r="T363" s="117"/>
      <c r="V363" s="117"/>
      <c r="X363" s="117"/>
      <c r="Y363" s="10"/>
      <c r="Z363" s="11"/>
      <c r="AA363" s="36"/>
      <c r="AB363" s="36"/>
      <c r="AC363" s="13"/>
      <c r="AD363" s="13"/>
      <c r="AE363" s="37"/>
      <c r="AF363" s="37"/>
      <c r="AG363" s="14"/>
      <c r="AH363" s="14"/>
      <c r="AI363" s="14"/>
      <c r="AZ363" s="24"/>
    </row>
    <row r="364">
      <c r="B364" s="24"/>
      <c r="E364" s="113"/>
      <c r="F364" s="266"/>
      <c r="G364" s="113"/>
      <c r="K364" s="36"/>
      <c r="L364" s="117"/>
      <c r="M364" s="128"/>
      <c r="N364" s="117"/>
      <c r="R364" s="117"/>
      <c r="T364" s="117"/>
      <c r="V364" s="117"/>
      <c r="X364" s="117"/>
      <c r="Y364" s="10"/>
      <c r="Z364" s="11"/>
      <c r="AA364" s="36"/>
      <c r="AB364" s="36"/>
      <c r="AC364" s="13"/>
      <c r="AD364" s="13"/>
      <c r="AE364" s="37"/>
      <c r="AF364" s="37"/>
      <c r="AG364" s="14"/>
      <c r="AH364" s="14"/>
      <c r="AI364" s="14"/>
      <c r="AZ364" s="24"/>
    </row>
    <row r="365">
      <c r="B365" s="24"/>
      <c r="E365" s="113"/>
      <c r="F365" s="266"/>
      <c r="G365" s="113"/>
      <c r="K365" s="36"/>
      <c r="L365" s="117"/>
      <c r="M365" s="128"/>
      <c r="N365" s="117"/>
      <c r="R365" s="117"/>
      <c r="T365" s="117"/>
      <c r="V365" s="117"/>
      <c r="X365" s="117"/>
      <c r="Y365" s="10"/>
      <c r="Z365" s="11"/>
      <c r="AA365" s="36"/>
      <c r="AB365" s="36"/>
      <c r="AC365" s="13"/>
      <c r="AD365" s="13"/>
      <c r="AE365" s="37"/>
      <c r="AF365" s="37"/>
      <c r="AG365" s="14"/>
      <c r="AH365" s="14"/>
      <c r="AI365" s="14"/>
      <c r="AZ365" s="24"/>
    </row>
    <row r="366">
      <c r="B366" s="24"/>
      <c r="E366" s="113"/>
      <c r="F366" s="266"/>
      <c r="G366" s="113"/>
      <c r="K366" s="36"/>
      <c r="L366" s="117"/>
      <c r="M366" s="128"/>
      <c r="N366" s="117"/>
      <c r="R366" s="117"/>
      <c r="T366" s="117"/>
      <c r="V366" s="117"/>
      <c r="X366" s="117"/>
      <c r="Y366" s="10"/>
      <c r="Z366" s="11"/>
      <c r="AA366" s="36"/>
      <c r="AB366" s="36"/>
      <c r="AC366" s="13"/>
      <c r="AD366" s="13"/>
      <c r="AE366" s="37"/>
      <c r="AF366" s="37"/>
      <c r="AG366" s="14"/>
      <c r="AH366" s="14"/>
      <c r="AI366" s="14"/>
      <c r="AZ366" s="24"/>
    </row>
    <row r="367">
      <c r="B367" s="24"/>
      <c r="E367" s="113"/>
      <c r="F367" s="266"/>
      <c r="G367" s="113"/>
      <c r="K367" s="36"/>
      <c r="L367" s="117"/>
      <c r="M367" s="128"/>
      <c r="N367" s="117"/>
      <c r="R367" s="117"/>
      <c r="T367" s="117"/>
      <c r="V367" s="117"/>
      <c r="X367" s="117"/>
      <c r="Y367" s="10"/>
      <c r="Z367" s="11"/>
      <c r="AA367" s="36"/>
      <c r="AB367" s="36"/>
      <c r="AC367" s="13"/>
      <c r="AD367" s="13"/>
      <c r="AE367" s="37"/>
      <c r="AF367" s="37"/>
      <c r="AG367" s="14"/>
      <c r="AH367" s="14"/>
      <c r="AI367" s="14"/>
      <c r="AZ367" s="24"/>
    </row>
    <row r="368">
      <c r="B368" s="24"/>
      <c r="E368" s="113"/>
      <c r="F368" s="266"/>
      <c r="G368" s="113"/>
      <c r="K368" s="36"/>
      <c r="L368" s="117"/>
      <c r="M368" s="128"/>
      <c r="N368" s="117"/>
      <c r="R368" s="117"/>
      <c r="T368" s="117"/>
      <c r="V368" s="117"/>
      <c r="X368" s="117"/>
      <c r="Y368" s="10"/>
      <c r="Z368" s="11"/>
      <c r="AA368" s="36"/>
      <c r="AB368" s="36"/>
      <c r="AC368" s="13"/>
      <c r="AD368" s="13"/>
      <c r="AE368" s="37"/>
      <c r="AF368" s="37"/>
      <c r="AG368" s="14"/>
      <c r="AH368" s="14"/>
      <c r="AI368" s="14"/>
      <c r="AZ368" s="24"/>
    </row>
    <row r="369">
      <c r="B369" s="24"/>
      <c r="E369" s="113"/>
      <c r="F369" s="266"/>
      <c r="G369" s="113"/>
      <c r="K369" s="36"/>
      <c r="L369" s="117"/>
      <c r="M369" s="128"/>
      <c r="N369" s="117"/>
      <c r="R369" s="117"/>
      <c r="T369" s="117"/>
      <c r="V369" s="117"/>
      <c r="X369" s="117"/>
      <c r="Y369" s="10"/>
      <c r="Z369" s="11"/>
      <c r="AA369" s="36"/>
      <c r="AB369" s="36"/>
      <c r="AC369" s="13"/>
      <c r="AD369" s="13"/>
      <c r="AE369" s="37"/>
      <c r="AF369" s="37"/>
      <c r="AG369" s="14"/>
      <c r="AH369" s="14"/>
      <c r="AI369" s="14"/>
      <c r="AZ369" s="24"/>
    </row>
    <row r="370">
      <c r="B370" s="24"/>
      <c r="E370" s="113"/>
      <c r="F370" s="266"/>
      <c r="G370" s="113"/>
      <c r="K370" s="36"/>
      <c r="L370" s="117"/>
      <c r="M370" s="128"/>
      <c r="N370" s="117"/>
      <c r="R370" s="117"/>
      <c r="T370" s="117"/>
      <c r="V370" s="117"/>
      <c r="X370" s="117"/>
      <c r="Y370" s="10"/>
      <c r="Z370" s="11"/>
      <c r="AA370" s="36"/>
      <c r="AB370" s="36"/>
      <c r="AC370" s="13"/>
      <c r="AD370" s="13"/>
      <c r="AE370" s="37"/>
      <c r="AF370" s="37"/>
      <c r="AG370" s="14"/>
      <c r="AH370" s="14"/>
      <c r="AI370" s="14"/>
      <c r="AZ370" s="24"/>
    </row>
    <row r="371">
      <c r="B371" s="24"/>
      <c r="E371" s="113"/>
      <c r="F371" s="266"/>
      <c r="G371" s="113"/>
      <c r="K371" s="36"/>
      <c r="L371" s="117"/>
      <c r="M371" s="128"/>
      <c r="N371" s="117"/>
      <c r="R371" s="117"/>
      <c r="T371" s="117"/>
      <c r="V371" s="117"/>
      <c r="X371" s="117"/>
      <c r="Y371" s="10"/>
      <c r="Z371" s="11"/>
      <c r="AA371" s="36"/>
      <c r="AB371" s="36"/>
      <c r="AC371" s="13"/>
      <c r="AD371" s="13"/>
      <c r="AE371" s="37"/>
      <c r="AF371" s="37"/>
      <c r="AG371" s="14"/>
      <c r="AH371" s="14"/>
      <c r="AI371" s="14"/>
      <c r="AZ371" s="24"/>
    </row>
    <row r="372">
      <c r="B372" s="24"/>
      <c r="E372" s="113"/>
      <c r="F372" s="266"/>
      <c r="G372" s="113"/>
      <c r="K372" s="36"/>
      <c r="L372" s="117"/>
      <c r="M372" s="128"/>
      <c r="N372" s="117"/>
      <c r="R372" s="117"/>
      <c r="T372" s="117"/>
      <c r="V372" s="117"/>
      <c r="X372" s="117"/>
      <c r="Y372" s="10"/>
      <c r="Z372" s="11"/>
      <c r="AA372" s="36"/>
      <c r="AB372" s="36"/>
      <c r="AC372" s="13"/>
      <c r="AD372" s="13"/>
      <c r="AE372" s="37"/>
      <c r="AF372" s="37"/>
      <c r="AG372" s="14"/>
      <c r="AH372" s="14"/>
      <c r="AI372" s="14"/>
      <c r="AZ372" s="24"/>
    </row>
    <row r="373">
      <c r="B373" s="24"/>
      <c r="E373" s="113"/>
      <c r="F373" s="266"/>
      <c r="G373" s="113"/>
      <c r="K373" s="36"/>
      <c r="L373" s="117"/>
      <c r="M373" s="128"/>
      <c r="N373" s="117"/>
      <c r="R373" s="117"/>
      <c r="T373" s="117"/>
      <c r="V373" s="117"/>
      <c r="X373" s="117"/>
      <c r="Y373" s="10"/>
      <c r="Z373" s="11"/>
      <c r="AA373" s="36"/>
      <c r="AB373" s="36"/>
      <c r="AC373" s="13"/>
      <c r="AD373" s="13"/>
      <c r="AE373" s="37"/>
      <c r="AF373" s="37"/>
      <c r="AG373" s="14"/>
      <c r="AH373" s="14"/>
      <c r="AI373" s="14"/>
      <c r="AZ373" s="24"/>
    </row>
    <row r="374">
      <c r="B374" s="24"/>
      <c r="E374" s="113"/>
      <c r="F374" s="266"/>
      <c r="G374" s="113"/>
      <c r="K374" s="36"/>
      <c r="L374" s="117"/>
      <c r="M374" s="128"/>
      <c r="N374" s="117"/>
      <c r="R374" s="117"/>
      <c r="T374" s="117"/>
      <c r="V374" s="117"/>
      <c r="X374" s="117"/>
      <c r="Y374" s="10"/>
      <c r="Z374" s="11"/>
      <c r="AA374" s="36"/>
      <c r="AB374" s="36"/>
      <c r="AC374" s="13"/>
      <c r="AD374" s="13"/>
      <c r="AE374" s="37"/>
      <c r="AF374" s="37"/>
      <c r="AG374" s="14"/>
      <c r="AH374" s="14"/>
      <c r="AI374" s="14"/>
      <c r="AZ374" s="24"/>
    </row>
    <row r="375">
      <c r="B375" s="24"/>
      <c r="E375" s="113"/>
      <c r="F375" s="266"/>
      <c r="G375" s="113"/>
      <c r="K375" s="36"/>
      <c r="L375" s="117"/>
      <c r="M375" s="128"/>
      <c r="N375" s="117"/>
      <c r="R375" s="117"/>
      <c r="T375" s="117"/>
      <c r="V375" s="117"/>
      <c r="X375" s="117"/>
      <c r="Y375" s="10"/>
      <c r="Z375" s="11"/>
      <c r="AA375" s="36"/>
      <c r="AB375" s="36"/>
      <c r="AC375" s="13"/>
      <c r="AD375" s="13"/>
      <c r="AE375" s="37"/>
      <c r="AF375" s="37"/>
      <c r="AG375" s="14"/>
      <c r="AH375" s="14"/>
      <c r="AI375" s="14"/>
      <c r="AZ375" s="24"/>
    </row>
    <row r="376">
      <c r="B376" s="24"/>
      <c r="E376" s="113"/>
      <c r="F376" s="266"/>
      <c r="G376" s="113"/>
      <c r="K376" s="36"/>
      <c r="L376" s="117"/>
      <c r="M376" s="128"/>
      <c r="N376" s="117"/>
      <c r="R376" s="117"/>
      <c r="T376" s="117"/>
      <c r="V376" s="117"/>
      <c r="X376" s="117"/>
      <c r="Y376" s="10"/>
      <c r="Z376" s="11"/>
      <c r="AA376" s="36"/>
      <c r="AB376" s="36"/>
      <c r="AC376" s="13"/>
      <c r="AD376" s="13"/>
      <c r="AE376" s="37"/>
      <c r="AF376" s="37"/>
      <c r="AG376" s="14"/>
      <c r="AH376" s="14"/>
      <c r="AI376" s="14"/>
      <c r="AZ376" s="24"/>
    </row>
    <row r="377">
      <c r="B377" s="24"/>
      <c r="E377" s="113"/>
      <c r="F377" s="266"/>
      <c r="G377" s="113"/>
      <c r="K377" s="36"/>
      <c r="L377" s="117"/>
      <c r="M377" s="128"/>
      <c r="N377" s="117"/>
      <c r="R377" s="117"/>
      <c r="T377" s="117"/>
      <c r="V377" s="117"/>
      <c r="X377" s="117"/>
      <c r="Y377" s="10"/>
      <c r="Z377" s="11"/>
      <c r="AA377" s="36"/>
      <c r="AB377" s="36"/>
      <c r="AC377" s="13"/>
      <c r="AD377" s="13"/>
      <c r="AE377" s="37"/>
      <c r="AF377" s="37"/>
      <c r="AG377" s="14"/>
      <c r="AH377" s="14"/>
      <c r="AI377" s="14"/>
      <c r="AZ377" s="24"/>
    </row>
    <row r="378">
      <c r="B378" s="24"/>
      <c r="E378" s="113"/>
      <c r="F378" s="266"/>
      <c r="G378" s="113"/>
      <c r="K378" s="36"/>
      <c r="L378" s="117"/>
      <c r="M378" s="128"/>
      <c r="N378" s="117"/>
      <c r="R378" s="117"/>
      <c r="T378" s="117"/>
      <c r="V378" s="117"/>
      <c r="X378" s="117"/>
      <c r="Y378" s="10"/>
      <c r="Z378" s="11"/>
      <c r="AA378" s="36"/>
      <c r="AB378" s="36"/>
      <c r="AC378" s="13"/>
      <c r="AD378" s="13"/>
      <c r="AE378" s="37"/>
      <c r="AF378" s="37"/>
      <c r="AG378" s="14"/>
      <c r="AH378" s="14"/>
      <c r="AI378" s="14"/>
      <c r="AZ378" s="24"/>
    </row>
    <row r="379">
      <c r="B379" s="24"/>
      <c r="E379" s="113"/>
      <c r="F379" s="266"/>
      <c r="G379" s="113"/>
      <c r="K379" s="36"/>
      <c r="L379" s="117"/>
      <c r="M379" s="128"/>
      <c r="N379" s="117"/>
      <c r="R379" s="117"/>
      <c r="T379" s="117"/>
      <c r="V379" s="117"/>
      <c r="X379" s="117"/>
      <c r="Y379" s="10"/>
      <c r="Z379" s="11"/>
      <c r="AA379" s="36"/>
      <c r="AB379" s="36"/>
      <c r="AC379" s="13"/>
      <c r="AD379" s="13"/>
      <c r="AE379" s="37"/>
      <c r="AF379" s="37"/>
      <c r="AG379" s="14"/>
      <c r="AH379" s="14"/>
      <c r="AI379" s="14"/>
      <c r="AZ379" s="24"/>
    </row>
    <row r="380">
      <c r="B380" s="24"/>
      <c r="E380" s="113"/>
      <c r="F380" s="266"/>
      <c r="G380" s="113"/>
      <c r="K380" s="36"/>
      <c r="L380" s="117"/>
      <c r="M380" s="128"/>
      <c r="N380" s="117"/>
      <c r="R380" s="117"/>
      <c r="T380" s="117"/>
      <c r="V380" s="117"/>
      <c r="X380" s="117"/>
      <c r="Y380" s="10"/>
      <c r="Z380" s="11"/>
      <c r="AA380" s="36"/>
      <c r="AB380" s="36"/>
      <c r="AC380" s="13"/>
      <c r="AD380" s="13"/>
      <c r="AE380" s="37"/>
      <c r="AF380" s="37"/>
      <c r="AG380" s="14"/>
      <c r="AH380" s="14"/>
      <c r="AI380" s="14"/>
      <c r="AZ380" s="24"/>
    </row>
    <row r="381">
      <c r="B381" s="24"/>
      <c r="E381" s="113"/>
      <c r="F381" s="266"/>
      <c r="G381" s="113"/>
      <c r="K381" s="36"/>
      <c r="L381" s="117"/>
      <c r="M381" s="128"/>
      <c r="N381" s="117"/>
      <c r="R381" s="117"/>
      <c r="T381" s="117"/>
      <c r="V381" s="117"/>
      <c r="X381" s="117"/>
      <c r="Y381" s="10"/>
      <c r="Z381" s="11"/>
      <c r="AA381" s="36"/>
      <c r="AB381" s="36"/>
      <c r="AC381" s="13"/>
      <c r="AD381" s="13"/>
      <c r="AE381" s="37"/>
      <c r="AF381" s="37"/>
      <c r="AG381" s="14"/>
      <c r="AH381" s="14"/>
      <c r="AI381" s="14"/>
      <c r="AZ381" s="24"/>
    </row>
    <row r="382">
      <c r="B382" s="24"/>
      <c r="E382" s="113"/>
      <c r="F382" s="266"/>
      <c r="G382" s="113"/>
      <c r="K382" s="36"/>
      <c r="L382" s="117"/>
      <c r="M382" s="128"/>
      <c r="N382" s="117"/>
      <c r="R382" s="117"/>
      <c r="T382" s="117"/>
      <c r="V382" s="117"/>
      <c r="X382" s="117"/>
      <c r="Y382" s="10"/>
      <c r="Z382" s="11"/>
      <c r="AA382" s="36"/>
      <c r="AB382" s="36"/>
      <c r="AC382" s="13"/>
      <c r="AD382" s="13"/>
      <c r="AE382" s="37"/>
      <c r="AF382" s="37"/>
      <c r="AG382" s="14"/>
      <c r="AH382" s="14"/>
      <c r="AI382" s="14"/>
      <c r="AZ382" s="24"/>
    </row>
    <row r="383">
      <c r="B383" s="24"/>
      <c r="E383" s="113"/>
      <c r="F383" s="266"/>
      <c r="G383" s="113"/>
      <c r="K383" s="36"/>
      <c r="L383" s="117"/>
      <c r="M383" s="128"/>
      <c r="N383" s="117"/>
      <c r="R383" s="117"/>
      <c r="T383" s="117"/>
      <c r="V383" s="117"/>
      <c r="X383" s="117"/>
      <c r="Y383" s="10"/>
      <c r="Z383" s="11"/>
      <c r="AA383" s="36"/>
      <c r="AB383" s="36"/>
      <c r="AC383" s="13"/>
      <c r="AD383" s="13"/>
      <c r="AE383" s="37"/>
      <c r="AF383" s="37"/>
      <c r="AG383" s="14"/>
      <c r="AH383" s="14"/>
      <c r="AI383" s="14"/>
      <c r="AZ383" s="24"/>
    </row>
    <row r="384">
      <c r="B384" s="24"/>
      <c r="E384" s="113"/>
      <c r="F384" s="266"/>
      <c r="G384" s="113"/>
      <c r="K384" s="36"/>
      <c r="L384" s="117"/>
      <c r="M384" s="128"/>
      <c r="N384" s="117"/>
      <c r="R384" s="117"/>
      <c r="T384" s="117"/>
      <c r="V384" s="117"/>
      <c r="X384" s="117"/>
      <c r="Y384" s="10"/>
      <c r="Z384" s="11"/>
      <c r="AA384" s="36"/>
      <c r="AB384" s="36"/>
      <c r="AC384" s="13"/>
      <c r="AD384" s="13"/>
      <c r="AE384" s="37"/>
      <c r="AF384" s="37"/>
      <c r="AG384" s="14"/>
      <c r="AH384" s="14"/>
      <c r="AI384" s="14"/>
      <c r="AZ384" s="24"/>
    </row>
    <row r="385">
      <c r="B385" s="24"/>
      <c r="E385" s="113"/>
      <c r="F385" s="266"/>
      <c r="G385" s="113"/>
      <c r="K385" s="36"/>
      <c r="L385" s="117"/>
      <c r="M385" s="128"/>
      <c r="N385" s="117"/>
      <c r="R385" s="117"/>
      <c r="T385" s="117"/>
      <c r="V385" s="117"/>
      <c r="X385" s="117"/>
      <c r="Y385" s="10"/>
      <c r="Z385" s="11"/>
      <c r="AA385" s="36"/>
      <c r="AB385" s="36"/>
      <c r="AC385" s="13"/>
      <c r="AD385" s="13"/>
      <c r="AE385" s="37"/>
      <c r="AF385" s="37"/>
      <c r="AG385" s="14"/>
      <c r="AH385" s="14"/>
      <c r="AI385" s="14"/>
      <c r="AZ385" s="24"/>
    </row>
    <row r="386">
      <c r="B386" s="24"/>
      <c r="E386" s="113"/>
      <c r="F386" s="266"/>
      <c r="G386" s="113"/>
      <c r="K386" s="36"/>
      <c r="L386" s="117"/>
      <c r="M386" s="128"/>
      <c r="N386" s="117"/>
      <c r="R386" s="117"/>
      <c r="T386" s="117"/>
      <c r="V386" s="117"/>
      <c r="X386" s="117"/>
      <c r="Y386" s="10"/>
      <c r="Z386" s="11"/>
      <c r="AA386" s="36"/>
      <c r="AB386" s="36"/>
      <c r="AC386" s="13"/>
      <c r="AD386" s="13"/>
      <c r="AE386" s="37"/>
      <c r="AF386" s="37"/>
      <c r="AG386" s="14"/>
      <c r="AH386" s="14"/>
      <c r="AI386" s="14"/>
      <c r="AZ386" s="24"/>
    </row>
    <row r="387">
      <c r="B387" s="24"/>
      <c r="E387" s="113"/>
      <c r="F387" s="266"/>
      <c r="G387" s="113"/>
      <c r="K387" s="36"/>
      <c r="L387" s="117"/>
      <c r="M387" s="128"/>
      <c r="N387" s="117"/>
      <c r="R387" s="117"/>
      <c r="T387" s="117"/>
      <c r="V387" s="117"/>
      <c r="X387" s="117"/>
      <c r="Y387" s="10"/>
      <c r="Z387" s="11"/>
      <c r="AA387" s="36"/>
      <c r="AB387" s="36"/>
      <c r="AC387" s="13"/>
      <c r="AD387" s="13"/>
      <c r="AE387" s="37"/>
      <c r="AF387" s="37"/>
      <c r="AG387" s="14"/>
      <c r="AH387" s="14"/>
      <c r="AI387" s="14"/>
      <c r="AZ387" s="24"/>
    </row>
    <row r="388">
      <c r="B388" s="24"/>
      <c r="E388" s="113"/>
      <c r="F388" s="266"/>
      <c r="G388" s="113"/>
      <c r="K388" s="36"/>
      <c r="L388" s="117"/>
      <c r="M388" s="128"/>
      <c r="N388" s="117"/>
      <c r="R388" s="117"/>
      <c r="T388" s="117"/>
      <c r="V388" s="117"/>
      <c r="X388" s="117"/>
      <c r="Y388" s="10"/>
      <c r="Z388" s="11"/>
      <c r="AA388" s="36"/>
      <c r="AB388" s="36"/>
      <c r="AC388" s="13"/>
      <c r="AD388" s="13"/>
      <c r="AE388" s="37"/>
      <c r="AF388" s="37"/>
      <c r="AG388" s="14"/>
      <c r="AH388" s="14"/>
      <c r="AI388" s="14"/>
      <c r="AZ388" s="24"/>
    </row>
    <row r="389">
      <c r="B389" s="24"/>
      <c r="E389" s="113"/>
      <c r="F389" s="266"/>
      <c r="G389" s="113"/>
      <c r="K389" s="36"/>
      <c r="L389" s="117"/>
      <c r="M389" s="128"/>
      <c r="N389" s="117"/>
      <c r="R389" s="117"/>
      <c r="T389" s="117"/>
      <c r="V389" s="117"/>
      <c r="X389" s="117"/>
      <c r="Y389" s="10"/>
      <c r="Z389" s="11"/>
      <c r="AA389" s="36"/>
      <c r="AB389" s="36"/>
      <c r="AC389" s="13"/>
      <c r="AD389" s="13"/>
      <c r="AE389" s="37"/>
      <c r="AF389" s="37"/>
      <c r="AG389" s="14"/>
      <c r="AH389" s="14"/>
      <c r="AI389" s="14"/>
      <c r="AZ389" s="24"/>
    </row>
    <row r="390">
      <c r="B390" s="24"/>
      <c r="E390" s="113"/>
      <c r="F390" s="266"/>
      <c r="G390" s="113"/>
      <c r="K390" s="36"/>
      <c r="L390" s="117"/>
      <c r="M390" s="128"/>
      <c r="N390" s="117"/>
      <c r="R390" s="117"/>
      <c r="T390" s="117"/>
      <c r="V390" s="117"/>
      <c r="X390" s="117"/>
      <c r="Y390" s="10"/>
      <c r="Z390" s="11"/>
      <c r="AA390" s="36"/>
      <c r="AB390" s="36"/>
      <c r="AC390" s="13"/>
      <c r="AD390" s="13"/>
      <c r="AE390" s="37"/>
      <c r="AF390" s="37"/>
      <c r="AG390" s="14"/>
      <c r="AH390" s="14"/>
      <c r="AI390" s="14"/>
      <c r="AZ390" s="24"/>
    </row>
    <row r="391">
      <c r="B391" s="24"/>
      <c r="E391" s="113"/>
      <c r="F391" s="266"/>
      <c r="G391" s="113"/>
      <c r="K391" s="36"/>
      <c r="L391" s="117"/>
      <c r="M391" s="128"/>
      <c r="N391" s="117"/>
      <c r="R391" s="117"/>
      <c r="T391" s="117"/>
      <c r="V391" s="117"/>
      <c r="X391" s="117"/>
      <c r="Y391" s="10"/>
      <c r="Z391" s="11"/>
      <c r="AA391" s="36"/>
      <c r="AB391" s="36"/>
      <c r="AC391" s="13"/>
      <c r="AD391" s="13"/>
      <c r="AE391" s="37"/>
      <c r="AF391" s="37"/>
      <c r="AG391" s="14"/>
      <c r="AH391" s="14"/>
      <c r="AI391" s="14"/>
      <c r="AZ391" s="24"/>
    </row>
    <row r="392">
      <c r="B392" s="24"/>
      <c r="E392" s="113"/>
      <c r="F392" s="266"/>
      <c r="G392" s="113"/>
      <c r="K392" s="36"/>
      <c r="L392" s="117"/>
      <c r="M392" s="128"/>
      <c r="N392" s="117"/>
      <c r="R392" s="117"/>
      <c r="T392" s="117"/>
      <c r="V392" s="117"/>
      <c r="X392" s="117"/>
      <c r="Y392" s="10"/>
      <c r="Z392" s="11"/>
      <c r="AA392" s="36"/>
      <c r="AB392" s="36"/>
      <c r="AC392" s="13"/>
      <c r="AD392" s="13"/>
      <c r="AE392" s="37"/>
      <c r="AF392" s="37"/>
      <c r="AG392" s="14"/>
      <c r="AH392" s="14"/>
      <c r="AI392" s="14"/>
      <c r="AZ392" s="24"/>
    </row>
    <row r="393">
      <c r="B393" s="24"/>
      <c r="E393" s="113"/>
      <c r="F393" s="266"/>
      <c r="G393" s="113"/>
      <c r="K393" s="36"/>
      <c r="L393" s="117"/>
      <c r="M393" s="128"/>
      <c r="N393" s="117"/>
      <c r="R393" s="117"/>
      <c r="T393" s="117"/>
      <c r="V393" s="117"/>
      <c r="X393" s="117"/>
      <c r="Y393" s="10"/>
      <c r="Z393" s="11"/>
      <c r="AA393" s="36"/>
      <c r="AB393" s="36"/>
      <c r="AC393" s="13"/>
      <c r="AD393" s="13"/>
      <c r="AE393" s="37"/>
      <c r="AF393" s="37"/>
      <c r="AG393" s="14"/>
      <c r="AH393" s="14"/>
      <c r="AI393" s="14"/>
      <c r="AZ393" s="24"/>
    </row>
    <row r="394">
      <c r="B394" s="24"/>
      <c r="E394" s="113"/>
      <c r="F394" s="266"/>
      <c r="G394" s="113"/>
      <c r="K394" s="36"/>
      <c r="L394" s="117"/>
      <c r="M394" s="128"/>
      <c r="N394" s="117"/>
      <c r="R394" s="117"/>
      <c r="T394" s="117"/>
      <c r="V394" s="117"/>
      <c r="X394" s="117"/>
      <c r="Y394" s="10"/>
      <c r="Z394" s="11"/>
      <c r="AA394" s="36"/>
      <c r="AB394" s="36"/>
      <c r="AC394" s="13"/>
      <c r="AD394" s="13"/>
      <c r="AE394" s="37"/>
      <c r="AF394" s="37"/>
      <c r="AG394" s="14"/>
      <c r="AH394" s="14"/>
      <c r="AI394" s="14"/>
      <c r="AZ394" s="24"/>
    </row>
    <row r="395">
      <c r="B395" s="24"/>
      <c r="E395" s="113"/>
      <c r="F395" s="266"/>
      <c r="G395" s="113"/>
      <c r="K395" s="36"/>
      <c r="L395" s="117"/>
      <c r="M395" s="128"/>
      <c r="N395" s="117"/>
      <c r="R395" s="117"/>
      <c r="T395" s="117"/>
      <c r="V395" s="117"/>
      <c r="X395" s="117"/>
      <c r="Y395" s="10"/>
      <c r="Z395" s="11"/>
      <c r="AA395" s="36"/>
      <c r="AB395" s="36"/>
      <c r="AC395" s="13"/>
      <c r="AD395" s="13"/>
      <c r="AE395" s="37"/>
      <c r="AF395" s="37"/>
      <c r="AG395" s="14"/>
      <c r="AH395" s="14"/>
      <c r="AI395" s="14"/>
      <c r="AZ395" s="24"/>
    </row>
    <row r="396">
      <c r="B396" s="24"/>
      <c r="E396" s="113"/>
      <c r="F396" s="266"/>
      <c r="G396" s="113"/>
      <c r="K396" s="36"/>
      <c r="L396" s="117"/>
      <c r="M396" s="128"/>
      <c r="N396" s="117"/>
      <c r="R396" s="117"/>
      <c r="T396" s="117"/>
      <c r="V396" s="117"/>
      <c r="X396" s="117"/>
      <c r="Y396" s="10"/>
      <c r="Z396" s="11"/>
      <c r="AA396" s="36"/>
      <c r="AB396" s="36"/>
      <c r="AC396" s="13"/>
      <c r="AD396" s="13"/>
      <c r="AE396" s="37"/>
      <c r="AF396" s="37"/>
      <c r="AG396" s="14"/>
      <c r="AH396" s="14"/>
      <c r="AI396" s="14"/>
      <c r="AZ396" s="24"/>
    </row>
    <row r="397">
      <c r="B397" s="24"/>
      <c r="E397" s="113"/>
      <c r="F397" s="266"/>
      <c r="G397" s="113"/>
      <c r="K397" s="36"/>
      <c r="L397" s="117"/>
      <c r="M397" s="128"/>
      <c r="N397" s="117"/>
      <c r="R397" s="117"/>
      <c r="T397" s="117"/>
      <c r="V397" s="117"/>
      <c r="X397" s="117"/>
      <c r="Y397" s="10"/>
      <c r="Z397" s="11"/>
      <c r="AA397" s="36"/>
      <c r="AB397" s="36"/>
      <c r="AC397" s="13"/>
      <c r="AD397" s="13"/>
      <c r="AE397" s="37"/>
      <c r="AF397" s="37"/>
      <c r="AG397" s="14"/>
      <c r="AH397" s="14"/>
      <c r="AI397" s="14"/>
      <c r="AZ397" s="24"/>
    </row>
    <row r="398">
      <c r="B398" s="24"/>
      <c r="E398" s="113"/>
      <c r="F398" s="266"/>
      <c r="G398" s="113"/>
      <c r="K398" s="36"/>
      <c r="L398" s="117"/>
      <c r="M398" s="128"/>
      <c r="N398" s="117"/>
      <c r="R398" s="117"/>
      <c r="T398" s="117"/>
      <c r="V398" s="117"/>
      <c r="X398" s="117"/>
      <c r="Y398" s="10"/>
      <c r="Z398" s="11"/>
      <c r="AA398" s="36"/>
      <c r="AB398" s="36"/>
      <c r="AC398" s="13"/>
      <c r="AD398" s="13"/>
      <c r="AE398" s="37"/>
      <c r="AF398" s="37"/>
      <c r="AG398" s="14"/>
      <c r="AH398" s="14"/>
      <c r="AI398" s="14"/>
      <c r="AZ398" s="24"/>
    </row>
    <row r="399">
      <c r="B399" s="24"/>
      <c r="E399" s="113"/>
      <c r="F399" s="266"/>
      <c r="G399" s="113"/>
      <c r="K399" s="36"/>
      <c r="L399" s="117"/>
      <c r="M399" s="128"/>
      <c r="N399" s="117"/>
      <c r="R399" s="117"/>
      <c r="T399" s="117"/>
      <c r="V399" s="117"/>
      <c r="X399" s="117"/>
      <c r="Y399" s="10"/>
      <c r="Z399" s="11"/>
      <c r="AA399" s="36"/>
      <c r="AB399" s="36"/>
      <c r="AC399" s="13"/>
      <c r="AD399" s="13"/>
      <c r="AE399" s="37"/>
      <c r="AF399" s="37"/>
      <c r="AG399" s="14"/>
      <c r="AH399" s="14"/>
      <c r="AI399" s="14"/>
      <c r="AZ399" s="24"/>
    </row>
    <row r="400">
      <c r="B400" s="24"/>
      <c r="E400" s="113"/>
      <c r="F400" s="266"/>
      <c r="G400" s="113"/>
      <c r="K400" s="36"/>
      <c r="L400" s="117"/>
      <c r="M400" s="128"/>
      <c r="N400" s="117"/>
      <c r="R400" s="117"/>
      <c r="T400" s="117"/>
      <c r="V400" s="117"/>
      <c r="X400" s="117"/>
      <c r="Y400" s="10"/>
      <c r="Z400" s="11"/>
      <c r="AA400" s="36"/>
      <c r="AB400" s="36"/>
      <c r="AC400" s="13"/>
      <c r="AD400" s="13"/>
      <c r="AE400" s="37"/>
      <c r="AF400" s="37"/>
      <c r="AG400" s="14"/>
      <c r="AH400" s="14"/>
      <c r="AI400" s="14"/>
      <c r="AZ400" s="24"/>
    </row>
    <row r="401">
      <c r="B401" s="24"/>
      <c r="E401" s="113"/>
      <c r="F401" s="266"/>
      <c r="G401" s="113"/>
      <c r="K401" s="36"/>
      <c r="L401" s="117"/>
      <c r="M401" s="128"/>
      <c r="N401" s="117"/>
      <c r="R401" s="117"/>
      <c r="T401" s="117"/>
      <c r="V401" s="117"/>
      <c r="X401" s="117"/>
      <c r="Y401" s="10"/>
      <c r="Z401" s="11"/>
      <c r="AA401" s="36"/>
      <c r="AB401" s="36"/>
      <c r="AC401" s="13"/>
      <c r="AD401" s="13"/>
      <c r="AE401" s="37"/>
      <c r="AF401" s="37"/>
      <c r="AG401" s="14"/>
      <c r="AH401" s="14"/>
      <c r="AI401" s="14"/>
      <c r="AZ401" s="24"/>
    </row>
    <row r="402">
      <c r="B402" s="24"/>
      <c r="E402" s="113"/>
      <c r="F402" s="266"/>
      <c r="G402" s="113"/>
      <c r="K402" s="36"/>
      <c r="L402" s="117"/>
      <c r="M402" s="128"/>
      <c r="N402" s="117"/>
      <c r="R402" s="117"/>
      <c r="T402" s="117"/>
      <c r="V402" s="117"/>
      <c r="X402" s="117"/>
      <c r="Y402" s="10"/>
      <c r="Z402" s="11"/>
      <c r="AA402" s="36"/>
      <c r="AB402" s="36"/>
      <c r="AC402" s="13"/>
      <c r="AD402" s="13"/>
      <c r="AE402" s="37"/>
      <c r="AF402" s="37"/>
      <c r="AG402" s="14"/>
      <c r="AH402" s="14"/>
      <c r="AI402" s="14"/>
      <c r="AZ402" s="24"/>
    </row>
    <row r="403">
      <c r="B403" s="24"/>
      <c r="E403" s="113"/>
      <c r="F403" s="266"/>
      <c r="G403" s="113"/>
      <c r="K403" s="36"/>
      <c r="L403" s="117"/>
      <c r="M403" s="128"/>
      <c r="N403" s="117"/>
      <c r="R403" s="117"/>
      <c r="T403" s="117"/>
      <c r="V403" s="117"/>
      <c r="X403" s="117"/>
      <c r="Y403" s="10"/>
      <c r="Z403" s="11"/>
      <c r="AA403" s="36"/>
      <c r="AB403" s="36"/>
      <c r="AC403" s="13"/>
      <c r="AD403" s="13"/>
      <c r="AE403" s="37"/>
      <c r="AF403" s="37"/>
      <c r="AG403" s="14"/>
      <c r="AH403" s="14"/>
      <c r="AI403" s="14"/>
      <c r="AZ403" s="24"/>
    </row>
    <row r="404">
      <c r="B404" s="24"/>
      <c r="E404" s="113"/>
      <c r="F404" s="266"/>
      <c r="G404" s="113"/>
      <c r="K404" s="36"/>
      <c r="L404" s="117"/>
      <c r="M404" s="128"/>
      <c r="N404" s="117"/>
      <c r="R404" s="117"/>
      <c r="T404" s="117"/>
      <c r="V404" s="117"/>
      <c r="X404" s="117"/>
      <c r="Y404" s="10"/>
      <c r="Z404" s="11"/>
      <c r="AA404" s="36"/>
      <c r="AB404" s="36"/>
      <c r="AC404" s="13"/>
      <c r="AD404" s="13"/>
      <c r="AE404" s="37"/>
      <c r="AF404" s="37"/>
      <c r="AG404" s="14"/>
      <c r="AH404" s="14"/>
      <c r="AI404" s="14"/>
      <c r="AZ404" s="24"/>
    </row>
    <row r="405">
      <c r="B405" s="24"/>
      <c r="E405" s="113"/>
      <c r="F405" s="266"/>
      <c r="G405" s="113"/>
      <c r="K405" s="36"/>
      <c r="L405" s="117"/>
      <c r="M405" s="128"/>
      <c r="N405" s="117"/>
      <c r="R405" s="117"/>
      <c r="T405" s="117"/>
      <c r="V405" s="117"/>
      <c r="X405" s="117"/>
      <c r="Y405" s="10"/>
      <c r="Z405" s="11"/>
      <c r="AA405" s="36"/>
      <c r="AB405" s="36"/>
      <c r="AC405" s="13"/>
      <c r="AD405" s="13"/>
      <c r="AE405" s="37"/>
      <c r="AF405" s="37"/>
      <c r="AG405" s="14"/>
      <c r="AH405" s="14"/>
      <c r="AI405" s="14"/>
      <c r="AZ405" s="24"/>
    </row>
    <row r="406">
      <c r="B406" s="24"/>
      <c r="E406" s="113"/>
      <c r="F406" s="266"/>
      <c r="G406" s="113"/>
      <c r="K406" s="36"/>
      <c r="L406" s="117"/>
      <c r="M406" s="128"/>
      <c r="N406" s="117"/>
      <c r="R406" s="117"/>
      <c r="T406" s="117"/>
      <c r="V406" s="117"/>
      <c r="X406" s="117"/>
      <c r="Y406" s="10"/>
      <c r="Z406" s="11"/>
      <c r="AA406" s="36"/>
      <c r="AB406" s="36"/>
      <c r="AC406" s="13"/>
      <c r="AD406" s="13"/>
      <c r="AE406" s="37"/>
      <c r="AF406" s="37"/>
      <c r="AG406" s="14"/>
      <c r="AH406" s="14"/>
      <c r="AI406" s="14"/>
      <c r="AZ406" s="24"/>
    </row>
    <row r="407">
      <c r="B407" s="24"/>
      <c r="E407" s="113"/>
      <c r="F407" s="266"/>
      <c r="G407" s="113"/>
      <c r="K407" s="36"/>
      <c r="L407" s="117"/>
      <c r="M407" s="128"/>
      <c r="N407" s="117"/>
      <c r="R407" s="117"/>
      <c r="T407" s="117"/>
      <c r="V407" s="117"/>
      <c r="X407" s="117"/>
      <c r="Y407" s="10"/>
      <c r="Z407" s="11"/>
      <c r="AA407" s="36"/>
      <c r="AB407" s="36"/>
      <c r="AC407" s="13"/>
      <c r="AD407" s="13"/>
      <c r="AE407" s="37"/>
      <c r="AF407" s="37"/>
      <c r="AG407" s="14"/>
      <c r="AH407" s="14"/>
      <c r="AI407" s="14"/>
      <c r="AZ407" s="24"/>
    </row>
    <row r="408">
      <c r="B408" s="24"/>
      <c r="E408" s="113"/>
      <c r="F408" s="266"/>
      <c r="G408" s="113"/>
      <c r="K408" s="36"/>
      <c r="L408" s="117"/>
      <c r="M408" s="128"/>
      <c r="N408" s="117"/>
      <c r="R408" s="117"/>
      <c r="T408" s="117"/>
      <c r="V408" s="117"/>
      <c r="X408" s="117"/>
      <c r="Y408" s="10"/>
      <c r="Z408" s="11"/>
      <c r="AA408" s="36"/>
      <c r="AB408" s="36"/>
      <c r="AC408" s="13"/>
      <c r="AD408" s="13"/>
      <c r="AE408" s="37"/>
      <c r="AF408" s="37"/>
      <c r="AG408" s="14"/>
      <c r="AH408" s="14"/>
      <c r="AI408" s="14"/>
      <c r="AZ408" s="24"/>
    </row>
    <row r="409">
      <c r="B409" s="24"/>
      <c r="E409" s="113"/>
      <c r="F409" s="266"/>
      <c r="G409" s="113"/>
      <c r="K409" s="36"/>
      <c r="L409" s="117"/>
      <c r="M409" s="128"/>
      <c r="N409" s="117"/>
      <c r="R409" s="117"/>
      <c r="T409" s="117"/>
      <c r="V409" s="117"/>
      <c r="X409" s="117"/>
      <c r="Y409" s="10"/>
      <c r="Z409" s="11"/>
      <c r="AA409" s="36"/>
      <c r="AB409" s="36"/>
      <c r="AC409" s="13"/>
      <c r="AD409" s="13"/>
      <c r="AE409" s="37"/>
      <c r="AF409" s="37"/>
      <c r="AG409" s="14"/>
      <c r="AH409" s="14"/>
      <c r="AI409" s="14"/>
      <c r="AZ409" s="24"/>
    </row>
    <row r="410">
      <c r="B410" s="24"/>
      <c r="E410" s="113"/>
      <c r="F410" s="266"/>
      <c r="G410" s="113"/>
      <c r="K410" s="36"/>
      <c r="L410" s="117"/>
      <c r="M410" s="128"/>
      <c r="N410" s="117"/>
      <c r="R410" s="117"/>
      <c r="T410" s="117"/>
      <c r="V410" s="117"/>
      <c r="X410" s="117"/>
      <c r="Y410" s="10"/>
      <c r="Z410" s="11"/>
      <c r="AA410" s="36"/>
      <c r="AB410" s="36"/>
      <c r="AC410" s="13"/>
      <c r="AD410" s="13"/>
      <c r="AE410" s="37"/>
      <c r="AF410" s="37"/>
      <c r="AG410" s="14"/>
      <c r="AH410" s="14"/>
      <c r="AI410" s="14"/>
      <c r="AZ410" s="24"/>
    </row>
    <row r="411">
      <c r="B411" s="24"/>
      <c r="E411" s="113"/>
      <c r="F411" s="266"/>
      <c r="G411" s="113"/>
      <c r="K411" s="36"/>
      <c r="L411" s="117"/>
      <c r="M411" s="128"/>
      <c r="N411" s="117"/>
      <c r="R411" s="117"/>
      <c r="T411" s="117"/>
      <c r="V411" s="117"/>
      <c r="X411" s="117"/>
      <c r="Y411" s="10"/>
      <c r="Z411" s="11"/>
      <c r="AA411" s="36"/>
      <c r="AB411" s="36"/>
      <c r="AC411" s="13"/>
      <c r="AD411" s="13"/>
      <c r="AE411" s="37"/>
      <c r="AF411" s="37"/>
      <c r="AG411" s="14"/>
      <c r="AH411" s="14"/>
      <c r="AI411" s="14"/>
      <c r="AZ411" s="24"/>
    </row>
    <row r="412">
      <c r="B412" s="24"/>
      <c r="E412" s="113"/>
      <c r="F412" s="266"/>
      <c r="G412" s="113"/>
      <c r="K412" s="36"/>
      <c r="L412" s="117"/>
      <c r="M412" s="128"/>
      <c r="N412" s="117"/>
      <c r="R412" s="117"/>
      <c r="T412" s="117"/>
      <c r="V412" s="117"/>
      <c r="X412" s="117"/>
      <c r="Y412" s="10"/>
      <c r="Z412" s="11"/>
      <c r="AA412" s="36"/>
      <c r="AB412" s="36"/>
      <c r="AC412" s="13"/>
      <c r="AD412" s="13"/>
      <c r="AE412" s="37"/>
      <c r="AF412" s="37"/>
      <c r="AG412" s="14"/>
      <c r="AH412" s="14"/>
      <c r="AI412" s="14"/>
      <c r="AZ412" s="24"/>
    </row>
    <row r="413">
      <c r="B413" s="24"/>
      <c r="E413" s="113"/>
      <c r="F413" s="266"/>
      <c r="G413" s="113"/>
      <c r="K413" s="36"/>
      <c r="L413" s="117"/>
      <c r="M413" s="128"/>
      <c r="N413" s="117"/>
      <c r="R413" s="117"/>
      <c r="T413" s="117"/>
      <c r="V413" s="117"/>
      <c r="X413" s="117"/>
      <c r="Y413" s="10"/>
      <c r="Z413" s="11"/>
      <c r="AA413" s="36"/>
      <c r="AB413" s="36"/>
      <c r="AC413" s="13"/>
      <c r="AD413" s="13"/>
      <c r="AE413" s="37"/>
      <c r="AF413" s="37"/>
      <c r="AG413" s="14"/>
      <c r="AH413" s="14"/>
      <c r="AI413" s="14"/>
      <c r="AZ413" s="24"/>
    </row>
    <row r="414">
      <c r="B414" s="24"/>
      <c r="E414" s="113"/>
      <c r="F414" s="266"/>
      <c r="G414" s="113"/>
      <c r="K414" s="36"/>
      <c r="L414" s="117"/>
      <c r="M414" s="128"/>
      <c r="N414" s="117"/>
      <c r="R414" s="117"/>
      <c r="T414" s="117"/>
      <c r="V414" s="117"/>
      <c r="X414" s="117"/>
      <c r="Y414" s="10"/>
      <c r="Z414" s="11"/>
      <c r="AA414" s="36"/>
      <c r="AB414" s="36"/>
      <c r="AC414" s="13"/>
      <c r="AD414" s="13"/>
      <c r="AE414" s="37"/>
      <c r="AF414" s="37"/>
      <c r="AG414" s="14"/>
      <c r="AH414" s="14"/>
      <c r="AI414" s="14"/>
      <c r="AZ414" s="24"/>
    </row>
    <row r="415">
      <c r="B415" s="24"/>
      <c r="E415" s="113"/>
      <c r="F415" s="266"/>
      <c r="G415" s="113"/>
      <c r="K415" s="36"/>
      <c r="L415" s="117"/>
      <c r="M415" s="128"/>
      <c r="N415" s="117"/>
      <c r="R415" s="117"/>
      <c r="T415" s="117"/>
      <c r="V415" s="117"/>
      <c r="X415" s="117"/>
      <c r="Y415" s="10"/>
      <c r="Z415" s="11"/>
      <c r="AA415" s="36"/>
      <c r="AB415" s="36"/>
      <c r="AC415" s="13"/>
      <c r="AD415" s="13"/>
      <c r="AE415" s="37"/>
      <c r="AF415" s="37"/>
      <c r="AG415" s="14"/>
      <c r="AH415" s="14"/>
      <c r="AI415" s="14"/>
      <c r="AZ415" s="24"/>
    </row>
    <row r="416">
      <c r="B416" s="24"/>
      <c r="E416" s="113"/>
      <c r="F416" s="266"/>
      <c r="G416" s="113"/>
      <c r="K416" s="36"/>
      <c r="L416" s="117"/>
      <c r="M416" s="128"/>
      <c r="N416" s="117"/>
      <c r="R416" s="117"/>
      <c r="T416" s="117"/>
      <c r="V416" s="117"/>
      <c r="X416" s="117"/>
      <c r="Y416" s="10"/>
      <c r="Z416" s="11"/>
      <c r="AA416" s="36"/>
      <c r="AB416" s="36"/>
      <c r="AC416" s="13"/>
      <c r="AD416" s="13"/>
      <c r="AE416" s="37"/>
      <c r="AF416" s="37"/>
      <c r="AG416" s="14"/>
      <c r="AH416" s="14"/>
      <c r="AI416" s="14"/>
      <c r="AZ416" s="24"/>
    </row>
    <row r="417">
      <c r="B417" s="24"/>
      <c r="E417" s="113"/>
      <c r="F417" s="266"/>
      <c r="G417" s="113"/>
      <c r="K417" s="36"/>
      <c r="L417" s="117"/>
      <c r="M417" s="128"/>
      <c r="N417" s="117"/>
      <c r="R417" s="117"/>
      <c r="T417" s="117"/>
      <c r="V417" s="117"/>
      <c r="X417" s="117"/>
      <c r="Y417" s="10"/>
      <c r="Z417" s="11"/>
      <c r="AA417" s="36"/>
      <c r="AB417" s="36"/>
      <c r="AC417" s="13"/>
      <c r="AD417" s="13"/>
      <c r="AE417" s="37"/>
      <c r="AF417" s="37"/>
      <c r="AG417" s="14"/>
      <c r="AH417" s="14"/>
      <c r="AI417" s="14"/>
      <c r="AZ417" s="24"/>
    </row>
    <row r="418">
      <c r="B418" s="24"/>
      <c r="E418" s="113"/>
      <c r="F418" s="266"/>
      <c r="G418" s="113"/>
      <c r="K418" s="36"/>
      <c r="L418" s="117"/>
      <c r="M418" s="128"/>
      <c r="N418" s="117"/>
      <c r="R418" s="117"/>
      <c r="T418" s="117"/>
      <c r="V418" s="117"/>
      <c r="X418" s="117"/>
      <c r="Y418" s="10"/>
      <c r="Z418" s="11"/>
      <c r="AA418" s="36"/>
      <c r="AB418" s="36"/>
      <c r="AC418" s="13"/>
      <c r="AD418" s="13"/>
      <c r="AE418" s="37"/>
      <c r="AF418" s="37"/>
      <c r="AG418" s="14"/>
      <c r="AH418" s="14"/>
      <c r="AI418" s="14"/>
      <c r="AZ418" s="24"/>
    </row>
    <row r="419">
      <c r="B419" s="24"/>
      <c r="E419" s="113"/>
      <c r="F419" s="266"/>
      <c r="G419" s="113"/>
      <c r="K419" s="36"/>
      <c r="L419" s="117"/>
      <c r="M419" s="128"/>
      <c r="N419" s="117"/>
      <c r="R419" s="117"/>
      <c r="T419" s="117"/>
      <c r="V419" s="117"/>
      <c r="X419" s="117"/>
      <c r="Y419" s="10"/>
      <c r="Z419" s="11"/>
      <c r="AA419" s="36"/>
      <c r="AB419" s="36"/>
      <c r="AC419" s="13"/>
      <c r="AD419" s="13"/>
      <c r="AE419" s="37"/>
      <c r="AF419" s="37"/>
      <c r="AG419" s="14"/>
      <c r="AH419" s="14"/>
      <c r="AI419" s="14"/>
      <c r="AZ419" s="24"/>
    </row>
    <row r="420">
      <c r="B420" s="24"/>
      <c r="E420" s="113"/>
      <c r="F420" s="266"/>
      <c r="G420" s="113"/>
      <c r="K420" s="36"/>
      <c r="L420" s="117"/>
      <c r="M420" s="128"/>
      <c r="N420" s="117"/>
      <c r="R420" s="117"/>
      <c r="T420" s="117"/>
      <c r="V420" s="117"/>
      <c r="X420" s="117"/>
      <c r="Y420" s="10"/>
      <c r="Z420" s="11"/>
      <c r="AA420" s="36"/>
      <c r="AB420" s="36"/>
      <c r="AC420" s="13"/>
      <c r="AD420" s="13"/>
      <c r="AE420" s="37"/>
      <c r="AF420" s="37"/>
      <c r="AG420" s="14"/>
      <c r="AH420" s="14"/>
      <c r="AI420" s="14"/>
      <c r="AZ420" s="24"/>
    </row>
    <row r="421">
      <c r="B421" s="24"/>
      <c r="E421" s="113"/>
      <c r="F421" s="266"/>
      <c r="G421" s="113"/>
      <c r="K421" s="36"/>
      <c r="L421" s="117"/>
      <c r="M421" s="128"/>
      <c r="N421" s="117"/>
      <c r="R421" s="117"/>
      <c r="T421" s="117"/>
      <c r="V421" s="117"/>
      <c r="X421" s="117"/>
      <c r="Y421" s="10"/>
      <c r="Z421" s="11"/>
      <c r="AA421" s="36"/>
      <c r="AB421" s="36"/>
      <c r="AC421" s="13"/>
      <c r="AD421" s="13"/>
      <c r="AE421" s="37"/>
      <c r="AF421" s="37"/>
      <c r="AG421" s="14"/>
      <c r="AH421" s="14"/>
      <c r="AI421" s="14"/>
      <c r="AZ421" s="24"/>
    </row>
    <row r="422">
      <c r="B422" s="24"/>
      <c r="E422" s="113"/>
      <c r="F422" s="266"/>
      <c r="G422" s="113"/>
      <c r="K422" s="36"/>
      <c r="L422" s="117"/>
      <c r="M422" s="128"/>
      <c r="N422" s="117"/>
      <c r="R422" s="117"/>
      <c r="T422" s="117"/>
      <c r="V422" s="117"/>
      <c r="X422" s="117"/>
      <c r="Y422" s="10"/>
      <c r="Z422" s="11"/>
      <c r="AA422" s="36"/>
      <c r="AB422" s="36"/>
      <c r="AC422" s="13"/>
      <c r="AD422" s="13"/>
      <c r="AE422" s="37"/>
      <c r="AF422" s="37"/>
      <c r="AG422" s="14"/>
      <c r="AH422" s="14"/>
      <c r="AI422" s="14"/>
      <c r="AZ422" s="24"/>
    </row>
    <row r="423">
      <c r="B423" s="24"/>
      <c r="E423" s="113"/>
      <c r="F423" s="266"/>
      <c r="G423" s="113"/>
      <c r="K423" s="36"/>
      <c r="L423" s="117"/>
      <c r="M423" s="128"/>
      <c r="N423" s="117"/>
      <c r="R423" s="117"/>
      <c r="T423" s="117"/>
      <c r="V423" s="117"/>
      <c r="X423" s="117"/>
      <c r="Y423" s="10"/>
      <c r="Z423" s="11"/>
      <c r="AA423" s="36"/>
      <c r="AB423" s="36"/>
      <c r="AC423" s="13"/>
      <c r="AD423" s="13"/>
      <c r="AE423" s="37"/>
      <c r="AF423" s="37"/>
      <c r="AG423" s="14"/>
      <c r="AH423" s="14"/>
      <c r="AI423" s="14"/>
      <c r="AZ423" s="24"/>
    </row>
    <row r="424">
      <c r="B424" s="24"/>
      <c r="E424" s="113"/>
      <c r="F424" s="266"/>
      <c r="G424" s="113"/>
      <c r="K424" s="36"/>
      <c r="L424" s="117"/>
      <c r="M424" s="128"/>
      <c r="N424" s="117"/>
      <c r="R424" s="117"/>
      <c r="T424" s="117"/>
      <c r="V424" s="117"/>
      <c r="X424" s="117"/>
      <c r="Y424" s="10"/>
      <c r="Z424" s="11"/>
      <c r="AA424" s="36"/>
      <c r="AB424" s="36"/>
      <c r="AC424" s="13"/>
      <c r="AD424" s="13"/>
      <c r="AE424" s="37"/>
      <c r="AF424" s="37"/>
      <c r="AG424" s="14"/>
      <c r="AH424" s="14"/>
      <c r="AI424" s="14"/>
      <c r="AZ424" s="24"/>
    </row>
    <row r="425">
      <c r="B425" s="24"/>
      <c r="E425" s="113"/>
      <c r="F425" s="266"/>
      <c r="G425" s="113"/>
      <c r="K425" s="36"/>
      <c r="L425" s="117"/>
      <c r="M425" s="128"/>
      <c r="N425" s="117"/>
      <c r="R425" s="117"/>
      <c r="T425" s="117"/>
      <c r="V425" s="117"/>
      <c r="X425" s="117"/>
      <c r="Y425" s="10"/>
      <c r="Z425" s="11"/>
      <c r="AA425" s="36"/>
      <c r="AB425" s="36"/>
      <c r="AC425" s="13"/>
      <c r="AD425" s="13"/>
      <c r="AE425" s="37"/>
      <c r="AF425" s="37"/>
      <c r="AG425" s="14"/>
      <c r="AH425" s="14"/>
      <c r="AI425" s="14"/>
      <c r="AZ425" s="24"/>
    </row>
    <row r="426">
      <c r="B426" s="24"/>
      <c r="E426" s="113"/>
      <c r="F426" s="266"/>
      <c r="G426" s="113"/>
      <c r="K426" s="36"/>
      <c r="L426" s="117"/>
      <c r="M426" s="128"/>
      <c r="N426" s="117"/>
      <c r="R426" s="117"/>
      <c r="T426" s="117"/>
      <c r="V426" s="117"/>
      <c r="X426" s="117"/>
      <c r="Y426" s="10"/>
      <c r="Z426" s="11"/>
      <c r="AA426" s="36"/>
      <c r="AB426" s="36"/>
      <c r="AC426" s="13"/>
      <c r="AD426" s="13"/>
      <c r="AE426" s="37"/>
      <c r="AF426" s="37"/>
      <c r="AG426" s="14"/>
      <c r="AH426" s="14"/>
      <c r="AI426" s="14"/>
      <c r="AZ426" s="24"/>
    </row>
    <row r="427">
      <c r="B427" s="24"/>
      <c r="E427" s="113"/>
      <c r="F427" s="266"/>
      <c r="G427" s="113"/>
      <c r="K427" s="36"/>
      <c r="L427" s="117"/>
      <c r="M427" s="128"/>
      <c r="N427" s="117"/>
      <c r="R427" s="117"/>
      <c r="T427" s="117"/>
      <c r="V427" s="117"/>
      <c r="X427" s="117"/>
      <c r="Y427" s="10"/>
      <c r="Z427" s="11"/>
      <c r="AA427" s="36"/>
      <c r="AB427" s="36"/>
      <c r="AC427" s="13"/>
      <c r="AD427" s="13"/>
      <c r="AE427" s="37"/>
      <c r="AF427" s="37"/>
      <c r="AG427" s="14"/>
      <c r="AH427" s="14"/>
      <c r="AI427" s="14"/>
      <c r="AZ427" s="24"/>
    </row>
    <row r="428">
      <c r="B428" s="24"/>
      <c r="E428" s="113"/>
      <c r="F428" s="266"/>
      <c r="G428" s="113"/>
      <c r="K428" s="36"/>
      <c r="L428" s="117"/>
      <c r="M428" s="128"/>
      <c r="N428" s="117"/>
      <c r="R428" s="117"/>
      <c r="T428" s="117"/>
      <c r="V428" s="117"/>
      <c r="X428" s="117"/>
      <c r="Y428" s="10"/>
      <c r="Z428" s="11"/>
      <c r="AA428" s="36"/>
      <c r="AB428" s="36"/>
      <c r="AC428" s="13"/>
      <c r="AD428" s="13"/>
      <c r="AE428" s="37"/>
      <c r="AF428" s="37"/>
      <c r="AG428" s="14"/>
      <c r="AH428" s="14"/>
      <c r="AI428" s="14"/>
      <c r="AZ428" s="24"/>
    </row>
    <row r="429">
      <c r="B429" s="24"/>
      <c r="E429" s="113"/>
      <c r="F429" s="266"/>
      <c r="G429" s="113"/>
      <c r="K429" s="36"/>
      <c r="L429" s="117"/>
      <c r="M429" s="128"/>
      <c r="N429" s="117"/>
      <c r="R429" s="117"/>
      <c r="T429" s="117"/>
      <c r="V429" s="117"/>
      <c r="X429" s="117"/>
      <c r="Y429" s="10"/>
      <c r="Z429" s="11"/>
      <c r="AA429" s="36"/>
      <c r="AB429" s="36"/>
      <c r="AC429" s="13"/>
      <c r="AD429" s="13"/>
      <c r="AE429" s="37"/>
      <c r="AF429" s="37"/>
      <c r="AG429" s="14"/>
      <c r="AH429" s="14"/>
      <c r="AI429" s="14"/>
      <c r="AZ429" s="24"/>
    </row>
    <row r="430">
      <c r="B430" s="24"/>
      <c r="E430" s="113"/>
      <c r="F430" s="266"/>
      <c r="G430" s="113"/>
      <c r="K430" s="36"/>
      <c r="L430" s="117"/>
      <c r="M430" s="128"/>
      <c r="N430" s="117"/>
      <c r="R430" s="117"/>
      <c r="T430" s="117"/>
      <c r="V430" s="117"/>
      <c r="X430" s="117"/>
      <c r="Y430" s="10"/>
      <c r="Z430" s="11"/>
      <c r="AA430" s="36"/>
      <c r="AB430" s="36"/>
      <c r="AC430" s="13"/>
      <c r="AD430" s="13"/>
      <c r="AE430" s="37"/>
      <c r="AF430" s="37"/>
      <c r="AG430" s="14"/>
      <c r="AH430" s="14"/>
      <c r="AI430" s="14"/>
      <c r="AZ430" s="24"/>
    </row>
    <row r="431">
      <c r="B431" s="24"/>
      <c r="E431" s="113"/>
      <c r="F431" s="266"/>
      <c r="G431" s="113"/>
      <c r="K431" s="36"/>
      <c r="L431" s="117"/>
      <c r="M431" s="128"/>
      <c r="N431" s="117"/>
      <c r="R431" s="117"/>
      <c r="T431" s="117"/>
      <c r="V431" s="117"/>
      <c r="X431" s="117"/>
      <c r="Y431" s="10"/>
      <c r="Z431" s="11"/>
      <c r="AA431" s="36"/>
      <c r="AB431" s="36"/>
      <c r="AC431" s="13"/>
      <c r="AD431" s="13"/>
      <c r="AE431" s="37"/>
      <c r="AF431" s="37"/>
      <c r="AG431" s="14"/>
      <c r="AH431" s="14"/>
      <c r="AI431" s="14"/>
      <c r="AZ431" s="24"/>
    </row>
    <row r="432">
      <c r="B432" s="24"/>
      <c r="E432" s="113"/>
      <c r="F432" s="266"/>
      <c r="G432" s="113"/>
      <c r="K432" s="36"/>
      <c r="L432" s="117"/>
      <c r="M432" s="128"/>
      <c r="N432" s="117"/>
      <c r="R432" s="117"/>
      <c r="T432" s="117"/>
      <c r="V432" s="117"/>
      <c r="X432" s="117"/>
      <c r="Y432" s="10"/>
      <c r="Z432" s="11"/>
      <c r="AA432" s="36"/>
      <c r="AB432" s="36"/>
      <c r="AC432" s="13"/>
      <c r="AD432" s="13"/>
      <c r="AE432" s="37"/>
      <c r="AF432" s="37"/>
      <c r="AG432" s="14"/>
      <c r="AH432" s="14"/>
      <c r="AI432" s="14"/>
      <c r="AZ432" s="24"/>
    </row>
    <row r="433">
      <c r="B433" s="24"/>
      <c r="E433" s="113"/>
      <c r="F433" s="266"/>
      <c r="G433" s="113"/>
      <c r="K433" s="36"/>
      <c r="L433" s="117"/>
      <c r="M433" s="128"/>
      <c r="N433" s="117"/>
      <c r="R433" s="117"/>
      <c r="T433" s="117"/>
      <c r="V433" s="117"/>
      <c r="X433" s="117"/>
      <c r="Y433" s="10"/>
      <c r="Z433" s="11"/>
      <c r="AA433" s="36"/>
      <c r="AB433" s="36"/>
      <c r="AC433" s="13"/>
      <c r="AD433" s="13"/>
      <c r="AE433" s="37"/>
      <c r="AF433" s="37"/>
      <c r="AG433" s="14"/>
      <c r="AH433" s="14"/>
      <c r="AI433" s="14"/>
      <c r="AZ433" s="24"/>
    </row>
    <row r="434">
      <c r="B434" s="24"/>
      <c r="E434" s="113"/>
      <c r="F434" s="266"/>
      <c r="G434" s="113"/>
      <c r="K434" s="36"/>
      <c r="L434" s="117"/>
      <c r="M434" s="128"/>
      <c r="N434" s="117"/>
      <c r="R434" s="117"/>
      <c r="T434" s="117"/>
      <c r="V434" s="117"/>
      <c r="X434" s="117"/>
      <c r="Y434" s="10"/>
      <c r="Z434" s="11"/>
      <c r="AA434" s="36"/>
      <c r="AB434" s="36"/>
      <c r="AC434" s="13"/>
      <c r="AD434" s="13"/>
      <c r="AE434" s="37"/>
      <c r="AF434" s="37"/>
      <c r="AG434" s="14"/>
      <c r="AH434" s="14"/>
      <c r="AI434" s="14"/>
      <c r="AZ434" s="24"/>
    </row>
    <row r="435">
      <c r="B435" s="24"/>
      <c r="E435" s="113"/>
      <c r="F435" s="266"/>
      <c r="G435" s="113"/>
      <c r="K435" s="36"/>
      <c r="L435" s="117"/>
      <c r="M435" s="128"/>
      <c r="N435" s="117"/>
      <c r="R435" s="117"/>
      <c r="T435" s="117"/>
      <c r="V435" s="117"/>
      <c r="X435" s="117"/>
      <c r="Y435" s="10"/>
      <c r="Z435" s="11"/>
      <c r="AA435" s="36"/>
      <c r="AB435" s="36"/>
      <c r="AC435" s="13"/>
      <c r="AD435" s="13"/>
      <c r="AE435" s="37"/>
      <c r="AF435" s="37"/>
      <c r="AG435" s="14"/>
      <c r="AH435" s="14"/>
      <c r="AI435" s="14"/>
      <c r="AZ435" s="24"/>
    </row>
    <row r="436">
      <c r="B436" s="24"/>
      <c r="E436" s="113"/>
      <c r="F436" s="266"/>
      <c r="G436" s="113"/>
      <c r="K436" s="36"/>
      <c r="L436" s="117"/>
      <c r="M436" s="128"/>
      <c r="N436" s="117"/>
      <c r="R436" s="117"/>
      <c r="T436" s="117"/>
      <c r="V436" s="117"/>
      <c r="X436" s="117"/>
      <c r="Y436" s="10"/>
      <c r="Z436" s="11"/>
      <c r="AA436" s="36"/>
      <c r="AB436" s="36"/>
      <c r="AC436" s="13"/>
      <c r="AD436" s="13"/>
      <c r="AE436" s="37"/>
      <c r="AF436" s="37"/>
      <c r="AG436" s="14"/>
      <c r="AH436" s="14"/>
      <c r="AI436" s="14"/>
      <c r="AZ436" s="24"/>
    </row>
    <row r="437">
      <c r="B437" s="24"/>
      <c r="E437" s="113"/>
      <c r="F437" s="266"/>
      <c r="G437" s="113"/>
      <c r="K437" s="36"/>
      <c r="L437" s="117"/>
      <c r="M437" s="128"/>
      <c r="N437" s="117"/>
      <c r="R437" s="117"/>
      <c r="T437" s="117"/>
      <c r="V437" s="117"/>
      <c r="X437" s="117"/>
      <c r="Y437" s="10"/>
      <c r="Z437" s="11"/>
      <c r="AA437" s="36"/>
      <c r="AB437" s="36"/>
      <c r="AC437" s="13"/>
      <c r="AD437" s="13"/>
      <c r="AE437" s="37"/>
      <c r="AF437" s="37"/>
      <c r="AG437" s="14"/>
      <c r="AH437" s="14"/>
      <c r="AI437" s="14"/>
      <c r="AZ437" s="24"/>
    </row>
    <row r="438">
      <c r="B438" s="24"/>
      <c r="E438" s="113"/>
      <c r="F438" s="266"/>
      <c r="G438" s="113"/>
      <c r="K438" s="36"/>
      <c r="L438" s="117"/>
      <c r="M438" s="128"/>
      <c r="N438" s="117"/>
      <c r="R438" s="117"/>
      <c r="T438" s="117"/>
      <c r="V438" s="117"/>
      <c r="X438" s="117"/>
      <c r="Y438" s="10"/>
      <c r="Z438" s="11"/>
      <c r="AA438" s="36"/>
      <c r="AB438" s="36"/>
      <c r="AC438" s="13"/>
      <c r="AD438" s="13"/>
      <c r="AE438" s="37"/>
      <c r="AF438" s="37"/>
      <c r="AG438" s="14"/>
      <c r="AH438" s="14"/>
      <c r="AI438" s="14"/>
      <c r="AZ438" s="24"/>
    </row>
    <row r="439">
      <c r="B439" s="24"/>
      <c r="E439" s="113"/>
      <c r="F439" s="266"/>
      <c r="G439" s="113"/>
      <c r="K439" s="36"/>
      <c r="L439" s="117"/>
      <c r="M439" s="128"/>
      <c r="N439" s="117"/>
      <c r="R439" s="117"/>
      <c r="T439" s="117"/>
      <c r="V439" s="117"/>
      <c r="X439" s="117"/>
      <c r="Y439" s="10"/>
      <c r="Z439" s="11"/>
      <c r="AA439" s="36"/>
      <c r="AB439" s="36"/>
      <c r="AC439" s="13"/>
      <c r="AD439" s="13"/>
      <c r="AE439" s="37"/>
      <c r="AF439" s="37"/>
      <c r="AG439" s="14"/>
      <c r="AH439" s="14"/>
      <c r="AI439" s="14"/>
      <c r="AZ439" s="24"/>
    </row>
    <row r="440">
      <c r="B440" s="24"/>
      <c r="E440" s="113"/>
      <c r="F440" s="266"/>
      <c r="G440" s="113"/>
      <c r="K440" s="36"/>
      <c r="L440" s="117"/>
      <c r="M440" s="128"/>
      <c r="N440" s="117"/>
      <c r="R440" s="117"/>
      <c r="T440" s="117"/>
      <c r="V440" s="117"/>
      <c r="X440" s="117"/>
      <c r="Y440" s="10"/>
      <c r="Z440" s="11"/>
      <c r="AA440" s="36"/>
      <c r="AB440" s="36"/>
      <c r="AC440" s="13"/>
      <c r="AD440" s="13"/>
      <c r="AE440" s="37"/>
      <c r="AF440" s="37"/>
      <c r="AG440" s="14"/>
      <c r="AH440" s="14"/>
      <c r="AI440" s="14"/>
      <c r="AZ440" s="24"/>
    </row>
    <row r="441">
      <c r="B441" s="24"/>
      <c r="E441" s="113"/>
      <c r="F441" s="266"/>
      <c r="G441" s="113"/>
      <c r="K441" s="36"/>
      <c r="L441" s="117"/>
      <c r="M441" s="128"/>
      <c r="N441" s="117"/>
      <c r="R441" s="117"/>
      <c r="T441" s="117"/>
      <c r="V441" s="117"/>
      <c r="X441" s="117"/>
      <c r="Y441" s="10"/>
      <c r="Z441" s="11"/>
      <c r="AA441" s="36"/>
      <c r="AB441" s="36"/>
      <c r="AC441" s="13"/>
      <c r="AD441" s="13"/>
      <c r="AE441" s="37"/>
      <c r="AF441" s="37"/>
      <c r="AG441" s="14"/>
      <c r="AH441" s="14"/>
      <c r="AI441" s="14"/>
      <c r="AZ441" s="24"/>
    </row>
    <row r="442">
      <c r="B442" s="24"/>
      <c r="E442" s="113"/>
      <c r="F442" s="266"/>
      <c r="G442" s="113"/>
      <c r="K442" s="36"/>
      <c r="L442" s="117"/>
      <c r="M442" s="128"/>
      <c r="N442" s="117"/>
      <c r="R442" s="117"/>
      <c r="T442" s="117"/>
      <c r="V442" s="117"/>
      <c r="X442" s="117"/>
      <c r="Y442" s="10"/>
      <c r="Z442" s="11"/>
      <c r="AA442" s="36"/>
      <c r="AB442" s="36"/>
      <c r="AC442" s="13"/>
      <c r="AD442" s="13"/>
      <c r="AE442" s="37"/>
      <c r="AF442" s="37"/>
      <c r="AG442" s="14"/>
      <c r="AH442" s="14"/>
      <c r="AI442" s="14"/>
      <c r="AZ442" s="24"/>
    </row>
    <row r="443">
      <c r="B443" s="24"/>
      <c r="E443" s="113"/>
      <c r="F443" s="266"/>
      <c r="G443" s="113"/>
      <c r="K443" s="36"/>
      <c r="L443" s="117"/>
      <c r="M443" s="128"/>
      <c r="N443" s="117"/>
      <c r="R443" s="117"/>
      <c r="T443" s="117"/>
      <c r="V443" s="117"/>
      <c r="X443" s="117"/>
      <c r="Y443" s="10"/>
      <c r="Z443" s="11"/>
      <c r="AA443" s="36"/>
      <c r="AB443" s="36"/>
      <c r="AC443" s="13"/>
      <c r="AD443" s="13"/>
      <c r="AE443" s="37"/>
      <c r="AF443" s="37"/>
      <c r="AG443" s="14"/>
      <c r="AH443" s="14"/>
      <c r="AI443" s="14"/>
      <c r="AZ443" s="24"/>
    </row>
    <row r="444">
      <c r="B444" s="24"/>
      <c r="E444" s="113"/>
      <c r="F444" s="266"/>
      <c r="G444" s="113"/>
      <c r="K444" s="36"/>
      <c r="L444" s="117"/>
      <c r="M444" s="128"/>
      <c r="N444" s="117"/>
      <c r="R444" s="117"/>
      <c r="T444" s="117"/>
      <c r="V444" s="117"/>
      <c r="X444" s="117"/>
      <c r="Y444" s="10"/>
      <c r="Z444" s="11"/>
      <c r="AA444" s="36"/>
      <c r="AB444" s="36"/>
      <c r="AC444" s="13"/>
      <c r="AD444" s="13"/>
      <c r="AE444" s="37"/>
      <c r="AF444" s="37"/>
      <c r="AG444" s="14"/>
      <c r="AH444" s="14"/>
      <c r="AI444" s="14"/>
      <c r="AZ444" s="24"/>
    </row>
    <row r="445">
      <c r="B445" s="24"/>
      <c r="E445" s="113"/>
      <c r="F445" s="266"/>
      <c r="G445" s="113"/>
      <c r="K445" s="36"/>
      <c r="L445" s="117"/>
      <c r="M445" s="128"/>
      <c r="N445" s="117"/>
      <c r="R445" s="117"/>
      <c r="T445" s="117"/>
      <c r="V445" s="117"/>
      <c r="X445" s="117"/>
      <c r="Y445" s="10"/>
      <c r="Z445" s="11"/>
      <c r="AA445" s="36"/>
      <c r="AB445" s="36"/>
      <c r="AC445" s="13"/>
      <c r="AD445" s="13"/>
      <c r="AE445" s="37"/>
      <c r="AF445" s="37"/>
      <c r="AG445" s="14"/>
      <c r="AH445" s="14"/>
      <c r="AI445" s="14"/>
      <c r="AZ445" s="24"/>
    </row>
    <row r="446">
      <c r="B446" s="24"/>
      <c r="E446" s="113"/>
      <c r="F446" s="266"/>
      <c r="G446" s="113"/>
      <c r="K446" s="36"/>
      <c r="L446" s="117"/>
      <c r="M446" s="128"/>
      <c r="N446" s="117"/>
      <c r="R446" s="117"/>
      <c r="T446" s="117"/>
      <c r="V446" s="117"/>
      <c r="X446" s="117"/>
      <c r="Y446" s="10"/>
      <c r="Z446" s="11"/>
      <c r="AA446" s="36"/>
      <c r="AB446" s="36"/>
      <c r="AC446" s="13"/>
      <c r="AD446" s="13"/>
      <c r="AE446" s="37"/>
      <c r="AF446" s="37"/>
      <c r="AG446" s="14"/>
      <c r="AH446" s="14"/>
      <c r="AI446" s="14"/>
      <c r="AZ446" s="24"/>
    </row>
    <row r="447">
      <c r="B447" s="24"/>
      <c r="E447" s="113"/>
      <c r="F447" s="266"/>
      <c r="G447" s="113"/>
      <c r="K447" s="36"/>
      <c r="L447" s="117"/>
      <c r="M447" s="128"/>
      <c r="N447" s="117"/>
      <c r="R447" s="117"/>
      <c r="T447" s="117"/>
      <c r="V447" s="117"/>
      <c r="X447" s="117"/>
      <c r="Y447" s="10"/>
      <c r="Z447" s="11"/>
      <c r="AA447" s="36"/>
      <c r="AB447" s="36"/>
      <c r="AC447" s="13"/>
      <c r="AD447" s="13"/>
      <c r="AE447" s="37"/>
      <c r="AF447" s="37"/>
      <c r="AG447" s="14"/>
      <c r="AH447" s="14"/>
      <c r="AI447" s="14"/>
      <c r="AZ447" s="24"/>
    </row>
    <row r="448">
      <c r="B448" s="24"/>
      <c r="E448" s="113"/>
      <c r="F448" s="266"/>
      <c r="G448" s="113"/>
      <c r="K448" s="36"/>
      <c r="L448" s="117"/>
      <c r="M448" s="128"/>
      <c r="N448" s="117"/>
      <c r="R448" s="117"/>
      <c r="T448" s="117"/>
      <c r="V448" s="117"/>
      <c r="X448" s="117"/>
      <c r="Y448" s="10"/>
      <c r="Z448" s="11"/>
      <c r="AA448" s="36"/>
      <c r="AB448" s="36"/>
      <c r="AC448" s="13"/>
      <c r="AD448" s="13"/>
      <c r="AE448" s="37"/>
      <c r="AF448" s="37"/>
      <c r="AG448" s="14"/>
      <c r="AH448" s="14"/>
      <c r="AI448" s="14"/>
      <c r="AZ448" s="24"/>
    </row>
    <row r="449">
      <c r="B449" s="24"/>
      <c r="E449" s="113"/>
      <c r="F449" s="266"/>
      <c r="G449" s="113"/>
      <c r="K449" s="36"/>
      <c r="L449" s="117"/>
      <c r="M449" s="128"/>
      <c r="N449" s="117"/>
      <c r="R449" s="117"/>
      <c r="T449" s="117"/>
      <c r="V449" s="117"/>
      <c r="X449" s="117"/>
      <c r="Y449" s="10"/>
      <c r="Z449" s="11"/>
      <c r="AA449" s="36"/>
      <c r="AB449" s="36"/>
      <c r="AC449" s="13"/>
      <c r="AD449" s="13"/>
      <c r="AE449" s="37"/>
      <c r="AF449" s="37"/>
      <c r="AG449" s="14"/>
      <c r="AH449" s="14"/>
      <c r="AI449" s="14"/>
      <c r="AZ449" s="24"/>
    </row>
    <row r="450">
      <c r="B450" s="24"/>
      <c r="E450" s="113"/>
      <c r="F450" s="266"/>
      <c r="G450" s="113"/>
      <c r="K450" s="36"/>
      <c r="L450" s="117"/>
      <c r="M450" s="128"/>
      <c r="N450" s="117"/>
      <c r="R450" s="117"/>
      <c r="T450" s="117"/>
      <c r="V450" s="117"/>
      <c r="X450" s="117"/>
      <c r="Y450" s="10"/>
      <c r="Z450" s="11"/>
      <c r="AA450" s="36"/>
      <c r="AB450" s="36"/>
      <c r="AC450" s="13"/>
      <c r="AD450" s="13"/>
      <c r="AE450" s="37"/>
      <c r="AF450" s="37"/>
      <c r="AG450" s="14"/>
      <c r="AH450" s="14"/>
      <c r="AI450" s="14"/>
      <c r="AZ450" s="24"/>
    </row>
    <row r="451">
      <c r="B451" s="24"/>
      <c r="E451" s="113"/>
      <c r="F451" s="266"/>
      <c r="G451" s="113"/>
      <c r="K451" s="36"/>
      <c r="L451" s="117"/>
      <c r="M451" s="128"/>
      <c r="N451" s="117"/>
      <c r="R451" s="117"/>
      <c r="T451" s="117"/>
      <c r="V451" s="117"/>
      <c r="X451" s="117"/>
      <c r="Y451" s="10"/>
      <c r="Z451" s="11"/>
      <c r="AA451" s="36"/>
      <c r="AB451" s="36"/>
      <c r="AC451" s="13"/>
      <c r="AD451" s="13"/>
      <c r="AE451" s="37"/>
      <c r="AF451" s="37"/>
      <c r="AG451" s="14"/>
      <c r="AH451" s="14"/>
      <c r="AI451" s="14"/>
      <c r="AZ451" s="24"/>
    </row>
    <row r="452">
      <c r="B452" s="24"/>
      <c r="E452" s="113"/>
      <c r="F452" s="266"/>
      <c r="G452" s="113"/>
      <c r="K452" s="36"/>
      <c r="L452" s="117"/>
      <c r="M452" s="128"/>
      <c r="N452" s="117"/>
      <c r="R452" s="117"/>
      <c r="T452" s="117"/>
      <c r="V452" s="117"/>
      <c r="X452" s="117"/>
      <c r="Y452" s="10"/>
      <c r="Z452" s="11"/>
      <c r="AA452" s="36"/>
      <c r="AB452" s="36"/>
      <c r="AC452" s="13"/>
      <c r="AD452" s="13"/>
      <c r="AE452" s="37"/>
      <c r="AF452" s="37"/>
      <c r="AG452" s="14"/>
      <c r="AH452" s="14"/>
      <c r="AI452" s="14"/>
      <c r="AZ452" s="24"/>
    </row>
    <row r="453">
      <c r="B453" s="24"/>
      <c r="E453" s="113"/>
      <c r="F453" s="266"/>
      <c r="G453" s="113"/>
      <c r="K453" s="36"/>
      <c r="L453" s="117"/>
      <c r="M453" s="128"/>
      <c r="N453" s="117"/>
      <c r="R453" s="117"/>
      <c r="T453" s="117"/>
      <c r="V453" s="117"/>
      <c r="X453" s="117"/>
      <c r="Y453" s="10"/>
      <c r="Z453" s="11"/>
      <c r="AA453" s="36"/>
      <c r="AB453" s="36"/>
      <c r="AC453" s="13"/>
      <c r="AD453" s="13"/>
      <c r="AE453" s="37"/>
      <c r="AF453" s="37"/>
      <c r="AG453" s="14"/>
      <c r="AH453" s="14"/>
      <c r="AI453" s="14"/>
      <c r="AZ453" s="24"/>
    </row>
    <row r="454">
      <c r="B454" s="24"/>
      <c r="E454" s="113"/>
      <c r="F454" s="266"/>
      <c r="G454" s="113"/>
      <c r="K454" s="36"/>
      <c r="L454" s="117"/>
      <c r="M454" s="128"/>
      <c r="N454" s="117"/>
      <c r="R454" s="117"/>
      <c r="T454" s="117"/>
      <c r="V454" s="117"/>
      <c r="X454" s="117"/>
      <c r="Y454" s="10"/>
      <c r="Z454" s="11"/>
      <c r="AA454" s="36"/>
      <c r="AB454" s="36"/>
      <c r="AC454" s="13"/>
      <c r="AD454" s="13"/>
      <c r="AE454" s="37"/>
      <c r="AF454" s="37"/>
      <c r="AG454" s="14"/>
      <c r="AH454" s="14"/>
      <c r="AI454" s="14"/>
      <c r="AZ454" s="24"/>
    </row>
    <row r="455">
      <c r="B455" s="24"/>
      <c r="E455" s="113"/>
      <c r="F455" s="266"/>
      <c r="G455" s="113"/>
      <c r="K455" s="36"/>
      <c r="L455" s="117"/>
      <c r="M455" s="128"/>
      <c r="N455" s="117"/>
      <c r="R455" s="117"/>
      <c r="T455" s="117"/>
      <c r="V455" s="117"/>
      <c r="X455" s="117"/>
      <c r="Y455" s="10"/>
      <c r="Z455" s="11"/>
      <c r="AA455" s="36"/>
      <c r="AB455" s="36"/>
      <c r="AC455" s="13"/>
      <c r="AD455" s="13"/>
      <c r="AE455" s="37"/>
      <c r="AF455" s="37"/>
      <c r="AG455" s="14"/>
      <c r="AH455" s="14"/>
      <c r="AI455" s="14"/>
      <c r="AZ455" s="24"/>
    </row>
    <row r="456">
      <c r="B456" s="24"/>
      <c r="E456" s="113"/>
      <c r="F456" s="266"/>
      <c r="G456" s="113"/>
      <c r="K456" s="36"/>
      <c r="L456" s="117"/>
      <c r="M456" s="128"/>
      <c r="N456" s="117"/>
      <c r="R456" s="117"/>
      <c r="T456" s="117"/>
      <c r="V456" s="117"/>
      <c r="X456" s="117"/>
      <c r="Y456" s="10"/>
      <c r="Z456" s="11"/>
      <c r="AA456" s="36"/>
      <c r="AB456" s="36"/>
      <c r="AC456" s="13"/>
      <c r="AD456" s="13"/>
      <c r="AE456" s="37"/>
      <c r="AF456" s="37"/>
      <c r="AG456" s="14"/>
      <c r="AH456" s="14"/>
      <c r="AI456" s="14"/>
      <c r="AZ456" s="24"/>
    </row>
    <row r="457">
      <c r="B457" s="24"/>
      <c r="E457" s="113"/>
      <c r="F457" s="266"/>
      <c r="G457" s="113"/>
      <c r="K457" s="36"/>
      <c r="L457" s="117"/>
      <c r="M457" s="128"/>
      <c r="N457" s="117"/>
      <c r="R457" s="117"/>
      <c r="T457" s="117"/>
      <c r="V457" s="117"/>
      <c r="X457" s="117"/>
      <c r="Y457" s="10"/>
      <c r="Z457" s="11"/>
      <c r="AA457" s="36"/>
      <c r="AB457" s="36"/>
      <c r="AC457" s="13"/>
      <c r="AD457" s="13"/>
      <c r="AE457" s="37"/>
      <c r="AF457" s="37"/>
      <c r="AG457" s="14"/>
      <c r="AH457" s="14"/>
      <c r="AI457" s="14"/>
      <c r="AZ457" s="24"/>
    </row>
    <row r="458">
      <c r="B458" s="24"/>
      <c r="E458" s="113"/>
      <c r="F458" s="266"/>
      <c r="G458" s="113"/>
      <c r="K458" s="36"/>
      <c r="L458" s="117"/>
      <c r="M458" s="128"/>
      <c r="N458" s="117"/>
      <c r="R458" s="117"/>
      <c r="T458" s="117"/>
      <c r="V458" s="117"/>
      <c r="X458" s="117"/>
      <c r="Y458" s="10"/>
      <c r="Z458" s="11"/>
      <c r="AA458" s="36"/>
      <c r="AB458" s="36"/>
      <c r="AC458" s="13"/>
      <c r="AD458" s="13"/>
      <c r="AE458" s="37"/>
      <c r="AF458" s="37"/>
      <c r="AG458" s="14"/>
      <c r="AH458" s="14"/>
      <c r="AI458" s="14"/>
      <c r="AZ458" s="24"/>
    </row>
    <row r="459">
      <c r="B459" s="24"/>
      <c r="E459" s="113"/>
      <c r="F459" s="266"/>
      <c r="G459" s="113"/>
      <c r="K459" s="36"/>
      <c r="L459" s="117"/>
      <c r="M459" s="128"/>
      <c r="N459" s="117"/>
      <c r="R459" s="117"/>
      <c r="T459" s="117"/>
      <c r="V459" s="117"/>
      <c r="X459" s="117"/>
      <c r="Y459" s="10"/>
      <c r="Z459" s="11"/>
      <c r="AA459" s="36"/>
      <c r="AB459" s="36"/>
      <c r="AC459" s="13"/>
      <c r="AD459" s="13"/>
      <c r="AE459" s="37"/>
      <c r="AF459" s="37"/>
      <c r="AG459" s="14"/>
      <c r="AH459" s="14"/>
      <c r="AI459" s="14"/>
      <c r="AZ459" s="24"/>
    </row>
    <row r="460">
      <c r="B460" s="24"/>
      <c r="E460" s="113"/>
      <c r="F460" s="266"/>
      <c r="G460" s="113"/>
      <c r="K460" s="36"/>
      <c r="L460" s="117"/>
      <c r="M460" s="128"/>
      <c r="N460" s="117"/>
      <c r="R460" s="117"/>
      <c r="T460" s="117"/>
      <c r="V460" s="117"/>
      <c r="X460" s="117"/>
      <c r="Y460" s="10"/>
      <c r="Z460" s="11"/>
      <c r="AA460" s="36"/>
      <c r="AB460" s="36"/>
      <c r="AC460" s="13"/>
      <c r="AD460" s="13"/>
      <c r="AE460" s="37"/>
      <c r="AF460" s="37"/>
      <c r="AG460" s="14"/>
      <c r="AH460" s="14"/>
      <c r="AI460" s="14"/>
      <c r="AZ460" s="24"/>
    </row>
    <row r="461">
      <c r="B461" s="24"/>
      <c r="E461" s="113"/>
      <c r="F461" s="266"/>
      <c r="G461" s="113"/>
      <c r="K461" s="36"/>
      <c r="L461" s="117"/>
      <c r="M461" s="128"/>
      <c r="N461" s="117"/>
      <c r="R461" s="117"/>
      <c r="T461" s="117"/>
      <c r="V461" s="117"/>
      <c r="X461" s="117"/>
      <c r="Y461" s="10"/>
      <c r="Z461" s="11"/>
      <c r="AA461" s="36"/>
      <c r="AB461" s="36"/>
      <c r="AC461" s="13"/>
      <c r="AD461" s="13"/>
      <c r="AE461" s="37"/>
      <c r="AF461" s="37"/>
      <c r="AG461" s="14"/>
      <c r="AH461" s="14"/>
      <c r="AI461" s="14"/>
      <c r="AZ461" s="24"/>
    </row>
    <row r="462">
      <c r="B462" s="24"/>
      <c r="E462" s="113"/>
      <c r="F462" s="266"/>
      <c r="G462" s="113"/>
      <c r="K462" s="36"/>
      <c r="L462" s="117"/>
      <c r="M462" s="128"/>
      <c r="N462" s="117"/>
      <c r="R462" s="117"/>
      <c r="T462" s="117"/>
      <c r="V462" s="117"/>
      <c r="X462" s="117"/>
      <c r="Y462" s="10"/>
      <c r="Z462" s="11"/>
      <c r="AA462" s="36"/>
      <c r="AB462" s="36"/>
      <c r="AC462" s="13"/>
      <c r="AD462" s="13"/>
      <c r="AE462" s="37"/>
      <c r="AF462" s="37"/>
      <c r="AG462" s="14"/>
      <c r="AH462" s="14"/>
      <c r="AI462" s="14"/>
      <c r="AZ462" s="24"/>
    </row>
    <row r="463">
      <c r="B463" s="24"/>
      <c r="E463" s="113"/>
      <c r="F463" s="266"/>
      <c r="G463" s="113"/>
      <c r="K463" s="36"/>
      <c r="L463" s="117"/>
      <c r="M463" s="128"/>
      <c r="N463" s="117"/>
      <c r="R463" s="117"/>
      <c r="T463" s="117"/>
      <c r="V463" s="117"/>
      <c r="X463" s="117"/>
      <c r="Y463" s="10"/>
      <c r="Z463" s="11"/>
      <c r="AA463" s="36"/>
      <c r="AB463" s="36"/>
      <c r="AC463" s="13"/>
      <c r="AD463" s="13"/>
      <c r="AE463" s="37"/>
      <c r="AF463" s="37"/>
      <c r="AG463" s="14"/>
      <c r="AH463" s="14"/>
      <c r="AI463" s="14"/>
      <c r="AZ463" s="24"/>
    </row>
    <row r="464">
      <c r="B464" s="24"/>
      <c r="E464" s="113"/>
      <c r="F464" s="266"/>
      <c r="G464" s="113"/>
      <c r="K464" s="36"/>
      <c r="L464" s="117"/>
      <c r="M464" s="128"/>
      <c r="N464" s="117"/>
      <c r="R464" s="117"/>
      <c r="T464" s="117"/>
      <c r="V464" s="117"/>
      <c r="X464" s="117"/>
      <c r="Y464" s="10"/>
      <c r="Z464" s="11"/>
      <c r="AA464" s="36"/>
      <c r="AB464" s="36"/>
      <c r="AC464" s="13"/>
      <c r="AD464" s="13"/>
      <c r="AE464" s="37"/>
      <c r="AF464" s="37"/>
      <c r="AG464" s="14"/>
      <c r="AH464" s="14"/>
      <c r="AI464" s="14"/>
      <c r="AZ464" s="24"/>
    </row>
    <row r="465">
      <c r="B465" s="24"/>
      <c r="E465" s="113"/>
      <c r="F465" s="266"/>
      <c r="G465" s="113"/>
      <c r="K465" s="36"/>
      <c r="L465" s="117"/>
      <c r="M465" s="128"/>
      <c r="N465" s="117"/>
      <c r="R465" s="117"/>
      <c r="T465" s="117"/>
      <c r="V465" s="117"/>
      <c r="X465" s="117"/>
      <c r="Y465" s="10"/>
      <c r="Z465" s="11"/>
      <c r="AA465" s="36"/>
      <c r="AB465" s="36"/>
      <c r="AC465" s="13"/>
      <c r="AD465" s="13"/>
      <c r="AE465" s="37"/>
      <c r="AF465" s="37"/>
      <c r="AG465" s="14"/>
      <c r="AH465" s="14"/>
      <c r="AI465" s="14"/>
      <c r="AZ465" s="24"/>
    </row>
    <row r="466">
      <c r="B466" s="24"/>
      <c r="E466" s="113"/>
      <c r="F466" s="266"/>
      <c r="G466" s="113"/>
      <c r="K466" s="36"/>
      <c r="L466" s="117"/>
      <c r="M466" s="128"/>
      <c r="N466" s="117"/>
      <c r="R466" s="117"/>
      <c r="T466" s="117"/>
      <c r="V466" s="117"/>
      <c r="X466" s="117"/>
      <c r="Y466" s="10"/>
      <c r="Z466" s="11"/>
      <c r="AA466" s="36"/>
      <c r="AB466" s="36"/>
      <c r="AC466" s="13"/>
      <c r="AD466" s="13"/>
      <c r="AE466" s="37"/>
      <c r="AF466" s="37"/>
      <c r="AG466" s="14"/>
      <c r="AH466" s="14"/>
      <c r="AI466" s="14"/>
      <c r="AZ466" s="24"/>
    </row>
    <row r="467">
      <c r="B467" s="24"/>
      <c r="E467" s="113"/>
      <c r="F467" s="266"/>
      <c r="G467" s="113"/>
      <c r="K467" s="36"/>
      <c r="L467" s="117"/>
      <c r="M467" s="128"/>
      <c r="N467" s="117"/>
      <c r="R467" s="117"/>
      <c r="T467" s="117"/>
      <c r="V467" s="117"/>
      <c r="X467" s="117"/>
      <c r="Y467" s="10"/>
      <c r="Z467" s="11"/>
      <c r="AA467" s="36"/>
      <c r="AB467" s="36"/>
      <c r="AC467" s="13"/>
      <c r="AD467" s="13"/>
      <c r="AE467" s="37"/>
      <c r="AF467" s="37"/>
      <c r="AG467" s="14"/>
      <c r="AH467" s="14"/>
      <c r="AI467" s="14"/>
      <c r="AZ467" s="24"/>
    </row>
    <row r="468">
      <c r="B468" s="24"/>
      <c r="E468" s="113"/>
      <c r="F468" s="266"/>
      <c r="G468" s="113"/>
      <c r="K468" s="36"/>
      <c r="L468" s="117"/>
      <c r="M468" s="128"/>
      <c r="N468" s="117"/>
      <c r="R468" s="117"/>
      <c r="T468" s="117"/>
      <c r="V468" s="117"/>
      <c r="X468" s="117"/>
      <c r="Y468" s="10"/>
      <c r="Z468" s="11"/>
      <c r="AA468" s="36"/>
      <c r="AB468" s="36"/>
      <c r="AC468" s="13"/>
      <c r="AD468" s="13"/>
      <c r="AE468" s="37"/>
      <c r="AF468" s="37"/>
      <c r="AG468" s="14"/>
      <c r="AH468" s="14"/>
      <c r="AI468" s="14"/>
      <c r="AZ468" s="24"/>
    </row>
    <row r="469">
      <c r="B469" s="24"/>
      <c r="E469" s="113"/>
      <c r="F469" s="266"/>
      <c r="G469" s="113"/>
      <c r="K469" s="36"/>
      <c r="L469" s="117"/>
      <c r="M469" s="128"/>
      <c r="N469" s="117"/>
      <c r="R469" s="117"/>
      <c r="T469" s="117"/>
      <c r="V469" s="117"/>
      <c r="X469" s="117"/>
      <c r="Y469" s="10"/>
      <c r="Z469" s="11"/>
      <c r="AA469" s="36"/>
      <c r="AB469" s="36"/>
      <c r="AC469" s="13"/>
      <c r="AD469" s="13"/>
      <c r="AE469" s="37"/>
      <c r="AF469" s="37"/>
      <c r="AG469" s="14"/>
      <c r="AH469" s="14"/>
      <c r="AI469" s="14"/>
      <c r="AZ469" s="24"/>
    </row>
    <row r="470">
      <c r="B470" s="24"/>
      <c r="E470" s="113"/>
      <c r="F470" s="266"/>
      <c r="G470" s="113"/>
      <c r="K470" s="36"/>
      <c r="L470" s="117"/>
      <c r="M470" s="128"/>
      <c r="N470" s="117"/>
      <c r="R470" s="117"/>
      <c r="T470" s="117"/>
      <c r="V470" s="117"/>
      <c r="X470" s="117"/>
      <c r="Y470" s="10"/>
      <c r="Z470" s="11"/>
      <c r="AA470" s="36"/>
      <c r="AB470" s="36"/>
      <c r="AC470" s="13"/>
      <c r="AD470" s="13"/>
      <c r="AE470" s="37"/>
      <c r="AF470" s="37"/>
      <c r="AG470" s="14"/>
      <c r="AH470" s="14"/>
      <c r="AI470" s="14"/>
      <c r="AZ470" s="24"/>
    </row>
    <row r="471">
      <c r="B471" s="24"/>
      <c r="E471" s="113"/>
      <c r="F471" s="266"/>
      <c r="G471" s="113"/>
      <c r="K471" s="36"/>
      <c r="L471" s="117"/>
      <c r="M471" s="128"/>
      <c r="N471" s="117"/>
      <c r="R471" s="117"/>
      <c r="T471" s="117"/>
      <c r="V471" s="117"/>
      <c r="X471" s="117"/>
      <c r="Y471" s="10"/>
      <c r="Z471" s="11"/>
      <c r="AA471" s="36"/>
      <c r="AB471" s="36"/>
      <c r="AC471" s="13"/>
      <c r="AD471" s="13"/>
      <c r="AE471" s="37"/>
      <c r="AF471" s="37"/>
      <c r="AG471" s="14"/>
      <c r="AH471" s="14"/>
      <c r="AI471" s="14"/>
      <c r="AZ471" s="24"/>
    </row>
    <row r="472">
      <c r="B472" s="24"/>
      <c r="E472" s="113"/>
      <c r="F472" s="266"/>
      <c r="G472" s="113"/>
      <c r="K472" s="36"/>
      <c r="L472" s="117"/>
      <c r="M472" s="128"/>
      <c r="N472" s="117"/>
      <c r="R472" s="117"/>
      <c r="T472" s="117"/>
      <c r="V472" s="117"/>
      <c r="X472" s="117"/>
      <c r="Y472" s="10"/>
      <c r="Z472" s="11"/>
      <c r="AA472" s="36"/>
      <c r="AB472" s="36"/>
      <c r="AC472" s="13"/>
      <c r="AD472" s="13"/>
      <c r="AE472" s="37"/>
      <c r="AF472" s="37"/>
      <c r="AG472" s="14"/>
      <c r="AH472" s="14"/>
      <c r="AI472" s="14"/>
      <c r="AZ472" s="24"/>
    </row>
    <row r="473">
      <c r="B473" s="24"/>
      <c r="E473" s="113"/>
      <c r="F473" s="266"/>
      <c r="G473" s="113"/>
      <c r="K473" s="36"/>
      <c r="L473" s="117"/>
      <c r="M473" s="128"/>
      <c r="N473" s="117"/>
      <c r="R473" s="117"/>
      <c r="T473" s="117"/>
      <c r="V473" s="117"/>
      <c r="X473" s="117"/>
      <c r="Y473" s="10"/>
      <c r="Z473" s="11"/>
      <c r="AA473" s="36"/>
      <c r="AB473" s="36"/>
      <c r="AC473" s="13"/>
      <c r="AD473" s="13"/>
      <c r="AE473" s="37"/>
      <c r="AF473" s="37"/>
      <c r="AG473" s="14"/>
      <c r="AH473" s="14"/>
      <c r="AI473" s="14"/>
      <c r="AZ473" s="24"/>
    </row>
    <row r="474">
      <c r="B474" s="24"/>
      <c r="E474" s="113"/>
      <c r="F474" s="266"/>
      <c r="G474" s="113"/>
      <c r="K474" s="36"/>
      <c r="L474" s="117"/>
      <c r="M474" s="128"/>
      <c r="N474" s="117"/>
      <c r="R474" s="117"/>
      <c r="T474" s="117"/>
      <c r="V474" s="117"/>
      <c r="X474" s="117"/>
      <c r="Y474" s="10"/>
      <c r="Z474" s="11"/>
      <c r="AA474" s="36"/>
      <c r="AB474" s="36"/>
      <c r="AC474" s="13"/>
      <c r="AD474" s="13"/>
      <c r="AE474" s="37"/>
      <c r="AF474" s="37"/>
      <c r="AG474" s="14"/>
      <c r="AH474" s="14"/>
      <c r="AI474" s="14"/>
      <c r="AZ474" s="24"/>
    </row>
    <row r="475">
      <c r="B475" s="24"/>
      <c r="E475" s="113"/>
      <c r="F475" s="266"/>
      <c r="G475" s="113"/>
      <c r="K475" s="36"/>
      <c r="L475" s="117"/>
      <c r="M475" s="128"/>
      <c r="N475" s="117"/>
      <c r="R475" s="117"/>
      <c r="T475" s="117"/>
      <c r="V475" s="117"/>
      <c r="X475" s="117"/>
      <c r="Y475" s="10"/>
      <c r="Z475" s="11"/>
      <c r="AA475" s="36"/>
      <c r="AB475" s="36"/>
      <c r="AC475" s="13"/>
      <c r="AD475" s="13"/>
      <c r="AE475" s="37"/>
      <c r="AF475" s="37"/>
      <c r="AG475" s="14"/>
      <c r="AH475" s="14"/>
      <c r="AI475" s="14"/>
      <c r="AZ475" s="24"/>
    </row>
    <row r="476">
      <c r="B476" s="24"/>
      <c r="E476" s="113"/>
      <c r="F476" s="266"/>
      <c r="G476" s="113"/>
      <c r="K476" s="36"/>
      <c r="L476" s="117"/>
      <c r="M476" s="128"/>
      <c r="N476" s="117"/>
      <c r="R476" s="117"/>
      <c r="T476" s="117"/>
      <c r="V476" s="117"/>
      <c r="X476" s="117"/>
      <c r="Y476" s="10"/>
      <c r="Z476" s="11"/>
      <c r="AA476" s="36"/>
      <c r="AB476" s="36"/>
      <c r="AC476" s="13"/>
      <c r="AD476" s="13"/>
      <c r="AE476" s="37"/>
      <c r="AF476" s="37"/>
      <c r="AG476" s="14"/>
      <c r="AH476" s="14"/>
      <c r="AI476" s="14"/>
      <c r="AZ476" s="24"/>
    </row>
    <row r="477">
      <c r="B477" s="24"/>
      <c r="E477" s="113"/>
      <c r="F477" s="266"/>
      <c r="G477" s="113"/>
      <c r="K477" s="36"/>
      <c r="L477" s="117"/>
      <c r="M477" s="128"/>
      <c r="N477" s="117"/>
      <c r="R477" s="117"/>
      <c r="T477" s="117"/>
      <c r="V477" s="117"/>
      <c r="X477" s="117"/>
      <c r="Y477" s="10"/>
      <c r="Z477" s="11"/>
      <c r="AA477" s="36"/>
      <c r="AB477" s="36"/>
      <c r="AC477" s="13"/>
      <c r="AD477" s="13"/>
      <c r="AE477" s="37"/>
      <c r="AF477" s="37"/>
      <c r="AG477" s="14"/>
      <c r="AH477" s="14"/>
      <c r="AI477" s="14"/>
      <c r="AZ477" s="24"/>
    </row>
    <row r="478">
      <c r="B478" s="24"/>
      <c r="E478" s="113"/>
      <c r="F478" s="266"/>
      <c r="G478" s="113"/>
      <c r="K478" s="36"/>
      <c r="L478" s="117"/>
      <c r="M478" s="128"/>
      <c r="N478" s="117"/>
      <c r="R478" s="117"/>
      <c r="T478" s="117"/>
      <c r="V478" s="117"/>
      <c r="X478" s="117"/>
      <c r="Y478" s="10"/>
      <c r="Z478" s="11"/>
      <c r="AA478" s="36"/>
      <c r="AB478" s="36"/>
      <c r="AC478" s="13"/>
      <c r="AD478" s="13"/>
      <c r="AE478" s="37"/>
      <c r="AF478" s="37"/>
      <c r="AG478" s="14"/>
      <c r="AH478" s="14"/>
      <c r="AI478" s="14"/>
      <c r="AZ478" s="24"/>
    </row>
    <row r="479">
      <c r="B479" s="24"/>
      <c r="E479" s="113"/>
      <c r="F479" s="266"/>
      <c r="G479" s="113"/>
      <c r="K479" s="36"/>
      <c r="L479" s="117"/>
      <c r="M479" s="128"/>
      <c r="N479" s="117"/>
      <c r="R479" s="117"/>
      <c r="T479" s="117"/>
      <c r="V479" s="117"/>
      <c r="X479" s="117"/>
      <c r="Y479" s="10"/>
      <c r="Z479" s="11"/>
      <c r="AA479" s="36"/>
      <c r="AB479" s="36"/>
      <c r="AC479" s="13"/>
      <c r="AD479" s="13"/>
      <c r="AE479" s="37"/>
      <c r="AF479" s="37"/>
      <c r="AG479" s="14"/>
      <c r="AH479" s="14"/>
      <c r="AI479" s="14"/>
      <c r="AZ479" s="24"/>
    </row>
    <row r="480">
      <c r="B480" s="24"/>
      <c r="E480" s="113"/>
      <c r="F480" s="266"/>
      <c r="G480" s="113"/>
      <c r="K480" s="36"/>
      <c r="L480" s="117"/>
      <c r="M480" s="128"/>
      <c r="N480" s="117"/>
      <c r="R480" s="117"/>
      <c r="T480" s="117"/>
      <c r="V480" s="117"/>
      <c r="X480" s="117"/>
      <c r="Y480" s="10"/>
      <c r="Z480" s="11"/>
      <c r="AA480" s="36"/>
      <c r="AB480" s="36"/>
      <c r="AC480" s="13"/>
      <c r="AD480" s="13"/>
      <c r="AE480" s="37"/>
      <c r="AF480" s="37"/>
      <c r="AG480" s="14"/>
      <c r="AH480" s="14"/>
      <c r="AI480" s="14"/>
      <c r="AZ480" s="24"/>
    </row>
    <row r="481">
      <c r="B481" s="24"/>
      <c r="E481" s="113"/>
      <c r="F481" s="266"/>
      <c r="G481" s="113"/>
      <c r="K481" s="36"/>
      <c r="L481" s="117"/>
      <c r="M481" s="128"/>
      <c r="N481" s="117"/>
      <c r="R481" s="117"/>
      <c r="T481" s="117"/>
      <c r="V481" s="117"/>
      <c r="X481" s="117"/>
      <c r="Y481" s="10"/>
      <c r="Z481" s="11"/>
      <c r="AA481" s="36"/>
      <c r="AB481" s="36"/>
      <c r="AC481" s="13"/>
      <c r="AD481" s="13"/>
      <c r="AE481" s="37"/>
      <c r="AF481" s="37"/>
      <c r="AG481" s="14"/>
      <c r="AH481" s="14"/>
      <c r="AI481" s="14"/>
      <c r="AZ481" s="24"/>
    </row>
    <row r="482">
      <c r="B482" s="24"/>
      <c r="E482" s="113"/>
      <c r="F482" s="266"/>
      <c r="G482" s="113"/>
      <c r="K482" s="36"/>
      <c r="L482" s="117"/>
      <c r="M482" s="128"/>
      <c r="N482" s="117"/>
      <c r="R482" s="117"/>
      <c r="T482" s="117"/>
      <c r="V482" s="117"/>
      <c r="X482" s="117"/>
      <c r="Y482" s="10"/>
      <c r="Z482" s="11"/>
      <c r="AA482" s="36"/>
      <c r="AB482" s="36"/>
      <c r="AC482" s="13"/>
      <c r="AD482" s="13"/>
      <c r="AE482" s="37"/>
      <c r="AF482" s="37"/>
      <c r="AG482" s="14"/>
      <c r="AH482" s="14"/>
      <c r="AI482" s="14"/>
      <c r="AZ482" s="24"/>
    </row>
    <row r="483">
      <c r="B483" s="24"/>
      <c r="E483" s="113"/>
      <c r="F483" s="266"/>
      <c r="G483" s="113"/>
      <c r="K483" s="36"/>
      <c r="L483" s="117"/>
      <c r="M483" s="128"/>
      <c r="N483" s="117"/>
      <c r="R483" s="117"/>
      <c r="T483" s="117"/>
      <c r="V483" s="117"/>
      <c r="X483" s="117"/>
      <c r="Y483" s="10"/>
      <c r="Z483" s="11"/>
      <c r="AA483" s="36"/>
      <c r="AB483" s="36"/>
      <c r="AC483" s="13"/>
      <c r="AD483" s="13"/>
      <c r="AE483" s="37"/>
      <c r="AF483" s="37"/>
      <c r="AG483" s="14"/>
      <c r="AH483" s="14"/>
      <c r="AI483" s="14"/>
      <c r="AZ483" s="24"/>
    </row>
    <row r="484">
      <c r="B484" s="24"/>
      <c r="E484" s="113"/>
      <c r="F484" s="266"/>
      <c r="G484" s="113"/>
      <c r="K484" s="36"/>
      <c r="L484" s="117"/>
      <c r="M484" s="128"/>
      <c r="N484" s="117"/>
      <c r="R484" s="117"/>
      <c r="T484" s="117"/>
      <c r="V484" s="117"/>
      <c r="X484" s="117"/>
      <c r="Y484" s="10"/>
      <c r="Z484" s="11"/>
      <c r="AA484" s="36"/>
      <c r="AB484" s="36"/>
      <c r="AC484" s="13"/>
      <c r="AD484" s="13"/>
      <c r="AE484" s="37"/>
      <c r="AF484" s="37"/>
      <c r="AG484" s="14"/>
      <c r="AH484" s="14"/>
      <c r="AI484" s="14"/>
      <c r="AZ484" s="24"/>
    </row>
    <row r="485">
      <c r="B485" s="24"/>
      <c r="E485" s="113"/>
      <c r="F485" s="266"/>
      <c r="G485" s="113"/>
      <c r="K485" s="36"/>
      <c r="L485" s="117"/>
      <c r="M485" s="128"/>
      <c r="N485" s="117"/>
      <c r="R485" s="117"/>
      <c r="T485" s="117"/>
      <c r="V485" s="117"/>
      <c r="X485" s="117"/>
      <c r="Y485" s="10"/>
      <c r="Z485" s="11"/>
      <c r="AA485" s="36"/>
      <c r="AB485" s="36"/>
      <c r="AC485" s="13"/>
      <c r="AD485" s="13"/>
      <c r="AE485" s="37"/>
      <c r="AF485" s="37"/>
      <c r="AG485" s="14"/>
      <c r="AH485" s="14"/>
      <c r="AI485" s="14"/>
      <c r="AZ485" s="24"/>
    </row>
    <row r="486">
      <c r="B486" s="24"/>
      <c r="E486" s="113"/>
      <c r="F486" s="266"/>
      <c r="G486" s="113"/>
      <c r="K486" s="36"/>
      <c r="L486" s="117"/>
      <c r="M486" s="128"/>
      <c r="N486" s="117"/>
      <c r="R486" s="117"/>
      <c r="T486" s="117"/>
      <c r="V486" s="117"/>
      <c r="X486" s="117"/>
      <c r="Y486" s="10"/>
      <c r="Z486" s="11"/>
      <c r="AA486" s="36"/>
      <c r="AB486" s="36"/>
      <c r="AC486" s="13"/>
      <c r="AD486" s="13"/>
      <c r="AE486" s="37"/>
      <c r="AF486" s="37"/>
      <c r="AG486" s="14"/>
      <c r="AH486" s="14"/>
      <c r="AI486" s="14"/>
      <c r="AZ486" s="24"/>
    </row>
    <row r="487">
      <c r="B487" s="24"/>
      <c r="E487" s="113"/>
      <c r="F487" s="266"/>
      <c r="G487" s="113"/>
      <c r="K487" s="36"/>
      <c r="L487" s="117"/>
      <c r="M487" s="128"/>
      <c r="N487" s="117"/>
      <c r="R487" s="117"/>
      <c r="T487" s="117"/>
      <c r="V487" s="117"/>
      <c r="X487" s="117"/>
      <c r="Y487" s="10"/>
      <c r="Z487" s="11"/>
      <c r="AA487" s="36"/>
      <c r="AB487" s="36"/>
      <c r="AC487" s="13"/>
      <c r="AD487" s="13"/>
      <c r="AE487" s="37"/>
      <c r="AF487" s="37"/>
      <c r="AG487" s="14"/>
      <c r="AH487" s="14"/>
      <c r="AI487" s="14"/>
      <c r="AZ487" s="24"/>
    </row>
    <row r="488">
      <c r="B488" s="24"/>
      <c r="E488" s="113"/>
      <c r="F488" s="266"/>
      <c r="G488" s="113"/>
      <c r="K488" s="36"/>
      <c r="L488" s="117"/>
      <c r="M488" s="128"/>
      <c r="N488" s="117"/>
      <c r="R488" s="117"/>
      <c r="T488" s="117"/>
      <c r="V488" s="117"/>
      <c r="X488" s="117"/>
      <c r="Y488" s="10"/>
      <c r="Z488" s="11"/>
      <c r="AA488" s="36"/>
      <c r="AB488" s="36"/>
      <c r="AC488" s="13"/>
      <c r="AD488" s="13"/>
      <c r="AE488" s="37"/>
      <c r="AF488" s="37"/>
      <c r="AG488" s="14"/>
      <c r="AH488" s="14"/>
      <c r="AI488" s="14"/>
      <c r="AZ488" s="24"/>
    </row>
    <row r="489">
      <c r="B489" s="24"/>
      <c r="E489" s="113"/>
      <c r="F489" s="266"/>
      <c r="G489" s="113"/>
      <c r="K489" s="36"/>
      <c r="L489" s="117"/>
      <c r="M489" s="128"/>
      <c r="N489" s="117"/>
      <c r="R489" s="117"/>
      <c r="T489" s="117"/>
      <c r="V489" s="117"/>
      <c r="X489" s="117"/>
      <c r="Y489" s="10"/>
      <c r="Z489" s="11"/>
      <c r="AA489" s="36"/>
      <c r="AB489" s="36"/>
      <c r="AC489" s="13"/>
      <c r="AD489" s="13"/>
      <c r="AE489" s="37"/>
      <c r="AF489" s="37"/>
      <c r="AG489" s="14"/>
      <c r="AH489" s="14"/>
      <c r="AI489" s="14"/>
      <c r="AZ489" s="24"/>
    </row>
    <row r="490">
      <c r="B490" s="24"/>
      <c r="E490" s="113"/>
      <c r="F490" s="266"/>
      <c r="G490" s="113"/>
      <c r="K490" s="36"/>
      <c r="L490" s="117"/>
      <c r="M490" s="128"/>
      <c r="N490" s="117"/>
      <c r="R490" s="117"/>
      <c r="T490" s="117"/>
      <c r="V490" s="117"/>
      <c r="X490" s="117"/>
      <c r="Y490" s="10"/>
      <c r="Z490" s="11"/>
      <c r="AA490" s="36"/>
      <c r="AB490" s="36"/>
      <c r="AC490" s="13"/>
      <c r="AD490" s="13"/>
      <c r="AE490" s="37"/>
      <c r="AF490" s="37"/>
      <c r="AG490" s="14"/>
      <c r="AH490" s="14"/>
      <c r="AI490" s="14"/>
      <c r="AZ490" s="24"/>
    </row>
    <row r="491">
      <c r="B491" s="24"/>
      <c r="E491" s="113"/>
      <c r="F491" s="266"/>
      <c r="G491" s="113"/>
      <c r="K491" s="36"/>
      <c r="L491" s="117"/>
      <c r="M491" s="128"/>
      <c r="N491" s="117"/>
      <c r="R491" s="117"/>
      <c r="T491" s="117"/>
      <c r="V491" s="117"/>
      <c r="X491" s="117"/>
      <c r="Y491" s="10"/>
      <c r="Z491" s="11"/>
      <c r="AA491" s="36"/>
      <c r="AB491" s="36"/>
      <c r="AC491" s="13"/>
      <c r="AD491" s="13"/>
      <c r="AE491" s="37"/>
      <c r="AF491" s="37"/>
      <c r="AG491" s="14"/>
      <c r="AH491" s="14"/>
      <c r="AI491" s="14"/>
      <c r="AZ491" s="24"/>
    </row>
    <row r="492">
      <c r="B492" s="24"/>
      <c r="E492" s="113"/>
      <c r="F492" s="266"/>
      <c r="G492" s="113"/>
      <c r="K492" s="36"/>
      <c r="L492" s="117"/>
      <c r="M492" s="128"/>
      <c r="N492" s="117"/>
      <c r="R492" s="117"/>
      <c r="T492" s="117"/>
      <c r="V492" s="117"/>
      <c r="X492" s="117"/>
      <c r="Y492" s="10"/>
      <c r="Z492" s="11"/>
      <c r="AA492" s="36"/>
      <c r="AB492" s="36"/>
      <c r="AC492" s="13"/>
      <c r="AD492" s="13"/>
      <c r="AE492" s="37"/>
      <c r="AF492" s="37"/>
      <c r="AG492" s="14"/>
      <c r="AH492" s="14"/>
      <c r="AI492" s="14"/>
      <c r="AZ492" s="24"/>
    </row>
    <row r="493">
      <c r="B493" s="24"/>
      <c r="E493" s="113"/>
      <c r="F493" s="266"/>
      <c r="G493" s="113"/>
      <c r="K493" s="36"/>
      <c r="L493" s="117"/>
      <c r="M493" s="128"/>
      <c r="N493" s="117"/>
      <c r="R493" s="117"/>
      <c r="T493" s="117"/>
      <c r="V493" s="117"/>
      <c r="X493" s="117"/>
      <c r="Y493" s="10"/>
      <c r="Z493" s="11"/>
      <c r="AA493" s="36"/>
      <c r="AB493" s="36"/>
      <c r="AC493" s="13"/>
      <c r="AD493" s="13"/>
      <c r="AE493" s="37"/>
      <c r="AF493" s="37"/>
      <c r="AG493" s="14"/>
      <c r="AH493" s="14"/>
      <c r="AI493" s="14"/>
      <c r="AZ493" s="24"/>
    </row>
    <row r="494">
      <c r="B494" s="24"/>
      <c r="E494" s="113"/>
      <c r="F494" s="266"/>
      <c r="G494" s="113"/>
      <c r="K494" s="36"/>
      <c r="L494" s="117"/>
      <c r="M494" s="128"/>
      <c r="N494" s="117"/>
      <c r="R494" s="117"/>
      <c r="T494" s="117"/>
      <c r="V494" s="117"/>
      <c r="X494" s="117"/>
      <c r="Y494" s="10"/>
      <c r="Z494" s="11"/>
      <c r="AA494" s="36"/>
      <c r="AB494" s="36"/>
      <c r="AC494" s="13"/>
      <c r="AD494" s="13"/>
      <c r="AE494" s="37"/>
      <c r="AF494" s="37"/>
      <c r="AG494" s="14"/>
      <c r="AH494" s="14"/>
      <c r="AI494" s="14"/>
      <c r="AZ494" s="24"/>
    </row>
    <row r="495">
      <c r="B495" s="24"/>
      <c r="E495" s="113"/>
      <c r="F495" s="266"/>
      <c r="G495" s="113"/>
      <c r="K495" s="36"/>
      <c r="L495" s="117"/>
      <c r="M495" s="128"/>
      <c r="N495" s="117"/>
      <c r="R495" s="117"/>
      <c r="T495" s="117"/>
      <c r="V495" s="117"/>
      <c r="X495" s="117"/>
      <c r="Y495" s="10"/>
      <c r="Z495" s="11"/>
      <c r="AA495" s="36"/>
      <c r="AB495" s="36"/>
      <c r="AC495" s="13"/>
      <c r="AD495" s="13"/>
      <c r="AE495" s="37"/>
      <c r="AF495" s="37"/>
      <c r="AG495" s="14"/>
      <c r="AH495" s="14"/>
      <c r="AI495" s="14"/>
      <c r="AZ495" s="24"/>
    </row>
    <row r="496">
      <c r="B496" s="24"/>
      <c r="E496" s="113"/>
      <c r="F496" s="266"/>
      <c r="G496" s="113"/>
      <c r="K496" s="36"/>
      <c r="L496" s="117"/>
      <c r="M496" s="128"/>
      <c r="N496" s="117"/>
      <c r="R496" s="117"/>
      <c r="T496" s="117"/>
      <c r="V496" s="117"/>
      <c r="X496" s="117"/>
      <c r="Y496" s="10"/>
      <c r="Z496" s="11"/>
      <c r="AA496" s="36"/>
      <c r="AB496" s="36"/>
      <c r="AC496" s="13"/>
      <c r="AD496" s="13"/>
      <c r="AE496" s="37"/>
      <c r="AF496" s="37"/>
      <c r="AG496" s="14"/>
      <c r="AH496" s="14"/>
      <c r="AI496" s="14"/>
      <c r="AZ496" s="24"/>
    </row>
    <row r="497">
      <c r="B497" s="24"/>
      <c r="E497" s="113"/>
      <c r="F497" s="266"/>
      <c r="G497" s="113"/>
      <c r="K497" s="36"/>
      <c r="L497" s="117"/>
      <c r="M497" s="128"/>
      <c r="N497" s="117"/>
      <c r="R497" s="117"/>
      <c r="T497" s="117"/>
      <c r="V497" s="117"/>
      <c r="X497" s="117"/>
      <c r="Y497" s="10"/>
      <c r="Z497" s="11"/>
      <c r="AA497" s="36"/>
      <c r="AB497" s="36"/>
      <c r="AC497" s="13"/>
      <c r="AD497" s="13"/>
      <c r="AE497" s="37"/>
      <c r="AF497" s="37"/>
      <c r="AG497" s="14"/>
      <c r="AH497" s="14"/>
      <c r="AI497" s="14"/>
      <c r="AZ497" s="24"/>
    </row>
    <row r="498">
      <c r="B498" s="24"/>
      <c r="E498" s="113"/>
      <c r="F498" s="266"/>
      <c r="G498" s="113"/>
      <c r="K498" s="36"/>
      <c r="L498" s="117"/>
      <c r="M498" s="128"/>
      <c r="N498" s="117"/>
      <c r="R498" s="117"/>
      <c r="T498" s="117"/>
      <c r="V498" s="117"/>
      <c r="X498" s="117"/>
      <c r="Y498" s="10"/>
      <c r="Z498" s="11"/>
      <c r="AA498" s="36"/>
      <c r="AB498" s="36"/>
      <c r="AC498" s="13"/>
      <c r="AD498" s="13"/>
      <c r="AE498" s="37"/>
      <c r="AF498" s="37"/>
      <c r="AG498" s="14"/>
      <c r="AH498" s="14"/>
      <c r="AI498" s="14"/>
      <c r="AZ498" s="24"/>
    </row>
    <row r="499">
      <c r="B499" s="24"/>
      <c r="E499" s="113"/>
      <c r="F499" s="266"/>
      <c r="G499" s="113"/>
      <c r="K499" s="36"/>
      <c r="L499" s="117"/>
      <c r="M499" s="128"/>
      <c r="N499" s="117"/>
      <c r="R499" s="117"/>
      <c r="T499" s="117"/>
      <c r="V499" s="117"/>
      <c r="X499" s="117"/>
      <c r="Y499" s="10"/>
      <c r="Z499" s="11"/>
      <c r="AA499" s="36"/>
      <c r="AB499" s="36"/>
      <c r="AC499" s="13"/>
      <c r="AD499" s="13"/>
      <c r="AE499" s="37"/>
      <c r="AF499" s="37"/>
      <c r="AG499" s="14"/>
      <c r="AH499" s="14"/>
      <c r="AI499" s="14"/>
      <c r="AZ499" s="24"/>
    </row>
    <row r="500">
      <c r="B500" s="24"/>
      <c r="E500" s="113"/>
      <c r="F500" s="266"/>
      <c r="G500" s="113"/>
      <c r="K500" s="36"/>
      <c r="L500" s="117"/>
      <c r="M500" s="128"/>
      <c r="N500" s="117"/>
      <c r="R500" s="117"/>
      <c r="T500" s="117"/>
      <c r="V500" s="117"/>
      <c r="X500" s="117"/>
      <c r="Y500" s="10"/>
      <c r="Z500" s="11"/>
      <c r="AA500" s="36"/>
      <c r="AB500" s="36"/>
      <c r="AC500" s="13"/>
      <c r="AD500" s="13"/>
      <c r="AE500" s="37"/>
      <c r="AF500" s="37"/>
      <c r="AG500" s="14"/>
      <c r="AH500" s="14"/>
      <c r="AI500" s="14"/>
      <c r="AZ500" s="24"/>
    </row>
    <row r="501">
      <c r="B501" s="24"/>
      <c r="E501" s="113"/>
      <c r="F501" s="266"/>
      <c r="G501" s="113"/>
      <c r="K501" s="36"/>
      <c r="L501" s="117"/>
      <c r="M501" s="128"/>
      <c r="N501" s="117"/>
      <c r="R501" s="117"/>
      <c r="T501" s="117"/>
      <c r="V501" s="117"/>
      <c r="X501" s="117"/>
      <c r="Y501" s="10"/>
      <c r="Z501" s="11"/>
      <c r="AA501" s="36"/>
      <c r="AB501" s="36"/>
      <c r="AC501" s="13"/>
      <c r="AD501" s="13"/>
      <c r="AE501" s="37"/>
      <c r="AF501" s="37"/>
      <c r="AG501" s="14"/>
      <c r="AH501" s="14"/>
      <c r="AI501" s="14"/>
      <c r="AZ501" s="24"/>
    </row>
    <row r="502">
      <c r="B502" s="24"/>
      <c r="E502" s="113"/>
      <c r="F502" s="266"/>
      <c r="G502" s="113"/>
      <c r="K502" s="36"/>
      <c r="L502" s="117"/>
      <c r="M502" s="128"/>
      <c r="N502" s="117"/>
      <c r="R502" s="117"/>
      <c r="T502" s="117"/>
      <c r="V502" s="117"/>
      <c r="X502" s="117"/>
      <c r="Y502" s="10"/>
      <c r="Z502" s="11"/>
      <c r="AA502" s="36"/>
      <c r="AB502" s="36"/>
      <c r="AC502" s="13"/>
      <c r="AD502" s="13"/>
      <c r="AE502" s="37"/>
      <c r="AF502" s="37"/>
      <c r="AG502" s="14"/>
      <c r="AH502" s="14"/>
      <c r="AI502" s="14"/>
      <c r="AZ502" s="24"/>
    </row>
    <row r="503">
      <c r="B503" s="24"/>
      <c r="E503" s="113"/>
      <c r="F503" s="266"/>
      <c r="G503" s="113"/>
      <c r="K503" s="36"/>
      <c r="L503" s="117"/>
      <c r="M503" s="128"/>
      <c r="N503" s="117"/>
      <c r="R503" s="117"/>
      <c r="T503" s="117"/>
      <c r="V503" s="117"/>
      <c r="X503" s="117"/>
      <c r="Y503" s="10"/>
      <c r="Z503" s="11"/>
      <c r="AA503" s="36"/>
      <c r="AB503" s="36"/>
      <c r="AC503" s="13"/>
      <c r="AD503" s="13"/>
      <c r="AE503" s="37"/>
      <c r="AF503" s="37"/>
      <c r="AG503" s="14"/>
      <c r="AH503" s="14"/>
      <c r="AI503" s="14"/>
      <c r="AZ503" s="24"/>
    </row>
    <row r="504">
      <c r="B504" s="24"/>
      <c r="E504" s="113"/>
      <c r="F504" s="266"/>
      <c r="G504" s="113"/>
      <c r="K504" s="36"/>
      <c r="L504" s="117"/>
      <c r="M504" s="128"/>
      <c r="N504" s="117"/>
      <c r="R504" s="117"/>
      <c r="T504" s="117"/>
      <c r="V504" s="117"/>
      <c r="X504" s="117"/>
      <c r="Y504" s="10"/>
      <c r="Z504" s="11"/>
      <c r="AA504" s="36"/>
      <c r="AB504" s="36"/>
      <c r="AC504" s="13"/>
      <c r="AD504" s="13"/>
      <c r="AE504" s="37"/>
      <c r="AF504" s="37"/>
      <c r="AG504" s="14"/>
      <c r="AH504" s="14"/>
      <c r="AI504" s="14"/>
      <c r="AZ504" s="24"/>
    </row>
    <row r="505">
      <c r="B505" s="24"/>
      <c r="E505" s="113"/>
      <c r="F505" s="266"/>
      <c r="G505" s="113"/>
      <c r="K505" s="36"/>
      <c r="L505" s="117"/>
      <c r="M505" s="128"/>
      <c r="N505" s="117"/>
      <c r="R505" s="117"/>
      <c r="T505" s="117"/>
      <c r="V505" s="117"/>
      <c r="X505" s="117"/>
      <c r="Y505" s="10"/>
      <c r="Z505" s="11"/>
      <c r="AA505" s="36"/>
      <c r="AB505" s="36"/>
      <c r="AC505" s="13"/>
      <c r="AD505" s="13"/>
      <c r="AE505" s="37"/>
      <c r="AF505" s="37"/>
      <c r="AG505" s="14"/>
      <c r="AH505" s="14"/>
      <c r="AI505" s="14"/>
      <c r="AZ505" s="24"/>
    </row>
    <row r="506">
      <c r="B506" s="24"/>
      <c r="E506" s="113"/>
      <c r="F506" s="266"/>
      <c r="G506" s="113"/>
      <c r="K506" s="36"/>
      <c r="L506" s="117"/>
      <c r="M506" s="128"/>
      <c r="N506" s="117"/>
      <c r="R506" s="117"/>
      <c r="T506" s="117"/>
      <c r="V506" s="117"/>
      <c r="X506" s="117"/>
      <c r="Y506" s="10"/>
      <c r="Z506" s="11"/>
      <c r="AA506" s="36"/>
      <c r="AB506" s="36"/>
      <c r="AC506" s="13"/>
      <c r="AD506" s="13"/>
      <c r="AE506" s="37"/>
      <c r="AF506" s="37"/>
      <c r="AG506" s="14"/>
      <c r="AH506" s="14"/>
      <c r="AI506" s="14"/>
      <c r="AZ506" s="24"/>
    </row>
    <row r="507">
      <c r="B507" s="24"/>
      <c r="E507" s="113"/>
      <c r="F507" s="266"/>
      <c r="G507" s="113"/>
      <c r="K507" s="36"/>
      <c r="L507" s="117"/>
      <c r="M507" s="128"/>
      <c r="N507" s="117"/>
      <c r="R507" s="117"/>
      <c r="T507" s="117"/>
      <c r="V507" s="117"/>
      <c r="X507" s="117"/>
      <c r="Y507" s="10"/>
      <c r="Z507" s="11"/>
      <c r="AA507" s="36"/>
      <c r="AB507" s="36"/>
      <c r="AC507" s="13"/>
      <c r="AD507" s="13"/>
      <c r="AE507" s="37"/>
      <c r="AF507" s="37"/>
      <c r="AG507" s="14"/>
      <c r="AH507" s="14"/>
      <c r="AI507" s="14"/>
      <c r="AZ507" s="24"/>
    </row>
    <row r="508">
      <c r="B508" s="24"/>
      <c r="E508" s="113"/>
      <c r="F508" s="266"/>
      <c r="G508" s="113"/>
      <c r="K508" s="36"/>
      <c r="L508" s="117"/>
      <c r="M508" s="128"/>
      <c r="N508" s="117"/>
      <c r="R508" s="117"/>
      <c r="T508" s="117"/>
      <c r="V508" s="117"/>
      <c r="X508" s="117"/>
      <c r="Y508" s="10"/>
      <c r="Z508" s="11"/>
      <c r="AA508" s="36"/>
      <c r="AB508" s="36"/>
      <c r="AC508" s="13"/>
      <c r="AD508" s="13"/>
      <c r="AE508" s="37"/>
      <c r="AF508" s="37"/>
      <c r="AG508" s="14"/>
      <c r="AH508" s="14"/>
      <c r="AI508" s="14"/>
      <c r="AZ508" s="24"/>
    </row>
    <row r="509">
      <c r="B509" s="24"/>
      <c r="E509" s="113"/>
      <c r="F509" s="266"/>
      <c r="G509" s="113"/>
      <c r="K509" s="36"/>
      <c r="L509" s="117"/>
      <c r="M509" s="128"/>
      <c r="N509" s="117"/>
      <c r="R509" s="117"/>
      <c r="T509" s="117"/>
      <c r="V509" s="117"/>
      <c r="X509" s="117"/>
      <c r="Y509" s="10"/>
      <c r="Z509" s="11"/>
      <c r="AA509" s="36"/>
      <c r="AB509" s="36"/>
      <c r="AC509" s="13"/>
      <c r="AD509" s="13"/>
      <c r="AE509" s="37"/>
      <c r="AF509" s="37"/>
      <c r="AG509" s="14"/>
      <c r="AH509" s="14"/>
      <c r="AI509" s="14"/>
      <c r="AZ509" s="24"/>
    </row>
    <row r="510">
      <c r="B510" s="24"/>
      <c r="E510" s="113"/>
      <c r="F510" s="266"/>
      <c r="G510" s="113"/>
      <c r="K510" s="36"/>
      <c r="L510" s="117"/>
      <c r="M510" s="128"/>
      <c r="N510" s="117"/>
      <c r="R510" s="117"/>
      <c r="T510" s="117"/>
      <c r="V510" s="117"/>
      <c r="X510" s="117"/>
      <c r="Y510" s="10"/>
      <c r="Z510" s="11"/>
      <c r="AA510" s="36"/>
      <c r="AB510" s="36"/>
      <c r="AC510" s="13"/>
      <c r="AD510" s="13"/>
      <c r="AE510" s="37"/>
      <c r="AF510" s="37"/>
      <c r="AG510" s="14"/>
      <c r="AH510" s="14"/>
      <c r="AI510" s="14"/>
      <c r="AZ510" s="24"/>
    </row>
    <row r="511">
      <c r="B511" s="24"/>
      <c r="E511" s="113"/>
      <c r="F511" s="266"/>
      <c r="G511" s="113"/>
      <c r="K511" s="36"/>
      <c r="L511" s="117"/>
      <c r="M511" s="128"/>
      <c r="N511" s="117"/>
      <c r="R511" s="117"/>
      <c r="T511" s="117"/>
      <c r="V511" s="117"/>
      <c r="X511" s="117"/>
      <c r="Y511" s="10"/>
      <c r="Z511" s="11"/>
      <c r="AA511" s="36"/>
      <c r="AB511" s="36"/>
      <c r="AC511" s="13"/>
      <c r="AD511" s="13"/>
      <c r="AE511" s="37"/>
      <c r="AF511" s="37"/>
      <c r="AG511" s="14"/>
      <c r="AH511" s="14"/>
      <c r="AI511" s="14"/>
      <c r="AZ511" s="24"/>
    </row>
    <row r="512">
      <c r="B512" s="24"/>
      <c r="E512" s="113"/>
      <c r="F512" s="266"/>
      <c r="G512" s="113"/>
      <c r="K512" s="36"/>
      <c r="L512" s="117"/>
      <c r="M512" s="128"/>
      <c r="N512" s="117"/>
      <c r="R512" s="117"/>
      <c r="T512" s="117"/>
      <c r="V512" s="117"/>
      <c r="X512" s="117"/>
      <c r="Y512" s="10"/>
      <c r="Z512" s="11"/>
      <c r="AA512" s="36"/>
      <c r="AB512" s="36"/>
      <c r="AC512" s="13"/>
      <c r="AD512" s="13"/>
      <c r="AE512" s="37"/>
      <c r="AF512" s="37"/>
      <c r="AG512" s="14"/>
      <c r="AH512" s="14"/>
      <c r="AI512" s="14"/>
      <c r="AZ512" s="24"/>
    </row>
    <row r="513">
      <c r="B513" s="24"/>
      <c r="E513" s="113"/>
      <c r="F513" s="266"/>
      <c r="G513" s="113"/>
      <c r="K513" s="36"/>
      <c r="L513" s="117"/>
      <c r="M513" s="128"/>
      <c r="N513" s="117"/>
      <c r="R513" s="117"/>
      <c r="T513" s="117"/>
      <c r="V513" s="117"/>
      <c r="X513" s="117"/>
      <c r="Y513" s="10"/>
      <c r="Z513" s="11"/>
      <c r="AA513" s="36"/>
      <c r="AB513" s="36"/>
      <c r="AC513" s="13"/>
      <c r="AD513" s="13"/>
      <c r="AE513" s="37"/>
      <c r="AF513" s="37"/>
      <c r="AG513" s="14"/>
      <c r="AH513" s="14"/>
      <c r="AI513" s="14"/>
      <c r="AZ513" s="24"/>
    </row>
    <row r="514">
      <c r="B514" s="24"/>
      <c r="E514" s="113"/>
      <c r="F514" s="266"/>
      <c r="G514" s="113"/>
      <c r="K514" s="36"/>
      <c r="L514" s="117"/>
      <c r="M514" s="128"/>
      <c r="N514" s="117"/>
      <c r="R514" s="117"/>
      <c r="T514" s="117"/>
      <c r="V514" s="117"/>
      <c r="X514" s="117"/>
      <c r="Y514" s="10"/>
      <c r="Z514" s="11"/>
      <c r="AA514" s="36"/>
      <c r="AB514" s="36"/>
      <c r="AC514" s="13"/>
      <c r="AD514" s="13"/>
      <c r="AE514" s="37"/>
      <c r="AF514" s="37"/>
      <c r="AG514" s="14"/>
      <c r="AH514" s="14"/>
      <c r="AI514" s="14"/>
      <c r="AZ514" s="24"/>
    </row>
    <row r="515">
      <c r="B515" s="24"/>
      <c r="E515" s="113"/>
      <c r="F515" s="266"/>
      <c r="G515" s="113"/>
      <c r="K515" s="36"/>
      <c r="L515" s="117"/>
      <c r="M515" s="128"/>
      <c r="N515" s="117"/>
      <c r="R515" s="117"/>
      <c r="T515" s="117"/>
      <c r="V515" s="117"/>
      <c r="X515" s="117"/>
      <c r="Y515" s="10"/>
      <c r="Z515" s="11"/>
      <c r="AA515" s="36"/>
      <c r="AB515" s="36"/>
      <c r="AC515" s="13"/>
      <c r="AD515" s="13"/>
      <c r="AE515" s="37"/>
      <c r="AF515" s="37"/>
      <c r="AG515" s="14"/>
      <c r="AH515" s="14"/>
      <c r="AI515" s="14"/>
      <c r="AZ515" s="24"/>
    </row>
    <row r="516">
      <c r="B516" s="24"/>
      <c r="E516" s="113"/>
      <c r="F516" s="266"/>
      <c r="G516" s="113"/>
      <c r="K516" s="36"/>
      <c r="L516" s="117"/>
      <c r="M516" s="128"/>
      <c r="N516" s="117"/>
      <c r="R516" s="117"/>
      <c r="T516" s="117"/>
      <c r="V516" s="117"/>
      <c r="X516" s="117"/>
      <c r="Y516" s="10"/>
      <c r="Z516" s="11"/>
      <c r="AA516" s="36"/>
      <c r="AB516" s="36"/>
      <c r="AC516" s="13"/>
      <c r="AD516" s="13"/>
      <c r="AE516" s="37"/>
      <c r="AF516" s="37"/>
      <c r="AG516" s="14"/>
      <c r="AH516" s="14"/>
      <c r="AI516" s="14"/>
      <c r="AZ516" s="24"/>
    </row>
    <row r="517">
      <c r="B517" s="24"/>
      <c r="E517" s="113"/>
      <c r="F517" s="266"/>
      <c r="G517" s="113"/>
      <c r="K517" s="36"/>
      <c r="L517" s="117"/>
      <c r="M517" s="128"/>
      <c r="N517" s="117"/>
      <c r="R517" s="117"/>
      <c r="T517" s="117"/>
      <c r="V517" s="117"/>
      <c r="X517" s="117"/>
      <c r="Y517" s="10"/>
      <c r="Z517" s="11"/>
      <c r="AA517" s="36"/>
      <c r="AB517" s="36"/>
      <c r="AC517" s="13"/>
      <c r="AD517" s="13"/>
      <c r="AE517" s="37"/>
      <c r="AF517" s="37"/>
      <c r="AG517" s="14"/>
      <c r="AH517" s="14"/>
      <c r="AI517" s="14"/>
      <c r="AZ517" s="24"/>
    </row>
    <row r="518">
      <c r="B518" s="24"/>
      <c r="E518" s="113"/>
      <c r="F518" s="266"/>
      <c r="G518" s="113"/>
      <c r="K518" s="36"/>
      <c r="L518" s="117"/>
      <c r="M518" s="128"/>
      <c r="N518" s="117"/>
      <c r="R518" s="117"/>
      <c r="T518" s="117"/>
      <c r="V518" s="117"/>
      <c r="X518" s="117"/>
      <c r="Y518" s="10"/>
      <c r="Z518" s="11"/>
      <c r="AA518" s="36"/>
      <c r="AB518" s="36"/>
      <c r="AC518" s="13"/>
      <c r="AD518" s="13"/>
      <c r="AE518" s="37"/>
      <c r="AF518" s="37"/>
      <c r="AG518" s="14"/>
      <c r="AH518" s="14"/>
      <c r="AI518" s="14"/>
      <c r="AZ518" s="24"/>
    </row>
    <row r="519">
      <c r="B519" s="24"/>
      <c r="E519" s="113"/>
      <c r="F519" s="266"/>
      <c r="G519" s="113"/>
      <c r="K519" s="36"/>
      <c r="L519" s="117"/>
      <c r="M519" s="128"/>
      <c r="N519" s="117"/>
      <c r="R519" s="117"/>
      <c r="T519" s="117"/>
      <c r="V519" s="117"/>
      <c r="X519" s="117"/>
      <c r="Y519" s="10"/>
      <c r="Z519" s="11"/>
      <c r="AA519" s="36"/>
      <c r="AB519" s="36"/>
      <c r="AC519" s="13"/>
      <c r="AD519" s="13"/>
      <c r="AE519" s="37"/>
      <c r="AF519" s="37"/>
      <c r="AG519" s="14"/>
      <c r="AH519" s="14"/>
      <c r="AI519" s="14"/>
      <c r="AZ519" s="24"/>
    </row>
    <row r="520">
      <c r="B520" s="24"/>
      <c r="E520" s="113"/>
      <c r="F520" s="266"/>
      <c r="G520" s="113"/>
      <c r="K520" s="36"/>
      <c r="L520" s="117"/>
      <c r="M520" s="128"/>
      <c r="N520" s="117"/>
      <c r="R520" s="117"/>
      <c r="T520" s="117"/>
      <c r="V520" s="117"/>
      <c r="X520" s="117"/>
      <c r="Y520" s="10"/>
      <c r="Z520" s="11"/>
      <c r="AA520" s="36"/>
      <c r="AB520" s="36"/>
      <c r="AC520" s="13"/>
      <c r="AD520" s="13"/>
      <c r="AE520" s="37"/>
      <c r="AF520" s="37"/>
      <c r="AG520" s="14"/>
      <c r="AH520" s="14"/>
      <c r="AI520" s="14"/>
      <c r="AZ520" s="24"/>
    </row>
    <row r="521">
      <c r="B521" s="24"/>
      <c r="E521" s="113"/>
      <c r="F521" s="266"/>
      <c r="G521" s="113"/>
      <c r="K521" s="36"/>
      <c r="L521" s="117"/>
      <c r="M521" s="128"/>
      <c r="N521" s="117"/>
      <c r="R521" s="117"/>
      <c r="T521" s="117"/>
      <c r="V521" s="117"/>
      <c r="X521" s="117"/>
      <c r="Y521" s="10"/>
      <c r="Z521" s="11"/>
      <c r="AA521" s="36"/>
      <c r="AB521" s="36"/>
      <c r="AC521" s="13"/>
      <c r="AD521" s="13"/>
      <c r="AE521" s="37"/>
      <c r="AF521" s="37"/>
      <c r="AG521" s="14"/>
      <c r="AH521" s="14"/>
      <c r="AI521" s="14"/>
      <c r="AZ521" s="24"/>
    </row>
    <row r="522">
      <c r="B522" s="24"/>
      <c r="E522" s="113"/>
      <c r="F522" s="266"/>
      <c r="G522" s="113"/>
      <c r="K522" s="36"/>
      <c r="L522" s="117"/>
      <c r="M522" s="128"/>
      <c r="N522" s="117"/>
      <c r="R522" s="117"/>
      <c r="T522" s="117"/>
      <c r="V522" s="117"/>
      <c r="X522" s="117"/>
      <c r="Y522" s="10"/>
      <c r="Z522" s="11"/>
      <c r="AA522" s="36"/>
      <c r="AB522" s="36"/>
      <c r="AC522" s="13"/>
      <c r="AD522" s="13"/>
      <c r="AE522" s="37"/>
      <c r="AF522" s="37"/>
      <c r="AG522" s="14"/>
      <c r="AH522" s="14"/>
      <c r="AI522" s="14"/>
      <c r="AZ522" s="24"/>
    </row>
    <row r="523">
      <c r="B523" s="24"/>
      <c r="E523" s="113"/>
      <c r="F523" s="266"/>
      <c r="G523" s="113"/>
      <c r="K523" s="36"/>
      <c r="L523" s="117"/>
      <c r="M523" s="128"/>
      <c r="N523" s="117"/>
      <c r="R523" s="117"/>
      <c r="T523" s="117"/>
      <c r="V523" s="117"/>
      <c r="X523" s="117"/>
      <c r="Y523" s="10"/>
      <c r="Z523" s="11"/>
      <c r="AA523" s="36"/>
      <c r="AB523" s="36"/>
      <c r="AC523" s="13"/>
      <c r="AD523" s="13"/>
      <c r="AE523" s="37"/>
      <c r="AF523" s="37"/>
      <c r="AG523" s="14"/>
      <c r="AH523" s="14"/>
      <c r="AI523" s="14"/>
      <c r="AZ523" s="24"/>
    </row>
    <row r="524">
      <c r="B524" s="24"/>
      <c r="E524" s="113"/>
      <c r="F524" s="266"/>
      <c r="G524" s="113"/>
      <c r="K524" s="36"/>
      <c r="L524" s="117"/>
      <c r="M524" s="128"/>
      <c r="N524" s="117"/>
      <c r="R524" s="117"/>
      <c r="T524" s="117"/>
      <c r="V524" s="117"/>
      <c r="X524" s="117"/>
      <c r="Y524" s="10"/>
      <c r="Z524" s="11"/>
      <c r="AA524" s="36"/>
      <c r="AB524" s="36"/>
      <c r="AC524" s="13"/>
      <c r="AD524" s="13"/>
      <c r="AE524" s="37"/>
      <c r="AF524" s="37"/>
      <c r="AG524" s="14"/>
      <c r="AH524" s="14"/>
      <c r="AI524" s="14"/>
      <c r="AZ524" s="24"/>
    </row>
    <row r="525">
      <c r="B525" s="24"/>
      <c r="E525" s="113"/>
      <c r="F525" s="266"/>
      <c r="G525" s="113"/>
      <c r="K525" s="36"/>
      <c r="L525" s="117"/>
      <c r="M525" s="128"/>
      <c r="N525" s="117"/>
      <c r="R525" s="117"/>
      <c r="T525" s="117"/>
      <c r="V525" s="117"/>
      <c r="X525" s="117"/>
      <c r="Y525" s="10"/>
      <c r="Z525" s="11"/>
      <c r="AA525" s="36"/>
      <c r="AB525" s="36"/>
      <c r="AC525" s="13"/>
      <c r="AD525" s="13"/>
      <c r="AE525" s="37"/>
      <c r="AF525" s="37"/>
      <c r="AG525" s="14"/>
      <c r="AH525" s="14"/>
      <c r="AI525" s="14"/>
      <c r="AZ525" s="24"/>
    </row>
    <row r="526">
      <c r="B526" s="24"/>
      <c r="E526" s="113"/>
      <c r="F526" s="266"/>
      <c r="G526" s="113"/>
      <c r="K526" s="36"/>
      <c r="L526" s="117"/>
      <c r="M526" s="128"/>
      <c r="N526" s="117"/>
      <c r="R526" s="117"/>
      <c r="T526" s="117"/>
      <c r="V526" s="117"/>
      <c r="X526" s="117"/>
      <c r="Y526" s="10"/>
      <c r="Z526" s="11"/>
      <c r="AA526" s="36"/>
      <c r="AB526" s="36"/>
      <c r="AC526" s="13"/>
      <c r="AD526" s="13"/>
      <c r="AE526" s="37"/>
      <c r="AF526" s="37"/>
      <c r="AG526" s="14"/>
      <c r="AH526" s="14"/>
      <c r="AI526" s="14"/>
      <c r="AZ526" s="24"/>
    </row>
    <row r="527">
      <c r="B527" s="24"/>
      <c r="E527" s="113"/>
      <c r="F527" s="266"/>
      <c r="G527" s="113"/>
      <c r="K527" s="36"/>
      <c r="L527" s="117"/>
      <c r="M527" s="128"/>
      <c r="N527" s="117"/>
      <c r="R527" s="117"/>
      <c r="T527" s="117"/>
      <c r="V527" s="117"/>
      <c r="X527" s="117"/>
      <c r="Y527" s="10"/>
      <c r="Z527" s="11"/>
      <c r="AA527" s="36"/>
      <c r="AB527" s="36"/>
      <c r="AC527" s="13"/>
      <c r="AD527" s="13"/>
      <c r="AE527" s="37"/>
      <c r="AF527" s="37"/>
      <c r="AG527" s="14"/>
      <c r="AH527" s="14"/>
      <c r="AI527" s="14"/>
      <c r="AZ527" s="24"/>
    </row>
    <row r="528">
      <c r="B528" s="24"/>
      <c r="E528" s="113"/>
      <c r="F528" s="266"/>
      <c r="G528" s="113"/>
      <c r="K528" s="36"/>
      <c r="L528" s="117"/>
      <c r="M528" s="128"/>
      <c r="N528" s="117"/>
      <c r="R528" s="117"/>
      <c r="T528" s="117"/>
      <c r="V528" s="117"/>
      <c r="X528" s="117"/>
      <c r="Y528" s="10"/>
      <c r="Z528" s="11"/>
      <c r="AA528" s="36"/>
      <c r="AB528" s="36"/>
      <c r="AC528" s="13"/>
      <c r="AD528" s="13"/>
      <c r="AE528" s="37"/>
      <c r="AF528" s="37"/>
      <c r="AG528" s="14"/>
      <c r="AH528" s="14"/>
      <c r="AI528" s="14"/>
      <c r="AZ528" s="24"/>
    </row>
    <row r="529">
      <c r="B529" s="24"/>
      <c r="E529" s="113"/>
      <c r="F529" s="266"/>
      <c r="G529" s="113"/>
      <c r="K529" s="36"/>
      <c r="L529" s="117"/>
      <c r="M529" s="128"/>
      <c r="N529" s="117"/>
      <c r="R529" s="117"/>
      <c r="T529" s="117"/>
      <c r="V529" s="117"/>
      <c r="X529" s="117"/>
      <c r="Y529" s="10"/>
      <c r="Z529" s="11"/>
      <c r="AA529" s="36"/>
      <c r="AB529" s="36"/>
      <c r="AC529" s="13"/>
      <c r="AD529" s="13"/>
      <c r="AE529" s="37"/>
      <c r="AF529" s="37"/>
      <c r="AG529" s="14"/>
      <c r="AH529" s="14"/>
      <c r="AI529" s="14"/>
      <c r="AZ529" s="24"/>
    </row>
    <row r="530">
      <c r="B530" s="24"/>
      <c r="E530" s="113"/>
      <c r="F530" s="266"/>
      <c r="G530" s="113"/>
      <c r="K530" s="36"/>
      <c r="L530" s="117"/>
      <c r="M530" s="128"/>
      <c r="N530" s="117"/>
      <c r="R530" s="117"/>
      <c r="T530" s="117"/>
      <c r="V530" s="117"/>
      <c r="X530" s="117"/>
      <c r="Y530" s="10"/>
      <c r="Z530" s="11"/>
      <c r="AA530" s="36"/>
      <c r="AB530" s="36"/>
      <c r="AC530" s="13"/>
      <c r="AD530" s="13"/>
      <c r="AE530" s="37"/>
      <c r="AF530" s="37"/>
      <c r="AG530" s="14"/>
      <c r="AH530" s="14"/>
      <c r="AI530" s="14"/>
      <c r="AZ530" s="24"/>
    </row>
    <row r="531">
      <c r="B531" s="24"/>
      <c r="E531" s="113"/>
      <c r="F531" s="266"/>
      <c r="G531" s="113"/>
      <c r="K531" s="36"/>
      <c r="L531" s="117"/>
      <c r="M531" s="128"/>
      <c r="N531" s="117"/>
      <c r="R531" s="117"/>
      <c r="T531" s="117"/>
      <c r="V531" s="117"/>
      <c r="X531" s="117"/>
      <c r="Y531" s="10"/>
      <c r="Z531" s="11"/>
      <c r="AA531" s="36"/>
      <c r="AB531" s="36"/>
      <c r="AC531" s="13"/>
      <c r="AD531" s="13"/>
      <c r="AE531" s="37"/>
      <c r="AF531" s="37"/>
      <c r="AG531" s="14"/>
      <c r="AH531" s="14"/>
      <c r="AI531" s="14"/>
      <c r="AZ531" s="24"/>
    </row>
    <row r="532">
      <c r="B532" s="24"/>
      <c r="E532" s="113"/>
      <c r="F532" s="266"/>
      <c r="G532" s="113"/>
      <c r="K532" s="36"/>
      <c r="L532" s="117"/>
      <c r="M532" s="128"/>
      <c r="N532" s="117"/>
      <c r="R532" s="117"/>
      <c r="T532" s="117"/>
      <c r="V532" s="117"/>
      <c r="X532" s="117"/>
      <c r="Y532" s="10"/>
      <c r="Z532" s="11"/>
      <c r="AA532" s="36"/>
      <c r="AB532" s="36"/>
      <c r="AC532" s="13"/>
      <c r="AD532" s="13"/>
      <c r="AE532" s="37"/>
      <c r="AF532" s="37"/>
      <c r="AG532" s="14"/>
      <c r="AH532" s="14"/>
      <c r="AI532" s="14"/>
      <c r="AZ532" s="24"/>
    </row>
    <row r="533">
      <c r="B533" s="24"/>
      <c r="E533" s="113"/>
      <c r="F533" s="266"/>
      <c r="G533" s="113"/>
      <c r="K533" s="36"/>
      <c r="L533" s="117"/>
      <c r="M533" s="128"/>
      <c r="N533" s="117"/>
      <c r="R533" s="117"/>
      <c r="T533" s="117"/>
      <c r="V533" s="117"/>
      <c r="X533" s="117"/>
      <c r="Y533" s="10"/>
      <c r="Z533" s="11"/>
      <c r="AA533" s="36"/>
      <c r="AB533" s="36"/>
      <c r="AC533" s="13"/>
      <c r="AD533" s="13"/>
      <c r="AE533" s="37"/>
      <c r="AF533" s="37"/>
      <c r="AG533" s="14"/>
      <c r="AH533" s="14"/>
      <c r="AI533" s="14"/>
      <c r="AZ533" s="24"/>
    </row>
    <row r="534">
      <c r="B534" s="24"/>
      <c r="E534" s="113"/>
      <c r="F534" s="266"/>
      <c r="G534" s="113"/>
      <c r="K534" s="36"/>
      <c r="L534" s="117"/>
      <c r="M534" s="128"/>
      <c r="N534" s="117"/>
      <c r="R534" s="117"/>
      <c r="T534" s="117"/>
      <c r="V534" s="117"/>
      <c r="X534" s="117"/>
      <c r="Y534" s="10"/>
      <c r="Z534" s="11"/>
      <c r="AA534" s="36"/>
      <c r="AB534" s="36"/>
      <c r="AC534" s="13"/>
      <c r="AD534" s="13"/>
      <c r="AE534" s="37"/>
      <c r="AF534" s="37"/>
      <c r="AG534" s="14"/>
      <c r="AH534" s="14"/>
      <c r="AI534" s="14"/>
      <c r="AZ534" s="24"/>
    </row>
    <row r="535">
      <c r="B535" s="24"/>
      <c r="E535" s="113"/>
      <c r="F535" s="266"/>
      <c r="G535" s="113"/>
      <c r="K535" s="36"/>
      <c r="L535" s="117"/>
      <c r="M535" s="128"/>
      <c r="N535" s="117"/>
      <c r="R535" s="117"/>
      <c r="T535" s="117"/>
      <c r="V535" s="117"/>
      <c r="X535" s="117"/>
      <c r="Y535" s="10"/>
      <c r="Z535" s="11"/>
      <c r="AA535" s="36"/>
      <c r="AB535" s="36"/>
      <c r="AC535" s="13"/>
      <c r="AD535" s="13"/>
      <c r="AE535" s="37"/>
      <c r="AF535" s="37"/>
      <c r="AG535" s="14"/>
      <c r="AH535" s="14"/>
      <c r="AI535" s="14"/>
      <c r="AZ535" s="24"/>
    </row>
    <row r="536">
      <c r="B536" s="24"/>
      <c r="E536" s="113"/>
      <c r="F536" s="266"/>
      <c r="G536" s="113"/>
      <c r="K536" s="36"/>
      <c r="L536" s="117"/>
      <c r="M536" s="128"/>
      <c r="N536" s="117"/>
      <c r="R536" s="117"/>
      <c r="T536" s="117"/>
      <c r="V536" s="117"/>
      <c r="X536" s="117"/>
      <c r="Y536" s="10"/>
      <c r="Z536" s="11"/>
      <c r="AA536" s="36"/>
      <c r="AB536" s="36"/>
      <c r="AC536" s="13"/>
      <c r="AD536" s="13"/>
      <c r="AE536" s="37"/>
      <c r="AF536" s="37"/>
      <c r="AG536" s="14"/>
      <c r="AH536" s="14"/>
      <c r="AI536" s="14"/>
      <c r="AZ536" s="24"/>
    </row>
    <row r="537">
      <c r="B537" s="24"/>
      <c r="E537" s="113"/>
      <c r="F537" s="266"/>
      <c r="G537" s="113"/>
      <c r="K537" s="36"/>
      <c r="L537" s="117"/>
      <c r="M537" s="128"/>
      <c r="N537" s="117"/>
      <c r="R537" s="117"/>
      <c r="T537" s="117"/>
      <c r="V537" s="117"/>
      <c r="X537" s="117"/>
      <c r="Y537" s="10"/>
      <c r="Z537" s="11"/>
      <c r="AA537" s="36"/>
      <c r="AB537" s="36"/>
      <c r="AC537" s="13"/>
      <c r="AD537" s="13"/>
      <c r="AE537" s="37"/>
      <c r="AF537" s="37"/>
      <c r="AG537" s="14"/>
      <c r="AH537" s="14"/>
      <c r="AI537" s="14"/>
      <c r="AZ537" s="24"/>
    </row>
    <row r="538">
      <c r="B538" s="24"/>
      <c r="E538" s="113"/>
      <c r="F538" s="266"/>
      <c r="G538" s="113"/>
      <c r="K538" s="36"/>
      <c r="L538" s="117"/>
      <c r="M538" s="128"/>
      <c r="N538" s="117"/>
      <c r="R538" s="117"/>
      <c r="T538" s="117"/>
      <c r="V538" s="117"/>
      <c r="X538" s="117"/>
      <c r="Y538" s="10"/>
      <c r="Z538" s="11"/>
      <c r="AA538" s="36"/>
      <c r="AB538" s="36"/>
      <c r="AC538" s="13"/>
      <c r="AD538" s="13"/>
      <c r="AE538" s="37"/>
      <c r="AF538" s="37"/>
      <c r="AG538" s="14"/>
      <c r="AH538" s="14"/>
      <c r="AI538" s="14"/>
      <c r="AZ538" s="24"/>
    </row>
    <row r="539">
      <c r="B539" s="24"/>
      <c r="E539" s="113"/>
      <c r="F539" s="266"/>
      <c r="G539" s="113"/>
      <c r="K539" s="36"/>
      <c r="L539" s="117"/>
      <c r="M539" s="128"/>
      <c r="N539" s="117"/>
      <c r="R539" s="117"/>
      <c r="T539" s="117"/>
      <c r="V539" s="117"/>
      <c r="X539" s="117"/>
      <c r="Y539" s="10"/>
      <c r="Z539" s="11"/>
      <c r="AA539" s="36"/>
      <c r="AB539" s="36"/>
      <c r="AC539" s="13"/>
      <c r="AD539" s="13"/>
      <c r="AE539" s="37"/>
      <c r="AF539" s="37"/>
      <c r="AG539" s="14"/>
      <c r="AH539" s="14"/>
      <c r="AI539" s="14"/>
      <c r="AZ539" s="24"/>
    </row>
    <row r="540">
      <c r="B540" s="24"/>
      <c r="E540" s="113"/>
      <c r="F540" s="266"/>
      <c r="G540" s="113"/>
      <c r="K540" s="36"/>
      <c r="L540" s="117"/>
      <c r="M540" s="128"/>
      <c r="N540" s="117"/>
      <c r="R540" s="117"/>
      <c r="T540" s="117"/>
      <c r="V540" s="117"/>
      <c r="X540" s="117"/>
      <c r="Y540" s="10"/>
      <c r="Z540" s="11"/>
      <c r="AA540" s="36"/>
      <c r="AB540" s="36"/>
      <c r="AC540" s="13"/>
      <c r="AD540" s="13"/>
      <c r="AE540" s="37"/>
      <c r="AF540" s="37"/>
      <c r="AG540" s="14"/>
      <c r="AH540" s="14"/>
      <c r="AI540" s="14"/>
      <c r="AZ540" s="24"/>
    </row>
    <row r="541">
      <c r="B541" s="24"/>
      <c r="E541" s="113"/>
      <c r="F541" s="266"/>
      <c r="G541" s="113"/>
      <c r="K541" s="36"/>
      <c r="L541" s="117"/>
      <c r="M541" s="128"/>
      <c r="N541" s="117"/>
      <c r="R541" s="117"/>
      <c r="T541" s="117"/>
      <c r="V541" s="117"/>
      <c r="X541" s="117"/>
      <c r="Y541" s="10"/>
      <c r="Z541" s="11"/>
      <c r="AA541" s="36"/>
      <c r="AB541" s="36"/>
      <c r="AC541" s="13"/>
      <c r="AD541" s="13"/>
      <c r="AE541" s="37"/>
      <c r="AF541" s="37"/>
      <c r="AG541" s="14"/>
      <c r="AH541" s="14"/>
      <c r="AI541" s="14"/>
      <c r="AZ541" s="24"/>
    </row>
    <row r="542">
      <c r="B542" s="24"/>
      <c r="E542" s="113"/>
      <c r="F542" s="266"/>
      <c r="G542" s="113"/>
      <c r="K542" s="36"/>
      <c r="L542" s="117"/>
      <c r="M542" s="128"/>
      <c r="N542" s="117"/>
      <c r="R542" s="117"/>
      <c r="T542" s="117"/>
      <c r="V542" s="117"/>
      <c r="X542" s="117"/>
      <c r="Y542" s="10"/>
      <c r="Z542" s="11"/>
      <c r="AA542" s="36"/>
      <c r="AB542" s="36"/>
      <c r="AC542" s="13"/>
      <c r="AD542" s="13"/>
      <c r="AE542" s="37"/>
      <c r="AF542" s="37"/>
      <c r="AG542" s="14"/>
      <c r="AH542" s="14"/>
      <c r="AI542" s="14"/>
      <c r="AZ542" s="24"/>
    </row>
    <row r="543">
      <c r="B543" s="24"/>
      <c r="E543" s="113"/>
      <c r="F543" s="266"/>
      <c r="G543" s="113"/>
      <c r="K543" s="36"/>
      <c r="L543" s="117"/>
      <c r="M543" s="128"/>
      <c r="N543" s="117"/>
      <c r="R543" s="117"/>
      <c r="T543" s="117"/>
      <c r="V543" s="117"/>
      <c r="X543" s="117"/>
      <c r="Y543" s="10"/>
      <c r="Z543" s="11"/>
      <c r="AA543" s="36"/>
      <c r="AB543" s="36"/>
      <c r="AC543" s="13"/>
      <c r="AD543" s="13"/>
      <c r="AE543" s="37"/>
      <c r="AF543" s="37"/>
      <c r="AG543" s="14"/>
      <c r="AH543" s="14"/>
      <c r="AI543" s="14"/>
      <c r="AZ543" s="24"/>
    </row>
    <row r="544">
      <c r="B544" s="24"/>
      <c r="E544" s="113"/>
      <c r="F544" s="266"/>
      <c r="G544" s="113"/>
      <c r="K544" s="36"/>
      <c r="L544" s="117"/>
      <c r="M544" s="128"/>
      <c r="N544" s="117"/>
      <c r="R544" s="117"/>
      <c r="T544" s="117"/>
      <c r="V544" s="117"/>
      <c r="X544" s="117"/>
      <c r="Y544" s="10"/>
      <c r="Z544" s="11"/>
      <c r="AA544" s="36"/>
      <c r="AB544" s="36"/>
      <c r="AC544" s="13"/>
      <c r="AD544" s="13"/>
      <c r="AE544" s="37"/>
      <c r="AF544" s="37"/>
      <c r="AG544" s="14"/>
      <c r="AH544" s="14"/>
      <c r="AI544" s="14"/>
      <c r="AZ544" s="24"/>
    </row>
    <row r="545">
      <c r="B545" s="24"/>
      <c r="E545" s="113"/>
      <c r="F545" s="266"/>
      <c r="G545" s="113"/>
      <c r="K545" s="36"/>
      <c r="L545" s="117"/>
      <c r="M545" s="128"/>
      <c r="N545" s="117"/>
      <c r="R545" s="117"/>
      <c r="T545" s="117"/>
      <c r="V545" s="117"/>
      <c r="X545" s="117"/>
      <c r="Y545" s="10"/>
      <c r="Z545" s="11"/>
      <c r="AA545" s="36"/>
      <c r="AB545" s="36"/>
      <c r="AC545" s="13"/>
      <c r="AD545" s="13"/>
      <c r="AE545" s="37"/>
      <c r="AF545" s="37"/>
      <c r="AG545" s="14"/>
      <c r="AH545" s="14"/>
      <c r="AI545" s="14"/>
      <c r="AZ545" s="24"/>
    </row>
    <row r="546">
      <c r="B546" s="24"/>
      <c r="E546" s="113"/>
      <c r="F546" s="266"/>
      <c r="G546" s="113"/>
      <c r="K546" s="36"/>
      <c r="L546" s="117"/>
      <c r="M546" s="128"/>
      <c r="N546" s="117"/>
      <c r="R546" s="117"/>
      <c r="T546" s="117"/>
      <c r="V546" s="117"/>
      <c r="X546" s="117"/>
      <c r="Y546" s="10"/>
      <c r="Z546" s="11"/>
      <c r="AA546" s="36"/>
      <c r="AB546" s="36"/>
      <c r="AC546" s="13"/>
      <c r="AD546" s="13"/>
      <c r="AE546" s="37"/>
      <c r="AF546" s="37"/>
      <c r="AG546" s="14"/>
      <c r="AH546" s="14"/>
      <c r="AI546" s="14"/>
      <c r="AZ546" s="24"/>
    </row>
    <row r="547">
      <c r="B547" s="24"/>
      <c r="E547" s="113"/>
      <c r="F547" s="266"/>
      <c r="G547" s="113"/>
      <c r="K547" s="36"/>
      <c r="L547" s="117"/>
      <c r="M547" s="128"/>
      <c r="N547" s="117"/>
      <c r="R547" s="117"/>
      <c r="T547" s="117"/>
      <c r="V547" s="117"/>
      <c r="X547" s="117"/>
      <c r="Y547" s="10"/>
      <c r="Z547" s="11"/>
      <c r="AA547" s="36"/>
      <c r="AB547" s="36"/>
      <c r="AC547" s="13"/>
      <c r="AD547" s="13"/>
      <c r="AE547" s="37"/>
      <c r="AF547" s="37"/>
      <c r="AG547" s="14"/>
      <c r="AH547" s="14"/>
      <c r="AI547" s="14"/>
      <c r="AZ547" s="24"/>
    </row>
    <row r="548">
      <c r="B548" s="24"/>
      <c r="E548" s="113"/>
      <c r="F548" s="266"/>
      <c r="G548" s="113"/>
      <c r="K548" s="36"/>
      <c r="L548" s="117"/>
      <c r="M548" s="128"/>
      <c r="N548" s="117"/>
      <c r="R548" s="117"/>
      <c r="T548" s="117"/>
      <c r="V548" s="117"/>
      <c r="X548" s="117"/>
      <c r="Y548" s="10"/>
      <c r="Z548" s="11"/>
      <c r="AA548" s="36"/>
      <c r="AB548" s="36"/>
      <c r="AC548" s="13"/>
      <c r="AD548" s="13"/>
      <c r="AE548" s="37"/>
      <c r="AF548" s="37"/>
      <c r="AG548" s="14"/>
      <c r="AH548" s="14"/>
      <c r="AI548" s="14"/>
      <c r="AZ548" s="24"/>
    </row>
    <row r="549">
      <c r="B549" s="24"/>
      <c r="E549" s="113"/>
      <c r="F549" s="266"/>
      <c r="G549" s="113"/>
      <c r="K549" s="36"/>
      <c r="L549" s="117"/>
      <c r="M549" s="128"/>
      <c r="N549" s="117"/>
      <c r="R549" s="117"/>
      <c r="T549" s="117"/>
      <c r="V549" s="117"/>
      <c r="X549" s="117"/>
      <c r="Y549" s="10"/>
      <c r="Z549" s="11"/>
      <c r="AA549" s="36"/>
      <c r="AB549" s="36"/>
      <c r="AC549" s="13"/>
      <c r="AD549" s="13"/>
      <c r="AE549" s="37"/>
      <c r="AF549" s="37"/>
      <c r="AG549" s="14"/>
      <c r="AH549" s="14"/>
      <c r="AI549" s="14"/>
      <c r="AZ549" s="24"/>
    </row>
    <row r="550">
      <c r="B550" s="24"/>
      <c r="E550" s="113"/>
      <c r="F550" s="266"/>
      <c r="G550" s="113"/>
      <c r="K550" s="36"/>
      <c r="L550" s="117"/>
      <c r="M550" s="128"/>
      <c r="N550" s="117"/>
      <c r="R550" s="117"/>
      <c r="T550" s="117"/>
      <c r="V550" s="117"/>
      <c r="X550" s="117"/>
      <c r="Y550" s="10"/>
      <c r="Z550" s="11"/>
      <c r="AA550" s="36"/>
      <c r="AB550" s="36"/>
      <c r="AC550" s="13"/>
      <c r="AD550" s="13"/>
      <c r="AE550" s="37"/>
      <c r="AF550" s="37"/>
      <c r="AG550" s="14"/>
      <c r="AH550" s="14"/>
      <c r="AI550" s="14"/>
      <c r="AZ550" s="24"/>
    </row>
    <row r="551">
      <c r="B551" s="24"/>
      <c r="E551" s="113"/>
      <c r="F551" s="266"/>
      <c r="G551" s="113"/>
      <c r="K551" s="36"/>
      <c r="L551" s="117"/>
      <c r="M551" s="128"/>
      <c r="N551" s="117"/>
      <c r="R551" s="117"/>
      <c r="T551" s="117"/>
      <c r="V551" s="117"/>
      <c r="X551" s="117"/>
      <c r="Y551" s="10"/>
      <c r="Z551" s="11"/>
      <c r="AA551" s="36"/>
      <c r="AB551" s="36"/>
      <c r="AC551" s="13"/>
      <c r="AD551" s="13"/>
      <c r="AE551" s="37"/>
      <c r="AF551" s="37"/>
      <c r="AG551" s="14"/>
      <c r="AH551" s="14"/>
      <c r="AI551" s="14"/>
      <c r="AZ551" s="24"/>
    </row>
    <row r="552">
      <c r="B552" s="24"/>
      <c r="E552" s="113"/>
      <c r="F552" s="266"/>
      <c r="G552" s="113"/>
      <c r="K552" s="36"/>
      <c r="L552" s="117"/>
      <c r="M552" s="128"/>
      <c r="N552" s="117"/>
      <c r="R552" s="117"/>
      <c r="T552" s="117"/>
      <c r="V552" s="117"/>
      <c r="X552" s="117"/>
      <c r="Y552" s="10"/>
      <c r="Z552" s="11"/>
      <c r="AA552" s="36"/>
      <c r="AB552" s="36"/>
      <c r="AC552" s="13"/>
      <c r="AD552" s="13"/>
      <c r="AE552" s="37"/>
      <c r="AF552" s="37"/>
      <c r="AG552" s="14"/>
      <c r="AH552" s="14"/>
      <c r="AI552" s="14"/>
      <c r="AZ552" s="24"/>
    </row>
    <row r="553">
      <c r="B553" s="24"/>
      <c r="E553" s="113"/>
      <c r="F553" s="266"/>
      <c r="G553" s="113"/>
      <c r="K553" s="36"/>
      <c r="L553" s="117"/>
      <c r="M553" s="128"/>
      <c r="N553" s="117"/>
      <c r="R553" s="117"/>
      <c r="T553" s="117"/>
      <c r="V553" s="117"/>
      <c r="X553" s="117"/>
      <c r="Y553" s="10"/>
      <c r="Z553" s="11"/>
      <c r="AA553" s="36"/>
      <c r="AB553" s="36"/>
      <c r="AC553" s="13"/>
      <c r="AD553" s="13"/>
      <c r="AE553" s="37"/>
      <c r="AF553" s="37"/>
      <c r="AG553" s="14"/>
      <c r="AH553" s="14"/>
      <c r="AI553" s="14"/>
      <c r="AZ553" s="24"/>
    </row>
    <row r="554">
      <c r="B554" s="24"/>
      <c r="E554" s="113"/>
      <c r="F554" s="266"/>
      <c r="G554" s="113"/>
      <c r="K554" s="36"/>
      <c r="L554" s="117"/>
      <c r="M554" s="128"/>
      <c r="N554" s="117"/>
      <c r="R554" s="117"/>
      <c r="T554" s="117"/>
      <c r="V554" s="117"/>
      <c r="X554" s="117"/>
      <c r="Y554" s="10"/>
      <c r="Z554" s="11"/>
      <c r="AA554" s="36"/>
      <c r="AB554" s="36"/>
      <c r="AC554" s="13"/>
      <c r="AD554" s="13"/>
      <c r="AE554" s="37"/>
      <c r="AF554" s="37"/>
      <c r="AG554" s="14"/>
      <c r="AH554" s="14"/>
      <c r="AI554" s="14"/>
      <c r="AZ554" s="24"/>
    </row>
    <row r="555">
      <c r="B555" s="24"/>
      <c r="E555" s="113"/>
      <c r="F555" s="266"/>
      <c r="G555" s="113"/>
      <c r="K555" s="36"/>
      <c r="L555" s="117"/>
      <c r="M555" s="128"/>
      <c r="N555" s="117"/>
      <c r="R555" s="117"/>
      <c r="T555" s="117"/>
      <c r="V555" s="117"/>
      <c r="X555" s="117"/>
      <c r="Y555" s="10"/>
      <c r="Z555" s="11"/>
      <c r="AA555" s="36"/>
      <c r="AB555" s="36"/>
      <c r="AC555" s="13"/>
      <c r="AD555" s="13"/>
      <c r="AE555" s="37"/>
      <c r="AF555" s="37"/>
      <c r="AG555" s="14"/>
      <c r="AH555" s="14"/>
      <c r="AI555" s="14"/>
      <c r="AZ555" s="24"/>
    </row>
    <row r="556">
      <c r="B556" s="24"/>
      <c r="E556" s="113"/>
      <c r="F556" s="266"/>
      <c r="G556" s="113"/>
      <c r="K556" s="36"/>
      <c r="L556" s="117"/>
      <c r="M556" s="128"/>
      <c r="N556" s="117"/>
      <c r="R556" s="117"/>
      <c r="T556" s="117"/>
      <c r="V556" s="117"/>
      <c r="X556" s="117"/>
      <c r="Y556" s="10"/>
      <c r="Z556" s="11"/>
      <c r="AA556" s="36"/>
      <c r="AB556" s="36"/>
      <c r="AC556" s="13"/>
      <c r="AD556" s="13"/>
      <c r="AE556" s="37"/>
      <c r="AF556" s="37"/>
      <c r="AG556" s="14"/>
      <c r="AH556" s="14"/>
      <c r="AI556" s="14"/>
      <c r="AZ556" s="24"/>
    </row>
    <row r="557">
      <c r="B557" s="24"/>
      <c r="E557" s="113"/>
      <c r="F557" s="266"/>
      <c r="G557" s="113"/>
      <c r="K557" s="36"/>
      <c r="L557" s="117"/>
      <c r="M557" s="128"/>
      <c r="N557" s="117"/>
      <c r="R557" s="117"/>
      <c r="T557" s="117"/>
      <c r="V557" s="117"/>
      <c r="X557" s="117"/>
      <c r="Y557" s="10"/>
      <c r="Z557" s="11"/>
      <c r="AA557" s="36"/>
      <c r="AB557" s="36"/>
      <c r="AC557" s="13"/>
      <c r="AD557" s="13"/>
      <c r="AE557" s="37"/>
      <c r="AF557" s="37"/>
      <c r="AG557" s="14"/>
      <c r="AH557" s="14"/>
      <c r="AI557" s="14"/>
      <c r="AZ557" s="24"/>
    </row>
    <row r="558">
      <c r="B558" s="24"/>
      <c r="E558" s="113"/>
      <c r="F558" s="266"/>
      <c r="G558" s="113"/>
      <c r="K558" s="36"/>
      <c r="L558" s="117"/>
      <c r="M558" s="128"/>
      <c r="N558" s="117"/>
      <c r="R558" s="117"/>
      <c r="T558" s="117"/>
      <c r="V558" s="117"/>
      <c r="X558" s="117"/>
      <c r="Y558" s="10"/>
      <c r="Z558" s="11"/>
      <c r="AA558" s="36"/>
      <c r="AB558" s="36"/>
      <c r="AC558" s="13"/>
      <c r="AD558" s="13"/>
      <c r="AE558" s="37"/>
      <c r="AF558" s="37"/>
      <c r="AG558" s="14"/>
      <c r="AH558" s="14"/>
      <c r="AI558" s="14"/>
      <c r="AZ558" s="24"/>
    </row>
    <row r="559">
      <c r="B559" s="24"/>
      <c r="E559" s="113"/>
      <c r="F559" s="266"/>
      <c r="G559" s="113"/>
      <c r="K559" s="36"/>
      <c r="L559" s="117"/>
      <c r="M559" s="128"/>
      <c r="N559" s="117"/>
      <c r="R559" s="117"/>
      <c r="T559" s="117"/>
      <c r="V559" s="117"/>
      <c r="X559" s="117"/>
      <c r="Y559" s="10"/>
      <c r="Z559" s="11"/>
      <c r="AA559" s="36"/>
      <c r="AB559" s="36"/>
      <c r="AC559" s="13"/>
      <c r="AD559" s="13"/>
      <c r="AE559" s="37"/>
      <c r="AF559" s="37"/>
      <c r="AG559" s="14"/>
      <c r="AH559" s="14"/>
      <c r="AI559" s="14"/>
      <c r="AZ559" s="24"/>
    </row>
    <row r="560">
      <c r="B560" s="24"/>
      <c r="E560" s="113"/>
      <c r="F560" s="266"/>
      <c r="G560" s="113"/>
      <c r="K560" s="36"/>
      <c r="L560" s="117"/>
      <c r="M560" s="128"/>
      <c r="N560" s="117"/>
      <c r="R560" s="117"/>
      <c r="T560" s="117"/>
      <c r="V560" s="117"/>
      <c r="X560" s="117"/>
      <c r="Y560" s="10"/>
      <c r="Z560" s="11"/>
      <c r="AA560" s="36"/>
      <c r="AB560" s="36"/>
      <c r="AC560" s="13"/>
      <c r="AD560" s="13"/>
      <c r="AE560" s="37"/>
      <c r="AF560" s="37"/>
      <c r="AG560" s="14"/>
      <c r="AH560" s="14"/>
      <c r="AI560" s="14"/>
      <c r="AZ560" s="24"/>
    </row>
    <row r="561">
      <c r="B561" s="24"/>
      <c r="E561" s="113"/>
      <c r="F561" s="266"/>
      <c r="G561" s="113"/>
      <c r="K561" s="36"/>
      <c r="L561" s="117"/>
      <c r="M561" s="128"/>
      <c r="N561" s="117"/>
      <c r="R561" s="117"/>
      <c r="T561" s="117"/>
      <c r="V561" s="117"/>
      <c r="X561" s="117"/>
      <c r="Y561" s="10"/>
      <c r="Z561" s="11"/>
      <c r="AA561" s="36"/>
      <c r="AB561" s="36"/>
      <c r="AC561" s="13"/>
      <c r="AD561" s="13"/>
      <c r="AE561" s="37"/>
      <c r="AF561" s="37"/>
      <c r="AG561" s="14"/>
      <c r="AH561" s="14"/>
      <c r="AI561" s="14"/>
      <c r="AZ561" s="24"/>
    </row>
    <row r="562">
      <c r="B562" s="24"/>
      <c r="E562" s="113"/>
      <c r="F562" s="266"/>
      <c r="G562" s="113"/>
      <c r="K562" s="36"/>
      <c r="L562" s="117"/>
      <c r="M562" s="128"/>
      <c r="N562" s="117"/>
      <c r="R562" s="117"/>
      <c r="T562" s="117"/>
      <c r="V562" s="117"/>
      <c r="X562" s="117"/>
      <c r="Y562" s="10"/>
      <c r="Z562" s="11"/>
      <c r="AA562" s="36"/>
      <c r="AB562" s="36"/>
      <c r="AC562" s="13"/>
      <c r="AD562" s="13"/>
      <c r="AE562" s="37"/>
      <c r="AF562" s="37"/>
      <c r="AG562" s="14"/>
      <c r="AH562" s="14"/>
      <c r="AI562" s="14"/>
      <c r="AZ562" s="24"/>
    </row>
    <row r="563">
      <c r="B563" s="24"/>
      <c r="E563" s="113"/>
      <c r="F563" s="266"/>
      <c r="G563" s="113"/>
      <c r="K563" s="36"/>
      <c r="L563" s="117"/>
      <c r="M563" s="128"/>
      <c r="N563" s="117"/>
      <c r="R563" s="117"/>
      <c r="T563" s="117"/>
      <c r="V563" s="117"/>
      <c r="X563" s="117"/>
      <c r="Y563" s="10"/>
      <c r="Z563" s="11"/>
      <c r="AA563" s="36"/>
      <c r="AB563" s="36"/>
      <c r="AC563" s="13"/>
      <c r="AD563" s="13"/>
      <c r="AE563" s="37"/>
      <c r="AF563" s="37"/>
      <c r="AG563" s="14"/>
      <c r="AH563" s="14"/>
      <c r="AI563" s="14"/>
      <c r="AZ563" s="24"/>
    </row>
    <row r="564">
      <c r="B564" s="24"/>
      <c r="E564" s="113"/>
      <c r="F564" s="266"/>
      <c r="G564" s="113"/>
      <c r="K564" s="36"/>
      <c r="L564" s="117"/>
      <c r="M564" s="128"/>
      <c r="N564" s="117"/>
      <c r="R564" s="117"/>
      <c r="T564" s="117"/>
      <c r="V564" s="117"/>
      <c r="X564" s="117"/>
      <c r="Y564" s="10"/>
      <c r="Z564" s="11"/>
      <c r="AA564" s="36"/>
      <c r="AB564" s="36"/>
      <c r="AC564" s="13"/>
      <c r="AD564" s="13"/>
      <c r="AE564" s="37"/>
      <c r="AF564" s="37"/>
      <c r="AG564" s="14"/>
      <c r="AH564" s="14"/>
      <c r="AI564" s="14"/>
      <c r="AZ564" s="24"/>
    </row>
    <row r="565">
      <c r="B565" s="24"/>
      <c r="E565" s="113"/>
      <c r="F565" s="266"/>
      <c r="G565" s="113"/>
      <c r="K565" s="36"/>
      <c r="L565" s="117"/>
      <c r="M565" s="128"/>
      <c r="N565" s="117"/>
      <c r="R565" s="117"/>
      <c r="T565" s="117"/>
      <c r="V565" s="117"/>
      <c r="X565" s="117"/>
      <c r="Y565" s="10"/>
      <c r="Z565" s="11"/>
      <c r="AA565" s="36"/>
      <c r="AB565" s="36"/>
      <c r="AC565" s="13"/>
      <c r="AD565" s="13"/>
      <c r="AE565" s="37"/>
      <c r="AF565" s="37"/>
      <c r="AG565" s="14"/>
      <c r="AH565" s="14"/>
      <c r="AI565" s="14"/>
      <c r="AZ565" s="24"/>
    </row>
    <row r="566">
      <c r="B566" s="24"/>
      <c r="E566" s="113"/>
      <c r="F566" s="266"/>
      <c r="G566" s="113"/>
      <c r="K566" s="36"/>
      <c r="L566" s="117"/>
      <c r="M566" s="128"/>
      <c r="N566" s="117"/>
      <c r="R566" s="117"/>
      <c r="T566" s="117"/>
      <c r="V566" s="117"/>
      <c r="X566" s="117"/>
      <c r="Y566" s="10"/>
      <c r="Z566" s="11"/>
      <c r="AA566" s="36"/>
      <c r="AB566" s="36"/>
      <c r="AC566" s="13"/>
      <c r="AD566" s="13"/>
      <c r="AE566" s="37"/>
      <c r="AF566" s="37"/>
      <c r="AG566" s="14"/>
      <c r="AH566" s="14"/>
      <c r="AI566" s="14"/>
      <c r="AZ566" s="24"/>
    </row>
    <row r="567">
      <c r="B567" s="24"/>
      <c r="E567" s="113"/>
      <c r="F567" s="266"/>
      <c r="G567" s="113"/>
      <c r="K567" s="36"/>
      <c r="L567" s="117"/>
      <c r="M567" s="128"/>
      <c r="N567" s="117"/>
      <c r="R567" s="117"/>
      <c r="T567" s="117"/>
      <c r="V567" s="117"/>
      <c r="X567" s="117"/>
      <c r="Y567" s="10"/>
      <c r="Z567" s="11"/>
      <c r="AA567" s="36"/>
      <c r="AB567" s="36"/>
      <c r="AC567" s="13"/>
      <c r="AD567" s="13"/>
      <c r="AE567" s="37"/>
      <c r="AF567" s="37"/>
      <c r="AG567" s="14"/>
      <c r="AH567" s="14"/>
      <c r="AI567" s="14"/>
      <c r="AZ567" s="24"/>
    </row>
    <row r="568">
      <c r="B568" s="24"/>
      <c r="E568" s="113"/>
      <c r="F568" s="266"/>
      <c r="G568" s="113"/>
      <c r="K568" s="36"/>
      <c r="L568" s="117"/>
      <c r="M568" s="128"/>
      <c r="N568" s="117"/>
      <c r="R568" s="117"/>
      <c r="T568" s="117"/>
      <c r="V568" s="117"/>
      <c r="X568" s="117"/>
      <c r="Y568" s="10"/>
      <c r="Z568" s="11"/>
      <c r="AA568" s="36"/>
      <c r="AB568" s="36"/>
      <c r="AC568" s="13"/>
      <c r="AD568" s="13"/>
      <c r="AE568" s="37"/>
      <c r="AF568" s="37"/>
      <c r="AG568" s="14"/>
      <c r="AH568" s="14"/>
      <c r="AI568" s="14"/>
      <c r="AZ568" s="24"/>
    </row>
    <row r="569">
      <c r="B569" s="24"/>
      <c r="E569" s="113"/>
      <c r="F569" s="266"/>
      <c r="G569" s="113"/>
      <c r="K569" s="36"/>
      <c r="L569" s="117"/>
      <c r="M569" s="128"/>
      <c r="N569" s="117"/>
      <c r="R569" s="117"/>
      <c r="T569" s="117"/>
      <c r="V569" s="117"/>
      <c r="X569" s="117"/>
      <c r="Y569" s="10"/>
      <c r="Z569" s="11"/>
      <c r="AA569" s="36"/>
      <c r="AB569" s="36"/>
      <c r="AC569" s="13"/>
      <c r="AD569" s="13"/>
      <c r="AE569" s="37"/>
      <c r="AF569" s="37"/>
      <c r="AG569" s="14"/>
      <c r="AH569" s="14"/>
      <c r="AI569" s="14"/>
      <c r="AZ569" s="24"/>
    </row>
    <row r="570">
      <c r="B570" s="24"/>
      <c r="E570" s="113"/>
      <c r="F570" s="266"/>
      <c r="G570" s="113"/>
      <c r="K570" s="36"/>
      <c r="L570" s="117"/>
      <c r="M570" s="128"/>
      <c r="N570" s="117"/>
      <c r="R570" s="117"/>
      <c r="T570" s="117"/>
      <c r="V570" s="117"/>
      <c r="X570" s="117"/>
      <c r="Y570" s="10"/>
      <c r="Z570" s="11"/>
      <c r="AA570" s="36"/>
      <c r="AB570" s="36"/>
      <c r="AC570" s="13"/>
      <c r="AD570" s="13"/>
      <c r="AE570" s="37"/>
      <c r="AF570" s="37"/>
      <c r="AG570" s="14"/>
      <c r="AH570" s="14"/>
      <c r="AI570" s="14"/>
      <c r="AZ570" s="24"/>
    </row>
    <row r="571">
      <c r="B571" s="24"/>
      <c r="E571" s="113"/>
      <c r="F571" s="266"/>
      <c r="G571" s="113"/>
      <c r="K571" s="36"/>
      <c r="L571" s="117"/>
      <c r="M571" s="128"/>
      <c r="N571" s="117"/>
      <c r="R571" s="117"/>
      <c r="T571" s="117"/>
      <c r="V571" s="117"/>
      <c r="X571" s="117"/>
      <c r="Y571" s="10"/>
      <c r="Z571" s="11"/>
      <c r="AA571" s="36"/>
      <c r="AB571" s="36"/>
      <c r="AC571" s="13"/>
      <c r="AD571" s="13"/>
      <c r="AE571" s="37"/>
      <c r="AF571" s="37"/>
      <c r="AG571" s="14"/>
      <c r="AH571" s="14"/>
      <c r="AI571" s="14"/>
      <c r="AZ571" s="24"/>
    </row>
    <row r="572">
      <c r="B572" s="24"/>
      <c r="E572" s="113"/>
      <c r="F572" s="266"/>
      <c r="G572" s="113"/>
      <c r="K572" s="36"/>
      <c r="L572" s="117"/>
      <c r="M572" s="128"/>
      <c r="N572" s="117"/>
      <c r="R572" s="117"/>
      <c r="T572" s="117"/>
      <c r="V572" s="117"/>
      <c r="X572" s="117"/>
      <c r="Y572" s="10"/>
      <c r="Z572" s="11"/>
      <c r="AA572" s="36"/>
      <c r="AB572" s="36"/>
      <c r="AC572" s="13"/>
      <c r="AD572" s="13"/>
      <c r="AE572" s="37"/>
      <c r="AF572" s="37"/>
      <c r="AG572" s="14"/>
      <c r="AH572" s="14"/>
      <c r="AI572" s="14"/>
      <c r="AZ572" s="24"/>
    </row>
    <row r="573">
      <c r="B573" s="24"/>
      <c r="E573" s="113"/>
      <c r="F573" s="266"/>
      <c r="G573" s="113"/>
      <c r="K573" s="36"/>
      <c r="L573" s="117"/>
      <c r="M573" s="128"/>
      <c r="N573" s="117"/>
      <c r="R573" s="117"/>
      <c r="T573" s="117"/>
      <c r="V573" s="117"/>
      <c r="X573" s="117"/>
      <c r="Y573" s="10"/>
      <c r="Z573" s="11"/>
      <c r="AA573" s="36"/>
      <c r="AB573" s="36"/>
      <c r="AC573" s="13"/>
      <c r="AD573" s="13"/>
      <c r="AE573" s="37"/>
      <c r="AF573" s="37"/>
      <c r="AG573" s="14"/>
      <c r="AH573" s="14"/>
      <c r="AI573" s="14"/>
      <c r="AZ573" s="24"/>
    </row>
    <row r="574">
      <c r="B574" s="24"/>
      <c r="E574" s="113"/>
      <c r="F574" s="266"/>
      <c r="G574" s="113"/>
      <c r="K574" s="36"/>
      <c r="L574" s="117"/>
      <c r="M574" s="128"/>
      <c r="N574" s="117"/>
      <c r="R574" s="117"/>
      <c r="T574" s="117"/>
      <c r="V574" s="117"/>
      <c r="X574" s="117"/>
      <c r="Y574" s="10"/>
      <c r="Z574" s="11"/>
      <c r="AA574" s="36"/>
      <c r="AB574" s="36"/>
      <c r="AC574" s="13"/>
      <c r="AD574" s="13"/>
      <c r="AE574" s="37"/>
      <c r="AF574" s="37"/>
      <c r="AG574" s="14"/>
      <c r="AH574" s="14"/>
      <c r="AI574" s="14"/>
      <c r="AZ574" s="24"/>
    </row>
    <row r="575">
      <c r="B575" s="24"/>
      <c r="E575" s="113"/>
      <c r="F575" s="266"/>
      <c r="G575" s="113"/>
      <c r="K575" s="36"/>
      <c r="L575" s="117"/>
      <c r="M575" s="128"/>
      <c r="N575" s="117"/>
      <c r="R575" s="117"/>
      <c r="T575" s="117"/>
      <c r="V575" s="117"/>
      <c r="X575" s="117"/>
      <c r="Y575" s="10"/>
      <c r="Z575" s="11"/>
      <c r="AA575" s="36"/>
      <c r="AB575" s="36"/>
      <c r="AC575" s="13"/>
      <c r="AD575" s="13"/>
      <c r="AE575" s="37"/>
      <c r="AF575" s="37"/>
      <c r="AG575" s="14"/>
      <c r="AH575" s="14"/>
      <c r="AI575" s="14"/>
      <c r="AZ575" s="24"/>
    </row>
    <row r="576">
      <c r="B576" s="24"/>
      <c r="E576" s="113"/>
      <c r="F576" s="266"/>
      <c r="G576" s="113"/>
      <c r="K576" s="36"/>
      <c r="L576" s="117"/>
      <c r="M576" s="128"/>
      <c r="N576" s="117"/>
      <c r="R576" s="117"/>
      <c r="T576" s="117"/>
      <c r="V576" s="117"/>
      <c r="X576" s="117"/>
      <c r="Y576" s="10"/>
      <c r="Z576" s="11"/>
      <c r="AA576" s="36"/>
      <c r="AB576" s="36"/>
      <c r="AC576" s="13"/>
      <c r="AD576" s="13"/>
      <c r="AE576" s="37"/>
      <c r="AF576" s="37"/>
      <c r="AG576" s="14"/>
      <c r="AH576" s="14"/>
      <c r="AI576" s="14"/>
      <c r="AZ576" s="24"/>
    </row>
    <row r="577">
      <c r="B577" s="24"/>
      <c r="E577" s="113"/>
      <c r="F577" s="266"/>
      <c r="G577" s="113"/>
      <c r="K577" s="36"/>
      <c r="L577" s="117"/>
      <c r="M577" s="128"/>
      <c r="N577" s="117"/>
      <c r="R577" s="117"/>
      <c r="T577" s="117"/>
      <c r="V577" s="117"/>
      <c r="X577" s="117"/>
      <c r="Y577" s="10"/>
      <c r="Z577" s="11"/>
      <c r="AA577" s="36"/>
      <c r="AB577" s="36"/>
      <c r="AC577" s="13"/>
      <c r="AD577" s="13"/>
      <c r="AE577" s="37"/>
      <c r="AF577" s="37"/>
      <c r="AG577" s="14"/>
      <c r="AH577" s="14"/>
      <c r="AI577" s="14"/>
      <c r="AZ577" s="24"/>
    </row>
    <row r="578">
      <c r="B578" s="24"/>
      <c r="E578" s="113"/>
      <c r="F578" s="266"/>
      <c r="G578" s="113"/>
      <c r="K578" s="36"/>
      <c r="L578" s="117"/>
      <c r="M578" s="128"/>
      <c r="N578" s="117"/>
      <c r="R578" s="117"/>
      <c r="T578" s="117"/>
      <c r="V578" s="117"/>
      <c r="X578" s="117"/>
      <c r="Y578" s="10"/>
      <c r="Z578" s="11"/>
      <c r="AA578" s="36"/>
      <c r="AB578" s="36"/>
      <c r="AC578" s="13"/>
      <c r="AD578" s="13"/>
      <c r="AE578" s="37"/>
      <c r="AF578" s="37"/>
      <c r="AG578" s="14"/>
      <c r="AH578" s="14"/>
      <c r="AI578" s="14"/>
      <c r="AZ578" s="24"/>
    </row>
    <row r="579">
      <c r="B579" s="24"/>
      <c r="E579" s="113"/>
      <c r="F579" s="266"/>
      <c r="G579" s="113"/>
      <c r="K579" s="36"/>
      <c r="L579" s="117"/>
      <c r="M579" s="128"/>
      <c r="N579" s="117"/>
      <c r="R579" s="117"/>
      <c r="T579" s="117"/>
      <c r="V579" s="117"/>
      <c r="X579" s="117"/>
      <c r="Y579" s="10"/>
      <c r="Z579" s="11"/>
      <c r="AA579" s="36"/>
      <c r="AB579" s="36"/>
      <c r="AC579" s="13"/>
      <c r="AD579" s="13"/>
      <c r="AE579" s="37"/>
      <c r="AF579" s="37"/>
      <c r="AG579" s="14"/>
      <c r="AH579" s="14"/>
      <c r="AI579" s="14"/>
      <c r="AZ579" s="24"/>
    </row>
    <row r="580">
      <c r="B580" s="24"/>
      <c r="E580" s="113"/>
      <c r="F580" s="266"/>
      <c r="G580" s="113"/>
      <c r="K580" s="36"/>
      <c r="L580" s="117"/>
      <c r="M580" s="128"/>
      <c r="N580" s="117"/>
      <c r="R580" s="117"/>
      <c r="T580" s="117"/>
      <c r="V580" s="117"/>
      <c r="X580" s="117"/>
      <c r="Y580" s="10"/>
      <c r="Z580" s="11"/>
      <c r="AA580" s="36"/>
      <c r="AB580" s="36"/>
      <c r="AC580" s="13"/>
      <c r="AD580" s="13"/>
      <c r="AE580" s="37"/>
      <c r="AF580" s="37"/>
      <c r="AG580" s="14"/>
      <c r="AH580" s="14"/>
      <c r="AI580" s="14"/>
      <c r="AZ580" s="24"/>
    </row>
    <row r="581">
      <c r="B581" s="24"/>
      <c r="E581" s="113"/>
      <c r="F581" s="266"/>
      <c r="G581" s="113"/>
      <c r="K581" s="36"/>
      <c r="L581" s="117"/>
      <c r="M581" s="128"/>
      <c r="N581" s="117"/>
      <c r="R581" s="117"/>
      <c r="T581" s="117"/>
      <c r="V581" s="117"/>
      <c r="X581" s="117"/>
      <c r="Y581" s="10"/>
      <c r="Z581" s="11"/>
      <c r="AA581" s="36"/>
      <c r="AB581" s="36"/>
      <c r="AC581" s="13"/>
      <c r="AD581" s="13"/>
      <c r="AE581" s="37"/>
      <c r="AF581" s="37"/>
      <c r="AG581" s="14"/>
      <c r="AH581" s="14"/>
      <c r="AI581" s="14"/>
      <c r="AZ581" s="24"/>
    </row>
    <row r="582">
      <c r="B582" s="24"/>
      <c r="E582" s="113"/>
      <c r="F582" s="266"/>
      <c r="G582" s="113"/>
      <c r="K582" s="36"/>
      <c r="L582" s="117"/>
      <c r="M582" s="128"/>
      <c r="N582" s="117"/>
      <c r="R582" s="117"/>
      <c r="T582" s="117"/>
      <c r="V582" s="117"/>
      <c r="X582" s="117"/>
      <c r="Y582" s="10"/>
      <c r="Z582" s="11"/>
      <c r="AA582" s="36"/>
      <c r="AB582" s="36"/>
      <c r="AC582" s="13"/>
      <c r="AD582" s="13"/>
      <c r="AE582" s="37"/>
      <c r="AF582" s="37"/>
      <c r="AG582" s="14"/>
      <c r="AH582" s="14"/>
      <c r="AI582" s="14"/>
      <c r="AZ582" s="24"/>
    </row>
    <row r="583">
      <c r="B583" s="24"/>
      <c r="E583" s="113"/>
      <c r="F583" s="266"/>
      <c r="G583" s="113"/>
      <c r="K583" s="36"/>
      <c r="L583" s="117"/>
      <c r="M583" s="128"/>
      <c r="N583" s="117"/>
      <c r="R583" s="117"/>
      <c r="T583" s="117"/>
      <c r="V583" s="117"/>
      <c r="X583" s="117"/>
      <c r="Y583" s="10"/>
      <c r="Z583" s="11"/>
      <c r="AA583" s="36"/>
      <c r="AB583" s="36"/>
      <c r="AC583" s="13"/>
      <c r="AD583" s="13"/>
      <c r="AE583" s="37"/>
      <c r="AF583" s="37"/>
      <c r="AG583" s="14"/>
      <c r="AH583" s="14"/>
      <c r="AI583" s="14"/>
      <c r="AZ583" s="24"/>
    </row>
    <row r="584">
      <c r="B584" s="24"/>
      <c r="E584" s="113"/>
      <c r="F584" s="266"/>
      <c r="G584" s="113"/>
      <c r="K584" s="36"/>
      <c r="L584" s="117"/>
      <c r="M584" s="128"/>
      <c r="N584" s="117"/>
      <c r="R584" s="117"/>
      <c r="T584" s="117"/>
      <c r="V584" s="117"/>
      <c r="X584" s="117"/>
      <c r="Y584" s="10"/>
      <c r="Z584" s="11"/>
      <c r="AA584" s="36"/>
      <c r="AB584" s="36"/>
      <c r="AC584" s="13"/>
      <c r="AD584" s="13"/>
      <c r="AE584" s="37"/>
      <c r="AF584" s="37"/>
      <c r="AG584" s="14"/>
      <c r="AH584" s="14"/>
      <c r="AI584" s="14"/>
      <c r="AZ584" s="24"/>
    </row>
    <row r="585">
      <c r="B585" s="24"/>
      <c r="E585" s="113"/>
      <c r="F585" s="266"/>
      <c r="G585" s="113"/>
      <c r="K585" s="36"/>
      <c r="L585" s="117"/>
      <c r="M585" s="128"/>
      <c r="N585" s="117"/>
      <c r="R585" s="117"/>
      <c r="T585" s="117"/>
      <c r="V585" s="117"/>
      <c r="X585" s="117"/>
      <c r="Y585" s="10"/>
      <c r="Z585" s="11"/>
      <c r="AA585" s="36"/>
      <c r="AB585" s="36"/>
      <c r="AC585" s="13"/>
      <c r="AD585" s="13"/>
      <c r="AE585" s="37"/>
      <c r="AF585" s="37"/>
      <c r="AG585" s="14"/>
      <c r="AH585" s="14"/>
      <c r="AI585" s="14"/>
      <c r="AZ585" s="24"/>
    </row>
    <row r="586">
      <c r="B586" s="24"/>
      <c r="E586" s="113"/>
      <c r="F586" s="266"/>
      <c r="G586" s="113"/>
      <c r="K586" s="36"/>
      <c r="L586" s="117"/>
      <c r="M586" s="128"/>
      <c r="N586" s="117"/>
      <c r="R586" s="117"/>
      <c r="T586" s="117"/>
      <c r="V586" s="117"/>
      <c r="X586" s="117"/>
      <c r="Y586" s="10"/>
      <c r="Z586" s="11"/>
      <c r="AA586" s="36"/>
      <c r="AB586" s="36"/>
      <c r="AC586" s="13"/>
      <c r="AD586" s="13"/>
      <c r="AE586" s="37"/>
      <c r="AF586" s="37"/>
      <c r="AG586" s="14"/>
      <c r="AH586" s="14"/>
      <c r="AI586" s="14"/>
      <c r="AZ586" s="24"/>
    </row>
    <row r="587">
      <c r="B587" s="24"/>
      <c r="E587" s="113"/>
      <c r="F587" s="266"/>
      <c r="G587" s="113"/>
      <c r="K587" s="36"/>
      <c r="L587" s="117"/>
      <c r="M587" s="128"/>
      <c r="N587" s="117"/>
      <c r="R587" s="117"/>
      <c r="T587" s="117"/>
      <c r="V587" s="117"/>
      <c r="X587" s="117"/>
      <c r="Y587" s="10"/>
      <c r="Z587" s="11"/>
      <c r="AA587" s="36"/>
      <c r="AB587" s="36"/>
      <c r="AC587" s="13"/>
      <c r="AD587" s="13"/>
      <c r="AE587" s="37"/>
      <c r="AF587" s="37"/>
      <c r="AG587" s="14"/>
      <c r="AH587" s="14"/>
      <c r="AI587" s="14"/>
      <c r="AZ587" s="24"/>
    </row>
    <row r="588">
      <c r="B588" s="24"/>
      <c r="E588" s="113"/>
      <c r="F588" s="266"/>
      <c r="G588" s="113"/>
      <c r="K588" s="36"/>
      <c r="L588" s="117"/>
      <c r="M588" s="128"/>
      <c r="N588" s="117"/>
      <c r="R588" s="117"/>
      <c r="T588" s="117"/>
      <c r="V588" s="117"/>
      <c r="X588" s="117"/>
      <c r="Y588" s="10"/>
      <c r="Z588" s="11"/>
      <c r="AA588" s="36"/>
      <c r="AB588" s="36"/>
      <c r="AC588" s="13"/>
      <c r="AD588" s="13"/>
      <c r="AE588" s="37"/>
      <c r="AF588" s="37"/>
      <c r="AG588" s="14"/>
      <c r="AH588" s="14"/>
      <c r="AI588" s="14"/>
      <c r="AZ588" s="24"/>
    </row>
    <row r="589">
      <c r="B589" s="24"/>
      <c r="E589" s="113"/>
      <c r="F589" s="266"/>
      <c r="G589" s="113"/>
      <c r="K589" s="36"/>
      <c r="L589" s="117"/>
      <c r="M589" s="128"/>
      <c r="N589" s="117"/>
      <c r="R589" s="117"/>
      <c r="T589" s="117"/>
      <c r="V589" s="117"/>
      <c r="X589" s="117"/>
      <c r="Y589" s="10"/>
      <c r="Z589" s="11"/>
      <c r="AA589" s="36"/>
      <c r="AB589" s="36"/>
      <c r="AC589" s="13"/>
      <c r="AD589" s="13"/>
      <c r="AE589" s="37"/>
      <c r="AF589" s="37"/>
      <c r="AG589" s="14"/>
      <c r="AH589" s="14"/>
      <c r="AI589" s="14"/>
      <c r="AZ589" s="24"/>
    </row>
    <row r="590">
      <c r="B590" s="24"/>
      <c r="E590" s="113"/>
      <c r="F590" s="266"/>
      <c r="G590" s="113"/>
      <c r="K590" s="36"/>
      <c r="L590" s="117"/>
      <c r="M590" s="128"/>
      <c r="N590" s="117"/>
      <c r="R590" s="117"/>
      <c r="T590" s="117"/>
      <c r="V590" s="117"/>
      <c r="X590" s="117"/>
      <c r="Y590" s="10"/>
      <c r="Z590" s="11"/>
      <c r="AA590" s="36"/>
      <c r="AB590" s="36"/>
      <c r="AC590" s="13"/>
      <c r="AD590" s="13"/>
      <c r="AE590" s="37"/>
      <c r="AF590" s="37"/>
      <c r="AG590" s="14"/>
      <c r="AH590" s="14"/>
      <c r="AI590" s="14"/>
      <c r="AZ590" s="24"/>
    </row>
    <row r="591">
      <c r="B591" s="24"/>
      <c r="E591" s="113"/>
      <c r="F591" s="266"/>
      <c r="G591" s="113"/>
      <c r="K591" s="36"/>
      <c r="L591" s="117"/>
      <c r="M591" s="128"/>
      <c r="N591" s="117"/>
      <c r="R591" s="117"/>
      <c r="T591" s="117"/>
      <c r="V591" s="117"/>
      <c r="X591" s="117"/>
      <c r="Y591" s="10"/>
      <c r="Z591" s="11"/>
      <c r="AA591" s="36"/>
      <c r="AB591" s="36"/>
      <c r="AC591" s="13"/>
      <c r="AD591" s="13"/>
      <c r="AE591" s="37"/>
      <c r="AF591" s="37"/>
      <c r="AG591" s="14"/>
      <c r="AH591" s="14"/>
      <c r="AI591" s="14"/>
      <c r="AZ591" s="24"/>
    </row>
    <row r="592">
      <c r="B592" s="24"/>
      <c r="E592" s="113"/>
      <c r="F592" s="266"/>
      <c r="G592" s="113"/>
      <c r="K592" s="36"/>
      <c r="L592" s="117"/>
      <c r="M592" s="128"/>
      <c r="N592" s="117"/>
      <c r="R592" s="117"/>
      <c r="T592" s="117"/>
      <c r="V592" s="117"/>
      <c r="X592" s="117"/>
      <c r="Y592" s="10"/>
      <c r="Z592" s="11"/>
      <c r="AA592" s="36"/>
      <c r="AB592" s="36"/>
      <c r="AC592" s="13"/>
      <c r="AD592" s="13"/>
      <c r="AE592" s="37"/>
      <c r="AF592" s="37"/>
      <c r="AG592" s="14"/>
      <c r="AH592" s="14"/>
      <c r="AI592" s="14"/>
      <c r="AZ592" s="24"/>
    </row>
    <row r="593">
      <c r="B593" s="24"/>
      <c r="E593" s="113"/>
      <c r="F593" s="266"/>
      <c r="G593" s="113"/>
      <c r="K593" s="36"/>
      <c r="L593" s="117"/>
      <c r="M593" s="128"/>
      <c r="N593" s="117"/>
      <c r="R593" s="117"/>
      <c r="T593" s="117"/>
      <c r="V593" s="117"/>
      <c r="X593" s="117"/>
      <c r="Y593" s="10"/>
      <c r="Z593" s="11"/>
      <c r="AA593" s="36"/>
      <c r="AB593" s="36"/>
      <c r="AC593" s="13"/>
      <c r="AD593" s="13"/>
      <c r="AE593" s="37"/>
      <c r="AF593" s="37"/>
      <c r="AG593" s="14"/>
      <c r="AH593" s="14"/>
      <c r="AI593" s="14"/>
      <c r="AZ593" s="24"/>
    </row>
    <row r="594">
      <c r="B594" s="24"/>
      <c r="E594" s="113"/>
      <c r="F594" s="266"/>
      <c r="G594" s="113"/>
      <c r="K594" s="36"/>
      <c r="L594" s="117"/>
      <c r="M594" s="128"/>
      <c r="N594" s="117"/>
      <c r="R594" s="117"/>
      <c r="T594" s="117"/>
      <c r="V594" s="117"/>
      <c r="X594" s="117"/>
      <c r="Y594" s="10"/>
      <c r="Z594" s="11"/>
      <c r="AA594" s="36"/>
      <c r="AB594" s="36"/>
      <c r="AC594" s="13"/>
      <c r="AD594" s="13"/>
      <c r="AE594" s="37"/>
      <c r="AF594" s="37"/>
      <c r="AG594" s="14"/>
      <c r="AH594" s="14"/>
      <c r="AI594" s="14"/>
      <c r="AZ594" s="24"/>
    </row>
    <row r="595">
      <c r="B595" s="24"/>
      <c r="E595" s="113"/>
      <c r="F595" s="266"/>
      <c r="G595" s="113"/>
      <c r="K595" s="36"/>
      <c r="L595" s="117"/>
      <c r="M595" s="128"/>
      <c r="N595" s="117"/>
      <c r="R595" s="117"/>
      <c r="T595" s="117"/>
      <c r="V595" s="117"/>
      <c r="X595" s="117"/>
      <c r="Y595" s="10"/>
      <c r="Z595" s="11"/>
      <c r="AA595" s="36"/>
      <c r="AB595" s="36"/>
      <c r="AC595" s="13"/>
      <c r="AD595" s="13"/>
      <c r="AE595" s="37"/>
      <c r="AF595" s="37"/>
      <c r="AG595" s="14"/>
      <c r="AH595" s="14"/>
      <c r="AI595" s="14"/>
      <c r="AZ595" s="24"/>
    </row>
    <row r="596">
      <c r="B596" s="24"/>
      <c r="E596" s="113"/>
      <c r="F596" s="266"/>
      <c r="G596" s="113"/>
      <c r="K596" s="36"/>
      <c r="L596" s="117"/>
      <c r="M596" s="128"/>
      <c r="N596" s="117"/>
      <c r="R596" s="117"/>
      <c r="T596" s="117"/>
      <c r="V596" s="117"/>
      <c r="X596" s="117"/>
      <c r="Y596" s="10"/>
      <c r="Z596" s="11"/>
      <c r="AA596" s="36"/>
      <c r="AB596" s="36"/>
      <c r="AC596" s="13"/>
      <c r="AD596" s="13"/>
      <c r="AE596" s="37"/>
      <c r="AF596" s="37"/>
      <c r="AG596" s="14"/>
      <c r="AH596" s="14"/>
      <c r="AI596" s="14"/>
      <c r="AZ596" s="24"/>
    </row>
    <row r="597">
      <c r="B597" s="24"/>
      <c r="E597" s="113"/>
      <c r="F597" s="266"/>
      <c r="G597" s="113"/>
      <c r="K597" s="36"/>
      <c r="L597" s="117"/>
      <c r="M597" s="128"/>
      <c r="N597" s="117"/>
      <c r="R597" s="117"/>
      <c r="T597" s="117"/>
      <c r="V597" s="117"/>
      <c r="X597" s="117"/>
      <c r="Y597" s="10"/>
      <c r="Z597" s="11"/>
      <c r="AA597" s="36"/>
      <c r="AB597" s="36"/>
      <c r="AC597" s="13"/>
      <c r="AD597" s="13"/>
      <c r="AE597" s="37"/>
      <c r="AF597" s="37"/>
      <c r="AG597" s="14"/>
      <c r="AH597" s="14"/>
      <c r="AI597" s="14"/>
      <c r="AZ597" s="24"/>
    </row>
    <row r="598">
      <c r="B598" s="24"/>
      <c r="E598" s="113"/>
      <c r="F598" s="266"/>
      <c r="G598" s="113"/>
      <c r="K598" s="36"/>
      <c r="L598" s="117"/>
      <c r="M598" s="128"/>
      <c r="N598" s="117"/>
      <c r="R598" s="117"/>
      <c r="T598" s="117"/>
      <c r="V598" s="117"/>
      <c r="X598" s="117"/>
      <c r="Y598" s="10"/>
      <c r="Z598" s="11"/>
      <c r="AA598" s="36"/>
      <c r="AB598" s="36"/>
      <c r="AC598" s="13"/>
      <c r="AD598" s="13"/>
      <c r="AE598" s="37"/>
      <c r="AF598" s="37"/>
      <c r="AG598" s="14"/>
      <c r="AH598" s="14"/>
      <c r="AI598" s="14"/>
      <c r="AZ598" s="24"/>
    </row>
    <row r="599">
      <c r="B599" s="24"/>
      <c r="E599" s="113"/>
      <c r="F599" s="266"/>
      <c r="G599" s="113"/>
      <c r="K599" s="36"/>
      <c r="L599" s="117"/>
      <c r="M599" s="128"/>
      <c r="N599" s="117"/>
      <c r="R599" s="117"/>
      <c r="T599" s="117"/>
      <c r="V599" s="117"/>
      <c r="X599" s="117"/>
      <c r="Y599" s="10"/>
      <c r="Z599" s="11"/>
      <c r="AA599" s="36"/>
      <c r="AB599" s="36"/>
      <c r="AC599" s="13"/>
      <c r="AD599" s="13"/>
      <c r="AE599" s="37"/>
      <c r="AF599" s="37"/>
      <c r="AG599" s="14"/>
      <c r="AH599" s="14"/>
      <c r="AI599" s="14"/>
      <c r="AZ599" s="24"/>
    </row>
    <row r="600">
      <c r="B600" s="24"/>
      <c r="E600" s="113"/>
      <c r="F600" s="266"/>
      <c r="G600" s="113"/>
      <c r="K600" s="36"/>
      <c r="L600" s="117"/>
      <c r="M600" s="128"/>
      <c r="N600" s="117"/>
      <c r="R600" s="117"/>
      <c r="T600" s="117"/>
      <c r="V600" s="117"/>
      <c r="X600" s="117"/>
      <c r="Y600" s="10"/>
      <c r="Z600" s="11"/>
      <c r="AA600" s="36"/>
      <c r="AB600" s="36"/>
      <c r="AC600" s="13"/>
      <c r="AD600" s="13"/>
      <c r="AE600" s="37"/>
      <c r="AF600" s="37"/>
      <c r="AG600" s="14"/>
      <c r="AH600" s="14"/>
      <c r="AI600" s="14"/>
      <c r="AZ600" s="24"/>
    </row>
    <row r="601">
      <c r="B601" s="24"/>
      <c r="E601" s="113"/>
      <c r="F601" s="266"/>
      <c r="G601" s="113"/>
      <c r="K601" s="36"/>
      <c r="L601" s="117"/>
      <c r="M601" s="128"/>
      <c r="N601" s="117"/>
      <c r="R601" s="117"/>
      <c r="T601" s="117"/>
      <c r="V601" s="117"/>
      <c r="X601" s="117"/>
      <c r="Y601" s="10"/>
      <c r="Z601" s="11"/>
      <c r="AA601" s="36"/>
      <c r="AB601" s="36"/>
      <c r="AC601" s="13"/>
      <c r="AD601" s="13"/>
      <c r="AE601" s="37"/>
      <c r="AF601" s="37"/>
      <c r="AG601" s="14"/>
      <c r="AH601" s="14"/>
      <c r="AI601" s="14"/>
      <c r="AZ601" s="24"/>
    </row>
    <row r="602">
      <c r="B602" s="24"/>
      <c r="E602" s="113"/>
      <c r="F602" s="266"/>
      <c r="G602" s="113"/>
      <c r="K602" s="36"/>
      <c r="L602" s="117"/>
      <c r="M602" s="128"/>
      <c r="N602" s="117"/>
      <c r="R602" s="117"/>
      <c r="T602" s="117"/>
      <c r="V602" s="117"/>
      <c r="X602" s="117"/>
      <c r="Y602" s="10"/>
      <c r="Z602" s="11"/>
      <c r="AA602" s="36"/>
      <c r="AB602" s="36"/>
      <c r="AC602" s="13"/>
      <c r="AD602" s="13"/>
      <c r="AE602" s="37"/>
      <c r="AF602" s="37"/>
      <c r="AG602" s="14"/>
      <c r="AH602" s="14"/>
      <c r="AI602" s="14"/>
      <c r="AZ602" s="24"/>
    </row>
    <row r="603">
      <c r="B603" s="24"/>
      <c r="E603" s="113"/>
      <c r="F603" s="266"/>
      <c r="G603" s="113"/>
      <c r="K603" s="36"/>
      <c r="L603" s="117"/>
      <c r="M603" s="128"/>
      <c r="N603" s="117"/>
      <c r="R603" s="117"/>
      <c r="T603" s="117"/>
      <c r="V603" s="117"/>
      <c r="X603" s="117"/>
      <c r="Y603" s="10"/>
      <c r="Z603" s="11"/>
      <c r="AA603" s="36"/>
      <c r="AB603" s="36"/>
      <c r="AC603" s="13"/>
      <c r="AD603" s="13"/>
      <c r="AE603" s="37"/>
      <c r="AF603" s="37"/>
      <c r="AG603" s="14"/>
      <c r="AH603" s="14"/>
      <c r="AI603" s="14"/>
      <c r="AZ603" s="24"/>
    </row>
    <row r="604">
      <c r="B604" s="24"/>
      <c r="E604" s="113"/>
      <c r="F604" s="266"/>
      <c r="G604" s="113"/>
      <c r="K604" s="36"/>
      <c r="L604" s="117"/>
      <c r="M604" s="128"/>
      <c r="N604" s="117"/>
      <c r="R604" s="117"/>
      <c r="T604" s="117"/>
      <c r="V604" s="117"/>
      <c r="X604" s="117"/>
      <c r="Y604" s="10"/>
      <c r="Z604" s="11"/>
      <c r="AA604" s="36"/>
      <c r="AB604" s="36"/>
      <c r="AC604" s="13"/>
      <c r="AD604" s="13"/>
      <c r="AE604" s="37"/>
      <c r="AF604" s="37"/>
      <c r="AG604" s="14"/>
      <c r="AH604" s="14"/>
      <c r="AI604" s="14"/>
      <c r="AZ604" s="24"/>
    </row>
    <row r="605">
      <c r="B605" s="24"/>
      <c r="E605" s="113"/>
      <c r="F605" s="266"/>
      <c r="G605" s="113"/>
      <c r="K605" s="36"/>
      <c r="L605" s="117"/>
      <c r="M605" s="128"/>
      <c r="N605" s="117"/>
      <c r="R605" s="117"/>
      <c r="T605" s="117"/>
      <c r="V605" s="117"/>
      <c r="X605" s="117"/>
      <c r="Y605" s="10"/>
      <c r="Z605" s="11"/>
      <c r="AA605" s="36"/>
      <c r="AB605" s="36"/>
      <c r="AC605" s="13"/>
      <c r="AD605" s="13"/>
      <c r="AE605" s="37"/>
      <c r="AF605" s="37"/>
      <c r="AG605" s="14"/>
      <c r="AH605" s="14"/>
      <c r="AI605" s="14"/>
      <c r="AZ605" s="24"/>
    </row>
    <row r="606">
      <c r="B606" s="24"/>
      <c r="E606" s="113"/>
      <c r="F606" s="266"/>
      <c r="G606" s="113"/>
      <c r="K606" s="36"/>
      <c r="L606" s="117"/>
      <c r="M606" s="128"/>
      <c r="N606" s="117"/>
      <c r="R606" s="117"/>
      <c r="T606" s="117"/>
      <c r="V606" s="117"/>
      <c r="X606" s="117"/>
      <c r="Y606" s="10"/>
      <c r="Z606" s="11"/>
      <c r="AA606" s="36"/>
      <c r="AB606" s="36"/>
      <c r="AC606" s="13"/>
      <c r="AD606" s="13"/>
      <c r="AE606" s="37"/>
      <c r="AF606" s="37"/>
      <c r="AG606" s="14"/>
      <c r="AH606" s="14"/>
      <c r="AI606" s="14"/>
      <c r="AZ606" s="24"/>
    </row>
    <row r="607">
      <c r="B607" s="24"/>
      <c r="E607" s="113"/>
      <c r="F607" s="266"/>
      <c r="G607" s="113"/>
      <c r="K607" s="36"/>
      <c r="L607" s="117"/>
      <c r="M607" s="128"/>
      <c r="N607" s="117"/>
      <c r="R607" s="117"/>
      <c r="T607" s="117"/>
      <c r="V607" s="117"/>
      <c r="X607" s="117"/>
      <c r="Y607" s="10"/>
      <c r="Z607" s="11"/>
      <c r="AA607" s="36"/>
      <c r="AB607" s="36"/>
      <c r="AC607" s="13"/>
      <c r="AD607" s="13"/>
      <c r="AE607" s="37"/>
      <c r="AF607" s="37"/>
      <c r="AG607" s="14"/>
      <c r="AH607" s="14"/>
      <c r="AI607" s="14"/>
      <c r="AZ607" s="24"/>
    </row>
    <row r="608">
      <c r="B608" s="24"/>
      <c r="E608" s="113"/>
      <c r="F608" s="266"/>
      <c r="G608" s="113"/>
      <c r="K608" s="36"/>
      <c r="L608" s="117"/>
      <c r="M608" s="128"/>
      <c r="N608" s="117"/>
      <c r="R608" s="117"/>
      <c r="T608" s="117"/>
      <c r="V608" s="117"/>
      <c r="X608" s="117"/>
      <c r="Y608" s="10"/>
      <c r="Z608" s="11"/>
      <c r="AA608" s="36"/>
      <c r="AB608" s="36"/>
      <c r="AC608" s="13"/>
      <c r="AD608" s="13"/>
      <c r="AE608" s="37"/>
      <c r="AF608" s="37"/>
      <c r="AG608" s="14"/>
      <c r="AH608" s="14"/>
      <c r="AI608" s="14"/>
      <c r="AZ608" s="24"/>
    </row>
    <row r="609">
      <c r="B609" s="24"/>
      <c r="E609" s="113"/>
      <c r="F609" s="266"/>
      <c r="G609" s="113"/>
      <c r="K609" s="36"/>
      <c r="L609" s="117"/>
      <c r="M609" s="128"/>
      <c r="N609" s="117"/>
      <c r="R609" s="117"/>
      <c r="T609" s="117"/>
      <c r="V609" s="117"/>
      <c r="X609" s="117"/>
      <c r="Y609" s="10"/>
      <c r="Z609" s="11"/>
      <c r="AA609" s="36"/>
      <c r="AB609" s="36"/>
      <c r="AC609" s="13"/>
      <c r="AD609" s="13"/>
      <c r="AE609" s="37"/>
      <c r="AF609" s="37"/>
      <c r="AG609" s="14"/>
      <c r="AH609" s="14"/>
      <c r="AI609" s="14"/>
      <c r="AZ609" s="24"/>
    </row>
    <row r="610">
      <c r="B610" s="24"/>
      <c r="E610" s="113"/>
      <c r="F610" s="266"/>
      <c r="G610" s="113"/>
      <c r="K610" s="36"/>
      <c r="L610" s="117"/>
      <c r="M610" s="128"/>
      <c r="N610" s="117"/>
      <c r="R610" s="117"/>
      <c r="T610" s="117"/>
      <c r="V610" s="117"/>
      <c r="X610" s="117"/>
      <c r="Y610" s="10"/>
      <c r="Z610" s="11"/>
      <c r="AA610" s="36"/>
      <c r="AB610" s="36"/>
      <c r="AC610" s="13"/>
      <c r="AD610" s="13"/>
      <c r="AE610" s="37"/>
      <c r="AF610" s="37"/>
      <c r="AG610" s="14"/>
      <c r="AH610" s="14"/>
      <c r="AI610" s="14"/>
      <c r="AZ610" s="24"/>
    </row>
    <row r="611">
      <c r="B611" s="24"/>
      <c r="E611" s="113"/>
      <c r="F611" s="266"/>
      <c r="G611" s="113"/>
      <c r="K611" s="36"/>
      <c r="L611" s="117"/>
      <c r="M611" s="128"/>
      <c r="N611" s="117"/>
      <c r="R611" s="117"/>
      <c r="T611" s="117"/>
      <c r="V611" s="117"/>
      <c r="X611" s="117"/>
      <c r="Y611" s="10"/>
      <c r="Z611" s="11"/>
      <c r="AA611" s="36"/>
      <c r="AB611" s="36"/>
      <c r="AC611" s="13"/>
      <c r="AD611" s="13"/>
      <c r="AE611" s="37"/>
      <c r="AF611" s="37"/>
      <c r="AG611" s="14"/>
      <c r="AH611" s="14"/>
      <c r="AI611" s="14"/>
      <c r="AZ611" s="24"/>
    </row>
    <row r="612">
      <c r="B612" s="24"/>
      <c r="E612" s="113"/>
      <c r="F612" s="266"/>
      <c r="G612" s="113"/>
      <c r="K612" s="36"/>
      <c r="L612" s="117"/>
      <c r="M612" s="128"/>
      <c r="N612" s="117"/>
      <c r="R612" s="117"/>
      <c r="T612" s="117"/>
      <c r="V612" s="117"/>
      <c r="X612" s="117"/>
      <c r="Y612" s="10"/>
      <c r="Z612" s="11"/>
      <c r="AA612" s="36"/>
      <c r="AB612" s="36"/>
      <c r="AC612" s="13"/>
      <c r="AD612" s="13"/>
      <c r="AE612" s="37"/>
      <c r="AF612" s="37"/>
      <c r="AG612" s="14"/>
      <c r="AH612" s="14"/>
      <c r="AI612" s="14"/>
      <c r="AZ612" s="24"/>
    </row>
    <row r="613">
      <c r="B613" s="24"/>
      <c r="E613" s="113"/>
      <c r="F613" s="266"/>
      <c r="G613" s="113"/>
      <c r="K613" s="36"/>
      <c r="L613" s="117"/>
      <c r="M613" s="128"/>
      <c r="N613" s="117"/>
      <c r="R613" s="117"/>
      <c r="T613" s="117"/>
      <c r="V613" s="117"/>
      <c r="X613" s="117"/>
      <c r="Y613" s="10"/>
      <c r="Z613" s="11"/>
      <c r="AA613" s="36"/>
      <c r="AB613" s="36"/>
      <c r="AC613" s="13"/>
      <c r="AD613" s="13"/>
      <c r="AE613" s="37"/>
      <c r="AF613" s="37"/>
      <c r="AG613" s="14"/>
      <c r="AH613" s="14"/>
      <c r="AI613" s="14"/>
      <c r="AZ613" s="24"/>
    </row>
    <row r="614">
      <c r="B614" s="24"/>
      <c r="E614" s="113"/>
      <c r="F614" s="266"/>
      <c r="G614" s="113"/>
      <c r="K614" s="36"/>
      <c r="L614" s="117"/>
      <c r="M614" s="128"/>
      <c r="N614" s="117"/>
      <c r="R614" s="117"/>
      <c r="T614" s="117"/>
      <c r="V614" s="117"/>
      <c r="X614" s="117"/>
      <c r="Y614" s="10"/>
      <c r="Z614" s="11"/>
      <c r="AA614" s="36"/>
      <c r="AB614" s="36"/>
      <c r="AC614" s="13"/>
      <c r="AD614" s="13"/>
      <c r="AE614" s="37"/>
      <c r="AF614" s="37"/>
      <c r="AG614" s="14"/>
      <c r="AH614" s="14"/>
      <c r="AI614" s="14"/>
      <c r="AZ614" s="24"/>
    </row>
    <row r="615">
      <c r="B615" s="24"/>
      <c r="E615" s="113"/>
      <c r="F615" s="266"/>
      <c r="G615" s="113"/>
      <c r="K615" s="36"/>
      <c r="L615" s="117"/>
      <c r="M615" s="128"/>
      <c r="N615" s="117"/>
      <c r="R615" s="117"/>
      <c r="T615" s="117"/>
      <c r="V615" s="117"/>
      <c r="X615" s="117"/>
      <c r="Y615" s="10"/>
      <c r="Z615" s="11"/>
      <c r="AA615" s="36"/>
      <c r="AB615" s="36"/>
      <c r="AC615" s="13"/>
      <c r="AD615" s="13"/>
      <c r="AE615" s="37"/>
      <c r="AF615" s="37"/>
      <c r="AG615" s="14"/>
      <c r="AH615" s="14"/>
      <c r="AI615" s="14"/>
      <c r="AZ615" s="24"/>
    </row>
    <row r="616">
      <c r="B616" s="24"/>
      <c r="E616" s="113"/>
      <c r="F616" s="266"/>
      <c r="G616" s="113"/>
      <c r="K616" s="36"/>
      <c r="L616" s="117"/>
      <c r="M616" s="128"/>
      <c r="N616" s="117"/>
      <c r="R616" s="117"/>
      <c r="T616" s="117"/>
      <c r="V616" s="117"/>
      <c r="X616" s="117"/>
      <c r="Y616" s="10"/>
      <c r="Z616" s="11"/>
      <c r="AA616" s="36"/>
      <c r="AB616" s="36"/>
      <c r="AC616" s="13"/>
      <c r="AD616" s="13"/>
      <c r="AE616" s="37"/>
      <c r="AF616" s="37"/>
      <c r="AG616" s="14"/>
      <c r="AH616" s="14"/>
      <c r="AI616" s="14"/>
      <c r="AZ616" s="24"/>
    </row>
    <row r="617">
      <c r="B617" s="24"/>
      <c r="E617" s="113"/>
      <c r="F617" s="266"/>
      <c r="G617" s="113"/>
      <c r="K617" s="36"/>
      <c r="L617" s="117"/>
      <c r="M617" s="128"/>
      <c r="N617" s="117"/>
      <c r="R617" s="117"/>
      <c r="T617" s="117"/>
      <c r="V617" s="117"/>
      <c r="X617" s="117"/>
      <c r="Y617" s="10"/>
      <c r="Z617" s="11"/>
      <c r="AA617" s="36"/>
      <c r="AB617" s="36"/>
      <c r="AC617" s="13"/>
      <c r="AD617" s="13"/>
      <c r="AE617" s="37"/>
      <c r="AF617" s="37"/>
      <c r="AG617" s="14"/>
      <c r="AH617" s="14"/>
      <c r="AI617" s="14"/>
      <c r="AZ617" s="24"/>
    </row>
    <row r="618">
      <c r="B618" s="24"/>
      <c r="E618" s="113"/>
      <c r="F618" s="266"/>
      <c r="G618" s="113"/>
      <c r="K618" s="36"/>
      <c r="L618" s="117"/>
      <c r="M618" s="128"/>
      <c r="N618" s="117"/>
      <c r="R618" s="117"/>
      <c r="T618" s="117"/>
      <c r="V618" s="117"/>
      <c r="X618" s="117"/>
      <c r="Y618" s="10"/>
      <c r="Z618" s="11"/>
      <c r="AA618" s="36"/>
      <c r="AB618" s="36"/>
      <c r="AC618" s="13"/>
      <c r="AD618" s="13"/>
      <c r="AE618" s="37"/>
      <c r="AF618" s="37"/>
      <c r="AG618" s="14"/>
      <c r="AH618" s="14"/>
      <c r="AI618" s="14"/>
      <c r="AZ618" s="24"/>
    </row>
    <row r="619">
      <c r="B619" s="24"/>
      <c r="E619" s="113"/>
      <c r="F619" s="266"/>
      <c r="G619" s="113"/>
      <c r="K619" s="36"/>
      <c r="L619" s="117"/>
      <c r="M619" s="128"/>
      <c r="N619" s="117"/>
      <c r="R619" s="117"/>
      <c r="T619" s="117"/>
      <c r="V619" s="117"/>
      <c r="X619" s="117"/>
      <c r="Y619" s="10"/>
      <c r="Z619" s="11"/>
      <c r="AA619" s="36"/>
      <c r="AB619" s="36"/>
      <c r="AC619" s="13"/>
      <c r="AD619" s="13"/>
      <c r="AE619" s="37"/>
      <c r="AF619" s="37"/>
      <c r="AG619" s="14"/>
      <c r="AH619" s="14"/>
      <c r="AI619" s="14"/>
      <c r="AZ619" s="24"/>
    </row>
    <row r="620">
      <c r="B620" s="24"/>
      <c r="E620" s="113"/>
      <c r="F620" s="266"/>
      <c r="G620" s="113"/>
      <c r="K620" s="36"/>
      <c r="L620" s="117"/>
      <c r="M620" s="128"/>
      <c r="N620" s="117"/>
      <c r="R620" s="117"/>
      <c r="T620" s="117"/>
      <c r="V620" s="117"/>
      <c r="X620" s="117"/>
      <c r="Y620" s="10"/>
      <c r="Z620" s="11"/>
      <c r="AA620" s="36"/>
      <c r="AB620" s="36"/>
      <c r="AC620" s="13"/>
      <c r="AD620" s="13"/>
      <c r="AE620" s="37"/>
      <c r="AF620" s="37"/>
      <c r="AG620" s="14"/>
      <c r="AH620" s="14"/>
      <c r="AI620" s="14"/>
      <c r="AZ620" s="24"/>
    </row>
    <row r="621">
      <c r="B621" s="24"/>
      <c r="E621" s="113"/>
      <c r="F621" s="266"/>
      <c r="G621" s="113"/>
      <c r="K621" s="36"/>
      <c r="L621" s="117"/>
      <c r="M621" s="128"/>
      <c r="N621" s="117"/>
      <c r="R621" s="117"/>
      <c r="T621" s="117"/>
      <c r="V621" s="117"/>
      <c r="X621" s="117"/>
      <c r="Y621" s="10"/>
      <c r="Z621" s="11"/>
      <c r="AA621" s="36"/>
      <c r="AB621" s="36"/>
      <c r="AC621" s="13"/>
      <c r="AD621" s="13"/>
      <c r="AE621" s="37"/>
      <c r="AF621" s="37"/>
      <c r="AG621" s="14"/>
      <c r="AH621" s="14"/>
      <c r="AI621" s="14"/>
      <c r="AZ621" s="24"/>
    </row>
    <row r="622">
      <c r="B622" s="24"/>
      <c r="E622" s="113"/>
      <c r="F622" s="266"/>
      <c r="G622" s="113"/>
      <c r="K622" s="36"/>
      <c r="L622" s="117"/>
      <c r="M622" s="128"/>
      <c r="N622" s="117"/>
      <c r="R622" s="117"/>
      <c r="T622" s="117"/>
      <c r="V622" s="117"/>
      <c r="X622" s="117"/>
      <c r="Y622" s="10"/>
      <c r="Z622" s="11"/>
      <c r="AA622" s="36"/>
      <c r="AB622" s="36"/>
      <c r="AC622" s="13"/>
      <c r="AD622" s="13"/>
      <c r="AE622" s="37"/>
      <c r="AF622" s="37"/>
      <c r="AG622" s="14"/>
      <c r="AH622" s="14"/>
      <c r="AI622" s="14"/>
      <c r="AZ622" s="24"/>
    </row>
    <row r="623">
      <c r="B623" s="24"/>
      <c r="E623" s="113"/>
      <c r="F623" s="266"/>
      <c r="G623" s="113"/>
      <c r="K623" s="36"/>
      <c r="L623" s="117"/>
      <c r="M623" s="128"/>
      <c r="N623" s="117"/>
      <c r="R623" s="117"/>
      <c r="T623" s="117"/>
      <c r="V623" s="117"/>
      <c r="X623" s="117"/>
      <c r="Y623" s="10"/>
      <c r="Z623" s="11"/>
      <c r="AA623" s="36"/>
      <c r="AB623" s="36"/>
      <c r="AC623" s="13"/>
      <c r="AD623" s="13"/>
      <c r="AE623" s="37"/>
      <c r="AF623" s="37"/>
      <c r="AG623" s="14"/>
      <c r="AH623" s="14"/>
      <c r="AI623" s="14"/>
      <c r="AZ623" s="24"/>
    </row>
    <row r="624">
      <c r="B624" s="24"/>
      <c r="E624" s="113"/>
      <c r="F624" s="266"/>
      <c r="G624" s="113"/>
      <c r="K624" s="36"/>
      <c r="L624" s="117"/>
      <c r="M624" s="128"/>
      <c r="N624" s="117"/>
      <c r="R624" s="117"/>
      <c r="T624" s="117"/>
      <c r="V624" s="117"/>
      <c r="X624" s="117"/>
      <c r="Y624" s="10"/>
      <c r="Z624" s="11"/>
      <c r="AA624" s="36"/>
      <c r="AB624" s="36"/>
      <c r="AC624" s="13"/>
      <c r="AD624" s="13"/>
      <c r="AE624" s="37"/>
      <c r="AF624" s="37"/>
      <c r="AG624" s="14"/>
      <c r="AH624" s="14"/>
      <c r="AI624" s="14"/>
      <c r="AZ624" s="24"/>
    </row>
    <row r="625">
      <c r="B625" s="24"/>
      <c r="E625" s="113"/>
      <c r="F625" s="266"/>
      <c r="G625" s="113"/>
      <c r="K625" s="36"/>
      <c r="L625" s="117"/>
      <c r="M625" s="128"/>
      <c r="N625" s="117"/>
      <c r="R625" s="117"/>
      <c r="T625" s="117"/>
      <c r="V625" s="117"/>
      <c r="X625" s="117"/>
      <c r="Y625" s="10"/>
      <c r="Z625" s="11"/>
      <c r="AA625" s="36"/>
      <c r="AB625" s="36"/>
      <c r="AC625" s="13"/>
      <c r="AD625" s="13"/>
      <c r="AE625" s="37"/>
      <c r="AF625" s="37"/>
      <c r="AG625" s="14"/>
      <c r="AH625" s="14"/>
      <c r="AI625" s="14"/>
      <c r="AZ625" s="24"/>
    </row>
    <row r="626">
      <c r="B626" s="24"/>
      <c r="E626" s="113"/>
      <c r="F626" s="266"/>
      <c r="G626" s="113"/>
      <c r="K626" s="36"/>
      <c r="L626" s="117"/>
      <c r="M626" s="128"/>
      <c r="N626" s="117"/>
      <c r="R626" s="117"/>
      <c r="T626" s="117"/>
      <c r="V626" s="117"/>
      <c r="X626" s="117"/>
      <c r="Y626" s="10"/>
      <c r="Z626" s="11"/>
      <c r="AA626" s="36"/>
      <c r="AB626" s="36"/>
      <c r="AC626" s="13"/>
      <c r="AD626" s="13"/>
      <c r="AE626" s="37"/>
      <c r="AF626" s="37"/>
      <c r="AG626" s="14"/>
      <c r="AH626" s="14"/>
      <c r="AI626" s="14"/>
      <c r="AZ626" s="24"/>
    </row>
    <row r="627">
      <c r="B627" s="24"/>
      <c r="E627" s="113"/>
      <c r="F627" s="266"/>
      <c r="G627" s="113"/>
      <c r="K627" s="36"/>
      <c r="L627" s="117"/>
      <c r="M627" s="128"/>
      <c r="N627" s="117"/>
      <c r="R627" s="117"/>
      <c r="T627" s="117"/>
      <c r="V627" s="117"/>
      <c r="X627" s="117"/>
      <c r="Y627" s="10"/>
      <c r="Z627" s="11"/>
      <c r="AA627" s="36"/>
      <c r="AB627" s="36"/>
      <c r="AC627" s="13"/>
      <c r="AD627" s="13"/>
      <c r="AE627" s="37"/>
      <c r="AF627" s="37"/>
      <c r="AG627" s="14"/>
      <c r="AH627" s="14"/>
      <c r="AI627" s="14"/>
      <c r="AZ627" s="24"/>
    </row>
    <row r="628">
      <c r="B628" s="24"/>
      <c r="E628" s="113"/>
      <c r="F628" s="266"/>
      <c r="G628" s="113"/>
      <c r="K628" s="36"/>
      <c r="L628" s="117"/>
      <c r="M628" s="128"/>
      <c r="N628" s="117"/>
      <c r="R628" s="117"/>
      <c r="T628" s="117"/>
      <c r="V628" s="117"/>
      <c r="X628" s="117"/>
      <c r="Y628" s="10"/>
      <c r="Z628" s="11"/>
      <c r="AA628" s="36"/>
      <c r="AB628" s="36"/>
      <c r="AC628" s="13"/>
      <c r="AD628" s="13"/>
      <c r="AE628" s="37"/>
      <c r="AF628" s="37"/>
      <c r="AG628" s="14"/>
      <c r="AH628" s="14"/>
      <c r="AI628" s="14"/>
      <c r="AZ628" s="24"/>
    </row>
    <row r="629">
      <c r="B629" s="24"/>
      <c r="E629" s="113"/>
      <c r="F629" s="266"/>
      <c r="G629" s="113"/>
      <c r="K629" s="36"/>
      <c r="L629" s="117"/>
      <c r="M629" s="128"/>
      <c r="N629" s="117"/>
      <c r="R629" s="117"/>
      <c r="T629" s="117"/>
      <c r="V629" s="117"/>
      <c r="X629" s="117"/>
      <c r="Y629" s="10"/>
      <c r="Z629" s="11"/>
      <c r="AA629" s="36"/>
      <c r="AB629" s="36"/>
      <c r="AC629" s="13"/>
      <c r="AD629" s="13"/>
      <c r="AE629" s="37"/>
      <c r="AF629" s="37"/>
      <c r="AG629" s="14"/>
      <c r="AH629" s="14"/>
      <c r="AI629" s="14"/>
      <c r="AZ629" s="24"/>
    </row>
    <row r="630">
      <c r="B630" s="24"/>
      <c r="E630" s="113"/>
      <c r="F630" s="266"/>
      <c r="G630" s="113"/>
      <c r="K630" s="36"/>
      <c r="L630" s="117"/>
      <c r="M630" s="128"/>
      <c r="N630" s="117"/>
      <c r="R630" s="117"/>
      <c r="T630" s="117"/>
      <c r="V630" s="117"/>
      <c r="X630" s="117"/>
      <c r="Y630" s="10"/>
      <c r="Z630" s="11"/>
      <c r="AA630" s="36"/>
      <c r="AB630" s="36"/>
      <c r="AC630" s="13"/>
      <c r="AD630" s="13"/>
      <c r="AE630" s="37"/>
      <c r="AF630" s="37"/>
      <c r="AG630" s="14"/>
      <c r="AH630" s="14"/>
      <c r="AI630" s="14"/>
      <c r="AZ630" s="24"/>
    </row>
    <row r="631">
      <c r="B631" s="24"/>
      <c r="E631" s="113"/>
      <c r="F631" s="266"/>
      <c r="G631" s="113"/>
      <c r="K631" s="36"/>
      <c r="L631" s="117"/>
      <c r="M631" s="128"/>
      <c r="N631" s="117"/>
      <c r="R631" s="117"/>
      <c r="T631" s="117"/>
      <c r="V631" s="117"/>
      <c r="X631" s="117"/>
      <c r="Y631" s="10"/>
      <c r="Z631" s="11"/>
      <c r="AA631" s="36"/>
      <c r="AB631" s="36"/>
      <c r="AC631" s="13"/>
      <c r="AD631" s="13"/>
      <c r="AE631" s="37"/>
      <c r="AF631" s="37"/>
      <c r="AG631" s="14"/>
      <c r="AH631" s="14"/>
      <c r="AI631" s="14"/>
      <c r="AZ631" s="24"/>
    </row>
    <row r="632">
      <c r="B632" s="24"/>
      <c r="E632" s="113"/>
      <c r="F632" s="266"/>
      <c r="G632" s="113"/>
      <c r="K632" s="36"/>
      <c r="L632" s="117"/>
      <c r="M632" s="128"/>
      <c r="N632" s="117"/>
      <c r="R632" s="117"/>
      <c r="T632" s="117"/>
      <c r="V632" s="117"/>
      <c r="X632" s="117"/>
      <c r="Y632" s="10"/>
      <c r="Z632" s="11"/>
      <c r="AA632" s="36"/>
      <c r="AB632" s="36"/>
      <c r="AC632" s="13"/>
      <c r="AD632" s="13"/>
      <c r="AE632" s="37"/>
      <c r="AF632" s="37"/>
      <c r="AG632" s="14"/>
      <c r="AH632" s="14"/>
      <c r="AI632" s="14"/>
      <c r="AZ632" s="24"/>
    </row>
    <row r="633">
      <c r="B633" s="24"/>
      <c r="E633" s="113"/>
      <c r="F633" s="266"/>
      <c r="G633" s="113"/>
      <c r="K633" s="36"/>
      <c r="L633" s="117"/>
      <c r="M633" s="128"/>
      <c r="N633" s="117"/>
      <c r="R633" s="117"/>
      <c r="T633" s="117"/>
      <c r="V633" s="117"/>
      <c r="X633" s="117"/>
      <c r="Y633" s="10"/>
      <c r="Z633" s="11"/>
      <c r="AA633" s="36"/>
      <c r="AB633" s="36"/>
      <c r="AC633" s="13"/>
      <c r="AD633" s="13"/>
      <c r="AE633" s="37"/>
      <c r="AF633" s="37"/>
      <c r="AG633" s="14"/>
      <c r="AH633" s="14"/>
      <c r="AI633" s="14"/>
      <c r="AZ633" s="24"/>
    </row>
    <row r="634">
      <c r="B634" s="24"/>
      <c r="E634" s="113"/>
      <c r="F634" s="266"/>
      <c r="G634" s="113"/>
      <c r="K634" s="36"/>
      <c r="L634" s="117"/>
      <c r="M634" s="128"/>
      <c r="N634" s="117"/>
      <c r="R634" s="117"/>
      <c r="T634" s="117"/>
      <c r="V634" s="117"/>
      <c r="X634" s="117"/>
      <c r="Y634" s="10"/>
      <c r="Z634" s="11"/>
      <c r="AA634" s="36"/>
      <c r="AB634" s="36"/>
      <c r="AC634" s="13"/>
      <c r="AD634" s="13"/>
      <c r="AE634" s="37"/>
      <c r="AF634" s="37"/>
      <c r="AG634" s="14"/>
      <c r="AH634" s="14"/>
      <c r="AI634" s="14"/>
      <c r="AZ634" s="24"/>
    </row>
    <row r="635">
      <c r="B635" s="24"/>
      <c r="E635" s="113"/>
      <c r="F635" s="266"/>
      <c r="G635" s="113"/>
      <c r="K635" s="36"/>
      <c r="L635" s="117"/>
      <c r="M635" s="128"/>
      <c r="N635" s="117"/>
      <c r="R635" s="117"/>
      <c r="T635" s="117"/>
      <c r="V635" s="117"/>
      <c r="X635" s="117"/>
      <c r="Y635" s="10"/>
      <c r="Z635" s="11"/>
      <c r="AA635" s="36"/>
      <c r="AB635" s="36"/>
      <c r="AC635" s="13"/>
      <c r="AD635" s="13"/>
      <c r="AE635" s="37"/>
      <c r="AF635" s="37"/>
      <c r="AG635" s="14"/>
      <c r="AH635" s="14"/>
      <c r="AI635" s="14"/>
      <c r="AZ635" s="24"/>
    </row>
    <row r="636">
      <c r="B636" s="24"/>
      <c r="E636" s="113"/>
      <c r="F636" s="266"/>
      <c r="G636" s="113"/>
      <c r="K636" s="36"/>
      <c r="L636" s="117"/>
      <c r="M636" s="128"/>
      <c r="N636" s="117"/>
      <c r="R636" s="117"/>
      <c r="T636" s="117"/>
      <c r="V636" s="117"/>
      <c r="X636" s="117"/>
      <c r="Y636" s="10"/>
      <c r="Z636" s="11"/>
      <c r="AA636" s="36"/>
      <c r="AB636" s="36"/>
      <c r="AC636" s="13"/>
      <c r="AD636" s="13"/>
      <c r="AE636" s="37"/>
      <c r="AF636" s="37"/>
      <c r="AG636" s="14"/>
      <c r="AH636" s="14"/>
      <c r="AI636" s="14"/>
      <c r="AZ636" s="24"/>
    </row>
    <row r="637">
      <c r="B637" s="24"/>
      <c r="E637" s="113"/>
      <c r="F637" s="266"/>
      <c r="G637" s="113"/>
      <c r="K637" s="36"/>
      <c r="L637" s="117"/>
      <c r="M637" s="128"/>
      <c r="N637" s="117"/>
      <c r="R637" s="117"/>
      <c r="T637" s="117"/>
      <c r="V637" s="117"/>
      <c r="X637" s="117"/>
      <c r="Y637" s="10"/>
      <c r="Z637" s="11"/>
      <c r="AA637" s="36"/>
      <c r="AB637" s="36"/>
      <c r="AC637" s="13"/>
      <c r="AD637" s="13"/>
      <c r="AE637" s="37"/>
      <c r="AF637" s="37"/>
      <c r="AG637" s="14"/>
      <c r="AH637" s="14"/>
      <c r="AI637" s="14"/>
      <c r="AZ637" s="24"/>
    </row>
    <row r="638">
      <c r="B638" s="24"/>
      <c r="E638" s="113"/>
      <c r="F638" s="266"/>
      <c r="G638" s="113"/>
      <c r="K638" s="36"/>
      <c r="L638" s="117"/>
      <c r="M638" s="128"/>
      <c r="N638" s="117"/>
      <c r="R638" s="117"/>
      <c r="T638" s="117"/>
      <c r="V638" s="117"/>
      <c r="X638" s="117"/>
      <c r="Y638" s="10"/>
      <c r="Z638" s="11"/>
      <c r="AA638" s="36"/>
      <c r="AB638" s="36"/>
      <c r="AC638" s="13"/>
      <c r="AD638" s="13"/>
      <c r="AE638" s="37"/>
      <c r="AF638" s="37"/>
      <c r="AG638" s="14"/>
      <c r="AH638" s="14"/>
      <c r="AI638" s="14"/>
      <c r="AZ638" s="24"/>
    </row>
    <row r="639">
      <c r="B639" s="24"/>
      <c r="E639" s="113"/>
      <c r="F639" s="266"/>
      <c r="G639" s="113"/>
      <c r="K639" s="36"/>
      <c r="L639" s="117"/>
      <c r="M639" s="128"/>
      <c r="N639" s="117"/>
      <c r="R639" s="117"/>
      <c r="T639" s="117"/>
      <c r="V639" s="117"/>
      <c r="X639" s="117"/>
      <c r="Y639" s="10"/>
      <c r="Z639" s="11"/>
      <c r="AA639" s="36"/>
      <c r="AB639" s="36"/>
      <c r="AC639" s="13"/>
      <c r="AD639" s="13"/>
      <c r="AE639" s="37"/>
      <c r="AF639" s="37"/>
      <c r="AG639" s="14"/>
      <c r="AH639" s="14"/>
      <c r="AI639" s="14"/>
      <c r="AZ639" s="24"/>
    </row>
    <row r="640">
      <c r="B640" s="24"/>
      <c r="E640" s="113"/>
      <c r="F640" s="266"/>
      <c r="G640" s="113"/>
      <c r="K640" s="36"/>
      <c r="L640" s="117"/>
      <c r="M640" s="128"/>
      <c r="N640" s="117"/>
      <c r="R640" s="117"/>
      <c r="T640" s="117"/>
      <c r="V640" s="117"/>
      <c r="X640" s="117"/>
      <c r="Y640" s="10"/>
      <c r="Z640" s="11"/>
      <c r="AA640" s="36"/>
      <c r="AB640" s="36"/>
      <c r="AC640" s="13"/>
      <c r="AD640" s="13"/>
      <c r="AE640" s="37"/>
      <c r="AF640" s="37"/>
      <c r="AG640" s="14"/>
      <c r="AH640" s="14"/>
      <c r="AI640" s="14"/>
      <c r="AZ640" s="24"/>
    </row>
    <row r="641">
      <c r="B641" s="24"/>
      <c r="E641" s="113"/>
      <c r="F641" s="266"/>
      <c r="G641" s="113"/>
      <c r="K641" s="36"/>
      <c r="L641" s="117"/>
      <c r="M641" s="128"/>
      <c r="N641" s="117"/>
      <c r="R641" s="117"/>
      <c r="T641" s="117"/>
      <c r="V641" s="117"/>
      <c r="X641" s="117"/>
      <c r="Y641" s="10"/>
      <c r="Z641" s="11"/>
      <c r="AA641" s="36"/>
      <c r="AB641" s="36"/>
      <c r="AC641" s="13"/>
      <c r="AD641" s="13"/>
      <c r="AE641" s="37"/>
      <c r="AF641" s="37"/>
      <c r="AG641" s="14"/>
      <c r="AH641" s="14"/>
      <c r="AI641" s="14"/>
      <c r="AZ641" s="24"/>
    </row>
    <row r="642">
      <c r="B642" s="24"/>
      <c r="E642" s="113"/>
      <c r="F642" s="266"/>
      <c r="G642" s="113"/>
      <c r="K642" s="36"/>
      <c r="L642" s="117"/>
      <c r="M642" s="128"/>
      <c r="N642" s="117"/>
      <c r="R642" s="117"/>
      <c r="T642" s="117"/>
      <c r="V642" s="117"/>
      <c r="X642" s="117"/>
      <c r="Y642" s="10"/>
      <c r="Z642" s="11"/>
      <c r="AA642" s="36"/>
      <c r="AB642" s="36"/>
      <c r="AC642" s="13"/>
      <c r="AD642" s="13"/>
      <c r="AE642" s="37"/>
      <c r="AF642" s="37"/>
      <c r="AG642" s="14"/>
      <c r="AH642" s="14"/>
      <c r="AI642" s="14"/>
      <c r="AZ642" s="24"/>
    </row>
    <row r="643">
      <c r="B643" s="24"/>
      <c r="E643" s="113"/>
      <c r="F643" s="266"/>
      <c r="G643" s="113"/>
      <c r="K643" s="36"/>
      <c r="L643" s="117"/>
      <c r="M643" s="128"/>
      <c r="N643" s="117"/>
      <c r="R643" s="117"/>
      <c r="T643" s="117"/>
      <c r="V643" s="117"/>
      <c r="X643" s="117"/>
      <c r="Y643" s="10"/>
      <c r="Z643" s="11"/>
      <c r="AA643" s="36"/>
      <c r="AB643" s="36"/>
      <c r="AC643" s="13"/>
      <c r="AD643" s="13"/>
      <c r="AE643" s="37"/>
      <c r="AF643" s="37"/>
      <c r="AG643" s="14"/>
      <c r="AH643" s="14"/>
      <c r="AI643" s="14"/>
      <c r="AZ643" s="24"/>
    </row>
    <row r="644">
      <c r="B644" s="24"/>
      <c r="E644" s="113"/>
      <c r="F644" s="266"/>
      <c r="G644" s="113"/>
      <c r="K644" s="36"/>
      <c r="L644" s="117"/>
      <c r="M644" s="128"/>
      <c r="N644" s="117"/>
      <c r="R644" s="117"/>
      <c r="T644" s="117"/>
      <c r="V644" s="117"/>
      <c r="X644" s="117"/>
      <c r="Y644" s="10"/>
      <c r="Z644" s="11"/>
      <c r="AA644" s="36"/>
      <c r="AB644" s="36"/>
      <c r="AC644" s="13"/>
      <c r="AD644" s="13"/>
      <c r="AE644" s="37"/>
      <c r="AF644" s="37"/>
      <c r="AG644" s="14"/>
      <c r="AH644" s="14"/>
      <c r="AI644" s="14"/>
      <c r="AZ644" s="24"/>
    </row>
    <row r="645">
      <c r="B645" s="24"/>
      <c r="E645" s="113"/>
      <c r="F645" s="266"/>
      <c r="G645" s="113"/>
      <c r="K645" s="36"/>
      <c r="L645" s="117"/>
      <c r="M645" s="128"/>
      <c r="N645" s="117"/>
      <c r="R645" s="117"/>
      <c r="T645" s="117"/>
      <c r="V645" s="117"/>
      <c r="X645" s="117"/>
      <c r="Y645" s="10"/>
      <c r="Z645" s="11"/>
      <c r="AA645" s="36"/>
      <c r="AB645" s="36"/>
      <c r="AC645" s="13"/>
      <c r="AD645" s="13"/>
      <c r="AE645" s="37"/>
      <c r="AF645" s="37"/>
      <c r="AG645" s="14"/>
      <c r="AH645" s="14"/>
      <c r="AI645" s="14"/>
      <c r="AZ645" s="24"/>
    </row>
    <row r="646">
      <c r="B646" s="24"/>
      <c r="E646" s="113"/>
      <c r="F646" s="266"/>
      <c r="G646" s="113"/>
      <c r="K646" s="36"/>
      <c r="L646" s="117"/>
      <c r="M646" s="128"/>
      <c r="N646" s="117"/>
      <c r="R646" s="117"/>
      <c r="T646" s="117"/>
      <c r="V646" s="117"/>
      <c r="X646" s="117"/>
      <c r="Y646" s="10"/>
      <c r="Z646" s="11"/>
      <c r="AA646" s="36"/>
      <c r="AB646" s="36"/>
      <c r="AC646" s="13"/>
      <c r="AD646" s="13"/>
      <c r="AE646" s="37"/>
      <c r="AF646" s="37"/>
      <c r="AG646" s="14"/>
      <c r="AH646" s="14"/>
      <c r="AI646" s="14"/>
      <c r="AZ646" s="24"/>
    </row>
    <row r="647">
      <c r="B647" s="24"/>
      <c r="E647" s="113"/>
      <c r="F647" s="266"/>
      <c r="G647" s="113"/>
      <c r="K647" s="36"/>
      <c r="L647" s="117"/>
      <c r="M647" s="128"/>
      <c r="N647" s="117"/>
      <c r="R647" s="117"/>
      <c r="T647" s="117"/>
      <c r="V647" s="117"/>
      <c r="X647" s="117"/>
      <c r="Y647" s="10"/>
      <c r="Z647" s="11"/>
      <c r="AA647" s="36"/>
      <c r="AB647" s="36"/>
      <c r="AC647" s="13"/>
      <c r="AD647" s="13"/>
      <c r="AE647" s="37"/>
      <c r="AF647" s="37"/>
      <c r="AG647" s="14"/>
      <c r="AH647" s="14"/>
      <c r="AI647" s="14"/>
      <c r="AZ647" s="24"/>
    </row>
    <row r="648">
      <c r="B648" s="24"/>
      <c r="E648" s="113"/>
      <c r="F648" s="266"/>
      <c r="G648" s="113"/>
      <c r="K648" s="36"/>
      <c r="L648" s="117"/>
      <c r="M648" s="128"/>
      <c r="N648" s="117"/>
      <c r="R648" s="117"/>
      <c r="T648" s="117"/>
      <c r="V648" s="117"/>
      <c r="X648" s="117"/>
      <c r="Y648" s="10"/>
      <c r="Z648" s="11"/>
      <c r="AA648" s="36"/>
      <c r="AB648" s="36"/>
      <c r="AC648" s="13"/>
      <c r="AD648" s="13"/>
      <c r="AE648" s="37"/>
      <c r="AF648" s="37"/>
      <c r="AG648" s="14"/>
      <c r="AH648" s="14"/>
      <c r="AI648" s="14"/>
      <c r="AZ648" s="24"/>
    </row>
    <row r="649">
      <c r="B649" s="24"/>
      <c r="E649" s="113"/>
      <c r="F649" s="266"/>
      <c r="G649" s="113"/>
      <c r="K649" s="36"/>
      <c r="L649" s="117"/>
      <c r="M649" s="128"/>
      <c r="N649" s="117"/>
      <c r="R649" s="117"/>
      <c r="T649" s="117"/>
      <c r="V649" s="117"/>
      <c r="X649" s="117"/>
      <c r="Y649" s="10"/>
      <c r="Z649" s="11"/>
      <c r="AA649" s="36"/>
      <c r="AB649" s="36"/>
      <c r="AC649" s="13"/>
      <c r="AD649" s="13"/>
      <c r="AE649" s="37"/>
      <c r="AF649" s="37"/>
      <c r="AG649" s="14"/>
      <c r="AH649" s="14"/>
      <c r="AI649" s="14"/>
      <c r="AZ649" s="24"/>
    </row>
    <row r="650">
      <c r="B650" s="24"/>
      <c r="E650" s="113"/>
      <c r="F650" s="266"/>
      <c r="G650" s="113"/>
      <c r="K650" s="36"/>
      <c r="L650" s="117"/>
      <c r="M650" s="128"/>
      <c r="N650" s="117"/>
      <c r="R650" s="117"/>
      <c r="T650" s="117"/>
      <c r="V650" s="117"/>
      <c r="X650" s="117"/>
      <c r="Y650" s="10"/>
      <c r="Z650" s="11"/>
      <c r="AA650" s="36"/>
      <c r="AB650" s="36"/>
      <c r="AC650" s="13"/>
      <c r="AD650" s="13"/>
      <c r="AE650" s="37"/>
      <c r="AF650" s="37"/>
      <c r="AG650" s="14"/>
      <c r="AH650" s="14"/>
      <c r="AI650" s="14"/>
      <c r="AZ650" s="24"/>
    </row>
    <row r="651">
      <c r="B651" s="24"/>
      <c r="E651" s="113"/>
      <c r="F651" s="266"/>
      <c r="G651" s="113"/>
      <c r="K651" s="36"/>
      <c r="L651" s="117"/>
      <c r="M651" s="128"/>
      <c r="N651" s="117"/>
      <c r="R651" s="117"/>
      <c r="T651" s="117"/>
      <c r="V651" s="117"/>
      <c r="X651" s="117"/>
      <c r="Y651" s="10"/>
      <c r="Z651" s="11"/>
      <c r="AA651" s="36"/>
      <c r="AB651" s="36"/>
      <c r="AC651" s="13"/>
      <c r="AD651" s="13"/>
      <c r="AE651" s="37"/>
      <c r="AF651" s="37"/>
      <c r="AG651" s="14"/>
      <c r="AH651" s="14"/>
      <c r="AI651" s="14"/>
      <c r="AZ651" s="24"/>
    </row>
    <row r="652">
      <c r="B652" s="24"/>
      <c r="E652" s="113"/>
      <c r="F652" s="266"/>
      <c r="G652" s="113"/>
      <c r="K652" s="36"/>
      <c r="L652" s="117"/>
      <c r="M652" s="128"/>
      <c r="N652" s="117"/>
      <c r="R652" s="117"/>
      <c r="T652" s="117"/>
      <c r="V652" s="117"/>
      <c r="X652" s="117"/>
      <c r="Y652" s="10"/>
      <c r="Z652" s="11"/>
      <c r="AA652" s="36"/>
      <c r="AB652" s="36"/>
      <c r="AC652" s="13"/>
      <c r="AD652" s="13"/>
      <c r="AE652" s="37"/>
      <c r="AF652" s="37"/>
      <c r="AG652" s="14"/>
      <c r="AH652" s="14"/>
      <c r="AI652" s="14"/>
      <c r="AZ652" s="24"/>
    </row>
    <row r="653">
      <c r="B653" s="24"/>
      <c r="E653" s="113"/>
      <c r="F653" s="266"/>
      <c r="G653" s="113"/>
      <c r="K653" s="36"/>
      <c r="L653" s="117"/>
      <c r="M653" s="128"/>
      <c r="N653" s="117"/>
      <c r="R653" s="117"/>
      <c r="T653" s="117"/>
      <c r="V653" s="117"/>
      <c r="X653" s="117"/>
      <c r="Y653" s="10"/>
      <c r="Z653" s="11"/>
      <c r="AA653" s="36"/>
      <c r="AB653" s="36"/>
      <c r="AC653" s="13"/>
      <c r="AD653" s="13"/>
      <c r="AE653" s="37"/>
      <c r="AF653" s="37"/>
      <c r="AG653" s="14"/>
      <c r="AH653" s="14"/>
      <c r="AI653" s="14"/>
      <c r="AZ653" s="24"/>
    </row>
    <row r="654">
      <c r="B654" s="24"/>
      <c r="E654" s="113"/>
      <c r="F654" s="266"/>
      <c r="G654" s="113"/>
      <c r="K654" s="36"/>
      <c r="L654" s="117"/>
      <c r="M654" s="128"/>
      <c r="N654" s="117"/>
      <c r="R654" s="117"/>
      <c r="T654" s="117"/>
      <c r="V654" s="117"/>
      <c r="X654" s="117"/>
      <c r="Y654" s="10"/>
      <c r="Z654" s="11"/>
      <c r="AA654" s="36"/>
      <c r="AB654" s="36"/>
      <c r="AC654" s="13"/>
      <c r="AD654" s="13"/>
      <c r="AE654" s="37"/>
      <c r="AF654" s="37"/>
      <c r="AG654" s="14"/>
      <c r="AH654" s="14"/>
      <c r="AI654" s="14"/>
      <c r="AZ654" s="24"/>
    </row>
    <row r="655">
      <c r="B655" s="24"/>
      <c r="E655" s="113"/>
      <c r="F655" s="266"/>
      <c r="G655" s="113"/>
      <c r="K655" s="36"/>
      <c r="L655" s="117"/>
      <c r="M655" s="128"/>
      <c r="N655" s="117"/>
      <c r="R655" s="117"/>
      <c r="T655" s="117"/>
      <c r="V655" s="117"/>
      <c r="X655" s="117"/>
      <c r="Y655" s="10"/>
      <c r="Z655" s="11"/>
      <c r="AA655" s="36"/>
      <c r="AB655" s="36"/>
      <c r="AC655" s="13"/>
      <c r="AD655" s="13"/>
      <c r="AE655" s="37"/>
      <c r="AF655" s="37"/>
      <c r="AG655" s="14"/>
      <c r="AH655" s="14"/>
      <c r="AI655" s="14"/>
      <c r="AZ655" s="24"/>
    </row>
    <row r="656">
      <c r="B656" s="24"/>
      <c r="E656" s="113"/>
      <c r="F656" s="266"/>
      <c r="G656" s="113"/>
      <c r="K656" s="36"/>
      <c r="L656" s="117"/>
      <c r="M656" s="128"/>
      <c r="N656" s="117"/>
      <c r="R656" s="117"/>
      <c r="T656" s="117"/>
      <c r="V656" s="117"/>
      <c r="X656" s="117"/>
      <c r="Y656" s="10"/>
      <c r="Z656" s="11"/>
      <c r="AA656" s="36"/>
      <c r="AB656" s="36"/>
      <c r="AC656" s="13"/>
      <c r="AD656" s="13"/>
      <c r="AE656" s="37"/>
      <c r="AF656" s="37"/>
      <c r="AG656" s="14"/>
      <c r="AH656" s="14"/>
      <c r="AI656" s="14"/>
      <c r="AZ656" s="24"/>
    </row>
    <row r="657">
      <c r="B657" s="24"/>
      <c r="E657" s="113"/>
      <c r="F657" s="266"/>
      <c r="G657" s="113"/>
      <c r="K657" s="36"/>
      <c r="L657" s="117"/>
      <c r="M657" s="128"/>
      <c r="N657" s="117"/>
      <c r="R657" s="117"/>
      <c r="T657" s="117"/>
      <c r="V657" s="117"/>
      <c r="X657" s="117"/>
      <c r="Y657" s="10"/>
      <c r="Z657" s="11"/>
      <c r="AA657" s="36"/>
      <c r="AB657" s="36"/>
      <c r="AC657" s="13"/>
      <c r="AD657" s="13"/>
      <c r="AE657" s="37"/>
      <c r="AF657" s="37"/>
      <c r="AG657" s="14"/>
      <c r="AH657" s="14"/>
      <c r="AI657" s="14"/>
      <c r="AZ657" s="24"/>
    </row>
    <row r="658">
      <c r="B658" s="24"/>
      <c r="E658" s="113"/>
      <c r="F658" s="266"/>
      <c r="G658" s="113"/>
      <c r="K658" s="36"/>
      <c r="L658" s="117"/>
      <c r="M658" s="128"/>
      <c r="N658" s="117"/>
      <c r="R658" s="117"/>
      <c r="T658" s="117"/>
      <c r="V658" s="117"/>
      <c r="X658" s="117"/>
      <c r="Y658" s="10"/>
      <c r="Z658" s="11"/>
      <c r="AA658" s="36"/>
      <c r="AB658" s="36"/>
      <c r="AC658" s="13"/>
      <c r="AD658" s="13"/>
      <c r="AE658" s="37"/>
      <c r="AF658" s="37"/>
      <c r="AG658" s="14"/>
      <c r="AH658" s="14"/>
      <c r="AI658" s="14"/>
      <c r="AZ658" s="24"/>
    </row>
    <row r="659">
      <c r="B659" s="24"/>
      <c r="E659" s="113"/>
      <c r="F659" s="266"/>
      <c r="G659" s="113"/>
      <c r="K659" s="36"/>
      <c r="L659" s="117"/>
      <c r="M659" s="128"/>
      <c r="N659" s="117"/>
      <c r="R659" s="117"/>
      <c r="T659" s="117"/>
      <c r="V659" s="117"/>
      <c r="X659" s="117"/>
      <c r="Y659" s="10"/>
      <c r="Z659" s="11"/>
      <c r="AA659" s="36"/>
      <c r="AB659" s="36"/>
      <c r="AC659" s="13"/>
      <c r="AD659" s="13"/>
      <c r="AE659" s="37"/>
      <c r="AF659" s="37"/>
      <c r="AG659" s="14"/>
      <c r="AH659" s="14"/>
      <c r="AI659" s="14"/>
      <c r="AZ659" s="24"/>
    </row>
    <row r="660">
      <c r="B660" s="24"/>
      <c r="E660" s="113"/>
      <c r="F660" s="266"/>
      <c r="G660" s="113"/>
      <c r="K660" s="36"/>
      <c r="L660" s="117"/>
      <c r="M660" s="128"/>
      <c r="N660" s="117"/>
      <c r="R660" s="117"/>
      <c r="T660" s="117"/>
      <c r="V660" s="117"/>
      <c r="X660" s="117"/>
      <c r="Y660" s="10"/>
      <c r="Z660" s="11"/>
      <c r="AA660" s="36"/>
      <c r="AB660" s="36"/>
      <c r="AC660" s="13"/>
      <c r="AD660" s="13"/>
      <c r="AE660" s="37"/>
      <c r="AF660" s="37"/>
      <c r="AG660" s="14"/>
      <c r="AH660" s="14"/>
      <c r="AI660" s="14"/>
      <c r="AZ660" s="24"/>
    </row>
    <row r="661">
      <c r="B661" s="24"/>
      <c r="E661" s="113"/>
      <c r="F661" s="266"/>
      <c r="G661" s="113"/>
      <c r="K661" s="36"/>
      <c r="L661" s="117"/>
      <c r="M661" s="128"/>
      <c r="N661" s="117"/>
      <c r="R661" s="117"/>
      <c r="T661" s="117"/>
      <c r="V661" s="117"/>
      <c r="X661" s="117"/>
      <c r="Y661" s="10"/>
      <c r="Z661" s="11"/>
      <c r="AA661" s="36"/>
      <c r="AB661" s="36"/>
      <c r="AC661" s="13"/>
      <c r="AD661" s="13"/>
      <c r="AE661" s="37"/>
      <c r="AF661" s="37"/>
      <c r="AG661" s="14"/>
      <c r="AH661" s="14"/>
      <c r="AI661" s="14"/>
      <c r="AZ661" s="24"/>
    </row>
    <row r="662">
      <c r="B662" s="24"/>
      <c r="E662" s="113"/>
      <c r="F662" s="266"/>
      <c r="G662" s="113"/>
      <c r="K662" s="36"/>
      <c r="L662" s="117"/>
      <c r="M662" s="128"/>
      <c r="N662" s="117"/>
      <c r="R662" s="117"/>
      <c r="T662" s="117"/>
      <c r="V662" s="117"/>
      <c r="X662" s="117"/>
      <c r="Y662" s="10"/>
      <c r="Z662" s="11"/>
      <c r="AA662" s="36"/>
      <c r="AB662" s="36"/>
      <c r="AC662" s="13"/>
      <c r="AD662" s="13"/>
      <c r="AE662" s="37"/>
      <c r="AF662" s="37"/>
      <c r="AG662" s="14"/>
      <c r="AH662" s="14"/>
      <c r="AI662" s="14"/>
      <c r="AZ662" s="24"/>
    </row>
    <row r="663">
      <c r="B663" s="24"/>
      <c r="E663" s="113"/>
      <c r="F663" s="266"/>
      <c r="G663" s="113"/>
      <c r="K663" s="36"/>
      <c r="L663" s="117"/>
      <c r="M663" s="128"/>
      <c r="N663" s="117"/>
      <c r="R663" s="117"/>
      <c r="T663" s="117"/>
      <c r="V663" s="117"/>
      <c r="X663" s="117"/>
      <c r="Y663" s="10"/>
      <c r="Z663" s="11"/>
      <c r="AA663" s="36"/>
      <c r="AB663" s="36"/>
      <c r="AC663" s="13"/>
      <c r="AD663" s="13"/>
      <c r="AE663" s="37"/>
      <c r="AF663" s="37"/>
      <c r="AG663" s="14"/>
      <c r="AH663" s="14"/>
      <c r="AI663" s="14"/>
      <c r="AZ663" s="24"/>
    </row>
    <row r="664">
      <c r="B664" s="24"/>
      <c r="E664" s="113"/>
      <c r="F664" s="266"/>
      <c r="G664" s="113"/>
      <c r="K664" s="36"/>
      <c r="L664" s="117"/>
      <c r="M664" s="128"/>
      <c r="N664" s="117"/>
      <c r="R664" s="117"/>
      <c r="T664" s="117"/>
      <c r="V664" s="117"/>
      <c r="X664" s="117"/>
      <c r="Y664" s="10"/>
      <c r="Z664" s="11"/>
      <c r="AA664" s="36"/>
      <c r="AB664" s="36"/>
      <c r="AC664" s="13"/>
      <c r="AD664" s="13"/>
      <c r="AE664" s="37"/>
      <c r="AF664" s="37"/>
      <c r="AG664" s="14"/>
      <c r="AH664" s="14"/>
      <c r="AI664" s="14"/>
      <c r="AZ664" s="24"/>
    </row>
    <row r="665">
      <c r="B665" s="24"/>
      <c r="E665" s="113"/>
      <c r="F665" s="266"/>
      <c r="G665" s="113"/>
      <c r="K665" s="36"/>
      <c r="L665" s="117"/>
      <c r="M665" s="128"/>
      <c r="N665" s="117"/>
      <c r="R665" s="117"/>
      <c r="T665" s="117"/>
      <c r="V665" s="117"/>
      <c r="X665" s="117"/>
      <c r="Y665" s="10"/>
      <c r="Z665" s="11"/>
      <c r="AA665" s="36"/>
      <c r="AB665" s="36"/>
      <c r="AC665" s="13"/>
      <c r="AD665" s="13"/>
      <c r="AE665" s="37"/>
      <c r="AF665" s="37"/>
      <c r="AG665" s="14"/>
      <c r="AH665" s="14"/>
      <c r="AI665" s="14"/>
      <c r="AZ665" s="24"/>
    </row>
    <row r="666">
      <c r="B666" s="24"/>
      <c r="E666" s="113"/>
      <c r="F666" s="266"/>
      <c r="G666" s="113"/>
      <c r="K666" s="36"/>
      <c r="L666" s="117"/>
      <c r="M666" s="128"/>
      <c r="N666" s="117"/>
      <c r="R666" s="117"/>
      <c r="T666" s="117"/>
      <c r="V666" s="117"/>
      <c r="X666" s="117"/>
      <c r="Y666" s="10"/>
      <c r="Z666" s="11"/>
      <c r="AA666" s="36"/>
      <c r="AB666" s="36"/>
      <c r="AC666" s="13"/>
      <c r="AD666" s="13"/>
      <c r="AE666" s="37"/>
      <c r="AF666" s="37"/>
      <c r="AG666" s="14"/>
      <c r="AH666" s="14"/>
      <c r="AI666" s="14"/>
      <c r="AZ666" s="24"/>
    </row>
    <row r="667">
      <c r="B667" s="24"/>
      <c r="E667" s="113"/>
      <c r="F667" s="266"/>
      <c r="G667" s="113"/>
      <c r="K667" s="36"/>
      <c r="L667" s="117"/>
      <c r="M667" s="128"/>
      <c r="N667" s="117"/>
      <c r="R667" s="117"/>
      <c r="T667" s="117"/>
      <c r="V667" s="117"/>
      <c r="X667" s="117"/>
      <c r="Y667" s="10"/>
      <c r="Z667" s="11"/>
      <c r="AA667" s="36"/>
      <c r="AB667" s="36"/>
      <c r="AC667" s="13"/>
      <c r="AD667" s="13"/>
      <c r="AE667" s="37"/>
      <c r="AF667" s="37"/>
      <c r="AG667" s="14"/>
      <c r="AH667" s="14"/>
      <c r="AI667" s="14"/>
      <c r="AZ667" s="24"/>
    </row>
    <row r="668">
      <c r="B668" s="24"/>
      <c r="E668" s="113"/>
      <c r="F668" s="266"/>
      <c r="G668" s="113"/>
      <c r="K668" s="36"/>
      <c r="L668" s="117"/>
      <c r="M668" s="128"/>
      <c r="N668" s="117"/>
      <c r="R668" s="117"/>
      <c r="T668" s="117"/>
      <c r="V668" s="117"/>
      <c r="X668" s="117"/>
      <c r="Y668" s="10"/>
      <c r="Z668" s="11"/>
      <c r="AA668" s="36"/>
      <c r="AB668" s="36"/>
      <c r="AC668" s="13"/>
      <c r="AD668" s="13"/>
      <c r="AE668" s="37"/>
      <c r="AF668" s="37"/>
      <c r="AG668" s="14"/>
      <c r="AH668" s="14"/>
      <c r="AI668" s="14"/>
      <c r="AZ668" s="24"/>
    </row>
    <row r="669">
      <c r="B669" s="24"/>
      <c r="E669" s="113"/>
      <c r="F669" s="266"/>
      <c r="G669" s="113"/>
      <c r="K669" s="36"/>
      <c r="L669" s="117"/>
      <c r="M669" s="128"/>
      <c r="N669" s="117"/>
      <c r="R669" s="117"/>
      <c r="T669" s="117"/>
      <c r="V669" s="117"/>
      <c r="X669" s="117"/>
      <c r="Y669" s="10"/>
      <c r="Z669" s="11"/>
      <c r="AA669" s="36"/>
      <c r="AB669" s="36"/>
      <c r="AC669" s="13"/>
      <c r="AD669" s="13"/>
      <c r="AE669" s="37"/>
      <c r="AF669" s="37"/>
      <c r="AG669" s="14"/>
      <c r="AH669" s="14"/>
      <c r="AI669" s="14"/>
      <c r="AZ669" s="24"/>
    </row>
    <row r="670">
      <c r="B670" s="24"/>
      <c r="E670" s="113"/>
      <c r="F670" s="266"/>
      <c r="G670" s="113"/>
      <c r="K670" s="36"/>
      <c r="L670" s="117"/>
      <c r="M670" s="128"/>
      <c r="N670" s="117"/>
      <c r="R670" s="117"/>
      <c r="T670" s="117"/>
      <c r="V670" s="117"/>
      <c r="X670" s="117"/>
      <c r="Y670" s="10"/>
      <c r="Z670" s="11"/>
      <c r="AA670" s="36"/>
      <c r="AB670" s="36"/>
      <c r="AC670" s="13"/>
      <c r="AD670" s="13"/>
      <c r="AE670" s="37"/>
      <c r="AF670" s="37"/>
      <c r="AG670" s="14"/>
      <c r="AH670" s="14"/>
      <c r="AI670" s="14"/>
      <c r="AZ670" s="24"/>
    </row>
    <row r="671">
      <c r="B671" s="24"/>
      <c r="E671" s="113"/>
      <c r="F671" s="266"/>
      <c r="G671" s="113"/>
      <c r="K671" s="36"/>
      <c r="L671" s="117"/>
      <c r="M671" s="128"/>
      <c r="N671" s="117"/>
      <c r="R671" s="117"/>
      <c r="T671" s="117"/>
      <c r="V671" s="117"/>
      <c r="X671" s="117"/>
      <c r="Y671" s="10"/>
      <c r="Z671" s="11"/>
      <c r="AA671" s="36"/>
      <c r="AB671" s="36"/>
      <c r="AC671" s="13"/>
      <c r="AD671" s="13"/>
      <c r="AE671" s="37"/>
      <c r="AF671" s="37"/>
      <c r="AG671" s="14"/>
      <c r="AH671" s="14"/>
      <c r="AI671" s="14"/>
      <c r="AZ671" s="24"/>
    </row>
    <row r="672">
      <c r="B672" s="24"/>
      <c r="E672" s="113"/>
      <c r="F672" s="266"/>
      <c r="G672" s="113"/>
      <c r="K672" s="36"/>
      <c r="L672" s="117"/>
      <c r="M672" s="128"/>
      <c r="N672" s="117"/>
      <c r="R672" s="117"/>
      <c r="T672" s="117"/>
      <c r="V672" s="117"/>
      <c r="X672" s="117"/>
      <c r="Y672" s="10"/>
      <c r="Z672" s="11"/>
      <c r="AA672" s="36"/>
      <c r="AB672" s="36"/>
      <c r="AC672" s="13"/>
      <c r="AD672" s="13"/>
      <c r="AE672" s="37"/>
      <c r="AF672" s="37"/>
      <c r="AG672" s="14"/>
      <c r="AH672" s="14"/>
      <c r="AI672" s="14"/>
      <c r="AZ672" s="24"/>
    </row>
    <row r="673">
      <c r="B673" s="24"/>
      <c r="E673" s="113"/>
      <c r="F673" s="266"/>
      <c r="G673" s="113"/>
      <c r="K673" s="36"/>
      <c r="L673" s="117"/>
      <c r="M673" s="128"/>
      <c r="N673" s="117"/>
      <c r="R673" s="117"/>
      <c r="T673" s="117"/>
      <c r="V673" s="117"/>
      <c r="X673" s="117"/>
      <c r="Y673" s="10"/>
      <c r="Z673" s="11"/>
      <c r="AA673" s="36"/>
      <c r="AB673" s="36"/>
      <c r="AC673" s="13"/>
      <c r="AD673" s="13"/>
      <c r="AE673" s="37"/>
      <c r="AF673" s="37"/>
      <c r="AG673" s="14"/>
      <c r="AH673" s="14"/>
      <c r="AI673" s="14"/>
      <c r="AZ673" s="24"/>
    </row>
    <row r="674">
      <c r="B674" s="24"/>
      <c r="E674" s="113"/>
      <c r="F674" s="266"/>
      <c r="G674" s="113"/>
      <c r="K674" s="36"/>
      <c r="L674" s="117"/>
      <c r="M674" s="128"/>
      <c r="N674" s="117"/>
      <c r="R674" s="117"/>
      <c r="T674" s="117"/>
      <c r="V674" s="117"/>
      <c r="X674" s="117"/>
      <c r="Y674" s="10"/>
      <c r="Z674" s="11"/>
      <c r="AA674" s="36"/>
      <c r="AB674" s="36"/>
      <c r="AC674" s="13"/>
      <c r="AD674" s="13"/>
      <c r="AE674" s="37"/>
      <c r="AF674" s="37"/>
      <c r="AG674" s="14"/>
      <c r="AH674" s="14"/>
      <c r="AI674" s="14"/>
      <c r="AZ674" s="24"/>
    </row>
    <row r="675">
      <c r="B675" s="24"/>
      <c r="E675" s="113"/>
      <c r="F675" s="266"/>
      <c r="G675" s="113"/>
      <c r="K675" s="36"/>
      <c r="L675" s="117"/>
      <c r="M675" s="128"/>
      <c r="N675" s="117"/>
      <c r="R675" s="117"/>
      <c r="T675" s="117"/>
      <c r="V675" s="117"/>
      <c r="X675" s="117"/>
      <c r="Y675" s="10"/>
      <c r="Z675" s="11"/>
      <c r="AA675" s="36"/>
      <c r="AB675" s="36"/>
      <c r="AC675" s="13"/>
      <c r="AD675" s="13"/>
      <c r="AE675" s="37"/>
      <c r="AF675" s="37"/>
      <c r="AG675" s="14"/>
      <c r="AH675" s="14"/>
      <c r="AI675" s="14"/>
      <c r="AZ675" s="24"/>
    </row>
    <row r="676">
      <c r="B676" s="24"/>
      <c r="E676" s="113"/>
      <c r="F676" s="266"/>
      <c r="G676" s="113"/>
      <c r="K676" s="36"/>
      <c r="L676" s="117"/>
      <c r="M676" s="128"/>
      <c r="N676" s="117"/>
      <c r="R676" s="117"/>
      <c r="T676" s="117"/>
      <c r="V676" s="117"/>
      <c r="X676" s="117"/>
      <c r="Y676" s="10"/>
      <c r="Z676" s="11"/>
      <c r="AA676" s="36"/>
      <c r="AB676" s="36"/>
      <c r="AC676" s="13"/>
      <c r="AD676" s="13"/>
      <c r="AE676" s="37"/>
      <c r="AF676" s="37"/>
      <c r="AG676" s="14"/>
      <c r="AH676" s="14"/>
      <c r="AI676" s="14"/>
      <c r="AZ676" s="24"/>
    </row>
    <row r="677">
      <c r="B677" s="24"/>
      <c r="E677" s="113"/>
      <c r="F677" s="266"/>
      <c r="G677" s="113"/>
      <c r="K677" s="36"/>
      <c r="L677" s="117"/>
      <c r="M677" s="128"/>
      <c r="N677" s="117"/>
      <c r="R677" s="117"/>
      <c r="T677" s="117"/>
      <c r="V677" s="117"/>
      <c r="X677" s="117"/>
      <c r="Y677" s="10"/>
      <c r="Z677" s="11"/>
      <c r="AA677" s="36"/>
      <c r="AB677" s="36"/>
      <c r="AC677" s="13"/>
      <c r="AD677" s="13"/>
      <c r="AE677" s="37"/>
      <c r="AF677" s="37"/>
      <c r="AG677" s="14"/>
      <c r="AH677" s="14"/>
      <c r="AI677" s="14"/>
      <c r="AZ677" s="24"/>
    </row>
    <row r="678">
      <c r="B678" s="24"/>
      <c r="E678" s="113"/>
      <c r="F678" s="266"/>
      <c r="G678" s="113"/>
      <c r="K678" s="36"/>
      <c r="L678" s="117"/>
      <c r="M678" s="128"/>
      <c r="N678" s="117"/>
      <c r="R678" s="117"/>
      <c r="T678" s="117"/>
      <c r="V678" s="117"/>
      <c r="X678" s="117"/>
      <c r="Y678" s="10"/>
      <c r="Z678" s="11"/>
      <c r="AA678" s="36"/>
      <c r="AB678" s="36"/>
      <c r="AC678" s="13"/>
      <c r="AD678" s="13"/>
      <c r="AE678" s="37"/>
      <c r="AF678" s="37"/>
      <c r="AG678" s="14"/>
      <c r="AH678" s="14"/>
      <c r="AI678" s="14"/>
      <c r="AZ678" s="24"/>
    </row>
    <row r="679">
      <c r="B679" s="24"/>
      <c r="E679" s="113"/>
      <c r="F679" s="266"/>
      <c r="G679" s="113"/>
      <c r="K679" s="36"/>
      <c r="L679" s="117"/>
      <c r="M679" s="128"/>
      <c r="N679" s="117"/>
      <c r="R679" s="117"/>
      <c r="T679" s="117"/>
      <c r="V679" s="117"/>
      <c r="X679" s="117"/>
      <c r="Y679" s="10"/>
      <c r="Z679" s="11"/>
      <c r="AA679" s="36"/>
      <c r="AB679" s="36"/>
      <c r="AC679" s="13"/>
      <c r="AD679" s="13"/>
      <c r="AE679" s="37"/>
      <c r="AF679" s="37"/>
      <c r="AG679" s="14"/>
      <c r="AH679" s="14"/>
      <c r="AI679" s="14"/>
      <c r="AZ679" s="24"/>
    </row>
    <row r="680">
      <c r="B680" s="24"/>
      <c r="E680" s="113"/>
      <c r="F680" s="266"/>
      <c r="G680" s="113"/>
      <c r="K680" s="36"/>
      <c r="L680" s="117"/>
      <c r="M680" s="128"/>
      <c r="N680" s="117"/>
      <c r="R680" s="117"/>
      <c r="T680" s="117"/>
      <c r="V680" s="117"/>
      <c r="X680" s="117"/>
      <c r="Y680" s="10"/>
      <c r="Z680" s="11"/>
      <c r="AA680" s="36"/>
      <c r="AB680" s="36"/>
      <c r="AC680" s="13"/>
      <c r="AD680" s="13"/>
      <c r="AE680" s="37"/>
      <c r="AF680" s="37"/>
      <c r="AG680" s="14"/>
      <c r="AH680" s="14"/>
      <c r="AI680" s="14"/>
      <c r="AZ680" s="24"/>
    </row>
    <row r="681">
      <c r="B681" s="24"/>
      <c r="E681" s="113"/>
      <c r="F681" s="266"/>
      <c r="G681" s="113"/>
      <c r="K681" s="36"/>
      <c r="L681" s="117"/>
      <c r="M681" s="128"/>
      <c r="N681" s="117"/>
      <c r="R681" s="117"/>
      <c r="T681" s="117"/>
      <c r="V681" s="117"/>
      <c r="X681" s="117"/>
      <c r="Y681" s="10"/>
      <c r="Z681" s="11"/>
      <c r="AA681" s="36"/>
      <c r="AB681" s="36"/>
      <c r="AC681" s="13"/>
      <c r="AD681" s="13"/>
      <c r="AE681" s="37"/>
      <c r="AF681" s="37"/>
      <c r="AG681" s="14"/>
      <c r="AH681" s="14"/>
      <c r="AI681" s="14"/>
      <c r="AZ681" s="24"/>
    </row>
    <row r="682">
      <c r="B682" s="24"/>
      <c r="E682" s="113"/>
      <c r="F682" s="266"/>
      <c r="G682" s="113"/>
      <c r="K682" s="36"/>
      <c r="L682" s="117"/>
      <c r="M682" s="128"/>
      <c r="N682" s="117"/>
      <c r="R682" s="117"/>
      <c r="T682" s="117"/>
      <c r="V682" s="117"/>
      <c r="X682" s="117"/>
      <c r="Y682" s="10"/>
      <c r="Z682" s="11"/>
      <c r="AA682" s="36"/>
      <c r="AB682" s="36"/>
      <c r="AC682" s="13"/>
      <c r="AD682" s="13"/>
      <c r="AE682" s="37"/>
      <c r="AF682" s="37"/>
      <c r="AG682" s="14"/>
      <c r="AH682" s="14"/>
      <c r="AI682" s="14"/>
      <c r="AZ682" s="24"/>
    </row>
    <row r="683">
      <c r="B683" s="24"/>
      <c r="E683" s="113"/>
      <c r="F683" s="266"/>
      <c r="G683" s="113"/>
      <c r="K683" s="36"/>
      <c r="L683" s="117"/>
      <c r="M683" s="128"/>
      <c r="N683" s="117"/>
      <c r="R683" s="117"/>
      <c r="T683" s="117"/>
      <c r="V683" s="117"/>
      <c r="X683" s="117"/>
      <c r="Y683" s="10"/>
      <c r="Z683" s="11"/>
      <c r="AA683" s="36"/>
      <c r="AB683" s="36"/>
      <c r="AC683" s="13"/>
      <c r="AD683" s="13"/>
      <c r="AE683" s="37"/>
      <c r="AF683" s="37"/>
      <c r="AG683" s="14"/>
      <c r="AH683" s="14"/>
      <c r="AI683" s="14"/>
      <c r="AZ683" s="24"/>
    </row>
    <row r="684">
      <c r="B684" s="24"/>
      <c r="E684" s="113"/>
      <c r="F684" s="266"/>
      <c r="G684" s="113"/>
      <c r="K684" s="36"/>
      <c r="L684" s="117"/>
      <c r="M684" s="128"/>
      <c r="N684" s="117"/>
      <c r="R684" s="117"/>
      <c r="T684" s="117"/>
      <c r="V684" s="117"/>
      <c r="X684" s="117"/>
      <c r="Y684" s="10"/>
      <c r="Z684" s="11"/>
      <c r="AA684" s="36"/>
      <c r="AB684" s="36"/>
      <c r="AC684" s="13"/>
      <c r="AD684" s="13"/>
      <c r="AE684" s="37"/>
      <c r="AF684" s="37"/>
      <c r="AG684" s="14"/>
      <c r="AH684" s="14"/>
      <c r="AI684" s="14"/>
      <c r="AZ684" s="24"/>
    </row>
    <row r="685">
      <c r="B685" s="24"/>
      <c r="E685" s="113"/>
      <c r="F685" s="266"/>
      <c r="G685" s="113"/>
      <c r="K685" s="36"/>
      <c r="L685" s="117"/>
      <c r="M685" s="128"/>
      <c r="N685" s="117"/>
      <c r="R685" s="117"/>
      <c r="T685" s="117"/>
      <c r="V685" s="117"/>
      <c r="X685" s="117"/>
      <c r="Y685" s="10"/>
      <c r="Z685" s="11"/>
      <c r="AA685" s="36"/>
      <c r="AB685" s="36"/>
      <c r="AC685" s="13"/>
      <c r="AD685" s="13"/>
      <c r="AE685" s="37"/>
      <c r="AF685" s="37"/>
      <c r="AG685" s="14"/>
      <c r="AH685" s="14"/>
      <c r="AI685" s="14"/>
      <c r="AZ685" s="24"/>
    </row>
    <row r="686">
      <c r="B686" s="24"/>
      <c r="E686" s="113"/>
      <c r="F686" s="266"/>
      <c r="G686" s="113"/>
      <c r="K686" s="36"/>
      <c r="L686" s="117"/>
      <c r="M686" s="128"/>
      <c r="N686" s="117"/>
      <c r="R686" s="117"/>
      <c r="T686" s="117"/>
      <c r="V686" s="117"/>
      <c r="X686" s="117"/>
      <c r="Y686" s="10"/>
      <c r="Z686" s="11"/>
      <c r="AA686" s="36"/>
      <c r="AB686" s="36"/>
      <c r="AC686" s="13"/>
      <c r="AD686" s="13"/>
      <c r="AE686" s="37"/>
      <c r="AF686" s="37"/>
      <c r="AG686" s="14"/>
      <c r="AH686" s="14"/>
      <c r="AI686" s="14"/>
      <c r="AZ686" s="24"/>
    </row>
    <row r="687">
      <c r="B687" s="24"/>
      <c r="E687" s="113"/>
      <c r="F687" s="266"/>
      <c r="G687" s="113"/>
      <c r="K687" s="36"/>
      <c r="L687" s="117"/>
      <c r="M687" s="128"/>
      <c r="N687" s="117"/>
      <c r="R687" s="117"/>
      <c r="T687" s="117"/>
      <c r="V687" s="117"/>
      <c r="X687" s="117"/>
      <c r="Y687" s="10"/>
      <c r="Z687" s="11"/>
      <c r="AA687" s="36"/>
      <c r="AB687" s="36"/>
      <c r="AC687" s="13"/>
      <c r="AD687" s="13"/>
      <c r="AE687" s="37"/>
      <c r="AF687" s="37"/>
      <c r="AG687" s="14"/>
      <c r="AH687" s="14"/>
      <c r="AI687" s="14"/>
      <c r="AZ687" s="24"/>
    </row>
    <row r="688">
      <c r="B688" s="24"/>
      <c r="E688" s="113"/>
      <c r="F688" s="266"/>
      <c r="G688" s="113"/>
      <c r="K688" s="36"/>
      <c r="L688" s="117"/>
      <c r="M688" s="128"/>
      <c r="N688" s="117"/>
      <c r="R688" s="117"/>
      <c r="T688" s="117"/>
      <c r="V688" s="117"/>
      <c r="X688" s="117"/>
      <c r="Y688" s="10"/>
      <c r="Z688" s="11"/>
      <c r="AA688" s="36"/>
      <c r="AB688" s="36"/>
      <c r="AC688" s="13"/>
      <c r="AD688" s="13"/>
      <c r="AE688" s="37"/>
      <c r="AF688" s="37"/>
      <c r="AG688" s="14"/>
      <c r="AH688" s="14"/>
      <c r="AI688" s="14"/>
      <c r="AZ688" s="24"/>
    </row>
    <row r="689">
      <c r="B689" s="24"/>
      <c r="E689" s="113"/>
      <c r="F689" s="266"/>
      <c r="G689" s="113"/>
      <c r="K689" s="36"/>
      <c r="L689" s="117"/>
      <c r="M689" s="128"/>
      <c r="N689" s="117"/>
      <c r="R689" s="117"/>
      <c r="T689" s="117"/>
      <c r="V689" s="117"/>
      <c r="X689" s="117"/>
      <c r="Y689" s="10"/>
      <c r="Z689" s="11"/>
      <c r="AA689" s="36"/>
      <c r="AB689" s="36"/>
      <c r="AC689" s="13"/>
      <c r="AD689" s="13"/>
      <c r="AE689" s="37"/>
      <c r="AF689" s="37"/>
      <c r="AG689" s="14"/>
      <c r="AH689" s="14"/>
      <c r="AI689" s="14"/>
      <c r="AZ689" s="24"/>
    </row>
    <row r="690">
      <c r="B690" s="24"/>
      <c r="E690" s="113"/>
      <c r="F690" s="266"/>
      <c r="G690" s="113"/>
      <c r="K690" s="36"/>
      <c r="L690" s="117"/>
      <c r="M690" s="128"/>
      <c r="N690" s="117"/>
      <c r="R690" s="117"/>
      <c r="T690" s="117"/>
      <c r="V690" s="117"/>
      <c r="X690" s="117"/>
      <c r="Y690" s="10"/>
      <c r="Z690" s="11"/>
      <c r="AA690" s="36"/>
      <c r="AB690" s="36"/>
      <c r="AC690" s="13"/>
      <c r="AD690" s="13"/>
      <c r="AE690" s="37"/>
      <c r="AF690" s="37"/>
      <c r="AG690" s="14"/>
      <c r="AH690" s="14"/>
      <c r="AI690" s="14"/>
      <c r="AZ690" s="24"/>
    </row>
    <row r="691">
      <c r="B691" s="24"/>
      <c r="E691" s="113"/>
      <c r="F691" s="266"/>
      <c r="G691" s="113"/>
      <c r="K691" s="36"/>
      <c r="L691" s="117"/>
      <c r="M691" s="128"/>
      <c r="N691" s="117"/>
      <c r="R691" s="117"/>
      <c r="T691" s="117"/>
      <c r="V691" s="117"/>
      <c r="X691" s="117"/>
      <c r="Y691" s="10"/>
      <c r="Z691" s="11"/>
      <c r="AA691" s="36"/>
      <c r="AB691" s="36"/>
      <c r="AC691" s="13"/>
      <c r="AD691" s="13"/>
      <c r="AE691" s="37"/>
      <c r="AF691" s="37"/>
      <c r="AG691" s="14"/>
      <c r="AH691" s="14"/>
      <c r="AI691" s="14"/>
      <c r="AZ691" s="24"/>
    </row>
    <row r="692">
      <c r="B692" s="24"/>
      <c r="E692" s="113"/>
      <c r="F692" s="266"/>
      <c r="G692" s="113"/>
      <c r="K692" s="36"/>
      <c r="L692" s="117"/>
      <c r="M692" s="128"/>
      <c r="N692" s="117"/>
      <c r="R692" s="117"/>
      <c r="T692" s="117"/>
      <c r="V692" s="117"/>
      <c r="X692" s="117"/>
      <c r="Y692" s="10"/>
      <c r="Z692" s="11"/>
      <c r="AA692" s="36"/>
      <c r="AB692" s="36"/>
      <c r="AC692" s="13"/>
      <c r="AD692" s="13"/>
      <c r="AE692" s="37"/>
      <c r="AF692" s="37"/>
      <c r="AG692" s="14"/>
      <c r="AH692" s="14"/>
      <c r="AI692" s="14"/>
      <c r="AZ692" s="24"/>
    </row>
    <row r="693">
      <c r="B693" s="24"/>
      <c r="E693" s="113"/>
      <c r="F693" s="266"/>
      <c r="G693" s="113"/>
      <c r="K693" s="36"/>
      <c r="L693" s="117"/>
      <c r="M693" s="128"/>
      <c r="N693" s="117"/>
      <c r="R693" s="117"/>
      <c r="T693" s="117"/>
      <c r="V693" s="117"/>
      <c r="X693" s="117"/>
      <c r="Y693" s="10"/>
      <c r="Z693" s="11"/>
      <c r="AA693" s="36"/>
      <c r="AB693" s="36"/>
      <c r="AC693" s="13"/>
      <c r="AD693" s="13"/>
      <c r="AE693" s="37"/>
      <c r="AF693" s="37"/>
      <c r="AG693" s="14"/>
      <c r="AH693" s="14"/>
      <c r="AI693" s="14"/>
      <c r="AZ693" s="24"/>
    </row>
    <row r="694">
      <c r="B694" s="24"/>
      <c r="E694" s="113"/>
      <c r="F694" s="266"/>
      <c r="G694" s="113"/>
      <c r="K694" s="36"/>
      <c r="L694" s="117"/>
      <c r="M694" s="128"/>
      <c r="N694" s="117"/>
      <c r="R694" s="117"/>
      <c r="T694" s="117"/>
      <c r="V694" s="117"/>
      <c r="X694" s="117"/>
      <c r="Y694" s="10"/>
      <c r="Z694" s="11"/>
      <c r="AA694" s="36"/>
      <c r="AB694" s="36"/>
      <c r="AC694" s="13"/>
      <c r="AD694" s="13"/>
      <c r="AE694" s="37"/>
      <c r="AF694" s="37"/>
      <c r="AG694" s="14"/>
      <c r="AH694" s="14"/>
      <c r="AI694" s="14"/>
      <c r="AZ694" s="24"/>
    </row>
    <row r="695">
      <c r="B695" s="24"/>
      <c r="E695" s="113"/>
      <c r="F695" s="266"/>
      <c r="G695" s="113"/>
      <c r="K695" s="36"/>
      <c r="L695" s="117"/>
      <c r="M695" s="128"/>
      <c r="N695" s="117"/>
      <c r="R695" s="117"/>
      <c r="T695" s="117"/>
      <c r="V695" s="117"/>
      <c r="X695" s="117"/>
      <c r="Y695" s="10"/>
      <c r="Z695" s="11"/>
      <c r="AA695" s="36"/>
      <c r="AB695" s="36"/>
      <c r="AC695" s="13"/>
      <c r="AD695" s="13"/>
      <c r="AE695" s="37"/>
      <c r="AF695" s="37"/>
      <c r="AG695" s="14"/>
      <c r="AH695" s="14"/>
      <c r="AI695" s="14"/>
      <c r="AZ695" s="24"/>
    </row>
    <row r="696">
      <c r="B696" s="24"/>
      <c r="E696" s="113"/>
      <c r="F696" s="266"/>
      <c r="G696" s="113"/>
      <c r="K696" s="36"/>
      <c r="L696" s="117"/>
      <c r="M696" s="128"/>
      <c r="N696" s="117"/>
      <c r="R696" s="117"/>
      <c r="T696" s="117"/>
      <c r="V696" s="117"/>
      <c r="X696" s="117"/>
      <c r="Y696" s="10"/>
      <c r="Z696" s="11"/>
      <c r="AA696" s="36"/>
      <c r="AB696" s="36"/>
      <c r="AC696" s="13"/>
      <c r="AD696" s="13"/>
      <c r="AE696" s="37"/>
      <c r="AF696" s="37"/>
      <c r="AG696" s="14"/>
      <c r="AH696" s="14"/>
      <c r="AI696" s="14"/>
      <c r="AZ696" s="24"/>
    </row>
    <row r="697">
      <c r="B697" s="24"/>
      <c r="E697" s="113"/>
      <c r="F697" s="266"/>
      <c r="G697" s="113"/>
      <c r="K697" s="36"/>
      <c r="L697" s="117"/>
      <c r="M697" s="128"/>
      <c r="N697" s="117"/>
      <c r="R697" s="117"/>
      <c r="T697" s="117"/>
      <c r="V697" s="117"/>
      <c r="X697" s="117"/>
      <c r="Y697" s="10"/>
      <c r="Z697" s="11"/>
      <c r="AA697" s="36"/>
      <c r="AB697" s="36"/>
      <c r="AC697" s="13"/>
      <c r="AD697" s="13"/>
      <c r="AE697" s="37"/>
      <c r="AF697" s="37"/>
      <c r="AG697" s="14"/>
      <c r="AH697" s="14"/>
      <c r="AI697" s="14"/>
      <c r="AZ697" s="24"/>
    </row>
    <row r="698">
      <c r="B698" s="24"/>
      <c r="E698" s="113"/>
      <c r="F698" s="266"/>
      <c r="G698" s="113"/>
      <c r="K698" s="36"/>
      <c r="L698" s="117"/>
      <c r="M698" s="128"/>
      <c r="N698" s="117"/>
      <c r="R698" s="117"/>
      <c r="T698" s="117"/>
      <c r="V698" s="117"/>
      <c r="X698" s="117"/>
      <c r="Y698" s="10"/>
      <c r="Z698" s="11"/>
      <c r="AA698" s="36"/>
      <c r="AB698" s="36"/>
      <c r="AC698" s="13"/>
      <c r="AD698" s="13"/>
      <c r="AE698" s="37"/>
      <c r="AF698" s="37"/>
      <c r="AG698" s="14"/>
      <c r="AH698" s="14"/>
      <c r="AI698" s="14"/>
      <c r="AZ698" s="24"/>
    </row>
    <row r="699">
      <c r="B699" s="24"/>
      <c r="E699" s="113"/>
      <c r="F699" s="266"/>
      <c r="G699" s="113"/>
      <c r="K699" s="36"/>
      <c r="L699" s="117"/>
      <c r="M699" s="128"/>
      <c r="N699" s="117"/>
      <c r="R699" s="117"/>
      <c r="T699" s="117"/>
      <c r="V699" s="117"/>
      <c r="X699" s="117"/>
      <c r="Y699" s="10"/>
      <c r="Z699" s="11"/>
      <c r="AA699" s="36"/>
      <c r="AB699" s="36"/>
      <c r="AC699" s="13"/>
      <c r="AD699" s="13"/>
      <c r="AE699" s="37"/>
      <c r="AF699" s="37"/>
      <c r="AG699" s="14"/>
      <c r="AH699" s="14"/>
      <c r="AI699" s="14"/>
      <c r="AZ699" s="24"/>
    </row>
    <row r="700">
      <c r="B700" s="24"/>
      <c r="E700" s="113"/>
      <c r="F700" s="266"/>
      <c r="G700" s="113"/>
      <c r="K700" s="36"/>
      <c r="L700" s="117"/>
      <c r="M700" s="128"/>
      <c r="N700" s="117"/>
      <c r="R700" s="117"/>
      <c r="T700" s="117"/>
      <c r="V700" s="117"/>
      <c r="X700" s="117"/>
      <c r="Y700" s="10"/>
      <c r="Z700" s="11"/>
      <c r="AA700" s="36"/>
      <c r="AB700" s="36"/>
      <c r="AC700" s="13"/>
      <c r="AD700" s="13"/>
      <c r="AE700" s="37"/>
      <c r="AF700" s="37"/>
      <c r="AG700" s="14"/>
      <c r="AH700" s="14"/>
      <c r="AI700" s="14"/>
      <c r="AZ700" s="24"/>
    </row>
    <row r="701">
      <c r="B701" s="24"/>
      <c r="E701" s="113"/>
      <c r="F701" s="266"/>
      <c r="G701" s="113"/>
      <c r="K701" s="36"/>
      <c r="L701" s="117"/>
      <c r="M701" s="128"/>
      <c r="N701" s="117"/>
      <c r="R701" s="117"/>
      <c r="T701" s="117"/>
      <c r="V701" s="117"/>
      <c r="X701" s="117"/>
      <c r="Y701" s="10"/>
      <c r="Z701" s="11"/>
      <c r="AA701" s="36"/>
      <c r="AB701" s="36"/>
      <c r="AC701" s="13"/>
      <c r="AD701" s="13"/>
      <c r="AE701" s="37"/>
      <c r="AF701" s="37"/>
      <c r="AG701" s="14"/>
      <c r="AH701" s="14"/>
      <c r="AI701" s="14"/>
      <c r="AZ701" s="24"/>
    </row>
    <row r="702">
      <c r="B702" s="24"/>
      <c r="E702" s="113"/>
      <c r="F702" s="266"/>
      <c r="G702" s="113"/>
      <c r="K702" s="36"/>
      <c r="L702" s="117"/>
      <c r="M702" s="128"/>
      <c r="N702" s="117"/>
      <c r="R702" s="117"/>
      <c r="T702" s="117"/>
      <c r="V702" s="117"/>
      <c r="X702" s="117"/>
      <c r="Y702" s="10"/>
      <c r="Z702" s="11"/>
      <c r="AA702" s="36"/>
      <c r="AB702" s="36"/>
      <c r="AC702" s="13"/>
      <c r="AD702" s="13"/>
      <c r="AE702" s="37"/>
      <c r="AF702" s="37"/>
      <c r="AG702" s="14"/>
      <c r="AH702" s="14"/>
      <c r="AI702" s="14"/>
      <c r="AZ702" s="24"/>
    </row>
    <row r="703">
      <c r="B703" s="24"/>
      <c r="E703" s="113"/>
      <c r="F703" s="266"/>
      <c r="G703" s="113"/>
      <c r="K703" s="36"/>
      <c r="L703" s="117"/>
      <c r="M703" s="128"/>
      <c r="N703" s="117"/>
      <c r="R703" s="117"/>
      <c r="T703" s="117"/>
      <c r="V703" s="117"/>
      <c r="X703" s="117"/>
      <c r="Y703" s="10"/>
      <c r="Z703" s="11"/>
      <c r="AA703" s="36"/>
      <c r="AB703" s="36"/>
      <c r="AC703" s="13"/>
      <c r="AD703" s="13"/>
      <c r="AE703" s="37"/>
      <c r="AF703" s="37"/>
      <c r="AG703" s="14"/>
      <c r="AH703" s="14"/>
      <c r="AI703" s="14"/>
      <c r="AZ703" s="24"/>
    </row>
    <row r="704">
      <c r="B704" s="24"/>
      <c r="E704" s="113"/>
      <c r="F704" s="266"/>
      <c r="G704" s="113"/>
      <c r="K704" s="36"/>
      <c r="L704" s="117"/>
      <c r="M704" s="128"/>
      <c r="N704" s="117"/>
      <c r="R704" s="117"/>
      <c r="T704" s="117"/>
      <c r="V704" s="117"/>
      <c r="X704" s="117"/>
      <c r="Y704" s="10"/>
      <c r="Z704" s="11"/>
      <c r="AA704" s="36"/>
      <c r="AB704" s="36"/>
      <c r="AC704" s="13"/>
      <c r="AD704" s="13"/>
      <c r="AE704" s="37"/>
      <c r="AF704" s="37"/>
      <c r="AG704" s="14"/>
      <c r="AH704" s="14"/>
      <c r="AI704" s="14"/>
      <c r="AZ704" s="24"/>
    </row>
    <row r="705">
      <c r="B705" s="24"/>
      <c r="E705" s="113"/>
      <c r="F705" s="266"/>
      <c r="G705" s="113"/>
      <c r="K705" s="36"/>
      <c r="L705" s="117"/>
      <c r="M705" s="128"/>
      <c r="N705" s="117"/>
      <c r="R705" s="117"/>
      <c r="T705" s="117"/>
      <c r="V705" s="117"/>
      <c r="X705" s="117"/>
      <c r="Y705" s="10"/>
      <c r="Z705" s="11"/>
      <c r="AA705" s="36"/>
      <c r="AB705" s="36"/>
      <c r="AC705" s="13"/>
      <c r="AD705" s="13"/>
      <c r="AE705" s="37"/>
      <c r="AF705" s="37"/>
      <c r="AG705" s="14"/>
      <c r="AH705" s="14"/>
      <c r="AI705" s="14"/>
      <c r="AZ705" s="24"/>
    </row>
    <row r="706">
      <c r="B706" s="24"/>
      <c r="E706" s="113"/>
      <c r="F706" s="266"/>
      <c r="G706" s="113"/>
      <c r="K706" s="36"/>
      <c r="L706" s="117"/>
      <c r="M706" s="128"/>
      <c r="N706" s="117"/>
      <c r="R706" s="117"/>
      <c r="T706" s="117"/>
      <c r="V706" s="117"/>
      <c r="X706" s="117"/>
      <c r="Y706" s="10"/>
      <c r="Z706" s="11"/>
      <c r="AA706" s="36"/>
      <c r="AB706" s="36"/>
      <c r="AC706" s="13"/>
      <c r="AD706" s="13"/>
      <c r="AE706" s="37"/>
      <c r="AF706" s="37"/>
      <c r="AG706" s="14"/>
      <c r="AH706" s="14"/>
      <c r="AI706" s="14"/>
      <c r="AZ706" s="24"/>
    </row>
    <row r="707">
      <c r="B707" s="24"/>
      <c r="E707" s="113"/>
      <c r="F707" s="266"/>
      <c r="G707" s="113"/>
      <c r="K707" s="36"/>
      <c r="L707" s="117"/>
      <c r="M707" s="128"/>
      <c r="N707" s="117"/>
      <c r="R707" s="117"/>
      <c r="T707" s="117"/>
      <c r="V707" s="117"/>
      <c r="X707" s="117"/>
      <c r="Y707" s="10"/>
      <c r="Z707" s="11"/>
      <c r="AA707" s="36"/>
      <c r="AB707" s="36"/>
      <c r="AC707" s="13"/>
      <c r="AD707" s="13"/>
      <c r="AE707" s="37"/>
      <c r="AF707" s="37"/>
      <c r="AG707" s="14"/>
      <c r="AH707" s="14"/>
      <c r="AI707" s="14"/>
      <c r="AZ707" s="24"/>
    </row>
    <row r="708">
      <c r="B708" s="24"/>
      <c r="E708" s="113"/>
      <c r="F708" s="266"/>
      <c r="G708" s="113"/>
      <c r="K708" s="36"/>
      <c r="L708" s="117"/>
      <c r="M708" s="128"/>
      <c r="N708" s="117"/>
      <c r="R708" s="117"/>
      <c r="T708" s="117"/>
      <c r="V708" s="117"/>
      <c r="X708" s="117"/>
      <c r="Y708" s="10"/>
      <c r="Z708" s="11"/>
      <c r="AA708" s="36"/>
      <c r="AB708" s="36"/>
      <c r="AC708" s="13"/>
      <c r="AD708" s="13"/>
      <c r="AE708" s="37"/>
      <c r="AF708" s="37"/>
      <c r="AG708" s="14"/>
      <c r="AH708" s="14"/>
      <c r="AI708" s="14"/>
      <c r="AZ708" s="24"/>
    </row>
    <row r="709">
      <c r="B709" s="24"/>
      <c r="E709" s="113"/>
      <c r="F709" s="266"/>
      <c r="G709" s="113"/>
      <c r="K709" s="36"/>
      <c r="L709" s="117"/>
      <c r="M709" s="128"/>
      <c r="N709" s="117"/>
      <c r="R709" s="117"/>
      <c r="T709" s="117"/>
      <c r="V709" s="117"/>
      <c r="X709" s="117"/>
      <c r="Y709" s="10"/>
      <c r="Z709" s="11"/>
      <c r="AA709" s="36"/>
      <c r="AB709" s="36"/>
      <c r="AC709" s="13"/>
      <c r="AD709" s="13"/>
      <c r="AE709" s="37"/>
      <c r="AF709" s="37"/>
      <c r="AG709" s="14"/>
      <c r="AH709" s="14"/>
      <c r="AI709" s="14"/>
      <c r="AZ709" s="24"/>
    </row>
    <row r="710">
      <c r="B710" s="24"/>
      <c r="E710" s="113"/>
      <c r="F710" s="266"/>
      <c r="G710" s="113"/>
      <c r="K710" s="36"/>
      <c r="L710" s="117"/>
      <c r="M710" s="128"/>
      <c r="N710" s="117"/>
      <c r="R710" s="117"/>
      <c r="T710" s="117"/>
      <c r="V710" s="117"/>
      <c r="X710" s="117"/>
      <c r="Y710" s="10"/>
      <c r="Z710" s="11"/>
      <c r="AA710" s="36"/>
      <c r="AB710" s="36"/>
      <c r="AC710" s="13"/>
      <c r="AD710" s="13"/>
      <c r="AE710" s="37"/>
      <c r="AF710" s="37"/>
      <c r="AG710" s="14"/>
      <c r="AH710" s="14"/>
      <c r="AI710" s="14"/>
      <c r="AZ710" s="24"/>
    </row>
    <row r="711">
      <c r="B711" s="24"/>
      <c r="E711" s="113"/>
      <c r="F711" s="266"/>
      <c r="G711" s="113"/>
      <c r="K711" s="36"/>
      <c r="L711" s="117"/>
      <c r="M711" s="128"/>
      <c r="N711" s="117"/>
      <c r="R711" s="117"/>
      <c r="T711" s="117"/>
      <c r="V711" s="117"/>
      <c r="X711" s="117"/>
      <c r="Y711" s="10"/>
      <c r="Z711" s="11"/>
      <c r="AA711" s="36"/>
      <c r="AB711" s="36"/>
      <c r="AC711" s="13"/>
      <c r="AD711" s="13"/>
      <c r="AE711" s="37"/>
      <c r="AF711" s="37"/>
      <c r="AG711" s="14"/>
      <c r="AH711" s="14"/>
      <c r="AI711" s="14"/>
      <c r="AZ711" s="24"/>
    </row>
    <row r="712">
      <c r="B712" s="24"/>
      <c r="E712" s="113"/>
      <c r="F712" s="266"/>
      <c r="G712" s="113"/>
      <c r="K712" s="36"/>
      <c r="L712" s="117"/>
      <c r="M712" s="128"/>
      <c r="N712" s="117"/>
      <c r="R712" s="117"/>
      <c r="T712" s="117"/>
      <c r="V712" s="117"/>
      <c r="X712" s="117"/>
      <c r="Y712" s="10"/>
      <c r="Z712" s="11"/>
      <c r="AA712" s="36"/>
      <c r="AB712" s="36"/>
      <c r="AC712" s="13"/>
      <c r="AD712" s="13"/>
      <c r="AE712" s="37"/>
      <c r="AF712" s="37"/>
      <c r="AG712" s="14"/>
      <c r="AH712" s="14"/>
      <c r="AI712" s="14"/>
      <c r="AZ712" s="24"/>
    </row>
    <row r="713">
      <c r="B713" s="24"/>
      <c r="E713" s="113"/>
      <c r="F713" s="266"/>
      <c r="G713" s="113"/>
      <c r="K713" s="36"/>
      <c r="L713" s="117"/>
      <c r="M713" s="128"/>
      <c r="N713" s="117"/>
      <c r="R713" s="117"/>
      <c r="T713" s="117"/>
      <c r="V713" s="117"/>
      <c r="X713" s="117"/>
      <c r="Y713" s="10"/>
      <c r="Z713" s="11"/>
      <c r="AA713" s="36"/>
      <c r="AB713" s="36"/>
      <c r="AC713" s="13"/>
      <c r="AD713" s="13"/>
      <c r="AE713" s="37"/>
      <c r="AF713" s="37"/>
      <c r="AG713" s="14"/>
      <c r="AH713" s="14"/>
      <c r="AI713" s="14"/>
      <c r="AZ713" s="24"/>
    </row>
    <row r="714">
      <c r="B714" s="24"/>
      <c r="E714" s="113"/>
      <c r="F714" s="266"/>
      <c r="G714" s="113"/>
      <c r="K714" s="36"/>
      <c r="L714" s="117"/>
      <c r="M714" s="128"/>
      <c r="N714" s="117"/>
      <c r="R714" s="117"/>
      <c r="T714" s="117"/>
      <c r="V714" s="117"/>
      <c r="X714" s="117"/>
      <c r="Y714" s="10"/>
      <c r="Z714" s="11"/>
      <c r="AA714" s="36"/>
      <c r="AB714" s="36"/>
      <c r="AC714" s="13"/>
      <c r="AD714" s="13"/>
      <c r="AE714" s="37"/>
      <c r="AF714" s="37"/>
      <c r="AG714" s="14"/>
      <c r="AH714" s="14"/>
      <c r="AI714" s="14"/>
      <c r="AZ714" s="24"/>
    </row>
    <row r="715">
      <c r="B715" s="24"/>
      <c r="E715" s="113"/>
      <c r="F715" s="266"/>
      <c r="G715" s="113"/>
      <c r="K715" s="36"/>
      <c r="L715" s="117"/>
      <c r="M715" s="128"/>
      <c r="N715" s="117"/>
      <c r="R715" s="117"/>
      <c r="T715" s="117"/>
      <c r="V715" s="117"/>
      <c r="X715" s="117"/>
      <c r="Y715" s="10"/>
      <c r="Z715" s="11"/>
      <c r="AA715" s="36"/>
      <c r="AB715" s="36"/>
      <c r="AC715" s="13"/>
      <c r="AD715" s="13"/>
      <c r="AE715" s="37"/>
      <c r="AF715" s="37"/>
      <c r="AG715" s="14"/>
      <c r="AH715" s="14"/>
      <c r="AI715" s="14"/>
      <c r="AZ715" s="24"/>
    </row>
    <row r="716">
      <c r="B716" s="24"/>
      <c r="E716" s="113"/>
      <c r="F716" s="266"/>
      <c r="G716" s="113"/>
      <c r="K716" s="36"/>
      <c r="L716" s="117"/>
      <c r="M716" s="128"/>
      <c r="N716" s="117"/>
      <c r="R716" s="117"/>
      <c r="T716" s="117"/>
      <c r="V716" s="117"/>
      <c r="X716" s="117"/>
      <c r="Y716" s="10"/>
      <c r="Z716" s="11"/>
      <c r="AA716" s="36"/>
      <c r="AB716" s="36"/>
      <c r="AC716" s="13"/>
      <c r="AD716" s="13"/>
      <c r="AE716" s="37"/>
      <c r="AF716" s="37"/>
      <c r="AG716" s="14"/>
      <c r="AH716" s="14"/>
      <c r="AI716" s="14"/>
      <c r="AZ716" s="24"/>
    </row>
    <row r="717">
      <c r="B717" s="24"/>
      <c r="E717" s="113"/>
      <c r="F717" s="266"/>
      <c r="G717" s="113"/>
      <c r="K717" s="36"/>
      <c r="L717" s="117"/>
      <c r="M717" s="128"/>
      <c r="N717" s="117"/>
      <c r="R717" s="117"/>
      <c r="T717" s="117"/>
      <c r="V717" s="117"/>
      <c r="X717" s="117"/>
      <c r="Y717" s="10"/>
      <c r="Z717" s="11"/>
      <c r="AA717" s="36"/>
      <c r="AB717" s="36"/>
      <c r="AC717" s="13"/>
      <c r="AD717" s="13"/>
      <c r="AE717" s="37"/>
      <c r="AF717" s="37"/>
      <c r="AG717" s="14"/>
      <c r="AH717" s="14"/>
      <c r="AI717" s="14"/>
      <c r="AZ717" s="24"/>
    </row>
    <row r="718">
      <c r="B718" s="24"/>
      <c r="E718" s="113"/>
      <c r="F718" s="266"/>
      <c r="G718" s="113"/>
      <c r="K718" s="36"/>
      <c r="L718" s="117"/>
      <c r="M718" s="128"/>
      <c r="N718" s="117"/>
      <c r="R718" s="117"/>
      <c r="T718" s="117"/>
      <c r="V718" s="117"/>
      <c r="X718" s="117"/>
      <c r="Y718" s="10"/>
      <c r="Z718" s="11"/>
      <c r="AA718" s="36"/>
      <c r="AB718" s="36"/>
      <c r="AC718" s="13"/>
      <c r="AD718" s="13"/>
      <c r="AE718" s="37"/>
      <c r="AF718" s="37"/>
      <c r="AG718" s="14"/>
      <c r="AH718" s="14"/>
      <c r="AI718" s="14"/>
      <c r="AZ718" s="24"/>
    </row>
    <row r="719">
      <c r="B719" s="24"/>
      <c r="E719" s="113"/>
      <c r="F719" s="266"/>
      <c r="G719" s="113"/>
      <c r="K719" s="36"/>
      <c r="L719" s="117"/>
      <c r="M719" s="128"/>
      <c r="N719" s="117"/>
      <c r="R719" s="117"/>
      <c r="T719" s="117"/>
      <c r="V719" s="117"/>
      <c r="X719" s="117"/>
      <c r="Y719" s="10"/>
      <c r="Z719" s="11"/>
      <c r="AA719" s="36"/>
      <c r="AB719" s="36"/>
      <c r="AC719" s="13"/>
      <c r="AD719" s="13"/>
      <c r="AE719" s="37"/>
      <c r="AF719" s="37"/>
      <c r="AG719" s="14"/>
      <c r="AH719" s="14"/>
      <c r="AI719" s="14"/>
      <c r="AZ719" s="24"/>
    </row>
    <row r="720">
      <c r="B720" s="24"/>
      <c r="E720" s="113"/>
      <c r="F720" s="266"/>
      <c r="G720" s="113"/>
      <c r="K720" s="36"/>
      <c r="L720" s="117"/>
      <c r="M720" s="128"/>
      <c r="N720" s="117"/>
      <c r="R720" s="117"/>
      <c r="T720" s="117"/>
      <c r="V720" s="117"/>
      <c r="X720" s="117"/>
      <c r="Y720" s="10"/>
      <c r="Z720" s="11"/>
      <c r="AA720" s="36"/>
      <c r="AB720" s="36"/>
      <c r="AC720" s="13"/>
      <c r="AD720" s="13"/>
      <c r="AE720" s="37"/>
      <c r="AF720" s="37"/>
      <c r="AG720" s="14"/>
      <c r="AH720" s="14"/>
      <c r="AI720" s="14"/>
      <c r="AZ720" s="24"/>
    </row>
    <row r="721">
      <c r="B721" s="24"/>
      <c r="E721" s="113"/>
      <c r="F721" s="266"/>
      <c r="G721" s="113"/>
      <c r="K721" s="36"/>
      <c r="L721" s="117"/>
      <c r="M721" s="128"/>
      <c r="N721" s="117"/>
      <c r="R721" s="117"/>
      <c r="T721" s="117"/>
      <c r="V721" s="117"/>
      <c r="X721" s="117"/>
      <c r="Y721" s="10"/>
      <c r="Z721" s="11"/>
      <c r="AA721" s="36"/>
      <c r="AB721" s="36"/>
      <c r="AC721" s="13"/>
      <c r="AD721" s="13"/>
      <c r="AE721" s="37"/>
      <c r="AF721" s="37"/>
      <c r="AG721" s="14"/>
      <c r="AH721" s="14"/>
      <c r="AI721" s="14"/>
      <c r="AZ721" s="24"/>
    </row>
    <row r="722">
      <c r="B722" s="24"/>
      <c r="E722" s="113"/>
      <c r="F722" s="266"/>
      <c r="G722" s="113"/>
      <c r="K722" s="36"/>
      <c r="L722" s="117"/>
      <c r="M722" s="128"/>
      <c r="N722" s="117"/>
      <c r="R722" s="117"/>
      <c r="T722" s="117"/>
      <c r="V722" s="117"/>
      <c r="X722" s="117"/>
      <c r="Y722" s="10"/>
      <c r="Z722" s="11"/>
      <c r="AA722" s="36"/>
      <c r="AB722" s="36"/>
      <c r="AC722" s="13"/>
      <c r="AD722" s="13"/>
      <c r="AE722" s="37"/>
      <c r="AF722" s="37"/>
      <c r="AG722" s="14"/>
      <c r="AH722" s="14"/>
      <c r="AI722" s="14"/>
      <c r="AZ722" s="24"/>
    </row>
    <row r="723">
      <c r="B723" s="24"/>
      <c r="E723" s="113"/>
      <c r="F723" s="266"/>
      <c r="G723" s="113"/>
      <c r="K723" s="36"/>
      <c r="L723" s="117"/>
      <c r="M723" s="128"/>
      <c r="N723" s="117"/>
      <c r="R723" s="117"/>
      <c r="T723" s="117"/>
      <c r="V723" s="117"/>
      <c r="X723" s="117"/>
      <c r="Y723" s="10"/>
      <c r="Z723" s="11"/>
      <c r="AA723" s="36"/>
      <c r="AB723" s="36"/>
      <c r="AC723" s="13"/>
      <c r="AD723" s="13"/>
      <c r="AE723" s="37"/>
      <c r="AF723" s="37"/>
      <c r="AG723" s="14"/>
      <c r="AH723" s="14"/>
      <c r="AI723" s="14"/>
      <c r="AZ723" s="24"/>
    </row>
    <row r="724">
      <c r="B724" s="24"/>
      <c r="E724" s="113"/>
      <c r="F724" s="266"/>
      <c r="G724" s="113"/>
      <c r="K724" s="36"/>
      <c r="L724" s="117"/>
      <c r="M724" s="128"/>
      <c r="N724" s="117"/>
      <c r="R724" s="117"/>
      <c r="T724" s="117"/>
      <c r="V724" s="117"/>
      <c r="X724" s="117"/>
      <c r="Y724" s="10"/>
      <c r="Z724" s="11"/>
      <c r="AA724" s="36"/>
      <c r="AB724" s="36"/>
      <c r="AC724" s="13"/>
      <c r="AD724" s="13"/>
      <c r="AE724" s="37"/>
      <c r="AF724" s="37"/>
      <c r="AG724" s="14"/>
      <c r="AH724" s="14"/>
      <c r="AI724" s="14"/>
      <c r="AZ724" s="24"/>
    </row>
    <row r="725">
      <c r="B725" s="24"/>
      <c r="E725" s="113"/>
      <c r="F725" s="266"/>
      <c r="G725" s="113"/>
      <c r="K725" s="36"/>
      <c r="L725" s="117"/>
      <c r="M725" s="128"/>
      <c r="N725" s="117"/>
      <c r="R725" s="117"/>
      <c r="T725" s="117"/>
      <c r="V725" s="117"/>
      <c r="X725" s="117"/>
      <c r="Y725" s="10"/>
      <c r="Z725" s="11"/>
      <c r="AA725" s="36"/>
      <c r="AB725" s="36"/>
      <c r="AC725" s="13"/>
      <c r="AD725" s="13"/>
      <c r="AE725" s="37"/>
      <c r="AF725" s="37"/>
      <c r="AG725" s="14"/>
      <c r="AH725" s="14"/>
      <c r="AI725" s="14"/>
      <c r="AZ725" s="24"/>
    </row>
    <row r="726">
      <c r="B726" s="24"/>
      <c r="E726" s="113"/>
      <c r="F726" s="266"/>
      <c r="G726" s="113"/>
      <c r="K726" s="36"/>
      <c r="L726" s="117"/>
      <c r="M726" s="128"/>
      <c r="N726" s="117"/>
      <c r="R726" s="117"/>
      <c r="T726" s="117"/>
      <c r="V726" s="117"/>
      <c r="X726" s="117"/>
      <c r="Y726" s="10"/>
      <c r="Z726" s="11"/>
      <c r="AA726" s="36"/>
      <c r="AB726" s="36"/>
      <c r="AC726" s="13"/>
      <c r="AD726" s="13"/>
      <c r="AE726" s="37"/>
      <c r="AF726" s="37"/>
      <c r="AG726" s="14"/>
      <c r="AH726" s="14"/>
      <c r="AI726" s="14"/>
      <c r="AZ726" s="24"/>
    </row>
    <row r="727">
      <c r="B727" s="24"/>
      <c r="E727" s="113"/>
      <c r="F727" s="266"/>
      <c r="G727" s="113"/>
      <c r="K727" s="36"/>
      <c r="L727" s="117"/>
      <c r="M727" s="128"/>
      <c r="N727" s="117"/>
      <c r="R727" s="117"/>
      <c r="T727" s="117"/>
      <c r="V727" s="117"/>
      <c r="X727" s="117"/>
      <c r="Y727" s="10"/>
      <c r="Z727" s="11"/>
      <c r="AA727" s="36"/>
      <c r="AB727" s="36"/>
      <c r="AC727" s="13"/>
      <c r="AD727" s="13"/>
      <c r="AE727" s="37"/>
      <c r="AF727" s="37"/>
      <c r="AG727" s="14"/>
      <c r="AH727" s="14"/>
      <c r="AI727" s="14"/>
      <c r="AZ727" s="24"/>
    </row>
    <row r="728">
      <c r="B728" s="24"/>
      <c r="E728" s="113"/>
      <c r="F728" s="266"/>
      <c r="G728" s="113"/>
      <c r="K728" s="36"/>
      <c r="L728" s="117"/>
      <c r="M728" s="128"/>
      <c r="N728" s="117"/>
      <c r="R728" s="117"/>
      <c r="T728" s="117"/>
      <c r="V728" s="117"/>
      <c r="X728" s="117"/>
      <c r="Y728" s="10"/>
      <c r="Z728" s="11"/>
      <c r="AA728" s="36"/>
      <c r="AB728" s="36"/>
      <c r="AC728" s="13"/>
      <c r="AD728" s="13"/>
      <c r="AE728" s="37"/>
      <c r="AF728" s="37"/>
      <c r="AG728" s="14"/>
      <c r="AH728" s="14"/>
      <c r="AI728" s="14"/>
      <c r="AZ728" s="24"/>
    </row>
    <row r="729">
      <c r="B729" s="24"/>
      <c r="E729" s="113"/>
      <c r="F729" s="266"/>
      <c r="G729" s="113"/>
      <c r="K729" s="36"/>
      <c r="L729" s="117"/>
      <c r="M729" s="128"/>
      <c r="N729" s="117"/>
      <c r="R729" s="117"/>
      <c r="T729" s="117"/>
      <c r="V729" s="117"/>
      <c r="X729" s="117"/>
      <c r="Y729" s="10"/>
      <c r="Z729" s="11"/>
      <c r="AA729" s="36"/>
      <c r="AB729" s="36"/>
      <c r="AC729" s="13"/>
      <c r="AD729" s="13"/>
      <c r="AE729" s="37"/>
      <c r="AF729" s="37"/>
      <c r="AG729" s="14"/>
      <c r="AH729" s="14"/>
      <c r="AI729" s="14"/>
      <c r="AZ729" s="24"/>
    </row>
    <row r="730">
      <c r="B730" s="24"/>
      <c r="E730" s="113"/>
      <c r="F730" s="266"/>
      <c r="G730" s="113"/>
      <c r="K730" s="36"/>
      <c r="L730" s="117"/>
      <c r="M730" s="128"/>
      <c r="N730" s="117"/>
      <c r="R730" s="117"/>
      <c r="T730" s="117"/>
      <c r="V730" s="117"/>
      <c r="X730" s="117"/>
      <c r="Y730" s="10"/>
      <c r="Z730" s="11"/>
      <c r="AA730" s="36"/>
      <c r="AB730" s="36"/>
      <c r="AC730" s="13"/>
      <c r="AD730" s="13"/>
      <c r="AE730" s="37"/>
      <c r="AF730" s="37"/>
      <c r="AG730" s="14"/>
      <c r="AH730" s="14"/>
      <c r="AI730" s="14"/>
      <c r="AZ730" s="24"/>
    </row>
    <row r="731">
      <c r="B731" s="24"/>
      <c r="E731" s="113"/>
      <c r="F731" s="266"/>
      <c r="G731" s="113"/>
      <c r="K731" s="36"/>
      <c r="L731" s="117"/>
      <c r="M731" s="128"/>
      <c r="N731" s="117"/>
      <c r="R731" s="117"/>
      <c r="T731" s="117"/>
      <c r="V731" s="117"/>
      <c r="X731" s="117"/>
      <c r="Y731" s="10"/>
      <c r="Z731" s="11"/>
      <c r="AA731" s="36"/>
      <c r="AB731" s="36"/>
      <c r="AC731" s="13"/>
      <c r="AD731" s="13"/>
      <c r="AE731" s="37"/>
      <c r="AF731" s="37"/>
      <c r="AG731" s="14"/>
      <c r="AH731" s="14"/>
      <c r="AI731" s="14"/>
      <c r="AZ731" s="24"/>
    </row>
    <row r="732">
      <c r="B732" s="24"/>
      <c r="E732" s="113"/>
      <c r="F732" s="266"/>
      <c r="G732" s="113"/>
      <c r="K732" s="36"/>
      <c r="L732" s="117"/>
      <c r="M732" s="128"/>
      <c r="N732" s="117"/>
      <c r="R732" s="117"/>
      <c r="T732" s="117"/>
      <c r="V732" s="117"/>
      <c r="X732" s="117"/>
      <c r="Y732" s="10"/>
      <c r="Z732" s="11"/>
      <c r="AA732" s="36"/>
      <c r="AB732" s="36"/>
      <c r="AC732" s="13"/>
      <c r="AD732" s="13"/>
      <c r="AE732" s="37"/>
      <c r="AF732" s="37"/>
      <c r="AG732" s="14"/>
      <c r="AH732" s="14"/>
      <c r="AI732" s="14"/>
      <c r="AZ732" s="24"/>
    </row>
    <row r="733">
      <c r="B733" s="24"/>
      <c r="E733" s="113"/>
      <c r="F733" s="266"/>
      <c r="G733" s="113"/>
      <c r="K733" s="36"/>
      <c r="L733" s="117"/>
      <c r="M733" s="128"/>
      <c r="N733" s="117"/>
      <c r="R733" s="117"/>
      <c r="T733" s="117"/>
      <c r="V733" s="117"/>
      <c r="X733" s="117"/>
      <c r="Y733" s="10"/>
      <c r="Z733" s="11"/>
      <c r="AA733" s="36"/>
      <c r="AB733" s="36"/>
      <c r="AC733" s="13"/>
      <c r="AD733" s="13"/>
      <c r="AE733" s="37"/>
      <c r="AF733" s="37"/>
      <c r="AG733" s="14"/>
      <c r="AH733" s="14"/>
      <c r="AI733" s="14"/>
      <c r="AZ733" s="24"/>
    </row>
    <row r="734">
      <c r="B734" s="24"/>
      <c r="E734" s="113"/>
      <c r="F734" s="266"/>
      <c r="G734" s="113"/>
      <c r="K734" s="36"/>
      <c r="L734" s="117"/>
      <c r="M734" s="128"/>
      <c r="N734" s="117"/>
      <c r="R734" s="117"/>
      <c r="T734" s="117"/>
      <c r="V734" s="117"/>
      <c r="X734" s="117"/>
      <c r="Y734" s="10"/>
      <c r="Z734" s="11"/>
      <c r="AA734" s="36"/>
      <c r="AB734" s="36"/>
      <c r="AC734" s="13"/>
      <c r="AD734" s="13"/>
      <c r="AE734" s="37"/>
      <c r="AF734" s="37"/>
      <c r="AG734" s="14"/>
      <c r="AH734" s="14"/>
      <c r="AI734" s="14"/>
      <c r="AZ734" s="24"/>
    </row>
    <row r="735">
      <c r="B735" s="24"/>
      <c r="E735" s="113"/>
      <c r="F735" s="266"/>
      <c r="G735" s="113"/>
      <c r="K735" s="36"/>
      <c r="L735" s="117"/>
      <c r="M735" s="128"/>
      <c r="N735" s="117"/>
      <c r="R735" s="117"/>
      <c r="T735" s="117"/>
      <c r="V735" s="117"/>
      <c r="X735" s="117"/>
      <c r="Y735" s="10"/>
      <c r="Z735" s="11"/>
      <c r="AA735" s="36"/>
      <c r="AB735" s="36"/>
      <c r="AC735" s="13"/>
      <c r="AD735" s="13"/>
      <c r="AE735" s="37"/>
      <c r="AF735" s="37"/>
      <c r="AG735" s="14"/>
      <c r="AH735" s="14"/>
      <c r="AI735" s="14"/>
      <c r="AZ735" s="24"/>
    </row>
    <row r="736">
      <c r="B736" s="24"/>
      <c r="E736" s="113"/>
      <c r="F736" s="266"/>
      <c r="G736" s="113"/>
      <c r="K736" s="36"/>
      <c r="L736" s="117"/>
      <c r="M736" s="128"/>
      <c r="N736" s="117"/>
      <c r="R736" s="117"/>
      <c r="T736" s="117"/>
      <c r="V736" s="117"/>
      <c r="X736" s="117"/>
      <c r="Y736" s="10"/>
      <c r="Z736" s="11"/>
      <c r="AA736" s="36"/>
      <c r="AB736" s="36"/>
      <c r="AC736" s="13"/>
      <c r="AD736" s="13"/>
      <c r="AE736" s="37"/>
      <c r="AF736" s="37"/>
      <c r="AG736" s="14"/>
      <c r="AH736" s="14"/>
      <c r="AI736" s="14"/>
      <c r="AZ736" s="24"/>
    </row>
    <row r="737">
      <c r="B737" s="24"/>
      <c r="E737" s="113"/>
      <c r="F737" s="266"/>
      <c r="G737" s="113"/>
      <c r="K737" s="36"/>
      <c r="L737" s="117"/>
      <c r="M737" s="128"/>
      <c r="N737" s="117"/>
      <c r="R737" s="117"/>
      <c r="T737" s="117"/>
      <c r="V737" s="117"/>
      <c r="X737" s="117"/>
      <c r="Y737" s="10"/>
      <c r="Z737" s="11"/>
      <c r="AA737" s="36"/>
      <c r="AB737" s="36"/>
      <c r="AC737" s="13"/>
      <c r="AD737" s="13"/>
      <c r="AE737" s="37"/>
      <c r="AF737" s="37"/>
      <c r="AG737" s="14"/>
      <c r="AH737" s="14"/>
      <c r="AI737" s="14"/>
      <c r="AZ737" s="24"/>
    </row>
    <row r="738">
      <c r="B738" s="24"/>
      <c r="E738" s="113"/>
      <c r="F738" s="266"/>
      <c r="G738" s="113"/>
      <c r="K738" s="36"/>
      <c r="L738" s="117"/>
      <c r="M738" s="128"/>
      <c r="N738" s="117"/>
      <c r="R738" s="117"/>
      <c r="T738" s="117"/>
      <c r="V738" s="117"/>
      <c r="X738" s="117"/>
      <c r="Y738" s="10"/>
      <c r="Z738" s="11"/>
      <c r="AA738" s="36"/>
      <c r="AB738" s="36"/>
      <c r="AC738" s="13"/>
      <c r="AD738" s="13"/>
      <c r="AE738" s="37"/>
      <c r="AF738" s="37"/>
      <c r="AG738" s="14"/>
      <c r="AH738" s="14"/>
      <c r="AI738" s="14"/>
      <c r="AZ738" s="24"/>
    </row>
    <row r="739">
      <c r="B739" s="24"/>
      <c r="E739" s="113"/>
      <c r="F739" s="266"/>
      <c r="G739" s="113"/>
      <c r="K739" s="36"/>
      <c r="L739" s="117"/>
      <c r="M739" s="128"/>
      <c r="N739" s="117"/>
      <c r="R739" s="117"/>
      <c r="T739" s="117"/>
      <c r="V739" s="117"/>
      <c r="X739" s="117"/>
      <c r="Y739" s="10"/>
      <c r="Z739" s="11"/>
      <c r="AA739" s="36"/>
      <c r="AB739" s="36"/>
      <c r="AC739" s="13"/>
      <c r="AD739" s="13"/>
      <c r="AE739" s="37"/>
      <c r="AF739" s="37"/>
      <c r="AG739" s="14"/>
      <c r="AH739" s="14"/>
      <c r="AI739" s="14"/>
      <c r="AZ739" s="24"/>
    </row>
    <row r="740">
      <c r="B740" s="24"/>
      <c r="E740" s="113"/>
      <c r="F740" s="266"/>
      <c r="G740" s="113"/>
      <c r="K740" s="36"/>
      <c r="L740" s="117"/>
      <c r="M740" s="128"/>
      <c r="N740" s="117"/>
      <c r="R740" s="117"/>
      <c r="T740" s="117"/>
      <c r="V740" s="117"/>
      <c r="X740" s="117"/>
      <c r="Y740" s="10"/>
      <c r="Z740" s="11"/>
      <c r="AA740" s="36"/>
      <c r="AB740" s="36"/>
      <c r="AC740" s="13"/>
      <c r="AD740" s="13"/>
      <c r="AE740" s="37"/>
      <c r="AF740" s="37"/>
      <c r="AG740" s="14"/>
      <c r="AH740" s="14"/>
      <c r="AI740" s="14"/>
      <c r="AZ740" s="24"/>
    </row>
    <row r="741">
      <c r="B741" s="24"/>
      <c r="E741" s="113"/>
      <c r="F741" s="266"/>
      <c r="G741" s="113"/>
      <c r="K741" s="36"/>
      <c r="L741" s="117"/>
      <c r="M741" s="128"/>
      <c r="N741" s="117"/>
      <c r="R741" s="117"/>
      <c r="T741" s="117"/>
      <c r="V741" s="117"/>
      <c r="X741" s="117"/>
      <c r="Y741" s="10"/>
      <c r="Z741" s="11"/>
      <c r="AA741" s="36"/>
      <c r="AB741" s="36"/>
      <c r="AC741" s="13"/>
      <c r="AD741" s="13"/>
      <c r="AE741" s="37"/>
      <c r="AF741" s="37"/>
      <c r="AG741" s="14"/>
      <c r="AH741" s="14"/>
      <c r="AI741" s="14"/>
      <c r="AZ741" s="24"/>
    </row>
    <row r="742">
      <c r="B742" s="24"/>
      <c r="E742" s="113"/>
      <c r="F742" s="266"/>
      <c r="G742" s="113"/>
      <c r="K742" s="36"/>
      <c r="L742" s="117"/>
      <c r="M742" s="128"/>
      <c r="N742" s="117"/>
      <c r="R742" s="117"/>
      <c r="T742" s="117"/>
      <c r="V742" s="117"/>
      <c r="X742" s="117"/>
      <c r="Y742" s="10"/>
      <c r="Z742" s="11"/>
      <c r="AA742" s="36"/>
      <c r="AB742" s="36"/>
      <c r="AC742" s="13"/>
      <c r="AD742" s="13"/>
      <c r="AE742" s="37"/>
      <c r="AF742" s="37"/>
      <c r="AG742" s="14"/>
      <c r="AH742" s="14"/>
      <c r="AI742" s="14"/>
      <c r="AZ742" s="24"/>
    </row>
    <row r="743">
      <c r="B743" s="24"/>
      <c r="E743" s="113"/>
      <c r="F743" s="266"/>
      <c r="G743" s="113"/>
      <c r="K743" s="36"/>
      <c r="L743" s="117"/>
      <c r="M743" s="128"/>
      <c r="N743" s="117"/>
      <c r="R743" s="117"/>
      <c r="T743" s="117"/>
      <c r="V743" s="117"/>
      <c r="X743" s="117"/>
      <c r="Y743" s="10"/>
      <c r="Z743" s="11"/>
      <c r="AA743" s="36"/>
      <c r="AB743" s="36"/>
      <c r="AC743" s="13"/>
      <c r="AD743" s="13"/>
      <c r="AE743" s="37"/>
      <c r="AF743" s="37"/>
      <c r="AG743" s="14"/>
      <c r="AH743" s="14"/>
      <c r="AI743" s="14"/>
      <c r="AZ743" s="24"/>
    </row>
    <row r="744">
      <c r="B744" s="24"/>
      <c r="E744" s="113"/>
      <c r="F744" s="266"/>
      <c r="G744" s="113"/>
      <c r="K744" s="36"/>
      <c r="L744" s="117"/>
      <c r="M744" s="128"/>
      <c r="N744" s="117"/>
      <c r="R744" s="117"/>
      <c r="T744" s="117"/>
      <c r="V744" s="117"/>
      <c r="X744" s="117"/>
      <c r="Y744" s="10"/>
      <c r="Z744" s="11"/>
      <c r="AA744" s="36"/>
      <c r="AB744" s="36"/>
      <c r="AC744" s="13"/>
      <c r="AD744" s="13"/>
      <c r="AE744" s="37"/>
      <c r="AF744" s="37"/>
      <c r="AG744" s="14"/>
      <c r="AH744" s="14"/>
      <c r="AI744" s="14"/>
      <c r="AZ744" s="24"/>
    </row>
    <row r="745">
      <c r="B745" s="24"/>
      <c r="E745" s="113"/>
      <c r="F745" s="266"/>
      <c r="G745" s="113"/>
      <c r="K745" s="36"/>
      <c r="L745" s="117"/>
      <c r="M745" s="128"/>
      <c r="N745" s="117"/>
      <c r="R745" s="117"/>
      <c r="T745" s="117"/>
      <c r="V745" s="117"/>
      <c r="X745" s="117"/>
      <c r="Y745" s="10"/>
      <c r="Z745" s="11"/>
      <c r="AA745" s="36"/>
      <c r="AB745" s="36"/>
      <c r="AC745" s="13"/>
      <c r="AD745" s="13"/>
      <c r="AE745" s="37"/>
      <c r="AF745" s="37"/>
      <c r="AG745" s="14"/>
      <c r="AH745" s="14"/>
      <c r="AI745" s="14"/>
      <c r="AZ745" s="24"/>
    </row>
    <row r="746">
      <c r="B746" s="24"/>
      <c r="E746" s="113"/>
      <c r="F746" s="266"/>
      <c r="G746" s="113"/>
      <c r="K746" s="36"/>
      <c r="L746" s="117"/>
      <c r="M746" s="128"/>
      <c r="N746" s="117"/>
      <c r="R746" s="117"/>
      <c r="T746" s="117"/>
      <c r="V746" s="117"/>
      <c r="X746" s="117"/>
      <c r="Y746" s="10"/>
      <c r="Z746" s="11"/>
      <c r="AA746" s="36"/>
      <c r="AB746" s="36"/>
      <c r="AC746" s="13"/>
      <c r="AD746" s="13"/>
      <c r="AE746" s="37"/>
      <c r="AF746" s="37"/>
      <c r="AG746" s="14"/>
      <c r="AH746" s="14"/>
      <c r="AI746" s="14"/>
      <c r="AZ746" s="24"/>
    </row>
    <row r="747">
      <c r="B747" s="24"/>
      <c r="E747" s="113"/>
      <c r="F747" s="266"/>
      <c r="G747" s="113"/>
      <c r="K747" s="36"/>
      <c r="L747" s="117"/>
      <c r="M747" s="128"/>
      <c r="N747" s="117"/>
      <c r="R747" s="117"/>
      <c r="T747" s="117"/>
      <c r="V747" s="117"/>
      <c r="X747" s="117"/>
      <c r="Y747" s="10"/>
      <c r="Z747" s="11"/>
      <c r="AA747" s="36"/>
      <c r="AB747" s="36"/>
      <c r="AC747" s="13"/>
      <c r="AD747" s="13"/>
      <c r="AE747" s="37"/>
      <c r="AF747" s="37"/>
      <c r="AG747" s="14"/>
      <c r="AH747" s="14"/>
      <c r="AI747" s="14"/>
      <c r="AZ747" s="24"/>
    </row>
    <row r="748">
      <c r="B748" s="24"/>
      <c r="E748" s="113"/>
      <c r="F748" s="266"/>
      <c r="G748" s="113"/>
      <c r="K748" s="36"/>
      <c r="L748" s="117"/>
      <c r="M748" s="128"/>
      <c r="N748" s="117"/>
      <c r="R748" s="117"/>
      <c r="T748" s="117"/>
      <c r="V748" s="117"/>
      <c r="X748" s="117"/>
      <c r="Y748" s="10"/>
      <c r="Z748" s="11"/>
      <c r="AA748" s="36"/>
      <c r="AB748" s="36"/>
      <c r="AC748" s="13"/>
      <c r="AD748" s="13"/>
      <c r="AE748" s="37"/>
      <c r="AF748" s="37"/>
      <c r="AG748" s="14"/>
      <c r="AH748" s="14"/>
      <c r="AI748" s="14"/>
      <c r="AZ748" s="24"/>
    </row>
    <row r="749">
      <c r="B749" s="24"/>
      <c r="E749" s="113"/>
      <c r="F749" s="266"/>
      <c r="G749" s="113"/>
      <c r="K749" s="36"/>
      <c r="L749" s="117"/>
      <c r="M749" s="128"/>
      <c r="N749" s="117"/>
      <c r="R749" s="117"/>
      <c r="T749" s="117"/>
      <c r="V749" s="117"/>
      <c r="X749" s="117"/>
      <c r="Y749" s="10"/>
      <c r="Z749" s="11"/>
      <c r="AA749" s="36"/>
      <c r="AB749" s="36"/>
      <c r="AC749" s="13"/>
      <c r="AD749" s="13"/>
      <c r="AE749" s="37"/>
      <c r="AF749" s="37"/>
      <c r="AG749" s="14"/>
      <c r="AH749" s="14"/>
      <c r="AI749" s="14"/>
      <c r="AZ749" s="24"/>
    </row>
    <row r="750">
      <c r="B750" s="24"/>
      <c r="E750" s="113"/>
      <c r="F750" s="266"/>
      <c r="G750" s="113"/>
      <c r="K750" s="36"/>
      <c r="L750" s="117"/>
      <c r="M750" s="128"/>
      <c r="N750" s="117"/>
      <c r="R750" s="117"/>
      <c r="T750" s="117"/>
      <c r="V750" s="117"/>
      <c r="X750" s="117"/>
      <c r="Y750" s="10"/>
      <c r="Z750" s="11"/>
      <c r="AA750" s="36"/>
      <c r="AB750" s="36"/>
      <c r="AC750" s="13"/>
      <c r="AD750" s="13"/>
      <c r="AE750" s="37"/>
      <c r="AF750" s="37"/>
      <c r="AG750" s="14"/>
      <c r="AH750" s="14"/>
      <c r="AI750" s="14"/>
      <c r="AZ750" s="24"/>
    </row>
    <row r="751">
      <c r="B751" s="24"/>
      <c r="E751" s="113"/>
      <c r="F751" s="266"/>
      <c r="G751" s="113"/>
      <c r="K751" s="36"/>
      <c r="L751" s="117"/>
      <c r="M751" s="128"/>
      <c r="N751" s="117"/>
      <c r="R751" s="117"/>
      <c r="T751" s="117"/>
      <c r="V751" s="117"/>
      <c r="X751" s="117"/>
      <c r="Y751" s="10"/>
      <c r="Z751" s="11"/>
      <c r="AA751" s="36"/>
      <c r="AB751" s="36"/>
      <c r="AC751" s="13"/>
      <c r="AD751" s="13"/>
      <c r="AE751" s="37"/>
      <c r="AF751" s="37"/>
      <c r="AG751" s="14"/>
      <c r="AH751" s="14"/>
      <c r="AI751" s="14"/>
      <c r="AZ751" s="24"/>
    </row>
    <row r="752">
      <c r="B752" s="24"/>
      <c r="E752" s="113"/>
      <c r="F752" s="266"/>
      <c r="G752" s="113"/>
      <c r="K752" s="36"/>
      <c r="L752" s="117"/>
      <c r="M752" s="128"/>
      <c r="N752" s="117"/>
      <c r="R752" s="117"/>
      <c r="T752" s="117"/>
      <c r="V752" s="117"/>
      <c r="X752" s="117"/>
      <c r="Y752" s="10"/>
      <c r="Z752" s="11"/>
      <c r="AA752" s="36"/>
      <c r="AB752" s="36"/>
      <c r="AC752" s="13"/>
      <c r="AD752" s="13"/>
      <c r="AE752" s="37"/>
      <c r="AF752" s="37"/>
      <c r="AG752" s="14"/>
      <c r="AH752" s="14"/>
      <c r="AI752" s="14"/>
      <c r="AZ752" s="24"/>
    </row>
    <row r="753">
      <c r="B753" s="24"/>
      <c r="E753" s="113"/>
      <c r="F753" s="266"/>
      <c r="G753" s="113"/>
      <c r="K753" s="36"/>
      <c r="L753" s="117"/>
      <c r="M753" s="128"/>
      <c r="N753" s="117"/>
      <c r="R753" s="117"/>
      <c r="T753" s="117"/>
      <c r="V753" s="117"/>
      <c r="X753" s="117"/>
      <c r="Y753" s="10"/>
      <c r="Z753" s="11"/>
      <c r="AA753" s="36"/>
      <c r="AB753" s="36"/>
      <c r="AC753" s="13"/>
      <c r="AD753" s="13"/>
      <c r="AE753" s="37"/>
      <c r="AF753" s="37"/>
      <c r="AG753" s="14"/>
      <c r="AH753" s="14"/>
      <c r="AI753" s="14"/>
      <c r="AZ753" s="24"/>
    </row>
    <row r="754">
      <c r="B754" s="24"/>
      <c r="E754" s="113"/>
      <c r="F754" s="266"/>
      <c r="G754" s="113"/>
      <c r="K754" s="36"/>
      <c r="L754" s="117"/>
      <c r="M754" s="128"/>
      <c r="N754" s="117"/>
      <c r="R754" s="117"/>
      <c r="T754" s="117"/>
      <c r="V754" s="117"/>
      <c r="X754" s="117"/>
      <c r="Y754" s="10"/>
      <c r="Z754" s="11"/>
      <c r="AA754" s="36"/>
      <c r="AB754" s="36"/>
      <c r="AC754" s="13"/>
      <c r="AD754" s="13"/>
      <c r="AE754" s="37"/>
      <c r="AF754" s="37"/>
      <c r="AG754" s="14"/>
      <c r="AH754" s="14"/>
      <c r="AI754" s="14"/>
      <c r="AZ754" s="24"/>
    </row>
    <row r="755">
      <c r="B755" s="24"/>
      <c r="E755" s="113"/>
      <c r="F755" s="266"/>
      <c r="G755" s="113"/>
      <c r="K755" s="36"/>
      <c r="L755" s="117"/>
      <c r="M755" s="128"/>
      <c r="N755" s="117"/>
      <c r="R755" s="117"/>
      <c r="T755" s="117"/>
      <c r="V755" s="117"/>
      <c r="X755" s="117"/>
      <c r="Y755" s="10"/>
      <c r="Z755" s="11"/>
      <c r="AA755" s="36"/>
      <c r="AB755" s="36"/>
      <c r="AC755" s="13"/>
      <c r="AD755" s="13"/>
      <c r="AE755" s="37"/>
      <c r="AF755" s="37"/>
      <c r="AG755" s="14"/>
      <c r="AH755" s="14"/>
      <c r="AI755" s="14"/>
      <c r="AZ755" s="24"/>
    </row>
    <row r="756">
      <c r="B756" s="24"/>
      <c r="E756" s="113"/>
      <c r="F756" s="266"/>
      <c r="G756" s="113"/>
      <c r="K756" s="36"/>
      <c r="L756" s="117"/>
      <c r="M756" s="128"/>
      <c r="N756" s="117"/>
      <c r="R756" s="117"/>
      <c r="T756" s="117"/>
      <c r="V756" s="117"/>
      <c r="X756" s="117"/>
      <c r="Y756" s="10"/>
      <c r="Z756" s="11"/>
      <c r="AA756" s="36"/>
      <c r="AB756" s="36"/>
      <c r="AC756" s="13"/>
      <c r="AD756" s="13"/>
      <c r="AE756" s="37"/>
      <c r="AF756" s="37"/>
      <c r="AG756" s="14"/>
      <c r="AH756" s="14"/>
      <c r="AI756" s="14"/>
      <c r="AZ756" s="24"/>
    </row>
    <row r="757">
      <c r="B757" s="24"/>
      <c r="E757" s="113"/>
      <c r="F757" s="266"/>
      <c r="G757" s="113"/>
      <c r="K757" s="36"/>
      <c r="L757" s="117"/>
      <c r="M757" s="128"/>
      <c r="N757" s="117"/>
      <c r="R757" s="117"/>
      <c r="T757" s="117"/>
      <c r="V757" s="117"/>
      <c r="X757" s="117"/>
      <c r="Y757" s="10"/>
      <c r="Z757" s="11"/>
      <c r="AA757" s="36"/>
      <c r="AB757" s="36"/>
      <c r="AC757" s="13"/>
      <c r="AD757" s="13"/>
      <c r="AE757" s="37"/>
      <c r="AF757" s="37"/>
      <c r="AG757" s="14"/>
      <c r="AH757" s="14"/>
      <c r="AI757" s="14"/>
      <c r="AZ757" s="24"/>
    </row>
    <row r="758">
      <c r="B758" s="24"/>
      <c r="E758" s="113"/>
      <c r="F758" s="266"/>
      <c r="G758" s="113"/>
      <c r="K758" s="36"/>
      <c r="L758" s="117"/>
      <c r="M758" s="128"/>
      <c r="N758" s="117"/>
      <c r="R758" s="117"/>
      <c r="T758" s="117"/>
      <c r="V758" s="117"/>
      <c r="X758" s="117"/>
      <c r="Y758" s="10"/>
      <c r="Z758" s="11"/>
      <c r="AA758" s="36"/>
      <c r="AB758" s="36"/>
      <c r="AC758" s="13"/>
      <c r="AD758" s="13"/>
      <c r="AE758" s="37"/>
      <c r="AF758" s="37"/>
      <c r="AG758" s="14"/>
      <c r="AH758" s="14"/>
      <c r="AI758" s="14"/>
      <c r="AZ758" s="24"/>
    </row>
    <row r="759">
      <c r="B759" s="24"/>
      <c r="E759" s="113"/>
      <c r="F759" s="266"/>
      <c r="G759" s="113"/>
      <c r="K759" s="36"/>
      <c r="L759" s="117"/>
      <c r="M759" s="128"/>
      <c r="N759" s="117"/>
      <c r="R759" s="117"/>
      <c r="T759" s="117"/>
      <c r="V759" s="117"/>
      <c r="X759" s="117"/>
      <c r="Y759" s="10"/>
      <c r="Z759" s="11"/>
      <c r="AA759" s="36"/>
      <c r="AB759" s="36"/>
      <c r="AC759" s="13"/>
      <c r="AD759" s="13"/>
      <c r="AE759" s="37"/>
      <c r="AF759" s="37"/>
      <c r="AG759" s="14"/>
      <c r="AH759" s="14"/>
      <c r="AI759" s="14"/>
      <c r="AZ759" s="24"/>
    </row>
    <row r="760">
      <c r="B760" s="24"/>
      <c r="E760" s="113"/>
      <c r="F760" s="266"/>
      <c r="G760" s="113"/>
      <c r="K760" s="36"/>
      <c r="L760" s="117"/>
      <c r="M760" s="128"/>
      <c r="N760" s="117"/>
      <c r="R760" s="117"/>
      <c r="T760" s="117"/>
      <c r="V760" s="117"/>
      <c r="X760" s="117"/>
      <c r="Y760" s="10"/>
      <c r="Z760" s="11"/>
      <c r="AA760" s="36"/>
      <c r="AB760" s="36"/>
      <c r="AC760" s="13"/>
      <c r="AD760" s="13"/>
      <c r="AE760" s="37"/>
      <c r="AF760" s="37"/>
      <c r="AG760" s="14"/>
      <c r="AH760" s="14"/>
      <c r="AI760" s="14"/>
      <c r="AZ760" s="24"/>
    </row>
    <row r="761">
      <c r="B761" s="24"/>
      <c r="E761" s="113"/>
      <c r="F761" s="266"/>
      <c r="G761" s="113"/>
      <c r="K761" s="36"/>
      <c r="L761" s="117"/>
      <c r="M761" s="128"/>
      <c r="N761" s="117"/>
      <c r="R761" s="117"/>
      <c r="T761" s="117"/>
      <c r="V761" s="117"/>
      <c r="X761" s="117"/>
      <c r="Y761" s="10"/>
      <c r="Z761" s="11"/>
      <c r="AA761" s="36"/>
      <c r="AB761" s="36"/>
      <c r="AC761" s="13"/>
      <c r="AD761" s="13"/>
      <c r="AE761" s="37"/>
      <c r="AF761" s="37"/>
      <c r="AG761" s="14"/>
      <c r="AH761" s="14"/>
      <c r="AI761" s="14"/>
      <c r="AZ761" s="24"/>
    </row>
    <row r="762">
      <c r="B762" s="24"/>
      <c r="E762" s="113"/>
      <c r="F762" s="266"/>
      <c r="G762" s="113"/>
      <c r="K762" s="36"/>
      <c r="L762" s="117"/>
      <c r="M762" s="128"/>
      <c r="N762" s="117"/>
      <c r="R762" s="117"/>
      <c r="T762" s="117"/>
      <c r="V762" s="117"/>
      <c r="X762" s="117"/>
      <c r="Y762" s="10"/>
      <c r="Z762" s="11"/>
      <c r="AA762" s="36"/>
      <c r="AB762" s="36"/>
      <c r="AC762" s="13"/>
      <c r="AD762" s="13"/>
      <c r="AE762" s="37"/>
      <c r="AF762" s="37"/>
      <c r="AG762" s="14"/>
      <c r="AH762" s="14"/>
      <c r="AI762" s="14"/>
      <c r="AZ762" s="24"/>
    </row>
    <row r="763">
      <c r="B763" s="24"/>
      <c r="E763" s="113"/>
      <c r="F763" s="266"/>
      <c r="G763" s="113"/>
      <c r="K763" s="36"/>
      <c r="L763" s="117"/>
      <c r="M763" s="128"/>
      <c r="N763" s="117"/>
      <c r="R763" s="117"/>
      <c r="T763" s="117"/>
      <c r="V763" s="117"/>
      <c r="X763" s="117"/>
      <c r="Y763" s="10"/>
      <c r="Z763" s="11"/>
      <c r="AA763" s="36"/>
      <c r="AB763" s="36"/>
      <c r="AC763" s="13"/>
      <c r="AD763" s="13"/>
      <c r="AE763" s="37"/>
      <c r="AF763" s="37"/>
      <c r="AG763" s="14"/>
      <c r="AH763" s="14"/>
      <c r="AI763" s="14"/>
      <c r="AZ763" s="24"/>
    </row>
    <row r="764">
      <c r="B764" s="24"/>
      <c r="E764" s="113"/>
      <c r="F764" s="266"/>
      <c r="G764" s="113"/>
      <c r="K764" s="36"/>
      <c r="L764" s="117"/>
      <c r="M764" s="128"/>
      <c r="N764" s="117"/>
      <c r="R764" s="117"/>
      <c r="T764" s="117"/>
      <c r="V764" s="117"/>
      <c r="X764" s="117"/>
      <c r="Y764" s="10"/>
      <c r="Z764" s="11"/>
      <c r="AA764" s="36"/>
      <c r="AB764" s="36"/>
      <c r="AC764" s="13"/>
      <c r="AD764" s="13"/>
      <c r="AE764" s="37"/>
      <c r="AF764" s="37"/>
      <c r="AG764" s="14"/>
      <c r="AH764" s="14"/>
      <c r="AI764" s="14"/>
      <c r="AZ764" s="24"/>
    </row>
    <row r="765">
      <c r="B765" s="24"/>
      <c r="E765" s="113"/>
      <c r="F765" s="266"/>
      <c r="G765" s="113"/>
      <c r="K765" s="36"/>
      <c r="L765" s="117"/>
      <c r="M765" s="128"/>
      <c r="N765" s="117"/>
      <c r="R765" s="117"/>
      <c r="T765" s="117"/>
      <c r="V765" s="117"/>
      <c r="X765" s="117"/>
      <c r="Y765" s="10"/>
      <c r="Z765" s="11"/>
      <c r="AA765" s="36"/>
      <c r="AB765" s="36"/>
      <c r="AC765" s="13"/>
      <c r="AD765" s="13"/>
      <c r="AE765" s="37"/>
      <c r="AF765" s="37"/>
      <c r="AG765" s="14"/>
      <c r="AH765" s="14"/>
      <c r="AI765" s="14"/>
      <c r="AZ765" s="24"/>
    </row>
    <row r="766">
      <c r="B766" s="24"/>
      <c r="E766" s="113"/>
      <c r="F766" s="266"/>
      <c r="G766" s="113"/>
      <c r="K766" s="36"/>
      <c r="L766" s="117"/>
      <c r="M766" s="128"/>
      <c r="N766" s="117"/>
      <c r="R766" s="117"/>
      <c r="T766" s="117"/>
      <c r="V766" s="117"/>
      <c r="X766" s="117"/>
      <c r="Y766" s="10"/>
      <c r="Z766" s="11"/>
      <c r="AA766" s="36"/>
      <c r="AB766" s="36"/>
      <c r="AC766" s="13"/>
      <c r="AD766" s="13"/>
      <c r="AE766" s="37"/>
      <c r="AF766" s="37"/>
      <c r="AG766" s="14"/>
      <c r="AH766" s="14"/>
      <c r="AI766" s="14"/>
      <c r="AZ766" s="24"/>
    </row>
    <row r="767">
      <c r="B767" s="24"/>
      <c r="E767" s="113"/>
      <c r="F767" s="266"/>
      <c r="G767" s="113"/>
      <c r="K767" s="36"/>
      <c r="L767" s="117"/>
      <c r="M767" s="128"/>
      <c r="N767" s="117"/>
      <c r="R767" s="117"/>
      <c r="T767" s="117"/>
      <c r="V767" s="117"/>
      <c r="X767" s="117"/>
      <c r="Y767" s="10"/>
      <c r="Z767" s="11"/>
      <c r="AA767" s="36"/>
      <c r="AB767" s="36"/>
      <c r="AC767" s="13"/>
      <c r="AD767" s="13"/>
      <c r="AE767" s="37"/>
      <c r="AF767" s="37"/>
      <c r="AG767" s="14"/>
      <c r="AH767" s="14"/>
      <c r="AI767" s="14"/>
      <c r="AZ767" s="24"/>
    </row>
    <row r="768">
      <c r="B768" s="24"/>
      <c r="E768" s="113"/>
      <c r="F768" s="266"/>
      <c r="G768" s="113"/>
      <c r="K768" s="36"/>
      <c r="L768" s="117"/>
      <c r="M768" s="128"/>
      <c r="N768" s="117"/>
      <c r="R768" s="117"/>
      <c r="T768" s="117"/>
      <c r="V768" s="117"/>
      <c r="X768" s="117"/>
      <c r="Y768" s="10"/>
      <c r="Z768" s="11"/>
      <c r="AA768" s="36"/>
      <c r="AB768" s="36"/>
      <c r="AC768" s="13"/>
      <c r="AD768" s="13"/>
      <c r="AE768" s="37"/>
      <c r="AF768" s="37"/>
      <c r="AG768" s="14"/>
      <c r="AH768" s="14"/>
      <c r="AI768" s="14"/>
      <c r="AZ768" s="24"/>
    </row>
    <row r="769">
      <c r="B769" s="24"/>
      <c r="E769" s="113"/>
      <c r="F769" s="266"/>
      <c r="G769" s="113"/>
      <c r="K769" s="36"/>
      <c r="L769" s="117"/>
      <c r="M769" s="128"/>
      <c r="N769" s="117"/>
      <c r="R769" s="117"/>
      <c r="T769" s="117"/>
      <c r="V769" s="117"/>
      <c r="X769" s="117"/>
      <c r="Y769" s="10"/>
      <c r="Z769" s="11"/>
      <c r="AA769" s="36"/>
      <c r="AB769" s="36"/>
      <c r="AC769" s="13"/>
      <c r="AD769" s="13"/>
      <c r="AE769" s="37"/>
      <c r="AF769" s="37"/>
      <c r="AG769" s="14"/>
      <c r="AH769" s="14"/>
      <c r="AI769" s="14"/>
      <c r="AZ769" s="24"/>
    </row>
    <row r="770">
      <c r="B770" s="24"/>
      <c r="E770" s="113"/>
      <c r="F770" s="266"/>
      <c r="G770" s="113"/>
      <c r="K770" s="36"/>
      <c r="L770" s="117"/>
      <c r="M770" s="128"/>
      <c r="N770" s="117"/>
      <c r="R770" s="117"/>
      <c r="T770" s="117"/>
      <c r="V770" s="117"/>
      <c r="X770" s="117"/>
      <c r="Y770" s="10"/>
      <c r="Z770" s="11"/>
      <c r="AA770" s="36"/>
      <c r="AB770" s="36"/>
      <c r="AC770" s="13"/>
      <c r="AD770" s="13"/>
      <c r="AE770" s="37"/>
      <c r="AF770" s="37"/>
      <c r="AG770" s="14"/>
      <c r="AH770" s="14"/>
      <c r="AI770" s="14"/>
      <c r="AZ770" s="24"/>
    </row>
    <row r="771">
      <c r="B771" s="24"/>
      <c r="E771" s="113"/>
      <c r="F771" s="266"/>
      <c r="G771" s="113"/>
      <c r="K771" s="36"/>
      <c r="L771" s="117"/>
      <c r="M771" s="128"/>
      <c r="N771" s="117"/>
      <c r="R771" s="117"/>
      <c r="T771" s="117"/>
      <c r="V771" s="117"/>
      <c r="X771" s="117"/>
      <c r="Y771" s="10"/>
      <c r="Z771" s="11"/>
      <c r="AA771" s="36"/>
      <c r="AB771" s="36"/>
      <c r="AC771" s="13"/>
      <c r="AD771" s="13"/>
      <c r="AE771" s="37"/>
      <c r="AF771" s="37"/>
      <c r="AG771" s="14"/>
      <c r="AH771" s="14"/>
      <c r="AI771" s="14"/>
      <c r="AZ771" s="24"/>
    </row>
    <row r="772">
      <c r="B772" s="24"/>
      <c r="E772" s="113"/>
      <c r="F772" s="266"/>
      <c r="G772" s="113"/>
      <c r="K772" s="36"/>
      <c r="L772" s="117"/>
      <c r="M772" s="128"/>
      <c r="N772" s="117"/>
      <c r="R772" s="117"/>
      <c r="T772" s="117"/>
      <c r="V772" s="117"/>
      <c r="X772" s="117"/>
      <c r="Y772" s="10"/>
      <c r="Z772" s="11"/>
      <c r="AA772" s="36"/>
      <c r="AB772" s="36"/>
      <c r="AC772" s="13"/>
      <c r="AD772" s="13"/>
      <c r="AE772" s="37"/>
      <c r="AF772" s="37"/>
      <c r="AG772" s="14"/>
      <c r="AH772" s="14"/>
      <c r="AI772" s="14"/>
      <c r="AZ772" s="24"/>
    </row>
    <row r="773">
      <c r="B773" s="24"/>
      <c r="E773" s="113"/>
      <c r="F773" s="266"/>
      <c r="G773" s="113"/>
      <c r="K773" s="36"/>
      <c r="L773" s="117"/>
      <c r="M773" s="128"/>
      <c r="N773" s="117"/>
      <c r="R773" s="117"/>
      <c r="T773" s="117"/>
      <c r="V773" s="117"/>
      <c r="X773" s="117"/>
      <c r="Y773" s="10"/>
      <c r="Z773" s="11"/>
      <c r="AA773" s="36"/>
      <c r="AB773" s="36"/>
      <c r="AC773" s="13"/>
      <c r="AD773" s="13"/>
      <c r="AE773" s="37"/>
      <c r="AF773" s="37"/>
      <c r="AG773" s="14"/>
      <c r="AH773" s="14"/>
      <c r="AI773" s="14"/>
      <c r="AZ773" s="24"/>
    </row>
    <row r="774">
      <c r="B774" s="24"/>
      <c r="E774" s="113"/>
      <c r="F774" s="266"/>
      <c r="G774" s="113"/>
      <c r="K774" s="36"/>
      <c r="L774" s="117"/>
      <c r="M774" s="128"/>
      <c r="N774" s="117"/>
      <c r="R774" s="117"/>
      <c r="T774" s="117"/>
      <c r="V774" s="117"/>
      <c r="X774" s="117"/>
      <c r="Y774" s="10"/>
      <c r="Z774" s="11"/>
      <c r="AA774" s="36"/>
      <c r="AB774" s="36"/>
      <c r="AC774" s="13"/>
      <c r="AD774" s="13"/>
      <c r="AE774" s="37"/>
      <c r="AF774" s="37"/>
      <c r="AG774" s="14"/>
      <c r="AH774" s="14"/>
      <c r="AI774" s="14"/>
      <c r="AZ774" s="24"/>
    </row>
    <row r="775">
      <c r="B775" s="24"/>
      <c r="E775" s="113"/>
      <c r="F775" s="266"/>
      <c r="G775" s="113"/>
      <c r="K775" s="36"/>
      <c r="L775" s="117"/>
      <c r="M775" s="128"/>
      <c r="N775" s="117"/>
      <c r="R775" s="117"/>
      <c r="T775" s="117"/>
      <c r="V775" s="117"/>
      <c r="X775" s="117"/>
      <c r="Y775" s="10"/>
      <c r="Z775" s="11"/>
      <c r="AA775" s="36"/>
      <c r="AB775" s="36"/>
      <c r="AC775" s="13"/>
      <c r="AD775" s="13"/>
      <c r="AE775" s="37"/>
      <c r="AF775" s="37"/>
      <c r="AG775" s="14"/>
      <c r="AH775" s="14"/>
      <c r="AI775" s="14"/>
      <c r="AZ775" s="24"/>
    </row>
    <row r="776">
      <c r="B776" s="24"/>
      <c r="E776" s="113"/>
      <c r="F776" s="266"/>
      <c r="G776" s="113"/>
      <c r="K776" s="36"/>
      <c r="L776" s="117"/>
      <c r="M776" s="128"/>
      <c r="N776" s="117"/>
      <c r="R776" s="117"/>
      <c r="T776" s="117"/>
      <c r="V776" s="117"/>
      <c r="X776" s="117"/>
      <c r="Y776" s="10"/>
      <c r="Z776" s="11"/>
      <c r="AA776" s="36"/>
      <c r="AB776" s="36"/>
      <c r="AC776" s="13"/>
      <c r="AD776" s="13"/>
      <c r="AE776" s="37"/>
      <c r="AF776" s="37"/>
      <c r="AG776" s="14"/>
      <c r="AH776" s="14"/>
      <c r="AI776" s="14"/>
      <c r="AZ776" s="24"/>
    </row>
    <row r="777">
      <c r="B777" s="24"/>
      <c r="E777" s="113"/>
      <c r="F777" s="266"/>
      <c r="G777" s="113"/>
      <c r="K777" s="36"/>
      <c r="L777" s="117"/>
      <c r="M777" s="128"/>
      <c r="N777" s="117"/>
      <c r="R777" s="117"/>
      <c r="T777" s="117"/>
      <c r="V777" s="117"/>
      <c r="X777" s="117"/>
      <c r="Y777" s="10"/>
      <c r="Z777" s="11"/>
      <c r="AA777" s="36"/>
      <c r="AB777" s="36"/>
      <c r="AC777" s="13"/>
      <c r="AD777" s="13"/>
      <c r="AE777" s="37"/>
      <c r="AF777" s="37"/>
      <c r="AG777" s="14"/>
      <c r="AH777" s="14"/>
      <c r="AI777" s="14"/>
      <c r="AZ777" s="24"/>
    </row>
    <row r="778">
      <c r="B778" s="24"/>
      <c r="E778" s="113"/>
      <c r="F778" s="266"/>
      <c r="G778" s="113"/>
      <c r="K778" s="36"/>
      <c r="L778" s="117"/>
      <c r="M778" s="128"/>
      <c r="N778" s="117"/>
      <c r="R778" s="117"/>
      <c r="T778" s="117"/>
      <c r="V778" s="117"/>
      <c r="X778" s="117"/>
      <c r="Y778" s="10"/>
      <c r="Z778" s="11"/>
      <c r="AA778" s="36"/>
      <c r="AB778" s="36"/>
      <c r="AC778" s="13"/>
      <c r="AD778" s="13"/>
      <c r="AE778" s="37"/>
      <c r="AF778" s="37"/>
      <c r="AG778" s="14"/>
      <c r="AH778" s="14"/>
      <c r="AI778" s="14"/>
      <c r="AZ778" s="24"/>
    </row>
    <row r="779">
      <c r="B779" s="24"/>
      <c r="E779" s="113"/>
      <c r="F779" s="266"/>
      <c r="G779" s="113"/>
      <c r="K779" s="36"/>
      <c r="L779" s="117"/>
      <c r="M779" s="128"/>
      <c r="N779" s="117"/>
      <c r="R779" s="117"/>
      <c r="T779" s="117"/>
      <c r="V779" s="117"/>
      <c r="X779" s="117"/>
      <c r="Y779" s="10"/>
      <c r="Z779" s="11"/>
      <c r="AA779" s="36"/>
      <c r="AB779" s="36"/>
      <c r="AC779" s="13"/>
      <c r="AD779" s="13"/>
      <c r="AE779" s="37"/>
      <c r="AF779" s="37"/>
      <c r="AG779" s="14"/>
      <c r="AH779" s="14"/>
      <c r="AI779" s="14"/>
      <c r="AZ779" s="24"/>
    </row>
    <row r="780">
      <c r="B780" s="24"/>
      <c r="E780" s="113"/>
      <c r="F780" s="266"/>
      <c r="G780" s="113"/>
      <c r="K780" s="36"/>
      <c r="L780" s="117"/>
      <c r="M780" s="128"/>
      <c r="N780" s="117"/>
      <c r="R780" s="117"/>
      <c r="T780" s="117"/>
      <c r="V780" s="117"/>
      <c r="X780" s="117"/>
      <c r="Y780" s="10"/>
      <c r="Z780" s="11"/>
      <c r="AA780" s="36"/>
      <c r="AB780" s="36"/>
      <c r="AC780" s="13"/>
      <c r="AD780" s="13"/>
      <c r="AE780" s="37"/>
      <c r="AF780" s="37"/>
      <c r="AG780" s="14"/>
      <c r="AH780" s="14"/>
      <c r="AI780" s="14"/>
      <c r="AZ780" s="24"/>
    </row>
    <row r="781">
      <c r="B781" s="24"/>
      <c r="E781" s="113"/>
      <c r="F781" s="266"/>
      <c r="G781" s="113"/>
      <c r="K781" s="36"/>
      <c r="L781" s="117"/>
      <c r="M781" s="128"/>
      <c r="N781" s="117"/>
      <c r="R781" s="117"/>
      <c r="T781" s="117"/>
      <c r="V781" s="117"/>
      <c r="X781" s="117"/>
      <c r="Y781" s="10"/>
      <c r="Z781" s="11"/>
      <c r="AA781" s="36"/>
      <c r="AB781" s="36"/>
      <c r="AC781" s="13"/>
      <c r="AD781" s="13"/>
      <c r="AE781" s="37"/>
      <c r="AF781" s="37"/>
      <c r="AG781" s="14"/>
      <c r="AH781" s="14"/>
      <c r="AI781" s="14"/>
      <c r="AZ781" s="24"/>
    </row>
    <row r="782">
      <c r="B782" s="24"/>
      <c r="E782" s="113"/>
      <c r="F782" s="266"/>
      <c r="G782" s="113"/>
      <c r="K782" s="36"/>
      <c r="L782" s="117"/>
      <c r="M782" s="128"/>
      <c r="N782" s="117"/>
      <c r="R782" s="117"/>
      <c r="T782" s="117"/>
      <c r="V782" s="117"/>
      <c r="X782" s="117"/>
      <c r="Y782" s="10"/>
      <c r="Z782" s="11"/>
      <c r="AA782" s="36"/>
      <c r="AB782" s="36"/>
      <c r="AC782" s="13"/>
      <c r="AD782" s="13"/>
      <c r="AE782" s="37"/>
      <c r="AF782" s="37"/>
      <c r="AG782" s="14"/>
      <c r="AH782" s="14"/>
      <c r="AI782" s="14"/>
      <c r="AZ782" s="24"/>
    </row>
    <row r="783">
      <c r="B783" s="24"/>
      <c r="E783" s="113"/>
      <c r="F783" s="266"/>
      <c r="G783" s="113"/>
      <c r="K783" s="36"/>
      <c r="L783" s="117"/>
      <c r="M783" s="128"/>
      <c r="N783" s="117"/>
      <c r="R783" s="117"/>
      <c r="T783" s="117"/>
      <c r="V783" s="117"/>
      <c r="X783" s="117"/>
      <c r="Y783" s="10"/>
      <c r="Z783" s="11"/>
      <c r="AA783" s="36"/>
      <c r="AB783" s="36"/>
      <c r="AC783" s="13"/>
      <c r="AD783" s="13"/>
      <c r="AE783" s="37"/>
      <c r="AF783" s="37"/>
      <c r="AG783" s="14"/>
      <c r="AH783" s="14"/>
      <c r="AI783" s="14"/>
      <c r="AZ783" s="24"/>
    </row>
    <row r="784">
      <c r="B784" s="24"/>
      <c r="E784" s="113"/>
      <c r="F784" s="266"/>
      <c r="G784" s="113"/>
      <c r="K784" s="36"/>
      <c r="L784" s="117"/>
      <c r="M784" s="128"/>
      <c r="N784" s="117"/>
      <c r="R784" s="117"/>
      <c r="T784" s="117"/>
      <c r="V784" s="117"/>
      <c r="X784" s="117"/>
      <c r="Y784" s="10"/>
      <c r="Z784" s="11"/>
      <c r="AA784" s="36"/>
      <c r="AB784" s="36"/>
      <c r="AC784" s="13"/>
      <c r="AD784" s="13"/>
      <c r="AE784" s="37"/>
      <c r="AF784" s="37"/>
      <c r="AG784" s="14"/>
      <c r="AH784" s="14"/>
      <c r="AI784" s="14"/>
      <c r="AZ784" s="24"/>
    </row>
    <row r="785">
      <c r="B785" s="24"/>
      <c r="E785" s="113"/>
      <c r="F785" s="266"/>
      <c r="G785" s="113"/>
      <c r="K785" s="36"/>
      <c r="L785" s="117"/>
      <c r="M785" s="128"/>
      <c r="N785" s="117"/>
      <c r="R785" s="117"/>
      <c r="T785" s="117"/>
      <c r="V785" s="117"/>
      <c r="X785" s="117"/>
      <c r="Y785" s="10"/>
      <c r="Z785" s="11"/>
      <c r="AA785" s="36"/>
      <c r="AB785" s="36"/>
      <c r="AC785" s="13"/>
      <c r="AD785" s="13"/>
      <c r="AE785" s="37"/>
      <c r="AF785" s="37"/>
      <c r="AG785" s="14"/>
      <c r="AH785" s="14"/>
      <c r="AI785" s="14"/>
      <c r="AZ785" s="24"/>
    </row>
    <row r="786">
      <c r="B786" s="24"/>
      <c r="E786" s="113"/>
      <c r="F786" s="266"/>
      <c r="G786" s="113"/>
      <c r="K786" s="36"/>
      <c r="L786" s="117"/>
      <c r="M786" s="128"/>
      <c r="N786" s="117"/>
      <c r="R786" s="117"/>
      <c r="T786" s="117"/>
      <c r="V786" s="117"/>
      <c r="X786" s="117"/>
      <c r="Y786" s="10"/>
      <c r="Z786" s="11"/>
      <c r="AA786" s="36"/>
      <c r="AB786" s="36"/>
      <c r="AC786" s="13"/>
      <c r="AD786" s="13"/>
      <c r="AE786" s="37"/>
      <c r="AF786" s="37"/>
      <c r="AG786" s="14"/>
      <c r="AH786" s="14"/>
      <c r="AI786" s="14"/>
      <c r="AZ786" s="24"/>
    </row>
    <row r="787">
      <c r="B787" s="24"/>
      <c r="E787" s="113"/>
      <c r="F787" s="266"/>
      <c r="G787" s="113"/>
      <c r="K787" s="36"/>
      <c r="L787" s="117"/>
      <c r="M787" s="128"/>
      <c r="N787" s="117"/>
      <c r="R787" s="117"/>
      <c r="T787" s="117"/>
      <c r="V787" s="117"/>
      <c r="X787" s="117"/>
      <c r="Y787" s="10"/>
      <c r="Z787" s="11"/>
      <c r="AA787" s="36"/>
      <c r="AB787" s="36"/>
      <c r="AC787" s="13"/>
      <c r="AD787" s="13"/>
      <c r="AE787" s="37"/>
      <c r="AF787" s="37"/>
      <c r="AG787" s="14"/>
      <c r="AH787" s="14"/>
      <c r="AI787" s="14"/>
      <c r="AZ787" s="24"/>
    </row>
    <row r="788">
      <c r="B788" s="24"/>
      <c r="E788" s="113"/>
      <c r="F788" s="266"/>
      <c r="G788" s="113"/>
      <c r="K788" s="36"/>
      <c r="L788" s="117"/>
      <c r="M788" s="128"/>
      <c r="N788" s="117"/>
      <c r="R788" s="117"/>
      <c r="T788" s="117"/>
      <c r="V788" s="117"/>
      <c r="X788" s="117"/>
      <c r="Y788" s="10"/>
      <c r="Z788" s="11"/>
      <c r="AA788" s="36"/>
      <c r="AB788" s="36"/>
      <c r="AC788" s="13"/>
      <c r="AD788" s="13"/>
      <c r="AE788" s="37"/>
      <c r="AF788" s="37"/>
      <c r="AG788" s="14"/>
      <c r="AH788" s="14"/>
      <c r="AI788" s="14"/>
      <c r="AZ788" s="24"/>
    </row>
    <row r="789">
      <c r="B789" s="24"/>
      <c r="E789" s="113"/>
      <c r="F789" s="266"/>
      <c r="G789" s="113"/>
      <c r="K789" s="36"/>
      <c r="L789" s="117"/>
      <c r="M789" s="128"/>
      <c r="N789" s="117"/>
      <c r="R789" s="117"/>
      <c r="T789" s="117"/>
      <c r="V789" s="117"/>
      <c r="X789" s="117"/>
      <c r="Y789" s="10"/>
      <c r="Z789" s="11"/>
      <c r="AA789" s="36"/>
      <c r="AB789" s="36"/>
      <c r="AC789" s="13"/>
      <c r="AD789" s="13"/>
      <c r="AE789" s="37"/>
      <c r="AF789" s="37"/>
      <c r="AG789" s="14"/>
      <c r="AH789" s="14"/>
      <c r="AI789" s="14"/>
      <c r="AZ789" s="24"/>
    </row>
    <row r="790">
      <c r="B790" s="24"/>
      <c r="E790" s="113"/>
      <c r="F790" s="266"/>
      <c r="G790" s="113"/>
      <c r="K790" s="36"/>
      <c r="L790" s="117"/>
      <c r="M790" s="128"/>
      <c r="N790" s="117"/>
      <c r="R790" s="117"/>
      <c r="T790" s="117"/>
      <c r="V790" s="117"/>
      <c r="X790" s="117"/>
      <c r="Y790" s="10"/>
      <c r="Z790" s="11"/>
      <c r="AA790" s="36"/>
      <c r="AB790" s="36"/>
      <c r="AC790" s="13"/>
      <c r="AD790" s="13"/>
      <c r="AE790" s="37"/>
      <c r="AF790" s="37"/>
      <c r="AG790" s="14"/>
      <c r="AH790" s="14"/>
      <c r="AI790" s="14"/>
      <c r="AZ790" s="24"/>
    </row>
    <row r="791">
      <c r="B791" s="24"/>
      <c r="E791" s="113"/>
      <c r="F791" s="266"/>
      <c r="G791" s="113"/>
      <c r="K791" s="36"/>
      <c r="L791" s="117"/>
      <c r="M791" s="128"/>
      <c r="N791" s="117"/>
      <c r="R791" s="117"/>
      <c r="T791" s="117"/>
      <c r="V791" s="117"/>
      <c r="X791" s="117"/>
      <c r="Y791" s="10"/>
      <c r="Z791" s="11"/>
      <c r="AA791" s="36"/>
      <c r="AB791" s="36"/>
      <c r="AC791" s="13"/>
      <c r="AD791" s="13"/>
      <c r="AE791" s="37"/>
      <c r="AF791" s="37"/>
      <c r="AG791" s="14"/>
      <c r="AH791" s="14"/>
      <c r="AI791" s="14"/>
      <c r="AZ791" s="24"/>
    </row>
    <row r="792">
      <c r="B792" s="24"/>
      <c r="E792" s="113"/>
      <c r="F792" s="266"/>
      <c r="G792" s="113"/>
      <c r="K792" s="36"/>
      <c r="L792" s="117"/>
      <c r="M792" s="128"/>
      <c r="N792" s="117"/>
      <c r="R792" s="117"/>
      <c r="T792" s="117"/>
      <c r="V792" s="117"/>
      <c r="X792" s="117"/>
      <c r="Y792" s="10"/>
      <c r="Z792" s="11"/>
      <c r="AA792" s="36"/>
      <c r="AB792" s="36"/>
      <c r="AC792" s="13"/>
      <c r="AD792" s="13"/>
      <c r="AE792" s="37"/>
      <c r="AF792" s="37"/>
      <c r="AG792" s="14"/>
      <c r="AH792" s="14"/>
      <c r="AI792" s="14"/>
      <c r="AZ792" s="24"/>
    </row>
    <row r="793">
      <c r="B793" s="24"/>
      <c r="E793" s="113"/>
      <c r="F793" s="266"/>
      <c r="G793" s="113"/>
      <c r="K793" s="36"/>
      <c r="L793" s="117"/>
      <c r="M793" s="128"/>
      <c r="N793" s="117"/>
      <c r="R793" s="117"/>
      <c r="T793" s="117"/>
      <c r="V793" s="117"/>
      <c r="X793" s="117"/>
      <c r="Y793" s="10"/>
      <c r="Z793" s="11"/>
      <c r="AA793" s="36"/>
      <c r="AB793" s="36"/>
      <c r="AC793" s="13"/>
      <c r="AD793" s="13"/>
      <c r="AE793" s="37"/>
      <c r="AF793" s="37"/>
      <c r="AG793" s="14"/>
      <c r="AH793" s="14"/>
      <c r="AI793" s="14"/>
      <c r="AZ793" s="24"/>
    </row>
    <row r="794">
      <c r="B794" s="24"/>
      <c r="E794" s="113"/>
      <c r="F794" s="266"/>
      <c r="G794" s="113"/>
      <c r="K794" s="36"/>
      <c r="L794" s="117"/>
      <c r="M794" s="128"/>
      <c r="N794" s="117"/>
      <c r="R794" s="117"/>
      <c r="T794" s="117"/>
      <c r="V794" s="117"/>
      <c r="X794" s="117"/>
      <c r="Y794" s="10"/>
      <c r="Z794" s="11"/>
      <c r="AA794" s="36"/>
      <c r="AB794" s="36"/>
      <c r="AC794" s="13"/>
      <c r="AD794" s="13"/>
      <c r="AE794" s="37"/>
      <c r="AF794" s="37"/>
      <c r="AG794" s="14"/>
      <c r="AH794" s="14"/>
      <c r="AI794" s="14"/>
      <c r="AZ794" s="24"/>
    </row>
    <row r="795">
      <c r="B795" s="24"/>
      <c r="E795" s="113"/>
      <c r="F795" s="266"/>
      <c r="G795" s="113"/>
      <c r="K795" s="36"/>
      <c r="L795" s="117"/>
      <c r="M795" s="128"/>
      <c r="N795" s="117"/>
      <c r="R795" s="117"/>
      <c r="T795" s="117"/>
      <c r="V795" s="117"/>
      <c r="X795" s="117"/>
      <c r="Y795" s="10"/>
      <c r="Z795" s="11"/>
      <c r="AA795" s="36"/>
      <c r="AB795" s="36"/>
      <c r="AC795" s="13"/>
      <c r="AD795" s="13"/>
      <c r="AE795" s="37"/>
      <c r="AF795" s="37"/>
      <c r="AG795" s="14"/>
      <c r="AH795" s="14"/>
      <c r="AI795" s="14"/>
      <c r="AZ795" s="24"/>
    </row>
    <row r="796">
      <c r="B796" s="24"/>
      <c r="E796" s="113"/>
      <c r="F796" s="266"/>
      <c r="G796" s="113"/>
      <c r="K796" s="36"/>
      <c r="L796" s="117"/>
      <c r="M796" s="128"/>
      <c r="N796" s="117"/>
      <c r="R796" s="117"/>
      <c r="T796" s="117"/>
      <c r="V796" s="117"/>
      <c r="X796" s="117"/>
      <c r="Y796" s="10"/>
      <c r="Z796" s="11"/>
      <c r="AA796" s="36"/>
      <c r="AB796" s="36"/>
      <c r="AC796" s="13"/>
      <c r="AD796" s="13"/>
      <c r="AE796" s="37"/>
      <c r="AF796" s="37"/>
      <c r="AG796" s="14"/>
      <c r="AH796" s="14"/>
      <c r="AI796" s="14"/>
      <c r="AZ796" s="24"/>
    </row>
    <row r="797">
      <c r="B797" s="24"/>
      <c r="E797" s="113"/>
      <c r="F797" s="266"/>
      <c r="G797" s="113"/>
      <c r="K797" s="36"/>
      <c r="L797" s="117"/>
      <c r="M797" s="128"/>
      <c r="N797" s="117"/>
      <c r="R797" s="117"/>
      <c r="T797" s="117"/>
      <c r="V797" s="117"/>
      <c r="X797" s="117"/>
      <c r="Y797" s="10"/>
      <c r="Z797" s="11"/>
      <c r="AA797" s="36"/>
      <c r="AB797" s="36"/>
      <c r="AC797" s="13"/>
      <c r="AD797" s="13"/>
      <c r="AE797" s="37"/>
      <c r="AF797" s="37"/>
      <c r="AG797" s="14"/>
      <c r="AH797" s="14"/>
      <c r="AI797" s="14"/>
      <c r="AZ797" s="24"/>
    </row>
    <row r="798">
      <c r="B798" s="24"/>
      <c r="E798" s="113"/>
      <c r="F798" s="266"/>
      <c r="G798" s="113"/>
      <c r="K798" s="36"/>
      <c r="L798" s="117"/>
      <c r="M798" s="128"/>
      <c r="N798" s="117"/>
      <c r="R798" s="117"/>
      <c r="T798" s="117"/>
      <c r="V798" s="117"/>
      <c r="X798" s="117"/>
      <c r="Y798" s="10"/>
      <c r="Z798" s="11"/>
      <c r="AA798" s="36"/>
      <c r="AB798" s="36"/>
      <c r="AC798" s="13"/>
      <c r="AD798" s="13"/>
      <c r="AE798" s="37"/>
      <c r="AF798" s="37"/>
      <c r="AG798" s="14"/>
      <c r="AH798" s="14"/>
      <c r="AI798" s="14"/>
      <c r="AZ798" s="24"/>
    </row>
    <row r="799">
      <c r="B799" s="24"/>
      <c r="E799" s="113"/>
      <c r="F799" s="266"/>
      <c r="G799" s="113"/>
      <c r="K799" s="36"/>
      <c r="L799" s="117"/>
      <c r="M799" s="128"/>
      <c r="N799" s="117"/>
      <c r="R799" s="117"/>
      <c r="T799" s="117"/>
      <c r="V799" s="117"/>
      <c r="X799" s="117"/>
      <c r="Y799" s="10"/>
      <c r="Z799" s="11"/>
      <c r="AA799" s="36"/>
      <c r="AB799" s="36"/>
      <c r="AC799" s="13"/>
      <c r="AD799" s="13"/>
      <c r="AE799" s="37"/>
      <c r="AF799" s="37"/>
      <c r="AG799" s="14"/>
      <c r="AH799" s="14"/>
      <c r="AI799" s="14"/>
      <c r="AZ799" s="24"/>
    </row>
    <row r="800">
      <c r="B800" s="24"/>
      <c r="E800" s="113"/>
      <c r="F800" s="266"/>
      <c r="G800" s="113"/>
      <c r="K800" s="36"/>
      <c r="L800" s="117"/>
      <c r="M800" s="128"/>
      <c r="N800" s="117"/>
      <c r="R800" s="117"/>
      <c r="T800" s="117"/>
      <c r="V800" s="117"/>
      <c r="X800" s="117"/>
      <c r="Y800" s="10"/>
      <c r="Z800" s="11"/>
      <c r="AA800" s="36"/>
      <c r="AB800" s="36"/>
      <c r="AC800" s="13"/>
      <c r="AD800" s="13"/>
      <c r="AE800" s="37"/>
      <c r="AF800" s="37"/>
      <c r="AG800" s="14"/>
      <c r="AH800" s="14"/>
      <c r="AI800" s="14"/>
      <c r="AZ800" s="24"/>
    </row>
    <row r="801">
      <c r="B801" s="24"/>
      <c r="E801" s="113"/>
      <c r="F801" s="266"/>
      <c r="G801" s="113"/>
      <c r="K801" s="36"/>
      <c r="L801" s="117"/>
      <c r="M801" s="128"/>
      <c r="N801" s="117"/>
      <c r="R801" s="117"/>
      <c r="T801" s="117"/>
      <c r="V801" s="117"/>
      <c r="X801" s="117"/>
      <c r="Y801" s="10"/>
      <c r="Z801" s="11"/>
      <c r="AA801" s="36"/>
      <c r="AB801" s="36"/>
      <c r="AC801" s="13"/>
      <c r="AD801" s="13"/>
      <c r="AE801" s="37"/>
      <c r="AF801" s="37"/>
      <c r="AG801" s="14"/>
      <c r="AH801" s="14"/>
      <c r="AI801" s="14"/>
      <c r="AZ801" s="24"/>
    </row>
    <row r="802">
      <c r="B802" s="24"/>
      <c r="E802" s="113"/>
      <c r="F802" s="266"/>
      <c r="G802" s="113"/>
      <c r="K802" s="36"/>
      <c r="L802" s="117"/>
      <c r="M802" s="128"/>
      <c r="N802" s="117"/>
      <c r="R802" s="117"/>
      <c r="T802" s="117"/>
      <c r="V802" s="117"/>
      <c r="X802" s="117"/>
      <c r="Y802" s="10"/>
      <c r="Z802" s="11"/>
      <c r="AA802" s="36"/>
      <c r="AB802" s="36"/>
      <c r="AC802" s="13"/>
      <c r="AD802" s="13"/>
      <c r="AE802" s="37"/>
      <c r="AF802" s="37"/>
      <c r="AG802" s="14"/>
      <c r="AH802" s="14"/>
      <c r="AI802" s="14"/>
      <c r="AZ802" s="24"/>
    </row>
    <row r="803">
      <c r="B803" s="24"/>
      <c r="E803" s="113"/>
      <c r="F803" s="266"/>
      <c r="G803" s="113"/>
      <c r="K803" s="36"/>
      <c r="L803" s="117"/>
      <c r="M803" s="128"/>
      <c r="N803" s="117"/>
      <c r="R803" s="117"/>
      <c r="T803" s="117"/>
      <c r="V803" s="117"/>
      <c r="X803" s="117"/>
      <c r="Y803" s="10"/>
      <c r="Z803" s="11"/>
      <c r="AA803" s="36"/>
      <c r="AB803" s="36"/>
      <c r="AC803" s="13"/>
      <c r="AD803" s="13"/>
      <c r="AE803" s="37"/>
      <c r="AF803" s="37"/>
      <c r="AG803" s="14"/>
      <c r="AH803" s="14"/>
      <c r="AI803" s="14"/>
      <c r="AZ803" s="24"/>
    </row>
    <row r="804">
      <c r="B804" s="24"/>
      <c r="E804" s="113"/>
      <c r="F804" s="266"/>
      <c r="G804" s="113"/>
      <c r="K804" s="36"/>
      <c r="L804" s="117"/>
      <c r="M804" s="128"/>
      <c r="N804" s="117"/>
      <c r="R804" s="117"/>
      <c r="T804" s="117"/>
      <c r="V804" s="117"/>
      <c r="X804" s="117"/>
      <c r="Y804" s="10"/>
      <c r="Z804" s="11"/>
      <c r="AA804" s="36"/>
      <c r="AB804" s="36"/>
      <c r="AC804" s="13"/>
      <c r="AD804" s="13"/>
      <c r="AE804" s="37"/>
      <c r="AF804" s="37"/>
      <c r="AG804" s="14"/>
      <c r="AH804" s="14"/>
      <c r="AI804" s="14"/>
      <c r="AZ804" s="24"/>
    </row>
    <row r="805">
      <c r="B805" s="24"/>
      <c r="E805" s="113"/>
      <c r="F805" s="266"/>
      <c r="G805" s="113"/>
      <c r="K805" s="36"/>
      <c r="L805" s="117"/>
      <c r="M805" s="128"/>
      <c r="N805" s="117"/>
      <c r="R805" s="117"/>
      <c r="T805" s="117"/>
      <c r="V805" s="117"/>
      <c r="X805" s="117"/>
      <c r="Y805" s="10"/>
      <c r="Z805" s="11"/>
      <c r="AA805" s="36"/>
      <c r="AB805" s="36"/>
      <c r="AC805" s="13"/>
      <c r="AD805" s="13"/>
      <c r="AE805" s="37"/>
      <c r="AF805" s="37"/>
      <c r="AG805" s="14"/>
      <c r="AH805" s="14"/>
      <c r="AI805" s="14"/>
      <c r="AZ805" s="24"/>
    </row>
    <row r="806">
      <c r="B806" s="24"/>
      <c r="E806" s="113"/>
      <c r="F806" s="266"/>
      <c r="G806" s="113"/>
      <c r="K806" s="36"/>
      <c r="L806" s="117"/>
      <c r="M806" s="128"/>
      <c r="N806" s="117"/>
      <c r="R806" s="117"/>
      <c r="T806" s="117"/>
      <c r="V806" s="117"/>
      <c r="X806" s="117"/>
      <c r="Y806" s="10"/>
      <c r="Z806" s="11"/>
      <c r="AA806" s="36"/>
      <c r="AB806" s="36"/>
      <c r="AC806" s="13"/>
      <c r="AD806" s="13"/>
      <c r="AE806" s="37"/>
      <c r="AF806" s="37"/>
      <c r="AG806" s="14"/>
      <c r="AH806" s="14"/>
      <c r="AI806" s="14"/>
      <c r="AZ806" s="24"/>
    </row>
    <row r="807">
      <c r="B807" s="24"/>
      <c r="E807" s="113"/>
      <c r="F807" s="266"/>
      <c r="G807" s="113"/>
      <c r="K807" s="36"/>
      <c r="L807" s="117"/>
      <c r="M807" s="128"/>
      <c r="N807" s="117"/>
      <c r="R807" s="117"/>
      <c r="T807" s="117"/>
      <c r="V807" s="117"/>
      <c r="X807" s="117"/>
      <c r="Y807" s="10"/>
      <c r="Z807" s="11"/>
      <c r="AA807" s="36"/>
      <c r="AB807" s="36"/>
      <c r="AC807" s="13"/>
      <c r="AD807" s="13"/>
      <c r="AE807" s="37"/>
      <c r="AF807" s="37"/>
      <c r="AG807" s="14"/>
      <c r="AH807" s="14"/>
      <c r="AI807" s="14"/>
      <c r="AZ807" s="24"/>
    </row>
    <row r="808">
      <c r="B808" s="24"/>
      <c r="E808" s="113"/>
      <c r="F808" s="266"/>
      <c r="G808" s="113"/>
      <c r="K808" s="36"/>
      <c r="L808" s="117"/>
      <c r="M808" s="128"/>
      <c r="N808" s="117"/>
      <c r="R808" s="117"/>
      <c r="T808" s="117"/>
      <c r="V808" s="117"/>
      <c r="X808" s="117"/>
      <c r="Y808" s="10"/>
      <c r="Z808" s="11"/>
      <c r="AA808" s="36"/>
      <c r="AB808" s="36"/>
      <c r="AC808" s="13"/>
      <c r="AD808" s="13"/>
      <c r="AE808" s="37"/>
      <c r="AF808" s="37"/>
      <c r="AG808" s="14"/>
      <c r="AH808" s="14"/>
      <c r="AI808" s="14"/>
      <c r="AZ808" s="24"/>
    </row>
    <row r="809">
      <c r="B809" s="24"/>
      <c r="E809" s="113"/>
      <c r="F809" s="266"/>
      <c r="G809" s="113"/>
      <c r="K809" s="36"/>
      <c r="L809" s="117"/>
      <c r="M809" s="128"/>
      <c r="N809" s="117"/>
      <c r="R809" s="117"/>
      <c r="T809" s="117"/>
      <c r="V809" s="117"/>
      <c r="X809" s="117"/>
      <c r="Y809" s="10"/>
      <c r="Z809" s="11"/>
      <c r="AA809" s="36"/>
      <c r="AB809" s="36"/>
      <c r="AC809" s="13"/>
      <c r="AD809" s="13"/>
      <c r="AE809" s="37"/>
      <c r="AF809" s="37"/>
      <c r="AG809" s="14"/>
      <c r="AH809" s="14"/>
      <c r="AI809" s="14"/>
      <c r="AZ809" s="24"/>
    </row>
    <row r="810">
      <c r="B810" s="24"/>
      <c r="E810" s="113"/>
      <c r="F810" s="266"/>
      <c r="G810" s="113"/>
      <c r="K810" s="36"/>
      <c r="L810" s="117"/>
      <c r="M810" s="128"/>
      <c r="N810" s="117"/>
      <c r="R810" s="117"/>
      <c r="T810" s="117"/>
      <c r="V810" s="117"/>
      <c r="X810" s="117"/>
      <c r="Y810" s="10"/>
      <c r="Z810" s="11"/>
      <c r="AA810" s="36"/>
      <c r="AB810" s="36"/>
      <c r="AC810" s="13"/>
      <c r="AD810" s="13"/>
      <c r="AE810" s="37"/>
      <c r="AF810" s="37"/>
      <c r="AG810" s="14"/>
      <c r="AH810" s="14"/>
      <c r="AI810" s="14"/>
      <c r="AZ810" s="24"/>
    </row>
    <row r="811">
      <c r="B811" s="24"/>
      <c r="E811" s="113"/>
      <c r="F811" s="266"/>
      <c r="G811" s="113"/>
      <c r="K811" s="36"/>
      <c r="L811" s="117"/>
      <c r="M811" s="128"/>
      <c r="N811" s="117"/>
      <c r="R811" s="117"/>
      <c r="T811" s="117"/>
      <c r="V811" s="117"/>
      <c r="X811" s="117"/>
      <c r="Y811" s="10"/>
      <c r="Z811" s="11"/>
      <c r="AA811" s="36"/>
      <c r="AB811" s="36"/>
      <c r="AC811" s="13"/>
      <c r="AD811" s="13"/>
      <c r="AE811" s="37"/>
      <c r="AF811" s="37"/>
      <c r="AG811" s="14"/>
      <c r="AH811" s="14"/>
      <c r="AI811" s="14"/>
      <c r="AZ811" s="24"/>
    </row>
    <row r="812">
      <c r="B812" s="24"/>
      <c r="E812" s="113"/>
      <c r="F812" s="266"/>
      <c r="G812" s="113"/>
      <c r="K812" s="36"/>
      <c r="L812" s="117"/>
      <c r="M812" s="128"/>
      <c r="N812" s="117"/>
      <c r="R812" s="117"/>
      <c r="T812" s="117"/>
      <c r="V812" s="117"/>
      <c r="X812" s="117"/>
      <c r="Y812" s="10"/>
      <c r="Z812" s="11"/>
      <c r="AA812" s="36"/>
      <c r="AB812" s="36"/>
      <c r="AC812" s="13"/>
      <c r="AD812" s="13"/>
      <c r="AE812" s="37"/>
      <c r="AF812" s="37"/>
      <c r="AG812" s="14"/>
      <c r="AH812" s="14"/>
      <c r="AI812" s="14"/>
      <c r="AZ812" s="24"/>
    </row>
    <row r="813">
      <c r="B813" s="24"/>
      <c r="E813" s="113"/>
      <c r="F813" s="266"/>
      <c r="G813" s="113"/>
      <c r="K813" s="36"/>
      <c r="L813" s="117"/>
      <c r="M813" s="128"/>
      <c r="N813" s="117"/>
      <c r="R813" s="117"/>
      <c r="T813" s="117"/>
      <c r="V813" s="117"/>
      <c r="X813" s="117"/>
      <c r="Y813" s="10"/>
      <c r="Z813" s="11"/>
      <c r="AA813" s="36"/>
      <c r="AB813" s="36"/>
      <c r="AC813" s="13"/>
      <c r="AD813" s="13"/>
      <c r="AE813" s="37"/>
      <c r="AF813" s="37"/>
      <c r="AG813" s="14"/>
      <c r="AH813" s="14"/>
      <c r="AI813" s="14"/>
      <c r="AZ813" s="24"/>
    </row>
    <row r="814">
      <c r="B814" s="24"/>
      <c r="E814" s="113"/>
      <c r="F814" s="266"/>
      <c r="G814" s="113"/>
      <c r="K814" s="36"/>
      <c r="L814" s="117"/>
      <c r="M814" s="128"/>
      <c r="N814" s="117"/>
      <c r="R814" s="117"/>
      <c r="T814" s="117"/>
      <c r="V814" s="117"/>
      <c r="X814" s="117"/>
      <c r="Y814" s="10"/>
      <c r="Z814" s="11"/>
      <c r="AA814" s="36"/>
      <c r="AB814" s="36"/>
      <c r="AC814" s="13"/>
      <c r="AD814" s="13"/>
      <c r="AE814" s="37"/>
      <c r="AF814" s="37"/>
      <c r="AG814" s="14"/>
      <c r="AH814" s="14"/>
      <c r="AI814" s="14"/>
      <c r="AZ814" s="24"/>
    </row>
    <row r="815">
      <c r="B815" s="24"/>
      <c r="E815" s="113"/>
      <c r="F815" s="266"/>
      <c r="G815" s="113"/>
      <c r="K815" s="36"/>
      <c r="L815" s="117"/>
      <c r="M815" s="128"/>
      <c r="N815" s="117"/>
      <c r="R815" s="117"/>
      <c r="T815" s="117"/>
      <c r="V815" s="117"/>
      <c r="X815" s="117"/>
      <c r="Y815" s="10"/>
      <c r="Z815" s="11"/>
      <c r="AA815" s="36"/>
      <c r="AB815" s="36"/>
      <c r="AC815" s="13"/>
      <c r="AD815" s="13"/>
      <c r="AE815" s="37"/>
      <c r="AF815" s="37"/>
      <c r="AG815" s="14"/>
      <c r="AH815" s="14"/>
      <c r="AI815" s="14"/>
      <c r="AZ815" s="24"/>
    </row>
    <row r="816">
      <c r="B816" s="24"/>
      <c r="E816" s="113"/>
      <c r="F816" s="266"/>
      <c r="G816" s="113"/>
      <c r="K816" s="36"/>
      <c r="L816" s="117"/>
      <c r="M816" s="128"/>
      <c r="N816" s="117"/>
      <c r="R816" s="117"/>
      <c r="T816" s="117"/>
      <c r="V816" s="117"/>
      <c r="X816" s="117"/>
      <c r="Y816" s="10"/>
      <c r="Z816" s="11"/>
      <c r="AA816" s="36"/>
      <c r="AB816" s="36"/>
      <c r="AC816" s="13"/>
      <c r="AD816" s="13"/>
      <c r="AE816" s="37"/>
      <c r="AF816" s="37"/>
      <c r="AG816" s="14"/>
      <c r="AH816" s="14"/>
      <c r="AI816" s="14"/>
      <c r="AZ816" s="24"/>
    </row>
    <row r="817">
      <c r="B817" s="24"/>
      <c r="E817" s="113"/>
      <c r="F817" s="266"/>
      <c r="G817" s="113"/>
      <c r="K817" s="36"/>
      <c r="L817" s="117"/>
      <c r="M817" s="128"/>
      <c r="N817" s="117"/>
      <c r="R817" s="117"/>
      <c r="T817" s="117"/>
      <c r="V817" s="117"/>
      <c r="X817" s="117"/>
      <c r="Y817" s="10"/>
      <c r="Z817" s="11"/>
      <c r="AA817" s="36"/>
      <c r="AB817" s="36"/>
      <c r="AC817" s="13"/>
      <c r="AD817" s="13"/>
      <c r="AE817" s="37"/>
      <c r="AF817" s="37"/>
      <c r="AG817" s="14"/>
      <c r="AH817" s="14"/>
      <c r="AI817" s="14"/>
      <c r="AZ817" s="24"/>
    </row>
    <row r="818">
      <c r="B818" s="24"/>
      <c r="E818" s="113"/>
      <c r="F818" s="266"/>
      <c r="G818" s="113"/>
      <c r="K818" s="36"/>
      <c r="L818" s="117"/>
      <c r="M818" s="128"/>
      <c r="N818" s="117"/>
      <c r="R818" s="117"/>
      <c r="T818" s="117"/>
      <c r="V818" s="117"/>
      <c r="X818" s="117"/>
      <c r="Y818" s="10"/>
      <c r="Z818" s="11"/>
      <c r="AA818" s="36"/>
      <c r="AB818" s="36"/>
      <c r="AC818" s="13"/>
      <c r="AD818" s="13"/>
      <c r="AE818" s="37"/>
      <c r="AF818" s="37"/>
      <c r="AG818" s="14"/>
      <c r="AH818" s="14"/>
      <c r="AI818" s="14"/>
      <c r="AZ818" s="24"/>
    </row>
    <row r="819">
      <c r="B819" s="24"/>
      <c r="E819" s="113"/>
      <c r="F819" s="266"/>
      <c r="G819" s="113"/>
      <c r="K819" s="36"/>
      <c r="L819" s="117"/>
      <c r="M819" s="128"/>
      <c r="N819" s="117"/>
      <c r="R819" s="117"/>
      <c r="T819" s="117"/>
      <c r="V819" s="117"/>
      <c r="X819" s="117"/>
      <c r="Y819" s="10"/>
      <c r="Z819" s="11"/>
      <c r="AA819" s="36"/>
      <c r="AB819" s="36"/>
      <c r="AC819" s="13"/>
      <c r="AD819" s="13"/>
      <c r="AE819" s="37"/>
      <c r="AF819" s="37"/>
      <c r="AG819" s="14"/>
      <c r="AH819" s="14"/>
      <c r="AI819" s="14"/>
      <c r="AZ819" s="24"/>
    </row>
    <row r="820">
      <c r="B820" s="24"/>
      <c r="E820" s="113"/>
      <c r="F820" s="266"/>
      <c r="G820" s="113"/>
      <c r="K820" s="36"/>
      <c r="L820" s="117"/>
      <c r="M820" s="128"/>
      <c r="N820" s="117"/>
      <c r="R820" s="117"/>
      <c r="T820" s="117"/>
      <c r="V820" s="117"/>
      <c r="X820" s="117"/>
      <c r="Y820" s="10"/>
      <c r="Z820" s="11"/>
      <c r="AA820" s="36"/>
      <c r="AB820" s="36"/>
      <c r="AC820" s="13"/>
      <c r="AD820" s="13"/>
      <c r="AE820" s="37"/>
      <c r="AF820" s="37"/>
      <c r="AG820" s="14"/>
      <c r="AH820" s="14"/>
      <c r="AI820" s="14"/>
      <c r="AZ820" s="24"/>
    </row>
    <row r="821">
      <c r="B821" s="24"/>
      <c r="E821" s="113"/>
      <c r="F821" s="266"/>
      <c r="G821" s="113"/>
      <c r="K821" s="36"/>
      <c r="L821" s="117"/>
      <c r="M821" s="128"/>
      <c r="N821" s="117"/>
      <c r="R821" s="117"/>
      <c r="T821" s="117"/>
      <c r="V821" s="117"/>
      <c r="X821" s="117"/>
      <c r="Y821" s="10"/>
      <c r="Z821" s="11"/>
      <c r="AA821" s="36"/>
      <c r="AB821" s="36"/>
      <c r="AC821" s="13"/>
      <c r="AD821" s="13"/>
      <c r="AE821" s="37"/>
      <c r="AF821" s="37"/>
      <c r="AG821" s="14"/>
      <c r="AH821" s="14"/>
      <c r="AI821" s="14"/>
      <c r="AZ821" s="24"/>
    </row>
    <row r="822">
      <c r="B822" s="24"/>
      <c r="E822" s="113"/>
      <c r="F822" s="266"/>
      <c r="G822" s="113"/>
      <c r="K822" s="36"/>
      <c r="L822" s="117"/>
      <c r="M822" s="128"/>
      <c r="N822" s="117"/>
      <c r="R822" s="117"/>
      <c r="T822" s="117"/>
      <c r="V822" s="117"/>
      <c r="X822" s="117"/>
      <c r="Y822" s="10"/>
      <c r="Z822" s="11"/>
      <c r="AA822" s="36"/>
      <c r="AB822" s="36"/>
      <c r="AC822" s="13"/>
      <c r="AD822" s="13"/>
      <c r="AE822" s="37"/>
      <c r="AF822" s="37"/>
      <c r="AG822" s="14"/>
      <c r="AH822" s="14"/>
      <c r="AI822" s="14"/>
      <c r="AZ822" s="24"/>
    </row>
    <row r="823">
      <c r="B823" s="24"/>
      <c r="E823" s="113"/>
      <c r="F823" s="266"/>
      <c r="G823" s="113"/>
      <c r="K823" s="36"/>
      <c r="L823" s="117"/>
      <c r="M823" s="128"/>
      <c r="N823" s="117"/>
      <c r="R823" s="117"/>
      <c r="T823" s="117"/>
      <c r="V823" s="117"/>
      <c r="X823" s="117"/>
      <c r="Y823" s="10"/>
      <c r="Z823" s="11"/>
      <c r="AA823" s="36"/>
      <c r="AB823" s="36"/>
      <c r="AC823" s="13"/>
      <c r="AD823" s="13"/>
      <c r="AE823" s="37"/>
      <c r="AF823" s="37"/>
      <c r="AG823" s="14"/>
      <c r="AH823" s="14"/>
      <c r="AI823" s="14"/>
      <c r="AZ823" s="24"/>
    </row>
    <row r="824">
      <c r="B824" s="24"/>
      <c r="E824" s="113"/>
      <c r="F824" s="266"/>
      <c r="G824" s="113"/>
      <c r="K824" s="36"/>
      <c r="L824" s="117"/>
      <c r="M824" s="128"/>
      <c r="N824" s="117"/>
      <c r="R824" s="117"/>
      <c r="T824" s="117"/>
      <c r="V824" s="117"/>
      <c r="X824" s="117"/>
      <c r="Y824" s="10"/>
      <c r="Z824" s="11"/>
      <c r="AA824" s="36"/>
      <c r="AB824" s="36"/>
      <c r="AC824" s="13"/>
      <c r="AD824" s="13"/>
      <c r="AE824" s="37"/>
      <c r="AF824" s="37"/>
      <c r="AG824" s="14"/>
      <c r="AH824" s="14"/>
      <c r="AI824" s="14"/>
      <c r="AZ824" s="24"/>
    </row>
    <row r="825">
      <c r="B825" s="24"/>
      <c r="E825" s="113"/>
      <c r="F825" s="266"/>
      <c r="G825" s="113"/>
      <c r="K825" s="36"/>
      <c r="L825" s="117"/>
      <c r="M825" s="128"/>
      <c r="N825" s="117"/>
      <c r="R825" s="117"/>
      <c r="T825" s="117"/>
      <c r="V825" s="117"/>
      <c r="X825" s="117"/>
      <c r="Y825" s="10"/>
      <c r="Z825" s="11"/>
      <c r="AA825" s="36"/>
      <c r="AB825" s="36"/>
      <c r="AC825" s="13"/>
      <c r="AD825" s="13"/>
      <c r="AE825" s="37"/>
      <c r="AF825" s="37"/>
      <c r="AG825" s="14"/>
      <c r="AH825" s="14"/>
      <c r="AI825" s="14"/>
      <c r="AZ825" s="24"/>
    </row>
    <row r="826">
      <c r="B826" s="24"/>
      <c r="E826" s="113"/>
      <c r="F826" s="266"/>
      <c r="G826" s="113"/>
      <c r="K826" s="36"/>
      <c r="L826" s="117"/>
      <c r="M826" s="128"/>
      <c r="N826" s="117"/>
      <c r="R826" s="117"/>
      <c r="T826" s="117"/>
      <c r="V826" s="117"/>
      <c r="X826" s="117"/>
      <c r="Y826" s="10"/>
      <c r="Z826" s="11"/>
      <c r="AA826" s="36"/>
      <c r="AB826" s="36"/>
      <c r="AC826" s="13"/>
      <c r="AD826" s="13"/>
      <c r="AE826" s="37"/>
      <c r="AF826" s="37"/>
      <c r="AG826" s="14"/>
      <c r="AH826" s="14"/>
      <c r="AI826" s="14"/>
      <c r="AZ826" s="24"/>
    </row>
    <row r="827">
      <c r="B827" s="24"/>
      <c r="E827" s="113"/>
      <c r="F827" s="266"/>
      <c r="G827" s="113"/>
      <c r="K827" s="36"/>
      <c r="L827" s="117"/>
      <c r="M827" s="128"/>
      <c r="N827" s="117"/>
      <c r="R827" s="117"/>
      <c r="T827" s="117"/>
      <c r="V827" s="117"/>
      <c r="X827" s="117"/>
      <c r="Y827" s="10"/>
      <c r="Z827" s="11"/>
      <c r="AA827" s="36"/>
      <c r="AB827" s="36"/>
      <c r="AC827" s="13"/>
      <c r="AD827" s="13"/>
      <c r="AE827" s="37"/>
      <c r="AF827" s="37"/>
      <c r="AG827" s="14"/>
      <c r="AH827" s="14"/>
      <c r="AI827" s="14"/>
      <c r="AZ827" s="24"/>
    </row>
    <row r="828">
      <c r="B828" s="24"/>
      <c r="E828" s="113"/>
      <c r="F828" s="266"/>
      <c r="G828" s="113"/>
      <c r="K828" s="36"/>
      <c r="L828" s="117"/>
      <c r="M828" s="128"/>
      <c r="N828" s="117"/>
      <c r="R828" s="117"/>
      <c r="T828" s="117"/>
      <c r="V828" s="117"/>
      <c r="X828" s="117"/>
      <c r="Y828" s="10"/>
      <c r="Z828" s="11"/>
      <c r="AA828" s="36"/>
      <c r="AB828" s="36"/>
      <c r="AC828" s="13"/>
      <c r="AD828" s="13"/>
      <c r="AE828" s="37"/>
      <c r="AF828" s="37"/>
      <c r="AG828" s="14"/>
      <c r="AH828" s="14"/>
      <c r="AI828" s="14"/>
      <c r="AZ828" s="24"/>
    </row>
    <row r="829">
      <c r="B829" s="24"/>
      <c r="E829" s="113"/>
      <c r="F829" s="266"/>
      <c r="G829" s="113"/>
      <c r="K829" s="36"/>
      <c r="L829" s="117"/>
      <c r="M829" s="128"/>
      <c r="N829" s="117"/>
      <c r="R829" s="117"/>
      <c r="T829" s="117"/>
      <c r="V829" s="117"/>
      <c r="X829" s="117"/>
      <c r="Y829" s="10"/>
      <c r="Z829" s="11"/>
      <c r="AA829" s="36"/>
      <c r="AB829" s="36"/>
      <c r="AC829" s="13"/>
      <c r="AD829" s="13"/>
      <c r="AE829" s="37"/>
      <c r="AF829" s="37"/>
      <c r="AG829" s="14"/>
      <c r="AH829" s="14"/>
      <c r="AI829" s="14"/>
      <c r="AZ829" s="24"/>
    </row>
    <row r="830">
      <c r="B830" s="24"/>
      <c r="E830" s="113"/>
      <c r="F830" s="266"/>
      <c r="G830" s="113"/>
      <c r="K830" s="36"/>
      <c r="L830" s="117"/>
      <c r="M830" s="128"/>
      <c r="N830" s="117"/>
      <c r="R830" s="117"/>
      <c r="T830" s="117"/>
      <c r="V830" s="117"/>
      <c r="X830" s="117"/>
      <c r="Y830" s="10"/>
      <c r="Z830" s="11"/>
      <c r="AA830" s="36"/>
      <c r="AB830" s="36"/>
      <c r="AC830" s="13"/>
      <c r="AD830" s="13"/>
      <c r="AE830" s="37"/>
      <c r="AF830" s="37"/>
      <c r="AG830" s="14"/>
      <c r="AH830" s="14"/>
      <c r="AI830" s="14"/>
      <c r="AZ830" s="24"/>
    </row>
    <row r="831">
      <c r="B831" s="24"/>
      <c r="E831" s="113"/>
      <c r="F831" s="266"/>
      <c r="G831" s="113"/>
      <c r="K831" s="36"/>
      <c r="L831" s="117"/>
      <c r="M831" s="128"/>
      <c r="N831" s="117"/>
      <c r="R831" s="117"/>
      <c r="T831" s="117"/>
      <c r="V831" s="117"/>
      <c r="X831" s="117"/>
      <c r="Y831" s="10"/>
      <c r="Z831" s="11"/>
      <c r="AA831" s="36"/>
      <c r="AB831" s="36"/>
      <c r="AC831" s="13"/>
      <c r="AD831" s="13"/>
      <c r="AE831" s="37"/>
      <c r="AF831" s="37"/>
      <c r="AG831" s="14"/>
      <c r="AH831" s="14"/>
      <c r="AI831" s="14"/>
      <c r="AZ831" s="24"/>
    </row>
    <row r="832">
      <c r="B832" s="24"/>
      <c r="E832" s="113"/>
      <c r="F832" s="266"/>
      <c r="G832" s="113"/>
      <c r="K832" s="36"/>
      <c r="L832" s="117"/>
      <c r="M832" s="128"/>
      <c r="N832" s="117"/>
      <c r="R832" s="117"/>
      <c r="T832" s="117"/>
      <c r="V832" s="117"/>
      <c r="X832" s="117"/>
      <c r="Y832" s="10"/>
      <c r="Z832" s="11"/>
      <c r="AA832" s="36"/>
      <c r="AB832" s="36"/>
      <c r="AC832" s="13"/>
      <c r="AD832" s="13"/>
      <c r="AE832" s="37"/>
      <c r="AF832" s="37"/>
      <c r="AG832" s="14"/>
      <c r="AH832" s="14"/>
      <c r="AI832" s="14"/>
      <c r="AZ832" s="24"/>
    </row>
    <row r="833">
      <c r="B833" s="24"/>
      <c r="E833" s="113"/>
      <c r="F833" s="266"/>
      <c r="G833" s="113"/>
      <c r="K833" s="36"/>
      <c r="L833" s="117"/>
      <c r="M833" s="128"/>
      <c r="N833" s="117"/>
      <c r="R833" s="117"/>
      <c r="T833" s="117"/>
      <c r="V833" s="117"/>
      <c r="X833" s="117"/>
      <c r="Y833" s="10"/>
      <c r="Z833" s="11"/>
      <c r="AA833" s="36"/>
      <c r="AB833" s="36"/>
      <c r="AC833" s="13"/>
      <c r="AD833" s="13"/>
      <c r="AE833" s="37"/>
      <c r="AF833" s="37"/>
      <c r="AG833" s="14"/>
      <c r="AH833" s="14"/>
      <c r="AI833" s="14"/>
      <c r="AZ833" s="24"/>
    </row>
    <row r="834">
      <c r="B834" s="24"/>
      <c r="E834" s="113"/>
      <c r="F834" s="266"/>
      <c r="G834" s="113"/>
      <c r="K834" s="36"/>
      <c r="L834" s="117"/>
      <c r="M834" s="128"/>
      <c r="N834" s="117"/>
      <c r="R834" s="117"/>
      <c r="T834" s="117"/>
      <c r="V834" s="117"/>
      <c r="X834" s="117"/>
      <c r="Y834" s="10"/>
      <c r="Z834" s="11"/>
      <c r="AA834" s="36"/>
      <c r="AB834" s="36"/>
      <c r="AC834" s="13"/>
      <c r="AD834" s="13"/>
      <c r="AE834" s="37"/>
      <c r="AF834" s="37"/>
      <c r="AG834" s="14"/>
      <c r="AH834" s="14"/>
      <c r="AI834" s="14"/>
      <c r="AZ834" s="24"/>
    </row>
    <row r="835">
      <c r="B835" s="24"/>
      <c r="E835" s="113"/>
      <c r="F835" s="266"/>
      <c r="G835" s="113"/>
      <c r="K835" s="36"/>
      <c r="L835" s="117"/>
      <c r="M835" s="128"/>
      <c r="N835" s="117"/>
      <c r="R835" s="117"/>
      <c r="T835" s="117"/>
      <c r="V835" s="117"/>
      <c r="X835" s="117"/>
      <c r="Y835" s="10"/>
      <c r="Z835" s="11"/>
      <c r="AA835" s="36"/>
      <c r="AB835" s="36"/>
      <c r="AC835" s="13"/>
      <c r="AD835" s="13"/>
      <c r="AE835" s="37"/>
      <c r="AF835" s="37"/>
      <c r="AG835" s="14"/>
      <c r="AH835" s="14"/>
      <c r="AI835" s="14"/>
      <c r="AZ835" s="24"/>
    </row>
    <row r="836">
      <c r="B836" s="24"/>
      <c r="E836" s="113"/>
      <c r="F836" s="266"/>
      <c r="G836" s="113"/>
      <c r="K836" s="36"/>
      <c r="L836" s="117"/>
      <c r="M836" s="128"/>
      <c r="N836" s="117"/>
      <c r="R836" s="117"/>
      <c r="T836" s="117"/>
      <c r="V836" s="117"/>
      <c r="X836" s="117"/>
      <c r="Y836" s="10"/>
      <c r="Z836" s="11"/>
      <c r="AA836" s="36"/>
      <c r="AB836" s="36"/>
      <c r="AC836" s="13"/>
      <c r="AD836" s="13"/>
      <c r="AE836" s="37"/>
      <c r="AF836" s="37"/>
      <c r="AG836" s="14"/>
      <c r="AH836" s="14"/>
      <c r="AI836" s="14"/>
      <c r="AZ836" s="24"/>
    </row>
    <row r="837">
      <c r="B837" s="24"/>
      <c r="E837" s="113"/>
      <c r="F837" s="266"/>
      <c r="G837" s="113"/>
      <c r="K837" s="36"/>
      <c r="L837" s="117"/>
      <c r="M837" s="128"/>
      <c r="N837" s="117"/>
      <c r="R837" s="117"/>
      <c r="T837" s="117"/>
      <c r="V837" s="117"/>
      <c r="X837" s="117"/>
      <c r="Y837" s="10"/>
      <c r="Z837" s="11"/>
      <c r="AA837" s="36"/>
      <c r="AB837" s="36"/>
      <c r="AC837" s="13"/>
      <c r="AD837" s="13"/>
      <c r="AE837" s="37"/>
      <c r="AF837" s="37"/>
      <c r="AG837" s="14"/>
      <c r="AH837" s="14"/>
      <c r="AI837" s="14"/>
      <c r="AZ837" s="24"/>
    </row>
    <row r="838">
      <c r="B838" s="24"/>
      <c r="E838" s="113"/>
      <c r="F838" s="266"/>
      <c r="G838" s="113"/>
      <c r="K838" s="36"/>
      <c r="L838" s="117"/>
      <c r="M838" s="128"/>
      <c r="N838" s="117"/>
      <c r="R838" s="117"/>
      <c r="T838" s="117"/>
      <c r="V838" s="117"/>
      <c r="X838" s="117"/>
      <c r="Y838" s="10"/>
      <c r="Z838" s="11"/>
      <c r="AA838" s="36"/>
      <c r="AB838" s="36"/>
      <c r="AC838" s="13"/>
      <c r="AD838" s="13"/>
      <c r="AE838" s="37"/>
      <c r="AF838" s="37"/>
      <c r="AG838" s="14"/>
      <c r="AH838" s="14"/>
      <c r="AI838" s="14"/>
      <c r="AZ838" s="24"/>
    </row>
    <row r="839">
      <c r="B839" s="24"/>
      <c r="E839" s="113"/>
      <c r="F839" s="266"/>
      <c r="G839" s="113"/>
      <c r="K839" s="36"/>
      <c r="L839" s="117"/>
      <c r="M839" s="128"/>
      <c r="N839" s="117"/>
      <c r="R839" s="117"/>
      <c r="T839" s="117"/>
      <c r="V839" s="117"/>
      <c r="X839" s="117"/>
      <c r="Y839" s="10"/>
      <c r="Z839" s="11"/>
      <c r="AA839" s="36"/>
      <c r="AB839" s="36"/>
      <c r="AC839" s="13"/>
      <c r="AD839" s="13"/>
      <c r="AE839" s="37"/>
      <c r="AF839" s="37"/>
      <c r="AG839" s="14"/>
      <c r="AH839" s="14"/>
      <c r="AI839" s="14"/>
      <c r="AZ839" s="24"/>
    </row>
    <row r="840">
      <c r="B840" s="24"/>
      <c r="E840" s="113"/>
      <c r="F840" s="266"/>
      <c r="G840" s="113"/>
      <c r="K840" s="36"/>
      <c r="L840" s="117"/>
      <c r="M840" s="128"/>
      <c r="N840" s="117"/>
      <c r="R840" s="117"/>
      <c r="T840" s="117"/>
      <c r="V840" s="117"/>
      <c r="X840" s="117"/>
      <c r="Y840" s="10"/>
      <c r="Z840" s="11"/>
      <c r="AA840" s="36"/>
      <c r="AB840" s="36"/>
      <c r="AC840" s="13"/>
      <c r="AD840" s="13"/>
      <c r="AE840" s="37"/>
      <c r="AF840" s="37"/>
      <c r="AG840" s="14"/>
      <c r="AH840" s="14"/>
      <c r="AI840" s="14"/>
      <c r="AZ840" s="24"/>
    </row>
    <row r="841">
      <c r="B841" s="24"/>
      <c r="E841" s="113"/>
      <c r="F841" s="266"/>
      <c r="G841" s="113"/>
      <c r="K841" s="36"/>
      <c r="L841" s="117"/>
      <c r="M841" s="128"/>
      <c r="N841" s="117"/>
      <c r="R841" s="117"/>
      <c r="T841" s="117"/>
      <c r="V841" s="117"/>
      <c r="X841" s="117"/>
      <c r="Y841" s="10"/>
      <c r="Z841" s="11"/>
      <c r="AA841" s="36"/>
      <c r="AB841" s="36"/>
      <c r="AC841" s="13"/>
      <c r="AD841" s="13"/>
      <c r="AE841" s="37"/>
      <c r="AF841" s="37"/>
      <c r="AG841" s="14"/>
      <c r="AH841" s="14"/>
      <c r="AI841" s="14"/>
      <c r="AZ841" s="24"/>
    </row>
    <row r="842">
      <c r="B842" s="24"/>
      <c r="E842" s="113"/>
      <c r="F842" s="266"/>
      <c r="G842" s="113"/>
      <c r="K842" s="36"/>
      <c r="L842" s="117"/>
      <c r="M842" s="128"/>
      <c r="N842" s="117"/>
      <c r="R842" s="117"/>
      <c r="T842" s="117"/>
      <c r="V842" s="117"/>
      <c r="X842" s="117"/>
      <c r="Y842" s="10"/>
      <c r="Z842" s="11"/>
      <c r="AA842" s="36"/>
      <c r="AB842" s="36"/>
      <c r="AC842" s="13"/>
      <c r="AD842" s="13"/>
      <c r="AE842" s="37"/>
      <c r="AF842" s="37"/>
      <c r="AG842" s="14"/>
      <c r="AH842" s="14"/>
      <c r="AI842" s="14"/>
      <c r="AZ842" s="24"/>
    </row>
    <row r="843">
      <c r="B843" s="24"/>
      <c r="E843" s="113"/>
      <c r="F843" s="266"/>
      <c r="G843" s="113"/>
      <c r="K843" s="36"/>
      <c r="L843" s="117"/>
      <c r="M843" s="128"/>
      <c r="N843" s="117"/>
      <c r="R843" s="117"/>
      <c r="T843" s="117"/>
      <c r="V843" s="117"/>
      <c r="X843" s="117"/>
      <c r="Y843" s="10"/>
      <c r="Z843" s="11"/>
      <c r="AA843" s="36"/>
      <c r="AB843" s="36"/>
      <c r="AC843" s="13"/>
      <c r="AD843" s="13"/>
      <c r="AE843" s="37"/>
      <c r="AF843" s="37"/>
      <c r="AG843" s="14"/>
      <c r="AH843" s="14"/>
      <c r="AI843" s="14"/>
      <c r="AZ843" s="24"/>
    </row>
    <row r="844">
      <c r="B844" s="24"/>
      <c r="E844" s="113"/>
      <c r="F844" s="266"/>
      <c r="G844" s="113"/>
      <c r="K844" s="36"/>
      <c r="L844" s="117"/>
      <c r="M844" s="128"/>
      <c r="N844" s="117"/>
      <c r="R844" s="117"/>
      <c r="T844" s="117"/>
      <c r="V844" s="117"/>
      <c r="X844" s="117"/>
      <c r="Y844" s="10"/>
      <c r="Z844" s="11"/>
      <c r="AA844" s="36"/>
      <c r="AB844" s="36"/>
      <c r="AC844" s="13"/>
      <c r="AD844" s="13"/>
      <c r="AE844" s="37"/>
      <c r="AF844" s="37"/>
      <c r="AG844" s="14"/>
      <c r="AH844" s="14"/>
      <c r="AI844" s="14"/>
      <c r="AZ844" s="24"/>
    </row>
    <row r="845">
      <c r="B845" s="24"/>
      <c r="E845" s="113"/>
      <c r="F845" s="266"/>
      <c r="G845" s="113"/>
      <c r="K845" s="36"/>
      <c r="L845" s="117"/>
      <c r="M845" s="128"/>
      <c r="N845" s="117"/>
      <c r="R845" s="117"/>
      <c r="T845" s="117"/>
      <c r="V845" s="117"/>
      <c r="X845" s="117"/>
      <c r="Y845" s="10"/>
      <c r="Z845" s="11"/>
      <c r="AA845" s="36"/>
      <c r="AB845" s="36"/>
      <c r="AC845" s="13"/>
      <c r="AD845" s="13"/>
      <c r="AE845" s="37"/>
      <c r="AF845" s="37"/>
      <c r="AG845" s="14"/>
      <c r="AH845" s="14"/>
      <c r="AI845" s="14"/>
      <c r="AZ845" s="24"/>
    </row>
    <row r="846">
      <c r="B846" s="24"/>
      <c r="E846" s="113"/>
      <c r="F846" s="266"/>
      <c r="G846" s="113"/>
      <c r="K846" s="36"/>
      <c r="L846" s="117"/>
      <c r="M846" s="128"/>
      <c r="N846" s="117"/>
      <c r="R846" s="117"/>
      <c r="T846" s="117"/>
      <c r="V846" s="117"/>
      <c r="X846" s="117"/>
      <c r="Y846" s="10"/>
      <c r="Z846" s="11"/>
      <c r="AA846" s="36"/>
      <c r="AB846" s="36"/>
      <c r="AC846" s="13"/>
      <c r="AD846" s="13"/>
      <c r="AE846" s="37"/>
      <c r="AF846" s="37"/>
      <c r="AG846" s="14"/>
      <c r="AH846" s="14"/>
      <c r="AI846" s="14"/>
      <c r="AZ846" s="24"/>
    </row>
    <row r="847">
      <c r="B847" s="24"/>
      <c r="E847" s="113"/>
      <c r="F847" s="266"/>
      <c r="G847" s="113"/>
      <c r="K847" s="36"/>
      <c r="L847" s="117"/>
      <c r="M847" s="128"/>
      <c r="N847" s="117"/>
      <c r="R847" s="117"/>
      <c r="T847" s="117"/>
      <c r="V847" s="117"/>
      <c r="X847" s="117"/>
      <c r="Y847" s="10"/>
      <c r="Z847" s="11"/>
      <c r="AA847" s="36"/>
      <c r="AB847" s="36"/>
      <c r="AC847" s="13"/>
      <c r="AD847" s="13"/>
      <c r="AE847" s="37"/>
      <c r="AF847" s="37"/>
      <c r="AG847" s="14"/>
      <c r="AH847" s="14"/>
      <c r="AI847" s="14"/>
      <c r="AZ847" s="24"/>
    </row>
    <row r="848">
      <c r="B848" s="24"/>
      <c r="E848" s="113"/>
      <c r="F848" s="266"/>
      <c r="G848" s="113"/>
      <c r="K848" s="36"/>
      <c r="L848" s="117"/>
      <c r="M848" s="128"/>
      <c r="N848" s="117"/>
      <c r="R848" s="117"/>
      <c r="T848" s="117"/>
      <c r="V848" s="117"/>
      <c r="X848" s="117"/>
      <c r="Y848" s="10"/>
      <c r="Z848" s="11"/>
      <c r="AA848" s="36"/>
      <c r="AB848" s="36"/>
      <c r="AC848" s="13"/>
      <c r="AD848" s="13"/>
      <c r="AE848" s="37"/>
      <c r="AF848" s="37"/>
      <c r="AG848" s="14"/>
      <c r="AH848" s="14"/>
      <c r="AI848" s="14"/>
      <c r="AZ848" s="24"/>
    </row>
    <row r="849">
      <c r="B849" s="24"/>
      <c r="E849" s="113"/>
      <c r="F849" s="266"/>
      <c r="G849" s="113"/>
      <c r="K849" s="36"/>
      <c r="L849" s="117"/>
      <c r="M849" s="128"/>
      <c r="N849" s="117"/>
      <c r="R849" s="117"/>
      <c r="T849" s="117"/>
      <c r="V849" s="117"/>
      <c r="X849" s="117"/>
      <c r="Y849" s="10"/>
      <c r="Z849" s="11"/>
      <c r="AA849" s="36"/>
      <c r="AB849" s="36"/>
      <c r="AC849" s="13"/>
      <c r="AD849" s="13"/>
      <c r="AE849" s="37"/>
      <c r="AF849" s="37"/>
      <c r="AG849" s="14"/>
      <c r="AH849" s="14"/>
      <c r="AI849" s="14"/>
      <c r="AZ849" s="24"/>
    </row>
    <row r="850">
      <c r="B850" s="24"/>
      <c r="E850" s="113"/>
      <c r="F850" s="266"/>
      <c r="G850" s="113"/>
      <c r="K850" s="36"/>
      <c r="L850" s="117"/>
      <c r="M850" s="128"/>
      <c r="N850" s="117"/>
      <c r="R850" s="117"/>
      <c r="T850" s="117"/>
      <c r="V850" s="117"/>
      <c r="X850" s="117"/>
      <c r="Y850" s="10"/>
      <c r="Z850" s="11"/>
      <c r="AA850" s="36"/>
      <c r="AB850" s="36"/>
      <c r="AC850" s="13"/>
      <c r="AD850" s="13"/>
      <c r="AE850" s="37"/>
      <c r="AF850" s="37"/>
      <c r="AG850" s="14"/>
      <c r="AH850" s="14"/>
      <c r="AI850" s="14"/>
      <c r="AZ850" s="24"/>
    </row>
    <row r="851">
      <c r="B851" s="24"/>
      <c r="E851" s="113"/>
      <c r="F851" s="266"/>
      <c r="G851" s="113"/>
      <c r="K851" s="36"/>
      <c r="L851" s="117"/>
      <c r="M851" s="128"/>
      <c r="N851" s="117"/>
      <c r="R851" s="117"/>
      <c r="T851" s="117"/>
      <c r="V851" s="117"/>
      <c r="X851" s="117"/>
      <c r="Y851" s="10"/>
      <c r="Z851" s="11"/>
      <c r="AA851" s="36"/>
      <c r="AB851" s="36"/>
      <c r="AC851" s="13"/>
      <c r="AD851" s="13"/>
      <c r="AE851" s="37"/>
      <c r="AF851" s="37"/>
      <c r="AG851" s="14"/>
      <c r="AH851" s="14"/>
      <c r="AI851" s="14"/>
      <c r="AZ851" s="24"/>
    </row>
    <row r="852">
      <c r="B852" s="24"/>
      <c r="E852" s="113"/>
      <c r="F852" s="266"/>
      <c r="G852" s="113"/>
      <c r="K852" s="36"/>
      <c r="L852" s="117"/>
      <c r="M852" s="128"/>
      <c r="N852" s="117"/>
      <c r="R852" s="117"/>
      <c r="T852" s="117"/>
      <c r="V852" s="117"/>
      <c r="X852" s="117"/>
      <c r="Y852" s="10"/>
      <c r="Z852" s="11"/>
      <c r="AA852" s="36"/>
      <c r="AB852" s="36"/>
      <c r="AC852" s="13"/>
      <c r="AD852" s="13"/>
      <c r="AE852" s="37"/>
      <c r="AF852" s="37"/>
      <c r="AG852" s="14"/>
      <c r="AH852" s="14"/>
      <c r="AI852" s="14"/>
      <c r="AZ852" s="24"/>
    </row>
    <row r="853">
      <c r="B853" s="24"/>
      <c r="E853" s="113"/>
      <c r="F853" s="266"/>
      <c r="G853" s="113"/>
      <c r="K853" s="36"/>
      <c r="L853" s="117"/>
      <c r="M853" s="128"/>
      <c r="N853" s="117"/>
      <c r="R853" s="117"/>
      <c r="T853" s="117"/>
      <c r="V853" s="117"/>
      <c r="X853" s="117"/>
      <c r="Y853" s="10"/>
      <c r="Z853" s="11"/>
      <c r="AA853" s="36"/>
      <c r="AB853" s="36"/>
      <c r="AC853" s="13"/>
      <c r="AD853" s="13"/>
      <c r="AE853" s="37"/>
      <c r="AF853" s="37"/>
      <c r="AG853" s="14"/>
      <c r="AH853" s="14"/>
      <c r="AI853" s="14"/>
      <c r="AZ853" s="24"/>
    </row>
    <row r="854">
      <c r="B854" s="24"/>
      <c r="E854" s="113"/>
      <c r="F854" s="266"/>
      <c r="G854" s="113"/>
      <c r="K854" s="36"/>
      <c r="L854" s="117"/>
      <c r="M854" s="128"/>
      <c r="N854" s="117"/>
      <c r="R854" s="117"/>
      <c r="T854" s="117"/>
      <c r="V854" s="117"/>
      <c r="X854" s="117"/>
      <c r="Y854" s="10"/>
      <c r="Z854" s="11"/>
      <c r="AA854" s="36"/>
      <c r="AB854" s="36"/>
      <c r="AC854" s="13"/>
      <c r="AD854" s="13"/>
      <c r="AE854" s="37"/>
      <c r="AF854" s="37"/>
      <c r="AG854" s="14"/>
      <c r="AH854" s="14"/>
      <c r="AI854" s="14"/>
      <c r="AZ854" s="24"/>
    </row>
    <row r="855">
      <c r="B855" s="24"/>
      <c r="E855" s="113"/>
      <c r="F855" s="266"/>
      <c r="G855" s="113"/>
      <c r="K855" s="36"/>
      <c r="L855" s="117"/>
      <c r="M855" s="128"/>
      <c r="N855" s="117"/>
      <c r="R855" s="117"/>
      <c r="T855" s="117"/>
      <c r="V855" s="117"/>
      <c r="X855" s="117"/>
      <c r="Y855" s="10"/>
      <c r="Z855" s="11"/>
      <c r="AA855" s="36"/>
      <c r="AB855" s="36"/>
      <c r="AC855" s="13"/>
      <c r="AD855" s="13"/>
      <c r="AE855" s="37"/>
      <c r="AF855" s="37"/>
      <c r="AG855" s="14"/>
      <c r="AH855" s="14"/>
      <c r="AI855" s="14"/>
      <c r="AZ855" s="24"/>
    </row>
    <row r="856">
      <c r="B856" s="24"/>
      <c r="E856" s="113"/>
      <c r="F856" s="266"/>
      <c r="G856" s="113"/>
      <c r="K856" s="36"/>
      <c r="L856" s="117"/>
      <c r="M856" s="128"/>
      <c r="N856" s="117"/>
      <c r="R856" s="117"/>
      <c r="T856" s="117"/>
      <c r="V856" s="117"/>
      <c r="X856" s="117"/>
      <c r="Y856" s="10"/>
      <c r="Z856" s="11"/>
      <c r="AA856" s="36"/>
      <c r="AB856" s="36"/>
      <c r="AC856" s="13"/>
      <c r="AD856" s="13"/>
      <c r="AE856" s="37"/>
      <c r="AF856" s="37"/>
      <c r="AG856" s="14"/>
      <c r="AH856" s="14"/>
      <c r="AI856" s="14"/>
      <c r="AZ856" s="24"/>
    </row>
    <row r="857">
      <c r="B857" s="24"/>
      <c r="E857" s="113"/>
      <c r="F857" s="266"/>
      <c r="G857" s="113"/>
      <c r="K857" s="36"/>
      <c r="L857" s="117"/>
      <c r="M857" s="128"/>
      <c r="N857" s="117"/>
      <c r="R857" s="117"/>
      <c r="T857" s="117"/>
      <c r="V857" s="117"/>
      <c r="X857" s="117"/>
      <c r="Y857" s="10"/>
      <c r="Z857" s="11"/>
      <c r="AA857" s="36"/>
      <c r="AB857" s="36"/>
      <c r="AC857" s="13"/>
      <c r="AD857" s="13"/>
      <c r="AE857" s="37"/>
      <c r="AF857" s="37"/>
      <c r="AG857" s="14"/>
      <c r="AH857" s="14"/>
      <c r="AI857" s="14"/>
      <c r="AZ857" s="24"/>
    </row>
    <row r="858">
      <c r="B858" s="24"/>
      <c r="E858" s="113"/>
      <c r="F858" s="266"/>
      <c r="G858" s="113"/>
      <c r="K858" s="36"/>
      <c r="L858" s="117"/>
      <c r="M858" s="128"/>
      <c r="N858" s="117"/>
      <c r="R858" s="117"/>
      <c r="T858" s="117"/>
      <c r="V858" s="117"/>
      <c r="X858" s="117"/>
      <c r="Y858" s="10"/>
      <c r="Z858" s="11"/>
      <c r="AA858" s="36"/>
      <c r="AB858" s="36"/>
      <c r="AC858" s="13"/>
      <c r="AD858" s="13"/>
      <c r="AE858" s="37"/>
      <c r="AF858" s="37"/>
      <c r="AG858" s="14"/>
      <c r="AH858" s="14"/>
      <c r="AI858" s="14"/>
      <c r="AZ858" s="24"/>
    </row>
    <row r="859">
      <c r="B859" s="24"/>
      <c r="E859" s="113"/>
      <c r="F859" s="266"/>
      <c r="G859" s="113"/>
      <c r="K859" s="36"/>
      <c r="L859" s="117"/>
      <c r="M859" s="128"/>
      <c r="N859" s="117"/>
      <c r="R859" s="117"/>
      <c r="T859" s="117"/>
      <c r="V859" s="117"/>
      <c r="X859" s="117"/>
      <c r="Y859" s="10"/>
      <c r="Z859" s="11"/>
      <c r="AA859" s="36"/>
      <c r="AB859" s="36"/>
      <c r="AC859" s="13"/>
      <c r="AD859" s="13"/>
      <c r="AE859" s="37"/>
      <c r="AF859" s="37"/>
      <c r="AG859" s="14"/>
      <c r="AH859" s="14"/>
      <c r="AI859" s="14"/>
      <c r="AZ859" s="24"/>
    </row>
    <row r="860">
      <c r="B860" s="24"/>
      <c r="E860" s="113"/>
      <c r="F860" s="266"/>
      <c r="G860" s="113"/>
      <c r="K860" s="36"/>
      <c r="L860" s="117"/>
      <c r="M860" s="128"/>
      <c r="N860" s="117"/>
      <c r="R860" s="117"/>
      <c r="T860" s="117"/>
      <c r="V860" s="117"/>
      <c r="X860" s="117"/>
      <c r="Y860" s="10"/>
      <c r="Z860" s="11"/>
      <c r="AA860" s="36"/>
      <c r="AB860" s="36"/>
      <c r="AC860" s="13"/>
      <c r="AD860" s="13"/>
      <c r="AE860" s="37"/>
      <c r="AF860" s="37"/>
      <c r="AG860" s="14"/>
      <c r="AH860" s="14"/>
      <c r="AI860" s="14"/>
      <c r="AZ860" s="24"/>
    </row>
    <row r="861">
      <c r="B861" s="24"/>
      <c r="E861" s="113"/>
      <c r="F861" s="266"/>
      <c r="G861" s="113"/>
      <c r="K861" s="36"/>
      <c r="L861" s="117"/>
      <c r="M861" s="128"/>
      <c r="N861" s="117"/>
      <c r="R861" s="117"/>
      <c r="T861" s="117"/>
      <c r="V861" s="117"/>
      <c r="X861" s="117"/>
      <c r="Y861" s="10"/>
      <c r="Z861" s="11"/>
      <c r="AA861" s="36"/>
      <c r="AB861" s="36"/>
      <c r="AC861" s="13"/>
      <c r="AD861" s="13"/>
      <c r="AE861" s="37"/>
      <c r="AF861" s="37"/>
      <c r="AG861" s="14"/>
      <c r="AH861" s="14"/>
      <c r="AI861" s="14"/>
      <c r="AZ861" s="24"/>
    </row>
    <row r="862">
      <c r="B862" s="24"/>
      <c r="E862" s="113"/>
      <c r="F862" s="266"/>
      <c r="G862" s="113"/>
      <c r="K862" s="36"/>
      <c r="L862" s="117"/>
      <c r="M862" s="128"/>
      <c r="N862" s="117"/>
      <c r="R862" s="117"/>
      <c r="T862" s="117"/>
      <c r="V862" s="117"/>
      <c r="X862" s="117"/>
      <c r="Y862" s="10"/>
      <c r="Z862" s="11"/>
      <c r="AA862" s="36"/>
      <c r="AB862" s="36"/>
      <c r="AC862" s="13"/>
      <c r="AD862" s="13"/>
      <c r="AE862" s="37"/>
      <c r="AF862" s="37"/>
      <c r="AG862" s="14"/>
      <c r="AH862" s="14"/>
      <c r="AI862" s="14"/>
      <c r="AZ862" s="24"/>
    </row>
    <row r="863">
      <c r="B863" s="24"/>
      <c r="E863" s="113"/>
      <c r="F863" s="266"/>
      <c r="G863" s="113"/>
      <c r="K863" s="36"/>
      <c r="L863" s="117"/>
      <c r="M863" s="128"/>
      <c r="N863" s="117"/>
      <c r="R863" s="117"/>
      <c r="T863" s="117"/>
      <c r="V863" s="117"/>
      <c r="X863" s="117"/>
      <c r="Y863" s="10"/>
      <c r="Z863" s="11"/>
      <c r="AA863" s="36"/>
      <c r="AB863" s="36"/>
      <c r="AC863" s="13"/>
      <c r="AD863" s="13"/>
      <c r="AE863" s="37"/>
      <c r="AF863" s="37"/>
      <c r="AG863" s="14"/>
      <c r="AH863" s="14"/>
      <c r="AI863" s="14"/>
      <c r="AZ863" s="24"/>
    </row>
    <row r="864">
      <c r="B864" s="24"/>
      <c r="E864" s="113"/>
      <c r="F864" s="266"/>
      <c r="G864" s="113"/>
      <c r="K864" s="36"/>
      <c r="L864" s="117"/>
      <c r="M864" s="128"/>
      <c r="N864" s="117"/>
      <c r="R864" s="117"/>
      <c r="T864" s="117"/>
      <c r="V864" s="117"/>
      <c r="X864" s="117"/>
      <c r="Y864" s="10"/>
      <c r="Z864" s="11"/>
      <c r="AA864" s="36"/>
      <c r="AB864" s="36"/>
      <c r="AC864" s="13"/>
      <c r="AD864" s="13"/>
      <c r="AE864" s="37"/>
      <c r="AF864" s="37"/>
      <c r="AG864" s="14"/>
      <c r="AH864" s="14"/>
      <c r="AI864" s="14"/>
      <c r="AZ864" s="24"/>
    </row>
    <row r="865">
      <c r="B865" s="24"/>
      <c r="E865" s="113"/>
      <c r="F865" s="266"/>
      <c r="G865" s="113"/>
      <c r="K865" s="36"/>
      <c r="L865" s="117"/>
      <c r="M865" s="128"/>
      <c r="N865" s="117"/>
      <c r="R865" s="117"/>
      <c r="T865" s="117"/>
      <c r="V865" s="117"/>
      <c r="X865" s="117"/>
      <c r="Y865" s="10"/>
      <c r="Z865" s="11"/>
      <c r="AA865" s="36"/>
      <c r="AB865" s="36"/>
      <c r="AC865" s="13"/>
      <c r="AD865" s="13"/>
      <c r="AE865" s="37"/>
      <c r="AF865" s="37"/>
      <c r="AG865" s="14"/>
      <c r="AH865" s="14"/>
      <c r="AI865" s="14"/>
      <c r="AZ865" s="24"/>
    </row>
    <row r="866">
      <c r="B866" s="24"/>
      <c r="E866" s="113"/>
      <c r="F866" s="266"/>
      <c r="G866" s="113"/>
      <c r="K866" s="36"/>
      <c r="L866" s="117"/>
      <c r="M866" s="128"/>
      <c r="N866" s="117"/>
      <c r="R866" s="117"/>
      <c r="T866" s="117"/>
      <c r="V866" s="117"/>
      <c r="X866" s="117"/>
      <c r="Y866" s="10"/>
      <c r="Z866" s="11"/>
      <c r="AA866" s="36"/>
      <c r="AB866" s="36"/>
      <c r="AC866" s="13"/>
      <c r="AD866" s="13"/>
      <c r="AE866" s="37"/>
      <c r="AF866" s="37"/>
      <c r="AG866" s="14"/>
      <c r="AH866" s="14"/>
      <c r="AI866" s="14"/>
      <c r="AZ866" s="24"/>
    </row>
    <row r="867">
      <c r="B867" s="24"/>
      <c r="E867" s="113"/>
      <c r="F867" s="266"/>
      <c r="G867" s="113"/>
      <c r="K867" s="36"/>
      <c r="L867" s="117"/>
      <c r="M867" s="128"/>
      <c r="N867" s="117"/>
      <c r="R867" s="117"/>
      <c r="T867" s="117"/>
      <c r="V867" s="117"/>
      <c r="X867" s="117"/>
      <c r="Y867" s="10"/>
      <c r="Z867" s="11"/>
      <c r="AA867" s="36"/>
      <c r="AB867" s="36"/>
      <c r="AC867" s="13"/>
      <c r="AD867" s="13"/>
      <c r="AE867" s="37"/>
      <c r="AF867" s="37"/>
      <c r="AG867" s="14"/>
      <c r="AH867" s="14"/>
      <c r="AI867" s="14"/>
      <c r="AZ867" s="24"/>
    </row>
    <row r="868">
      <c r="B868" s="24"/>
      <c r="E868" s="113"/>
      <c r="F868" s="266"/>
      <c r="G868" s="113"/>
      <c r="K868" s="36"/>
      <c r="L868" s="117"/>
      <c r="M868" s="128"/>
      <c r="N868" s="117"/>
      <c r="R868" s="117"/>
      <c r="T868" s="117"/>
      <c r="V868" s="117"/>
      <c r="X868" s="117"/>
      <c r="Y868" s="10"/>
      <c r="Z868" s="11"/>
      <c r="AA868" s="36"/>
      <c r="AB868" s="36"/>
      <c r="AC868" s="13"/>
      <c r="AD868" s="13"/>
      <c r="AE868" s="37"/>
      <c r="AF868" s="37"/>
      <c r="AG868" s="14"/>
      <c r="AH868" s="14"/>
      <c r="AI868" s="14"/>
      <c r="AZ868" s="24"/>
    </row>
    <row r="869">
      <c r="B869" s="24"/>
      <c r="E869" s="113"/>
      <c r="F869" s="266"/>
      <c r="G869" s="113"/>
      <c r="K869" s="36"/>
      <c r="L869" s="117"/>
      <c r="M869" s="128"/>
      <c r="N869" s="117"/>
      <c r="R869" s="117"/>
      <c r="T869" s="117"/>
      <c r="V869" s="117"/>
      <c r="X869" s="117"/>
      <c r="Y869" s="10"/>
      <c r="Z869" s="11"/>
      <c r="AA869" s="36"/>
      <c r="AB869" s="36"/>
      <c r="AC869" s="13"/>
      <c r="AD869" s="13"/>
      <c r="AE869" s="37"/>
      <c r="AF869" s="37"/>
      <c r="AG869" s="14"/>
      <c r="AH869" s="14"/>
      <c r="AI869" s="14"/>
      <c r="AZ869" s="24"/>
    </row>
    <row r="870">
      <c r="B870" s="24"/>
      <c r="E870" s="113"/>
      <c r="F870" s="266"/>
      <c r="G870" s="113"/>
      <c r="K870" s="36"/>
      <c r="L870" s="117"/>
      <c r="M870" s="128"/>
      <c r="N870" s="117"/>
      <c r="R870" s="117"/>
      <c r="T870" s="117"/>
      <c r="V870" s="117"/>
      <c r="X870" s="117"/>
      <c r="Y870" s="10"/>
      <c r="Z870" s="11"/>
      <c r="AA870" s="36"/>
      <c r="AB870" s="36"/>
      <c r="AC870" s="13"/>
      <c r="AD870" s="13"/>
      <c r="AE870" s="37"/>
      <c r="AF870" s="37"/>
      <c r="AG870" s="14"/>
      <c r="AH870" s="14"/>
      <c r="AI870" s="14"/>
      <c r="AZ870" s="24"/>
    </row>
    <row r="871">
      <c r="B871" s="24"/>
      <c r="E871" s="113"/>
      <c r="F871" s="266"/>
      <c r="G871" s="113"/>
      <c r="K871" s="36"/>
      <c r="L871" s="117"/>
      <c r="M871" s="128"/>
      <c r="N871" s="117"/>
      <c r="R871" s="117"/>
      <c r="T871" s="117"/>
      <c r="V871" s="117"/>
      <c r="X871" s="117"/>
      <c r="Y871" s="10"/>
      <c r="Z871" s="11"/>
      <c r="AA871" s="36"/>
      <c r="AB871" s="36"/>
      <c r="AC871" s="13"/>
      <c r="AD871" s="13"/>
      <c r="AE871" s="37"/>
      <c r="AF871" s="37"/>
      <c r="AG871" s="14"/>
      <c r="AH871" s="14"/>
      <c r="AI871" s="14"/>
      <c r="AZ871" s="24"/>
    </row>
    <row r="872">
      <c r="B872" s="24"/>
      <c r="E872" s="113"/>
      <c r="F872" s="266"/>
      <c r="G872" s="113"/>
      <c r="K872" s="36"/>
      <c r="L872" s="117"/>
      <c r="M872" s="128"/>
      <c r="N872" s="117"/>
      <c r="R872" s="117"/>
      <c r="T872" s="117"/>
      <c r="V872" s="117"/>
      <c r="X872" s="117"/>
      <c r="Y872" s="10"/>
      <c r="Z872" s="11"/>
      <c r="AA872" s="36"/>
      <c r="AB872" s="36"/>
      <c r="AC872" s="13"/>
      <c r="AD872" s="13"/>
      <c r="AE872" s="37"/>
      <c r="AF872" s="37"/>
      <c r="AG872" s="14"/>
      <c r="AH872" s="14"/>
      <c r="AI872" s="14"/>
      <c r="AZ872" s="24"/>
    </row>
    <row r="873">
      <c r="B873" s="24"/>
      <c r="E873" s="113"/>
      <c r="F873" s="266"/>
      <c r="G873" s="113"/>
      <c r="K873" s="36"/>
      <c r="L873" s="117"/>
      <c r="M873" s="128"/>
      <c r="N873" s="117"/>
      <c r="R873" s="117"/>
      <c r="T873" s="117"/>
      <c r="V873" s="117"/>
      <c r="X873" s="117"/>
      <c r="Y873" s="10"/>
      <c r="Z873" s="11"/>
      <c r="AA873" s="36"/>
      <c r="AB873" s="36"/>
      <c r="AC873" s="13"/>
      <c r="AD873" s="13"/>
      <c r="AE873" s="37"/>
      <c r="AF873" s="37"/>
      <c r="AG873" s="14"/>
      <c r="AH873" s="14"/>
      <c r="AI873" s="14"/>
      <c r="AZ873" s="24"/>
    </row>
    <row r="874">
      <c r="B874" s="24"/>
      <c r="E874" s="113"/>
      <c r="F874" s="266"/>
      <c r="G874" s="113"/>
      <c r="K874" s="36"/>
      <c r="L874" s="117"/>
      <c r="M874" s="128"/>
      <c r="N874" s="117"/>
      <c r="R874" s="117"/>
      <c r="T874" s="117"/>
      <c r="V874" s="117"/>
      <c r="X874" s="117"/>
      <c r="Y874" s="10"/>
      <c r="Z874" s="11"/>
      <c r="AA874" s="36"/>
      <c r="AB874" s="36"/>
      <c r="AC874" s="13"/>
      <c r="AD874" s="13"/>
      <c r="AE874" s="37"/>
      <c r="AF874" s="37"/>
      <c r="AG874" s="14"/>
      <c r="AH874" s="14"/>
      <c r="AI874" s="14"/>
      <c r="AZ874" s="24"/>
    </row>
    <row r="875">
      <c r="B875" s="24"/>
      <c r="E875" s="113"/>
      <c r="F875" s="266"/>
      <c r="G875" s="113"/>
      <c r="K875" s="36"/>
      <c r="L875" s="117"/>
      <c r="M875" s="128"/>
      <c r="N875" s="117"/>
      <c r="R875" s="117"/>
      <c r="T875" s="117"/>
      <c r="V875" s="117"/>
      <c r="X875" s="117"/>
      <c r="Y875" s="10"/>
      <c r="Z875" s="11"/>
      <c r="AA875" s="36"/>
      <c r="AB875" s="36"/>
      <c r="AC875" s="13"/>
      <c r="AD875" s="13"/>
      <c r="AE875" s="37"/>
      <c r="AF875" s="37"/>
      <c r="AG875" s="14"/>
      <c r="AH875" s="14"/>
      <c r="AI875" s="14"/>
      <c r="AZ875" s="24"/>
    </row>
    <row r="876">
      <c r="B876" s="24"/>
      <c r="E876" s="113"/>
      <c r="F876" s="266"/>
      <c r="G876" s="113"/>
      <c r="K876" s="36"/>
      <c r="L876" s="117"/>
      <c r="M876" s="128"/>
      <c r="N876" s="117"/>
      <c r="R876" s="117"/>
      <c r="T876" s="117"/>
      <c r="V876" s="117"/>
      <c r="X876" s="117"/>
      <c r="Y876" s="10"/>
      <c r="Z876" s="11"/>
      <c r="AA876" s="36"/>
      <c r="AB876" s="36"/>
      <c r="AC876" s="13"/>
      <c r="AD876" s="13"/>
      <c r="AE876" s="37"/>
      <c r="AF876" s="37"/>
      <c r="AG876" s="14"/>
      <c r="AH876" s="14"/>
      <c r="AI876" s="14"/>
      <c r="AZ876" s="24"/>
    </row>
    <row r="877">
      <c r="B877" s="24"/>
      <c r="E877" s="113"/>
      <c r="F877" s="266"/>
      <c r="G877" s="113"/>
      <c r="K877" s="36"/>
      <c r="L877" s="117"/>
      <c r="M877" s="128"/>
      <c r="N877" s="117"/>
      <c r="R877" s="117"/>
      <c r="T877" s="117"/>
      <c r="V877" s="117"/>
      <c r="X877" s="117"/>
      <c r="Y877" s="10"/>
      <c r="Z877" s="11"/>
      <c r="AA877" s="36"/>
      <c r="AB877" s="36"/>
      <c r="AC877" s="13"/>
      <c r="AD877" s="13"/>
      <c r="AE877" s="37"/>
      <c r="AF877" s="37"/>
      <c r="AG877" s="14"/>
      <c r="AH877" s="14"/>
      <c r="AI877" s="14"/>
      <c r="AZ877" s="24"/>
    </row>
    <row r="878">
      <c r="B878" s="24"/>
      <c r="E878" s="113"/>
      <c r="F878" s="266"/>
      <c r="G878" s="113"/>
      <c r="K878" s="36"/>
      <c r="L878" s="117"/>
      <c r="M878" s="128"/>
      <c r="N878" s="117"/>
      <c r="R878" s="117"/>
      <c r="T878" s="117"/>
      <c r="V878" s="117"/>
      <c r="X878" s="117"/>
      <c r="Y878" s="10"/>
      <c r="Z878" s="11"/>
      <c r="AA878" s="36"/>
      <c r="AB878" s="36"/>
      <c r="AC878" s="13"/>
      <c r="AD878" s="13"/>
      <c r="AE878" s="37"/>
      <c r="AF878" s="37"/>
      <c r="AG878" s="14"/>
      <c r="AH878" s="14"/>
      <c r="AI878" s="14"/>
      <c r="AZ878" s="24"/>
    </row>
    <row r="879">
      <c r="B879" s="24"/>
      <c r="E879" s="113"/>
      <c r="F879" s="266"/>
      <c r="G879" s="113"/>
      <c r="K879" s="36"/>
      <c r="L879" s="117"/>
      <c r="M879" s="128"/>
      <c r="N879" s="117"/>
      <c r="R879" s="117"/>
      <c r="T879" s="117"/>
      <c r="V879" s="117"/>
      <c r="X879" s="117"/>
      <c r="Y879" s="10"/>
      <c r="Z879" s="11"/>
      <c r="AA879" s="36"/>
      <c r="AB879" s="36"/>
      <c r="AC879" s="13"/>
      <c r="AD879" s="13"/>
      <c r="AE879" s="37"/>
      <c r="AF879" s="37"/>
      <c r="AG879" s="14"/>
      <c r="AH879" s="14"/>
      <c r="AI879" s="14"/>
      <c r="AZ879" s="24"/>
    </row>
    <row r="880">
      <c r="B880" s="24"/>
      <c r="E880" s="113"/>
      <c r="F880" s="266"/>
      <c r="G880" s="113"/>
      <c r="K880" s="36"/>
      <c r="L880" s="117"/>
      <c r="M880" s="128"/>
      <c r="N880" s="117"/>
      <c r="R880" s="117"/>
      <c r="T880" s="117"/>
      <c r="V880" s="117"/>
      <c r="X880" s="117"/>
      <c r="Y880" s="10"/>
      <c r="Z880" s="11"/>
      <c r="AA880" s="36"/>
      <c r="AB880" s="36"/>
      <c r="AC880" s="13"/>
      <c r="AD880" s="13"/>
      <c r="AE880" s="37"/>
      <c r="AF880" s="37"/>
      <c r="AG880" s="14"/>
      <c r="AH880" s="14"/>
      <c r="AI880" s="14"/>
      <c r="AZ880" s="24"/>
    </row>
    <row r="881">
      <c r="B881" s="24"/>
      <c r="E881" s="113"/>
      <c r="F881" s="266"/>
      <c r="G881" s="113"/>
      <c r="K881" s="36"/>
      <c r="L881" s="117"/>
      <c r="M881" s="128"/>
      <c r="N881" s="117"/>
      <c r="R881" s="117"/>
      <c r="T881" s="117"/>
      <c r="V881" s="117"/>
      <c r="X881" s="117"/>
      <c r="Y881" s="10"/>
      <c r="Z881" s="11"/>
      <c r="AA881" s="36"/>
      <c r="AB881" s="36"/>
      <c r="AC881" s="13"/>
      <c r="AD881" s="13"/>
      <c r="AE881" s="37"/>
      <c r="AF881" s="37"/>
      <c r="AG881" s="14"/>
      <c r="AH881" s="14"/>
      <c r="AI881" s="14"/>
      <c r="AZ881" s="24"/>
    </row>
    <row r="882">
      <c r="B882" s="24"/>
      <c r="E882" s="113"/>
      <c r="F882" s="266"/>
      <c r="G882" s="113"/>
      <c r="K882" s="36"/>
      <c r="L882" s="117"/>
      <c r="M882" s="128"/>
      <c r="N882" s="117"/>
      <c r="R882" s="117"/>
      <c r="T882" s="117"/>
      <c r="V882" s="117"/>
      <c r="X882" s="117"/>
      <c r="Y882" s="10"/>
      <c r="Z882" s="11"/>
      <c r="AA882" s="36"/>
      <c r="AB882" s="36"/>
      <c r="AC882" s="13"/>
      <c r="AD882" s="13"/>
      <c r="AE882" s="37"/>
      <c r="AF882" s="37"/>
      <c r="AG882" s="14"/>
      <c r="AH882" s="14"/>
      <c r="AI882" s="14"/>
      <c r="AZ882" s="24"/>
    </row>
    <row r="883">
      <c r="B883" s="24"/>
      <c r="E883" s="113"/>
      <c r="F883" s="266"/>
      <c r="G883" s="113"/>
      <c r="K883" s="36"/>
      <c r="L883" s="117"/>
      <c r="M883" s="128"/>
      <c r="N883" s="117"/>
      <c r="R883" s="117"/>
      <c r="T883" s="117"/>
      <c r="V883" s="117"/>
      <c r="X883" s="117"/>
      <c r="Y883" s="10"/>
      <c r="Z883" s="11"/>
      <c r="AA883" s="36"/>
      <c r="AB883" s="36"/>
      <c r="AC883" s="13"/>
      <c r="AD883" s="13"/>
      <c r="AE883" s="37"/>
      <c r="AF883" s="37"/>
      <c r="AG883" s="14"/>
      <c r="AH883" s="14"/>
      <c r="AI883" s="14"/>
      <c r="AZ883" s="24"/>
    </row>
    <row r="884">
      <c r="B884" s="24"/>
      <c r="E884" s="113"/>
      <c r="F884" s="266"/>
      <c r="G884" s="113"/>
      <c r="K884" s="36"/>
      <c r="L884" s="117"/>
      <c r="M884" s="128"/>
      <c r="N884" s="117"/>
      <c r="R884" s="117"/>
      <c r="T884" s="117"/>
      <c r="V884" s="117"/>
      <c r="X884" s="117"/>
      <c r="Y884" s="10"/>
      <c r="Z884" s="11"/>
      <c r="AA884" s="36"/>
      <c r="AB884" s="36"/>
      <c r="AC884" s="13"/>
      <c r="AD884" s="13"/>
      <c r="AE884" s="37"/>
      <c r="AF884" s="37"/>
      <c r="AG884" s="14"/>
      <c r="AH884" s="14"/>
      <c r="AI884" s="14"/>
      <c r="AZ884" s="24"/>
    </row>
    <row r="885">
      <c r="B885" s="24"/>
      <c r="E885" s="113"/>
      <c r="F885" s="266"/>
      <c r="G885" s="113"/>
      <c r="K885" s="36"/>
      <c r="L885" s="117"/>
      <c r="M885" s="128"/>
      <c r="N885" s="117"/>
      <c r="R885" s="117"/>
      <c r="T885" s="117"/>
      <c r="V885" s="117"/>
      <c r="X885" s="117"/>
      <c r="Y885" s="10"/>
      <c r="Z885" s="11"/>
      <c r="AA885" s="36"/>
      <c r="AB885" s="36"/>
      <c r="AC885" s="13"/>
      <c r="AD885" s="13"/>
      <c r="AE885" s="37"/>
      <c r="AF885" s="37"/>
      <c r="AG885" s="14"/>
      <c r="AH885" s="14"/>
      <c r="AI885" s="14"/>
      <c r="AZ885" s="24"/>
    </row>
    <row r="886">
      <c r="B886" s="24"/>
      <c r="E886" s="113"/>
      <c r="F886" s="266"/>
      <c r="G886" s="113"/>
      <c r="K886" s="36"/>
      <c r="L886" s="117"/>
      <c r="M886" s="128"/>
      <c r="N886" s="117"/>
      <c r="R886" s="117"/>
      <c r="T886" s="117"/>
      <c r="V886" s="117"/>
      <c r="X886" s="117"/>
      <c r="Y886" s="10"/>
      <c r="Z886" s="11"/>
      <c r="AA886" s="36"/>
      <c r="AB886" s="36"/>
      <c r="AC886" s="13"/>
      <c r="AD886" s="13"/>
      <c r="AE886" s="37"/>
      <c r="AF886" s="37"/>
      <c r="AG886" s="14"/>
      <c r="AH886" s="14"/>
      <c r="AI886" s="14"/>
      <c r="AZ886" s="24"/>
    </row>
    <row r="887">
      <c r="B887" s="24"/>
      <c r="E887" s="113"/>
      <c r="F887" s="266"/>
      <c r="G887" s="113"/>
      <c r="K887" s="36"/>
      <c r="L887" s="117"/>
      <c r="M887" s="128"/>
      <c r="N887" s="117"/>
      <c r="R887" s="117"/>
      <c r="T887" s="117"/>
      <c r="V887" s="117"/>
      <c r="X887" s="117"/>
      <c r="Y887" s="10"/>
      <c r="Z887" s="11"/>
      <c r="AA887" s="36"/>
      <c r="AB887" s="36"/>
      <c r="AC887" s="13"/>
      <c r="AD887" s="13"/>
      <c r="AE887" s="37"/>
      <c r="AF887" s="37"/>
      <c r="AG887" s="14"/>
      <c r="AH887" s="14"/>
      <c r="AI887" s="14"/>
      <c r="AZ887" s="24"/>
    </row>
    <row r="888">
      <c r="B888" s="24"/>
      <c r="E888" s="113"/>
      <c r="F888" s="266"/>
      <c r="G888" s="113"/>
      <c r="K888" s="36"/>
      <c r="L888" s="117"/>
      <c r="M888" s="128"/>
      <c r="N888" s="117"/>
      <c r="R888" s="117"/>
      <c r="T888" s="117"/>
      <c r="V888" s="117"/>
      <c r="X888" s="117"/>
      <c r="Y888" s="10"/>
      <c r="Z888" s="11"/>
      <c r="AA888" s="36"/>
      <c r="AB888" s="36"/>
      <c r="AC888" s="13"/>
      <c r="AD888" s="13"/>
      <c r="AE888" s="37"/>
      <c r="AF888" s="37"/>
      <c r="AG888" s="14"/>
      <c r="AH888" s="14"/>
      <c r="AI888" s="14"/>
      <c r="AZ888" s="24"/>
    </row>
    <row r="889">
      <c r="B889" s="24"/>
      <c r="E889" s="113"/>
      <c r="F889" s="266"/>
      <c r="G889" s="113"/>
      <c r="K889" s="36"/>
      <c r="L889" s="117"/>
      <c r="M889" s="128"/>
      <c r="N889" s="117"/>
      <c r="R889" s="117"/>
      <c r="T889" s="117"/>
      <c r="V889" s="117"/>
      <c r="X889" s="117"/>
      <c r="Y889" s="10"/>
      <c r="Z889" s="11"/>
      <c r="AA889" s="36"/>
      <c r="AB889" s="36"/>
      <c r="AC889" s="13"/>
      <c r="AD889" s="13"/>
      <c r="AE889" s="37"/>
      <c r="AF889" s="37"/>
      <c r="AG889" s="14"/>
      <c r="AH889" s="14"/>
      <c r="AI889" s="14"/>
      <c r="AZ889" s="24"/>
    </row>
    <row r="890">
      <c r="B890" s="24"/>
      <c r="E890" s="113"/>
      <c r="F890" s="266"/>
      <c r="G890" s="113"/>
      <c r="K890" s="36"/>
      <c r="L890" s="117"/>
      <c r="M890" s="128"/>
      <c r="N890" s="117"/>
      <c r="R890" s="117"/>
      <c r="T890" s="117"/>
      <c r="V890" s="117"/>
      <c r="X890" s="117"/>
      <c r="Y890" s="10"/>
      <c r="Z890" s="11"/>
      <c r="AA890" s="36"/>
      <c r="AB890" s="36"/>
      <c r="AC890" s="13"/>
      <c r="AD890" s="13"/>
      <c r="AE890" s="37"/>
      <c r="AF890" s="37"/>
      <c r="AG890" s="14"/>
      <c r="AH890" s="14"/>
      <c r="AI890" s="14"/>
      <c r="AZ890" s="24"/>
    </row>
    <row r="891">
      <c r="B891" s="24"/>
      <c r="E891" s="113"/>
      <c r="F891" s="266"/>
      <c r="G891" s="113"/>
      <c r="K891" s="36"/>
      <c r="L891" s="117"/>
      <c r="M891" s="128"/>
      <c r="N891" s="117"/>
      <c r="R891" s="117"/>
      <c r="T891" s="117"/>
      <c r="V891" s="117"/>
      <c r="X891" s="117"/>
      <c r="Y891" s="10"/>
      <c r="Z891" s="11"/>
      <c r="AA891" s="36"/>
      <c r="AB891" s="36"/>
      <c r="AC891" s="13"/>
      <c r="AD891" s="13"/>
      <c r="AE891" s="37"/>
      <c r="AF891" s="37"/>
      <c r="AG891" s="14"/>
      <c r="AH891" s="14"/>
      <c r="AI891" s="14"/>
      <c r="AZ891" s="24"/>
    </row>
    <row r="892">
      <c r="B892" s="24"/>
      <c r="E892" s="113"/>
      <c r="F892" s="266"/>
      <c r="G892" s="113"/>
      <c r="K892" s="36"/>
      <c r="L892" s="117"/>
      <c r="M892" s="128"/>
      <c r="N892" s="117"/>
      <c r="R892" s="117"/>
      <c r="T892" s="117"/>
      <c r="V892" s="117"/>
      <c r="X892" s="117"/>
      <c r="Y892" s="10"/>
      <c r="Z892" s="11"/>
      <c r="AA892" s="36"/>
      <c r="AB892" s="36"/>
      <c r="AC892" s="13"/>
      <c r="AD892" s="13"/>
      <c r="AE892" s="37"/>
      <c r="AF892" s="37"/>
      <c r="AG892" s="14"/>
      <c r="AH892" s="14"/>
      <c r="AI892" s="14"/>
      <c r="AZ892" s="24"/>
    </row>
    <row r="893">
      <c r="B893" s="24"/>
      <c r="E893" s="113"/>
      <c r="F893" s="266"/>
      <c r="G893" s="113"/>
      <c r="K893" s="36"/>
      <c r="L893" s="117"/>
      <c r="M893" s="128"/>
      <c r="N893" s="117"/>
      <c r="R893" s="117"/>
      <c r="T893" s="117"/>
      <c r="V893" s="117"/>
      <c r="X893" s="117"/>
      <c r="Y893" s="10"/>
      <c r="Z893" s="11"/>
      <c r="AA893" s="36"/>
      <c r="AB893" s="36"/>
      <c r="AC893" s="13"/>
      <c r="AD893" s="13"/>
      <c r="AE893" s="37"/>
      <c r="AF893" s="37"/>
      <c r="AG893" s="14"/>
      <c r="AH893" s="14"/>
      <c r="AI893" s="14"/>
      <c r="AZ893" s="24"/>
    </row>
    <row r="894">
      <c r="B894" s="24"/>
      <c r="E894" s="113"/>
      <c r="F894" s="266"/>
      <c r="G894" s="113"/>
      <c r="K894" s="36"/>
      <c r="L894" s="117"/>
      <c r="M894" s="128"/>
      <c r="N894" s="117"/>
      <c r="R894" s="117"/>
      <c r="T894" s="117"/>
      <c r="V894" s="117"/>
      <c r="X894" s="117"/>
      <c r="Y894" s="10"/>
      <c r="Z894" s="11"/>
      <c r="AA894" s="36"/>
      <c r="AB894" s="36"/>
      <c r="AC894" s="13"/>
      <c r="AD894" s="13"/>
      <c r="AE894" s="37"/>
      <c r="AF894" s="37"/>
      <c r="AG894" s="14"/>
      <c r="AH894" s="14"/>
      <c r="AI894" s="14"/>
      <c r="AZ894" s="24"/>
    </row>
    <row r="895">
      <c r="B895" s="24"/>
      <c r="E895" s="113"/>
      <c r="F895" s="266"/>
      <c r="G895" s="113"/>
      <c r="K895" s="36"/>
      <c r="L895" s="117"/>
      <c r="M895" s="128"/>
      <c r="N895" s="117"/>
      <c r="R895" s="117"/>
      <c r="T895" s="117"/>
      <c r="V895" s="117"/>
      <c r="X895" s="117"/>
      <c r="Y895" s="10"/>
      <c r="Z895" s="11"/>
      <c r="AA895" s="36"/>
      <c r="AB895" s="36"/>
      <c r="AC895" s="13"/>
      <c r="AD895" s="13"/>
      <c r="AE895" s="37"/>
      <c r="AF895" s="37"/>
      <c r="AG895" s="14"/>
      <c r="AH895" s="14"/>
      <c r="AI895" s="14"/>
      <c r="AZ895" s="24"/>
    </row>
    <row r="896">
      <c r="B896" s="24"/>
      <c r="E896" s="113"/>
      <c r="F896" s="266"/>
      <c r="G896" s="113"/>
      <c r="K896" s="36"/>
      <c r="L896" s="117"/>
      <c r="M896" s="128"/>
      <c r="N896" s="117"/>
      <c r="R896" s="117"/>
      <c r="T896" s="117"/>
      <c r="V896" s="117"/>
      <c r="X896" s="117"/>
      <c r="Y896" s="10"/>
      <c r="Z896" s="11"/>
      <c r="AA896" s="36"/>
      <c r="AB896" s="36"/>
      <c r="AC896" s="13"/>
      <c r="AD896" s="13"/>
      <c r="AE896" s="37"/>
      <c r="AF896" s="37"/>
      <c r="AG896" s="14"/>
      <c r="AH896" s="14"/>
      <c r="AI896" s="14"/>
      <c r="AZ896" s="24"/>
    </row>
    <row r="897">
      <c r="B897" s="24"/>
      <c r="E897" s="113"/>
      <c r="F897" s="266"/>
      <c r="G897" s="113"/>
      <c r="K897" s="36"/>
      <c r="L897" s="117"/>
      <c r="M897" s="128"/>
      <c r="N897" s="117"/>
      <c r="R897" s="117"/>
      <c r="T897" s="117"/>
      <c r="V897" s="117"/>
      <c r="X897" s="117"/>
      <c r="Y897" s="10"/>
      <c r="Z897" s="11"/>
      <c r="AA897" s="36"/>
      <c r="AB897" s="36"/>
      <c r="AC897" s="13"/>
      <c r="AD897" s="13"/>
      <c r="AE897" s="37"/>
      <c r="AF897" s="37"/>
      <c r="AG897" s="14"/>
      <c r="AH897" s="14"/>
      <c r="AI897" s="14"/>
      <c r="AZ897" s="24"/>
    </row>
    <row r="898">
      <c r="B898" s="24"/>
      <c r="E898" s="113"/>
      <c r="F898" s="266"/>
      <c r="G898" s="113"/>
      <c r="K898" s="36"/>
      <c r="L898" s="117"/>
      <c r="M898" s="128"/>
      <c r="N898" s="117"/>
      <c r="R898" s="117"/>
      <c r="T898" s="117"/>
      <c r="V898" s="117"/>
      <c r="X898" s="117"/>
      <c r="Y898" s="10"/>
      <c r="Z898" s="11"/>
      <c r="AA898" s="36"/>
      <c r="AB898" s="36"/>
      <c r="AC898" s="13"/>
      <c r="AD898" s="13"/>
      <c r="AE898" s="37"/>
      <c r="AF898" s="37"/>
      <c r="AG898" s="14"/>
      <c r="AH898" s="14"/>
      <c r="AI898" s="14"/>
      <c r="AZ898" s="24"/>
    </row>
    <row r="899">
      <c r="B899" s="24"/>
      <c r="E899" s="113"/>
      <c r="F899" s="266"/>
      <c r="G899" s="113"/>
      <c r="K899" s="36"/>
      <c r="L899" s="117"/>
      <c r="M899" s="128"/>
      <c r="N899" s="117"/>
      <c r="R899" s="117"/>
      <c r="T899" s="117"/>
      <c r="V899" s="117"/>
      <c r="X899" s="117"/>
      <c r="Y899" s="10"/>
      <c r="Z899" s="11"/>
      <c r="AA899" s="36"/>
      <c r="AB899" s="36"/>
      <c r="AC899" s="13"/>
      <c r="AD899" s="13"/>
      <c r="AE899" s="37"/>
      <c r="AF899" s="37"/>
      <c r="AG899" s="14"/>
      <c r="AH899" s="14"/>
      <c r="AI899" s="14"/>
      <c r="AZ899" s="24"/>
    </row>
    <row r="900">
      <c r="B900" s="24"/>
      <c r="E900" s="113"/>
      <c r="F900" s="266"/>
      <c r="G900" s="113"/>
      <c r="K900" s="36"/>
      <c r="L900" s="117"/>
      <c r="M900" s="128"/>
      <c r="N900" s="117"/>
      <c r="R900" s="117"/>
      <c r="T900" s="117"/>
      <c r="V900" s="117"/>
      <c r="X900" s="117"/>
      <c r="Y900" s="10"/>
      <c r="Z900" s="11"/>
      <c r="AA900" s="36"/>
      <c r="AB900" s="36"/>
      <c r="AC900" s="13"/>
      <c r="AD900" s="13"/>
      <c r="AE900" s="37"/>
      <c r="AF900" s="37"/>
      <c r="AG900" s="14"/>
      <c r="AH900" s="14"/>
      <c r="AI900" s="14"/>
      <c r="AZ900" s="24"/>
    </row>
    <row r="901">
      <c r="B901" s="24"/>
      <c r="E901" s="113"/>
      <c r="F901" s="266"/>
      <c r="G901" s="113"/>
      <c r="K901" s="36"/>
      <c r="L901" s="117"/>
      <c r="M901" s="128"/>
      <c r="N901" s="117"/>
      <c r="R901" s="117"/>
      <c r="T901" s="117"/>
      <c r="V901" s="117"/>
      <c r="X901" s="117"/>
      <c r="Y901" s="10"/>
      <c r="Z901" s="11"/>
      <c r="AA901" s="36"/>
      <c r="AB901" s="36"/>
      <c r="AC901" s="13"/>
      <c r="AD901" s="13"/>
      <c r="AE901" s="37"/>
      <c r="AF901" s="37"/>
      <c r="AG901" s="14"/>
      <c r="AH901" s="14"/>
      <c r="AI901" s="14"/>
      <c r="AZ901" s="24"/>
    </row>
    <row r="902">
      <c r="B902" s="24"/>
      <c r="E902" s="113"/>
      <c r="F902" s="266"/>
      <c r="G902" s="113"/>
      <c r="K902" s="36"/>
      <c r="L902" s="117"/>
      <c r="M902" s="128"/>
      <c r="N902" s="117"/>
      <c r="R902" s="117"/>
      <c r="T902" s="117"/>
      <c r="V902" s="117"/>
      <c r="X902" s="117"/>
      <c r="Y902" s="10"/>
      <c r="Z902" s="11"/>
      <c r="AA902" s="36"/>
      <c r="AB902" s="36"/>
      <c r="AC902" s="13"/>
      <c r="AD902" s="13"/>
      <c r="AE902" s="37"/>
      <c r="AF902" s="37"/>
      <c r="AG902" s="14"/>
      <c r="AH902" s="14"/>
      <c r="AI902" s="14"/>
      <c r="AZ902" s="24"/>
    </row>
    <row r="903">
      <c r="B903" s="24"/>
      <c r="E903" s="113"/>
      <c r="F903" s="266"/>
      <c r="G903" s="113"/>
      <c r="K903" s="36"/>
      <c r="L903" s="117"/>
      <c r="M903" s="128"/>
      <c r="N903" s="117"/>
      <c r="R903" s="117"/>
      <c r="T903" s="117"/>
      <c r="V903" s="117"/>
      <c r="X903" s="117"/>
      <c r="Y903" s="10"/>
      <c r="Z903" s="11"/>
      <c r="AA903" s="36"/>
      <c r="AB903" s="36"/>
      <c r="AC903" s="13"/>
      <c r="AD903" s="13"/>
      <c r="AE903" s="37"/>
      <c r="AF903" s="37"/>
      <c r="AG903" s="14"/>
      <c r="AH903" s="14"/>
      <c r="AI903" s="14"/>
      <c r="AZ903" s="24"/>
    </row>
    <row r="904">
      <c r="B904" s="24"/>
      <c r="E904" s="113"/>
      <c r="F904" s="266"/>
      <c r="G904" s="113"/>
      <c r="K904" s="36"/>
      <c r="L904" s="117"/>
      <c r="M904" s="128"/>
      <c r="N904" s="117"/>
      <c r="R904" s="117"/>
      <c r="T904" s="117"/>
      <c r="V904" s="117"/>
      <c r="X904" s="117"/>
      <c r="Y904" s="10"/>
      <c r="Z904" s="11"/>
      <c r="AA904" s="36"/>
      <c r="AB904" s="36"/>
      <c r="AC904" s="13"/>
      <c r="AD904" s="13"/>
      <c r="AE904" s="37"/>
      <c r="AF904" s="37"/>
      <c r="AG904" s="14"/>
      <c r="AH904" s="14"/>
      <c r="AI904" s="14"/>
      <c r="AZ904" s="24"/>
    </row>
    <row r="905">
      <c r="B905" s="24"/>
      <c r="E905" s="113"/>
      <c r="F905" s="266"/>
      <c r="G905" s="113"/>
      <c r="K905" s="36"/>
      <c r="L905" s="117"/>
      <c r="M905" s="128"/>
      <c r="N905" s="117"/>
      <c r="R905" s="117"/>
      <c r="T905" s="117"/>
      <c r="V905" s="117"/>
      <c r="X905" s="117"/>
      <c r="Y905" s="10"/>
      <c r="Z905" s="11"/>
      <c r="AA905" s="36"/>
      <c r="AB905" s="36"/>
      <c r="AC905" s="13"/>
      <c r="AD905" s="13"/>
      <c r="AE905" s="37"/>
      <c r="AF905" s="37"/>
      <c r="AG905" s="14"/>
      <c r="AH905" s="14"/>
      <c r="AI905" s="14"/>
      <c r="AZ905" s="24"/>
    </row>
    <row r="906">
      <c r="B906" s="24"/>
      <c r="E906" s="113"/>
      <c r="F906" s="266"/>
      <c r="G906" s="113"/>
      <c r="K906" s="36"/>
      <c r="L906" s="117"/>
      <c r="M906" s="128"/>
      <c r="N906" s="117"/>
      <c r="R906" s="117"/>
      <c r="T906" s="117"/>
      <c r="V906" s="117"/>
      <c r="X906" s="117"/>
      <c r="Y906" s="10"/>
      <c r="Z906" s="11"/>
      <c r="AA906" s="36"/>
      <c r="AB906" s="36"/>
      <c r="AC906" s="13"/>
      <c r="AD906" s="13"/>
      <c r="AE906" s="37"/>
      <c r="AF906" s="37"/>
      <c r="AG906" s="14"/>
      <c r="AH906" s="14"/>
      <c r="AI906" s="14"/>
      <c r="AZ906" s="24"/>
    </row>
    <row r="907">
      <c r="B907" s="24"/>
      <c r="E907" s="113"/>
      <c r="F907" s="266"/>
      <c r="G907" s="113"/>
      <c r="K907" s="36"/>
      <c r="L907" s="117"/>
      <c r="M907" s="128"/>
      <c r="N907" s="117"/>
      <c r="R907" s="117"/>
      <c r="T907" s="117"/>
      <c r="V907" s="117"/>
      <c r="X907" s="117"/>
      <c r="Y907" s="10"/>
      <c r="Z907" s="11"/>
      <c r="AA907" s="36"/>
      <c r="AB907" s="36"/>
      <c r="AC907" s="13"/>
      <c r="AD907" s="13"/>
      <c r="AE907" s="37"/>
      <c r="AF907" s="37"/>
      <c r="AG907" s="14"/>
      <c r="AH907" s="14"/>
      <c r="AI907" s="14"/>
      <c r="AZ907" s="24"/>
    </row>
    <row r="908">
      <c r="B908" s="24"/>
      <c r="E908" s="113"/>
      <c r="F908" s="266"/>
      <c r="G908" s="113"/>
      <c r="K908" s="36"/>
      <c r="L908" s="117"/>
      <c r="M908" s="128"/>
      <c r="N908" s="117"/>
      <c r="R908" s="117"/>
      <c r="T908" s="117"/>
      <c r="V908" s="117"/>
      <c r="X908" s="117"/>
      <c r="Y908" s="10"/>
      <c r="Z908" s="11"/>
      <c r="AA908" s="36"/>
      <c r="AB908" s="36"/>
      <c r="AC908" s="13"/>
      <c r="AD908" s="13"/>
      <c r="AE908" s="37"/>
      <c r="AF908" s="37"/>
      <c r="AG908" s="14"/>
      <c r="AH908" s="14"/>
      <c r="AI908" s="14"/>
      <c r="AZ908" s="24"/>
    </row>
    <row r="909">
      <c r="B909" s="24"/>
      <c r="E909" s="113"/>
      <c r="F909" s="266"/>
      <c r="G909" s="113"/>
      <c r="K909" s="36"/>
      <c r="L909" s="117"/>
      <c r="M909" s="128"/>
      <c r="N909" s="117"/>
      <c r="R909" s="117"/>
      <c r="T909" s="117"/>
      <c r="V909" s="117"/>
      <c r="X909" s="117"/>
      <c r="Y909" s="10"/>
      <c r="Z909" s="11"/>
      <c r="AA909" s="36"/>
      <c r="AB909" s="36"/>
      <c r="AC909" s="13"/>
      <c r="AD909" s="13"/>
      <c r="AE909" s="37"/>
      <c r="AF909" s="37"/>
      <c r="AG909" s="14"/>
      <c r="AH909" s="14"/>
      <c r="AI909" s="14"/>
      <c r="AZ909" s="24"/>
    </row>
    <row r="910">
      <c r="B910" s="24"/>
      <c r="E910" s="113"/>
      <c r="F910" s="266"/>
      <c r="G910" s="113"/>
      <c r="K910" s="36"/>
      <c r="L910" s="117"/>
      <c r="M910" s="128"/>
      <c r="N910" s="117"/>
      <c r="R910" s="117"/>
      <c r="T910" s="117"/>
      <c r="V910" s="117"/>
      <c r="X910" s="117"/>
      <c r="Y910" s="10"/>
      <c r="Z910" s="11"/>
      <c r="AA910" s="36"/>
      <c r="AB910" s="36"/>
      <c r="AC910" s="13"/>
      <c r="AD910" s="13"/>
      <c r="AE910" s="37"/>
      <c r="AF910" s="37"/>
      <c r="AG910" s="14"/>
      <c r="AH910" s="14"/>
      <c r="AI910" s="14"/>
      <c r="AZ910" s="24"/>
    </row>
    <row r="911">
      <c r="B911" s="24"/>
      <c r="E911" s="113"/>
      <c r="F911" s="266"/>
      <c r="G911" s="113"/>
      <c r="K911" s="36"/>
      <c r="L911" s="117"/>
      <c r="M911" s="128"/>
      <c r="N911" s="117"/>
      <c r="R911" s="117"/>
      <c r="T911" s="117"/>
      <c r="V911" s="117"/>
      <c r="X911" s="117"/>
      <c r="Y911" s="10"/>
      <c r="Z911" s="11"/>
      <c r="AA911" s="36"/>
      <c r="AB911" s="36"/>
      <c r="AC911" s="13"/>
      <c r="AD911" s="13"/>
      <c r="AE911" s="37"/>
      <c r="AF911" s="37"/>
      <c r="AG911" s="14"/>
      <c r="AH911" s="14"/>
      <c r="AI911" s="14"/>
      <c r="AZ911" s="24"/>
    </row>
    <row r="912">
      <c r="B912" s="24"/>
      <c r="E912" s="113"/>
      <c r="F912" s="266"/>
      <c r="G912" s="113"/>
      <c r="K912" s="36"/>
      <c r="L912" s="117"/>
      <c r="M912" s="128"/>
      <c r="N912" s="117"/>
      <c r="R912" s="117"/>
      <c r="T912" s="117"/>
      <c r="V912" s="117"/>
      <c r="X912" s="117"/>
      <c r="Y912" s="10"/>
      <c r="Z912" s="11"/>
      <c r="AA912" s="36"/>
      <c r="AB912" s="36"/>
      <c r="AC912" s="13"/>
      <c r="AD912" s="13"/>
      <c r="AE912" s="37"/>
      <c r="AF912" s="37"/>
      <c r="AG912" s="14"/>
      <c r="AH912" s="14"/>
      <c r="AI912" s="14"/>
      <c r="AZ912" s="24"/>
    </row>
    <row r="913">
      <c r="B913" s="24"/>
      <c r="E913" s="113"/>
      <c r="F913" s="266"/>
      <c r="G913" s="113"/>
      <c r="K913" s="36"/>
      <c r="L913" s="117"/>
      <c r="M913" s="128"/>
      <c r="N913" s="117"/>
      <c r="R913" s="117"/>
      <c r="T913" s="117"/>
      <c r="V913" s="117"/>
      <c r="X913" s="117"/>
      <c r="Y913" s="10"/>
      <c r="Z913" s="11"/>
      <c r="AA913" s="36"/>
      <c r="AB913" s="36"/>
      <c r="AC913" s="13"/>
      <c r="AD913" s="13"/>
      <c r="AE913" s="37"/>
      <c r="AF913" s="37"/>
      <c r="AG913" s="14"/>
      <c r="AH913" s="14"/>
      <c r="AI913" s="14"/>
      <c r="AZ913" s="24"/>
    </row>
    <row r="914">
      <c r="B914" s="24"/>
      <c r="E914" s="113"/>
      <c r="F914" s="266"/>
      <c r="G914" s="113"/>
      <c r="K914" s="36"/>
      <c r="L914" s="117"/>
      <c r="M914" s="128"/>
      <c r="N914" s="117"/>
      <c r="R914" s="117"/>
      <c r="T914" s="117"/>
      <c r="V914" s="117"/>
      <c r="X914" s="117"/>
      <c r="Y914" s="10"/>
      <c r="Z914" s="11"/>
      <c r="AA914" s="36"/>
      <c r="AB914" s="36"/>
      <c r="AC914" s="13"/>
      <c r="AD914" s="13"/>
      <c r="AE914" s="37"/>
      <c r="AF914" s="37"/>
      <c r="AG914" s="14"/>
      <c r="AH914" s="14"/>
      <c r="AI914" s="14"/>
      <c r="AZ914" s="24"/>
    </row>
    <row r="915">
      <c r="B915" s="24"/>
      <c r="E915" s="113"/>
      <c r="F915" s="266"/>
      <c r="G915" s="113"/>
      <c r="K915" s="36"/>
      <c r="L915" s="117"/>
      <c r="M915" s="128"/>
      <c r="N915" s="117"/>
      <c r="R915" s="117"/>
      <c r="T915" s="117"/>
      <c r="V915" s="117"/>
      <c r="X915" s="117"/>
      <c r="Y915" s="10"/>
      <c r="Z915" s="11"/>
      <c r="AA915" s="36"/>
      <c r="AB915" s="36"/>
      <c r="AC915" s="13"/>
      <c r="AD915" s="13"/>
      <c r="AE915" s="37"/>
      <c r="AF915" s="37"/>
      <c r="AG915" s="14"/>
      <c r="AH915" s="14"/>
      <c r="AI915" s="14"/>
      <c r="AZ915" s="24"/>
    </row>
    <row r="916">
      <c r="B916" s="24"/>
      <c r="E916" s="113"/>
      <c r="F916" s="266"/>
      <c r="G916" s="113"/>
      <c r="K916" s="36"/>
      <c r="L916" s="117"/>
      <c r="M916" s="128"/>
      <c r="N916" s="117"/>
      <c r="R916" s="117"/>
      <c r="T916" s="117"/>
      <c r="V916" s="117"/>
      <c r="X916" s="117"/>
      <c r="Y916" s="10"/>
      <c r="Z916" s="11"/>
      <c r="AA916" s="36"/>
      <c r="AB916" s="36"/>
      <c r="AC916" s="13"/>
      <c r="AD916" s="13"/>
      <c r="AE916" s="37"/>
      <c r="AF916" s="37"/>
      <c r="AG916" s="14"/>
      <c r="AH916" s="14"/>
      <c r="AI916" s="14"/>
      <c r="AZ916" s="24"/>
    </row>
    <row r="917">
      <c r="B917" s="24"/>
      <c r="E917" s="113"/>
      <c r="F917" s="266"/>
      <c r="G917" s="113"/>
      <c r="K917" s="36"/>
      <c r="L917" s="117"/>
      <c r="M917" s="128"/>
      <c r="N917" s="117"/>
      <c r="R917" s="117"/>
      <c r="T917" s="117"/>
      <c r="V917" s="117"/>
      <c r="X917" s="117"/>
      <c r="Y917" s="10"/>
      <c r="Z917" s="11"/>
      <c r="AA917" s="36"/>
      <c r="AB917" s="36"/>
      <c r="AC917" s="13"/>
      <c r="AD917" s="13"/>
      <c r="AE917" s="37"/>
      <c r="AF917" s="37"/>
      <c r="AG917" s="14"/>
      <c r="AH917" s="14"/>
      <c r="AI917" s="14"/>
      <c r="AZ917" s="24"/>
    </row>
    <row r="918">
      <c r="B918" s="24"/>
      <c r="E918" s="113"/>
      <c r="F918" s="266"/>
      <c r="G918" s="113"/>
      <c r="K918" s="36"/>
      <c r="L918" s="117"/>
      <c r="M918" s="128"/>
      <c r="N918" s="117"/>
      <c r="R918" s="117"/>
      <c r="T918" s="117"/>
      <c r="V918" s="117"/>
      <c r="X918" s="117"/>
      <c r="Y918" s="10"/>
      <c r="Z918" s="11"/>
      <c r="AA918" s="36"/>
      <c r="AB918" s="36"/>
      <c r="AC918" s="13"/>
      <c r="AD918" s="13"/>
      <c r="AE918" s="37"/>
      <c r="AF918" s="37"/>
      <c r="AG918" s="14"/>
      <c r="AH918" s="14"/>
      <c r="AI918" s="14"/>
      <c r="AZ918" s="24"/>
    </row>
    <row r="919">
      <c r="B919" s="24"/>
      <c r="E919" s="113"/>
      <c r="F919" s="266"/>
      <c r="G919" s="113"/>
      <c r="K919" s="36"/>
      <c r="L919" s="117"/>
      <c r="M919" s="128"/>
      <c r="N919" s="117"/>
      <c r="R919" s="117"/>
      <c r="T919" s="117"/>
      <c r="V919" s="117"/>
      <c r="X919" s="117"/>
      <c r="Y919" s="10"/>
      <c r="Z919" s="11"/>
      <c r="AA919" s="36"/>
      <c r="AB919" s="36"/>
      <c r="AC919" s="13"/>
      <c r="AD919" s="13"/>
      <c r="AE919" s="37"/>
      <c r="AF919" s="37"/>
      <c r="AG919" s="14"/>
      <c r="AH919" s="14"/>
      <c r="AI919" s="14"/>
      <c r="AZ919" s="24"/>
    </row>
    <row r="920">
      <c r="B920" s="24"/>
      <c r="E920" s="113"/>
      <c r="F920" s="266"/>
      <c r="G920" s="113"/>
      <c r="K920" s="36"/>
      <c r="L920" s="117"/>
      <c r="M920" s="128"/>
      <c r="N920" s="117"/>
      <c r="R920" s="117"/>
      <c r="T920" s="117"/>
      <c r="V920" s="117"/>
      <c r="X920" s="117"/>
      <c r="Y920" s="10"/>
      <c r="Z920" s="11"/>
      <c r="AA920" s="36"/>
      <c r="AB920" s="36"/>
      <c r="AC920" s="13"/>
      <c r="AD920" s="13"/>
      <c r="AE920" s="37"/>
      <c r="AF920" s="37"/>
      <c r="AG920" s="14"/>
      <c r="AH920" s="14"/>
      <c r="AI920" s="14"/>
      <c r="AZ920" s="24"/>
    </row>
    <row r="921">
      <c r="B921" s="24"/>
      <c r="E921" s="113"/>
      <c r="F921" s="266"/>
      <c r="G921" s="113"/>
      <c r="K921" s="36"/>
      <c r="L921" s="117"/>
      <c r="M921" s="128"/>
      <c r="N921" s="117"/>
      <c r="R921" s="117"/>
      <c r="T921" s="117"/>
      <c r="V921" s="117"/>
      <c r="X921" s="117"/>
      <c r="Y921" s="10"/>
      <c r="Z921" s="11"/>
      <c r="AA921" s="36"/>
      <c r="AB921" s="36"/>
      <c r="AC921" s="13"/>
      <c r="AD921" s="13"/>
      <c r="AE921" s="37"/>
      <c r="AF921" s="37"/>
      <c r="AG921" s="14"/>
      <c r="AH921" s="14"/>
      <c r="AI921" s="14"/>
      <c r="AZ921" s="24"/>
    </row>
    <row r="922">
      <c r="B922" s="24"/>
      <c r="E922" s="113"/>
      <c r="F922" s="266"/>
      <c r="G922" s="113"/>
      <c r="K922" s="36"/>
      <c r="L922" s="117"/>
      <c r="M922" s="128"/>
      <c r="N922" s="117"/>
      <c r="R922" s="117"/>
      <c r="T922" s="117"/>
      <c r="V922" s="117"/>
      <c r="X922" s="117"/>
      <c r="Y922" s="10"/>
      <c r="Z922" s="11"/>
      <c r="AA922" s="36"/>
      <c r="AB922" s="36"/>
      <c r="AC922" s="13"/>
      <c r="AD922" s="13"/>
      <c r="AE922" s="37"/>
      <c r="AF922" s="37"/>
      <c r="AG922" s="14"/>
      <c r="AH922" s="14"/>
      <c r="AI922" s="14"/>
      <c r="AZ922" s="24"/>
    </row>
    <row r="923">
      <c r="B923" s="24"/>
      <c r="E923" s="113"/>
      <c r="F923" s="266"/>
      <c r="G923" s="113"/>
      <c r="K923" s="36"/>
      <c r="L923" s="117"/>
      <c r="M923" s="128"/>
      <c r="N923" s="117"/>
      <c r="R923" s="117"/>
      <c r="T923" s="117"/>
      <c r="V923" s="117"/>
      <c r="X923" s="117"/>
      <c r="Y923" s="10"/>
      <c r="Z923" s="11"/>
      <c r="AA923" s="36"/>
      <c r="AB923" s="36"/>
      <c r="AC923" s="13"/>
      <c r="AD923" s="13"/>
      <c r="AE923" s="37"/>
      <c r="AF923" s="37"/>
      <c r="AG923" s="14"/>
      <c r="AH923" s="14"/>
      <c r="AI923" s="14"/>
      <c r="AZ923" s="24"/>
    </row>
    <row r="924">
      <c r="B924" s="24"/>
      <c r="E924" s="113"/>
      <c r="F924" s="266"/>
      <c r="G924" s="113"/>
      <c r="K924" s="36"/>
      <c r="L924" s="117"/>
      <c r="M924" s="128"/>
      <c r="N924" s="117"/>
      <c r="R924" s="117"/>
      <c r="T924" s="117"/>
      <c r="V924" s="117"/>
      <c r="X924" s="117"/>
      <c r="Y924" s="10"/>
      <c r="Z924" s="11"/>
      <c r="AA924" s="36"/>
      <c r="AB924" s="36"/>
      <c r="AC924" s="13"/>
      <c r="AD924" s="13"/>
      <c r="AE924" s="37"/>
      <c r="AF924" s="37"/>
      <c r="AG924" s="14"/>
      <c r="AH924" s="14"/>
      <c r="AI924" s="14"/>
      <c r="AZ924" s="24"/>
    </row>
    <row r="925">
      <c r="B925" s="24"/>
      <c r="E925" s="113"/>
      <c r="F925" s="266"/>
      <c r="G925" s="113"/>
      <c r="K925" s="36"/>
      <c r="L925" s="117"/>
      <c r="M925" s="128"/>
      <c r="N925" s="117"/>
      <c r="R925" s="117"/>
      <c r="T925" s="117"/>
      <c r="V925" s="117"/>
      <c r="X925" s="117"/>
      <c r="Y925" s="10"/>
      <c r="Z925" s="11"/>
      <c r="AA925" s="36"/>
      <c r="AB925" s="36"/>
      <c r="AC925" s="13"/>
      <c r="AD925" s="13"/>
      <c r="AE925" s="37"/>
      <c r="AF925" s="37"/>
      <c r="AG925" s="14"/>
      <c r="AH925" s="14"/>
      <c r="AI925" s="14"/>
      <c r="AZ925" s="24"/>
    </row>
    <row r="926">
      <c r="B926" s="24"/>
      <c r="E926" s="113"/>
      <c r="F926" s="266"/>
      <c r="G926" s="113"/>
      <c r="K926" s="36"/>
      <c r="L926" s="117"/>
      <c r="M926" s="128"/>
      <c r="N926" s="117"/>
      <c r="R926" s="117"/>
      <c r="T926" s="117"/>
      <c r="V926" s="117"/>
      <c r="X926" s="117"/>
      <c r="Y926" s="10"/>
      <c r="Z926" s="11"/>
      <c r="AA926" s="36"/>
      <c r="AB926" s="36"/>
      <c r="AC926" s="13"/>
      <c r="AD926" s="13"/>
      <c r="AE926" s="37"/>
      <c r="AF926" s="37"/>
      <c r="AG926" s="14"/>
      <c r="AH926" s="14"/>
      <c r="AI926" s="14"/>
      <c r="AZ926" s="24"/>
    </row>
    <row r="927">
      <c r="B927" s="24"/>
      <c r="E927" s="113"/>
      <c r="F927" s="266"/>
      <c r="G927" s="113"/>
      <c r="K927" s="36"/>
      <c r="L927" s="117"/>
      <c r="M927" s="128"/>
      <c r="N927" s="117"/>
      <c r="R927" s="117"/>
      <c r="T927" s="117"/>
      <c r="V927" s="117"/>
      <c r="X927" s="117"/>
      <c r="Y927" s="10"/>
      <c r="Z927" s="11"/>
      <c r="AA927" s="36"/>
      <c r="AB927" s="36"/>
      <c r="AC927" s="13"/>
      <c r="AD927" s="13"/>
      <c r="AE927" s="37"/>
      <c r="AF927" s="37"/>
      <c r="AG927" s="14"/>
      <c r="AH927" s="14"/>
      <c r="AI927" s="14"/>
      <c r="AZ927" s="24"/>
    </row>
    <row r="928">
      <c r="B928" s="24"/>
      <c r="E928" s="113"/>
      <c r="F928" s="266"/>
      <c r="G928" s="113"/>
      <c r="K928" s="36"/>
      <c r="L928" s="117"/>
      <c r="M928" s="128"/>
      <c r="N928" s="117"/>
      <c r="R928" s="117"/>
      <c r="T928" s="117"/>
      <c r="V928" s="117"/>
      <c r="X928" s="117"/>
      <c r="Y928" s="10"/>
      <c r="Z928" s="11"/>
      <c r="AA928" s="36"/>
      <c r="AB928" s="36"/>
      <c r="AC928" s="13"/>
      <c r="AD928" s="13"/>
      <c r="AE928" s="37"/>
      <c r="AF928" s="37"/>
      <c r="AG928" s="14"/>
      <c r="AH928" s="14"/>
      <c r="AI928" s="14"/>
      <c r="AZ928" s="24"/>
    </row>
    <row r="929">
      <c r="B929" s="24"/>
      <c r="E929" s="113"/>
      <c r="F929" s="266"/>
      <c r="G929" s="113"/>
      <c r="K929" s="36"/>
      <c r="L929" s="117"/>
      <c r="M929" s="128"/>
      <c r="N929" s="117"/>
      <c r="R929" s="117"/>
      <c r="T929" s="117"/>
      <c r="V929" s="117"/>
      <c r="X929" s="117"/>
      <c r="Y929" s="10"/>
      <c r="Z929" s="11"/>
      <c r="AA929" s="36"/>
      <c r="AB929" s="36"/>
      <c r="AC929" s="13"/>
      <c r="AD929" s="13"/>
      <c r="AE929" s="37"/>
      <c r="AF929" s="37"/>
      <c r="AG929" s="14"/>
      <c r="AH929" s="14"/>
      <c r="AI929" s="14"/>
      <c r="AZ929" s="24"/>
    </row>
    <row r="930">
      <c r="B930" s="24"/>
      <c r="E930" s="113"/>
      <c r="F930" s="266"/>
      <c r="G930" s="113"/>
      <c r="K930" s="36"/>
      <c r="L930" s="117"/>
      <c r="M930" s="128"/>
      <c r="N930" s="117"/>
      <c r="R930" s="117"/>
      <c r="T930" s="117"/>
      <c r="V930" s="117"/>
      <c r="X930" s="117"/>
      <c r="Y930" s="10"/>
      <c r="Z930" s="11"/>
      <c r="AA930" s="36"/>
      <c r="AB930" s="36"/>
      <c r="AC930" s="13"/>
      <c r="AD930" s="13"/>
      <c r="AE930" s="37"/>
      <c r="AF930" s="37"/>
      <c r="AG930" s="14"/>
      <c r="AH930" s="14"/>
      <c r="AI930" s="14"/>
      <c r="AZ930" s="24"/>
    </row>
    <row r="931">
      <c r="B931" s="24"/>
      <c r="E931" s="113"/>
      <c r="F931" s="266"/>
      <c r="G931" s="113"/>
      <c r="K931" s="36"/>
      <c r="L931" s="117"/>
      <c r="M931" s="128"/>
      <c r="N931" s="117"/>
      <c r="R931" s="117"/>
      <c r="T931" s="117"/>
      <c r="V931" s="117"/>
      <c r="X931" s="117"/>
      <c r="Y931" s="10"/>
      <c r="Z931" s="11"/>
      <c r="AA931" s="36"/>
      <c r="AB931" s="36"/>
      <c r="AC931" s="13"/>
      <c r="AD931" s="13"/>
      <c r="AE931" s="37"/>
      <c r="AF931" s="37"/>
      <c r="AG931" s="14"/>
      <c r="AH931" s="14"/>
      <c r="AI931" s="14"/>
      <c r="AZ931" s="24"/>
    </row>
    <row r="932">
      <c r="B932" s="24"/>
      <c r="E932" s="113"/>
      <c r="F932" s="266"/>
      <c r="G932" s="113"/>
      <c r="K932" s="36"/>
      <c r="L932" s="117"/>
      <c r="M932" s="128"/>
      <c r="N932" s="117"/>
      <c r="R932" s="117"/>
      <c r="T932" s="117"/>
      <c r="V932" s="117"/>
      <c r="X932" s="117"/>
      <c r="Y932" s="10"/>
      <c r="Z932" s="11"/>
      <c r="AA932" s="36"/>
      <c r="AB932" s="36"/>
      <c r="AC932" s="13"/>
      <c r="AD932" s="13"/>
      <c r="AE932" s="37"/>
      <c r="AF932" s="37"/>
      <c r="AG932" s="14"/>
      <c r="AH932" s="14"/>
      <c r="AI932" s="14"/>
      <c r="AZ932" s="24"/>
    </row>
    <row r="933">
      <c r="B933" s="24"/>
      <c r="E933" s="113"/>
      <c r="F933" s="266"/>
      <c r="G933" s="113"/>
      <c r="K933" s="36"/>
      <c r="L933" s="117"/>
      <c r="M933" s="128"/>
      <c r="N933" s="117"/>
      <c r="R933" s="117"/>
      <c r="T933" s="117"/>
      <c r="V933" s="117"/>
      <c r="X933" s="117"/>
      <c r="Y933" s="10"/>
      <c r="Z933" s="11"/>
      <c r="AA933" s="36"/>
      <c r="AB933" s="36"/>
      <c r="AC933" s="13"/>
      <c r="AD933" s="13"/>
      <c r="AE933" s="37"/>
      <c r="AF933" s="37"/>
      <c r="AG933" s="14"/>
      <c r="AH933" s="14"/>
      <c r="AI933" s="14"/>
      <c r="AZ933" s="24"/>
    </row>
    <row r="934">
      <c r="B934" s="24"/>
      <c r="E934" s="113"/>
      <c r="F934" s="266"/>
      <c r="G934" s="113"/>
      <c r="K934" s="36"/>
      <c r="L934" s="117"/>
      <c r="M934" s="128"/>
      <c r="N934" s="117"/>
      <c r="R934" s="117"/>
      <c r="T934" s="117"/>
      <c r="V934" s="117"/>
      <c r="X934" s="117"/>
      <c r="Y934" s="10"/>
      <c r="Z934" s="11"/>
      <c r="AA934" s="36"/>
      <c r="AB934" s="36"/>
      <c r="AC934" s="13"/>
      <c r="AD934" s="13"/>
      <c r="AE934" s="37"/>
      <c r="AF934" s="37"/>
      <c r="AG934" s="14"/>
      <c r="AH934" s="14"/>
      <c r="AI934" s="14"/>
      <c r="AZ934" s="24"/>
    </row>
    <row r="935">
      <c r="B935" s="24"/>
      <c r="E935" s="113"/>
      <c r="F935" s="266"/>
      <c r="G935" s="113"/>
      <c r="K935" s="36"/>
      <c r="L935" s="117"/>
      <c r="M935" s="128"/>
      <c r="N935" s="117"/>
      <c r="R935" s="117"/>
      <c r="T935" s="117"/>
      <c r="V935" s="117"/>
      <c r="X935" s="117"/>
      <c r="Y935" s="10"/>
      <c r="Z935" s="11"/>
      <c r="AA935" s="36"/>
      <c r="AB935" s="36"/>
      <c r="AC935" s="13"/>
      <c r="AD935" s="13"/>
      <c r="AE935" s="37"/>
      <c r="AF935" s="37"/>
      <c r="AG935" s="14"/>
      <c r="AH935" s="14"/>
      <c r="AI935" s="14"/>
      <c r="AZ935" s="24"/>
    </row>
    <row r="936">
      <c r="B936" s="24"/>
      <c r="E936" s="113"/>
      <c r="F936" s="266"/>
      <c r="G936" s="113"/>
      <c r="K936" s="36"/>
      <c r="L936" s="117"/>
      <c r="M936" s="128"/>
      <c r="N936" s="117"/>
      <c r="R936" s="117"/>
      <c r="T936" s="117"/>
      <c r="V936" s="117"/>
      <c r="X936" s="117"/>
      <c r="Y936" s="10"/>
      <c r="Z936" s="11"/>
      <c r="AA936" s="36"/>
      <c r="AB936" s="36"/>
      <c r="AC936" s="13"/>
      <c r="AD936" s="13"/>
      <c r="AE936" s="37"/>
      <c r="AF936" s="37"/>
      <c r="AG936" s="14"/>
      <c r="AH936" s="14"/>
      <c r="AI936" s="14"/>
      <c r="AZ936" s="24"/>
    </row>
    <row r="937">
      <c r="B937" s="24"/>
      <c r="E937" s="113"/>
      <c r="F937" s="266"/>
      <c r="G937" s="113"/>
      <c r="K937" s="36"/>
      <c r="L937" s="117"/>
      <c r="M937" s="128"/>
      <c r="N937" s="117"/>
      <c r="R937" s="117"/>
      <c r="T937" s="117"/>
      <c r="V937" s="117"/>
      <c r="X937" s="117"/>
      <c r="Y937" s="10"/>
      <c r="Z937" s="11"/>
      <c r="AA937" s="36"/>
      <c r="AB937" s="36"/>
      <c r="AC937" s="13"/>
      <c r="AD937" s="13"/>
      <c r="AE937" s="37"/>
      <c r="AF937" s="37"/>
      <c r="AG937" s="14"/>
      <c r="AH937" s="14"/>
      <c r="AI937" s="14"/>
      <c r="AZ937" s="24"/>
    </row>
    <row r="938">
      <c r="B938" s="24"/>
      <c r="E938" s="113"/>
      <c r="F938" s="266"/>
      <c r="G938" s="113"/>
      <c r="K938" s="36"/>
      <c r="L938" s="117"/>
      <c r="M938" s="128"/>
      <c r="N938" s="117"/>
      <c r="R938" s="117"/>
      <c r="T938" s="117"/>
      <c r="V938" s="117"/>
      <c r="X938" s="117"/>
      <c r="Y938" s="10"/>
      <c r="Z938" s="11"/>
      <c r="AA938" s="36"/>
      <c r="AB938" s="36"/>
      <c r="AC938" s="13"/>
      <c r="AD938" s="13"/>
      <c r="AE938" s="37"/>
      <c r="AF938" s="37"/>
      <c r="AG938" s="14"/>
      <c r="AH938" s="14"/>
      <c r="AI938" s="14"/>
      <c r="AZ938" s="24"/>
    </row>
    <row r="939">
      <c r="B939" s="24"/>
      <c r="E939" s="113"/>
      <c r="F939" s="266"/>
      <c r="G939" s="113"/>
      <c r="K939" s="36"/>
      <c r="L939" s="117"/>
      <c r="M939" s="128"/>
      <c r="N939" s="117"/>
      <c r="R939" s="117"/>
      <c r="T939" s="117"/>
      <c r="V939" s="117"/>
      <c r="X939" s="117"/>
      <c r="Y939" s="10"/>
      <c r="Z939" s="11"/>
      <c r="AA939" s="36"/>
      <c r="AB939" s="36"/>
      <c r="AC939" s="13"/>
      <c r="AD939" s="13"/>
      <c r="AE939" s="37"/>
      <c r="AF939" s="37"/>
      <c r="AG939" s="14"/>
      <c r="AH939" s="14"/>
      <c r="AI939" s="14"/>
      <c r="AZ939" s="24"/>
    </row>
    <row r="940">
      <c r="B940" s="24"/>
      <c r="E940" s="113"/>
      <c r="F940" s="266"/>
      <c r="G940" s="113"/>
      <c r="K940" s="36"/>
      <c r="L940" s="117"/>
      <c r="M940" s="128"/>
      <c r="N940" s="117"/>
      <c r="R940" s="117"/>
      <c r="T940" s="117"/>
      <c r="V940" s="117"/>
      <c r="X940" s="117"/>
      <c r="Y940" s="10"/>
      <c r="Z940" s="11"/>
      <c r="AA940" s="36"/>
      <c r="AB940" s="36"/>
      <c r="AC940" s="13"/>
      <c r="AD940" s="13"/>
      <c r="AE940" s="37"/>
      <c r="AF940" s="37"/>
      <c r="AG940" s="14"/>
      <c r="AH940" s="14"/>
      <c r="AI940" s="14"/>
      <c r="AZ940" s="24"/>
    </row>
    <row r="941">
      <c r="B941" s="24"/>
      <c r="E941" s="113"/>
      <c r="F941" s="266"/>
      <c r="G941" s="113"/>
      <c r="K941" s="36"/>
      <c r="L941" s="117"/>
      <c r="M941" s="128"/>
      <c r="N941" s="117"/>
      <c r="R941" s="117"/>
      <c r="T941" s="117"/>
      <c r="V941" s="117"/>
      <c r="X941" s="117"/>
      <c r="Y941" s="10"/>
      <c r="Z941" s="11"/>
      <c r="AA941" s="36"/>
      <c r="AB941" s="36"/>
      <c r="AC941" s="13"/>
      <c r="AD941" s="13"/>
      <c r="AE941" s="37"/>
      <c r="AF941" s="37"/>
      <c r="AG941" s="14"/>
      <c r="AH941" s="14"/>
      <c r="AI941" s="14"/>
      <c r="AZ941" s="24"/>
    </row>
    <row r="942">
      <c r="B942" s="24"/>
      <c r="E942" s="113"/>
      <c r="F942" s="266"/>
      <c r="G942" s="113"/>
      <c r="K942" s="36"/>
      <c r="L942" s="117"/>
      <c r="M942" s="128"/>
      <c r="N942" s="117"/>
      <c r="R942" s="117"/>
      <c r="T942" s="117"/>
      <c r="V942" s="117"/>
      <c r="X942" s="117"/>
      <c r="Y942" s="10"/>
      <c r="Z942" s="11"/>
      <c r="AA942" s="36"/>
      <c r="AB942" s="36"/>
      <c r="AC942" s="13"/>
      <c r="AD942" s="13"/>
      <c r="AE942" s="37"/>
      <c r="AF942" s="37"/>
      <c r="AG942" s="14"/>
      <c r="AH942" s="14"/>
      <c r="AI942" s="14"/>
      <c r="AZ942" s="24"/>
    </row>
    <row r="943">
      <c r="B943" s="24"/>
      <c r="E943" s="113"/>
      <c r="F943" s="266"/>
      <c r="G943" s="113"/>
      <c r="K943" s="36"/>
      <c r="L943" s="117"/>
      <c r="M943" s="128"/>
      <c r="N943" s="117"/>
      <c r="R943" s="117"/>
      <c r="T943" s="117"/>
      <c r="V943" s="117"/>
      <c r="X943" s="117"/>
      <c r="Y943" s="10"/>
      <c r="Z943" s="11"/>
      <c r="AA943" s="36"/>
      <c r="AB943" s="36"/>
      <c r="AC943" s="13"/>
      <c r="AD943" s="13"/>
      <c r="AE943" s="37"/>
      <c r="AF943" s="37"/>
      <c r="AG943" s="14"/>
      <c r="AH943" s="14"/>
      <c r="AI943" s="14"/>
      <c r="AZ943" s="24"/>
    </row>
    <row r="944">
      <c r="B944" s="24"/>
      <c r="E944" s="113"/>
      <c r="F944" s="266"/>
      <c r="G944" s="113"/>
      <c r="K944" s="36"/>
      <c r="L944" s="117"/>
      <c r="M944" s="128"/>
      <c r="N944" s="117"/>
      <c r="R944" s="117"/>
      <c r="T944" s="117"/>
      <c r="V944" s="117"/>
      <c r="X944" s="117"/>
      <c r="Y944" s="10"/>
      <c r="Z944" s="11"/>
      <c r="AA944" s="36"/>
      <c r="AB944" s="36"/>
      <c r="AC944" s="13"/>
      <c r="AD944" s="13"/>
      <c r="AE944" s="37"/>
      <c r="AF944" s="37"/>
      <c r="AG944" s="14"/>
      <c r="AH944" s="14"/>
      <c r="AI944" s="14"/>
      <c r="AZ944" s="24"/>
    </row>
    <row r="945">
      <c r="B945" s="24"/>
      <c r="E945" s="113"/>
      <c r="F945" s="266"/>
      <c r="G945" s="113"/>
      <c r="K945" s="36"/>
      <c r="L945" s="117"/>
      <c r="M945" s="128"/>
      <c r="N945" s="117"/>
      <c r="R945" s="117"/>
      <c r="T945" s="117"/>
      <c r="V945" s="117"/>
      <c r="X945" s="117"/>
      <c r="Y945" s="10"/>
      <c r="Z945" s="11"/>
      <c r="AA945" s="36"/>
      <c r="AB945" s="36"/>
      <c r="AC945" s="13"/>
      <c r="AD945" s="13"/>
      <c r="AE945" s="37"/>
      <c r="AF945" s="37"/>
      <c r="AG945" s="14"/>
      <c r="AH945" s="14"/>
      <c r="AI945" s="14"/>
      <c r="AZ945" s="24"/>
    </row>
    <row r="946">
      <c r="B946" s="24"/>
      <c r="E946" s="113"/>
      <c r="F946" s="266"/>
      <c r="G946" s="113"/>
      <c r="K946" s="36"/>
      <c r="L946" s="117"/>
      <c r="M946" s="128"/>
      <c r="N946" s="117"/>
      <c r="R946" s="117"/>
      <c r="T946" s="117"/>
      <c r="V946" s="117"/>
      <c r="X946" s="117"/>
      <c r="Y946" s="10"/>
      <c r="Z946" s="11"/>
      <c r="AA946" s="36"/>
      <c r="AB946" s="36"/>
      <c r="AC946" s="13"/>
      <c r="AD946" s="13"/>
      <c r="AE946" s="37"/>
      <c r="AF946" s="37"/>
      <c r="AG946" s="14"/>
      <c r="AH946" s="14"/>
      <c r="AI946" s="14"/>
      <c r="AZ946" s="24"/>
    </row>
    <row r="947">
      <c r="B947" s="24"/>
      <c r="E947" s="113"/>
      <c r="F947" s="266"/>
      <c r="G947" s="113"/>
      <c r="K947" s="36"/>
      <c r="L947" s="117"/>
      <c r="M947" s="128"/>
      <c r="N947" s="117"/>
      <c r="R947" s="117"/>
      <c r="T947" s="117"/>
      <c r="V947" s="117"/>
      <c r="X947" s="117"/>
      <c r="Y947" s="10"/>
      <c r="Z947" s="11"/>
      <c r="AA947" s="36"/>
      <c r="AB947" s="36"/>
      <c r="AC947" s="13"/>
      <c r="AD947" s="13"/>
      <c r="AE947" s="37"/>
      <c r="AF947" s="37"/>
      <c r="AG947" s="14"/>
      <c r="AH947" s="14"/>
      <c r="AI947" s="14"/>
      <c r="AZ947" s="24"/>
    </row>
    <row r="948">
      <c r="B948" s="24"/>
      <c r="E948" s="113"/>
      <c r="F948" s="266"/>
      <c r="G948" s="113"/>
      <c r="K948" s="36"/>
      <c r="L948" s="117"/>
      <c r="M948" s="128"/>
      <c r="N948" s="117"/>
      <c r="R948" s="117"/>
      <c r="T948" s="117"/>
      <c r="V948" s="117"/>
      <c r="X948" s="117"/>
      <c r="Y948" s="10"/>
      <c r="Z948" s="11"/>
      <c r="AA948" s="36"/>
      <c r="AB948" s="36"/>
      <c r="AC948" s="13"/>
      <c r="AD948" s="13"/>
      <c r="AE948" s="37"/>
      <c r="AF948" s="37"/>
      <c r="AG948" s="14"/>
      <c r="AH948" s="14"/>
      <c r="AI948" s="14"/>
      <c r="AZ948" s="24"/>
    </row>
    <row r="949">
      <c r="B949" s="24"/>
      <c r="E949" s="113"/>
      <c r="F949" s="266"/>
      <c r="G949" s="113"/>
      <c r="K949" s="36"/>
      <c r="L949" s="117"/>
      <c r="M949" s="128"/>
      <c r="N949" s="117"/>
      <c r="R949" s="117"/>
      <c r="T949" s="117"/>
      <c r="V949" s="117"/>
      <c r="X949" s="117"/>
      <c r="Y949" s="10"/>
      <c r="Z949" s="11"/>
      <c r="AA949" s="36"/>
      <c r="AB949" s="36"/>
      <c r="AC949" s="13"/>
      <c r="AD949" s="13"/>
      <c r="AE949" s="37"/>
      <c r="AF949" s="37"/>
      <c r="AG949" s="14"/>
      <c r="AH949" s="14"/>
      <c r="AI949" s="14"/>
      <c r="AZ949" s="24"/>
    </row>
    <row r="950">
      <c r="B950" s="24"/>
      <c r="E950" s="113"/>
      <c r="F950" s="266"/>
      <c r="G950" s="113"/>
      <c r="K950" s="36"/>
      <c r="L950" s="117"/>
      <c r="M950" s="128"/>
      <c r="N950" s="117"/>
      <c r="R950" s="117"/>
      <c r="T950" s="117"/>
      <c r="V950" s="117"/>
      <c r="X950" s="117"/>
      <c r="Y950" s="10"/>
      <c r="Z950" s="11"/>
      <c r="AA950" s="36"/>
      <c r="AB950" s="36"/>
      <c r="AC950" s="13"/>
      <c r="AD950" s="13"/>
      <c r="AE950" s="37"/>
      <c r="AF950" s="37"/>
      <c r="AG950" s="14"/>
      <c r="AH950" s="14"/>
      <c r="AI950" s="14"/>
      <c r="AZ950" s="24"/>
    </row>
    <row r="951">
      <c r="B951" s="24"/>
      <c r="E951" s="113"/>
      <c r="F951" s="266"/>
      <c r="G951" s="113"/>
      <c r="K951" s="36"/>
      <c r="L951" s="117"/>
      <c r="M951" s="128"/>
      <c r="N951" s="117"/>
      <c r="R951" s="117"/>
      <c r="T951" s="117"/>
      <c r="V951" s="117"/>
      <c r="X951" s="117"/>
      <c r="Y951" s="10"/>
      <c r="Z951" s="11"/>
      <c r="AA951" s="36"/>
      <c r="AB951" s="36"/>
      <c r="AC951" s="13"/>
      <c r="AD951" s="13"/>
      <c r="AE951" s="37"/>
      <c r="AF951" s="37"/>
      <c r="AG951" s="14"/>
      <c r="AH951" s="14"/>
      <c r="AI951" s="14"/>
      <c r="AZ951" s="24"/>
    </row>
    <row r="952">
      <c r="B952" s="24"/>
      <c r="E952" s="113"/>
      <c r="F952" s="266"/>
      <c r="G952" s="113"/>
      <c r="K952" s="36"/>
      <c r="L952" s="117"/>
      <c r="M952" s="128"/>
      <c r="N952" s="117"/>
      <c r="R952" s="117"/>
      <c r="T952" s="117"/>
      <c r="V952" s="117"/>
      <c r="X952" s="117"/>
      <c r="Y952" s="10"/>
      <c r="Z952" s="11"/>
      <c r="AA952" s="36"/>
      <c r="AB952" s="36"/>
      <c r="AC952" s="13"/>
      <c r="AD952" s="13"/>
      <c r="AE952" s="37"/>
      <c r="AF952" s="37"/>
      <c r="AG952" s="14"/>
      <c r="AH952" s="14"/>
      <c r="AI952" s="14"/>
      <c r="AZ952" s="24"/>
    </row>
    <row r="953">
      <c r="B953" s="24"/>
      <c r="E953" s="113"/>
      <c r="F953" s="266"/>
      <c r="G953" s="113"/>
      <c r="K953" s="36"/>
      <c r="L953" s="117"/>
      <c r="M953" s="128"/>
      <c r="N953" s="117"/>
      <c r="R953" s="117"/>
      <c r="T953" s="117"/>
      <c r="V953" s="117"/>
      <c r="X953" s="117"/>
      <c r="Y953" s="10"/>
      <c r="Z953" s="11"/>
      <c r="AA953" s="36"/>
      <c r="AB953" s="36"/>
      <c r="AC953" s="13"/>
      <c r="AD953" s="13"/>
      <c r="AE953" s="37"/>
      <c r="AF953" s="37"/>
      <c r="AG953" s="14"/>
      <c r="AH953" s="14"/>
      <c r="AI953" s="14"/>
      <c r="AZ953" s="24"/>
    </row>
    <row r="954">
      <c r="B954" s="24"/>
      <c r="E954" s="113"/>
      <c r="F954" s="266"/>
      <c r="G954" s="113"/>
      <c r="K954" s="36"/>
      <c r="L954" s="117"/>
      <c r="M954" s="128"/>
      <c r="N954" s="117"/>
      <c r="R954" s="117"/>
      <c r="T954" s="117"/>
      <c r="V954" s="117"/>
      <c r="X954" s="117"/>
      <c r="Y954" s="10"/>
      <c r="Z954" s="11"/>
      <c r="AA954" s="36"/>
      <c r="AB954" s="36"/>
      <c r="AC954" s="13"/>
      <c r="AD954" s="13"/>
      <c r="AE954" s="37"/>
      <c r="AF954" s="37"/>
      <c r="AG954" s="14"/>
      <c r="AH954" s="14"/>
      <c r="AI954" s="14"/>
      <c r="AZ954" s="24"/>
    </row>
    <row r="955">
      <c r="B955" s="24"/>
      <c r="E955" s="113"/>
      <c r="F955" s="266"/>
      <c r="G955" s="113"/>
      <c r="K955" s="36"/>
      <c r="L955" s="117"/>
      <c r="M955" s="128"/>
      <c r="N955" s="117"/>
      <c r="R955" s="117"/>
      <c r="T955" s="117"/>
      <c r="V955" s="117"/>
      <c r="X955" s="117"/>
      <c r="Y955" s="10"/>
      <c r="Z955" s="11"/>
      <c r="AA955" s="36"/>
      <c r="AB955" s="36"/>
      <c r="AC955" s="13"/>
      <c r="AD955" s="13"/>
      <c r="AE955" s="37"/>
      <c r="AF955" s="37"/>
      <c r="AG955" s="14"/>
      <c r="AH955" s="14"/>
      <c r="AI955" s="14"/>
      <c r="AZ955" s="24"/>
    </row>
    <row r="956">
      <c r="B956" s="24"/>
      <c r="E956" s="113"/>
      <c r="F956" s="266"/>
      <c r="G956" s="113"/>
      <c r="K956" s="36"/>
      <c r="L956" s="117"/>
      <c r="M956" s="128"/>
      <c r="N956" s="117"/>
      <c r="R956" s="117"/>
      <c r="T956" s="117"/>
      <c r="V956" s="117"/>
      <c r="X956" s="117"/>
      <c r="Y956" s="10"/>
      <c r="Z956" s="11"/>
      <c r="AA956" s="36"/>
      <c r="AB956" s="36"/>
      <c r="AC956" s="13"/>
      <c r="AD956" s="13"/>
      <c r="AE956" s="37"/>
      <c r="AF956" s="37"/>
      <c r="AG956" s="14"/>
      <c r="AH956" s="14"/>
      <c r="AI956" s="14"/>
      <c r="AZ956" s="24"/>
    </row>
    <row r="957">
      <c r="B957" s="24"/>
      <c r="E957" s="113"/>
      <c r="F957" s="266"/>
      <c r="G957" s="113"/>
      <c r="K957" s="36"/>
      <c r="L957" s="117"/>
      <c r="M957" s="128"/>
      <c r="N957" s="117"/>
      <c r="R957" s="117"/>
      <c r="T957" s="117"/>
      <c r="V957" s="117"/>
      <c r="X957" s="117"/>
      <c r="Y957" s="10"/>
      <c r="Z957" s="11"/>
      <c r="AA957" s="36"/>
      <c r="AB957" s="36"/>
      <c r="AC957" s="13"/>
      <c r="AD957" s="13"/>
      <c r="AE957" s="37"/>
      <c r="AF957" s="37"/>
      <c r="AG957" s="14"/>
      <c r="AH957" s="14"/>
      <c r="AI957" s="14"/>
      <c r="AZ957" s="24"/>
    </row>
    <row r="958">
      <c r="B958" s="24"/>
      <c r="E958" s="113"/>
      <c r="F958" s="266"/>
      <c r="G958" s="113"/>
      <c r="K958" s="36"/>
      <c r="L958" s="117"/>
      <c r="M958" s="128"/>
      <c r="N958" s="117"/>
      <c r="R958" s="117"/>
      <c r="T958" s="117"/>
      <c r="V958" s="117"/>
      <c r="X958" s="117"/>
      <c r="Y958" s="10"/>
      <c r="Z958" s="11"/>
      <c r="AA958" s="36"/>
      <c r="AB958" s="36"/>
      <c r="AC958" s="13"/>
      <c r="AD958" s="13"/>
      <c r="AE958" s="37"/>
      <c r="AF958" s="37"/>
      <c r="AG958" s="14"/>
      <c r="AH958" s="14"/>
      <c r="AI958" s="14"/>
      <c r="AZ958" s="24"/>
    </row>
    <row r="959">
      <c r="B959" s="24"/>
      <c r="E959" s="113"/>
      <c r="F959" s="266"/>
      <c r="G959" s="113"/>
      <c r="K959" s="36"/>
      <c r="L959" s="117"/>
      <c r="M959" s="128"/>
      <c r="N959" s="117"/>
      <c r="R959" s="117"/>
      <c r="T959" s="117"/>
      <c r="V959" s="117"/>
      <c r="X959" s="117"/>
      <c r="Y959" s="10"/>
      <c r="Z959" s="11"/>
      <c r="AA959" s="36"/>
      <c r="AB959" s="36"/>
      <c r="AC959" s="13"/>
      <c r="AD959" s="13"/>
      <c r="AE959" s="37"/>
      <c r="AF959" s="37"/>
      <c r="AG959" s="14"/>
      <c r="AH959" s="14"/>
      <c r="AI959" s="14"/>
      <c r="AZ959" s="24"/>
    </row>
    <row r="960">
      <c r="B960" s="24"/>
      <c r="E960" s="113"/>
      <c r="F960" s="266"/>
      <c r="G960" s="113"/>
      <c r="K960" s="36"/>
      <c r="L960" s="117"/>
      <c r="M960" s="128"/>
      <c r="N960" s="117"/>
      <c r="R960" s="117"/>
      <c r="T960" s="117"/>
      <c r="V960" s="117"/>
      <c r="X960" s="117"/>
      <c r="Y960" s="10"/>
      <c r="Z960" s="11"/>
      <c r="AA960" s="36"/>
      <c r="AB960" s="36"/>
      <c r="AC960" s="13"/>
      <c r="AD960" s="13"/>
      <c r="AE960" s="37"/>
      <c r="AF960" s="37"/>
      <c r="AG960" s="14"/>
      <c r="AH960" s="14"/>
      <c r="AI960" s="14"/>
      <c r="AZ960" s="24"/>
    </row>
    <row r="961">
      <c r="B961" s="24"/>
      <c r="E961" s="113"/>
      <c r="F961" s="266"/>
      <c r="G961" s="113"/>
      <c r="K961" s="36"/>
      <c r="L961" s="117"/>
      <c r="M961" s="128"/>
      <c r="N961" s="117"/>
      <c r="R961" s="117"/>
      <c r="T961" s="117"/>
      <c r="V961" s="117"/>
      <c r="X961" s="117"/>
      <c r="Y961" s="10"/>
      <c r="Z961" s="11"/>
      <c r="AA961" s="36"/>
      <c r="AB961" s="36"/>
      <c r="AC961" s="13"/>
      <c r="AD961" s="13"/>
      <c r="AE961" s="37"/>
      <c r="AF961" s="37"/>
      <c r="AG961" s="14"/>
      <c r="AH961" s="14"/>
      <c r="AI961" s="14"/>
      <c r="AZ961" s="24"/>
    </row>
    <row r="962">
      <c r="B962" s="24"/>
      <c r="E962" s="113"/>
      <c r="F962" s="266"/>
      <c r="G962" s="113"/>
      <c r="K962" s="36"/>
      <c r="L962" s="117"/>
      <c r="M962" s="128"/>
      <c r="N962" s="117"/>
      <c r="R962" s="117"/>
      <c r="T962" s="117"/>
      <c r="V962" s="117"/>
      <c r="X962" s="117"/>
      <c r="Y962" s="10"/>
      <c r="Z962" s="11"/>
      <c r="AA962" s="36"/>
      <c r="AB962" s="36"/>
      <c r="AC962" s="13"/>
      <c r="AD962" s="13"/>
      <c r="AE962" s="37"/>
      <c r="AF962" s="37"/>
      <c r="AG962" s="14"/>
      <c r="AH962" s="14"/>
      <c r="AI962" s="14"/>
      <c r="AZ962" s="24"/>
    </row>
    <row r="963">
      <c r="B963" s="24"/>
      <c r="E963" s="113"/>
      <c r="F963" s="266"/>
      <c r="G963" s="113"/>
      <c r="K963" s="36"/>
      <c r="L963" s="117"/>
      <c r="M963" s="128"/>
      <c r="N963" s="117"/>
      <c r="R963" s="117"/>
      <c r="T963" s="117"/>
      <c r="V963" s="117"/>
      <c r="X963" s="117"/>
      <c r="Y963" s="10"/>
      <c r="Z963" s="11"/>
      <c r="AA963" s="36"/>
      <c r="AB963" s="36"/>
      <c r="AC963" s="13"/>
      <c r="AD963" s="13"/>
      <c r="AE963" s="37"/>
      <c r="AF963" s="37"/>
      <c r="AG963" s="14"/>
      <c r="AH963" s="14"/>
      <c r="AI963" s="14"/>
      <c r="AZ963" s="24"/>
    </row>
    <row r="964">
      <c r="B964" s="24"/>
      <c r="E964" s="113"/>
      <c r="F964" s="266"/>
      <c r="G964" s="113"/>
      <c r="K964" s="36"/>
      <c r="L964" s="117"/>
      <c r="M964" s="128"/>
      <c r="N964" s="117"/>
      <c r="R964" s="117"/>
      <c r="T964" s="117"/>
      <c r="V964" s="117"/>
      <c r="X964" s="117"/>
      <c r="Y964" s="10"/>
      <c r="Z964" s="11"/>
      <c r="AA964" s="36"/>
      <c r="AB964" s="36"/>
      <c r="AC964" s="13"/>
      <c r="AD964" s="13"/>
      <c r="AE964" s="37"/>
      <c r="AF964" s="37"/>
      <c r="AG964" s="14"/>
      <c r="AH964" s="14"/>
      <c r="AI964" s="14"/>
      <c r="AZ964" s="24"/>
    </row>
    <row r="965">
      <c r="B965" s="24"/>
      <c r="E965" s="113"/>
      <c r="F965" s="266"/>
      <c r="G965" s="113"/>
      <c r="K965" s="36"/>
      <c r="L965" s="117"/>
      <c r="M965" s="128"/>
      <c r="N965" s="117"/>
      <c r="R965" s="117"/>
      <c r="T965" s="117"/>
      <c r="V965" s="117"/>
      <c r="X965" s="117"/>
      <c r="Y965" s="10"/>
      <c r="Z965" s="11"/>
      <c r="AA965" s="36"/>
      <c r="AB965" s="36"/>
      <c r="AC965" s="13"/>
      <c r="AD965" s="13"/>
      <c r="AE965" s="37"/>
      <c r="AF965" s="37"/>
      <c r="AG965" s="14"/>
      <c r="AH965" s="14"/>
      <c r="AI965" s="14"/>
      <c r="AZ965" s="24"/>
    </row>
    <row r="966">
      <c r="B966" s="24"/>
      <c r="E966" s="113"/>
      <c r="F966" s="266"/>
      <c r="G966" s="113"/>
      <c r="K966" s="36"/>
      <c r="L966" s="117"/>
      <c r="M966" s="128"/>
      <c r="N966" s="117"/>
      <c r="R966" s="117"/>
      <c r="T966" s="117"/>
      <c r="V966" s="117"/>
      <c r="X966" s="117"/>
      <c r="Y966" s="10"/>
      <c r="Z966" s="11"/>
      <c r="AA966" s="36"/>
      <c r="AB966" s="36"/>
      <c r="AC966" s="13"/>
      <c r="AD966" s="13"/>
      <c r="AE966" s="37"/>
      <c r="AF966" s="37"/>
      <c r="AG966" s="14"/>
      <c r="AH966" s="14"/>
      <c r="AI966" s="14"/>
      <c r="AZ966" s="24"/>
    </row>
    <row r="967">
      <c r="B967" s="24"/>
      <c r="E967" s="113"/>
      <c r="F967" s="266"/>
      <c r="G967" s="113"/>
      <c r="K967" s="36"/>
      <c r="L967" s="117"/>
      <c r="M967" s="128"/>
      <c r="N967" s="117"/>
      <c r="R967" s="117"/>
      <c r="T967" s="117"/>
      <c r="V967" s="117"/>
      <c r="X967" s="117"/>
      <c r="Y967" s="10"/>
      <c r="Z967" s="11"/>
      <c r="AA967" s="36"/>
      <c r="AB967" s="36"/>
      <c r="AC967" s="13"/>
      <c r="AD967" s="13"/>
      <c r="AE967" s="37"/>
      <c r="AF967" s="37"/>
      <c r="AG967" s="14"/>
      <c r="AH967" s="14"/>
      <c r="AI967" s="14"/>
      <c r="AZ967" s="24"/>
    </row>
    <row r="968">
      <c r="B968" s="24"/>
      <c r="E968" s="113"/>
      <c r="F968" s="266"/>
      <c r="G968" s="113"/>
      <c r="K968" s="36"/>
      <c r="L968" s="117"/>
      <c r="M968" s="128"/>
      <c r="N968" s="117"/>
      <c r="R968" s="117"/>
      <c r="T968" s="117"/>
      <c r="V968" s="117"/>
      <c r="X968" s="117"/>
      <c r="Y968" s="10"/>
      <c r="Z968" s="11"/>
      <c r="AA968" s="36"/>
      <c r="AB968" s="36"/>
      <c r="AC968" s="13"/>
      <c r="AD968" s="13"/>
      <c r="AE968" s="37"/>
      <c r="AF968" s="37"/>
      <c r="AG968" s="14"/>
      <c r="AH968" s="14"/>
      <c r="AI968" s="14"/>
      <c r="AZ968" s="24"/>
    </row>
    <row r="969">
      <c r="B969" s="24"/>
      <c r="E969" s="113"/>
      <c r="F969" s="266"/>
      <c r="G969" s="113"/>
      <c r="K969" s="36"/>
      <c r="L969" s="117"/>
      <c r="M969" s="128"/>
      <c r="N969" s="117"/>
      <c r="R969" s="117"/>
      <c r="T969" s="117"/>
      <c r="V969" s="117"/>
      <c r="X969" s="117"/>
      <c r="Y969" s="10"/>
      <c r="Z969" s="11"/>
      <c r="AA969" s="36"/>
      <c r="AB969" s="36"/>
      <c r="AC969" s="13"/>
      <c r="AD969" s="13"/>
      <c r="AE969" s="37"/>
      <c r="AF969" s="37"/>
      <c r="AG969" s="14"/>
      <c r="AH969" s="14"/>
      <c r="AI969" s="14"/>
      <c r="AZ969" s="24"/>
    </row>
    <row r="970">
      <c r="B970" s="24"/>
      <c r="E970" s="113"/>
      <c r="F970" s="266"/>
      <c r="G970" s="113"/>
      <c r="K970" s="36"/>
      <c r="L970" s="117"/>
      <c r="M970" s="128"/>
      <c r="N970" s="117"/>
      <c r="R970" s="117"/>
      <c r="T970" s="117"/>
      <c r="V970" s="117"/>
      <c r="X970" s="117"/>
      <c r="Y970" s="10"/>
      <c r="Z970" s="11"/>
      <c r="AA970" s="36"/>
      <c r="AB970" s="36"/>
      <c r="AC970" s="13"/>
      <c r="AD970" s="13"/>
      <c r="AE970" s="37"/>
      <c r="AF970" s="37"/>
      <c r="AG970" s="14"/>
      <c r="AH970" s="14"/>
      <c r="AI970" s="14"/>
      <c r="AZ970" s="24"/>
    </row>
    <row r="971">
      <c r="B971" s="24"/>
      <c r="E971" s="113"/>
      <c r="F971" s="266"/>
      <c r="G971" s="113"/>
      <c r="K971" s="36"/>
      <c r="L971" s="117"/>
      <c r="M971" s="128"/>
      <c r="N971" s="117"/>
      <c r="R971" s="117"/>
      <c r="T971" s="117"/>
      <c r="V971" s="117"/>
      <c r="X971" s="117"/>
      <c r="Y971" s="10"/>
      <c r="Z971" s="11"/>
      <c r="AA971" s="36"/>
      <c r="AB971" s="36"/>
      <c r="AC971" s="13"/>
      <c r="AD971" s="13"/>
      <c r="AE971" s="37"/>
      <c r="AF971" s="37"/>
      <c r="AG971" s="14"/>
      <c r="AH971" s="14"/>
      <c r="AI971" s="14"/>
      <c r="AZ971" s="24"/>
    </row>
    <row r="972">
      <c r="B972" s="24"/>
      <c r="E972" s="113"/>
      <c r="F972" s="266"/>
      <c r="G972" s="113"/>
      <c r="K972" s="36"/>
      <c r="L972" s="117"/>
      <c r="M972" s="128"/>
      <c r="N972" s="117"/>
      <c r="R972" s="117"/>
      <c r="T972" s="117"/>
      <c r="V972" s="117"/>
      <c r="X972" s="117"/>
      <c r="Y972" s="10"/>
      <c r="Z972" s="11"/>
      <c r="AA972" s="36"/>
      <c r="AB972" s="36"/>
      <c r="AC972" s="13"/>
      <c r="AD972" s="13"/>
      <c r="AE972" s="37"/>
      <c r="AF972" s="37"/>
      <c r="AG972" s="14"/>
      <c r="AH972" s="14"/>
      <c r="AI972" s="14"/>
      <c r="AZ972" s="24"/>
    </row>
    <row r="973">
      <c r="B973" s="24"/>
      <c r="E973" s="113"/>
      <c r="F973" s="266"/>
      <c r="G973" s="113"/>
      <c r="K973" s="36"/>
      <c r="L973" s="117"/>
      <c r="M973" s="128"/>
      <c r="N973" s="117"/>
      <c r="R973" s="117"/>
      <c r="T973" s="117"/>
      <c r="V973" s="117"/>
      <c r="X973" s="117"/>
      <c r="Y973" s="10"/>
      <c r="Z973" s="11"/>
      <c r="AA973" s="36"/>
      <c r="AB973" s="36"/>
      <c r="AC973" s="13"/>
      <c r="AD973" s="13"/>
      <c r="AE973" s="37"/>
      <c r="AF973" s="37"/>
      <c r="AG973" s="14"/>
      <c r="AH973" s="14"/>
      <c r="AI973" s="14"/>
      <c r="AZ973" s="24"/>
    </row>
    <row r="974">
      <c r="B974" s="24"/>
      <c r="E974" s="113"/>
      <c r="F974" s="266"/>
      <c r="G974" s="113"/>
      <c r="K974" s="36"/>
      <c r="L974" s="117"/>
      <c r="M974" s="128"/>
      <c r="N974" s="117"/>
      <c r="R974" s="117"/>
      <c r="T974" s="117"/>
      <c r="V974" s="117"/>
      <c r="X974" s="117"/>
      <c r="Y974" s="10"/>
      <c r="Z974" s="11"/>
      <c r="AA974" s="36"/>
      <c r="AB974" s="36"/>
      <c r="AC974" s="13"/>
      <c r="AD974" s="13"/>
      <c r="AE974" s="37"/>
      <c r="AF974" s="37"/>
      <c r="AG974" s="14"/>
      <c r="AH974" s="14"/>
      <c r="AI974" s="14"/>
      <c r="AZ974" s="24"/>
    </row>
    <row r="975">
      <c r="B975" s="24"/>
      <c r="E975" s="113"/>
      <c r="F975" s="266"/>
      <c r="G975" s="113"/>
      <c r="K975" s="36"/>
      <c r="L975" s="117"/>
      <c r="M975" s="128"/>
      <c r="N975" s="117"/>
      <c r="R975" s="117"/>
      <c r="T975" s="117"/>
      <c r="V975" s="117"/>
      <c r="X975" s="117"/>
      <c r="Y975" s="10"/>
      <c r="Z975" s="11"/>
      <c r="AA975" s="36"/>
      <c r="AB975" s="36"/>
      <c r="AC975" s="13"/>
      <c r="AD975" s="13"/>
      <c r="AE975" s="37"/>
      <c r="AF975" s="37"/>
      <c r="AG975" s="14"/>
      <c r="AH975" s="14"/>
      <c r="AI975" s="14"/>
      <c r="AZ975" s="24"/>
    </row>
    <row r="976">
      <c r="B976" s="24"/>
      <c r="E976" s="113"/>
      <c r="F976" s="266"/>
      <c r="G976" s="113"/>
      <c r="K976" s="36"/>
      <c r="L976" s="117"/>
      <c r="M976" s="128"/>
      <c r="N976" s="117"/>
      <c r="R976" s="117"/>
      <c r="T976" s="117"/>
      <c r="V976" s="117"/>
      <c r="X976" s="117"/>
      <c r="Y976" s="10"/>
      <c r="Z976" s="11"/>
      <c r="AA976" s="36"/>
      <c r="AB976" s="36"/>
      <c r="AC976" s="13"/>
      <c r="AD976" s="13"/>
      <c r="AE976" s="37"/>
      <c r="AF976" s="37"/>
      <c r="AG976" s="14"/>
      <c r="AH976" s="14"/>
      <c r="AI976" s="14"/>
      <c r="AZ976" s="24"/>
    </row>
    <row r="977">
      <c r="B977" s="24"/>
      <c r="E977" s="113"/>
      <c r="F977" s="266"/>
      <c r="G977" s="113"/>
      <c r="K977" s="36"/>
      <c r="L977" s="117"/>
      <c r="M977" s="128"/>
      <c r="N977" s="117"/>
      <c r="R977" s="117"/>
      <c r="T977" s="117"/>
      <c r="V977" s="117"/>
      <c r="X977" s="117"/>
      <c r="Y977" s="10"/>
      <c r="Z977" s="11"/>
      <c r="AA977" s="36"/>
      <c r="AB977" s="36"/>
      <c r="AC977" s="13"/>
      <c r="AD977" s="13"/>
      <c r="AE977" s="37"/>
      <c r="AF977" s="37"/>
      <c r="AG977" s="14"/>
      <c r="AH977" s="14"/>
      <c r="AI977" s="14"/>
      <c r="AZ977" s="24"/>
    </row>
    <row r="978">
      <c r="B978" s="24"/>
      <c r="E978" s="113"/>
      <c r="F978" s="266"/>
      <c r="G978" s="113"/>
      <c r="K978" s="36"/>
      <c r="L978" s="117"/>
      <c r="M978" s="128"/>
      <c r="N978" s="117"/>
      <c r="R978" s="117"/>
      <c r="T978" s="117"/>
      <c r="V978" s="117"/>
      <c r="X978" s="117"/>
      <c r="Y978" s="10"/>
      <c r="Z978" s="11"/>
      <c r="AA978" s="36"/>
      <c r="AB978" s="36"/>
      <c r="AC978" s="13"/>
      <c r="AD978" s="13"/>
      <c r="AE978" s="37"/>
      <c r="AF978" s="37"/>
      <c r="AG978" s="14"/>
      <c r="AH978" s="14"/>
      <c r="AI978" s="14"/>
      <c r="AZ978" s="24"/>
    </row>
    <row r="979">
      <c r="B979" s="24"/>
      <c r="E979" s="113"/>
      <c r="F979" s="266"/>
      <c r="G979" s="113"/>
      <c r="K979" s="36"/>
      <c r="L979" s="117"/>
      <c r="M979" s="128"/>
      <c r="N979" s="117"/>
      <c r="R979" s="117"/>
      <c r="T979" s="117"/>
      <c r="V979" s="117"/>
      <c r="X979" s="117"/>
      <c r="Y979" s="10"/>
      <c r="Z979" s="11"/>
      <c r="AA979" s="36"/>
      <c r="AB979" s="36"/>
      <c r="AC979" s="13"/>
      <c r="AD979" s="13"/>
      <c r="AE979" s="37"/>
      <c r="AF979" s="37"/>
      <c r="AG979" s="14"/>
      <c r="AH979" s="14"/>
      <c r="AI979" s="14"/>
      <c r="AZ979" s="24"/>
    </row>
    <row r="980">
      <c r="B980" s="24"/>
      <c r="E980" s="113"/>
      <c r="F980" s="266"/>
      <c r="G980" s="113"/>
      <c r="K980" s="36"/>
      <c r="L980" s="117"/>
      <c r="M980" s="128"/>
      <c r="N980" s="117"/>
      <c r="R980" s="117"/>
      <c r="T980" s="117"/>
      <c r="V980" s="117"/>
      <c r="X980" s="117"/>
      <c r="Y980" s="10"/>
      <c r="Z980" s="11"/>
      <c r="AA980" s="36"/>
      <c r="AB980" s="36"/>
      <c r="AC980" s="13"/>
      <c r="AD980" s="13"/>
      <c r="AE980" s="37"/>
      <c r="AF980" s="37"/>
      <c r="AG980" s="14"/>
      <c r="AH980" s="14"/>
      <c r="AI980" s="14"/>
      <c r="AZ980" s="24"/>
    </row>
    <row r="981">
      <c r="B981" s="24"/>
      <c r="E981" s="113"/>
      <c r="F981" s="266"/>
      <c r="G981" s="113"/>
      <c r="K981" s="36"/>
      <c r="L981" s="117"/>
      <c r="M981" s="128"/>
      <c r="N981" s="117"/>
      <c r="R981" s="117"/>
      <c r="T981" s="117"/>
      <c r="V981" s="117"/>
      <c r="X981" s="117"/>
      <c r="Y981" s="10"/>
      <c r="Z981" s="11"/>
      <c r="AA981" s="36"/>
      <c r="AB981" s="36"/>
      <c r="AC981" s="13"/>
      <c r="AD981" s="13"/>
      <c r="AE981" s="37"/>
      <c r="AF981" s="37"/>
      <c r="AG981" s="14"/>
      <c r="AH981" s="14"/>
      <c r="AI981" s="14"/>
      <c r="AZ981" s="24"/>
    </row>
    <row r="982">
      <c r="B982" s="24"/>
      <c r="E982" s="113"/>
      <c r="F982" s="266"/>
      <c r="G982" s="113"/>
      <c r="K982" s="36"/>
      <c r="L982" s="117"/>
      <c r="M982" s="128"/>
      <c r="N982" s="117"/>
      <c r="R982" s="117"/>
      <c r="T982" s="117"/>
      <c r="V982" s="117"/>
      <c r="X982" s="117"/>
      <c r="Y982" s="10"/>
      <c r="Z982" s="11"/>
      <c r="AA982" s="36"/>
      <c r="AB982" s="36"/>
      <c r="AC982" s="13"/>
      <c r="AD982" s="13"/>
      <c r="AE982" s="37"/>
      <c r="AF982" s="37"/>
      <c r="AG982" s="14"/>
      <c r="AH982" s="14"/>
      <c r="AI982" s="14"/>
      <c r="AZ982" s="24"/>
    </row>
    <row r="983">
      <c r="B983" s="24"/>
      <c r="E983" s="113"/>
      <c r="F983" s="266"/>
      <c r="G983" s="113"/>
      <c r="K983" s="36"/>
      <c r="L983" s="117"/>
      <c r="M983" s="128"/>
      <c r="N983" s="117"/>
      <c r="R983" s="117"/>
      <c r="T983" s="117"/>
      <c r="V983" s="117"/>
      <c r="X983" s="117"/>
      <c r="Y983" s="10"/>
      <c r="Z983" s="11"/>
      <c r="AA983" s="36"/>
      <c r="AB983" s="36"/>
      <c r="AC983" s="13"/>
      <c r="AD983" s="13"/>
      <c r="AE983" s="37"/>
      <c r="AF983" s="37"/>
      <c r="AG983" s="14"/>
      <c r="AH983" s="14"/>
      <c r="AI983" s="14"/>
      <c r="AZ983" s="24"/>
    </row>
    <row r="984">
      <c r="B984" s="24"/>
      <c r="E984" s="113"/>
      <c r="F984" s="266"/>
      <c r="G984" s="113"/>
      <c r="K984" s="36"/>
      <c r="L984" s="117"/>
      <c r="M984" s="128"/>
      <c r="N984" s="117"/>
      <c r="R984" s="117"/>
      <c r="T984" s="117"/>
      <c r="V984" s="117"/>
      <c r="X984" s="117"/>
      <c r="Y984" s="10"/>
      <c r="Z984" s="11"/>
      <c r="AA984" s="36"/>
      <c r="AB984" s="36"/>
      <c r="AC984" s="13"/>
      <c r="AD984" s="13"/>
      <c r="AE984" s="37"/>
      <c r="AF984" s="37"/>
      <c r="AG984" s="14"/>
      <c r="AH984" s="14"/>
      <c r="AI984" s="14"/>
      <c r="AZ984" s="24"/>
    </row>
    <row r="985">
      <c r="B985" s="24"/>
      <c r="E985" s="113"/>
      <c r="F985" s="266"/>
      <c r="G985" s="113"/>
      <c r="K985" s="36"/>
      <c r="L985" s="117"/>
      <c r="M985" s="128"/>
      <c r="N985" s="117"/>
      <c r="R985" s="117"/>
      <c r="T985" s="117"/>
      <c r="V985" s="117"/>
      <c r="X985" s="117"/>
      <c r="Y985" s="10"/>
      <c r="Z985" s="11"/>
      <c r="AA985" s="36"/>
      <c r="AB985" s="36"/>
      <c r="AC985" s="13"/>
      <c r="AD985" s="13"/>
      <c r="AE985" s="37"/>
      <c r="AF985" s="37"/>
      <c r="AG985" s="14"/>
      <c r="AH985" s="14"/>
      <c r="AI985" s="14"/>
      <c r="AZ985" s="24"/>
    </row>
    <row r="986">
      <c r="B986" s="24"/>
      <c r="E986" s="113"/>
      <c r="F986" s="266"/>
      <c r="G986" s="113"/>
      <c r="K986" s="36"/>
      <c r="L986" s="117"/>
      <c r="M986" s="128"/>
      <c r="N986" s="117"/>
      <c r="R986" s="117"/>
      <c r="T986" s="117"/>
      <c r="V986" s="117"/>
      <c r="X986" s="117"/>
      <c r="Y986" s="10"/>
      <c r="Z986" s="11"/>
      <c r="AA986" s="36"/>
      <c r="AB986" s="36"/>
      <c r="AC986" s="13"/>
      <c r="AD986" s="13"/>
      <c r="AE986" s="37"/>
      <c r="AF986" s="37"/>
      <c r="AG986" s="14"/>
      <c r="AH986" s="14"/>
      <c r="AI986" s="14"/>
      <c r="AZ986" s="24"/>
    </row>
    <row r="987">
      <c r="B987" s="24"/>
      <c r="E987" s="113"/>
      <c r="F987" s="266"/>
      <c r="G987" s="113"/>
      <c r="K987" s="36"/>
      <c r="L987" s="117"/>
      <c r="M987" s="128"/>
      <c r="N987" s="117"/>
      <c r="R987" s="117"/>
      <c r="T987" s="117"/>
      <c r="V987" s="117"/>
      <c r="X987" s="117"/>
      <c r="Y987" s="10"/>
      <c r="Z987" s="11"/>
      <c r="AA987" s="36"/>
      <c r="AB987" s="36"/>
      <c r="AC987" s="13"/>
      <c r="AD987" s="13"/>
      <c r="AE987" s="37"/>
      <c r="AF987" s="37"/>
      <c r="AG987" s="14"/>
      <c r="AH987" s="14"/>
      <c r="AI987" s="14"/>
      <c r="AZ987" s="24"/>
    </row>
    <row r="988">
      <c r="B988" s="24"/>
      <c r="E988" s="113"/>
      <c r="F988" s="266"/>
      <c r="G988" s="113"/>
      <c r="K988" s="36"/>
      <c r="L988" s="117"/>
      <c r="M988" s="128"/>
      <c r="N988" s="117"/>
      <c r="R988" s="117"/>
      <c r="T988" s="117"/>
      <c r="V988" s="117"/>
      <c r="X988" s="117"/>
      <c r="Y988" s="10"/>
      <c r="Z988" s="11"/>
      <c r="AA988" s="36"/>
      <c r="AB988" s="36"/>
      <c r="AC988" s="13"/>
      <c r="AD988" s="13"/>
      <c r="AE988" s="37"/>
      <c r="AF988" s="37"/>
      <c r="AG988" s="14"/>
      <c r="AH988" s="14"/>
      <c r="AI988" s="14"/>
      <c r="AZ988" s="24"/>
    </row>
    <row r="989">
      <c r="B989" s="24"/>
      <c r="E989" s="113"/>
      <c r="F989" s="266"/>
      <c r="G989" s="113"/>
      <c r="K989" s="36"/>
      <c r="L989" s="117"/>
      <c r="M989" s="128"/>
      <c r="N989" s="117"/>
      <c r="R989" s="117"/>
      <c r="T989" s="117"/>
      <c r="V989" s="117"/>
      <c r="X989" s="117"/>
      <c r="Y989" s="10"/>
      <c r="Z989" s="11"/>
      <c r="AA989" s="36"/>
      <c r="AB989" s="36"/>
      <c r="AC989" s="13"/>
      <c r="AD989" s="13"/>
      <c r="AE989" s="37"/>
      <c r="AF989" s="37"/>
      <c r="AG989" s="14"/>
      <c r="AH989" s="14"/>
      <c r="AI989" s="14"/>
      <c r="AZ989" s="24"/>
    </row>
    <row r="990">
      <c r="B990" s="24"/>
      <c r="E990" s="113"/>
      <c r="F990" s="266"/>
      <c r="G990" s="113"/>
      <c r="K990" s="36"/>
      <c r="L990" s="117"/>
      <c r="M990" s="128"/>
      <c r="N990" s="117"/>
      <c r="R990" s="117"/>
      <c r="T990" s="117"/>
      <c r="V990" s="117"/>
      <c r="X990" s="117"/>
      <c r="Y990" s="10"/>
      <c r="Z990" s="11"/>
      <c r="AA990" s="36"/>
      <c r="AB990" s="36"/>
      <c r="AC990" s="13"/>
      <c r="AD990" s="13"/>
      <c r="AE990" s="37"/>
      <c r="AF990" s="37"/>
      <c r="AG990" s="14"/>
      <c r="AH990" s="14"/>
      <c r="AI990" s="14"/>
      <c r="AZ990" s="24"/>
    </row>
    <row r="991">
      <c r="B991" s="24"/>
      <c r="E991" s="113"/>
      <c r="F991" s="266"/>
      <c r="G991" s="113"/>
      <c r="K991" s="36"/>
      <c r="L991" s="117"/>
      <c r="M991" s="128"/>
      <c r="N991" s="117"/>
      <c r="R991" s="117"/>
      <c r="T991" s="117"/>
      <c r="V991" s="117"/>
      <c r="X991" s="117"/>
      <c r="Y991" s="10"/>
      <c r="Z991" s="11"/>
      <c r="AA991" s="36"/>
      <c r="AB991" s="36"/>
      <c r="AC991" s="13"/>
      <c r="AD991" s="13"/>
      <c r="AE991" s="37"/>
      <c r="AF991" s="37"/>
      <c r="AG991" s="14"/>
      <c r="AH991" s="14"/>
      <c r="AI991" s="14"/>
      <c r="AZ991" s="24"/>
    </row>
    <row r="992">
      <c r="B992" s="24"/>
      <c r="E992" s="113"/>
      <c r="F992" s="266"/>
      <c r="G992" s="113"/>
      <c r="K992" s="36"/>
      <c r="L992" s="117"/>
      <c r="M992" s="128"/>
      <c r="N992" s="117"/>
      <c r="R992" s="117"/>
      <c r="T992" s="117"/>
      <c r="V992" s="117"/>
      <c r="X992" s="117"/>
      <c r="Y992" s="10"/>
      <c r="Z992" s="11"/>
      <c r="AA992" s="36"/>
      <c r="AB992" s="36"/>
      <c r="AC992" s="13"/>
      <c r="AD992" s="13"/>
      <c r="AE992" s="37"/>
      <c r="AF992" s="37"/>
      <c r="AG992" s="14"/>
      <c r="AH992" s="14"/>
      <c r="AI992" s="14"/>
      <c r="AZ992" s="24"/>
    </row>
    <row r="993">
      <c r="B993" s="24"/>
      <c r="E993" s="113"/>
      <c r="F993" s="266"/>
      <c r="G993" s="113"/>
      <c r="K993" s="36"/>
      <c r="L993" s="117"/>
      <c r="M993" s="128"/>
      <c r="N993" s="117"/>
      <c r="R993" s="117"/>
      <c r="T993" s="117"/>
      <c r="V993" s="117"/>
      <c r="X993" s="117"/>
      <c r="Y993" s="10"/>
      <c r="Z993" s="11"/>
      <c r="AA993" s="36"/>
      <c r="AB993" s="36"/>
      <c r="AC993" s="13"/>
      <c r="AD993" s="13"/>
      <c r="AE993" s="37"/>
      <c r="AF993" s="37"/>
      <c r="AG993" s="14"/>
      <c r="AH993" s="14"/>
      <c r="AI993" s="14"/>
      <c r="AZ993" s="24"/>
    </row>
    <row r="994">
      <c r="B994" s="24"/>
      <c r="E994" s="113"/>
      <c r="F994" s="266"/>
      <c r="G994" s="113"/>
      <c r="K994" s="36"/>
      <c r="L994" s="117"/>
      <c r="M994" s="128"/>
      <c r="N994" s="117"/>
      <c r="R994" s="117"/>
      <c r="T994" s="117"/>
      <c r="V994" s="117"/>
      <c r="X994" s="117"/>
      <c r="Y994" s="10"/>
      <c r="Z994" s="11"/>
      <c r="AA994" s="36"/>
      <c r="AB994" s="36"/>
      <c r="AC994" s="13"/>
      <c r="AD994" s="13"/>
      <c r="AE994" s="37"/>
      <c r="AF994" s="37"/>
      <c r="AG994" s="14"/>
      <c r="AH994" s="14"/>
      <c r="AI994" s="14"/>
      <c r="AZ994" s="24"/>
    </row>
    <row r="995">
      <c r="B995" s="24"/>
      <c r="E995" s="113"/>
      <c r="F995" s="266"/>
      <c r="G995" s="113"/>
      <c r="K995" s="36"/>
      <c r="L995" s="117"/>
      <c r="M995" s="128"/>
      <c r="N995" s="117"/>
      <c r="R995" s="117"/>
      <c r="T995" s="117"/>
      <c r="V995" s="117"/>
      <c r="X995" s="117"/>
      <c r="Y995" s="10"/>
      <c r="Z995" s="11"/>
      <c r="AA995" s="36"/>
      <c r="AB995" s="36"/>
      <c r="AC995" s="13"/>
      <c r="AD995" s="13"/>
      <c r="AE995" s="37"/>
      <c r="AF995" s="37"/>
      <c r="AG995" s="14"/>
      <c r="AH995" s="14"/>
      <c r="AI995" s="14"/>
      <c r="AZ995" s="24"/>
    </row>
    <row r="996">
      <c r="B996" s="24"/>
      <c r="E996" s="113"/>
      <c r="F996" s="266"/>
      <c r="G996" s="113"/>
      <c r="K996" s="36"/>
      <c r="L996" s="117"/>
      <c r="M996" s="128"/>
      <c r="N996" s="117"/>
      <c r="R996" s="117"/>
      <c r="T996" s="117"/>
      <c r="V996" s="117"/>
      <c r="X996" s="117"/>
      <c r="Y996" s="10"/>
      <c r="Z996" s="11"/>
      <c r="AA996" s="36"/>
      <c r="AB996" s="36"/>
      <c r="AC996" s="13"/>
      <c r="AD996" s="13"/>
      <c r="AE996" s="37"/>
      <c r="AF996" s="37"/>
      <c r="AG996" s="14"/>
      <c r="AH996" s="14"/>
      <c r="AI996" s="14"/>
      <c r="AZ996" s="24"/>
    </row>
    <row r="997">
      <c r="B997" s="24"/>
      <c r="E997" s="113"/>
      <c r="F997" s="266"/>
      <c r="G997" s="113"/>
      <c r="K997" s="36"/>
      <c r="L997" s="117"/>
      <c r="M997" s="128"/>
      <c r="N997" s="117"/>
      <c r="R997" s="117"/>
      <c r="T997" s="117"/>
      <c r="V997" s="117"/>
      <c r="X997" s="117"/>
      <c r="Y997" s="10"/>
      <c r="Z997" s="11"/>
      <c r="AA997" s="36"/>
      <c r="AB997" s="36"/>
      <c r="AC997" s="13"/>
      <c r="AD997" s="13"/>
      <c r="AE997" s="37"/>
      <c r="AF997" s="37"/>
      <c r="AG997" s="14"/>
      <c r="AH997" s="14"/>
      <c r="AI997" s="14"/>
      <c r="AZ997" s="24"/>
    </row>
    <row r="998">
      <c r="B998" s="24"/>
      <c r="E998" s="113"/>
      <c r="F998" s="266"/>
      <c r="G998" s="113"/>
      <c r="K998" s="36"/>
      <c r="L998" s="117"/>
      <c r="M998" s="128"/>
      <c r="N998" s="117"/>
      <c r="R998" s="117"/>
      <c r="T998" s="117"/>
      <c r="V998" s="117"/>
      <c r="X998" s="117"/>
      <c r="Y998" s="10"/>
      <c r="Z998" s="11"/>
      <c r="AA998" s="36"/>
      <c r="AB998" s="36"/>
      <c r="AC998" s="13"/>
      <c r="AD998" s="13"/>
      <c r="AE998" s="37"/>
      <c r="AF998" s="37"/>
      <c r="AG998" s="14"/>
      <c r="AH998" s="14"/>
      <c r="AI998" s="14"/>
      <c r="AZ998" s="24"/>
    </row>
    <row r="999">
      <c r="B999" s="24"/>
      <c r="E999" s="113"/>
      <c r="F999" s="266"/>
      <c r="G999" s="113"/>
      <c r="K999" s="36"/>
      <c r="L999" s="117"/>
      <c r="M999" s="128"/>
      <c r="N999" s="117"/>
      <c r="R999" s="117"/>
      <c r="T999" s="117"/>
      <c r="V999" s="117"/>
      <c r="X999" s="117"/>
      <c r="Y999" s="10"/>
      <c r="Z999" s="11"/>
      <c r="AA999" s="36"/>
      <c r="AB999" s="36"/>
      <c r="AC999" s="13"/>
      <c r="AD999" s="13"/>
      <c r="AE999" s="37"/>
      <c r="AF999" s="37"/>
      <c r="AG999" s="14"/>
      <c r="AH999" s="14"/>
      <c r="AI999" s="14"/>
      <c r="AZ999" s="24"/>
    </row>
    <row r="1000">
      <c r="B1000" s="24"/>
      <c r="E1000" s="113"/>
      <c r="F1000" s="266"/>
      <c r="G1000" s="113"/>
      <c r="K1000" s="36"/>
      <c r="L1000" s="117"/>
      <c r="M1000" s="128"/>
      <c r="N1000" s="117"/>
      <c r="R1000" s="117"/>
      <c r="T1000" s="117"/>
      <c r="V1000" s="117"/>
      <c r="X1000" s="117"/>
      <c r="Y1000" s="10"/>
      <c r="Z1000" s="11"/>
      <c r="AA1000" s="36"/>
      <c r="AB1000" s="36"/>
      <c r="AC1000" s="13"/>
      <c r="AD1000" s="13"/>
      <c r="AE1000" s="37"/>
      <c r="AF1000" s="37"/>
      <c r="AG1000" s="14"/>
      <c r="AH1000" s="14"/>
      <c r="AI1000" s="14"/>
      <c r="AZ1000" s="24"/>
    </row>
    <row r="1001">
      <c r="B1001" s="24"/>
      <c r="E1001" s="113"/>
      <c r="F1001" s="266"/>
      <c r="G1001" s="113"/>
      <c r="K1001" s="36"/>
      <c r="L1001" s="117"/>
      <c r="M1001" s="128"/>
      <c r="N1001" s="117"/>
      <c r="R1001" s="117"/>
      <c r="T1001" s="117"/>
      <c r="V1001" s="117"/>
      <c r="X1001" s="117"/>
      <c r="Y1001" s="10"/>
      <c r="Z1001" s="11"/>
      <c r="AA1001" s="36"/>
      <c r="AB1001" s="36"/>
      <c r="AC1001" s="13"/>
      <c r="AD1001" s="13"/>
      <c r="AE1001" s="37"/>
      <c r="AF1001" s="37"/>
      <c r="AG1001" s="14"/>
      <c r="AH1001" s="14"/>
      <c r="AI1001" s="14"/>
      <c r="AZ1001" s="24"/>
    </row>
    <row r="1002">
      <c r="B1002" s="24"/>
      <c r="E1002" s="113"/>
      <c r="F1002" s="266"/>
      <c r="G1002" s="113"/>
      <c r="K1002" s="36"/>
      <c r="L1002" s="117"/>
      <c r="M1002" s="128"/>
      <c r="N1002" s="117"/>
      <c r="R1002" s="117"/>
      <c r="T1002" s="117"/>
      <c r="V1002" s="117"/>
      <c r="X1002" s="117"/>
      <c r="Y1002" s="10"/>
      <c r="Z1002" s="11"/>
      <c r="AA1002" s="36"/>
      <c r="AB1002" s="36"/>
      <c r="AC1002" s="13"/>
      <c r="AD1002" s="13"/>
      <c r="AE1002" s="37"/>
      <c r="AF1002" s="37"/>
      <c r="AG1002" s="14"/>
      <c r="AH1002" s="14"/>
      <c r="AI1002" s="14"/>
      <c r="AZ1002" s="24"/>
    </row>
    <row r="1003">
      <c r="B1003" s="24"/>
      <c r="E1003" s="113"/>
      <c r="F1003" s="266"/>
      <c r="G1003" s="113"/>
      <c r="K1003" s="36"/>
      <c r="L1003" s="117"/>
      <c r="M1003" s="128"/>
      <c r="N1003" s="117"/>
      <c r="R1003" s="117"/>
      <c r="T1003" s="117"/>
      <c r="V1003" s="117"/>
      <c r="X1003" s="117"/>
      <c r="Y1003" s="10"/>
      <c r="Z1003" s="11"/>
      <c r="AA1003" s="36"/>
      <c r="AB1003" s="36"/>
      <c r="AC1003" s="13"/>
      <c r="AD1003" s="13"/>
      <c r="AE1003" s="37"/>
      <c r="AF1003" s="37"/>
      <c r="AG1003" s="14"/>
      <c r="AH1003" s="14"/>
      <c r="AI1003" s="14"/>
      <c r="AZ1003" s="24"/>
    </row>
    <row r="1004">
      <c r="B1004" s="24"/>
      <c r="E1004" s="113"/>
      <c r="F1004" s="266"/>
      <c r="G1004" s="113"/>
      <c r="K1004" s="36"/>
      <c r="L1004" s="117"/>
      <c r="M1004" s="128"/>
      <c r="N1004" s="117"/>
      <c r="R1004" s="117"/>
      <c r="T1004" s="117"/>
      <c r="V1004" s="117"/>
      <c r="X1004" s="117"/>
      <c r="Y1004" s="10"/>
      <c r="Z1004" s="11"/>
      <c r="AA1004" s="36"/>
      <c r="AB1004" s="36"/>
      <c r="AC1004" s="13"/>
      <c r="AD1004" s="13"/>
      <c r="AE1004" s="37"/>
      <c r="AF1004" s="37"/>
      <c r="AG1004" s="14"/>
      <c r="AH1004" s="14"/>
      <c r="AI1004" s="14"/>
      <c r="AZ1004" s="24"/>
    </row>
    <row r="1005">
      <c r="B1005" s="24"/>
      <c r="E1005" s="113"/>
      <c r="F1005" s="266"/>
      <c r="G1005" s="113"/>
      <c r="K1005" s="36"/>
      <c r="L1005" s="117"/>
      <c r="M1005" s="128"/>
      <c r="N1005" s="117"/>
      <c r="R1005" s="117"/>
      <c r="T1005" s="117"/>
      <c r="V1005" s="117"/>
      <c r="X1005" s="117"/>
      <c r="Y1005" s="10"/>
      <c r="Z1005" s="11"/>
      <c r="AA1005" s="36"/>
      <c r="AB1005" s="36"/>
      <c r="AC1005" s="13"/>
      <c r="AD1005" s="13"/>
      <c r="AE1005" s="37"/>
      <c r="AF1005" s="37"/>
      <c r="AG1005" s="14"/>
      <c r="AH1005" s="14"/>
      <c r="AI1005" s="14"/>
      <c r="AZ1005" s="24"/>
    </row>
    <row r="1006">
      <c r="B1006" s="24"/>
      <c r="E1006" s="113"/>
      <c r="F1006" s="266"/>
      <c r="G1006" s="113"/>
      <c r="K1006" s="36"/>
      <c r="L1006" s="117"/>
      <c r="M1006" s="128"/>
      <c r="N1006" s="117"/>
      <c r="R1006" s="117"/>
      <c r="T1006" s="117"/>
      <c r="V1006" s="117"/>
      <c r="X1006" s="117"/>
      <c r="Y1006" s="10"/>
      <c r="Z1006" s="11"/>
      <c r="AA1006" s="36"/>
      <c r="AB1006" s="36"/>
      <c r="AC1006" s="13"/>
      <c r="AD1006" s="13"/>
      <c r="AE1006" s="37"/>
      <c r="AF1006" s="37"/>
      <c r="AG1006" s="14"/>
      <c r="AH1006" s="14"/>
      <c r="AI1006" s="14"/>
      <c r="AZ1006" s="24"/>
    </row>
    <row r="1007">
      <c r="B1007" s="24"/>
      <c r="E1007" s="113"/>
      <c r="F1007" s="266"/>
      <c r="G1007" s="113"/>
      <c r="K1007" s="36"/>
      <c r="L1007" s="117"/>
      <c r="M1007" s="128"/>
      <c r="N1007" s="117"/>
      <c r="R1007" s="117"/>
      <c r="T1007" s="117"/>
      <c r="V1007" s="117"/>
      <c r="X1007" s="117"/>
      <c r="Y1007" s="10"/>
      <c r="Z1007" s="11"/>
      <c r="AA1007" s="36"/>
      <c r="AB1007" s="36"/>
      <c r="AC1007" s="13"/>
      <c r="AD1007" s="13"/>
      <c r="AE1007" s="37"/>
      <c r="AF1007" s="37"/>
      <c r="AG1007" s="14"/>
      <c r="AH1007" s="14"/>
      <c r="AI1007" s="14"/>
      <c r="AZ1007" s="24"/>
    </row>
    <row r="1008">
      <c r="B1008" s="24"/>
      <c r="E1008" s="113"/>
      <c r="F1008" s="266"/>
      <c r="G1008" s="113"/>
      <c r="K1008" s="36"/>
      <c r="L1008" s="117"/>
      <c r="M1008" s="128"/>
      <c r="N1008" s="117"/>
      <c r="R1008" s="117"/>
      <c r="T1008" s="117"/>
      <c r="V1008" s="117"/>
      <c r="X1008" s="117"/>
      <c r="Y1008" s="10"/>
      <c r="Z1008" s="11"/>
      <c r="AA1008" s="36"/>
      <c r="AB1008" s="36"/>
      <c r="AC1008" s="13"/>
      <c r="AD1008" s="13"/>
      <c r="AE1008" s="37"/>
      <c r="AF1008" s="37"/>
      <c r="AG1008" s="14"/>
      <c r="AH1008" s="14"/>
      <c r="AI1008" s="14"/>
      <c r="AZ1008" s="24"/>
    </row>
    <row r="1009">
      <c r="B1009" s="24"/>
      <c r="E1009" s="113"/>
      <c r="F1009" s="266"/>
      <c r="G1009" s="113"/>
      <c r="K1009" s="36"/>
      <c r="L1009" s="117"/>
      <c r="M1009" s="128"/>
      <c r="N1009" s="117"/>
      <c r="R1009" s="117"/>
      <c r="T1009" s="117"/>
      <c r="V1009" s="117"/>
      <c r="X1009" s="117"/>
      <c r="Y1009" s="10"/>
      <c r="Z1009" s="11"/>
      <c r="AA1009" s="36"/>
      <c r="AB1009" s="36"/>
      <c r="AC1009" s="13"/>
      <c r="AD1009" s="13"/>
      <c r="AE1009" s="37"/>
      <c r="AF1009" s="37"/>
      <c r="AG1009" s="14"/>
      <c r="AH1009" s="14"/>
      <c r="AI1009" s="14"/>
      <c r="AZ1009" s="24"/>
    </row>
    <row r="1010">
      <c r="B1010" s="24"/>
      <c r="E1010" s="113"/>
      <c r="F1010" s="266"/>
      <c r="G1010" s="113"/>
      <c r="K1010" s="36"/>
      <c r="L1010" s="117"/>
      <c r="M1010" s="128"/>
      <c r="N1010" s="117"/>
      <c r="R1010" s="117"/>
      <c r="T1010" s="117"/>
      <c r="V1010" s="117"/>
      <c r="X1010" s="117"/>
      <c r="Y1010" s="10"/>
      <c r="Z1010" s="11"/>
      <c r="AA1010" s="36"/>
      <c r="AB1010" s="36"/>
      <c r="AC1010" s="13"/>
      <c r="AD1010" s="13"/>
      <c r="AE1010" s="37"/>
      <c r="AF1010" s="37"/>
      <c r="AG1010" s="14"/>
      <c r="AH1010" s="14"/>
      <c r="AI1010" s="14"/>
      <c r="AZ1010" s="24"/>
    </row>
    <row r="1011">
      <c r="B1011" s="24"/>
      <c r="E1011" s="113"/>
      <c r="F1011" s="266"/>
      <c r="G1011" s="113"/>
      <c r="K1011" s="36"/>
      <c r="L1011" s="117"/>
      <c r="M1011" s="128"/>
      <c r="N1011" s="117"/>
      <c r="R1011" s="117"/>
      <c r="T1011" s="117"/>
      <c r="V1011" s="117"/>
      <c r="X1011" s="117"/>
      <c r="Y1011" s="10"/>
      <c r="Z1011" s="11"/>
      <c r="AA1011" s="36"/>
      <c r="AB1011" s="36"/>
      <c r="AC1011" s="13"/>
      <c r="AD1011" s="13"/>
      <c r="AE1011" s="37"/>
      <c r="AF1011" s="37"/>
      <c r="AG1011" s="14"/>
      <c r="AH1011" s="14"/>
      <c r="AI1011" s="14"/>
      <c r="AZ1011" s="24"/>
    </row>
    <row r="1012">
      <c r="B1012" s="24"/>
      <c r="E1012" s="113"/>
      <c r="F1012" s="266"/>
      <c r="G1012" s="113"/>
      <c r="K1012" s="36"/>
      <c r="L1012" s="117"/>
      <c r="M1012" s="128"/>
      <c r="N1012" s="117"/>
      <c r="R1012" s="117"/>
      <c r="T1012" s="117"/>
      <c r="V1012" s="117"/>
      <c r="X1012" s="117"/>
      <c r="Y1012" s="10"/>
      <c r="Z1012" s="11"/>
      <c r="AA1012" s="36"/>
      <c r="AB1012" s="36"/>
      <c r="AC1012" s="13"/>
      <c r="AD1012" s="13"/>
      <c r="AE1012" s="37"/>
      <c r="AF1012" s="37"/>
      <c r="AG1012" s="14"/>
      <c r="AH1012" s="14"/>
      <c r="AI1012" s="14"/>
      <c r="AZ1012" s="24"/>
    </row>
    <row r="1013">
      <c r="B1013" s="24"/>
      <c r="E1013" s="113"/>
      <c r="F1013" s="266"/>
      <c r="G1013" s="113"/>
      <c r="K1013" s="36"/>
      <c r="L1013" s="117"/>
      <c r="M1013" s="128"/>
      <c r="N1013" s="117"/>
      <c r="R1013" s="117"/>
      <c r="T1013" s="117"/>
      <c r="V1013" s="117"/>
      <c r="X1013" s="117"/>
      <c r="Y1013" s="10"/>
      <c r="Z1013" s="11"/>
      <c r="AA1013" s="36"/>
      <c r="AB1013" s="36"/>
      <c r="AC1013" s="13"/>
      <c r="AD1013" s="13"/>
      <c r="AE1013" s="37"/>
      <c r="AF1013" s="37"/>
      <c r="AG1013" s="14"/>
      <c r="AH1013" s="14"/>
      <c r="AI1013" s="14"/>
      <c r="AZ1013" s="24"/>
    </row>
    <row r="1014">
      <c r="B1014" s="24"/>
      <c r="E1014" s="113"/>
      <c r="F1014" s="266"/>
      <c r="G1014" s="113"/>
      <c r="K1014" s="36"/>
      <c r="L1014" s="117"/>
      <c r="M1014" s="128"/>
      <c r="N1014" s="117"/>
      <c r="R1014" s="117"/>
      <c r="T1014" s="117"/>
      <c r="V1014" s="117"/>
      <c r="X1014" s="117"/>
      <c r="Y1014" s="10"/>
      <c r="Z1014" s="11"/>
      <c r="AA1014" s="36"/>
      <c r="AB1014" s="36"/>
      <c r="AC1014" s="13"/>
      <c r="AD1014" s="13"/>
      <c r="AE1014" s="37"/>
      <c r="AF1014" s="37"/>
      <c r="AG1014" s="14"/>
      <c r="AH1014" s="14"/>
      <c r="AI1014" s="14"/>
      <c r="AZ1014" s="24"/>
    </row>
    <row r="1015">
      <c r="B1015" s="24"/>
      <c r="E1015" s="113"/>
      <c r="F1015" s="266"/>
      <c r="G1015" s="113"/>
      <c r="K1015" s="36"/>
      <c r="L1015" s="117"/>
      <c r="M1015" s="128"/>
      <c r="N1015" s="117"/>
      <c r="R1015" s="117"/>
      <c r="T1015" s="117"/>
      <c r="V1015" s="117"/>
      <c r="X1015" s="117"/>
      <c r="Y1015" s="10"/>
      <c r="Z1015" s="11"/>
      <c r="AA1015" s="36"/>
      <c r="AB1015" s="36"/>
      <c r="AC1015" s="13"/>
      <c r="AD1015" s="13"/>
      <c r="AE1015" s="37"/>
      <c r="AF1015" s="37"/>
      <c r="AG1015" s="14"/>
      <c r="AH1015" s="14"/>
      <c r="AI1015" s="14"/>
      <c r="AZ1015" s="24"/>
    </row>
    <row r="1016">
      <c r="B1016" s="24"/>
      <c r="E1016" s="113"/>
      <c r="F1016" s="266"/>
      <c r="G1016" s="113"/>
      <c r="K1016" s="36"/>
      <c r="L1016" s="117"/>
      <c r="M1016" s="128"/>
      <c r="N1016" s="117"/>
      <c r="R1016" s="117"/>
      <c r="T1016" s="117"/>
      <c r="V1016" s="117"/>
      <c r="X1016" s="117"/>
      <c r="Y1016" s="10"/>
      <c r="Z1016" s="11"/>
      <c r="AA1016" s="36"/>
      <c r="AB1016" s="36"/>
      <c r="AC1016" s="13"/>
      <c r="AD1016" s="13"/>
      <c r="AE1016" s="37"/>
      <c r="AF1016" s="37"/>
      <c r="AG1016" s="14"/>
      <c r="AH1016" s="14"/>
      <c r="AI1016" s="14"/>
      <c r="AZ1016" s="24"/>
    </row>
    <row r="1017">
      <c r="B1017" s="24"/>
      <c r="E1017" s="113"/>
      <c r="F1017" s="266"/>
      <c r="G1017" s="113"/>
      <c r="K1017" s="36"/>
      <c r="L1017" s="117"/>
      <c r="M1017" s="128"/>
      <c r="N1017" s="117"/>
      <c r="R1017" s="117"/>
      <c r="T1017" s="117"/>
      <c r="V1017" s="117"/>
      <c r="X1017" s="117"/>
      <c r="Y1017" s="10"/>
      <c r="Z1017" s="11"/>
      <c r="AA1017" s="36"/>
      <c r="AB1017" s="36"/>
      <c r="AC1017" s="13"/>
      <c r="AD1017" s="13"/>
      <c r="AE1017" s="37"/>
      <c r="AF1017" s="37"/>
      <c r="AG1017" s="14"/>
      <c r="AH1017" s="14"/>
      <c r="AI1017" s="14"/>
      <c r="AZ1017" s="24"/>
    </row>
    <row r="1018">
      <c r="B1018" s="24"/>
      <c r="E1018" s="113"/>
      <c r="F1018" s="266"/>
      <c r="G1018" s="113"/>
      <c r="K1018" s="36"/>
      <c r="L1018" s="117"/>
      <c r="M1018" s="128"/>
      <c r="N1018" s="117"/>
      <c r="R1018" s="117"/>
      <c r="T1018" s="117"/>
      <c r="V1018" s="117"/>
      <c r="X1018" s="117"/>
      <c r="Y1018" s="10"/>
      <c r="Z1018" s="11"/>
      <c r="AA1018" s="36"/>
      <c r="AB1018" s="36"/>
      <c r="AC1018" s="13"/>
      <c r="AD1018" s="13"/>
      <c r="AE1018" s="37"/>
      <c r="AF1018" s="37"/>
      <c r="AG1018" s="14"/>
      <c r="AH1018" s="14"/>
      <c r="AI1018" s="14"/>
      <c r="AZ1018" s="24"/>
    </row>
    <row r="1019">
      <c r="B1019" s="24"/>
      <c r="E1019" s="113"/>
      <c r="F1019" s="266"/>
      <c r="G1019" s="113"/>
      <c r="K1019" s="36"/>
      <c r="L1019" s="117"/>
      <c r="M1019" s="128"/>
      <c r="N1019" s="117"/>
      <c r="R1019" s="117"/>
      <c r="T1019" s="117"/>
      <c r="V1019" s="117"/>
      <c r="X1019" s="117"/>
      <c r="Y1019" s="10"/>
      <c r="Z1019" s="11"/>
      <c r="AA1019" s="36"/>
      <c r="AB1019" s="36"/>
      <c r="AC1019" s="13"/>
      <c r="AD1019" s="13"/>
      <c r="AE1019" s="37"/>
      <c r="AF1019" s="37"/>
      <c r="AG1019" s="14"/>
      <c r="AH1019" s="14"/>
      <c r="AI1019" s="14"/>
      <c r="AZ1019" s="24"/>
    </row>
    <row r="1020">
      <c r="B1020" s="24"/>
      <c r="E1020" s="113"/>
      <c r="F1020" s="266"/>
      <c r="G1020" s="113"/>
      <c r="K1020" s="36"/>
      <c r="L1020" s="117"/>
      <c r="M1020" s="128"/>
      <c r="N1020" s="117"/>
      <c r="R1020" s="117"/>
      <c r="T1020" s="117"/>
      <c r="V1020" s="117"/>
      <c r="X1020" s="117"/>
      <c r="Y1020" s="10"/>
      <c r="Z1020" s="11"/>
      <c r="AA1020" s="36"/>
      <c r="AB1020" s="36"/>
      <c r="AC1020" s="13"/>
      <c r="AD1020" s="13"/>
      <c r="AE1020" s="37"/>
      <c r="AF1020" s="37"/>
      <c r="AG1020" s="14"/>
      <c r="AH1020" s="14"/>
      <c r="AI1020" s="14"/>
      <c r="AZ1020" s="24"/>
    </row>
    <row r="1021">
      <c r="B1021" s="24"/>
      <c r="E1021" s="113"/>
      <c r="F1021" s="266"/>
      <c r="G1021" s="113"/>
      <c r="K1021" s="36"/>
      <c r="L1021" s="117"/>
      <c r="M1021" s="128"/>
      <c r="N1021" s="117"/>
      <c r="R1021" s="117"/>
      <c r="T1021" s="117"/>
      <c r="V1021" s="117"/>
      <c r="X1021" s="117"/>
      <c r="Y1021" s="10"/>
      <c r="Z1021" s="11"/>
      <c r="AA1021" s="36"/>
      <c r="AB1021" s="36"/>
      <c r="AC1021" s="13"/>
      <c r="AD1021" s="13"/>
      <c r="AE1021" s="37"/>
      <c r="AF1021" s="37"/>
      <c r="AG1021" s="14"/>
      <c r="AH1021" s="14"/>
      <c r="AI1021" s="14"/>
      <c r="AZ1021" s="24"/>
    </row>
    <row r="1022">
      <c r="B1022" s="24"/>
      <c r="E1022" s="113"/>
      <c r="F1022" s="266"/>
      <c r="G1022" s="113"/>
      <c r="K1022" s="36"/>
      <c r="L1022" s="117"/>
      <c r="M1022" s="128"/>
      <c r="N1022" s="117"/>
      <c r="R1022" s="117"/>
      <c r="T1022" s="117"/>
      <c r="V1022" s="117"/>
      <c r="X1022" s="117"/>
      <c r="Y1022" s="10"/>
      <c r="Z1022" s="11"/>
      <c r="AA1022" s="36"/>
      <c r="AB1022" s="36"/>
      <c r="AC1022" s="13"/>
      <c r="AD1022" s="13"/>
      <c r="AE1022" s="37"/>
      <c r="AF1022" s="37"/>
      <c r="AG1022" s="14"/>
      <c r="AH1022" s="14"/>
      <c r="AI1022" s="14"/>
      <c r="AZ1022" s="24"/>
    </row>
    <row r="1023">
      <c r="B1023" s="24"/>
      <c r="E1023" s="113"/>
      <c r="F1023" s="266"/>
      <c r="G1023" s="113"/>
      <c r="K1023" s="36"/>
      <c r="L1023" s="117"/>
      <c r="M1023" s="128"/>
      <c r="N1023" s="117"/>
      <c r="R1023" s="117"/>
      <c r="T1023" s="117"/>
      <c r="V1023" s="117"/>
      <c r="X1023" s="117"/>
      <c r="Y1023" s="10"/>
      <c r="Z1023" s="11"/>
      <c r="AA1023" s="36"/>
      <c r="AB1023" s="36"/>
      <c r="AC1023" s="13"/>
      <c r="AD1023" s="13"/>
      <c r="AE1023" s="37"/>
      <c r="AF1023" s="37"/>
      <c r="AG1023" s="14"/>
      <c r="AH1023" s="14"/>
      <c r="AI1023" s="14"/>
      <c r="AZ1023" s="24"/>
    </row>
    <row r="1024">
      <c r="B1024" s="24"/>
      <c r="E1024" s="113"/>
      <c r="F1024" s="266"/>
      <c r="G1024" s="113"/>
      <c r="K1024" s="36"/>
      <c r="L1024" s="117"/>
      <c r="M1024" s="128"/>
      <c r="N1024" s="117"/>
      <c r="R1024" s="117"/>
      <c r="T1024" s="117"/>
      <c r="V1024" s="117"/>
      <c r="X1024" s="117"/>
      <c r="Y1024" s="10"/>
      <c r="Z1024" s="11"/>
      <c r="AA1024" s="36"/>
      <c r="AB1024" s="36"/>
      <c r="AC1024" s="13"/>
      <c r="AD1024" s="13"/>
      <c r="AE1024" s="37"/>
      <c r="AF1024" s="37"/>
      <c r="AG1024" s="14"/>
      <c r="AH1024" s="14"/>
      <c r="AI1024" s="14"/>
      <c r="AZ1024" s="24"/>
    </row>
    <row r="1025">
      <c r="B1025" s="24"/>
      <c r="E1025" s="113"/>
      <c r="F1025" s="266"/>
      <c r="G1025" s="113"/>
      <c r="K1025" s="36"/>
      <c r="L1025" s="117"/>
      <c r="M1025" s="128"/>
      <c r="N1025" s="117"/>
      <c r="R1025" s="117"/>
      <c r="T1025" s="117"/>
      <c r="V1025" s="117"/>
      <c r="X1025" s="117"/>
      <c r="Y1025" s="10"/>
      <c r="Z1025" s="11"/>
      <c r="AA1025" s="36"/>
      <c r="AB1025" s="36"/>
      <c r="AC1025" s="13"/>
      <c r="AD1025" s="13"/>
      <c r="AE1025" s="37"/>
      <c r="AF1025" s="37"/>
      <c r="AG1025" s="14"/>
      <c r="AH1025" s="14"/>
      <c r="AI1025" s="14"/>
      <c r="AZ1025" s="24"/>
    </row>
    <row r="1026">
      <c r="B1026" s="24"/>
      <c r="E1026" s="113"/>
      <c r="F1026" s="266"/>
      <c r="G1026" s="113"/>
      <c r="K1026" s="36"/>
      <c r="L1026" s="117"/>
      <c r="M1026" s="128"/>
      <c r="N1026" s="117"/>
      <c r="R1026" s="117"/>
      <c r="T1026" s="117"/>
      <c r="V1026" s="117"/>
      <c r="X1026" s="117"/>
      <c r="Y1026" s="10"/>
      <c r="Z1026" s="11"/>
      <c r="AA1026" s="36"/>
      <c r="AB1026" s="36"/>
      <c r="AC1026" s="13"/>
      <c r="AD1026" s="13"/>
      <c r="AE1026" s="37"/>
      <c r="AF1026" s="37"/>
      <c r="AG1026" s="14"/>
      <c r="AH1026" s="14"/>
      <c r="AI1026" s="14"/>
      <c r="AZ1026" s="24"/>
    </row>
    <row r="1027">
      <c r="B1027" s="24"/>
      <c r="E1027" s="113"/>
      <c r="F1027" s="266"/>
      <c r="G1027" s="113"/>
      <c r="K1027" s="36"/>
      <c r="L1027" s="117"/>
      <c r="M1027" s="128"/>
      <c r="N1027" s="117"/>
      <c r="R1027" s="117"/>
      <c r="T1027" s="117"/>
      <c r="V1027" s="117"/>
      <c r="X1027" s="117"/>
      <c r="Y1027" s="10"/>
      <c r="Z1027" s="11"/>
      <c r="AA1027" s="36"/>
      <c r="AB1027" s="36"/>
      <c r="AC1027" s="13"/>
      <c r="AD1027" s="13"/>
      <c r="AE1027" s="37"/>
      <c r="AF1027" s="37"/>
      <c r="AG1027" s="14"/>
      <c r="AH1027" s="14"/>
      <c r="AI1027" s="14"/>
      <c r="AZ1027" s="24"/>
    </row>
    <row r="1028">
      <c r="B1028" s="24"/>
      <c r="E1028" s="113"/>
      <c r="F1028" s="266"/>
      <c r="G1028" s="113"/>
      <c r="K1028" s="36"/>
      <c r="L1028" s="117"/>
      <c r="M1028" s="128"/>
      <c r="N1028" s="117"/>
      <c r="R1028" s="117"/>
      <c r="T1028" s="117"/>
      <c r="V1028" s="117"/>
      <c r="X1028" s="117"/>
      <c r="Y1028" s="10"/>
      <c r="Z1028" s="11"/>
      <c r="AA1028" s="36"/>
      <c r="AB1028" s="36"/>
      <c r="AC1028" s="13"/>
      <c r="AD1028" s="13"/>
      <c r="AE1028" s="37"/>
      <c r="AF1028" s="37"/>
      <c r="AG1028" s="14"/>
      <c r="AH1028" s="14"/>
      <c r="AI1028" s="14"/>
      <c r="AZ1028" s="24"/>
    </row>
    <row r="1029">
      <c r="B1029" s="24"/>
      <c r="E1029" s="113"/>
      <c r="F1029" s="266"/>
      <c r="G1029" s="113"/>
      <c r="K1029" s="36"/>
      <c r="L1029" s="117"/>
      <c r="M1029" s="128"/>
      <c r="N1029" s="117"/>
      <c r="R1029" s="117"/>
      <c r="T1029" s="117"/>
      <c r="V1029" s="117"/>
      <c r="X1029" s="117"/>
      <c r="Y1029" s="10"/>
      <c r="Z1029" s="11"/>
      <c r="AA1029" s="36"/>
      <c r="AB1029" s="36"/>
      <c r="AC1029" s="13"/>
      <c r="AD1029" s="13"/>
      <c r="AE1029" s="37"/>
      <c r="AF1029" s="37"/>
      <c r="AG1029" s="14"/>
      <c r="AH1029" s="14"/>
      <c r="AI1029" s="14"/>
      <c r="AZ1029" s="24"/>
    </row>
    <row r="1030">
      <c r="B1030" s="24"/>
      <c r="E1030" s="113"/>
      <c r="F1030" s="266"/>
      <c r="G1030" s="113"/>
      <c r="K1030" s="36"/>
      <c r="L1030" s="117"/>
      <c r="M1030" s="128"/>
      <c r="N1030" s="117"/>
      <c r="R1030" s="117"/>
      <c r="T1030" s="117"/>
      <c r="V1030" s="117"/>
      <c r="X1030" s="117"/>
      <c r="Y1030" s="10"/>
      <c r="Z1030" s="11"/>
      <c r="AA1030" s="36"/>
      <c r="AB1030" s="36"/>
      <c r="AC1030" s="13"/>
      <c r="AD1030" s="13"/>
      <c r="AE1030" s="37"/>
      <c r="AF1030" s="37"/>
      <c r="AG1030" s="14"/>
      <c r="AH1030" s="14"/>
      <c r="AI1030" s="14"/>
      <c r="AZ1030" s="24"/>
    </row>
    <row r="1031">
      <c r="B1031" s="24"/>
      <c r="E1031" s="113"/>
      <c r="F1031" s="266"/>
      <c r="G1031" s="113"/>
      <c r="K1031" s="36"/>
      <c r="L1031" s="117"/>
      <c r="M1031" s="128"/>
      <c r="N1031" s="117"/>
      <c r="R1031" s="117"/>
      <c r="T1031" s="117"/>
      <c r="V1031" s="117"/>
      <c r="X1031" s="117"/>
      <c r="Y1031" s="10"/>
      <c r="Z1031" s="11"/>
      <c r="AA1031" s="36"/>
      <c r="AB1031" s="36"/>
      <c r="AC1031" s="13"/>
      <c r="AD1031" s="13"/>
      <c r="AE1031" s="37"/>
      <c r="AF1031" s="37"/>
      <c r="AG1031" s="14"/>
      <c r="AH1031" s="14"/>
      <c r="AI1031" s="14"/>
      <c r="AZ1031" s="24"/>
    </row>
    <row r="1032">
      <c r="B1032" s="24"/>
      <c r="E1032" s="113"/>
      <c r="F1032" s="266"/>
      <c r="G1032" s="113"/>
      <c r="K1032" s="36"/>
      <c r="L1032" s="117"/>
      <c r="M1032" s="128"/>
      <c r="N1032" s="117"/>
      <c r="R1032" s="117"/>
      <c r="T1032" s="117"/>
      <c r="V1032" s="117"/>
      <c r="X1032" s="117"/>
      <c r="Y1032" s="10"/>
      <c r="Z1032" s="11"/>
      <c r="AA1032" s="36"/>
      <c r="AB1032" s="36"/>
      <c r="AC1032" s="13"/>
      <c r="AD1032" s="13"/>
      <c r="AE1032" s="37"/>
      <c r="AF1032" s="37"/>
      <c r="AG1032" s="14"/>
      <c r="AH1032" s="14"/>
      <c r="AI1032" s="14"/>
      <c r="AZ1032" s="24"/>
    </row>
    <row r="1033">
      <c r="B1033" s="24"/>
      <c r="E1033" s="113"/>
      <c r="F1033" s="266"/>
      <c r="G1033" s="113"/>
      <c r="K1033" s="36"/>
      <c r="L1033" s="117"/>
      <c r="M1033" s="128"/>
      <c r="N1033" s="117"/>
      <c r="R1033" s="117"/>
      <c r="T1033" s="117"/>
      <c r="V1033" s="117"/>
      <c r="X1033" s="117"/>
      <c r="Y1033" s="10"/>
      <c r="Z1033" s="11"/>
      <c r="AA1033" s="36"/>
      <c r="AB1033" s="36"/>
      <c r="AC1033" s="13"/>
      <c r="AD1033" s="13"/>
      <c r="AE1033" s="37"/>
      <c r="AF1033" s="37"/>
      <c r="AG1033" s="14"/>
      <c r="AH1033" s="14"/>
      <c r="AI1033" s="14"/>
      <c r="AZ1033" s="24"/>
    </row>
    <row r="1034">
      <c r="B1034" s="24"/>
      <c r="E1034" s="113"/>
      <c r="F1034" s="266"/>
      <c r="G1034" s="113"/>
      <c r="K1034" s="36"/>
      <c r="L1034" s="117"/>
      <c r="M1034" s="128"/>
      <c r="N1034" s="117"/>
      <c r="R1034" s="117"/>
      <c r="T1034" s="117"/>
      <c r="V1034" s="117"/>
      <c r="X1034" s="117"/>
      <c r="Y1034" s="10"/>
      <c r="Z1034" s="11"/>
      <c r="AA1034" s="36"/>
      <c r="AB1034" s="36"/>
      <c r="AC1034" s="13"/>
      <c r="AD1034" s="13"/>
      <c r="AE1034" s="37"/>
      <c r="AF1034" s="37"/>
      <c r="AG1034" s="14"/>
      <c r="AH1034" s="14"/>
      <c r="AI1034" s="14"/>
      <c r="AZ1034" s="24"/>
    </row>
    <row r="1035">
      <c r="B1035" s="24"/>
      <c r="E1035" s="113"/>
      <c r="F1035" s="266"/>
      <c r="G1035" s="113"/>
      <c r="K1035" s="36"/>
      <c r="L1035" s="117"/>
      <c r="M1035" s="128"/>
      <c r="N1035" s="117"/>
      <c r="R1035" s="117"/>
      <c r="T1035" s="117"/>
      <c r="V1035" s="117"/>
      <c r="X1035" s="117"/>
      <c r="Y1035" s="10"/>
      <c r="Z1035" s="11"/>
      <c r="AA1035" s="36"/>
      <c r="AB1035" s="36"/>
      <c r="AC1035" s="13"/>
      <c r="AD1035" s="13"/>
      <c r="AE1035" s="37"/>
      <c r="AF1035" s="37"/>
      <c r="AG1035" s="14"/>
      <c r="AH1035" s="14"/>
      <c r="AI1035" s="14"/>
      <c r="AZ1035" s="24"/>
    </row>
    <row r="1036">
      <c r="B1036" s="24"/>
      <c r="E1036" s="113"/>
      <c r="F1036" s="266"/>
      <c r="G1036" s="113"/>
      <c r="K1036" s="36"/>
      <c r="L1036" s="117"/>
      <c r="M1036" s="128"/>
      <c r="N1036" s="117"/>
      <c r="R1036" s="117"/>
      <c r="T1036" s="117"/>
      <c r="V1036" s="117"/>
      <c r="X1036" s="117"/>
      <c r="Y1036" s="10"/>
      <c r="Z1036" s="11"/>
      <c r="AA1036" s="36"/>
      <c r="AB1036" s="36"/>
      <c r="AC1036" s="13"/>
      <c r="AD1036" s="13"/>
      <c r="AE1036" s="37"/>
      <c r="AF1036" s="37"/>
      <c r="AG1036" s="14"/>
      <c r="AH1036" s="14"/>
      <c r="AI1036" s="14"/>
      <c r="AZ1036" s="24"/>
    </row>
    <row r="1037">
      <c r="B1037" s="24"/>
      <c r="E1037" s="113"/>
      <c r="F1037" s="266"/>
      <c r="G1037" s="113"/>
      <c r="K1037" s="36"/>
      <c r="L1037" s="117"/>
      <c r="M1037" s="128"/>
      <c r="N1037" s="117"/>
      <c r="R1037" s="117"/>
      <c r="T1037" s="117"/>
      <c r="V1037" s="117"/>
      <c r="X1037" s="117"/>
      <c r="Y1037" s="10"/>
      <c r="Z1037" s="11"/>
      <c r="AA1037" s="36"/>
      <c r="AB1037" s="36"/>
      <c r="AC1037" s="13"/>
      <c r="AD1037" s="13"/>
      <c r="AE1037" s="37"/>
      <c r="AF1037" s="37"/>
      <c r="AG1037" s="14"/>
      <c r="AH1037" s="14"/>
      <c r="AI1037" s="14"/>
      <c r="AZ1037" s="24"/>
    </row>
    <row r="1038">
      <c r="B1038" s="24"/>
      <c r="E1038" s="113"/>
      <c r="F1038" s="266"/>
      <c r="G1038" s="113"/>
      <c r="K1038" s="36"/>
      <c r="L1038" s="117"/>
      <c r="M1038" s="128"/>
      <c r="N1038" s="117"/>
      <c r="R1038" s="117"/>
      <c r="T1038" s="117"/>
      <c r="V1038" s="117"/>
      <c r="X1038" s="117"/>
      <c r="Y1038" s="10"/>
      <c r="Z1038" s="11"/>
      <c r="AA1038" s="36"/>
      <c r="AB1038" s="36"/>
      <c r="AC1038" s="13"/>
      <c r="AD1038" s="13"/>
      <c r="AE1038" s="37"/>
      <c r="AF1038" s="37"/>
      <c r="AG1038" s="14"/>
      <c r="AH1038" s="14"/>
      <c r="AI1038" s="14"/>
      <c r="AZ1038" s="24"/>
    </row>
    <row r="1039">
      <c r="B1039" s="24"/>
      <c r="E1039" s="113"/>
      <c r="F1039" s="266"/>
      <c r="G1039" s="113"/>
      <c r="K1039" s="36"/>
      <c r="L1039" s="117"/>
      <c r="M1039" s="128"/>
      <c r="N1039" s="117"/>
      <c r="R1039" s="117"/>
      <c r="T1039" s="117"/>
      <c r="V1039" s="117"/>
      <c r="X1039" s="117"/>
      <c r="Y1039" s="10"/>
      <c r="Z1039" s="11"/>
      <c r="AA1039" s="36"/>
      <c r="AB1039" s="36"/>
      <c r="AC1039" s="13"/>
      <c r="AD1039" s="13"/>
      <c r="AE1039" s="37"/>
      <c r="AF1039" s="37"/>
      <c r="AG1039" s="14"/>
      <c r="AH1039" s="14"/>
      <c r="AI1039" s="14"/>
      <c r="AZ1039" s="24"/>
    </row>
    <row r="1040">
      <c r="B1040" s="24"/>
      <c r="E1040" s="113"/>
      <c r="F1040" s="266"/>
      <c r="G1040" s="113"/>
      <c r="K1040" s="36"/>
      <c r="L1040" s="117"/>
      <c r="M1040" s="128"/>
      <c r="N1040" s="117"/>
      <c r="R1040" s="117"/>
      <c r="T1040" s="117"/>
      <c r="V1040" s="117"/>
      <c r="X1040" s="117"/>
      <c r="Y1040" s="10"/>
      <c r="Z1040" s="11"/>
      <c r="AA1040" s="36"/>
      <c r="AB1040" s="36"/>
      <c r="AC1040" s="13"/>
      <c r="AD1040" s="13"/>
      <c r="AE1040" s="37"/>
      <c r="AF1040" s="37"/>
      <c r="AG1040" s="14"/>
      <c r="AH1040" s="14"/>
      <c r="AI1040" s="14"/>
      <c r="AZ1040" s="24"/>
    </row>
    <row r="1041">
      <c r="B1041" s="24"/>
      <c r="E1041" s="113"/>
      <c r="F1041" s="266"/>
      <c r="G1041" s="113"/>
      <c r="K1041" s="36"/>
      <c r="L1041" s="117"/>
      <c r="M1041" s="128"/>
      <c r="N1041" s="117"/>
      <c r="R1041" s="117"/>
      <c r="T1041" s="117"/>
      <c r="V1041" s="117"/>
      <c r="X1041" s="117"/>
      <c r="Y1041" s="10"/>
      <c r="Z1041" s="11"/>
      <c r="AA1041" s="36"/>
      <c r="AB1041" s="36"/>
      <c r="AC1041" s="13"/>
      <c r="AD1041" s="13"/>
      <c r="AE1041" s="37"/>
      <c r="AF1041" s="37"/>
      <c r="AG1041" s="14"/>
      <c r="AH1041" s="14"/>
      <c r="AI1041" s="14"/>
      <c r="AZ1041" s="24"/>
    </row>
    <row r="1042">
      <c r="B1042" s="24"/>
      <c r="E1042" s="113"/>
      <c r="F1042" s="266"/>
      <c r="G1042" s="113"/>
      <c r="K1042" s="36"/>
      <c r="L1042" s="117"/>
      <c r="M1042" s="128"/>
      <c r="N1042" s="117"/>
      <c r="R1042" s="117"/>
      <c r="T1042" s="117"/>
      <c r="V1042" s="117"/>
      <c r="X1042" s="117"/>
      <c r="Y1042" s="10"/>
      <c r="Z1042" s="11"/>
      <c r="AA1042" s="36"/>
      <c r="AB1042" s="36"/>
      <c r="AC1042" s="13"/>
      <c r="AD1042" s="13"/>
      <c r="AE1042" s="37"/>
      <c r="AF1042" s="37"/>
      <c r="AG1042" s="14"/>
      <c r="AH1042" s="14"/>
      <c r="AI1042" s="14"/>
      <c r="AZ1042" s="24"/>
    </row>
    <row r="1043">
      <c r="B1043" s="24"/>
      <c r="E1043" s="113"/>
      <c r="F1043" s="266"/>
      <c r="G1043" s="113"/>
      <c r="K1043" s="36"/>
      <c r="L1043" s="117"/>
      <c r="M1043" s="128"/>
      <c r="N1043" s="117"/>
      <c r="R1043" s="117"/>
      <c r="T1043" s="117"/>
      <c r="V1043" s="117"/>
      <c r="X1043" s="117"/>
      <c r="Y1043" s="10"/>
      <c r="Z1043" s="11"/>
      <c r="AA1043" s="36"/>
      <c r="AB1043" s="36"/>
      <c r="AC1043" s="13"/>
      <c r="AD1043" s="13"/>
      <c r="AE1043" s="37"/>
      <c r="AF1043" s="37"/>
      <c r="AG1043" s="14"/>
      <c r="AH1043" s="14"/>
      <c r="AI1043" s="14"/>
      <c r="AZ1043" s="24"/>
    </row>
    <row r="1044">
      <c r="B1044" s="24"/>
      <c r="E1044" s="113"/>
      <c r="F1044" s="266"/>
      <c r="G1044" s="113"/>
      <c r="K1044" s="36"/>
      <c r="L1044" s="117"/>
      <c r="M1044" s="128"/>
      <c r="N1044" s="117"/>
      <c r="R1044" s="117"/>
      <c r="T1044" s="117"/>
      <c r="V1044" s="117"/>
      <c r="X1044" s="117"/>
      <c r="Y1044" s="10"/>
      <c r="Z1044" s="11"/>
      <c r="AA1044" s="36"/>
      <c r="AB1044" s="36"/>
      <c r="AC1044" s="13"/>
      <c r="AD1044" s="13"/>
      <c r="AE1044" s="37"/>
      <c r="AF1044" s="37"/>
      <c r="AG1044" s="14"/>
      <c r="AH1044" s="14"/>
      <c r="AI1044" s="14"/>
      <c r="AZ1044" s="24"/>
    </row>
    <row r="1045">
      <c r="B1045" s="24"/>
      <c r="E1045" s="113"/>
      <c r="F1045" s="266"/>
      <c r="G1045" s="113"/>
      <c r="K1045" s="36"/>
      <c r="L1045" s="117"/>
      <c r="M1045" s="128"/>
      <c r="N1045" s="117"/>
      <c r="R1045" s="117"/>
      <c r="T1045" s="117"/>
      <c r="V1045" s="117"/>
      <c r="X1045" s="117"/>
      <c r="Y1045" s="10"/>
      <c r="Z1045" s="11"/>
      <c r="AA1045" s="36"/>
      <c r="AB1045" s="36"/>
      <c r="AC1045" s="13"/>
      <c r="AD1045" s="13"/>
      <c r="AE1045" s="37"/>
      <c r="AF1045" s="37"/>
      <c r="AG1045" s="14"/>
      <c r="AH1045" s="14"/>
      <c r="AI1045" s="14"/>
      <c r="AZ1045" s="24"/>
    </row>
    <row r="1046">
      <c r="B1046" s="24"/>
      <c r="E1046" s="113"/>
      <c r="F1046" s="266"/>
      <c r="G1046" s="113"/>
      <c r="K1046" s="36"/>
      <c r="L1046" s="117"/>
      <c r="M1046" s="128"/>
      <c r="N1046" s="117"/>
      <c r="R1046" s="117"/>
      <c r="T1046" s="117"/>
      <c r="V1046" s="117"/>
      <c r="X1046" s="117"/>
      <c r="Y1046" s="10"/>
      <c r="Z1046" s="11"/>
      <c r="AA1046" s="36"/>
      <c r="AB1046" s="36"/>
      <c r="AC1046" s="13"/>
      <c r="AD1046" s="13"/>
      <c r="AE1046" s="37"/>
      <c r="AF1046" s="37"/>
      <c r="AG1046" s="14"/>
      <c r="AH1046" s="14"/>
      <c r="AI1046" s="14"/>
      <c r="AZ1046" s="24"/>
    </row>
    <row r="1047">
      <c r="B1047" s="24"/>
      <c r="E1047" s="113"/>
      <c r="F1047" s="266"/>
      <c r="G1047" s="113"/>
      <c r="K1047" s="36"/>
      <c r="L1047" s="117"/>
      <c r="M1047" s="128"/>
      <c r="N1047" s="117"/>
      <c r="R1047" s="117"/>
      <c r="T1047" s="117"/>
      <c r="V1047" s="117"/>
      <c r="X1047" s="117"/>
      <c r="Y1047" s="10"/>
      <c r="Z1047" s="11"/>
      <c r="AA1047" s="36"/>
      <c r="AB1047" s="36"/>
      <c r="AC1047" s="13"/>
      <c r="AD1047" s="13"/>
      <c r="AE1047" s="37"/>
      <c r="AF1047" s="37"/>
      <c r="AG1047" s="14"/>
      <c r="AH1047" s="14"/>
      <c r="AI1047" s="14"/>
      <c r="AZ1047" s="24"/>
    </row>
    <row r="1048">
      <c r="B1048" s="24"/>
      <c r="E1048" s="113"/>
      <c r="F1048" s="266"/>
      <c r="G1048" s="113"/>
      <c r="K1048" s="36"/>
      <c r="L1048" s="117"/>
      <c r="M1048" s="128"/>
      <c r="N1048" s="117"/>
      <c r="R1048" s="117"/>
      <c r="T1048" s="117"/>
      <c r="V1048" s="117"/>
      <c r="X1048" s="117"/>
      <c r="Y1048" s="10"/>
      <c r="Z1048" s="11"/>
      <c r="AA1048" s="36"/>
      <c r="AB1048" s="36"/>
      <c r="AC1048" s="13"/>
      <c r="AD1048" s="13"/>
      <c r="AE1048" s="37"/>
      <c r="AF1048" s="37"/>
      <c r="AG1048" s="14"/>
      <c r="AH1048" s="14"/>
      <c r="AI1048" s="14"/>
      <c r="AZ1048" s="24"/>
    </row>
    <row r="1049">
      <c r="B1049" s="24"/>
      <c r="E1049" s="113"/>
      <c r="F1049" s="266"/>
      <c r="G1049" s="113"/>
      <c r="K1049" s="36"/>
      <c r="L1049" s="117"/>
      <c r="M1049" s="128"/>
      <c r="N1049" s="117"/>
      <c r="R1049" s="117"/>
      <c r="T1049" s="117"/>
      <c r="V1049" s="117"/>
      <c r="X1049" s="117"/>
      <c r="Y1049" s="10"/>
      <c r="Z1049" s="11"/>
      <c r="AA1049" s="36"/>
      <c r="AB1049" s="36"/>
      <c r="AC1049" s="13"/>
      <c r="AD1049" s="13"/>
      <c r="AE1049" s="37"/>
      <c r="AF1049" s="37"/>
      <c r="AG1049" s="14"/>
      <c r="AH1049" s="14"/>
      <c r="AI1049" s="14"/>
      <c r="AZ1049" s="24"/>
    </row>
    <row r="1050">
      <c r="B1050" s="24"/>
      <c r="E1050" s="113"/>
      <c r="F1050" s="266"/>
      <c r="G1050" s="113"/>
      <c r="K1050" s="36"/>
      <c r="L1050" s="117"/>
      <c r="M1050" s="128"/>
      <c r="N1050" s="117"/>
      <c r="R1050" s="117"/>
      <c r="T1050" s="117"/>
      <c r="V1050" s="117"/>
      <c r="X1050" s="117"/>
      <c r="Y1050" s="10"/>
      <c r="Z1050" s="11"/>
      <c r="AA1050" s="36"/>
      <c r="AB1050" s="36"/>
      <c r="AC1050" s="13"/>
      <c r="AD1050" s="13"/>
      <c r="AE1050" s="37"/>
      <c r="AF1050" s="37"/>
      <c r="AG1050" s="14"/>
      <c r="AH1050" s="14"/>
      <c r="AI1050" s="14"/>
      <c r="AZ1050" s="24"/>
    </row>
    <row r="1051">
      <c r="B1051" s="24"/>
      <c r="E1051" s="113"/>
      <c r="F1051" s="266"/>
      <c r="G1051" s="113"/>
      <c r="K1051" s="36"/>
      <c r="L1051" s="117"/>
      <c r="M1051" s="128"/>
      <c r="N1051" s="117"/>
      <c r="R1051" s="117"/>
      <c r="T1051" s="117"/>
      <c r="V1051" s="117"/>
      <c r="X1051" s="117"/>
      <c r="Y1051" s="10"/>
      <c r="Z1051" s="11"/>
      <c r="AA1051" s="36"/>
      <c r="AB1051" s="36"/>
      <c r="AC1051" s="13"/>
      <c r="AD1051" s="13"/>
      <c r="AE1051" s="37"/>
      <c r="AF1051" s="37"/>
      <c r="AG1051" s="14"/>
      <c r="AH1051" s="14"/>
      <c r="AI1051" s="14"/>
      <c r="AZ1051" s="24"/>
    </row>
    <row r="1052">
      <c r="B1052" s="24"/>
      <c r="E1052" s="113"/>
      <c r="F1052" s="266"/>
      <c r="G1052" s="113"/>
      <c r="K1052" s="36"/>
      <c r="L1052" s="117"/>
      <c r="M1052" s="128"/>
      <c r="N1052" s="117"/>
      <c r="R1052" s="117"/>
      <c r="T1052" s="117"/>
      <c r="V1052" s="117"/>
      <c r="X1052" s="117"/>
      <c r="Y1052" s="10"/>
      <c r="Z1052" s="11"/>
      <c r="AA1052" s="36"/>
      <c r="AB1052" s="36"/>
      <c r="AC1052" s="13"/>
      <c r="AD1052" s="13"/>
      <c r="AE1052" s="37"/>
      <c r="AF1052" s="37"/>
      <c r="AG1052" s="14"/>
      <c r="AH1052" s="14"/>
      <c r="AI1052" s="14"/>
      <c r="AZ1052" s="24"/>
    </row>
    <row r="1053">
      <c r="B1053" s="24"/>
      <c r="E1053" s="113"/>
      <c r="F1053" s="266"/>
      <c r="G1053" s="113"/>
      <c r="K1053" s="36"/>
      <c r="L1053" s="117"/>
      <c r="M1053" s="128"/>
      <c r="N1053" s="117"/>
      <c r="R1053" s="117"/>
      <c r="T1053" s="117"/>
      <c r="V1053" s="117"/>
      <c r="X1053" s="117"/>
      <c r="Y1053" s="10"/>
      <c r="Z1053" s="11"/>
      <c r="AA1053" s="36"/>
      <c r="AB1053" s="36"/>
      <c r="AC1053" s="13"/>
      <c r="AD1053" s="13"/>
      <c r="AE1053" s="37"/>
      <c r="AF1053" s="37"/>
      <c r="AG1053" s="14"/>
      <c r="AH1053" s="14"/>
      <c r="AI1053" s="14"/>
      <c r="AZ1053" s="24"/>
    </row>
    <row r="1054">
      <c r="B1054" s="24"/>
      <c r="E1054" s="113"/>
      <c r="F1054" s="266"/>
      <c r="G1054" s="113"/>
      <c r="K1054" s="36"/>
      <c r="L1054" s="117"/>
      <c r="M1054" s="128"/>
      <c r="N1054" s="117"/>
      <c r="R1054" s="117"/>
      <c r="T1054" s="117"/>
      <c r="V1054" s="117"/>
      <c r="X1054" s="117"/>
      <c r="Y1054" s="10"/>
      <c r="Z1054" s="11"/>
      <c r="AA1054" s="36"/>
      <c r="AB1054" s="36"/>
      <c r="AC1054" s="13"/>
      <c r="AD1054" s="13"/>
      <c r="AE1054" s="37"/>
      <c r="AF1054" s="37"/>
      <c r="AG1054" s="14"/>
      <c r="AH1054" s="14"/>
      <c r="AI1054" s="14"/>
      <c r="AZ1054" s="24"/>
    </row>
    <row r="1055">
      <c r="B1055" s="24"/>
      <c r="E1055" s="113"/>
      <c r="F1055" s="266"/>
      <c r="G1055" s="113"/>
      <c r="K1055" s="36"/>
      <c r="L1055" s="117"/>
      <c r="M1055" s="128"/>
      <c r="N1055" s="117"/>
      <c r="R1055" s="117"/>
      <c r="T1055" s="117"/>
      <c r="V1055" s="117"/>
      <c r="X1055" s="117"/>
      <c r="Y1055" s="10"/>
      <c r="Z1055" s="11"/>
      <c r="AA1055" s="36"/>
      <c r="AB1055" s="36"/>
      <c r="AC1055" s="13"/>
      <c r="AD1055" s="13"/>
      <c r="AE1055" s="37"/>
      <c r="AF1055" s="37"/>
      <c r="AG1055" s="14"/>
      <c r="AH1055" s="14"/>
      <c r="AI1055" s="14"/>
      <c r="AZ1055" s="24"/>
    </row>
    <row r="1056">
      <c r="B1056" s="24"/>
      <c r="E1056" s="113"/>
      <c r="F1056" s="266"/>
      <c r="G1056" s="113"/>
      <c r="K1056" s="36"/>
      <c r="L1056" s="117"/>
      <c r="M1056" s="128"/>
      <c r="N1056" s="117"/>
      <c r="R1056" s="117"/>
      <c r="T1056" s="117"/>
      <c r="V1056" s="117"/>
      <c r="X1056" s="117"/>
      <c r="Y1056" s="10"/>
      <c r="Z1056" s="11"/>
      <c r="AA1056" s="36"/>
      <c r="AB1056" s="36"/>
      <c r="AC1056" s="13"/>
      <c r="AD1056" s="13"/>
      <c r="AE1056" s="37"/>
      <c r="AF1056" s="37"/>
      <c r="AG1056" s="14"/>
      <c r="AH1056" s="14"/>
      <c r="AI1056" s="14"/>
      <c r="AZ1056" s="24"/>
    </row>
    <row r="1057">
      <c r="B1057" s="24"/>
      <c r="E1057" s="113"/>
      <c r="F1057" s="266"/>
      <c r="G1057" s="113"/>
      <c r="K1057" s="36"/>
      <c r="L1057" s="117"/>
      <c r="M1057" s="128"/>
      <c r="N1057" s="117"/>
      <c r="R1057" s="117"/>
      <c r="T1057" s="117"/>
      <c r="V1057" s="117"/>
      <c r="X1057" s="117"/>
      <c r="Y1057" s="10"/>
      <c r="Z1057" s="11"/>
      <c r="AA1057" s="36"/>
      <c r="AB1057" s="36"/>
      <c r="AC1057" s="13"/>
      <c r="AD1057" s="13"/>
      <c r="AE1057" s="37"/>
      <c r="AF1057" s="37"/>
      <c r="AG1057" s="14"/>
      <c r="AH1057" s="14"/>
      <c r="AI1057" s="14"/>
      <c r="AZ1057" s="24"/>
    </row>
    <row r="1058">
      <c r="B1058" s="24"/>
      <c r="E1058" s="113"/>
      <c r="F1058" s="266"/>
      <c r="G1058" s="113"/>
      <c r="K1058" s="36"/>
      <c r="L1058" s="117"/>
      <c r="M1058" s="128"/>
      <c r="N1058" s="117"/>
      <c r="R1058" s="117"/>
      <c r="T1058" s="117"/>
      <c r="V1058" s="117"/>
      <c r="X1058" s="117"/>
      <c r="Y1058" s="10"/>
      <c r="Z1058" s="11"/>
      <c r="AA1058" s="36"/>
      <c r="AB1058" s="36"/>
      <c r="AC1058" s="13"/>
      <c r="AD1058" s="13"/>
      <c r="AE1058" s="37"/>
      <c r="AF1058" s="37"/>
      <c r="AG1058" s="14"/>
      <c r="AH1058" s="14"/>
      <c r="AI1058" s="14"/>
      <c r="AZ1058" s="24"/>
    </row>
    <row r="1059">
      <c r="B1059" s="24"/>
      <c r="E1059" s="113"/>
      <c r="F1059" s="266"/>
      <c r="G1059" s="113"/>
      <c r="K1059" s="36"/>
      <c r="L1059" s="117"/>
      <c r="M1059" s="128"/>
      <c r="N1059" s="117"/>
      <c r="R1059" s="117"/>
      <c r="T1059" s="117"/>
      <c r="V1059" s="117"/>
      <c r="X1059" s="117"/>
      <c r="Y1059" s="10"/>
      <c r="Z1059" s="11"/>
      <c r="AA1059" s="36"/>
      <c r="AB1059" s="36"/>
      <c r="AC1059" s="13"/>
      <c r="AD1059" s="13"/>
      <c r="AE1059" s="37"/>
      <c r="AF1059" s="37"/>
      <c r="AG1059" s="14"/>
      <c r="AH1059" s="14"/>
      <c r="AI1059" s="14"/>
      <c r="AZ1059" s="24"/>
    </row>
    <row r="1060">
      <c r="B1060" s="24"/>
      <c r="E1060" s="113"/>
      <c r="F1060" s="266"/>
      <c r="G1060" s="113"/>
      <c r="K1060" s="36"/>
      <c r="L1060" s="117"/>
      <c r="M1060" s="128"/>
      <c r="N1060" s="117"/>
      <c r="R1060" s="117"/>
      <c r="T1060" s="117"/>
      <c r="V1060" s="117"/>
      <c r="X1060" s="117"/>
      <c r="Y1060" s="10"/>
      <c r="Z1060" s="11"/>
      <c r="AA1060" s="36"/>
      <c r="AB1060" s="36"/>
      <c r="AC1060" s="13"/>
      <c r="AD1060" s="13"/>
      <c r="AE1060" s="37"/>
      <c r="AF1060" s="37"/>
      <c r="AG1060" s="14"/>
      <c r="AH1060" s="14"/>
      <c r="AI1060" s="14"/>
      <c r="AZ1060" s="24"/>
    </row>
    <row r="1061">
      <c r="B1061" s="24"/>
      <c r="E1061" s="113"/>
      <c r="F1061" s="266"/>
      <c r="G1061" s="113"/>
      <c r="K1061" s="36"/>
      <c r="L1061" s="117"/>
      <c r="M1061" s="128"/>
      <c r="N1061" s="117"/>
      <c r="R1061" s="117"/>
      <c r="T1061" s="117"/>
      <c r="V1061" s="117"/>
      <c r="X1061" s="117"/>
      <c r="Y1061" s="10"/>
      <c r="Z1061" s="11"/>
      <c r="AA1061" s="36"/>
      <c r="AB1061" s="36"/>
      <c r="AC1061" s="13"/>
      <c r="AD1061" s="13"/>
      <c r="AE1061" s="37"/>
      <c r="AF1061" s="37"/>
      <c r="AG1061" s="14"/>
      <c r="AH1061" s="14"/>
      <c r="AI1061" s="14"/>
      <c r="AZ1061" s="24"/>
    </row>
    <row r="1062">
      <c r="B1062" s="24"/>
      <c r="E1062" s="113"/>
      <c r="F1062" s="266"/>
      <c r="G1062" s="113"/>
      <c r="K1062" s="36"/>
      <c r="L1062" s="117"/>
      <c r="M1062" s="128"/>
      <c r="N1062" s="117"/>
      <c r="R1062" s="117"/>
      <c r="T1062" s="117"/>
      <c r="V1062" s="117"/>
      <c r="X1062" s="117"/>
      <c r="Y1062" s="10"/>
      <c r="Z1062" s="11"/>
      <c r="AA1062" s="36"/>
      <c r="AB1062" s="36"/>
      <c r="AC1062" s="13"/>
      <c r="AD1062" s="13"/>
      <c r="AE1062" s="37"/>
      <c r="AF1062" s="37"/>
      <c r="AG1062" s="14"/>
      <c r="AH1062" s="14"/>
      <c r="AI1062" s="14"/>
      <c r="AZ1062" s="24"/>
    </row>
    <row r="1063">
      <c r="B1063" s="24"/>
      <c r="E1063" s="113"/>
      <c r="F1063" s="266"/>
      <c r="G1063" s="113"/>
      <c r="K1063" s="36"/>
      <c r="L1063" s="117"/>
      <c r="M1063" s="128"/>
      <c r="N1063" s="117"/>
      <c r="R1063" s="117"/>
      <c r="T1063" s="117"/>
      <c r="V1063" s="117"/>
      <c r="X1063" s="117"/>
      <c r="Y1063" s="10"/>
      <c r="Z1063" s="11"/>
      <c r="AA1063" s="36"/>
      <c r="AB1063" s="36"/>
      <c r="AC1063" s="13"/>
      <c r="AD1063" s="13"/>
      <c r="AE1063" s="37"/>
      <c r="AF1063" s="37"/>
      <c r="AG1063" s="14"/>
      <c r="AH1063" s="14"/>
      <c r="AI1063" s="14"/>
      <c r="AZ1063" s="24"/>
    </row>
    <row r="1064">
      <c r="B1064" s="24"/>
      <c r="E1064" s="113"/>
      <c r="F1064" s="266"/>
      <c r="G1064" s="113"/>
      <c r="K1064" s="36"/>
      <c r="L1064" s="117"/>
      <c r="M1064" s="128"/>
      <c r="N1064" s="117"/>
      <c r="R1064" s="117"/>
      <c r="T1064" s="117"/>
      <c r="V1064" s="117"/>
      <c r="X1064" s="117"/>
      <c r="Y1064" s="10"/>
      <c r="Z1064" s="11"/>
      <c r="AA1064" s="36"/>
      <c r="AB1064" s="36"/>
      <c r="AC1064" s="13"/>
      <c r="AD1064" s="13"/>
      <c r="AE1064" s="37"/>
      <c r="AF1064" s="37"/>
      <c r="AG1064" s="14"/>
      <c r="AH1064" s="14"/>
      <c r="AI1064" s="14"/>
      <c r="AZ1064" s="24"/>
    </row>
    <row r="1065">
      <c r="B1065" s="24"/>
      <c r="E1065" s="113"/>
      <c r="F1065" s="266"/>
      <c r="G1065" s="113"/>
      <c r="K1065" s="36"/>
      <c r="L1065" s="117"/>
      <c r="M1065" s="128"/>
      <c r="N1065" s="117"/>
      <c r="R1065" s="117"/>
      <c r="T1065" s="117"/>
      <c r="V1065" s="117"/>
      <c r="X1065" s="117"/>
      <c r="Y1065" s="10"/>
      <c r="Z1065" s="11"/>
      <c r="AA1065" s="36"/>
      <c r="AB1065" s="36"/>
      <c r="AC1065" s="13"/>
      <c r="AD1065" s="13"/>
      <c r="AE1065" s="37"/>
      <c r="AF1065" s="37"/>
      <c r="AG1065" s="14"/>
      <c r="AH1065" s="14"/>
      <c r="AI1065" s="14"/>
      <c r="AZ1065" s="24"/>
    </row>
    <row r="1066">
      <c r="B1066" s="24"/>
      <c r="E1066" s="113"/>
      <c r="F1066" s="266"/>
      <c r="G1066" s="113"/>
      <c r="K1066" s="36"/>
      <c r="L1066" s="117"/>
      <c r="M1066" s="128"/>
      <c r="N1066" s="117"/>
      <c r="R1066" s="117"/>
      <c r="T1066" s="117"/>
      <c r="V1066" s="117"/>
      <c r="X1066" s="117"/>
      <c r="Y1066" s="10"/>
      <c r="Z1066" s="11"/>
      <c r="AA1066" s="36"/>
      <c r="AB1066" s="36"/>
      <c r="AC1066" s="13"/>
      <c r="AD1066" s="13"/>
      <c r="AE1066" s="37"/>
      <c r="AF1066" s="37"/>
      <c r="AG1066" s="14"/>
      <c r="AH1066" s="14"/>
      <c r="AI1066" s="14"/>
      <c r="AZ1066" s="24"/>
    </row>
    <row r="1067">
      <c r="B1067" s="24"/>
      <c r="E1067" s="113"/>
      <c r="F1067" s="266"/>
      <c r="G1067" s="113"/>
      <c r="K1067" s="36"/>
      <c r="L1067" s="117"/>
      <c r="M1067" s="128"/>
      <c r="N1067" s="117"/>
      <c r="R1067" s="117"/>
      <c r="T1067" s="117"/>
      <c r="V1067" s="117"/>
      <c r="X1067" s="117"/>
      <c r="Y1067" s="10"/>
      <c r="Z1067" s="11"/>
      <c r="AA1067" s="36"/>
      <c r="AB1067" s="36"/>
      <c r="AC1067" s="13"/>
      <c r="AD1067" s="13"/>
      <c r="AE1067" s="37"/>
      <c r="AF1067" s="37"/>
      <c r="AG1067" s="14"/>
      <c r="AH1067" s="14"/>
      <c r="AI1067" s="14"/>
      <c r="AZ1067" s="24"/>
    </row>
    <row r="1068">
      <c r="B1068" s="24"/>
      <c r="E1068" s="113"/>
      <c r="F1068" s="266"/>
      <c r="G1068" s="113"/>
      <c r="K1068" s="36"/>
      <c r="L1068" s="117"/>
      <c r="M1068" s="128"/>
      <c r="N1068" s="117"/>
      <c r="R1068" s="117"/>
      <c r="T1068" s="117"/>
      <c r="V1068" s="117"/>
      <c r="X1068" s="117"/>
      <c r="Y1068" s="10"/>
      <c r="Z1068" s="11"/>
      <c r="AA1068" s="36"/>
      <c r="AB1068" s="36"/>
      <c r="AC1068" s="13"/>
      <c r="AD1068" s="13"/>
      <c r="AE1068" s="37"/>
      <c r="AF1068" s="37"/>
      <c r="AG1068" s="14"/>
      <c r="AH1068" s="14"/>
      <c r="AI1068" s="14"/>
      <c r="AZ1068" s="24"/>
    </row>
    <row r="1069">
      <c r="B1069" s="24"/>
      <c r="E1069" s="113"/>
      <c r="F1069" s="266"/>
      <c r="G1069" s="113"/>
      <c r="K1069" s="36"/>
      <c r="L1069" s="117"/>
      <c r="M1069" s="128"/>
      <c r="N1069" s="117"/>
      <c r="R1069" s="117"/>
      <c r="T1069" s="117"/>
      <c r="V1069" s="117"/>
      <c r="X1069" s="117"/>
      <c r="Y1069" s="10"/>
      <c r="Z1069" s="11"/>
      <c r="AA1069" s="36"/>
      <c r="AB1069" s="36"/>
      <c r="AC1069" s="13"/>
      <c r="AD1069" s="13"/>
      <c r="AE1069" s="37"/>
      <c r="AF1069" s="37"/>
      <c r="AG1069" s="14"/>
      <c r="AH1069" s="14"/>
      <c r="AI1069" s="14"/>
      <c r="AZ1069" s="24"/>
    </row>
    <row r="1070">
      <c r="B1070" s="24"/>
      <c r="E1070" s="113"/>
      <c r="F1070" s="266"/>
      <c r="G1070" s="113"/>
      <c r="K1070" s="36"/>
      <c r="L1070" s="117"/>
      <c r="M1070" s="128"/>
      <c r="N1070" s="117"/>
      <c r="R1070" s="117"/>
      <c r="T1070" s="117"/>
      <c r="V1070" s="117"/>
      <c r="X1070" s="117"/>
      <c r="Y1070" s="10"/>
      <c r="Z1070" s="11"/>
      <c r="AA1070" s="36"/>
      <c r="AB1070" s="36"/>
      <c r="AC1070" s="13"/>
      <c r="AD1070" s="13"/>
      <c r="AE1070" s="37"/>
      <c r="AF1070" s="37"/>
      <c r="AG1070" s="14"/>
      <c r="AH1070" s="14"/>
      <c r="AI1070" s="14"/>
      <c r="AZ1070" s="24"/>
    </row>
    <row r="1071">
      <c r="B1071" s="24"/>
      <c r="E1071" s="113"/>
      <c r="F1071" s="266"/>
      <c r="G1071" s="113"/>
      <c r="K1071" s="36"/>
      <c r="L1071" s="117"/>
      <c r="M1071" s="128"/>
      <c r="N1071" s="117"/>
      <c r="R1071" s="117"/>
      <c r="T1071" s="117"/>
      <c r="V1071" s="117"/>
      <c r="X1071" s="117"/>
      <c r="Y1071" s="10"/>
      <c r="Z1071" s="11"/>
      <c r="AA1071" s="36"/>
      <c r="AB1071" s="36"/>
      <c r="AC1071" s="13"/>
      <c r="AD1071" s="13"/>
      <c r="AE1071" s="37"/>
      <c r="AF1071" s="37"/>
      <c r="AG1071" s="14"/>
      <c r="AH1071" s="14"/>
      <c r="AI1071" s="14"/>
      <c r="AZ1071" s="24"/>
    </row>
    <row r="1072">
      <c r="B1072" s="24"/>
      <c r="E1072" s="113"/>
      <c r="F1072" s="266"/>
      <c r="G1072" s="113"/>
      <c r="K1072" s="36"/>
      <c r="L1072" s="117"/>
      <c r="M1072" s="128"/>
      <c r="N1072" s="117"/>
      <c r="R1072" s="117"/>
      <c r="T1072" s="117"/>
      <c r="V1072" s="117"/>
      <c r="X1072" s="117"/>
      <c r="Y1072" s="10"/>
      <c r="Z1072" s="11"/>
      <c r="AA1072" s="36"/>
      <c r="AB1072" s="36"/>
      <c r="AC1072" s="13"/>
      <c r="AD1072" s="13"/>
      <c r="AE1072" s="37"/>
      <c r="AF1072" s="37"/>
      <c r="AG1072" s="14"/>
      <c r="AH1072" s="14"/>
      <c r="AI1072" s="14"/>
      <c r="AZ1072" s="24"/>
    </row>
    <row r="1073">
      <c r="B1073" s="24"/>
      <c r="E1073" s="113"/>
      <c r="F1073" s="266"/>
      <c r="G1073" s="113"/>
      <c r="K1073" s="36"/>
      <c r="L1073" s="117"/>
      <c r="M1073" s="128"/>
      <c r="N1073" s="117"/>
      <c r="R1073" s="117"/>
      <c r="T1073" s="117"/>
      <c r="V1073" s="117"/>
      <c r="X1073" s="117"/>
      <c r="Y1073" s="10"/>
      <c r="Z1073" s="11"/>
      <c r="AA1073" s="36"/>
      <c r="AB1073" s="36"/>
      <c r="AC1073" s="13"/>
      <c r="AD1073" s="13"/>
      <c r="AE1073" s="37"/>
      <c r="AF1073" s="37"/>
      <c r="AG1073" s="14"/>
      <c r="AH1073" s="14"/>
      <c r="AI1073" s="14"/>
      <c r="AZ1073" s="24"/>
    </row>
    <row r="1074">
      <c r="B1074" s="24"/>
      <c r="E1074" s="113"/>
      <c r="F1074" s="266"/>
      <c r="G1074" s="113"/>
      <c r="K1074" s="36"/>
      <c r="L1074" s="117"/>
      <c r="M1074" s="128"/>
      <c r="N1074" s="117"/>
      <c r="R1074" s="117"/>
      <c r="T1074" s="117"/>
      <c r="V1074" s="117"/>
      <c r="X1074" s="117"/>
      <c r="Y1074" s="10"/>
      <c r="Z1074" s="11"/>
      <c r="AA1074" s="36"/>
      <c r="AB1074" s="36"/>
      <c r="AC1074" s="13"/>
      <c r="AD1074" s="13"/>
      <c r="AE1074" s="37"/>
      <c r="AF1074" s="37"/>
      <c r="AG1074" s="14"/>
      <c r="AH1074" s="14"/>
      <c r="AI1074" s="14"/>
      <c r="AZ1074" s="24"/>
    </row>
    <row r="1075">
      <c r="B1075" s="24"/>
      <c r="E1075" s="113"/>
      <c r="F1075" s="266"/>
      <c r="G1075" s="113"/>
      <c r="K1075" s="36"/>
      <c r="L1075" s="117"/>
      <c r="M1075" s="128"/>
      <c r="N1075" s="117"/>
      <c r="R1075" s="117"/>
      <c r="T1075" s="117"/>
      <c r="V1075" s="117"/>
      <c r="X1075" s="117"/>
      <c r="Y1075" s="10"/>
      <c r="Z1075" s="11"/>
      <c r="AA1075" s="36"/>
      <c r="AB1075" s="36"/>
      <c r="AC1075" s="13"/>
      <c r="AD1075" s="13"/>
      <c r="AE1075" s="37"/>
      <c r="AF1075" s="37"/>
      <c r="AG1075" s="14"/>
      <c r="AH1075" s="14"/>
      <c r="AI1075" s="14"/>
      <c r="AZ1075" s="24"/>
    </row>
    <row r="1076">
      <c r="B1076" s="24"/>
      <c r="E1076" s="113"/>
      <c r="F1076" s="266"/>
      <c r="G1076" s="113"/>
      <c r="K1076" s="36"/>
      <c r="L1076" s="117"/>
      <c r="M1076" s="128"/>
      <c r="N1076" s="117"/>
      <c r="R1076" s="117"/>
      <c r="T1076" s="117"/>
      <c r="V1076" s="117"/>
      <c r="X1076" s="117"/>
      <c r="Y1076" s="10"/>
      <c r="Z1076" s="11"/>
      <c r="AA1076" s="36"/>
      <c r="AB1076" s="36"/>
      <c r="AC1076" s="13"/>
      <c r="AD1076" s="13"/>
      <c r="AE1076" s="37"/>
      <c r="AF1076" s="37"/>
      <c r="AG1076" s="14"/>
      <c r="AH1076" s="14"/>
      <c r="AI1076" s="14"/>
      <c r="AZ1076" s="24"/>
    </row>
    <row r="1077">
      <c r="B1077" s="24"/>
      <c r="E1077" s="113"/>
      <c r="F1077" s="266"/>
      <c r="G1077" s="113"/>
      <c r="K1077" s="36"/>
      <c r="L1077" s="117"/>
      <c r="M1077" s="128"/>
      <c r="N1077" s="117"/>
      <c r="R1077" s="117"/>
      <c r="T1077" s="117"/>
      <c r="V1077" s="117"/>
      <c r="X1077" s="117"/>
      <c r="Y1077" s="10"/>
      <c r="Z1077" s="11"/>
      <c r="AA1077" s="36"/>
      <c r="AB1077" s="36"/>
      <c r="AC1077" s="13"/>
      <c r="AD1077" s="13"/>
      <c r="AE1077" s="37"/>
      <c r="AF1077" s="37"/>
      <c r="AG1077" s="14"/>
      <c r="AH1077" s="14"/>
      <c r="AI1077" s="14"/>
      <c r="AZ1077" s="24"/>
    </row>
    <row r="1078">
      <c r="B1078" s="24"/>
      <c r="E1078" s="113"/>
      <c r="F1078" s="266"/>
      <c r="G1078" s="113"/>
      <c r="K1078" s="36"/>
      <c r="L1078" s="117"/>
      <c r="M1078" s="128"/>
      <c r="N1078" s="117"/>
      <c r="R1078" s="117"/>
      <c r="T1078" s="117"/>
      <c r="V1078" s="117"/>
      <c r="X1078" s="117"/>
      <c r="Y1078" s="10"/>
      <c r="Z1078" s="11"/>
      <c r="AA1078" s="36"/>
      <c r="AB1078" s="36"/>
      <c r="AC1078" s="13"/>
      <c r="AD1078" s="13"/>
      <c r="AE1078" s="37"/>
      <c r="AF1078" s="37"/>
      <c r="AG1078" s="14"/>
      <c r="AH1078" s="14"/>
      <c r="AI1078" s="14"/>
      <c r="AZ1078" s="24"/>
    </row>
    <row r="1079">
      <c r="B1079" s="24"/>
      <c r="E1079" s="113"/>
      <c r="F1079" s="266"/>
      <c r="G1079" s="113"/>
      <c r="K1079" s="36"/>
      <c r="L1079" s="117"/>
      <c r="M1079" s="128"/>
      <c r="N1079" s="117"/>
      <c r="R1079" s="117"/>
      <c r="T1079" s="117"/>
      <c r="V1079" s="117"/>
      <c r="X1079" s="117"/>
      <c r="Y1079" s="10"/>
      <c r="Z1079" s="11"/>
      <c r="AA1079" s="36"/>
      <c r="AB1079" s="36"/>
      <c r="AC1079" s="13"/>
      <c r="AD1079" s="13"/>
      <c r="AE1079" s="37"/>
      <c r="AF1079" s="37"/>
      <c r="AG1079" s="14"/>
      <c r="AH1079" s="14"/>
      <c r="AI1079" s="14"/>
      <c r="AZ1079" s="24"/>
    </row>
    <row r="1080">
      <c r="B1080" s="24"/>
      <c r="E1080" s="113"/>
      <c r="F1080" s="266"/>
      <c r="G1080" s="113"/>
      <c r="K1080" s="36"/>
      <c r="L1080" s="117"/>
      <c r="M1080" s="128"/>
      <c r="N1080" s="117"/>
      <c r="R1080" s="117"/>
      <c r="T1080" s="117"/>
      <c r="V1080" s="117"/>
      <c r="X1080" s="117"/>
      <c r="Y1080" s="10"/>
      <c r="Z1080" s="11"/>
      <c r="AA1080" s="36"/>
      <c r="AB1080" s="36"/>
      <c r="AC1080" s="13"/>
      <c r="AD1080" s="13"/>
      <c r="AE1080" s="37"/>
      <c r="AF1080" s="37"/>
      <c r="AG1080" s="14"/>
      <c r="AH1080" s="14"/>
      <c r="AI1080" s="14"/>
      <c r="AZ1080" s="24"/>
    </row>
    <row r="1081">
      <c r="B1081" s="24"/>
      <c r="E1081" s="113"/>
      <c r="F1081" s="266"/>
      <c r="G1081" s="113"/>
      <c r="K1081" s="36"/>
      <c r="L1081" s="117"/>
      <c r="M1081" s="128"/>
      <c r="N1081" s="117"/>
      <c r="R1081" s="117"/>
      <c r="T1081" s="117"/>
      <c r="V1081" s="117"/>
      <c r="X1081" s="117"/>
      <c r="Y1081" s="10"/>
      <c r="Z1081" s="11"/>
      <c r="AA1081" s="36"/>
      <c r="AB1081" s="36"/>
      <c r="AC1081" s="13"/>
      <c r="AD1081" s="13"/>
      <c r="AE1081" s="37"/>
      <c r="AF1081" s="37"/>
      <c r="AG1081" s="14"/>
      <c r="AH1081" s="14"/>
      <c r="AI1081" s="14"/>
      <c r="AZ1081" s="24"/>
    </row>
    <row r="1082">
      <c r="B1082" s="24"/>
      <c r="E1082" s="113"/>
      <c r="F1082" s="266"/>
      <c r="G1082" s="113"/>
      <c r="K1082" s="36"/>
      <c r="L1082" s="117"/>
      <c r="M1082" s="128"/>
      <c r="N1082" s="117"/>
      <c r="R1082" s="117"/>
      <c r="T1082" s="117"/>
      <c r="V1082" s="117"/>
      <c r="X1082" s="117"/>
      <c r="Y1082" s="10"/>
      <c r="Z1082" s="11"/>
      <c r="AA1082" s="36"/>
      <c r="AB1082" s="36"/>
      <c r="AC1082" s="13"/>
      <c r="AD1082" s="13"/>
      <c r="AE1082" s="37"/>
      <c r="AF1082" s="37"/>
      <c r="AG1082" s="14"/>
      <c r="AH1082" s="14"/>
      <c r="AI1082" s="14"/>
      <c r="AZ1082" s="24"/>
    </row>
    <row r="1083">
      <c r="B1083" s="24"/>
      <c r="E1083" s="113"/>
      <c r="F1083" s="266"/>
      <c r="G1083" s="113"/>
      <c r="K1083" s="36"/>
      <c r="L1083" s="117"/>
      <c r="M1083" s="128"/>
      <c r="N1083" s="117"/>
      <c r="R1083" s="117"/>
      <c r="T1083" s="117"/>
      <c r="V1083" s="117"/>
      <c r="X1083" s="117"/>
      <c r="Y1083" s="10"/>
      <c r="Z1083" s="11"/>
      <c r="AA1083" s="36"/>
      <c r="AB1083" s="36"/>
      <c r="AC1083" s="13"/>
      <c r="AD1083" s="13"/>
      <c r="AE1083" s="37"/>
      <c r="AF1083" s="37"/>
      <c r="AG1083" s="14"/>
      <c r="AH1083" s="14"/>
      <c r="AI1083" s="14"/>
      <c r="AZ1083" s="24"/>
    </row>
    <row r="1084">
      <c r="B1084" s="24"/>
      <c r="E1084" s="113"/>
      <c r="F1084" s="266"/>
      <c r="G1084" s="113"/>
      <c r="K1084" s="36"/>
      <c r="L1084" s="117"/>
      <c r="M1084" s="128"/>
      <c r="N1084" s="117"/>
      <c r="R1084" s="117"/>
      <c r="T1084" s="117"/>
      <c r="V1084" s="117"/>
      <c r="X1084" s="117"/>
      <c r="Y1084" s="10"/>
      <c r="Z1084" s="11"/>
      <c r="AA1084" s="36"/>
      <c r="AB1084" s="36"/>
      <c r="AC1084" s="13"/>
      <c r="AD1084" s="13"/>
      <c r="AE1084" s="37"/>
      <c r="AF1084" s="37"/>
      <c r="AG1084" s="14"/>
      <c r="AH1084" s="14"/>
      <c r="AI1084" s="14"/>
      <c r="AZ1084" s="24"/>
    </row>
    <row r="1085">
      <c r="B1085" s="24"/>
      <c r="E1085" s="113"/>
      <c r="F1085" s="266"/>
      <c r="G1085" s="113"/>
      <c r="K1085" s="36"/>
      <c r="L1085" s="117"/>
      <c r="M1085" s="128"/>
      <c r="N1085" s="117"/>
      <c r="R1085" s="117"/>
      <c r="T1085" s="117"/>
      <c r="V1085" s="117"/>
      <c r="X1085" s="117"/>
      <c r="Y1085" s="10"/>
      <c r="Z1085" s="11"/>
      <c r="AA1085" s="36"/>
      <c r="AB1085" s="36"/>
      <c r="AC1085" s="13"/>
      <c r="AD1085" s="13"/>
      <c r="AE1085" s="37"/>
      <c r="AF1085" s="37"/>
      <c r="AG1085" s="14"/>
      <c r="AH1085" s="14"/>
      <c r="AI1085" s="14"/>
      <c r="AZ1085" s="24"/>
    </row>
    <row r="1086">
      <c r="B1086" s="24"/>
      <c r="E1086" s="113"/>
      <c r="F1086" s="266"/>
      <c r="G1086" s="113"/>
      <c r="K1086" s="36"/>
      <c r="L1086" s="117"/>
      <c r="M1086" s="128"/>
      <c r="N1086" s="117"/>
      <c r="R1086" s="117"/>
      <c r="T1086" s="117"/>
      <c r="V1086" s="117"/>
      <c r="X1086" s="117"/>
      <c r="Y1086" s="10"/>
      <c r="Z1086" s="11"/>
      <c r="AA1086" s="36"/>
      <c r="AB1086" s="36"/>
      <c r="AC1086" s="13"/>
      <c r="AD1086" s="13"/>
      <c r="AE1086" s="37"/>
      <c r="AF1086" s="37"/>
      <c r="AG1086" s="14"/>
      <c r="AH1086" s="14"/>
      <c r="AI1086" s="14"/>
      <c r="AZ1086" s="24"/>
    </row>
    <row r="1087">
      <c r="B1087" s="24"/>
      <c r="E1087" s="113"/>
      <c r="F1087" s="266"/>
      <c r="G1087" s="113"/>
      <c r="K1087" s="36"/>
      <c r="L1087" s="117"/>
      <c r="M1087" s="128"/>
      <c r="N1087" s="117"/>
      <c r="R1087" s="117"/>
      <c r="T1087" s="117"/>
      <c r="V1087" s="117"/>
      <c r="X1087" s="117"/>
      <c r="Y1087" s="10"/>
      <c r="Z1087" s="11"/>
      <c r="AA1087" s="36"/>
      <c r="AB1087" s="36"/>
      <c r="AC1087" s="13"/>
      <c r="AD1087" s="13"/>
      <c r="AE1087" s="37"/>
      <c r="AF1087" s="37"/>
      <c r="AG1087" s="14"/>
      <c r="AH1087" s="14"/>
      <c r="AI1087" s="14"/>
      <c r="AZ1087" s="24"/>
    </row>
    <row r="1088">
      <c r="B1088" s="24"/>
      <c r="E1088" s="113"/>
      <c r="F1088" s="266"/>
      <c r="G1088" s="113"/>
      <c r="K1088" s="36"/>
      <c r="L1088" s="117"/>
      <c r="M1088" s="128"/>
      <c r="N1088" s="117"/>
      <c r="R1088" s="117"/>
      <c r="T1088" s="117"/>
      <c r="V1088" s="117"/>
      <c r="X1088" s="117"/>
      <c r="Y1088" s="10"/>
      <c r="Z1088" s="11"/>
      <c r="AA1088" s="36"/>
      <c r="AB1088" s="36"/>
      <c r="AC1088" s="13"/>
      <c r="AD1088" s="13"/>
      <c r="AE1088" s="37"/>
      <c r="AF1088" s="37"/>
      <c r="AG1088" s="14"/>
      <c r="AH1088" s="14"/>
      <c r="AI1088" s="14"/>
      <c r="AZ1088" s="24"/>
    </row>
    <row r="1089">
      <c r="B1089" s="24"/>
      <c r="E1089" s="113"/>
      <c r="F1089" s="266"/>
      <c r="G1089" s="113"/>
      <c r="K1089" s="36"/>
      <c r="L1089" s="117"/>
      <c r="M1089" s="128"/>
      <c r="N1089" s="117"/>
      <c r="R1089" s="117"/>
      <c r="T1089" s="117"/>
      <c r="V1089" s="117"/>
      <c r="X1089" s="117"/>
      <c r="Y1089" s="10"/>
      <c r="Z1089" s="11"/>
      <c r="AA1089" s="36"/>
      <c r="AB1089" s="36"/>
      <c r="AC1089" s="13"/>
      <c r="AD1089" s="13"/>
      <c r="AE1089" s="37"/>
      <c r="AF1089" s="37"/>
      <c r="AG1089" s="14"/>
      <c r="AH1089" s="14"/>
      <c r="AI1089" s="14"/>
      <c r="AZ1089" s="24"/>
    </row>
    <row r="1090">
      <c r="B1090" s="24"/>
      <c r="E1090" s="113"/>
      <c r="F1090" s="266"/>
      <c r="G1090" s="113"/>
      <c r="K1090" s="36"/>
      <c r="L1090" s="117"/>
      <c r="M1090" s="128"/>
      <c r="N1090" s="117"/>
      <c r="R1090" s="117"/>
      <c r="T1090" s="117"/>
      <c r="V1090" s="117"/>
      <c r="X1090" s="117"/>
      <c r="Y1090" s="10"/>
      <c r="Z1090" s="11"/>
      <c r="AA1090" s="36"/>
      <c r="AB1090" s="36"/>
      <c r="AC1090" s="13"/>
      <c r="AD1090" s="13"/>
      <c r="AE1090" s="37"/>
      <c r="AF1090" s="37"/>
      <c r="AG1090" s="14"/>
      <c r="AH1090" s="14"/>
      <c r="AI1090" s="14"/>
      <c r="AZ1090" s="24"/>
    </row>
    <row r="1091">
      <c r="B1091" s="24"/>
      <c r="E1091" s="113"/>
      <c r="F1091" s="266"/>
      <c r="G1091" s="113"/>
      <c r="K1091" s="36"/>
      <c r="L1091" s="117"/>
      <c r="M1091" s="128"/>
      <c r="N1091" s="117"/>
      <c r="R1091" s="117"/>
      <c r="T1091" s="117"/>
      <c r="V1091" s="117"/>
      <c r="X1091" s="117"/>
      <c r="Y1091" s="10"/>
      <c r="Z1091" s="11"/>
      <c r="AA1091" s="36"/>
      <c r="AB1091" s="36"/>
      <c r="AC1091" s="13"/>
      <c r="AD1091" s="13"/>
      <c r="AE1091" s="37"/>
      <c r="AF1091" s="37"/>
      <c r="AG1091" s="14"/>
      <c r="AH1091" s="14"/>
      <c r="AI1091" s="14"/>
      <c r="AZ1091" s="24"/>
    </row>
    <row r="1092">
      <c r="B1092" s="24"/>
      <c r="E1092" s="113"/>
      <c r="F1092" s="266"/>
      <c r="G1092" s="113"/>
      <c r="K1092" s="36"/>
      <c r="L1092" s="117"/>
      <c r="M1092" s="128"/>
      <c r="N1092" s="117"/>
      <c r="R1092" s="117"/>
      <c r="T1092" s="117"/>
      <c r="V1092" s="117"/>
      <c r="X1092" s="117"/>
      <c r="Y1092" s="10"/>
      <c r="Z1092" s="11"/>
      <c r="AA1092" s="36"/>
      <c r="AB1092" s="36"/>
      <c r="AC1092" s="13"/>
      <c r="AD1092" s="13"/>
      <c r="AE1092" s="37"/>
      <c r="AF1092" s="37"/>
      <c r="AG1092" s="14"/>
      <c r="AH1092" s="14"/>
      <c r="AI1092" s="14"/>
      <c r="AZ1092" s="24"/>
    </row>
    <row r="1093">
      <c r="B1093" s="24"/>
      <c r="E1093" s="113"/>
      <c r="F1093" s="266"/>
      <c r="G1093" s="113"/>
      <c r="K1093" s="36"/>
      <c r="L1093" s="117"/>
      <c r="M1093" s="128"/>
      <c r="N1093" s="117"/>
      <c r="R1093" s="117"/>
      <c r="T1093" s="117"/>
      <c r="V1093" s="117"/>
      <c r="X1093" s="117"/>
      <c r="Y1093" s="10"/>
      <c r="Z1093" s="11"/>
      <c r="AA1093" s="36"/>
      <c r="AB1093" s="36"/>
      <c r="AC1093" s="13"/>
      <c r="AD1093" s="13"/>
      <c r="AE1093" s="37"/>
      <c r="AF1093" s="37"/>
      <c r="AG1093" s="14"/>
      <c r="AH1093" s="14"/>
      <c r="AI1093" s="14"/>
      <c r="AZ1093" s="24"/>
    </row>
    <row r="1094">
      <c r="B1094" s="24"/>
      <c r="E1094" s="113"/>
      <c r="F1094" s="266"/>
      <c r="G1094" s="113"/>
      <c r="K1094" s="36"/>
      <c r="L1094" s="117"/>
      <c r="M1094" s="128"/>
      <c r="N1094" s="117"/>
      <c r="R1094" s="117"/>
      <c r="T1094" s="117"/>
      <c r="V1094" s="117"/>
      <c r="X1094" s="117"/>
      <c r="Y1094" s="10"/>
      <c r="Z1094" s="11"/>
      <c r="AA1094" s="36"/>
      <c r="AB1094" s="36"/>
      <c r="AC1094" s="13"/>
      <c r="AD1094" s="13"/>
      <c r="AE1094" s="37"/>
      <c r="AF1094" s="37"/>
      <c r="AG1094" s="14"/>
      <c r="AH1094" s="14"/>
      <c r="AI1094" s="14"/>
      <c r="AZ1094" s="24"/>
    </row>
    <row r="1095">
      <c r="B1095" s="24"/>
      <c r="E1095" s="113"/>
      <c r="F1095" s="266"/>
      <c r="G1095" s="113"/>
      <c r="K1095" s="36"/>
      <c r="L1095" s="117"/>
      <c r="M1095" s="128"/>
      <c r="N1095" s="117"/>
      <c r="R1095" s="117"/>
      <c r="T1095" s="117"/>
      <c r="V1095" s="117"/>
      <c r="X1095" s="117"/>
      <c r="Y1095" s="10"/>
      <c r="Z1095" s="11"/>
      <c r="AA1095" s="36"/>
      <c r="AB1095" s="36"/>
      <c r="AC1095" s="13"/>
      <c r="AD1095" s="13"/>
      <c r="AE1095" s="37"/>
      <c r="AF1095" s="37"/>
      <c r="AG1095" s="14"/>
      <c r="AH1095" s="14"/>
      <c r="AI1095" s="14"/>
      <c r="AZ1095" s="24"/>
    </row>
    <row r="1096">
      <c r="B1096" s="24"/>
      <c r="E1096" s="113"/>
      <c r="F1096" s="266"/>
      <c r="G1096" s="113"/>
      <c r="K1096" s="36"/>
      <c r="L1096" s="117"/>
      <c r="M1096" s="128"/>
      <c r="N1096" s="117"/>
      <c r="R1096" s="117"/>
      <c r="T1096" s="117"/>
      <c r="V1096" s="117"/>
      <c r="X1096" s="117"/>
      <c r="Y1096" s="10"/>
      <c r="Z1096" s="11"/>
      <c r="AA1096" s="36"/>
      <c r="AB1096" s="36"/>
      <c r="AC1096" s="13"/>
      <c r="AD1096" s="13"/>
      <c r="AE1096" s="37"/>
      <c r="AF1096" s="37"/>
      <c r="AG1096" s="14"/>
      <c r="AH1096" s="14"/>
      <c r="AI1096" s="14"/>
      <c r="AZ1096" s="24"/>
    </row>
    <row r="1097">
      <c r="B1097" s="24"/>
      <c r="E1097" s="113"/>
      <c r="F1097" s="266"/>
      <c r="G1097" s="113"/>
      <c r="K1097" s="36"/>
      <c r="L1097" s="117"/>
      <c r="M1097" s="128"/>
      <c r="N1097" s="117"/>
      <c r="R1097" s="117"/>
      <c r="T1097" s="117"/>
      <c r="V1097" s="117"/>
      <c r="X1097" s="117"/>
      <c r="Y1097" s="10"/>
      <c r="Z1097" s="11"/>
      <c r="AA1097" s="36"/>
      <c r="AB1097" s="36"/>
      <c r="AC1097" s="13"/>
      <c r="AD1097" s="13"/>
      <c r="AE1097" s="37"/>
      <c r="AF1097" s="37"/>
      <c r="AG1097" s="14"/>
      <c r="AH1097" s="14"/>
      <c r="AI1097" s="14"/>
      <c r="AZ1097" s="24"/>
    </row>
    <row r="1098">
      <c r="B1098" s="24"/>
      <c r="E1098" s="113"/>
      <c r="F1098" s="266"/>
      <c r="G1098" s="113"/>
      <c r="K1098" s="36"/>
      <c r="L1098" s="117"/>
      <c r="M1098" s="128"/>
      <c r="N1098" s="117"/>
      <c r="R1098" s="117"/>
      <c r="T1098" s="117"/>
      <c r="V1098" s="117"/>
      <c r="X1098" s="117"/>
      <c r="Y1098" s="10"/>
      <c r="Z1098" s="11"/>
      <c r="AA1098" s="36"/>
      <c r="AB1098" s="36"/>
      <c r="AC1098" s="13"/>
      <c r="AD1098" s="13"/>
      <c r="AE1098" s="37"/>
      <c r="AF1098" s="37"/>
      <c r="AG1098" s="14"/>
      <c r="AH1098" s="14"/>
      <c r="AI1098" s="14"/>
      <c r="AZ1098" s="24"/>
    </row>
    <row r="1099">
      <c r="B1099" s="24"/>
      <c r="E1099" s="113"/>
      <c r="F1099" s="266"/>
      <c r="G1099" s="113"/>
      <c r="K1099" s="36"/>
      <c r="L1099" s="117"/>
      <c r="M1099" s="128"/>
      <c r="N1099" s="117"/>
      <c r="R1099" s="117"/>
      <c r="T1099" s="117"/>
      <c r="V1099" s="117"/>
      <c r="X1099" s="117"/>
      <c r="Y1099" s="10"/>
      <c r="Z1099" s="11"/>
      <c r="AA1099" s="36"/>
      <c r="AB1099" s="36"/>
      <c r="AC1099" s="13"/>
      <c r="AD1099" s="13"/>
      <c r="AE1099" s="37"/>
      <c r="AF1099" s="37"/>
      <c r="AG1099" s="14"/>
      <c r="AH1099" s="14"/>
      <c r="AI1099" s="14"/>
      <c r="AZ1099" s="24"/>
    </row>
    <row r="1100">
      <c r="B1100" s="24"/>
      <c r="E1100" s="113"/>
      <c r="F1100" s="266"/>
      <c r="G1100" s="113"/>
      <c r="K1100" s="36"/>
      <c r="L1100" s="117"/>
      <c r="M1100" s="128"/>
      <c r="N1100" s="117"/>
      <c r="R1100" s="117"/>
      <c r="T1100" s="117"/>
      <c r="V1100" s="117"/>
      <c r="X1100" s="117"/>
      <c r="Y1100" s="10"/>
      <c r="Z1100" s="11"/>
      <c r="AA1100" s="36"/>
      <c r="AB1100" s="36"/>
      <c r="AC1100" s="13"/>
      <c r="AD1100" s="13"/>
      <c r="AE1100" s="37"/>
      <c r="AF1100" s="37"/>
      <c r="AG1100" s="14"/>
      <c r="AH1100" s="14"/>
      <c r="AI1100" s="14"/>
      <c r="AZ1100" s="24"/>
    </row>
    <row r="1101">
      <c r="B1101" s="24"/>
      <c r="E1101" s="113"/>
      <c r="F1101" s="266"/>
      <c r="G1101" s="113"/>
      <c r="K1101" s="36"/>
      <c r="L1101" s="117"/>
      <c r="M1101" s="128"/>
      <c r="N1101" s="117"/>
      <c r="R1101" s="117"/>
      <c r="T1101" s="117"/>
      <c r="V1101" s="117"/>
      <c r="X1101" s="117"/>
      <c r="Y1101" s="10"/>
      <c r="Z1101" s="11"/>
      <c r="AA1101" s="36"/>
      <c r="AB1101" s="36"/>
      <c r="AC1101" s="13"/>
      <c r="AD1101" s="13"/>
      <c r="AE1101" s="37"/>
      <c r="AF1101" s="37"/>
      <c r="AG1101" s="14"/>
      <c r="AH1101" s="14"/>
      <c r="AI1101" s="14"/>
      <c r="AZ1101" s="24"/>
    </row>
    <row r="1102">
      <c r="B1102" s="24"/>
      <c r="E1102" s="113"/>
      <c r="F1102" s="266"/>
      <c r="G1102" s="113"/>
      <c r="K1102" s="36"/>
      <c r="L1102" s="117"/>
      <c r="M1102" s="128"/>
      <c r="N1102" s="117"/>
      <c r="R1102" s="117"/>
      <c r="T1102" s="117"/>
      <c r="V1102" s="117"/>
      <c r="X1102" s="117"/>
      <c r="Y1102" s="10"/>
      <c r="Z1102" s="11"/>
      <c r="AA1102" s="36"/>
      <c r="AB1102" s="36"/>
      <c r="AC1102" s="13"/>
      <c r="AD1102" s="13"/>
      <c r="AE1102" s="37"/>
      <c r="AF1102" s="37"/>
      <c r="AG1102" s="14"/>
      <c r="AH1102" s="14"/>
      <c r="AI1102" s="14"/>
      <c r="AZ1102" s="24"/>
    </row>
    <row r="1103">
      <c r="B1103" s="24"/>
      <c r="E1103" s="113"/>
      <c r="F1103" s="266"/>
      <c r="G1103" s="113"/>
      <c r="K1103" s="36"/>
      <c r="L1103" s="117"/>
      <c r="M1103" s="128"/>
      <c r="N1103" s="117"/>
      <c r="R1103" s="117"/>
      <c r="T1103" s="117"/>
      <c r="V1103" s="117"/>
      <c r="X1103" s="117"/>
      <c r="Y1103" s="10"/>
      <c r="Z1103" s="11"/>
      <c r="AA1103" s="36"/>
      <c r="AB1103" s="36"/>
      <c r="AC1103" s="13"/>
      <c r="AD1103" s="13"/>
      <c r="AE1103" s="37"/>
      <c r="AF1103" s="37"/>
      <c r="AG1103" s="14"/>
      <c r="AH1103" s="14"/>
      <c r="AI1103" s="14"/>
      <c r="AZ1103" s="24"/>
    </row>
    <row r="1104">
      <c r="B1104" s="24"/>
      <c r="E1104" s="113"/>
      <c r="F1104" s="266"/>
      <c r="G1104" s="113"/>
      <c r="K1104" s="36"/>
      <c r="L1104" s="117"/>
      <c r="M1104" s="128"/>
      <c r="N1104" s="117"/>
      <c r="R1104" s="117"/>
      <c r="T1104" s="117"/>
      <c r="V1104" s="117"/>
      <c r="X1104" s="117"/>
      <c r="Y1104" s="10"/>
      <c r="Z1104" s="11"/>
      <c r="AA1104" s="36"/>
      <c r="AB1104" s="36"/>
      <c r="AC1104" s="13"/>
      <c r="AD1104" s="13"/>
      <c r="AE1104" s="37"/>
      <c r="AF1104" s="37"/>
      <c r="AG1104" s="14"/>
      <c r="AH1104" s="14"/>
      <c r="AI1104" s="14"/>
      <c r="AZ1104" s="24"/>
    </row>
    <row r="1105">
      <c r="B1105" s="24"/>
      <c r="E1105" s="113"/>
      <c r="F1105" s="266"/>
      <c r="G1105" s="113"/>
      <c r="K1105" s="36"/>
      <c r="L1105" s="117"/>
      <c r="M1105" s="128"/>
      <c r="N1105" s="117"/>
      <c r="R1105" s="117"/>
      <c r="T1105" s="117"/>
      <c r="V1105" s="117"/>
      <c r="X1105" s="117"/>
      <c r="Y1105" s="10"/>
      <c r="Z1105" s="11"/>
      <c r="AA1105" s="36"/>
      <c r="AB1105" s="36"/>
      <c r="AC1105" s="13"/>
      <c r="AD1105" s="13"/>
      <c r="AE1105" s="37"/>
      <c r="AF1105" s="37"/>
      <c r="AG1105" s="14"/>
      <c r="AH1105" s="14"/>
      <c r="AI1105" s="14"/>
      <c r="AZ1105" s="24"/>
    </row>
    <row r="1106">
      <c r="B1106" s="24"/>
      <c r="E1106" s="113"/>
      <c r="F1106" s="266"/>
      <c r="G1106" s="113"/>
      <c r="K1106" s="36"/>
      <c r="L1106" s="117"/>
      <c r="M1106" s="128"/>
      <c r="N1106" s="117"/>
      <c r="R1106" s="117"/>
      <c r="T1106" s="117"/>
      <c r="V1106" s="117"/>
      <c r="X1106" s="117"/>
      <c r="Y1106" s="10"/>
      <c r="Z1106" s="11"/>
      <c r="AA1106" s="36"/>
      <c r="AB1106" s="36"/>
      <c r="AC1106" s="13"/>
      <c r="AD1106" s="13"/>
      <c r="AE1106" s="37"/>
      <c r="AF1106" s="37"/>
      <c r="AG1106" s="14"/>
      <c r="AH1106" s="14"/>
      <c r="AI1106" s="14"/>
      <c r="AZ1106" s="24"/>
    </row>
    <row r="1107">
      <c r="B1107" s="24"/>
      <c r="E1107" s="113"/>
      <c r="F1107" s="266"/>
      <c r="G1107" s="113"/>
      <c r="K1107" s="36"/>
      <c r="L1107" s="117"/>
      <c r="M1107" s="128"/>
      <c r="N1107" s="117"/>
      <c r="R1107" s="117"/>
      <c r="T1107" s="117"/>
      <c r="V1107" s="117"/>
      <c r="X1107" s="117"/>
      <c r="Y1107" s="10"/>
      <c r="Z1107" s="11"/>
      <c r="AA1107" s="36"/>
      <c r="AB1107" s="36"/>
      <c r="AC1107" s="13"/>
      <c r="AD1107" s="13"/>
      <c r="AE1107" s="37"/>
      <c r="AF1107" s="37"/>
      <c r="AG1107" s="14"/>
      <c r="AH1107" s="14"/>
      <c r="AI1107" s="14"/>
      <c r="AZ1107" s="24"/>
    </row>
    <row r="1108">
      <c r="B1108" s="24"/>
      <c r="E1108" s="113"/>
      <c r="F1108" s="266"/>
      <c r="G1108" s="113"/>
      <c r="K1108" s="36"/>
      <c r="L1108" s="117"/>
      <c r="M1108" s="128"/>
      <c r="N1108" s="117"/>
      <c r="R1108" s="117"/>
      <c r="T1108" s="117"/>
      <c r="V1108" s="117"/>
      <c r="X1108" s="117"/>
      <c r="Y1108" s="10"/>
      <c r="Z1108" s="11"/>
      <c r="AA1108" s="36"/>
      <c r="AB1108" s="36"/>
      <c r="AC1108" s="13"/>
      <c r="AD1108" s="13"/>
      <c r="AE1108" s="37"/>
      <c r="AF1108" s="37"/>
      <c r="AG1108" s="14"/>
      <c r="AH1108" s="14"/>
      <c r="AI1108" s="14"/>
      <c r="AZ1108" s="24"/>
    </row>
    <row r="1109">
      <c r="B1109" s="24"/>
      <c r="E1109" s="113"/>
      <c r="F1109" s="266"/>
      <c r="G1109" s="113"/>
      <c r="K1109" s="36"/>
      <c r="L1109" s="117"/>
      <c r="M1109" s="128"/>
      <c r="N1109" s="117"/>
      <c r="R1109" s="117"/>
      <c r="T1109" s="117"/>
      <c r="V1109" s="117"/>
      <c r="X1109" s="117"/>
      <c r="Y1109" s="10"/>
      <c r="Z1109" s="11"/>
      <c r="AA1109" s="36"/>
      <c r="AB1109" s="36"/>
      <c r="AC1109" s="13"/>
      <c r="AD1109" s="13"/>
      <c r="AE1109" s="37"/>
      <c r="AF1109" s="37"/>
      <c r="AG1109" s="14"/>
      <c r="AH1109" s="14"/>
      <c r="AI1109" s="14"/>
      <c r="AZ1109" s="24"/>
    </row>
    <row r="1110">
      <c r="B1110" s="24"/>
      <c r="E1110" s="113"/>
      <c r="F1110" s="266"/>
      <c r="G1110" s="113"/>
      <c r="K1110" s="36"/>
      <c r="L1110" s="117"/>
      <c r="M1110" s="128"/>
      <c r="N1110" s="117"/>
      <c r="R1110" s="117"/>
      <c r="T1110" s="117"/>
      <c r="V1110" s="117"/>
      <c r="X1110" s="117"/>
      <c r="Y1110" s="10"/>
      <c r="Z1110" s="11"/>
      <c r="AA1110" s="36"/>
      <c r="AB1110" s="36"/>
      <c r="AC1110" s="13"/>
      <c r="AD1110" s="13"/>
      <c r="AE1110" s="37"/>
      <c r="AF1110" s="37"/>
      <c r="AG1110" s="14"/>
      <c r="AH1110" s="14"/>
      <c r="AI1110" s="14"/>
      <c r="AZ1110" s="24"/>
    </row>
    <row r="1111">
      <c r="B1111" s="24"/>
      <c r="E1111" s="113"/>
      <c r="F1111" s="266"/>
      <c r="G1111" s="113"/>
      <c r="K1111" s="36"/>
      <c r="L1111" s="117"/>
      <c r="M1111" s="128"/>
      <c r="N1111" s="117"/>
      <c r="R1111" s="117"/>
      <c r="T1111" s="117"/>
      <c r="V1111" s="117"/>
      <c r="X1111" s="117"/>
      <c r="Y1111" s="10"/>
      <c r="Z1111" s="11"/>
      <c r="AA1111" s="36"/>
      <c r="AB1111" s="36"/>
      <c r="AC1111" s="13"/>
      <c r="AD1111" s="13"/>
      <c r="AE1111" s="37"/>
      <c r="AF1111" s="37"/>
      <c r="AG1111" s="14"/>
      <c r="AH1111" s="14"/>
      <c r="AI1111" s="14"/>
      <c r="AZ1111" s="24"/>
    </row>
    <row r="1112">
      <c r="B1112" s="24"/>
      <c r="E1112" s="113"/>
      <c r="F1112" s="266"/>
      <c r="G1112" s="113"/>
      <c r="K1112" s="36"/>
      <c r="L1112" s="117"/>
      <c r="M1112" s="128"/>
      <c r="N1112" s="117"/>
      <c r="R1112" s="117"/>
      <c r="T1112" s="117"/>
      <c r="V1112" s="117"/>
      <c r="X1112" s="117"/>
      <c r="Y1112" s="10"/>
      <c r="Z1112" s="11"/>
      <c r="AA1112" s="36"/>
      <c r="AB1112" s="36"/>
      <c r="AC1112" s="13"/>
      <c r="AD1112" s="13"/>
      <c r="AE1112" s="37"/>
      <c r="AF1112" s="37"/>
      <c r="AG1112" s="14"/>
      <c r="AH1112" s="14"/>
      <c r="AI1112" s="14"/>
      <c r="AZ1112" s="24"/>
    </row>
    <row r="1113">
      <c r="B1113" s="24"/>
      <c r="E1113" s="113"/>
      <c r="F1113" s="266"/>
      <c r="G1113" s="113"/>
      <c r="K1113" s="36"/>
      <c r="L1113" s="117"/>
      <c r="M1113" s="128"/>
      <c r="N1113" s="117"/>
      <c r="R1113" s="117"/>
      <c r="T1113" s="117"/>
      <c r="V1113" s="117"/>
      <c r="X1113" s="117"/>
      <c r="Y1113" s="10"/>
      <c r="Z1113" s="11"/>
      <c r="AA1113" s="36"/>
      <c r="AB1113" s="36"/>
      <c r="AC1113" s="13"/>
      <c r="AD1113" s="13"/>
      <c r="AE1113" s="37"/>
      <c r="AF1113" s="37"/>
      <c r="AG1113" s="14"/>
      <c r="AH1113" s="14"/>
      <c r="AI1113" s="14"/>
      <c r="AZ1113" s="24"/>
    </row>
    <row r="1114">
      <c r="B1114" s="24"/>
      <c r="E1114" s="113"/>
      <c r="F1114" s="266"/>
      <c r="G1114" s="113"/>
      <c r="K1114" s="36"/>
      <c r="L1114" s="117"/>
      <c r="M1114" s="128"/>
      <c r="N1114" s="117"/>
      <c r="R1114" s="117"/>
      <c r="T1114" s="117"/>
      <c r="V1114" s="117"/>
      <c r="X1114" s="117"/>
      <c r="Y1114" s="10"/>
      <c r="Z1114" s="11"/>
      <c r="AA1114" s="36"/>
      <c r="AB1114" s="36"/>
      <c r="AC1114" s="13"/>
      <c r="AD1114" s="13"/>
      <c r="AE1114" s="37"/>
      <c r="AF1114" s="37"/>
      <c r="AG1114" s="14"/>
      <c r="AH1114" s="14"/>
      <c r="AI1114" s="14"/>
      <c r="AZ1114" s="24"/>
    </row>
    <row r="1115">
      <c r="B1115" s="24"/>
      <c r="E1115" s="113"/>
      <c r="F1115" s="266"/>
      <c r="G1115" s="113"/>
      <c r="K1115" s="36"/>
      <c r="L1115" s="117"/>
      <c r="M1115" s="128"/>
      <c r="N1115" s="117"/>
      <c r="R1115" s="117"/>
      <c r="T1115" s="117"/>
      <c r="V1115" s="117"/>
      <c r="X1115" s="117"/>
      <c r="Y1115" s="10"/>
      <c r="Z1115" s="11"/>
      <c r="AA1115" s="36"/>
      <c r="AB1115" s="36"/>
      <c r="AC1115" s="13"/>
      <c r="AD1115" s="13"/>
      <c r="AE1115" s="37"/>
      <c r="AF1115" s="37"/>
      <c r="AG1115" s="14"/>
      <c r="AH1115" s="14"/>
      <c r="AI1115" s="14"/>
      <c r="AZ1115" s="24"/>
    </row>
    <row r="1116">
      <c r="B1116" s="24"/>
      <c r="E1116" s="113"/>
      <c r="F1116" s="266"/>
      <c r="G1116" s="113"/>
      <c r="K1116" s="36"/>
      <c r="L1116" s="117"/>
      <c r="M1116" s="128"/>
      <c r="N1116" s="117"/>
      <c r="R1116" s="117"/>
      <c r="T1116" s="117"/>
      <c r="V1116" s="117"/>
      <c r="X1116" s="117"/>
      <c r="Y1116" s="10"/>
      <c r="Z1116" s="11"/>
      <c r="AA1116" s="36"/>
      <c r="AB1116" s="36"/>
      <c r="AC1116" s="13"/>
      <c r="AD1116" s="13"/>
      <c r="AE1116" s="37"/>
      <c r="AF1116" s="37"/>
      <c r="AG1116" s="14"/>
      <c r="AH1116" s="14"/>
      <c r="AI1116" s="14"/>
      <c r="AZ1116" s="24"/>
    </row>
    <row r="1117">
      <c r="B1117" s="24"/>
      <c r="E1117" s="113"/>
      <c r="F1117" s="266"/>
      <c r="G1117" s="113"/>
      <c r="K1117" s="36"/>
      <c r="L1117" s="117"/>
      <c r="M1117" s="128"/>
      <c r="N1117" s="117"/>
      <c r="R1117" s="117"/>
      <c r="T1117" s="117"/>
      <c r="V1117" s="117"/>
      <c r="X1117" s="117"/>
      <c r="Y1117" s="10"/>
      <c r="Z1117" s="11"/>
      <c r="AA1117" s="36"/>
      <c r="AB1117" s="36"/>
      <c r="AC1117" s="13"/>
      <c r="AD1117" s="13"/>
      <c r="AE1117" s="37"/>
      <c r="AF1117" s="37"/>
      <c r="AG1117" s="14"/>
      <c r="AH1117" s="14"/>
      <c r="AI1117" s="14"/>
      <c r="AZ1117" s="24"/>
    </row>
    <row r="1118">
      <c r="B1118" s="24"/>
      <c r="E1118" s="113"/>
      <c r="F1118" s="266"/>
      <c r="G1118" s="113"/>
      <c r="K1118" s="36"/>
      <c r="L1118" s="117"/>
      <c r="M1118" s="128"/>
      <c r="N1118" s="117"/>
      <c r="R1118" s="117"/>
      <c r="T1118" s="117"/>
      <c r="V1118" s="117"/>
      <c r="X1118" s="117"/>
      <c r="Y1118" s="10"/>
      <c r="Z1118" s="11"/>
      <c r="AA1118" s="36"/>
      <c r="AB1118" s="36"/>
      <c r="AC1118" s="13"/>
      <c r="AD1118" s="13"/>
      <c r="AE1118" s="37"/>
      <c r="AF1118" s="37"/>
      <c r="AG1118" s="14"/>
      <c r="AH1118" s="14"/>
      <c r="AI1118" s="14"/>
      <c r="AZ1118" s="24"/>
    </row>
    <row r="1119">
      <c r="B1119" s="24"/>
      <c r="E1119" s="113"/>
      <c r="F1119" s="266"/>
      <c r="G1119" s="113"/>
      <c r="K1119" s="36"/>
      <c r="L1119" s="117"/>
      <c r="M1119" s="128"/>
      <c r="N1119" s="117"/>
      <c r="R1119" s="117"/>
      <c r="T1119" s="117"/>
      <c r="V1119" s="117"/>
      <c r="X1119" s="117"/>
      <c r="Y1119" s="10"/>
      <c r="Z1119" s="11"/>
      <c r="AA1119" s="36"/>
      <c r="AB1119" s="36"/>
      <c r="AC1119" s="13"/>
      <c r="AD1119" s="13"/>
      <c r="AE1119" s="37"/>
      <c r="AF1119" s="37"/>
      <c r="AG1119" s="14"/>
      <c r="AH1119" s="14"/>
      <c r="AI1119" s="14"/>
      <c r="AZ1119" s="24"/>
    </row>
    <row r="1120">
      <c r="B1120" s="24"/>
      <c r="E1120" s="113"/>
      <c r="F1120" s="266"/>
      <c r="G1120" s="113"/>
      <c r="K1120" s="36"/>
      <c r="L1120" s="117"/>
      <c r="M1120" s="128"/>
      <c r="N1120" s="117"/>
      <c r="R1120" s="117"/>
      <c r="T1120" s="117"/>
      <c r="V1120" s="117"/>
      <c r="X1120" s="117"/>
      <c r="Y1120" s="10"/>
      <c r="Z1120" s="11"/>
      <c r="AA1120" s="36"/>
      <c r="AB1120" s="36"/>
      <c r="AC1120" s="13"/>
      <c r="AD1120" s="13"/>
      <c r="AE1120" s="37"/>
      <c r="AF1120" s="37"/>
      <c r="AG1120" s="14"/>
      <c r="AH1120" s="14"/>
      <c r="AI1120" s="14"/>
      <c r="AZ1120" s="24"/>
    </row>
    <row r="1121">
      <c r="B1121" s="24"/>
      <c r="E1121" s="113"/>
      <c r="F1121" s="266"/>
      <c r="G1121" s="113"/>
      <c r="K1121" s="36"/>
      <c r="L1121" s="117"/>
      <c r="M1121" s="128"/>
      <c r="N1121" s="117"/>
      <c r="R1121" s="117"/>
      <c r="T1121" s="117"/>
      <c r="V1121" s="117"/>
      <c r="X1121" s="117"/>
      <c r="Y1121" s="10"/>
      <c r="Z1121" s="11"/>
      <c r="AA1121" s="36"/>
      <c r="AB1121" s="36"/>
      <c r="AC1121" s="13"/>
      <c r="AD1121" s="13"/>
      <c r="AE1121" s="37"/>
      <c r="AF1121" s="37"/>
      <c r="AG1121" s="14"/>
      <c r="AH1121" s="14"/>
      <c r="AI1121" s="14"/>
      <c r="AZ1121" s="24"/>
    </row>
    <row r="1122">
      <c r="B1122" s="24"/>
      <c r="E1122" s="113"/>
      <c r="F1122" s="266"/>
      <c r="G1122" s="113"/>
      <c r="K1122" s="36"/>
      <c r="L1122" s="117"/>
      <c r="M1122" s="128"/>
      <c r="N1122" s="117"/>
      <c r="R1122" s="117"/>
      <c r="T1122" s="117"/>
      <c r="V1122" s="117"/>
      <c r="X1122" s="117"/>
      <c r="Y1122" s="10"/>
      <c r="Z1122" s="11"/>
      <c r="AA1122" s="36"/>
      <c r="AB1122" s="36"/>
      <c r="AC1122" s="13"/>
      <c r="AD1122" s="13"/>
      <c r="AE1122" s="37"/>
      <c r="AF1122" s="37"/>
      <c r="AG1122" s="14"/>
      <c r="AH1122" s="14"/>
      <c r="AI1122" s="14"/>
      <c r="AZ1122" s="24"/>
    </row>
    <row r="1123">
      <c r="B1123" s="24"/>
      <c r="E1123" s="113"/>
      <c r="F1123" s="266"/>
      <c r="G1123" s="113"/>
      <c r="K1123" s="36"/>
      <c r="L1123" s="117"/>
      <c r="M1123" s="128"/>
      <c r="N1123" s="117"/>
      <c r="R1123" s="117"/>
      <c r="T1123" s="117"/>
      <c r="V1123" s="117"/>
      <c r="X1123" s="117"/>
      <c r="Y1123" s="10"/>
      <c r="Z1123" s="11"/>
      <c r="AA1123" s="36"/>
      <c r="AB1123" s="36"/>
      <c r="AC1123" s="13"/>
      <c r="AD1123" s="13"/>
      <c r="AE1123" s="37"/>
      <c r="AF1123" s="37"/>
      <c r="AG1123" s="14"/>
      <c r="AH1123" s="14"/>
      <c r="AI1123" s="14"/>
      <c r="AZ1123" s="24"/>
    </row>
    <row r="1124">
      <c r="B1124" s="24"/>
      <c r="E1124" s="113"/>
      <c r="F1124" s="266"/>
      <c r="G1124" s="113"/>
      <c r="K1124" s="36"/>
      <c r="L1124" s="117"/>
      <c r="M1124" s="128"/>
      <c r="N1124" s="117"/>
      <c r="R1124" s="117"/>
      <c r="T1124" s="117"/>
      <c r="V1124" s="117"/>
      <c r="X1124" s="117"/>
      <c r="Y1124" s="10"/>
      <c r="Z1124" s="11"/>
      <c r="AA1124" s="36"/>
      <c r="AB1124" s="36"/>
      <c r="AC1124" s="13"/>
      <c r="AD1124" s="13"/>
      <c r="AE1124" s="37"/>
      <c r="AF1124" s="37"/>
      <c r="AG1124" s="14"/>
      <c r="AH1124" s="14"/>
      <c r="AI1124" s="14"/>
      <c r="AZ1124" s="24"/>
    </row>
    <row r="1125">
      <c r="B1125" s="24"/>
      <c r="E1125" s="113"/>
      <c r="F1125" s="266"/>
      <c r="G1125" s="113"/>
      <c r="K1125" s="36"/>
      <c r="L1125" s="117"/>
      <c r="M1125" s="128"/>
      <c r="N1125" s="117"/>
      <c r="R1125" s="117"/>
      <c r="T1125" s="117"/>
      <c r="V1125" s="117"/>
      <c r="X1125" s="117"/>
      <c r="Y1125" s="10"/>
      <c r="Z1125" s="11"/>
      <c r="AA1125" s="36"/>
      <c r="AB1125" s="36"/>
      <c r="AC1125" s="13"/>
      <c r="AD1125" s="13"/>
      <c r="AE1125" s="37"/>
      <c r="AF1125" s="37"/>
      <c r="AG1125" s="14"/>
      <c r="AH1125" s="14"/>
      <c r="AI1125" s="14"/>
      <c r="AZ1125" s="24"/>
    </row>
  </sheetData>
  <mergeCells count="637">
    <mergeCell ref="AL1:AL2"/>
    <mergeCell ref="AN1:AN2"/>
    <mergeCell ref="AP1:AP2"/>
    <mergeCell ref="AR1:AR2"/>
    <mergeCell ref="AT1:AT2"/>
    <mergeCell ref="AV1:AV2"/>
    <mergeCell ref="AX1:AX2"/>
    <mergeCell ref="Y5:Z5"/>
    <mergeCell ref="AA5:AB5"/>
    <mergeCell ref="AC5:AD5"/>
    <mergeCell ref="AG5:AI5"/>
    <mergeCell ref="AJ1:AJ2"/>
    <mergeCell ref="E2:F2"/>
    <mergeCell ref="I2:J2"/>
    <mergeCell ref="AA2:AB2"/>
    <mergeCell ref="G3:H3"/>
    <mergeCell ref="I3:J3"/>
    <mergeCell ref="I4:J4"/>
    <mergeCell ref="U7:V7"/>
    <mergeCell ref="W7:X7"/>
    <mergeCell ref="G4:H4"/>
    <mergeCell ref="G5:H5"/>
    <mergeCell ref="I5:J5"/>
    <mergeCell ref="E7:F7"/>
    <mergeCell ref="M7:N7"/>
    <mergeCell ref="O7:R7"/>
    <mergeCell ref="S7:T7"/>
    <mergeCell ref="O13:R13"/>
    <mergeCell ref="S13:T13"/>
    <mergeCell ref="U13:V13"/>
    <mergeCell ref="W13:X13"/>
    <mergeCell ref="C14:D14"/>
    <mergeCell ref="E14:F14"/>
    <mergeCell ref="G14:H14"/>
    <mergeCell ref="I14:J14"/>
    <mergeCell ref="C21:D22"/>
    <mergeCell ref="C23:D23"/>
    <mergeCell ref="C24:D24"/>
    <mergeCell ref="E24:F24"/>
    <mergeCell ref="G24:H24"/>
    <mergeCell ref="I24:J24"/>
    <mergeCell ref="E25:F25"/>
    <mergeCell ref="C26:D26"/>
    <mergeCell ref="E26:F26"/>
    <mergeCell ref="G26:H26"/>
    <mergeCell ref="I26:J26"/>
    <mergeCell ref="E27:F27"/>
    <mergeCell ref="G27:H27"/>
    <mergeCell ref="I27:J27"/>
    <mergeCell ref="C8:D8"/>
    <mergeCell ref="E8:F8"/>
    <mergeCell ref="G8:H8"/>
    <mergeCell ref="I8:J8"/>
    <mergeCell ref="E9:F9"/>
    <mergeCell ref="G9:H9"/>
    <mergeCell ref="I9:J9"/>
    <mergeCell ref="C9:D10"/>
    <mergeCell ref="C11:D11"/>
    <mergeCell ref="E12:F12"/>
    <mergeCell ref="G12:H12"/>
    <mergeCell ref="I12:J12"/>
    <mergeCell ref="E13:F13"/>
    <mergeCell ref="M13:N13"/>
    <mergeCell ref="E18:F18"/>
    <mergeCell ref="E19:F19"/>
    <mergeCell ref="M19:N19"/>
    <mergeCell ref="O19:R19"/>
    <mergeCell ref="S19:T19"/>
    <mergeCell ref="U19:V19"/>
    <mergeCell ref="W19:X19"/>
    <mergeCell ref="C15:D16"/>
    <mergeCell ref="E15:F15"/>
    <mergeCell ref="G15:H15"/>
    <mergeCell ref="I15:J15"/>
    <mergeCell ref="C17:D17"/>
    <mergeCell ref="G18:H18"/>
    <mergeCell ref="I18:J18"/>
    <mergeCell ref="C20:D20"/>
    <mergeCell ref="E20:F20"/>
    <mergeCell ref="G20:H20"/>
    <mergeCell ref="I20:J20"/>
    <mergeCell ref="E21:F21"/>
    <mergeCell ref="G21:H21"/>
    <mergeCell ref="I21:J21"/>
    <mergeCell ref="M25:N25"/>
    <mergeCell ref="O25:R25"/>
    <mergeCell ref="S25:T25"/>
    <mergeCell ref="U25:V25"/>
    <mergeCell ref="W25:X25"/>
    <mergeCell ref="O31:R31"/>
    <mergeCell ref="S31:T31"/>
    <mergeCell ref="U31:V31"/>
    <mergeCell ref="W31:X31"/>
    <mergeCell ref="C27:D28"/>
    <mergeCell ref="C29:D29"/>
    <mergeCell ref="E30:F30"/>
    <mergeCell ref="G30:H30"/>
    <mergeCell ref="I30:J30"/>
    <mergeCell ref="E31:F31"/>
    <mergeCell ref="M31:N31"/>
    <mergeCell ref="C32:D32"/>
    <mergeCell ref="E32:F32"/>
    <mergeCell ref="G32:H32"/>
    <mergeCell ref="I32:J32"/>
    <mergeCell ref="E33:F33"/>
    <mergeCell ref="G33:H33"/>
    <mergeCell ref="I33:J33"/>
    <mergeCell ref="O37:R37"/>
    <mergeCell ref="S37:T37"/>
    <mergeCell ref="U37:V37"/>
    <mergeCell ref="W37:X37"/>
    <mergeCell ref="C33:D34"/>
    <mergeCell ref="C35:D35"/>
    <mergeCell ref="E36:F36"/>
    <mergeCell ref="G36:H36"/>
    <mergeCell ref="I36:J36"/>
    <mergeCell ref="E37:F37"/>
    <mergeCell ref="M37:N37"/>
    <mergeCell ref="C38:D38"/>
    <mergeCell ref="E38:F38"/>
    <mergeCell ref="G38:H38"/>
    <mergeCell ref="I38:J38"/>
    <mergeCell ref="C39:D40"/>
    <mergeCell ref="G39:H39"/>
    <mergeCell ref="I39:J39"/>
    <mergeCell ref="O43:R43"/>
    <mergeCell ref="S43:T43"/>
    <mergeCell ref="U43:V43"/>
    <mergeCell ref="W43:X43"/>
    <mergeCell ref="E39:F39"/>
    <mergeCell ref="E42:F42"/>
    <mergeCell ref="G42:H42"/>
    <mergeCell ref="I42:J42"/>
    <mergeCell ref="C43:D43"/>
    <mergeCell ref="E43:F43"/>
    <mergeCell ref="M43:N43"/>
    <mergeCell ref="C44:D44"/>
    <mergeCell ref="E44:F44"/>
    <mergeCell ref="G44:H44"/>
    <mergeCell ref="I44:J44"/>
    <mergeCell ref="C45:D46"/>
    <mergeCell ref="G45:H45"/>
    <mergeCell ref="I45:J45"/>
    <mergeCell ref="S49:T49"/>
    <mergeCell ref="U49:V49"/>
    <mergeCell ref="W49:X49"/>
    <mergeCell ref="E45:F45"/>
    <mergeCell ref="E48:F48"/>
    <mergeCell ref="G48:H48"/>
    <mergeCell ref="I48:J48"/>
    <mergeCell ref="E49:F49"/>
    <mergeCell ref="M49:N49"/>
    <mergeCell ref="O49:R49"/>
    <mergeCell ref="C50:D50"/>
    <mergeCell ref="E50:F50"/>
    <mergeCell ref="G50:H50"/>
    <mergeCell ref="I50:J50"/>
    <mergeCell ref="C51:D52"/>
    <mergeCell ref="G51:H51"/>
    <mergeCell ref="I51:J51"/>
    <mergeCell ref="M55:N55"/>
    <mergeCell ref="O55:R55"/>
    <mergeCell ref="S55:T55"/>
    <mergeCell ref="U55:V55"/>
    <mergeCell ref="W55:X55"/>
    <mergeCell ref="E51:F51"/>
    <mergeCell ref="E54:F54"/>
    <mergeCell ref="G54:H54"/>
    <mergeCell ref="I54:J54"/>
    <mergeCell ref="E55:F55"/>
    <mergeCell ref="G55:H55"/>
    <mergeCell ref="I55:J55"/>
    <mergeCell ref="M61:N61"/>
    <mergeCell ref="O61:R61"/>
    <mergeCell ref="S61:T61"/>
    <mergeCell ref="U61:V61"/>
    <mergeCell ref="W61:X61"/>
    <mergeCell ref="C56:D56"/>
    <mergeCell ref="E56:F56"/>
    <mergeCell ref="G56:H56"/>
    <mergeCell ref="I56:J56"/>
    <mergeCell ref="C57:D58"/>
    <mergeCell ref="G57:H57"/>
    <mergeCell ref="I57:J57"/>
    <mergeCell ref="E57:F57"/>
    <mergeCell ref="E60:F60"/>
    <mergeCell ref="G60:H60"/>
    <mergeCell ref="I60:J60"/>
    <mergeCell ref="E61:F61"/>
    <mergeCell ref="G61:H61"/>
    <mergeCell ref="I61:J61"/>
    <mergeCell ref="C62:D62"/>
    <mergeCell ref="E62:F62"/>
    <mergeCell ref="G62:H62"/>
    <mergeCell ref="I62:J62"/>
    <mergeCell ref="C63:D64"/>
    <mergeCell ref="G63:H63"/>
    <mergeCell ref="I63:J63"/>
    <mergeCell ref="G68:H68"/>
    <mergeCell ref="I68:J68"/>
    <mergeCell ref="M68:N68"/>
    <mergeCell ref="O68:R68"/>
    <mergeCell ref="S68:T68"/>
    <mergeCell ref="U68:V68"/>
    <mergeCell ref="W68:X68"/>
    <mergeCell ref="E63:F63"/>
    <mergeCell ref="E66:F66"/>
    <mergeCell ref="G66:H66"/>
    <mergeCell ref="I66:J66"/>
    <mergeCell ref="E67:F67"/>
    <mergeCell ref="G67:H67"/>
    <mergeCell ref="E68:F68"/>
    <mergeCell ref="M74:N74"/>
    <mergeCell ref="O74:R74"/>
    <mergeCell ref="S74:T74"/>
    <mergeCell ref="U74:V74"/>
    <mergeCell ref="W74:X74"/>
    <mergeCell ref="C75:D75"/>
    <mergeCell ref="E75:F75"/>
    <mergeCell ref="G75:H75"/>
    <mergeCell ref="I75:J75"/>
    <mergeCell ref="C93:D93"/>
    <mergeCell ref="E93:F93"/>
    <mergeCell ref="G93:H93"/>
    <mergeCell ref="I93:J93"/>
    <mergeCell ref="E94:F94"/>
    <mergeCell ref="G94:H94"/>
    <mergeCell ref="I94:J94"/>
    <mergeCell ref="C94:D95"/>
    <mergeCell ref="C96:D96"/>
    <mergeCell ref="E97:F97"/>
    <mergeCell ref="G97:H97"/>
    <mergeCell ref="I97:J97"/>
    <mergeCell ref="E98:F98"/>
    <mergeCell ref="G98:H98"/>
    <mergeCell ref="C147:D147"/>
    <mergeCell ref="E147:F147"/>
    <mergeCell ref="G147:H147"/>
    <mergeCell ref="I147:J147"/>
    <mergeCell ref="E148:F148"/>
    <mergeCell ref="G148:H148"/>
    <mergeCell ref="I148:J148"/>
    <mergeCell ref="C148:D149"/>
    <mergeCell ref="C150:D150"/>
    <mergeCell ref="E151:F151"/>
    <mergeCell ref="G151:H151"/>
    <mergeCell ref="I151:J151"/>
    <mergeCell ref="E152:F152"/>
    <mergeCell ref="G152:H152"/>
    <mergeCell ref="U158:V158"/>
    <mergeCell ref="W158:X158"/>
    <mergeCell ref="E157:F157"/>
    <mergeCell ref="E158:F158"/>
    <mergeCell ref="G158:H158"/>
    <mergeCell ref="I158:J158"/>
    <mergeCell ref="M158:N158"/>
    <mergeCell ref="O158:R158"/>
    <mergeCell ref="S158:T158"/>
    <mergeCell ref="C154:D155"/>
    <mergeCell ref="E154:F154"/>
    <mergeCell ref="G154:H154"/>
    <mergeCell ref="I154:J154"/>
    <mergeCell ref="C156:D156"/>
    <mergeCell ref="G157:H157"/>
    <mergeCell ref="I157:J157"/>
    <mergeCell ref="I164:J164"/>
    <mergeCell ref="M164:N164"/>
    <mergeCell ref="O164:R164"/>
    <mergeCell ref="S164:T164"/>
    <mergeCell ref="U164:V164"/>
    <mergeCell ref="W164:X164"/>
    <mergeCell ref="C165:D165"/>
    <mergeCell ref="E165:F165"/>
    <mergeCell ref="G165:H165"/>
    <mergeCell ref="I165:J165"/>
    <mergeCell ref="C159:D159"/>
    <mergeCell ref="E159:F159"/>
    <mergeCell ref="G159:H159"/>
    <mergeCell ref="I159:J159"/>
    <mergeCell ref="E160:F160"/>
    <mergeCell ref="G160:H160"/>
    <mergeCell ref="I160:J160"/>
    <mergeCell ref="C160:D161"/>
    <mergeCell ref="C162:D162"/>
    <mergeCell ref="E163:F163"/>
    <mergeCell ref="G163:H163"/>
    <mergeCell ref="I163:J163"/>
    <mergeCell ref="E164:F164"/>
    <mergeCell ref="G164:H164"/>
    <mergeCell ref="U170:V170"/>
    <mergeCell ref="W170:X170"/>
    <mergeCell ref="E169:F169"/>
    <mergeCell ref="E170:F170"/>
    <mergeCell ref="G170:H170"/>
    <mergeCell ref="I170:J170"/>
    <mergeCell ref="M170:N170"/>
    <mergeCell ref="O170:R170"/>
    <mergeCell ref="S170:T170"/>
    <mergeCell ref="C166:D167"/>
    <mergeCell ref="E166:F166"/>
    <mergeCell ref="G166:H166"/>
    <mergeCell ref="I166:J166"/>
    <mergeCell ref="C168:D168"/>
    <mergeCell ref="G169:H169"/>
    <mergeCell ref="I169:J169"/>
    <mergeCell ref="I176:J176"/>
    <mergeCell ref="M176:N176"/>
    <mergeCell ref="O176:R176"/>
    <mergeCell ref="S176:T176"/>
    <mergeCell ref="U176:V176"/>
    <mergeCell ref="W176:X176"/>
    <mergeCell ref="O182:R182"/>
    <mergeCell ref="S182:T182"/>
    <mergeCell ref="U182:V182"/>
    <mergeCell ref="W182:X182"/>
    <mergeCell ref="C189:D189"/>
    <mergeCell ref="E189:F189"/>
    <mergeCell ref="G189:H189"/>
    <mergeCell ref="I189:J189"/>
    <mergeCell ref="E190:F190"/>
    <mergeCell ref="G190:H190"/>
    <mergeCell ref="I190:J190"/>
    <mergeCell ref="C190:D191"/>
    <mergeCell ref="C192:D192"/>
    <mergeCell ref="E193:F193"/>
    <mergeCell ref="G193:H193"/>
    <mergeCell ref="I193:J193"/>
    <mergeCell ref="E194:F194"/>
    <mergeCell ref="M194:N194"/>
    <mergeCell ref="E200:F200"/>
    <mergeCell ref="E201:F201"/>
    <mergeCell ref="C196:D197"/>
    <mergeCell ref="E196:F196"/>
    <mergeCell ref="G196:H196"/>
    <mergeCell ref="I196:J196"/>
    <mergeCell ref="E199:F199"/>
    <mergeCell ref="G199:H199"/>
    <mergeCell ref="I199:J199"/>
    <mergeCell ref="C177:D177"/>
    <mergeCell ref="E177:F177"/>
    <mergeCell ref="G177:H177"/>
    <mergeCell ref="I177:J177"/>
    <mergeCell ref="E178:F178"/>
    <mergeCell ref="G178:H178"/>
    <mergeCell ref="I178:J178"/>
    <mergeCell ref="C178:D179"/>
    <mergeCell ref="C180:D180"/>
    <mergeCell ref="E181:F181"/>
    <mergeCell ref="G181:H181"/>
    <mergeCell ref="I181:J181"/>
    <mergeCell ref="E182:F182"/>
    <mergeCell ref="M182:N182"/>
    <mergeCell ref="C183:D183"/>
    <mergeCell ref="E183:F183"/>
    <mergeCell ref="G183:H183"/>
    <mergeCell ref="I183:J183"/>
    <mergeCell ref="E184:F184"/>
    <mergeCell ref="G184:H184"/>
    <mergeCell ref="I184:J184"/>
    <mergeCell ref="O188:R188"/>
    <mergeCell ref="S188:T188"/>
    <mergeCell ref="U188:V188"/>
    <mergeCell ref="W188:X188"/>
    <mergeCell ref="C184:D185"/>
    <mergeCell ref="C186:D186"/>
    <mergeCell ref="E187:F187"/>
    <mergeCell ref="G187:H187"/>
    <mergeCell ref="I187:J187"/>
    <mergeCell ref="E188:F188"/>
    <mergeCell ref="M188:N188"/>
    <mergeCell ref="O194:R194"/>
    <mergeCell ref="S194:T194"/>
    <mergeCell ref="U194:V194"/>
    <mergeCell ref="W194:X194"/>
    <mergeCell ref="C195:D195"/>
    <mergeCell ref="E195:F195"/>
    <mergeCell ref="G195:H195"/>
    <mergeCell ref="I195:J195"/>
    <mergeCell ref="C69:D69"/>
    <mergeCell ref="E69:F69"/>
    <mergeCell ref="G69:H69"/>
    <mergeCell ref="I69:J69"/>
    <mergeCell ref="C70:D71"/>
    <mergeCell ref="G70:H70"/>
    <mergeCell ref="I70:J70"/>
    <mergeCell ref="E70:F70"/>
    <mergeCell ref="E73:F73"/>
    <mergeCell ref="G73:H73"/>
    <mergeCell ref="I73:J73"/>
    <mergeCell ref="E74:F74"/>
    <mergeCell ref="G74:H74"/>
    <mergeCell ref="I74:J74"/>
    <mergeCell ref="U80:V80"/>
    <mergeCell ref="W80:X80"/>
    <mergeCell ref="E79:F79"/>
    <mergeCell ref="E80:F80"/>
    <mergeCell ref="G80:H80"/>
    <mergeCell ref="I80:J80"/>
    <mergeCell ref="M80:N80"/>
    <mergeCell ref="O80:R80"/>
    <mergeCell ref="S80:T80"/>
    <mergeCell ref="C76:D77"/>
    <mergeCell ref="E76:F76"/>
    <mergeCell ref="G76:H76"/>
    <mergeCell ref="I76:J76"/>
    <mergeCell ref="C78:D78"/>
    <mergeCell ref="G79:H79"/>
    <mergeCell ref="I79:J79"/>
    <mergeCell ref="I86:J86"/>
    <mergeCell ref="M86:N86"/>
    <mergeCell ref="O86:R86"/>
    <mergeCell ref="S86:T86"/>
    <mergeCell ref="U86:V86"/>
    <mergeCell ref="W86:X86"/>
    <mergeCell ref="C87:D87"/>
    <mergeCell ref="E87:F87"/>
    <mergeCell ref="G87:H87"/>
    <mergeCell ref="I87:J87"/>
    <mergeCell ref="C81:D81"/>
    <mergeCell ref="E81:F81"/>
    <mergeCell ref="G81:H81"/>
    <mergeCell ref="I81:J81"/>
    <mergeCell ref="E82:F82"/>
    <mergeCell ref="G82:H82"/>
    <mergeCell ref="I82:J82"/>
    <mergeCell ref="C82:D83"/>
    <mergeCell ref="C84:D84"/>
    <mergeCell ref="E85:F85"/>
    <mergeCell ref="G85:H85"/>
    <mergeCell ref="I85:J85"/>
    <mergeCell ref="E86:F86"/>
    <mergeCell ref="G86:H86"/>
    <mergeCell ref="U92:V92"/>
    <mergeCell ref="W92:X92"/>
    <mergeCell ref="E91:F91"/>
    <mergeCell ref="E92:F92"/>
    <mergeCell ref="G92:H92"/>
    <mergeCell ref="I92:J92"/>
    <mergeCell ref="M92:N92"/>
    <mergeCell ref="O92:R92"/>
    <mergeCell ref="S92:T92"/>
    <mergeCell ref="C88:D89"/>
    <mergeCell ref="E88:F88"/>
    <mergeCell ref="G88:H88"/>
    <mergeCell ref="I88:J88"/>
    <mergeCell ref="C90:D90"/>
    <mergeCell ref="G91:H91"/>
    <mergeCell ref="I91:J91"/>
    <mergeCell ref="I98:J98"/>
    <mergeCell ref="M98:N98"/>
    <mergeCell ref="O98:R98"/>
    <mergeCell ref="S98:T98"/>
    <mergeCell ref="U98:V98"/>
    <mergeCell ref="W98:X98"/>
    <mergeCell ref="M104:N104"/>
    <mergeCell ref="O104:R104"/>
    <mergeCell ref="S104:T104"/>
    <mergeCell ref="U104:V104"/>
    <mergeCell ref="W104:X104"/>
    <mergeCell ref="C99:D99"/>
    <mergeCell ref="E99:F99"/>
    <mergeCell ref="G99:H99"/>
    <mergeCell ref="I99:J99"/>
    <mergeCell ref="C100:D101"/>
    <mergeCell ref="G100:H100"/>
    <mergeCell ref="I100:J100"/>
    <mergeCell ref="E100:F100"/>
    <mergeCell ref="E103:F103"/>
    <mergeCell ref="G103:H103"/>
    <mergeCell ref="I103:J103"/>
    <mergeCell ref="E104:F104"/>
    <mergeCell ref="G104:H104"/>
    <mergeCell ref="I104:J104"/>
    <mergeCell ref="C105:D105"/>
    <mergeCell ref="E105:F105"/>
    <mergeCell ref="G105:H105"/>
    <mergeCell ref="I105:J105"/>
    <mergeCell ref="E106:F106"/>
    <mergeCell ref="G106:H106"/>
    <mergeCell ref="I106:J106"/>
    <mergeCell ref="I110:J110"/>
    <mergeCell ref="M110:N110"/>
    <mergeCell ref="O110:R110"/>
    <mergeCell ref="S110:T110"/>
    <mergeCell ref="U110:V110"/>
    <mergeCell ref="W110:X110"/>
    <mergeCell ref="C106:D107"/>
    <mergeCell ref="C108:D108"/>
    <mergeCell ref="E109:F109"/>
    <mergeCell ref="G109:H109"/>
    <mergeCell ref="I109:J109"/>
    <mergeCell ref="E110:F110"/>
    <mergeCell ref="G110:H110"/>
    <mergeCell ref="I116:J116"/>
    <mergeCell ref="M116:N116"/>
    <mergeCell ref="O116:R116"/>
    <mergeCell ref="S116:T116"/>
    <mergeCell ref="U116:V116"/>
    <mergeCell ref="W116:X116"/>
    <mergeCell ref="C117:D117"/>
    <mergeCell ref="E117:F117"/>
    <mergeCell ref="G117:H117"/>
    <mergeCell ref="I117:J117"/>
    <mergeCell ref="C111:D111"/>
    <mergeCell ref="E111:F111"/>
    <mergeCell ref="G111:H111"/>
    <mergeCell ref="I111:J111"/>
    <mergeCell ref="E112:F112"/>
    <mergeCell ref="G112:H112"/>
    <mergeCell ref="I112:J112"/>
    <mergeCell ref="C112:D113"/>
    <mergeCell ref="C114:D114"/>
    <mergeCell ref="E115:F115"/>
    <mergeCell ref="G115:H115"/>
    <mergeCell ref="I115:J115"/>
    <mergeCell ref="E116:F116"/>
    <mergeCell ref="G116:H116"/>
    <mergeCell ref="U122:V122"/>
    <mergeCell ref="W122:X122"/>
    <mergeCell ref="E121:F121"/>
    <mergeCell ref="E122:F122"/>
    <mergeCell ref="G122:H122"/>
    <mergeCell ref="I122:J122"/>
    <mergeCell ref="M122:N122"/>
    <mergeCell ref="O122:R122"/>
    <mergeCell ref="S122:T122"/>
    <mergeCell ref="C118:D119"/>
    <mergeCell ref="E118:F118"/>
    <mergeCell ref="G118:H118"/>
    <mergeCell ref="I118:J118"/>
    <mergeCell ref="C120:D120"/>
    <mergeCell ref="G121:H121"/>
    <mergeCell ref="I121:J121"/>
    <mergeCell ref="I128:J128"/>
    <mergeCell ref="M128:N128"/>
    <mergeCell ref="O128:R128"/>
    <mergeCell ref="S128:T128"/>
    <mergeCell ref="U128:V128"/>
    <mergeCell ref="W128:X128"/>
    <mergeCell ref="C129:D129"/>
    <mergeCell ref="E129:F129"/>
    <mergeCell ref="G129:H129"/>
    <mergeCell ref="I129:J129"/>
    <mergeCell ref="C123:D123"/>
    <mergeCell ref="E123:F123"/>
    <mergeCell ref="G123:H123"/>
    <mergeCell ref="I123:J123"/>
    <mergeCell ref="E124:F124"/>
    <mergeCell ref="G124:H124"/>
    <mergeCell ref="I124:J124"/>
    <mergeCell ref="C124:D125"/>
    <mergeCell ref="C126:D126"/>
    <mergeCell ref="E127:F127"/>
    <mergeCell ref="G127:H127"/>
    <mergeCell ref="I127:J127"/>
    <mergeCell ref="E128:F128"/>
    <mergeCell ref="G128:H128"/>
    <mergeCell ref="U134:V134"/>
    <mergeCell ref="W134:X134"/>
    <mergeCell ref="E133:F133"/>
    <mergeCell ref="E134:F134"/>
    <mergeCell ref="G134:H134"/>
    <mergeCell ref="I134:J134"/>
    <mergeCell ref="M134:N134"/>
    <mergeCell ref="O134:R134"/>
    <mergeCell ref="S134:T134"/>
    <mergeCell ref="C130:D131"/>
    <mergeCell ref="E130:F130"/>
    <mergeCell ref="G130:H130"/>
    <mergeCell ref="I130:J130"/>
    <mergeCell ref="C132:D132"/>
    <mergeCell ref="G133:H133"/>
    <mergeCell ref="I133:J133"/>
    <mergeCell ref="I140:J140"/>
    <mergeCell ref="M140:N140"/>
    <mergeCell ref="O140:R140"/>
    <mergeCell ref="S140:T140"/>
    <mergeCell ref="U140:V140"/>
    <mergeCell ref="W140:X140"/>
    <mergeCell ref="C141:D141"/>
    <mergeCell ref="E141:F141"/>
    <mergeCell ref="G141:H141"/>
    <mergeCell ref="I141:J141"/>
    <mergeCell ref="C135:D135"/>
    <mergeCell ref="E135:F135"/>
    <mergeCell ref="G135:H135"/>
    <mergeCell ref="I135:J135"/>
    <mergeCell ref="E136:F136"/>
    <mergeCell ref="G136:H136"/>
    <mergeCell ref="I136:J136"/>
    <mergeCell ref="C136:D137"/>
    <mergeCell ref="C138:D138"/>
    <mergeCell ref="E139:F139"/>
    <mergeCell ref="G139:H139"/>
    <mergeCell ref="I139:J139"/>
    <mergeCell ref="E140:F140"/>
    <mergeCell ref="G140:H140"/>
    <mergeCell ref="U146:V146"/>
    <mergeCell ref="W146:X146"/>
    <mergeCell ref="E145:F145"/>
    <mergeCell ref="E146:F146"/>
    <mergeCell ref="G146:H146"/>
    <mergeCell ref="I146:J146"/>
    <mergeCell ref="M146:N146"/>
    <mergeCell ref="O146:R146"/>
    <mergeCell ref="S146:T146"/>
    <mergeCell ref="C142:D143"/>
    <mergeCell ref="E142:F142"/>
    <mergeCell ref="G142:H142"/>
    <mergeCell ref="I142:J142"/>
    <mergeCell ref="C144:D144"/>
    <mergeCell ref="G145:H145"/>
    <mergeCell ref="I145:J145"/>
    <mergeCell ref="I152:J152"/>
    <mergeCell ref="M152:N152"/>
    <mergeCell ref="O152:R152"/>
    <mergeCell ref="S152:T152"/>
    <mergeCell ref="U152:V152"/>
    <mergeCell ref="W152:X152"/>
    <mergeCell ref="C153:D153"/>
    <mergeCell ref="E153:F153"/>
    <mergeCell ref="G153:H153"/>
    <mergeCell ref="I153:J153"/>
    <mergeCell ref="C171:D171"/>
    <mergeCell ref="E171:F171"/>
    <mergeCell ref="G171:H171"/>
    <mergeCell ref="I171:J171"/>
    <mergeCell ref="E172:F172"/>
    <mergeCell ref="G172:H172"/>
    <mergeCell ref="I172:J172"/>
    <mergeCell ref="C172:D173"/>
    <mergeCell ref="C174:D174"/>
    <mergeCell ref="E175:F175"/>
    <mergeCell ref="G175:H175"/>
    <mergeCell ref="I175:J175"/>
    <mergeCell ref="E176:F176"/>
    <mergeCell ref="G176:H17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topLeftCell="G1" activePane="topRight" state="frozen"/>
      <selection activeCell="H2" sqref="H2" pane="topRight"/>
    </sheetView>
  </sheetViews>
  <sheetFormatPr customHeight="1" defaultColWidth="12.63" defaultRowHeight="15.75"/>
  <cols>
    <col customWidth="1" min="1" max="1" width="18.88"/>
    <col customWidth="1" min="2" max="2" width="0.88"/>
    <col customWidth="1" min="3" max="3" width="6.25"/>
    <col customWidth="1" min="4" max="4" width="5.5"/>
    <col customWidth="1" min="5" max="5" width="5.0"/>
    <col customWidth="1" min="6" max="6" width="4.88"/>
    <col customWidth="1" min="7" max="7" width="5.38"/>
    <col customWidth="1" min="8" max="8" width="5.13"/>
    <col customWidth="1" min="9" max="9" width="4.13"/>
    <col customWidth="1" min="10" max="10" width="3.75"/>
    <col customWidth="1" min="11" max="11" width="9.38"/>
    <col customWidth="1" min="12" max="12" width="6.75"/>
    <col customWidth="1" min="13" max="15" width="3.63"/>
    <col customWidth="1" min="16" max="16" width="3.75"/>
    <col customWidth="1" min="17" max="17" width="3.63"/>
    <col customWidth="1" min="18" max="20" width="4.5"/>
    <col customWidth="1" min="21" max="21" width="3.25"/>
    <col customWidth="1" min="22" max="22" width="4.25"/>
    <col customWidth="1" min="23" max="23" width="3.88"/>
    <col customWidth="1" min="24" max="24" width="3.75"/>
    <col customWidth="1" min="25" max="25" width="5.13"/>
    <col customWidth="1" min="26" max="26" width="16.38"/>
    <col customWidth="1" min="27" max="27" width="4.38"/>
    <col customWidth="1" min="28" max="28" width="23.0"/>
    <col customWidth="1" min="29" max="29" width="5.63"/>
    <col customWidth="1" min="30" max="30" width="20.38"/>
    <col customWidth="1" min="33" max="33" width="6.38"/>
    <col customWidth="1" min="34" max="34" width="5.13"/>
    <col customWidth="1" min="35" max="35" width="16.13"/>
    <col customWidth="1" min="36" max="36" width="6.88"/>
    <col customWidth="1" min="38" max="38" width="5.88"/>
    <col customWidth="1" min="40" max="40" width="5.38"/>
    <col customWidth="1" min="42" max="42" width="5.63"/>
    <col customWidth="1" min="44" max="44" width="6.63"/>
    <col customWidth="1" min="46" max="46" width="5.13"/>
    <col customWidth="1" min="48" max="48" width="4.63"/>
    <col customWidth="1" min="50" max="50" width="4.75"/>
    <col customWidth="1" min="52" max="52" width="1.25"/>
  </cols>
  <sheetData>
    <row r="1">
      <c r="A1" s="1"/>
      <c r="B1" s="2"/>
      <c r="C1" s="1"/>
      <c r="D1" s="1"/>
      <c r="E1" s="3"/>
      <c r="F1" s="3"/>
      <c r="G1" s="4"/>
      <c r="H1" s="4"/>
      <c r="I1" s="5"/>
      <c r="J1" s="5"/>
      <c r="K1" s="6"/>
      <c r="L1" s="7"/>
      <c r="M1" s="114"/>
      <c r="N1" s="8"/>
      <c r="O1" s="8"/>
      <c r="P1" s="8"/>
      <c r="Q1" s="8"/>
      <c r="R1" s="8"/>
      <c r="S1" s="8"/>
      <c r="T1" s="8"/>
      <c r="U1" s="9"/>
      <c r="V1" s="9"/>
      <c r="W1" s="9"/>
      <c r="X1" s="9"/>
      <c r="Y1" s="10"/>
      <c r="Z1" s="11"/>
      <c r="AA1" s="12"/>
      <c r="AB1" s="12"/>
      <c r="AC1" s="13"/>
      <c r="AD1" s="13"/>
      <c r="AE1" s="1"/>
      <c r="AF1" s="1"/>
      <c r="AG1" s="14"/>
      <c r="AH1" s="14"/>
      <c r="AI1" s="14"/>
      <c r="AJ1" s="15" t="s">
        <v>0</v>
      </c>
      <c r="AK1" s="16" t="s">
        <v>1</v>
      </c>
      <c r="AL1" s="17" t="s">
        <v>2</v>
      </c>
      <c r="AM1" s="16" t="s">
        <v>3</v>
      </c>
      <c r="AN1" s="18" t="s">
        <v>4</v>
      </c>
      <c r="AO1" s="16" t="s">
        <v>5</v>
      </c>
      <c r="AP1" s="19" t="s">
        <v>6</v>
      </c>
      <c r="AQ1" s="16" t="s">
        <v>7</v>
      </c>
      <c r="AR1" s="20" t="s">
        <v>8</v>
      </c>
      <c r="AS1" s="16" t="s">
        <v>9</v>
      </c>
      <c r="AT1" s="21" t="s">
        <v>10</v>
      </c>
      <c r="AU1" s="16" t="s">
        <v>11</v>
      </c>
      <c r="AV1" s="22" t="s">
        <v>12</v>
      </c>
      <c r="AW1" s="16" t="s">
        <v>13</v>
      </c>
      <c r="AX1" s="23" t="s">
        <v>14</v>
      </c>
      <c r="AY1" s="16" t="s">
        <v>15</v>
      </c>
      <c r="AZ1" s="24"/>
    </row>
    <row r="2">
      <c r="A2" s="1"/>
      <c r="B2" s="2"/>
      <c r="C2" s="1"/>
      <c r="D2" s="1"/>
      <c r="E2" s="3"/>
      <c r="G2" s="4" t="s">
        <v>327</v>
      </c>
      <c r="H2" s="4"/>
      <c r="I2" s="5" t="s">
        <v>17</v>
      </c>
      <c r="K2" s="6"/>
      <c r="L2" s="7"/>
      <c r="M2" s="114"/>
      <c r="N2" s="8"/>
      <c r="O2" s="8"/>
      <c r="P2" s="8"/>
      <c r="Q2" s="8"/>
      <c r="R2" s="8"/>
      <c r="S2" s="8"/>
      <c r="T2" s="8"/>
      <c r="U2" s="9"/>
      <c r="V2" s="9"/>
      <c r="W2" s="9"/>
      <c r="X2" s="9"/>
      <c r="Y2" s="10"/>
      <c r="Z2" s="11"/>
      <c r="AA2" s="12" t="s">
        <v>18</v>
      </c>
      <c r="AC2" s="13"/>
      <c r="AD2" s="25" t="s">
        <v>19</v>
      </c>
      <c r="AE2" s="1" t="s">
        <v>20</v>
      </c>
      <c r="AF2" s="1" t="s">
        <v>21</v>
      </c>
      <c r="AG2" s="14"/>
      <c r="AH2" s="14"/>
      <c r="AI2" s="14"/>
      <c r="AK2" s="16" t="s">
        <v>22</v>
      </c>
      <c r="AM2" s="16" t="s">
        <v>23</v>
      </c>
      <c r="AO2" s="16" t="s">
        <v>24</v>
      </c>
      <c r="AQ2" s="16" t="s">
        <v>25</v>
      </c>
      <c r="AS2" s="16" t="s">
        <v>26</v>
      </c>
      <c r="AU2" s="16" t="s">
        <v>27</v>
      </c>
      <c r="AW2" s="16" t="s">
        <v>28</v>
      </c>
      <c r="AY2" s="16" t="s">
        <v>29</v>
      </c>
      <c r="AZ2" s="24"/>
    </row>
    <row r="3">
      <c r="A3" s="1"/>
      <c r="B3" s="2"/>
      <c r="C3" s="1"/>
      <c r="D3" s="1"/>
      <c r="E3" s="26"/>
      <c r="F3" s="26"/>
      <c r="G3" s="316" t="s">
        <v>209</v>
      </c>
      <c r="I3" s="291" t="s">
        <v>147</v>
      </c>
      <c r="K3" s="6"/>
      <c r="L3" s="7"/>
      <c r="M3" s="114"/>
      <c r="N3" s="8"/>
      <c r="O3" s="8"/>
      <c r="P3" s="8"/>
      <c r="Q3" s="8"/>
      <c r="R3" s="8"/>
      <c r="S3" s="8"/>
      <c r="T3" s="8"/>
      <c r="U3" s="9"/>
      <c r="V3" s="9"/>
      <c r="W3" s="9"/>
      <c r="X3" s="9"/>
      <c r="Y3" s="10"/>
      <c r="Z3" s="11"/>
      <c r="AA3" s="29" t="s">
        <v>171</v>
      </c>
      <c r="AB3" s="29" t="s">
        <v>172</v>
      </c>
      <c r="AC3" s="13"/>
      <c r="AD3" s="1" t="s">
        <v>144</v>
      </c>
      <c r="AE3" s="1" t="s">
        <v>75</v>
      </c>
      <c r="AF3" s="1" t="s">
        <v>144</v>
      </c>
      <c r="AG3" s="14"/>
      <c r="AH3" s="14"/>
      <c r="AI3" s="14"/>
      <c r="AJ3" s="30" t="s">
        <v>43</v>
      </c>
      <c r="AK3" s="16" t="s">
        <v>46</v>
      </c>
      <c r="AL3" s="22" t="s">
        <v>45</v>
      </c>
      <c r="AM3" s="16" t="s">
        <v>48</v>
      </c>
      <c r="AN3" s="32" t="s">
        <v>47</v>
      </c>
      <c r="AO3" s="16" t="s">
        <v>50</v>
      </c>
      <c r="AP3" s="30" t="s">
        <v>49</v>
      </c>
      <c r="AQ3" s="16" t="s">
        <v>52</v>
      </c>
      <c r="AR3" s="33" t="s">
        <v>51</v>
      </c>
      <c r="AS3" s="16" t="s">
        <v>38</v>
      </c>
      <c r="AT3" s="30" t="s">
        <v>37</v>
      </c>
      <c r="AU3" s="16" t="s">
        <v>40</v>
      </c>
      <c r="AV3" s="31" t="s">
        <v>39</v>
      </c>
      <c r="AW3" s="16" t="s">
        <v>42</v>
      </c>
      <c r="AX3" s="22" t="s">
        <v>41</v>
      </c>
      <c r="AY3" s="16" t="s">
        <v>44</v>
      </c>
      <c r="AZ3" s="24"/>
    </row>
    <row r="4">
      <c r="A4" s="1"/>
      <c r="B4" s="2"/>
      <c r="C4" s="1"/>
      <c r="D4" s="1"/>
      <c r="E4" s="26"/>
      <c r="F4" s="26"/>
      <c r="G4" s="317" t="s">
        <v>197</v>
      </c>
      <c r="I4" s="293" t="s">
        <v>202</v>
      </c>
      <c r="K4" s="6"/>
      <c r="L4" s="7"/>
      <c r="M4" s="114"/>
      <c r="N4" s="8"/>
      <c r="O4" s="8"/>
      <c r="P4" s="8"/>
      <c r="Q4" s="8"/>
      <c r="R4" s="8"/>
      <c r="S4" s="8"/>
      <c r="T4" s="8"/>
      <c r="U4" s="9"/>
      <c r="V4" s="9"/>
      <c r="W4" s="9"/>
      <c r="X4" s="9"/>
      <c r="Y4" s="10"/>
      <c r="Z4" s="11"/>
      <c r="AA4" s="36"/>
      <c r="AB4" s="36"/>
      <c r="AC4" s="13"/>
      <c r="AD4" s="13"/>
      <c r="AE4" s="37"/>
      <c r="AF4" s="37"/>
      <c r="AG4" s="14"/>
      <c r="AH4" s="14"/>
      <c r="AI4" s="14"/>
      <c r="AJ4" s="33" t="s">
        <v>51</v>
      </c>
      <c r="AK4" s="16" t="s">
        <v>40</v>
      </c>
      <c r="AL4" s="30" t="s">
        <v>37</v>
      </c>
      <c r="AM4" s="16" t="s">
        <v>42</v>
      </c>
      <c r="AN4" s="31" t="s">
        <v>39</v>
      </c>
      <c r="AO4" s="16" t="s">
        <v>44</v>
      </c>
      <c r="AP4" s="22" t="s">
        <v>41</v>
      </c>
      <c r="AQ4" s="16" t="s">
        <v>46</v>
      </c>
      <c r="AR4" s="30" t="s">
        <v>43</v>
      </c>
      <c r="AS4" s="16" t="s">
        <v>48</v>
      </c>
      <c r="AT4" s="22" t="s">
        <v>45</v>
      </c>
      <c r="AU4" s="16" t="s">
        <v>50</v>
      </c>
      <c r="AV4" s="32" t="s">
        <v>47</v>
      </c>
      <c r="AW4" s="16" t="s">
        <v>52</v>
      </c>
      <c r="AX4" s="30" t="s">
        <v>49</v>
      </c>
      <c r="AY4" s="16" t="s">
        <v>38</v>
      </c>
      <c r="AZ4" s="24"/>
    </row>
    <row r="5">
      <c r="A5" s="1"/>
      <c r="B5" s="2"/>
      <c r="C5" s="1"/>
      <c r="D5" s="1"/>
      <c r="E5" s="26"/>
      <c r="F5" s="26"/>
      <c r="G5" s="38" t="s">
        <v>138</v>
      </c>
      <c r="I5" s="39" t="s">
        <v>305</v>
      </c>
      <c r="K5" s="6"/>
      <c r="L5" s="7"/>
      <c r="M5" s="114"/>
      <c r="N5" s="8"/>
      <c r="O5" s="8"/>
      <c r="P5" s="8"/>
      <c r="Q5" s="8"/>
      <c r="R5" s="8"/>
      <c r="S5" s="8"/>
      <c r="T5" s="8"/>
      <c r="U5" s="9"/>
      <c r="V5" s="9"/>
      <c r="W5" s="9"/>
      <c r="X5" s="9"/>
      <c r="Y5" s="40" t="s">
        <v>57</v>
      </c>
      <c r="Z5" s="41"/>
      <c r="AA5" s="42" t="s">
        <v>58</v>
      </c>
      <c r="AB5" s="41"/>
      <c r="AC5" s="40" t="s">
        <v>59</v>
      </c>
      <c r="AD5" s="41"/>
      <c r="AE5" s="43" t="s">
        <v>60</v>
      </c>
      <c r="AF5" s="43" t="s">
        <v>61</v>
      </c>
      <c r="AG5" s="42" t="s">
        <v>306</v>
      </c>
      <c r="AH5" s="44"/>
      <c r="AI5" s="41"/>
      <c r="AJ5" s="45"/>
      <c r="AK5" s="16"/>
      <c r="AL5" s="45"/>
      <c r="AM5" s="16"/>
      <c r="AN5" s="45"/>
      <c r="AO5" s="16"/>
      <c r="AP5" s="45"/>
      <c r="AQ5" s="16"/>
      <c r="AR5" s="46"/>
      <c r="AS5" s="16"/>
      <c r="AT5" s="46"/>
      <c r="AU5" s="16"/>
      <c r="AV5" s="47"/>
      <c r="AW5" s="16"/>
      <c r="AX5" s="47"/>
      <c r="AY5" s="16"/>
      <c r="AZ5" s="48"/>
      <c r="BA5" s="16"/>
      <c r="BB5" s="16"/>
    </row>
    <row r="6" ht="3.75" customHeight="1">
      <c r="A6" s="2"/>
      <c r="B6" s="2"/>
      <c r="C6" s="2"/>
      <c r="D6" s="2"/>
      <c r="E6" s="49"/>
      <c r="F6" s="49"/>
      <c r="G6" s="49"/>
      <c r="H6" s="49"/>
      <c r="I6" s="49"/>
      <c r="J6" s="49"/>
      <c r="K6" s="50"/>
      <c r="L6" s="51"/>
      <c r="M6" s="294"/>
      <c r="N6" s="52"/>
      <c r="O6" s="52"/>
      <c r="P6" s="52"/>
      <c r="Q6" s="52"/>
      <c r="R6" s="52"/>
      <c r="S6" s="52"/>
      <c r="T6" s="52"/>
      <c r="U6" s="53"/>
      <c r="V6" s="53"/>
      <c r="W6" s="53"/>
      <c r="X6" s="53"/>
      <c r="Y6" s="54"/>
      <c r="Z6" s="55"/>
      <c r="AA6" s="56"/>
      <c r="AB6" s="56"/>
      <c r="AC6" s="57"/>
      <c r="AD6" s="57"/>
      <c r="AE6" s="58"/>
      <c r="AF6" s="58"/>
      <c r="AG6" s="59"/>
      <c r="AH6" s="59"/>
      <c r="AI6" s="59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60"/>
      <c r="AY6" s="24"/>
      <c r="AZ6" s="24"/>
      <c r="BA6" s="24"/>
      <c r="BB6" s="24"/>
      <c r="BC6" s="24"/>
      <c r="BD6" s="24"/>
      <c r="BE6" s="24"/>
    </row>
    <row r="7">
      <c r="A7" s="61" t="s">
        <v>199</v>
      </c>
      <c r="B7" s="62"/>
      <c r="C7" s="63"/>
      <c r="D7" s="63"/>
      <c r="E7" s="225">
        <f>(O8+P8+Q8+R8)/(O9+P9+Q9+R9)</f>
        <v>0.3875</v>
      </c>
      <c r="F7" s="65"/>
      <c r="G7" s="66"/>
      <c r="H7" s="66"/>
      <c r="I7" s="67"/>
      <c r="J7" s="67"/>
      <c r="K7" s="68"/>
      <c r="L7" s="69"/>
      <c r="M7" s="63" t="s">
        <v>64</v>
      </c>
      <c r="N7" s="70"/>
      <c r="O7" s="71" t="s">
        <v>65</v>
      </c>
      <c r="P7" s="72"/>
      <c r="Q7" s="72"/>
      <c r="R7" s="70"/>
      <c r="S7" s="71" t="s">
        <v>66</v>
      </c>
      <c r="T7" s="70"/>
      <c r="U7" s="71" t="s">
        <v>67</v>
      </c>
      <c r="V7" s="70"/>
      <c r="W7" s="71" t="s">
        <v>68</v>
      </c>
      <c r="X7" s="70"/>
      <c r="Y7" s="134" t="s">
        <v>69</v>
      </c>
      <c r="Z7" s="74" t="s">
        <v>70</v>
      </c>
      <c r="AA7" s="75" t="s">
        <v>202</v>
      </c>
      <c r="AB7" s="75" t="s">
        <v>226</v>
      </c>
      <c r="AC7" s="76" t="s">
        <v>73</v>
      </c>
      <c r="AD7" s="77" t="s">
        <v>74</v>
      </c>
      <c r="AE7" s="63" t="s">
        <v>35</v>
      </c>
      <c r="AF7" s="78" t="s">
        <v>36</v>
      </c>
      <c r="AG7" s="79" t="s">
        <v>76</v>
      </c>
      <c r="AH7" s="79">
        <v>240.0</v>
      </c>
      <c r="AI7" s="79" t="s">
        <v>77</v>
      </c>
      <c r="AJ7" s="80" t="str">
        <f>AJ1</f>
        <v>開</v>
      </c>
      <c r="AK7" s="81" t="s">
        <v>38</v>
      </c>
      <c r="AL7" s="82" t="str">
        <f>AL1</f>
        <v>休</v>
      </c>
      <c r="AM7" s="81" t="s">
        <v>40</v>
      </c>
      <c r="AN7" s="82" t="s">
        <v>4</v>
      </c>
      <c r="AO7" s="81" t="s">
        <v>42</v>
      </c>
      <c r="AP7" s="82" t="str">
        <f>AP1</f>
        <v>傷</v>
      </c>
      <c r="AQ7" s="81" t="s">
        <v>44</v>
      </c>
      <c r="AR7" s="82" t="s">
        <v>8</v>
      </c>
      <c r="AS7" s="81" t="s">
        <v>46</v>
      </c>
      <c r="AT7" s="82" t="str">
        <f>AT1</f>
        <v>景</v>
      </c>
      <c r="AU7" s="81" t="s">
        <v>48</v>
      </c>
      <c r="AV7" s="82" t="str">
        <f>AV1</f>
        <v>死</v>
      </c>
      <c r="AW7" s="81" t="s">
        <v>50</v>
      </c>
      <c r="AX7" s="82" t="str">
        <f>AX1</f>
        <v>驚</v>
      </c>
      <c r="AY7" s="81" t="s">
        <v>52</v>
      </c>
      <c r="AZ7" s="83"/>
      <c r="BA7" s="84"/>
      <c r="BB7" s="84"/>
      <c r="BC7" s="84"/>
    </row>
    <row r="8">
      <c r="A8" s="85">
        <v>1.0</v>
      </c>
      <c r="B8" s="86"/>
      <c r="C8" s="12" t="s">
        <v>249</v>
      </c>
      <c r="E8" s="87" t="s">
        <v>31</v>
      </c>
      <c r="F8" s="88"/>
      <c r="G8" s="26" t="s">
        <v>201</v>
      </c>
      <c r="I8" s="268" t="str">
        <f t="shared" ref="I8:I9" si="1">I3:J3</f>
        <v>丙</v>
      </c>
      <c r="K8" s="90">
        <f>L8/L9</f>
        <v>0.52</v>
      </c>
      <c r="L8" s="91">
        <f t="shared" ref="L8:L9" si="2">O8+P8+Q8+U8+V8+W8+X8+R8+M8+N8+S8+T8</f>
        <v>520</v>
      </c>
      <c r="M8" s="92">
        <v>0.0</v>
      </c>
      <c r="N8" s="93">
        <v>0.0</v>
      </c>
      <c r="O8" s="92">
        <v>35.0</v>
      </c>
      <c r="P8" s="92">
        <v>30.0</v>
      </c>
      <c r="Q8" s="92">
        <v>10.0</v>
      </c>
      <c r="R8" s="93">
        <v>80.0</v>
      </c>
      <c r="S8" s="92">
        <v>5.0</v>
      </c>
      <c r="T8" s="93">
        <v>100.0</v>
      </c>
      <c r="U8" s="92">
        <v>0.0</v>
      </c>
      <c r="V8" s="93">
        <v>90.0</v>
      </c>
      <c r="W8" s="92">
        <v>110.0</v>
      </c>
      <c r="X8" s="93">
        <v>60.0</v>
      </c>
      <c r="Y8" s="73" t="s">
        <v>80</v>
      </c>
      <c r="Z8" s="94" t="s">
        <v>81</v>
      </c>
      <c r="AA8" s="36"/>
      <c r="AB8" s="29" t="s">
        <v>227</v>
      </c>
      <c r="AC8" s="95" t="s">
        <v>82</v>
      </c>
      <c r="AD8" s="96" t="s">
        <v>83</v>
      </c>
      <c r="AE8" s="37"/>
      <c r="AF8" s="97"/>
      <c r="AG8" s="12" t="s">
        <v>84</v>
      </c>
      <c r="AH8" s="12">
        <v>0.0</v>
      </c>
      <c r="AI8" s="12" t="s">
        <v>85</v>
      </c>
      <c r="AJ8" s="98" t="s">
        <v>51</v>
      </c>
      <c r="AK8" s="101" t="s">
        <v>95</v>
      </c>
      <c r="AL8" s="100" t="s">
        <v>86</v>
      </c>
      <c r="AM8" s="99" t="s">
        <v>87</v>
      </c>
      <c r="AN8" s="100" t="s">
        <v>88</v>
      </c>
      <c r="AO8" s="101" t="s">
        <v>89</v>
      </c>
      <c r="AP8" s="100" t="s">
        <v>45</v>
      </c>
      <c r="AQ8" s="102" t="s">
        <v>90</v>
      </c>
      <c r="AR8" s="100" t="s">
        <v>43</v>
      </c>
      <c r="AS8" s="101" t="s">
        <v>91</v>
      </c>
      <c r="AT8" s="100" t="s">
        <v>41</v>
      </c>
      <c r="AU8" s="103" t="s">
        <v>92</v>
      </c>
      <c r="AV8" s="100" t="s">
        <v>39</v>
      </c>
      <c r="AW8" s="99" t="s">
        <v>93</v>
      </c>
      <c r="AX8" s="100" t="s">
        <v>37</v>
      </c>
      <c r="AY8" s="99" t="s">
        <v>94</v>
      </c>
      <c r="AZ8" s="24"/>
      <c r="BA8" s="47" t="s">
        <v>86</v>
      </c>
      <c r="BB8" s="104" t="s">
        <v>87</v>
      </c>
      <c r="BC8" s="47" t="s">
        <v>88</v>
      </c>
      <c r="BD8" s="105" t="s">
        <v>89</v>
      </c>
      <c r="BE8" s="47"/>
    </row>
    <row r="9">
      <c r="A9" s="85" t="s">
        <v>327</v>
      </c>
      <c r="B9" s="86"/>
      <c r="C9" s="106" t="s">
        <v>96</v>
      </c>
      <c r="E9" s="201" t="s">
        <v>54</v>
      </c>
      <c r="F9" s="88"/>
      <c r="G9" s="269" t="s">
        <v>189</v>
      </c>
      <c r="I9" s="35" t="str">
        <f t="shared" si="1"/>
        <v>午</v>
      </c>
      <c r="K9" s="36"/>
      <c r="L9" s="109">
        <f t="shared" si="2"/>
        <v>1000</v>
      </c>
      <c r="M9" s="9">
        <v>0.0</v>
      </c>
      <c r="N9" s="110">
        <v>0.0</v>
      </c>
      <c r="O9" s="9">
        <v>100.0</v>
      </c>
      <c r="P9" s="9">
        <v>100.0</v>
      </c>
      <c r="Q9" s="9">
        <v>100.0</v>
      </c>
      <c r="R9" s="110">
        <v>100.0</v>
      </c>
      <c r="S9" s="9">
        <v>100.0</v>
      </c>
      <c r="T9" s="110">
        <v>100.0</v>
      </c>
      <c r="U9" s="9">
        <v>100.0</v>
      </c>
      <c r="V9" s="110">
        <v>100.0</v>
      </c>
      <c r="W9" s="9">
        <v>100.0</v>
      </c>
      <c r="X9" s="110">
        <v>100.0</v>
      </c>
      <c r="Y9" s="73" t="s">
        <v>98</v>
      </c>
      <c r="Z9" s="94" t="s">
        <v>99</v>
      </c>
      <c r="AA9" s="36"/>
      <c r="AB9" s="36"/>
      <c r="AC9" s="111"/>
      <c r="AD9" s="112"/>
      <c r="AE9" s="37"/>
      <c r="AF9" s="97"/>
      <c r="AG9" s="14"/>
      <c r="AH9" s="14"/>
      <c r="AI9" s="14"/>
      <c r="AJ9" s="113"/>
      <c r="AK9" s="105" t="s">
        <v>107</v>
      </c>
      <c r="AM9" s="104" t="s">
        <v>100</v>
      </c>
      <c r="AO9" s="114" t="s">
        <v>101</v>
      </c>
      <c r="AQ9" s="105" t="s">
        <v>102</v>
      </c>
      <c r="AS9" s="105" t="s">
        <v>103</v>
      </c>
      <c r="AU9" s="104" t="s">
        <v>104</v>
      </c>
      <c r="AW9" s="104" t="s">
        <v>105</v>
      </c>
      <c r="AY9" s="104" t="s">
        <v>106</v>
      </c>
      <c r="AZ9" s="24"/>
      <c r="BB9" s="104" t="s">
        <v>100</v>
      </c>
      <c r="BD9" s="114" t="s">
        <v>101</v>
      </c>
    </row>
    <row r="10">
      <c r="A10" s="85">
        <v>2569.0</v>
      </c>
      <c r="B10" s="86"/>
      <c r="E10" s="115" t="s">
        <v>112</v>
      </c>
      <c r="F10" s="116" t="s">
        <v>109</v>
      </c>
      <c r="G10" s="9" t="s">
        <v>114</v>
      </c>
      <c r="H10" s="9" t="s">
        <v>69</v>
      </c>
      <c r="I10" s="9" t="s">
        <v>204</v>
      </c>
      <c r="J10" s="9" t="s">
        <v>214</v>
      </c>
      <c r="K10" s="36"/>
      <c r="L10" s="117"/>
      <c r="M10" s="118" t="str">
        <f t="shared" ref="M10:P10" si="3">C10</f>
        <v/>
      </c>
      <c r="N10" s="119" t="str">
        <f t="shared" si="3"/>
        <v/>
      </c>
      <c r="O10" s="118" t="str">
        <f t="shared" si="3"/>
        <v>A2</v>
      </c>
      <c r="P10" s="118" t="str">
        <f t="shared" si="3"/>
        <v>B4</v>
      </c>
      <c r="Q10" s="118" t="str">
        <f t="shared" ref="Q10:R10" si="4">E11</f>
        <v>B12</v>
      </c>
      <c r="R10" s="119" t="str">
        <f t="shared" si="4"/>
        <v>C3</v>
      </c>
      <c r="S10" s="9" t="s">
        <v>108</v>
      </c>
      <c r="T10" s="110" t="s">
        <v>213</v>
      </c>
      <c r="U10" s="9" t="str">
        <f t="shared" ref="U10:X10" si="5">G10</f>
        <v>A10</v>
      </c>
      <c r="V10" s="119" t="str">
        <f t="shared" si="5"/>
        <v>B8</v>
      </c>
      <c r="W10" s="118" t="str">
        <f t="shared" si="5"/>
        <v>A5</v>
      </c>
      <c r="X10" s="120" t="str">
        <f t="shared" si="5"/>
        <v>B11</v>
      </c>
      <c r="Y10" s="73" t="s">
        <v>116</v>
      </c>
      <c r="Z10" s="94" t="s">
        <v>117</v>
      </c>
      <c r="AA10" s="36"/>
      <c r="AB10" s="36"/>
      <c r="AC10" s="111"/>
      <c r="AD10" s="112"/>
      <c r="AE10" s="37"/>
      <c r="AF10" s="97"/>
      <c r="AG10" s="14"/>
      <c r="AH10" s="14"/>
      <c r="AI10" s="14"/>
      <c r="AJ10" s="113"/>
      <c r="AK10" s="105" t="s">
        <v>125</v>
      </c>
      <c r="AM10" s="104" t="s">
        <v>118</v>
      </c>
      <c r="AO10" s="114" t="s">
        <v>119</v>
      </c>
      <c r="AQ10" s="105" t="s">
        <v>120</v>
      </c>
      <c r="AS10" s="105" t="s">
        <v>121</v>
      </c>
      <c r="AU10" s="104" t="s">
        <v>122</v>
      </c>
      <c r="AW10" s="104" t="s">
        <v>123</v>
      </c>
      <c r="AY10" s="104" t="s">
        <v>124</v>
      </c>
      <c r="AZ10" s="24"/>
      <c r="BB10" s="104" t="s">
        <v>118</v>
      </c>
      <c r="BD10" s="114" t="s">
        <v>119</v>
      </c>
    </row>
    <row r="11">
      <c r="A11" s="85">
        <f>A10-543</f>
        <v>2026</v>
      </c>
      <c r="B11" s="86"/>
      <c r="E11" s="115" t="s">
        <v>113</v>
      </c>
      <c r="F11" s="116" t="s">
        <v>184</v>
      </c>
      <c r="G11" s="9"/>
      <c r="H11" s="118"/>
      <c r="I11" s="118"/>
      <c r="J11" s="118"/>
      <c r="K11" s="36"/>
      <c r="L11" s="117"/>
      <c r="M11" s="8"/>
      <c r="N11" s="121"/>
      <c r="O11" s="8"/>
      <c r="P11" s="8"/>
      <c r="Q11" s="8"/>
      <c r="R11" s="121"/>
      <c r="S11" s="8"/>
      <c r="T11" s="121"/>
      <c r="U11" s="9"/>
      <c r="V11" s="110"/>
      <c r="W11" s="9"/>
      <c r="X11" s="110"/>
      <c r="Y11" s="73" t="s">
        <v>126</v>
      </c>
      <c r="Z11" s="94" t="s">
        <v>128</v>
      </c>
      <c r="AA11" s="36"/>
      <c r="AB11" s="36"/>
      <c r="AC11" s="111"/>
      <c r="AD11" s="112"/>
      <c r="AE11" s="37"/>
      <c r="AF11" s="97"/>
      <c r="AG11" s="14"/>
      <c r="AH11" s="14"/>
      <c r="AI11" s="14"/>
      <c r="AJ11" s="113"/>
      <c r="AK11" s="105" t="s">
        <v>136</v>
      </c>
      <c r="AM11" s="104" t="s">
        <v>129</v>
      </c>
      <c r="AO11" s="114" t="s">
        <v>130</v>
      </c>
      <c r="AQ11" s="105" t="s">
        <v>131</v>
      </c>
      <c r="AS11" s="105" t="s">
        <v>132</v>
      </c>
      <c r="AU11" s="104" t="s">
        <v>133</v>
      </c>
      <c r="AW11" s="104" t="s">
        <v>134</v>
      </c>
      <c r="AY11" s="104" t="s">
        <v>135</v>
      </c>
      <c r="AZ11" s="24"/>
      <c r="BB11" s="104" t="s">
        <v>129</v>
      </c>
      <c r="BD11" s="114" t="s">
        <v>130</v>
      </c>
    </row>
    <row r="12">
      <c r="A12" s="318" t="s">
        <v>328</v>
      </c>
      <c r="B12" s="2"/>
      <c r="C12" s="1"/>
      <c r="D12" s="123"/>
      <c r="E12" s="232" t="s">
        <v>168</v>
      </c>
      <c r="F12" s="125"/>
      <c r="G12" s="39" t="s">
        <v>321</v>
      </c>
      <c r="I12" s="39" t="str">
        <f>I5</f>
        <v>อสูรปี N</v>
      </c>
      <c r="K12" s="90"/>
      <c r="L12" s="126"/>
      <c r="M12" s="8"/>
      <c r="N12" s="121"/>
      <c r="O12" s="8"/>
      <c r="P12" s="8"/>
      <c r="Q12" s="8"/>
      <c r="R12" s="121"/>
      <c r="S12" s="8"/>
      <c r="T12" s="121"/>
      <c r="U12" s="9"/>
      <c r="V12" s="110"/>
      <c r="W12" s="9"/>
      <c r="X12" s="110"/>
      <c r="Y12" s="127"/>
      <c r="Z12" s="155"/>
      <c r="AA12" s="36"/>
      <c r="AB12" s="36"/>
      <c r="AC12" s="235"/>
      <c r="AD12" s="236"/>
      <c r="AE12" s="237"/>
      <c r="AF12" s="238"/>
      <c r="AG12" s="239"/>
      <c r="AH12" s="239"/>
      <c r="AI12" s="239"/>
      <c r="AJ12" s="113"/>
      <c r="AY12" s="128"/>
      <c r="AZ12" s="24"/>
      <c r="BB12" s="129"/>
      <c r="BD12" s="128"/>
    </row>
    <row r="13">
      <c r="A13" s="61" t="s">
        <v>63</v>
      </c>
      <c r="B13" s="62"/>
      <c r="C13" s="63"/>
      <c r="D13" s="63"/>
      <c r="E13" s="216">
        <f>(O14+P14+Q14+R14)/(O15+P15+Q15+R15)</f>
        <v>0.8</v>
      </c>
      <c r="F13" s="65"/>
      <c r="G13" s="133"/>
      <c r="H13" s="66"/>
      <c r="I13" s="67"/>
      <c r="J13" s="67"/>
      <c r="K13" s="68"/>
      <c r="L13" s="69"/>
      <c r="M13" s="63" t="s">
        <v>64</v>
      </c>
      <c r="N13" s="70"/>
      <c r="O13" s="71" t="s">
        <v>65</v>
      </c>
      <c r="P13" s="72"/>
      <c r="Q13" s="72"/>
      <c r="R13" s="70"/>
      <c r="S13" s="71" t="s">
        <v>66</v>
      </c>
      <c r="T13" s="70"/>
      <c r="U13" s="71" t="s">
        <v>67</v>
      </c>
      <c r="V13" s="70"/>
      <c r="W13" s="71" t="s">
        <v>68</v>
      </c>
      <c r="X13" s="70"/>
      <c r="Y13" s="134" t="s">
        <v>116</v>
      </c>
      <c r="Z13" s="74" t="s">
        <v>140</v>
      </c>
      <c r="AA13" s="75" t="s">
        <v>201</v>
      </c>
      <c r="AB13" s="75" t="s">
        <v>240</v>
      </c>
      <c r="AC13" s="135" t="s">
        <v>142</v>
      </c>
      <c r="AD13" s="74" t="s">
        <v>143</v>
      </c>
      <c r="AE13" s="63" t="s">
        <v>75</v>
      </c>
      <c r="AF13" s="78" t="s">
        <v>34</v>
      </c>
      <c r="AG13" s="79" t="s">
        <v>32</v>
      </c>
      <c r="AH13" s="79">
        <v>270.0</v>
      </c>
      <c r="AI13" s="79" t="s">
        <v>145</v>
      </c>
      <c r="AJ13" s="80" t="str">
        <f>AJ7</f>
        <v>開</v>
      </c>
      <c r="AK13" s="81" t="s">
        <v>48</v>
      </c>
      <c r="AL13" s="82" t="str">
        <f>AL7</f>
        <v>休</v>
      </c>
      <c r="AM13" s="81" t="s">
        <v>50</v>
      </c>
      <c r="AN13" s="82" t="s">
        <v>4</v>
      </c>
      <c r="AO13" s="81" t="s">
        <v>52</v>
      </c>
      <c r="AP13" s="82" t="str">
        <f>AP7</f>
        <v>傷</v>
      </c>
      <c r="AQ13" s="81" t="s">
        <v>38</v>
      </c>
      <c r="AR13" s="82" t="s">
        <v>8</v>
      </c>
      <c r="AS13" s="81" t="s">
        <v>40</v>
      </c>
      <c r="AT13" s="82" t="str">
        <f>AT7</f>
        <v>景</v>
      </c>
      <c r="AU13" s="81" t="s">
        <v>42</v>
      </c>
      <c r="AV13" s="82" t="str">
        <f>AV7</f>
        <v>死</v>
      </c>
      <c r="AW13" s="81" t="s">
        <v>44</v>
      </c>
      <c r="AX13" s="82" t="str">
        <f>AX7</f>
        <v>驚</v>
      </c>
      <c r="AY13" s="81" t="s">
        <v>46</v>
      </c>
      <c r="AZ13" s="83"/>
      <c r="BA13" s="84"/>
      <c r="BB13" s="84"/>
      <c r="BC13" s="84"/>
    </row>
    <row r="14">
      <c r="A14" s="85">
        <f>A8+1</f>
        <v>2</v>
      </c>
      <c r="B14" s="86"/>
      <c r="C14" s="12" t="s">
        <v>270</v>
      </c>
      <c r="E14" s="214" t="s">
        <v>147</v>
      </c>
      <c r="G14" s="194" t="str">
        <f t="shared" ref="G14:G15" si="7">G8:H8</f>
        <v>辛</v>
      </c>
      <c r="I14" s="275" t="str">
        <f t="shared" ref="I14:I15" si="8">I8:J8</f>
        <v>丙</v>
      </c>
      <c r="K14" s="90">
        <f>L14/L15</f>
        <v>0.635</v>
      </c>
      <c r="L14" s="126">
        <f t="shared" ref="L14:L15" si="9">O14+P14+Q14+U14+V14+W14+X14+R14+M14+N14+S14+T14</f>
        <v>635</v>
      </c>
      <c r="M14" s="92">
        <v>0.0</v>
      </c>
      <c r="N14" s="93">
        <v>0.0</v>
      </c>
      <c r="O14" s="92">
        <v>110.0</v>
      </c>
      <c r="P14" s="92">
        <v>100.0</v>
      </c>
      <c r="Q14" s="92">
        <v>60.0</v>
      </c>
      <c r="R14" s="93">
        <v>50.0</v>
      </c>
      <c r="S14" s="92">
        <v>15.0</v>
      </c>
      <c r="T14" s="93">
        <v>40.0</v>
      </c>
      <c r="U14" s="92">
        <f t="shared" ref="U14:X14" si="6">U8</f>
        <v>0</v>
      </c>
      <c r="V14" s="93">
        <f t="shared" si="6"/>
        <v>90</v>
      </c>
      <c r="W14" s="92">
        <f t="shared" si="6"/>
        <v>110</v>
      </c>
      <c r="X14" s="93">
        <f t="shared" si="6"/>
        <v>60</v>
      </c>
      <c r="Y14" s="73" t="s">
        <v>126</v>
      </c>
      <c r="Z14" s="94" t="s">
        <v>70</v>
      </c>
      <c r="AA14" s="29"/>
      <c r="AB14" s="29"/>
      <c r="AC14" s="139" t="s">
        <v>148</v>
      </c>
      <c r="AD14" s="96" t="s">
        <v>149</v>
      </c>
      <c r="AE14" s="37"/>
      <c r="AF14" s="97"/>
      <c r="AG14" s="12" t="s">
        <v>97</v>
      </c>
      <c r="AH14" s="12">
        <v>330.0</v>
      </c>
      <c r="AI14" s="12" t="s">
        <v>150</v>
      </c>
      <c r="AJ14" s="98" t="s">
        <v>51</v>
      </c>
      <c r="AK14" s="101" t="s">
        <v>95</v>
      </c>
      <c r="AL14" s="100" t="s">
        <v>86</v>
      </c>
      <c r="AM14" s="99" t="s">
        <v>87</v>
      </c>
      <c r="AN14" s="100" t="s">
        <v>88</v>
      </c>
      <c r="AO14" s="101" t="s">
        <v>89</v>
      </c>
      <c r="AP14" s="100" t="s">
        <v>45</v>
      </c>
      <c r="AQ14" s="102" t="s">
        <v>90</v>
      </c>
      <c r="AR14" s="100" t="s">
        <v>43</v>
      </c>
      <c r="AS14" s="101" t="s">
        <v>91</v>
      </c>
      <c r="AT14" s="100" t="s">
        <v>41</v>
      </c>
      <c r="AU14" s="103" t="s">
        <v>92</v>
      </c>
      <c r="AV14" s="100" t="s">
        <v>39</v>
      </c>
      <c r="AW14" s="99" t="s">
        <v>93</v>
      </c>
      <c r="AX14" s="100" t="s">
        <v>37</v>
      </c>
      <c r="AY14" s="99" t="s">
        <v>94</v>
      </c>
      <c r="AZ14" s="24"/>
    </row>
    <row r="15">
      <c r="A15" s="85" t="str">
        <f t="shared" ref="A15:A17" si="10">A9</f>
        <v>เมษายน</v>
      </c>
      <c r="B15" s="86"/>
      <c r="C15" s="161" t="s">
        <v>151</v>
      </c>
      <c r="E15" s="201" t="s">
        <v>202</v>
      </c>
      <c r="G15" s="274" t="str">
        <f t="shared" si="7"/>
        <v>卯</v>
      </c>
      <c r="I15" s="142" t="str">
        <f t="shared" si="8"/>
        <v>午</v>
      </c>
      <c r="K15" s="36"/>
      <c r="L15" s="109">
        <f t="shared" si="9"/>
        <v>1000</v>
      </c>
      <c r="M15" s="9">
        <v>0.0</v>
      </c>
      <c r="N15" s="110">
        <v>0.0</v>
      </c>
      <c r="O15" s="9">
        <v>100.0</v>
      </c>
      <c r="P15" s="9">
        <v>100.0</v>
      </c>
      <c r="Q15" s="9">
        <v>100.0</v>
      </c>
      <c r="R15" s="110">
        <v>100.0</v>
      </c>
      <c r="S15" s="9">
        <v>100.0</v>
      </c>
      <c r="T15" s="110">
        <v>100.0</v>
      </c>
      <c r="U15" s="9">
        <v>100.0</v>
      </c>
      <c r="V15" s="110">
        <v>100.0</v>
      </c>
      <c r="W15" s="9">
        <v>100.0</v>
      </c>
      <c r="X15" s="110">
        <v>100.0</v>
      </c>
      <c r="Y15" s="73" t="s">
        <v>69</v>
      </c>
      <c r="Z15" s="94" t="s">
        <v>152</v>
      </c>
      <c r="AA15" s="36"/>
      <c r="AB15" s="36"/>
      <c r="AC15" s="111"/>
      <c r="AD15" s="112"/>
      <c r="AE15" s="37"/>
      <c r="AF15" s="97"/>
      <c r="AG15" s="14"/>
      <c r="AH15" s="14"/>
      <c r="AI15" s="14"/>
      <c r="AJ15" s="113"/>
      <c r="AK15" s="105" t="s">
        <v>107</v>
      </c>
      <c r="AM15" s="104" t="s">
        <v>100</v>
      </c>
      <c r="AO15" s="114" t="s">
        <v>101</v>
      </c>
      <c r="AQ15" s="105" t="s">
        <v>102</v>
      </c>
      <c r="AS15" s="105" t="s">
        <v>103</v>
      </c>
      <c r="AU15" s="104" t="s">
        <v>104</v>
      </c>
      <c r="AW15" s="104" t="s">
        <v>105</v>
      </c>
      <c r="AY15" s="104" t="s">
        <v>106</v>
      </c>
      <c r="AZ15" s="24"/>
    </row>
    <row r="16">
      <c r="A16" s="85">
        <f t="shared" si="10"/>
        <v>2569</v>
      </c>
      <c r="B16" s="86"/>
      <c r="E16" s="115" t="s">
        <v>204</v>
      </c>
      <c r="F16" s="116" t="s">
        <v>116</v>
      </c>
      <c r="G16" s="115" t="str">
        <f t="shared" ref="G16:H16" si="11">G10</f>
        <v>A10</v>
      </c>
      <c r="H16" s="9" t="str">
        <f t="shared" si="11"/>
        <v>B8</v>
      </c>
      <c r="I16" s="9" t="s">
        <v>204</v>
      </c>
      <c r="J16" s="9" t="s">
        <v>214</v>
      </c>
      <c r="K16" s="36"/>
      <c r="L16" s="117"/>
      <c r="M16" s="118" t="str">
        <f t="shared" ref="M16:P16" si="12">C16</f>
        <v/>
      </c>
      <c r="N16" s="119" t="str">
        <f t="shared" si="12"/>
        <v/>
      </c>
      <c r="O16" s="118" t="str">
        <f t="shared" si="12"/>
        <v>A5</v>
      </c>
      <c r="P16" s="118" t="str">
        <f t="shared" si="12"/>
        <v>B5</v>
      </c>
      <c r="Q16" s="118" t="str">
        <f t="shared" ref="Q16:R16" si="13">E17</f>
        <v>B11</v>
      </c>
      <c r="R16" s="119" t="str">
        <f t="shared" si="13"/>
        <v>C4</v>
      </c>
      <c r="S16" s="9" t="s">
        <v>115</v>
      </c>
      <c r="T16" s="110" t="s">
        <v>112</v>
      </c>
      <c r="U16" s="9" t="str">
        <f t="shared" ref="U16:W16" si="14">G16</f>
        <v>A10</v>
      </c>
      <c r="V16" s="119" t="str">
        <f t="shared" si="14"/>
        <v>B8</v>
      </c>
      <c r="W16" s="118" t="str">
        <f t="shared" si="14"/>
        <v>A5</v>
      </c>
      <c r="X16" s="120" t="str">
        <f>X10</f>
        <v>B11</v>
      </c>
      <c r="Y16" s="73" t="s">
        <v>80</v>
      </c>
      <c r="Z16" s="94" t="s">
        <v>153</v>
      </c>
      <c r="AA16" s="36"/>
      <c r="AB16" s="36"/>
      <c r="AC16" s="111"/>
      <c r="AD16" s="112"/>
      <c r="AE16" s="37"/>
      <c r="AF16" s="97"/>
      <c r="AG16" s="14"/>
      <c r="AH16" s="14"/>
      <c r="AI16" s="14"/>
      <c r="AJ16" s="113"/>
      <c r="AK16" s="105" t="s">
        <v>125</v>
      </c>
      <c r="AM16" s="104" t="s">
        <v>118</v>
      </c>
      <c r="AO16" s="114" t="s">
        <v>119</v>
      </c>
      <c r="AQ16" s="105" t="s">
        <v>120</v>
      </c>
      <c r="AS16" s="105" t="s">
        <v>121</v>
      </c>
      <c r="AU16" s="104" t="s">
        <v>122</v>
      </c>
      <c r="AW16" s="104" t="s">
        <v>123</v>
      </c>
      <c r="AY16" s="104" t="s">
        <v>124</v>
      </c>
      <c r="AZ16" s="24"/>
    </row>
    <row r="17">
      <c r="A17" s="85">
        <f t="shared" si="10"/>
        <v>2026</v>
      </c>
      <c r="B17" s="86"/>
      <c r="C17" s="304" t="s">
        <v>166</v>
      </c>
      <c r="E17" s="115" t="s">
        <v>214</v>
      </c>
      <c r="F17" s="116" t="s">
        <v>190</v>
      </c>
      <c r="G17" s="115"/>
      <c r="H17" s="118"/>
      <c r="I17" s="118"/>
      <c r="J17" s="118"/>
      <c r="K17" s="36"/>
      <c r="L17" s="117"/>
      <c r="M17" s="8"/>
      <c r="N17" s="121"/>
      <c r="O17" s="8"/>
      <c r="P17" s="8"/>
      <c r="Q17" s="8"/>
      <c r="R17" s="121"/>
      <c r="S17" s="8"/>
      <c r="T17" s="121"/>
      <c r="U17" s="9"/>
      <c r="V17" s="110"/>
      <c r="W17" s="9"/>
      <c r="X17" s="110"/>
      <c r="Y17" s="73" t="s">
        <v>98</v>
      </c>
      <c r="Z17" s="94" t="s">
        <v>155</v>
      </c>
      <c r="AA17" s="36"/>
      <c r="AB17" s="36"/>
      <c r="AC17" s="111"/>
      <c r="AD17" s="112"/>
      <c r="AE17" s="37"/>
      <c r="AF17" s="97"/>
      <c r="AG17" s="14"/>
      <c r="AH17" s="14"/>
      <c r="AI17" s="14"/>
      <c r="AJ17" s="113"/>
      <c r="AK17" s="105" t="s">
        <v>136</v>
      </c>
      <c r="AM17" s="104" t="s">
        <v>129</v>
      </c>
      <c r="AO17" s="114" t="s">
        <v>130</v>
      </c>
      <c r="AQ17" s="105" t="s">
        <v>131</v>
      </c>
      <c r="AS17" s="105" t="s">
        <v>132</v>
      </c>
      <c r="AU17" s="104" t="s">
        <v>133</v>
      </c>
      <c r="AW17" s="104" t="s">
        <v>134</v>
      </c>
      <c r="AY17" s="104" t="s">
        <v>135</v>
      </c>
      <c r="AZ17" s="24"/>
    </row>
    <row r="18">
      <c r="A18" s="319" t="s">
        <v>242</v>
      </c>
      <c r="B18" s="2"/>
      <c r="C18" s="1"/>
      <c r="D18" s="123"/>
      <c r="E18" s="176"/>
      <c r="F18" s="320"/>
      <c r="G18" s="165"/>
      <c r="H18" s="321"/>
      <c r="I18" s="166"/>
      <c r="J18" s="166"/>
      <c r="K18" s="90"/>
      <c r="L18" s="126"/>
      <c r="M18" s="8"/>
      <c r="N18" s="121"/>
      <c r="O18" s="8"/>
      <c r="P18" s="8"/>
      <c r="Q18" s="8"/>
      <c r="R18" s="121"/>
      <c r="S18" s="8"/>
      <c r="T18" s="121"/>
      <c r="U18" s="9"/>
      <c r="V18" s="110"/>
      <c r="W18" s="9"/>
      <c r="X18" s="110"/>
      <c r="Y18" s="127"/>
      <c r="Z18" s="155"/>
      <c r="AA18" s="36"/>
      <c r="AB18" s="36"/>
      <c r="AC18" s="111"/>
      <c r="AD18" s="112"/>
      <c r="AE18" s="37"/>
      <c r="AF18" s="97"/>
      <c r="AG18" s="14"/>
      <c r="AH18" s="14"/>
      <c r="AI18" s="14"/>
      <c r="AJ18" s="113"/>
      <c r="AY18" s="128"/>
      <c r="AZ18" s="24"/>
    </row>
    <row r="19">
      <c r="A19" s="143" t="s">
        <v>156</v>
      </c>
      <c r="B19" s="144"/>
      <c r="C19" s="1"/>
      <c r="D19" s="123"/>
      <c r="E19" s="124" t="s">
        <v>185</v>
      </c>
      <c r="F19" s="125"/>
      <c r="G19" s="146" t="str">
        <f>G12</f>
        <v>อสูรเดือน W</v>
      </c>
      <c r="H19" s="147"/>
      <c r="I19" s="148" t="str">
        <f>I12:J12</f>
        <v>อสูรปี N</v>
      </c>
      <c r="J19" s="147"/>
      <c r="K19" s="149"/>
      <c r="L19" s="150"/>
      <c r="M19" s="151"/>
      <c r="N19" s="152"/>
      <c r="O19" s="151"/>
      <c r="P19" s="151"/>
      <c r="Q19" s="151"/>
      <c r="R19" s="152"/>
      <c r="S19" s="8"/>
      <c r="T19" s="121"/>
      <c r="U19" s="153"/>
      <c r="V19" s="154"/>
      <c r="W19" s="153"/>
      <c r="X19" s="154"/>
      <c r="Y19" s="127"/>
      <c r="Z19" s="155"/>
      <c r="AA19" s="36"/>
      <c r="AB19" s="36"/>
      <c r="AC19" s="111"/>
      <c r="AD19" s="112"/>
      <c r="AE19" s="37"/>
      <c r="AF19" s="97"/>
      <c r="AG19" s="14"/>
      <c r="AH19" s="14"/>
      <c r="AI19" s="14"/>
      <c r="AJ19" s="113"/>
      <c r="AY19" s="128"/>
      <c r="AZ19" s="159"/>
      <c r="BA19" s="158"/>
      <c r="BB19" s="158"/>
      <c r="BC19" s="158"/>
    </row>
    <row r="20">
      <c r="A20" s="188" t="s">
        <v>139</v>
      </c>
      <c r="B20" s="62"/>
      <c r="C20" s="63"/>
      <c r="D20" s="63"/>
      <c r="E20" s="132">
        <f>(O21+P21+Q21+R21)/(O22+P22+Q22+R22)</f>
        <v>0.75</v>
      </c>
      <c r="F20" s="88"/>
      <c r="G20" s="133"/>
      <c r="H20" s="66"/>
      <c r="I20" s="67"/>
      <c r="J20" s="67"/>
      <c r="K20" s="68"/>
      <c r="L20" s="69"/>
      <c r="M20" s="63" t="s">
        <v>64</v>
      </c>
      <c r="N20" s="70"/>
      <c r="O20" s="71" t="s">
        <v>65</v>
      </c>
      <c r="P20" s="72"/>
      <c r="Q20" s="72"/>
      <c r="R20" s="70"/>
      <c r="S20" s="71" t="s">
        <v>66</v>
      </c>
      <c r="T20" s="70"/>
      <c r="U20" s="71" t="s">
        <v>67</v>
      </c>
      <c r="V20" s="70"/>
      <c r="W20" s="71" t="s">
        <v>68</v>
      </c>
      <c r="X20" s="70"/>
      <c r="Y20" s="134" t="s">
        <v>116</v>
      </c>
      <c r="Z20" s="74" t="s">
        <v>159</v>
      </c>
      <c r="AA20" s="75" t="s">
        <v>32</v>
      </c>
      <c r="AB20" s="75" t="s">
        <v>33</v>
      </c>
      <c r="AC20" s="135" t="s">
        <v>142</v>
      </c>
      <c r="AD20" s="74" t="s">
        <v>143</v>
      </c>
      <c r="AE20" s="63" t="s">
        <v>75</v>
      </c>
      <c r="AF20" s="78" t="s">
        <v>75</v>
      </c>
      <c r="AG20" s="79" t="s">
        <v>97</v>
      </c>
      <c r="AH20" s="79">
        <v>330.0</v>
      </c>
      <c r="AI20" s="79" t="s">
        <v>150</v>
      </c>
      <c r="AJ20" s="80" t="str">
        <f>AJ13</f>
        <v>開</v>
      </c>
      <c r="AK20" s="81" t="s">
        <v>50</v>
      </c>
      <c r="AL20" s="82" t="str">
        <f>AL13</f>
        <v>休</v>
      </c>
      <c r="AM20" s="81" t="s">
        <v>52</v>
      </c>
      <c r="AN20" s="82" t="s">
        <v>4</v>
      </c>
      <c r="AO20" s="81" t="s">
        <v>38</v>
      </c>
      <c r="AP20" s="82" t="str">
        <f>AP13</f>
        <v>傷</v>
      </c>
      <c r="AQ20" s="81" t="s">
        <v>40</v>
      </c>
      <c r="AR20" s="82" t="s">
        <v>8</v>
      </c>
      <c r="AS20" s="81" t="s">
        <v>42</v>
      </c>
      <c r="AT20" s="82" t="str">
        <f>AT13</f>
        <v>景</v>
      </c>
      <c r="AU20" s="81" t="s">
        <v>44</v>
      </c>
      <c r="AV20" s="82" t="str">
        <f>AV13</f>
        <v>死</v>
      </c>
      <c r="AW20" s="81" t="s">
        <v>46</v>
      </c>
      <c r="AX20" s="82" t="str">
        <f>AX13</f>
        <v>驚</v>
      </c>
      <c r="AY20" s="81" t="s">
        <v>48</v>
      </c>
      <c r="AZ20" s="83"/>
      <c r="BA20" s="84"/>
      <c r="BB20" s="84"/>
      <c r="BC20" s="84"/>
    </row>
    <row r="21">
      <c r="A21" s="85">
        <f>A14+1</f>
        <v>3</v>
      </c>
      <c r="B21" s="86"/>
      <c r="C21" s="12" t="s">
        <v>260</v>
      </c>
      <c r="E21" s="160" t="s">
        <v>161</v>
      </c>
      <c r="F21" s="88"/>
      <c r="G21" s="194" t="str">
        <f t="shared" ref="G21:G22" si="16">G8:H8</f>
        <v>辛</v>
      </c>
      <c r="I21" s="275" t="str">
        <f t="shared" ref="I21:I22" si="17">I8:J8</f>
        <v>丙</v>
      </c>
      <c r="K21" s="90">
        <f>L21/L22</f>
        <v>0.61</v>
      </c>
      <c r="L21" s="126">
        <f t="shared" ref="L21:L22" si="18">O21+P21+Q21+U21+V21+W21+X21+R21+M21+N21+S21+T21</f>
        <v>610</v>
      </c>
      <c r="M21" s="92">
        <v>0.0</v>
      </c>
      <c r="N21" s="93">
        <v>0.0</v>
      </c>
      <c r="O21" s="92">
        <v>90.0</v>
      </c>
      <c r="P21" s="92">
        <v>90.0</v>
      </c>
      <c r="Q21" s="92">
        <v>40.0</v>
      </c>
      <c r="R21" s="93">
        <v>80.0</v>
      </c>
      <c r="S21" s="92">
        <v>30.0</v>
      </c>
      <c r="T21" s="93">
        <v>20.0</v>
      </c>
      <c r="U21" s="92">
        <f t="shared" ref="U21:X21" si="15">U8</f>
        <v>0</v>
      </c>
      <c r="V21" s="93">
        <f t="shared" si="15"/>
        <v>90</v>
      </c>
      <c r="W21" s="92">
        <f t="shared" si="15"/>
        <v>110</v>
      </c>
      <c r="X21" s="92">
        <f t="shared" si="15"/>
        <v>60</v>
      </c>
      <c r="Y21" s="73" t="s">
        <v>126</v>
      </c>
      <c r="Z21" s="94" t="s">
        <v>152</v>
      </c>
      <c r="AA21" s="36"/>
      <c r="AB21" s="36"/>
      <c r="AC21" s="139" t="s">
        <v>148</v>
      </c>
      <c r="AD21" s="96" t="s">
        <v>149</v>
      </c>
      <c r="AE21" s="37"/>
      <c r="AF21" s="97"/>
      <c r="AG21" s="12" t="s">
        <v>32</v>
      </c>
      <c r="AH21" s="12">
        <v>270.0</v>
      </c>
      <c r="AI21" s="12" t="s">
        <v>145</v>
      </c>
      <c r="AJ21" s="98" t="s">
        <v>86</v>
      </c>
      <c r="AK21" s="99" t="s">
        <v>87</v>
      </c>
      <c r="AL21" s="100" t="s">
        <v>88</v>
      </c>
      <c r="AM21" s="101" t="s">
        <v>89</v>
      </c>
      <c r="AN21" s="100" t="s">
        <v>45</v>
      </c>
      <c r="AO21" s="102" t="s">
        <v>90</v>
      </c>
      <c r="AP21" s="100" t="s">
        <v>43</v>
      </c>
      <c r="AQ21" s="101" t="s">
        <v>91</v>
      </c>
      <c r="AR21" s="100" t="s">
        <v>41</v>
      </c>
      <c r="AS21" s="103" t="s">
        <v>92</v>
      </c>
      <c r="AT21" s="100" t="s">
        <v>39</v>
      </c>
      <c r="AU21" s="99" t="s">
        <v>93</v>
      </c>
      <c r="AV21" s="100" t="s">
        <v>37</v>
      </c>
      <c r="AW21" s="99" t="s">
        <v>94</v>
      </c>
      <c r="AX21" s="100" t="s">
        <v>51</v>
      </c>
      <c r="AY21" s="101" t="s">
        <v>95</v>
      </c>
      <c r="AZ21" s="24"/>
    </row>
    <row r="22">
      <c r="A22" s="85" t="str">
        <f>A15</f>
        <v>เมษายน</v>
      </c>
      <c r="B22" s="86"/>
      <c r="C22" s="106" t="s">
        <v>162</v>
      </c>
      <c r="E22" s="162" t="s">
        <v>71</v>
      </c>
      <c r="G22" s="274" t="str">
        <f t="shared" si="16"/>
        <v>卯</v>
      </c>
      <c r="I22" s="142" t="str">
        <f t="shared" si="17"/>
        <v>午</v>
      </c>
      <c r="K22" s="36"/>
      <c r="L22" s="109">
        <f t="shared" si="18"/>
        <v>1000</v>
      </c>
      <c r="M22" s="9">
        <v>0.0</v>
      </c>
      <c r="N22" s="110">
        <v>0.0</v>
      </c>
      <c r="O22" s="9">
        <v>100.0</v>
      </c>
      <c r="P22" s="9">
        <v>100.0</v>
      </c>
      <c r="Q22" s="9">
        <v>100.0</v>
      </c>
      <c r="R22" s="110">
        <v>100.0</v>
      </c>
      <c r="S22" s="9">
        <v>100.0</v>
      </c>
      <c r="T22" s="110">
        <v>100.0</v>
      </c>
      <c r="U22" s="9">
        <v>100.0</v>
      </c>
      <c r="V22" s="110">
        <v>100.0</v>
      </c>
      <c r="W22" s="9">
        <v>100.0</v>
      </c>
      <c r="X22" s="110">
        <v>100.0</v>
      </c>
      <c r="Y22" s="73" t="s">
        <v>69</v>
      </c>
      <c r="Z22" s="94" t="s">
        <v>163</v>
      </c>
      <c r="AA22" s="36"/>
      <c r="AB22" s="36"/>
      <c r="AC22" s="111"/>
      <c r="AD22" s="112"/>
      <c r="AE22" s="37"/>
      <c r="AF22" s="97"/>
      <c r="AG22" s="14"/>
      <c r="AH22" s="14"/>
      <c r="AI22" s="14"/>
      <c r="AJ22" s="113"/>
      <c r="AK22" s="104" t="s">
        <v>100</v>
      </c>
      <c r="AM22" s="114" t="s">
        <v>101</v>
      </c>
      <c r="AO22" s="105" t="s">
        <v>102</v>
      </c>
      <c r="AQ22" s="105" t="s">
        <v>103</v>
      </c>
      <c r="AS22" s="104" t="s">
        <v>104</v>
      </c>
      <c r="AU22" s="104" t="s">
        <v>105</v>
      </c>
      <c r="AW22" s="104" t="s">
        <v>106</v>
      </c>
      <c r="AY22" s="105" t="s">
        <v>107</v>
      </c>
      <c r="AZ22" s="24"/>
    </row>
    <row r="23">
      <c r="A23" s="85">
        <f>A10</f>
        <v>2569</v>
      </c>
      <c r="B23" s="86"/>
      <c r="E23" s="115" t="s">
        <v>219</v>
      </c>
      <c r="F23" s="116" t="s">
        <v>126</v>
      </c>
      <c r="G23" s="115" t="str">
        <f t="shared" ref="G23:J23" si="19">G10</f>
        <v>A10</v>
      </c>
      <c r="H23" s="9" t="str">
        <f t="shared" si="19"/>
        <v>B8</v>
      </c>
      <c r="I23" s="9" t="str">
        <f t="shared" si="19"/>
        <v>A5</v>
      </c>
      <c r="J23" s="9" t="str">
        <f t="shared" si="19"/>
        <v>B11</v>
      </c>
      <c r="K23" s="36"/>
      <c r="L23" s="117"/>
      <c r="M23" s="118" t="str">
        <f t="shared" ref="M23:P23" si="20">C23</f>
        <v/>
      </c>
      <c r="N23" s="119" t="str">
        <f t="shared" si="20"/>
        <v/>
      </c>
      <c r="O23" s="118" t="str">
        <f t="shared" si="20"/>
        <v>A3</v>
      </c>
      <c r="P23" s="118" t="str">
        <f t="shared" si="20"/>
        <v>B6</v>
      </c>
      <c r="Q23" s="118" t="str">
        <f t="shared" ref="Q23:R23" si="21">E24</f>
        <v>B10</v>
      </c>
      <c r="R23" s="119" t="str">
        <f t="shared" si="21"/>
        <v>C5</v>
      </c>
      <c r="S23" s="9" t="s">
        <v>198</v>
      </c>
      <c r="T23" s="110" t="s">
        <v>115</v>
      </c>
      <c r="U23" s="9" t="str">
        <f t="shared" ref="U23:X23" si="22">G23</f>
        <v>A10</v>
      </c>
      <c r="V23" s="119" t="str">
        <f t="shared" si="22"/>
        <v>B8</v>
      </c>
      <c r="W23" s="118" t="str">
        <f t="shared" si="22"/>
        <v>A5</v>
      </c>
      <c r="X23" s="120" t="str">
        <f t="shared" si="22"/>
        <v>B11</v>
      </c>
      <c r="Y23" s="73" t="s">
        <v>80</v>
      </c>
      <c r="Z23" s="94" t="s">
        <v>117</v>
      </c>
      <c r="AA23" s="36"/>
      <c r="AB23" s="36"/>
      <c r="AC23" s="111"/>
      <c r="AD23" s="112"/>
      <c r="AE23" s="37"/>
      <c r="AF23" s="97"/>
      <c r="AG23" s="14"/>
      <c r="AH23" s="14"/>
      <c r="AI23" s="14"/>
      <c r="AJ23" s="113"/>
      <c r="AK23" s="104" t="s">
        <v>118</v>
      </c>
      <c r="AM23" s="114" t="s">
        <v>119</v>
      </c>
      <c r="AO23" s="105" t="s">
        <v>120</v>
      </c>
      <c r="AQ23" s="105" t="s">
        <v>121</v>
      </c>
      <c r="AS23" s="104" t="s">
        <v>122</v>
      </c>
      <c r="AU23" s="104" t="s">
        <v>123</v>
      </c>
      <c r="AW23" s="104" t="s">
        <v>124</v>
      </c>
      <c r="AY23" s="105" t="s">
        <v>125</v>
      </c>
      <c r="AZ23" s="24"/>
    </row>
    <row r="24">
      <c r="A24" s="85">
        <f>A23-543</f>
        <v>2026</v>
      </c>
      <c r="B24" s="86"/>
      <c r="C24" s="163" t="s">
        <v>166</v>
      </c>
      <c r="E24" s="115" t="s">
        <v>218</v>
      </c>
      <c r="F24" s="116" t="s">
        <v>205</v>
      </c>
      <c r="G24" s="115"/>
      <c r="H24" s="118"/>
      <c r="I24" s="118"/>
      <c r="J24" s="118"/>
      <c r="K24" s="36"/>
      <c r="L24" s="117"/>
      <c r="M24" s="8"/>
      <c r="N24" s="121"/>
      <c r="O24" s="8"/>
      <c r="P24" s="8"/>
      <c r="Q24" s="8"/>
      <c r="R24" s="121"/>
      <c r="S24" s="8"/>
      <c r="T24" s="121"/>
      <c r="U24" s="9"/>
      <c r="V24" s="110"/>
      <c r="W24" s="9"/>
      <c r="X24" s="110"/>
      <c r="Y24" s="73" t="s">
        <v>98</v>
      </c>
      <c r="Z24" s="94" t="s">
        <v>128</v>
      </c>
      <c r="AA24" s="36"/>
      <c r="AB24" s="36"/>
      <c r="AC24" s="111"/>
      <c r="AD24" s="112"/>
      <c r="AE24" s="37"/>
      <c r="AF24" s="97"/>
      <c r="AG24" s="14"/>
      <c r="AH24" s="14"/>
      <c r="AI24" s="14"/>
      <c r="AJ24" s="113"/>
      <c r="AK24" s="104" t="s">
        <v>129</v>
      </c>
      <c r="AM24" s="114" t="s">
        <v>130</v>
      </c>
      <c r="AO24" s="105" t="s">
        <v>131</v>
      </c>
      <c r="AQ24" s="105" t="s">
        <v>132</v>
      </c>
      <c r="AS24" s="104" t="s">
        <v>133</v>
      </c>
      <c r="AU24" s="104" t="s">
        <v>134</v>
      </c>
      <c r="AW24" s="104" t="s">
        <v>135</v>
      </c>
      <c r="AY24" s="105" t="s">
        <v>136</v>
      </c>
      <c r="AZ24" s="24"/>
    </row>
    <row r="25">
      <c r="A25" s="143" t="s">
        <v>156</v>
      </c>
      <c r="B25" s="2"/>
      <c r="C25" s="304"/>
      <c r="E25" s="145" t="s">
        <v>137</v>
      </c>
      <c r="F25" s="88"/>
      <c r="G25" s="165" t="str">
        <f>G12:H12</f>
        <v>อสูรเดือน W</v>
      </c>
      <c r="I25" s="166" t="str">
        <f>I12:J12</f>
        <v>อสูรปี N</v>
      </c>
      <c r="K25" s="90"/>
      <c r="L25" s="126"/>
      <c r="M25" s="8"/>
      <c r="N25" s="121"/>
      <c r="O25" s="8"/>
      <c r="P25" s="8"/>
      <c r="Q25" s="8"/>
      <c r="R25" s="121"/>
      <c r="S25" s="8"/>
      <c r="T25" s="121"/>
      <c r="U25" s="9"/>
      <c r="V25" s="110"/>
      <c r="W25" s="9"/>
      <c r="X25" s="110"/>
      <c r="Y25" s="127"/>
      <c r="Z25" s="155"/>
      <c r="AA25" s="156"/>
      <c r="AB25" s="156"/>
      <c r="AC25" s="111"/>
      <c r="AD25" s="112"/>
      <c r="AE25" s="37"/>
      <c r="AF25" s="97"/>
      <c r="AG25" s="14"/>
      <c r="AH25" s="14"/>
      <c r="AI25" s="14"/>
      <c r="AJ25" s="113"/>
      <c r="AK25" s="128"/>
      <c r="AM25" s="128"/>
      <c r="AO25" s="128"/>
      <c r="AQ25" s="129"/>
      <c r="AS25" s="130"/>
      <c r="AU25" s="131"/>
      <c r="AW25" s="131"/>
      <c r="AY25" s="131"/>
      <c r="AZ25" s="24"/>
    </row>
    <row r="26">
      <c r="A26" s="188" t="s">
        <v>158</v>
      </c>
      <c r="B26" s="62"/>
      <c r="C26" s="63"/>
      <c r="D26" s="63"/>
      <c r="E26" s="64">
        <f>(O27+P27+Q27+R27)/(O28+P28+Q28+R28)</f>
        <v>0.375</v>
      </c>
      <c r="F26" s="65"/>
      <c r="G26" s="133"/>
      <c r="H26" s="66"/>
      <c r="I26" s="67"/>
      <c r="J26" s="67"/>
      <c r="K26" s="68"/>
      <c r="L26" s="69"/>
      <c r="M26" s="63" t="s">
        <v>64</v>
      </c>
      <c r="N26" s="70"/>
      <c r="O26" s="71" t="s">
        <v>65</v>
      </c>
      <c r="P26" s="72"/>
      <c r="Q26" s="72"/>
      <c r="R26" s="70"/>
      <c r="S26" s="71" t="s">
        <v>66</v>
      </c>
      <c r="T26" s="70"/>
      <c r="U26" s="71" t="s">
        <v>67</v>
      </c>
      <c r="V26" s="70"/>
      <c r="W26" s="71" t="s">
        <v>68</v>
      </c>
      <c r="X26" s="70"/>
      <c r="Y26" s="134" t="s">
        <v>80</v>
      </c>
      <c r="Z26" s="74" t="s">
        <v>170</v>
      </c>
      <c r="AA26" s="75" t="s">
        <v>171</v>
      </c>
      <c r="AB26" s="75" t="s">
        <v>172</v>
      </c>
      <c r="AC26" s="167" t="s">
        <v>173</v>
      </c>
      <c r="AD26" s="74" t="s">
        <v>174</v>
      </c>
      <c r="AE26" s="63" t="s">
        <v>34</v>
      </c>
      <c r="AF26" s="78" t="s">
        <v>144</v>
      </c>
      <c r="AG26" s="79" t="s">
        <v>71</v>
      </c>
      <c r="AH26" s="79">
        <v>210.0</v>
      </c>
      <c r="AI26" s="79" t="s">
        <v>175</v>
      </c>
      <c r="AJ26" s="80" t="str">
        <f>AJ20</f>
        <v>開</v>
      </c>
      <c r="AK26" s="81" t="s">
        <v>48</v>
      </c>
      <c r="AL26" s="82" t="str">
        <f>AL20</f>
        <v>休</v>
      </c>
      <c r="AM26" s="81" t="s">
        <v>50</v>
      </c>
      <c r="AN26" s="82" t="s">
        <v>4</v>
      </c>
      <c r="AO26" s="81" t="s">
        <v>52</v>
      </c>
      <c r="AP26" s="82" t="str">
        <f>AP20</f>
        <v>傷</v>
      </c>
      <c r="AQ26" s="81" t="s">
        <v>38</v>
      </c>
      <c r="AR26" s="82" t="s">
        <v>8</v>
      </c>
      <c r="AS26" s="81" t="s">
        <v>40</v>
      </c>
      <c r="AT26" s="82" t="str">
        <f>AT20</f>
        <v>景</v>
      </c>
      <c r="AU26" s="81" t="s">
        <v>42</v>
      </c>
      <c r="AV26" s="82" t="str">
        <f>AV20</f>
        <v>死</v>
      </c>
      <c r="AW26" s="81" t="s">
        <v>44</v>
      </c>
      <c r="AX26" s="82" t="str">
        <f>AX20</f>
        <v>驚</v>
      </c>
      <c r="AY26" s="81" t="s">
        <v>46</v>
      </c>
      <c r="AZ26" s="83"/>
      <c r="BA26" s="84"/>
      <c r="BB26" s="84"/>
      <c r="BC26" s="84"/>
    </row>
    <row r="27">
      <c r="A27" s="85">
        <f>A21+1</f>
        <v>4</v>
      </c>
      <c r="B27" s="86"/>
      <c r="C27" s="12" t="s">
        <v>187</v>
      </c>
      <c r="E27" s="168" t="s">
        <v>79</v>
      </c>
      <c r="G27" s="194" t="str">
        <f t="shared" ref="G27:G28" si="24">G8:H8</f>
        <v>辛</v>
      </c>
      <c r="I27" s="275" t="str">
        <f t="shared" ref="I27:I28" si="25">I8:J8</f>
        <v>丙</v>
      </c>
      <c r="K27" s="90">
        <f>L27/L28</f>
        <v>0.545</v>
      </c>
      <c r="L27" s="126">
        <f t="shared" ref="L27:L28" si="26">O27+P27+Q27+U27+V27+W27+X27+R27+M27+N27+S27+T27</f>
        <v>545</v>
      </c>
      <c r="M27" s="92">
        <v>0.0</v>
      </c>
      <c r="N27" s="93">
        <v>0.0</v>
      </c>
      <c r="O27" s="92">
        <v>20.0</v>
      </c>
      <c r="P27" s="92">
        <v>0.0</v>
      </c>
      <c r="Q27" s="92">
        <v>50.0</v>
      </c>
      <c r="R27" s="93">
        <v>80.0</v>
      </c>
      <c r="S27" s="92">
        <v>25.0</v>
      </c>
      <c r="T27" s="93">
        <v>110.0</v>
      </c>
      <c r="U27" s="92">
        <f t="shared" ref="U27:X27" si="23">U8</f>
        <v>0</v>
      </c>
      <c r="V27" s="93">
        <f t="shared" si="23"/>
        <v>90</v>
      </c>
      <c r="W27" s="92">
        <f t="shared" si="23"/>
        <v>110</v>
      </c>
      <c r="X27" s="93">
        <f t="shared" si="23"/>
        <v>60</v>
      </c>
      <c r="Y27" s="73" t="s">
        <v>98</v>
      </c>
      <c r="Z27" s="94" t="s">
        <v>70</v>
      </c>
      <c r="AA27" s="36"/>
      <c r="AB27" s="169" t="s">
        <v>177</v>
      </c>
      <c r="AC27" s="170" t="s">
        <v>73</v>
      </c>
      <c r="AD27" s="94" t="s">
        <v>74</v>
      </c>
      <c r="AE27" s="37"/>
      <c r="AF27" s="97"/>
      <c r="AG27" s="12" t="s">
        <v>53</v>
      </c>
      <c r="AH27" s="12">
        <v>30.0</v>
      </c>
      <c r="AI27" s="12" t="s">
        <v>178</v>
      </c>
      <c r="AJ27" s="98" t="s">
        <v>51</v>
      </c>
      <c r="AK27" s="101" t="s">
        <v>95</v>
      </c>
      <c r="AL27" s="100" t="s">
        <v>86</v>
      </c>
      <c r="AM27" s="99" t="s">
        <v>87</v>
      </c>
      <c r="AN27" s="100" t="s">
        <v>88</v>
      </c>
      <c r="AO27" s="101" t="s">
        <v>89</v>
      </c>
      <c r="AP27" s="100" t="s">
        <v>45</v>
      </c>
      <c r="AQ27" s="102" t="s">
        <v>90</v>
      </c>
      <c r="AR27" s="100" t="s">
        <v>43</v>
      </c>
      <c r="AS27" s="101" t="s">
        <v>91</v>
      </c>
      <c r="AT27" s="100" t="s">
        <v>41</v>
      </c>
      <c r="AU27" s="103" t="s">
        <v>92</v>
      </c>
      <c r="AV27" s="100" t="s">
        <v>39</v>
      </c>
      <c r="AW27" s="99" t="s">
        <v>93</v>
      </c>
      <c r="AX27" s="100" t="s">
        <v>37</v>
      </c>
      <c r="AY27" s="99" t="s">
        <v>94</v>
      </c>
      <c r="AZ27" s="24"/>
    </row>
    <row r="28">
      <c r="A28" s="85" t="str">
        <f>A15</f>
        <v>เมษายน</v>
      </c>
      <c r="B28" s="86"/>
      <c r="C28" s="140" t="s">
        <v>179</v>
      </c>
      <c r="E28" s="209" t="s">
        <v>76</v>
      </c>
      <c r="G28" s="274" t="str">
        <f t="shared" si="24"/>
        <v>卯</v>
      </c>
      <c r="I28" s="142" t="str">
        <f t="shared" si="25"/>
        <v>午</v>
      </c>
      <c r="K28" s="36"/>
      <c r="L28" s="109">
        <f t="shared" si="26"/>
        <v>1000</v>
      </c>
      <c r="M28" s="9">
        <v>0.0</v>
      </c>
      <c r="N28" s="110">
        <v>0.0</v>
      </c>
      <c r="O28" s="9">
        <v>100.0</v>
      </c>
      <c r="P28" s="9">
        <v>100.0</v>
      </c>
      <c r="Q28" s="9">
        <v>100.0</v>
      </c>
      <c r="R28" s="110">
        <v>100.0</v>
      </c>
      <c r="S28" s="9">
        <v>100.0</v>
      </c>
      <c r="T28" s="110">
        <v>100.0</v>
      </c>
      <c r="U28" s="9">
        <v>100.0</v>
      </c>
      <c r="V28" s="110">
        <v>100.0</v>
      </c>
      <c r="W28" s="9">
        <v>100.0</v>
      </c>
      <c r="X28" s="110">
        <v>100.0</v>
      </c>
      <c r="Y28" s="73" t="s">
        <v>116</v>
      </c>
      <c r="Z28" s="94" t="s">
        <v>181</v>
      </c>
      <c r="AA28" s="36"/>
      <c r="AB28" s="36"/>
      <c r="AC28" s="111"/>
      <c r="AD28" s="112"/>
      <c r="AE28" s="37"/>
      <c r="AF28" s="97"/>
      <c r="AG28" s="14"/>
      <c r="AH28" s="14"/>
      <c r="AI28" s="14"/>
      <c r="AJ28" s="113"/>
      <c r="AK28" s="105" t="s">
        <v>107</v>
      </c>
      <c r="AM28" s="104" t="s">
        <v>100</v>
      </c>
      <c r="AO28" s="114" t="s">
        <v>101</v>
      </c>
      <c r="AQ28" s="105" t="s">
        <v>102</v>
      </c>
      <c r="AS28" s="105" t="s">
        <v>103</v>
      </c>
      <c r="AU28" s="104" t="s">
        <v>104</v>
      </c>
      <c r="AW28" s="104" t="s">
        <v>105</v>
      </c>
      <c r="AY28" s="104" t="s">
        <v>106</v>
      </c>
      <c r="AZ28" s="24"/>
    </row>
    <row r="29">
      <c r="A29" s="85">
        <f>A10</f>
        <v>2569</v>
      </c>
      <c r="B29" s="86"/>
      <c r="E29" s="115" t="s">
        <v>115</v>
      </c>
      <c r="F29" s="116" t="s">
        <v>111</v>
      </c>
      <c r="G29" s="115" t="str">
        <f t="shared" ref="G29:J29" si="27">G10</f>
        <v>A10</v>
      </c>
      <c r="H29" s="9" t="str">
        <f t="shared" si="27"/>
        <v>B8</v>
      </c>
      <c r="I29" s="9" t="str">
        <f t="shared" si="27"/>
        <v>A5</v>
      </c>
      <c r="J29" s="9" t="str">
        <f t="shared" si="27"/>
        <v>B11</v>
      </c>
      <c r="K29" s="36"/>
      <c r="L29" s="117"/>
      <c r="M29" s="118" t="str">
        <f t="shared" ref="M29:P29" si="28">C29</f>
        <v/>
      </c>
      <c r="N29" s="119" t="str">
        <f t="shared" si="28"/>
        <v/>
      </c>
      <c r="O29" s="118" t="str">
        <f t="shared" si="28"/>
        <v>A7</v>
      </c>
      <c r="P29" s="118" t="str">
        <f t="shared" si="28"/>
        <v>B7</v>
      </c>
      <c r="Q29" s="118" t="str">
        <f t="shared" ref="Q29:R29" si="29">E30</f>
        <v>B9</v>
      </c>
      <c r="R29" s="119" t="str">
        <f t="shared" si="29"/>
        <v>C6</v>
      </c>
      <c r="S29" s="9" t="s">
        <v>115</v>
      </c>
      <c r="T29" s="110" t="s">
        <v>204</v>
      </c>
      <c r="U29" s="9" t="str">
        <f t="shared" ref="U29:X29" si="30">G29</f>
        <v>A10</v>
      </c>
      <c r="V29" s="119" t="str">
        <f t="shared" si="30"/>
        <v>B8</v>
      </c>
      <c r="W29" s="118" t="str">
        <f t="shared" si="30"/>
        <v>A5</v>
      </c>
      <c r="X29" s="120" t="str">
        <f t="shared" si="30"/>
        <v>B11</v>
      </c>
      <c r="Y29" s="73" t="s">
        <v>126</v>
      </c>
      <c r="Z29" s="94" t="s">
        <v>163</v>
      </c>
      <c r="AA29" s="36"/>
      <c r="AB29" s="36"/>
      <c r="AC29" s="111"/>
      <c r="AD29" s="112"/>
      <c r="AE29" s="37"/>
      <c r="AF29" s="97"/>
      <c r="AG29" s="14"/>
      <c r="AH29" s="14"/>
      <c r="AI29" s="14"/>
      <c r="AJ29" s="113"/>
      <c r="AK29" s="105" t="s">
        <v>125</v>
      </c>
      <c r="AM29" s="104" t="s">
        <v>118</v>
      </c>
      <c r="AO29" s="114" t="s">
        <v>119</v>
      </c>
      <c r="AQ29" s="105" t="s">
        <v>120</v>
      </c>
      <c r="AS29" s="105" t="s">
        <v>121</v>
      </c>
      <c r="AU29" s="104" t="s">
        <v>122</v>
      </c>
      <c r="AW29" s="104" t="s">
        <v>123</v>
      </c>
      <c r="AY29" s="104" t="s">
        <v>124</v>
      </c>
      <c r="AZ29" s="24"/>
    </row>
    <row r="30">
      <c r="A30" s="85">
        <f>A29-543</f>
        <v>2026</v>
      </c>
      <c r="B30" s="86"/>
      <c r="E30" s="115" t="s">
        <v>212</v>
      </c>
      <c r="F30" s="116" t="s">
        <v>215</v>
      </c>
      <c r="G30" s="115"/>
      <c r="H30" s="118"/>
      <c r="I30" s="118"/>
      <c r="J30" s="118"/>
      <c r="K30" s="36"/>
      <c r="L30" s="117"/>
      <c r="M30" s="8"/>
      <c r="N30" s="121"/>
      <c r="O30" s="8"/>
      <c r="P30" s="8"/>
      <c r="Q30" s="8"/>
      <c r="R30" s="121"/>
      <c r="S30" s="8"/>
      <c r="T30" s="121"/>
      <c r="U30" s="9"/>
      <c r="V30" s="110"/>
      <c r="W30" s="9"/>
      <c r="X30" s="110"/>
      <c r="Y30" s="73" t="s">
        <v>69</v>
      </c>
      <c r="Z30" s="94" t="s">
        <v>99</v>
      </c>
      <c r="AA30" s="36"/>
      <c r="AB30" s="36"/>
      <c r="AC30" s="111"/>
      <c r="AD30" s="112"/>
      <c r="AE30" s="37"/>
      <c r="AF30" s="97"/>
      <c r="AG30" s="14"/>
      <c r="AH30" s="14"/>
      <c r="AI30" s="14"/>
      <c r="AJ30" s="113"/>
      <c r="AK30" s="105" t="s">
        <v>136</v>
      </c>
      <c r="AM30" s="104" t="s">
        <v>129</v>
      </c>
      <c r="AO30" s="114" t="s">
        <v>130</v>
      </c>
      <c r="AQ30" s="105" t="s">
        <v>131</v>
      </c>
      <c r="AS30" s="105" t="s">
        <v>132</v>
      </c>
      <c r="AU30" s="104" t="s">
        <v>133</v>
      </c>
      <c r="AW30" s="104" t="s">
        <v>134</v>
      </c>
      <c r="AY30" s="104" t="s">
        <v>135</v>
      </c>
      <c r="AZ30" s="24"/>
    </row>
    <row r="31">
      <c r="A31" s="322"/>
      <c r="B31" s="144"/>
      <c r="C31" s="1"/>
      <c r="D31" s="123"/>
      <c r="E31" s="164" t="s">
        <v>157</v>
      </c>
      <c r="F31" s="88"/>
      <c r="G31" s="173" t="str">
        <f>G12:H12</f>
        <v>อสูรเดือน W</v>
      </c>
      <c r="H31" s="147"/>
      <c r="I31" s="174" t="str">
        <f>I12:J12</f>
        <v>อสูรปี N</v>
      </c>
      <c r="J31" s="147"/>
      <c r="K31" s="149"/>
      <c r="L31" s="150"/>
      <c r="M31" s="151"/>
      <c r="N31" s="152"/>
      <c r="O31" s="151"/>
      <c r="P31" s="151"/>
      <c r="Q31" s="151"/>
      <c r="R31" s="152"/>
      <c r="S31" s="151"/>
      <c r="T31" s="152"/>
      <c r="U31" s="153"/>
      <c r="V31" s="154"/>
      <c r="W31" s="153"/>
      <c r="X31" s="154"/>
      <c r="Y31" s="127"/>
      <c r="Z31" s="155"/>
      <c r="AA31" s="36"/>
      <c r="AB31" s="36"/>
      <c r="AC31" s="111"/>
      <c r="AD31" s="112"/>
      <c r="AE31" s="37"/>
      <c r="AF31" s="97"/>
      <c r="AG31" s="14"/>
      <c r="AH31" s="14"/>
      <c r="AI31" s="14"/>
      <c r="AJ31" s="113"/>
      <c r="AY31" s="128"/>
      <c r="AZ31" s="24"/>
    </row>
    <row r="32">
      <c r="A32" s="188" t="s">
        <v>169</v>
      </c>
      <c r="B32" s="83"/>
      <c r="C32" s="63"/>
      <c r="D32" s="63"/>
      <c r="E32" s="64">
        <f>(O33+P33+Q33+R33)/(O34+P34+Q34+R34)</f>
        <v>0.675</v>
      </c>
      <c r="F32" s="65"/>
      <c r="G32" s="66"/>
      <c r="H32" s="66"/>
      <c r="I32" s="67"/>
      <c r="J32" s="67"/>
      <c r="K32" s="177"/>
      <c r="L32" s="178"/>
      <c r="M32" s="63" t="s">
        <v>64</v>
      </c>
      <c r="N32" s="70"/>
      <c r="O32" s="71" t="s">
        <v>65</v>
      </c>
      <c r="P32" s="72"/>
      <c r="Q32" s="72"/>
      <c r="R32" s="70"/>
      <c r="S32" s="71" t="s">
        <v>66</v>
      </c>
      <c r="T32" s="70"/>
      <c r="U32" s="71" t="s">
        <v>67</v>
      </c>
      <c r="V32" s="70"/>
      <c r="W32" s="71" t="s">
        <v>68</v>
      </c>
      <c r="X32" s="70"/>
      <c r="Y32" s="134" t="s">
        <v>80</v>
      </c>
      <c r="Z32" s="74" t="s">
        <v>159</v>
      </c>
      <c r="AA32" s="75" t="s">
        <v>54</v>
      </c>
      <c r="AB32" s="75" t="s">
        <v>309</v>
      </c>
      <c r="AC32" s="167" t="s">
        <v>173</v>
      </c>
      <c r="AD32" s="74" t="s">
        <v>174</v>
      </c>
      <c r="AE32" s="63" t="s">
        <v>34</v>
      </c>
      <c r="AF32" s="78" t="s">
        <v>36</v>
      </c>
      <c r="AG32" s="79" t="s">
        <v>84</v>
      </c>
      <c r="AH32" s="79">
        <v>0.0</v>
      </c>
      <c r="AI32" s="79" t="s">
        <v>85</v>
      </c>
      <c r="AJ32" s="80" t="str">
        <f>AJ26</f>
        <v>開</v>
      </c>
      <c r="AK32" s="81" t="s">
        <v>50</v>
      </c>
      <c r="AL32" s="82" t="str">
        <f>AL26</f>
        <v>休</v>
      </c>
      <c r="AM32" s="81" t="s">
        <v>52</v>
      </c>
      <c r="AN32" s="82" t="s">
        <v>4</v>
      </c>
      <c r="AO32" s="81" t="s">
        <v>38</v>
      </c>
      <c r="AP32" s="82" t="str">
        <f>AP26</f>
        <v>傷</v>
      </c>
      <c r="AQ32" s="81" t="s">
        <v>40</v>
      </c>
      <c r="AR32" s="82" t="s">
        <v>8</v>
      </c>
      <c r="AS32" s="81" t="s">
        <v>42</v>
      </c>
      <c r="AT32" s="82" t="str">
        <f>AT26</f>
        <v>景</v>
      </c>
      <c r="AU32" s="81" t="s">
        <v>44</v>
      </c>
      <c r="AV32" s="82" t="str">
        <f>AV26</f>
        <v>死</v>
      </c>
      <c r="AW32" s="81" t="s">
        <v>46</v>
      </c>
      <c r="AX32" s="82" t="str">
        <f>AX26</f>
        <v>驚</v>
      </c>
      <c r="AY32" s="81" t="s">
        <v>48</v>
      </c>
      <c r="AZ32" s="83"/>
      <c r="BA32" s="84"/>
      <c r="BB32" s="84"/>
      <c r="BC32" s="84"/>
    </row>
    <row r="33">
      <c r="A33" s="85">
        <f>A27+1</f>
        <v>5</v>
      </c>
      <c r="B33" s="86"/>
      <c r="C33" s="12" t="s">
        <v>176</v>
      </c>
      <c r="E33" s="168" t="s">
        <v>30</v>
      </c>
      <c r="F33" s="88"/>
      <c r="G33" s="273" t="str">
        <f t="shared" ref="G33:G34" si="32">G8:H8</f>
        <v>辛</v>
      </c>
      <c r="I33" s="268" t="str">
        <f t="shared" ref="I33:I34" si="33">I8:J8</f>
        <v>丙</v>
      </c>
      <c r="K33" s="90">
        <f>L33/L34</f>
        <v>0.635</v>
      </c>
      <c r="L33" s="126">
        <f t="shared" ref="L33:L34" si="34">O33+P33+Q33+U33+V33+W33+X33+R33+M33+N33+S33+T33</f>
        <v>635</v>
      </c>
      <c r="M33" s="92">
        <v>0.0</v>
      </c>
      <c r="N33" s="93">
        <v>0.0</v>
      </c>
      <c r="O33" s="92">
        <v>80.0</v>
      </c>
      <c r="P33" s="92">
        <v>90.0</v>
      </c>
      <c r="Q33" s="92">
        <v>90.0</v>
      </c>
      <c r="R33" s="93">
        <v>10.0</v>
      </c>
      <c r="S33" s="92">
        <v>90.0</v>
      </c>
      <c r="T33" s="93">
        <v>15.0</v>
      </c>
      <c r="U33" s="92">
        <f t="shared" ref="U33:V33" si="31">U8</f>
        <v>0</v>
      </c>
      <c r="V33" s="93">
        <f t="shared" si="31"/>
        <v>90</v>
      </c>
      <c r="W33" s="92">
        <v>110.0</v>
      </c>
      <c r="X33" s="93">
        <v>60.0</v>
      </c>
      <c r="Y33" s="73" t="s">
        <v>98</v>
      </c>
      <c r="Z33" s="94" t="s">
        <v>152</v>
      </c>
      <c r="AA33" s="36"/>
      <c r="AB33" s="169"/>
      <c r="AC33" s="170" t="s">
        <v>73</v>
      </c>
      <c r="AD33" s="94" t="s">
        <v>74</v>
      </c>
      <c r="AE33" s="37"/>
      <c r="AF33" s="97"/>
      <c r="AG33" s="12" t="s">
        <v>76</v>
      </c>
      <c r="AH33" s="12">
        <v>240.0</v>
      </c>
      <c r="AI33" s="12" t="s">
        <v>77</v>
      </c>
      <c r="AJ33" s="98" t="s">
        <v>51</v>
      </c>
      <c r="AK33" s="101" t="s">
        <v>95</v>
      </c>
      <c r="AL33" s="100" t="s">
        <v>86</v>
      </c>
      <c r="AM33" s="99" t="s">
        <v>87</v>
      </c>
      <c r="AN33" s="100" t="s">
        <v>88</v>
      </c>
      <c r="AO33" s="101" t="s">
        <v>89</v>
      </c>
      <c r="AP33" s="100" t="s">
        <v>45</v>
      </c>
      <c r="AQ33" s="102" t="s">
        <v>90</v>
      </c>
      <c r="AR33" s="100" t="s">
        <v>43</v>
      </c>
      <c r="AS33" s="101" t="s">
        <v>91</v>
      </c>
      <c r="AT33" s="100" t="s">
        <v>41</v>
      </c>
      <c r="AU33" s="103" t="s">
        <v>92</v>
      </c>
      <c r="AV33" s="100" t="s">
        <v>39</v>
      </c>
      <c r="AW33" s="99" t="s">
        <v>93</v>
      </c>
      <c r="AX33" s="100" t="s">
        <v>37</v>
      </c>
      <c r="AY33" s="99" t="s">
        <v>94</v>
      </c>
      <c r="AZ33" s="24"/>
    </row>
    <row r="34">
      <c r="A34" s="85" t="str">
        <f>A28</f>
        <v>เมษายน</v>
      </c>
      <c r="B34" s="86"/>
      <c r="C34" s="175" t="s">
        <v>188</v>
      </c>
      <c r="E34" s="209" t="s">
        <v>32</v>
      </c>
      <c r="G34" s="274" t="str">
        <f t="shared" si="32"/>
        <v>卯</v>
      </c>
      <c r="I34" s="35" t="str">
        <f t="shared" si="33"/>
        <v>午</v>
      </c>
      <c r="K34" s="36"/>
      <c r="L34" s="109">
        <f t="shared" si="34"/>
        <v>1000</v>
      </c>
      <c r="M34" s="9">
        <v>0.0</v>
      </c>
      <c r="N34" s="110">
        <v>0.0</v>
      </c>
      <c r="O34" s="9">
        <v>100.0</v>
      </c>
      <c r="P34" s="9">
        <v>100.0</v>
      </c>
      <c r="Q34" s="9">
        <v>100.0</v>
      </c>
      <c r="R34" s="110">
        <v>100.0</v>
      </c>
      <c r="S34" s="9">
        <v>100.0</v>
      </c>
      <c r="T34" s="110">
        <v>100.0</v>
      </c>
      <c r="U34" s="9">
        <v>100.0</v>
      </c>
      <c r="V34" s="110">
        <v>100.0</v>
      </c>
      <c r="W34" s="9">
        <v>100.0</v>
      </c>
      <c r="X34" s="110">
        <v>100.0</v>
      </c>
      <c r="Y34" s="73" t="s">
        <v>116</v>
      </c>
      <c r="Z34" s="94" t="s">
        <v>81</v>
      </c>
      <c r="AA34" s="36"/>
      <c r="AB34" s="36"/>
      <c r="AC34" s="111"/>
      <c r="AD34" s="112"/>
      <c r="AE34" s="37"/>
      <c r="AF34" s="97"/>
      <c r="AG34" s="14"/>
      <c r="AH34" s="14"/>
      <c r="AI34" s="14"/>
      <c r="AJ34" s="113"/>
      <c r="AK34" s="105" t="s">
        <v>107</v>
      </c>
      <c r="AM34" s="104" t="s">
        <v>100</v>
      </c>
      <c r="AO34" s="114" t="s">
        <v>101</v>
      </c>
      <c r="AQ34" s="105" t="s">
        <v>102</v>
      </c>
      <c r="AS34" s="105" t="s">
        <v>103</v>
      </c>
      <c r="AU34" s="104" t="s">
        <v>104</v>
      </c>
      <c r="AW34" s="104" t="s">
        <v>105</v>
      </c>
      <c r="AY34" s="104" t="s">
        <v>106</v>
      </c>
      <c r="AZ34" s="24"/>
    </row>
    <row r="35">
      <c r="A35" s="85">
        <f>A10</f>
        <v>2569</v>
      </c>
      <c r="B35" s="86"/>
      <c r="E35" s="115" t="s">
        <v>182</v>
      </c>
      <c r="F35" s="116" t="s">
        <v>69</v>
      </c>
      <c r="G35" s="9" t="str">
        <f t="shared" ref="G35:H35" si="35">G10</f>
        <v>A10</v>
      </c>
      <c r="H35" s="9" t="str">
        <f t="shared" si="35"/>
        <v>B8</v>
      </c>
      <c r="I35" s="9" t="s">
        <v>204</v>
      </c>
      <c r="J35" s="9" t="s">
        <v>214</v>
      </c>
      <c r="K35" s="36"/>
      <c r="L35" s="117"/>
      <c r="M35" s="118" t="str">
        <f t="shared" ref="M35:P35" si="36">C35</f>
        <v/>
      </c>
      <c r="N35" s="119" t="str">
        <f t="shared" si="36"/>
        <v/>
      </c>
      <c r="O35" s="118" t="str">
        <f t="shared" si="36"/>
        <v>A1</v>
      </c>
      <c r="P35" s="118" t="str">
        <f t="shared" si="36"/>
        <v>B8</v>
      </c>
      <c r="Q35" s="118" t="str">
        <f t="shared" ref="Q35:R35" si="37">E36</f>
        <v>B8</v>
      </c>
      <c r="R35" s="119" t="str">
        <f t="shared" si="37"/>
        <v>C7</v>
      </c>
      <c r="S35" s="9" t="s">
        <v>213</v>
      </c>
      <c r="T35" s="110" t="s">
        <v>115</v>
      </c>
      <c r="U35" s="9" t="str">
        <f t="shared" ref="U35:X35" si="38">G35</f>
        <v>A10</v>
      </c>
      <c r="V35" s="110" t="str">
        <f t="shared" si="38"/>
        <v>B8</v>
      </c>
      <c r="W35" s="118" t="str">
        <f t="shared" si="38"/>
        <v>A5</v>
      </c>
      <c r="X35" s="120" t="str">
        <f t="shared" si="38"/>
        <v>B11</v>
      </c>
      <c r="Y35" s="73" t="s">
        <v>126</v>
      </c>
      <c r="Z35" s="94" t="s">
        <v>99</v>
      </c>
      <c r="AA35" s="36"/>
      <c r="AB35" s="36"/>
      <c r="AC35" s="111"/>
      <c r="AD35" s="112"/>
      <c r="AE35" s="37"/>
      <c r="AF35" s="97"/>
      <c r="AG35" s="14"/>
      <c r="AH35" s="14"/>
      <c r="AI35" s="14"/>
      <c r="AJ35" s="113"/>
      <c r="AK35" s="105" t="s">
        <v>125</v>
      </c>
      <c r="AM35" s="104" t="s">
        <v>118</v>
      </c>
      <c r="AO35" s="114" t="s">
        <v>119</v>
      </c>
      <c r="AQ35" s="105" t="s">
        <v>120</v>
      </c>
      <c r="AS35" s="105" t="s">
        <v>121</v>
      </c>
      <c r="AU35" s="104" t="s">
        <v>122</v>
      </c>
      <c r="AW35" s="104" t="s">
        <v>123</v>
      </c>
      <c r="AY35" s="104" t="s">
        <v>124</v>
      </c>
      <c r="AZ35" s="24"/>
    </row>
    <row r="36">
      <c r="A36" s="85">
        <f>A35-543</f>
        <v>2026</v>
      </c>
      <c r="B36" s="86"/>
      <c r="C36" s="181"/>
      <c r="E36" s="115" t="s">
        <v>69</v>
      </c>
      <c r="F36" s="116" t="s">
        <v>220</v>
      </c>
      <c r="G36" s="9"/>
      <c r="H36" s="118"/>
      <c r="I36" s="118"/>
      <c r="J36" s="118"/>
      <c r="K36" s="182"/>
      <c r="L36" s="183"/>
      <c r="M36" s="8"/>
      <c r="N36" s="121"/>
      <c r="O36" s="8"/>
      <c r="P36" s="8"/>
      <c r="Q36" s="8"/>
      <c r="R36" s="121"/>
      <c r="S36" s="8"/>
      <c r="T36" s="121"/>
      <c r="U36" s="9"/>
      <c r="V36" s="110"/>
      <c r="W36" s="9"/>
      <c r="X36" s="110"/>
      <c r="Y36" s="73" t="s">
        <v>69</v>
      </c>
      <c r="Z36" s="94" t="s">
        <v>155</v>
      </c>
      <c r="AA36" s="36"/>
      <c r="AB36" s="36"/>
      <c r="AC36" s="111"/>
      <c r="AD36" s="112"/>
      <c r="AE36" s="37"/>
      <c r="AF36" s="97"/>
      <c r="AG36" s="14"/>
      <c r="AH36" s="14"/>
      <c r="AI36" s="14"/>
      <c r="AJ36" s="113"/>
      <c r="AK36" s="105" t="s">
        <v>136</v>
      </c>
      <c r="AM36" s="104" t="s">
        <v>129</v>
      </c>
      <c r="AO36" s="114" t="s">
        <v>130</v>
      </c>
      <c r="AQ36" s="105" t="s">
        <v>131</v>
      </c>
      <c r="AS36" s="105" t="s">
        <v>132</v>
      </c>
      <c r="AU36" s="104" t="s">
        <v>133</v>
      </c>
      <c r="AW36" s="104" t="s">
        <v>134</v>
      </c>
      <c r="AY36" s="104" t="s">
        <v>135</v>
      </c>
      <c r="AZ36" s="24"/>
    </row>
    <row r="37">
      <c r="A37" s="323" t="s">
        <v>329</v>
      </c>
      <c r="B37" s="2"/>
      <c r="C37" s="185"/>
      <c r="D37" s="186"/>
      <c r="E37" s="164" t="s">
        <v>168</v>
      </c>
      <c r="F37" s="88"/>
      <c r="G37" s="39" t="str">
        <f>G25</f>
        <v>อสูรเดือน W</v>
      </c>
      <c r="I37" s="166" t="str">
        <f>I12:J12</f>
        <v>อสูรปี N</v>
      </c>
      <c r="K37" s="90"/>
      <c r="L37" s="126"/>
      <c r="M37" s="8"/>
      <c r="N37" s="121"/>
      <c r="O37" s="8"/>
      <c r="P37" s="8"/>
      <c r="Q37" s="8"/>
      <c r="R37" s="121"/>
      <c r="S37" s="8"/>
      <c r="T37" s="121"/>
      <c r="U37" s="9"/>
      <c r="V37" s="110"/>
      <c r="W37" s="9"/>
      <c r="X37" s="110"/>
      <c r="Y37" s="127"/>
      <c r="Z37" s="155"/>
      <c r="AA37" s="36"/>
      <c r="AB37" s="36"/>
      <c r="AC37" s="111"/>
      <c r="AD37" s="112"/>
      <c r="AE37" s="37"/>
      <c r="AF37" s="97"/>
      <c r="AG37" s="14"/>
      <c r="AH37" s="14"/>
      <c r="AI37" s="14"/>
      <c r="AJ37" s="113"/>
      <c r="AY37" s="128"/>
      <c r="AZ37" s="24"/>
    </row>
    <row r="38">
      <c r="A38" s="188" t="s">
        <v>169</v>
      </c>
      <c r="B38" s="83"/>
      <c r="C38" s="63"/>
      <c r="D38" s="63"/>
      <c r="E38" s="216">
        <f>(O39+P39+Q39+R39)/(O40+P40+Q40+R40)</f>
        <v>0.85</v>
      </c>
      <c r="F38" s="65"/>
      <c r="G38" s="66"/>
      <c r="H38" s="66"/>
      <c r="I38" s="67"/>
      <c r="J38" s="67"/>
      <c r="K38" s="177"/>
      <c r="L38" s="178"/>
      <c r="M38" s="63" t="s">
        <v>64</v>
      </c>
      <c r="N38" s="70"/>
      <c r="O38" s="71" t="s">
        <v>65</v>
      </c>
      <c r="P38" s="72"/>
      <c r="Q38" s="72"/>
      <c r="R38" s="70"/>
      <c r="S38" s="71" t="s">
        <v>66</v>
      </c>
      <c r="T38" s="70"/>
      <c r="U38" s="71" t="s">
        <v>67</v>
      </c>
      <c r="V38" s="70"/>
      <c r="W38" s="71" t="s">
        <v>68</v>
      </c>
      <c r="X38" s="70"/>
      <c r="Y38" s="134" t="s">
        <v>80</v>
      </c>
      <c r="Z38" s="74" t="s">
        <v>159</v>
      </c>
      <c r="AA38" s="75" t="s">
        <v>54</v>
      </c>
      <c r="AB38" s="75" t="s">
        <v>309</v>
      </c>
      <c r="AC38" s="167" t="s">
        <v>173</v>
      </c>
      <c r="AD38" s="74" t="s">
        <v>174</v>
      </c>
      <c r="AE38" s="63" t="s">
        <v>34</v>
      </c>
      <c r="AF38" s="78" t="s">
        <v>36</v>
      </c>
      <c r="AG38" s="79" t="s">
        <v>84</v>
      </c>
      <c r="AH38" s="79">
        <v>0.0</v>
      </c>
      <c r="AI38" s="79" t="s">
        <v>85</v>
      </c>
      <c r="AJ38" s="80" t="str">
        <f>AJ32</f>
        <v>開</v>
      </c>
      <c r="AK38" s="81" t="s">
        <v>50</v>
      </c>
      <c r="AL38" s="82" t="str">
        <f>AL32</f>
        <v>休</v>
      </c>
      <c r="AM38" s="81" t="s">
        <v>52</v>
      </c>
      <c r="AN38" s="82" t="s">
        <v>4</v>
      </c>
      <c r="AO38" s="81" t="s">
        <v>38</v>
      </c>
      <c r="AP38" s="82" t="str">
        <f>AP32</f>
        <v>傷</v>
      </c>
      <c r="AQ38" s="81" t="s">
        <v>40</v>
      </c>
      <c r="AR38" s="82" t="s">
        <v>8</v>
      </c>
      <c r="AS38" s="81" t="s">
        <v>42</v>
      </c>
      <c r="AT38" s="82" t="str">
        <f>AT32</f>
        <v>景</v>
      </c>
      <c r="AU38" s="81" t="s">
        <v>44</v>
      </c>
      <c r="AV38" s="82" t="str">
        <f>AV32</f>
        <v>死</v>
      </c>
      <c r="AW38" s="81" t="s">
        <v>46</v>
      </c>
      <c r="AX38" s="82" t="str">
        <f>AX32</f>
        <v>驚</v>
      </c>
      <c r="AY38" s="81" t="s">
        <v>48</v>
      </c>
      <c r="AZ38" s="83"/>
      <c r="BA38" s="84"/>
      <c r="BB38" s="84"/>
      <c r="BC38" s="84"/>
    </row>
    <row r="39">
      <c r="A39" s="179">
        <f t="shared" ref="A39:A40" si="39">A33</f>
        <v>5</v>
      </c>
      <c r="B39" s="86"/>
      <c r="C39" s="12" t="s">
        <v>176</v>
      </c>
      <c r="E39" s="168" t="s">
        <v>30</v>
      </c>
      <c r="F39" s="88"/>
      <c r="G39" s="324" t="str">
        <f t="shared" ref="G39:G40" si="40">G3:H3</f>
        <v>壬</v>
      </c>
      <c r="I39" s="268" t="str">
        <f t="shared" ref="I39:I40" si="41">I3:J3</f>
        <v>丙</v>
      </c>
      <c r="K39" s="90">
        <f>L39/L40</f>
        <v>0.675</v>
      </c>
      <c r="L39" s="126">
        <f t="shared" ref="L39:L40" si="42">O39+P39+Q39+U39+V39+W39+X39+R39+M39+N39+S39+T39</f>
        <v>675</v>
      </c>
      <c r="M39" s="92">
        <v>0.0</v>
      </c>
      <c r="N39" s="93">
        <v>0.0</v>
      </c>
      <c r="O39" s="92">
        <v>80.0</v>
      </c>
      <c r="P39" s="92">
        <v>90.0</v>
      </c>
      <c r="Q39" s="92">
        <v>90.0</v>
      </c>
      <c r="R39" s="93">
        <v>80.0</v>
      </c>
      <c r="S39" s="92">
        <v>40.0</v>
      </c>
      <c r="T39" s="93">
        <v>30.0</v>
      </c>
      <c r="U39" s="92">
        <v>45.0</v>
      </c>
      <c r="V39" s="93">
        <v>50.0</v>
      </c>
      <c r="W39" s="92">
        <v>110.0</v>
      </c>
      <c r="X39" s="93">
        <v>60.0</v>
      </c>
      <c r="Y39" s="73" t="s">
        <v>98</v>
      </c>
      <c r="Z39" s="94" t="s">
        <v>152</v>
      </c>
      <c r="AA39" s="36"/>
      <c r="AB39" s="169"/>
      <c r="AC39" s="170" t="s">
        <v>73</v>
      </c>
      <c r="AD39" s="94" t="s">
        <v>74</v>
      </c>
      <c r="AE39" s="37"/>
      <c r="AF39" s="97"/>
      <c r="AG39" s="12" t="s">
        <v>76</v>
      </c>
      <c r="AH39" s="12">
        <v>240.0</v>
      </c>
      <c r="AI39" s="12" t="s">
        <v>77</v>
      </c>
      <c r="AJ39" s="98" t="s">
        <v>51</v>
      </c>
      <c r="AK39" s="101" t="s">
        <v>95</v>
      </c>
      <c r="AL39" s="100" t="s">
        <v>86</v>
      </c>
      <c r="AM39" s="99" t="s">
        <v>87</v>
      </c>
      <c r="AN39" s="100" t="s">
        <v>88</v>
      </c>
      <c r="AO39" s="101" t="s">
        <v>89</v>
      </c>
      <c r="AP39" s="100" t="s">
        <v>45</v>
      </c>
      <c r="AQ39" s="102" t="s">
        <v>90</v>
      </c>
      <c r="AR39" s="100" t="s">
        <v>43</v>
      </c>
      <c r="AS39" s="101" t="s">
        <v>91</v>
      </c>
      <c r="AT39" s="100" t="s">
        <v>41</v>
      </c>
      <c r="AU39" s="103" t="s">
        <v>92</v>
      </c>
      <c r="AV39" s="100" t="s">
        <v>39</v>
      </c>
      <c r="AW39" s="99" t="s">
        <v>93</v>
      </c>
      <c r="AX39" s="100" t="s">
        <v>37</v>
      </c>
      <c r="AY39" s="99" t="s">
        <v>94</v>
      </c>
      <c r="AZ39" s="24"/>
    </row>
    <row r="40">
      <c r="A40" s="85" t="str">
        <f t="shared" si="39"/>
        <v>เมษายน</v>
      </c>
      <c r="B40" s="86"/>
      <c r="C40" s="161" t="s">
        <v>162</v>
      </c>
      <c r="E40" s="209" t="s">
        <v>32</v>
      </c>
      <c r="G40" s="180" t="str">
        <f t="shared" si="40"/>
        <v>辰</v>
      </c>
      <c r="I40" s="35" t="str">
        <f t="shared" si="41"/>
        <v>午</v>
      </c>
      <c r="K40" s="36"/>
      <c r="L40" s="109">
        <f t="shared" si="42"/>
        <v>1000</v>
      </c>
      <c r="M40" s="9">
        <v>0.0</v>
      </c>
      <c r="N40" s="110">
        <v>0.0</v>
      </c>
      <c r="O40" s="9">
        <v>100.0</v>
      </c>
      <c r="P40" s="9">
        <v>100.0</v>
      </c>
      <c r="Q40" s="9">
        <v>100.0</v>
      </c>
      <c r="R40" s="110">
        <v>100.0</v>
      </c>
      <c r="S40" s="9">
        <v>100.0</v>
      </c>
      <c r="T40" s="110">
        <v>100.0</v>
      </c>
      <c r="U40" s="9">
        <v>100.0</v>
      </c>
      <c r="V40" s="110">
        <v>100.0</v>
      </c>
      <c r="W40" s="9">
        <v>100.0</v>
      </c>
      <c r="X40" s="110">
        <v>100.0</v>
      </c>
      <c r="Y40" s="73" t="s">
        <v>116</v>
      </c>
      <c r="Z40" s="94" t="s">
        <v>81</v>
      </c>
      <c r="AA40" s="36"/>
      <c r="AB40" s="36"/>
      <c r="AC40" s="111"/>
      <c r="AD40" s="112"/>
      <c r="AE40" s="37"/>
      <c r="AF40" s="97"/>
      <c r="AG40" s="14"/>
      <c r="AH40" s="14"/>
      <c r="AI40" s="14"/>
      <c r="AJ40" s="113"/>
      <c r="AK40" s="105" t="s">
        <v>107</v>
      </c>
      <c r="AM40" s="104" t="s">
        <v>100</v>
      </c>
      <c r="AO40" s="114" t="s">
        <v>101</v>
      </c>
      <c r="AQ40" s="105" t="s">
        <v>102</v>
      </c>
      <c r="AS40" s="105" t="s">
        <v>103</v>
      </c>
      <c r="AU40" s="104" t="s">
        <v>104</v>
      </c>
      <c r="AW40" s="104" t="s">
        <v>105</v>
      </c>
      <c r="AY40" s="104" t="s">
        <v>106</v>
      </c>
      <c r="AZ40" s="24"/>
    </row>
    <row r="41">
      <c r="A41" s="85">
        <f>A16</f>
        <v>2569</v>
      </c>
      <c r="B41" s="86"/>
      <c r="E41" s="115" t="s">
        <v>182</v>
      </c>
      <c r="F41" s="116" t="s">
        <v>126</v>
      </c>
      <c r="G41" s="9" t="s">
        <v>164</v>
      </c>
      <c r="H41" s="9" t="s">
        <v>212</v>
      </c>
      <c r="I41" s="9" t="s">
        <v>204</v>
      </c>
      <c r="J41" s="9" t="s">
        <v>214</v>
      </c>
      <c r="K41" s="36"/>
      <c r="L41" s="117"/>
      <c r="M41" s="118" t="str">
        <f t="shared" ref="M41:P41" si="43">C41</f>
        <v/>
      </c>
      <c r="N41" s="119" t="str">
        <f t="shared" si="43"/>
        <v/>
      </c>
      <c r="O41" s="118" t="str">
        <f t="shared" si="43"/>
        <v>A1</v>
      </c>
      <c r="P41" s="118" t="str">
        <f t="shared" si="43"/>
        <v>B6</v>
      </c>
      <c r="Q41" s="118" t="str">
        <f t="shared" ref="Q41:R41" si="44">E42</f>
        <v>B8</v>
      </c>
      <c r="R41" s="119" t="str">
        <f t="shared" si="44"/>
        <v>C6</v>
      </c>
      <c r="S41" s="9" t="s">
        <v>112</v>
      </c>
      <c r="T41" s="110" t="s">
        <v>198</v>
      </c>
      <c r="U41" s="9" t="str">
        <f t="shared" ref="U41:X41" si="45">G41</f>
        <v>A9</v>
      </c>
      <c r="V41" s="110" t="str">
        <f t="shared" si="45"/>
        <v>B9</v>
      </c>
      <c r="W41" s="118" t="str">
        <f t="shared" si="45"/>
        <v>A5</v>
      </c>
      <c r="X41" s="120" t="str">
        <f t="shared" si="45"/>
        <v>B11</v>
      </c>
      <c r="Y41" s="73" t="s">
        <v>126</v>
      </c>
      <c r="Z41" s="94" t="s">
        <v>99</v>
      </c>
      <c r="AA41" s="36"/>
      <c r="AB41" s="36"/>
      <c r="AC41" s="111"/>
      <c r="AD41" s="112"/>
      <c r="AE41" s="37"/>
      <c r="AF41" s="97"/>
      <c r="AG41" s="14"/>
      <c r="AH41" s="14"/>
      <c r="AI41" s="14"/>
      <c r="AJ41" s="113"/>
      <c r="AK41" s="105" t="s">
        <v>125</v>
      </c>
      <c r="AM41" s="104" t="s">
        <v>118</v>
      </c>
      <c r="AO41" s="114" t="s">
        <v>119</v>
      </c>
      <c r="AQ41" s="105" t="s">
        <v>120</v>
      </c>
      <c r="AS41" s="105" t="s">
        <v>121</v>
      </c>
      <c r="AU41" s="104" t="s">
        <v>122</v>
      </c>
      <c r="AW41" s="104" t="s">
        <v>123</v>
      </c>
      <c r="AY41" s="104" t="s">
        <v>124</v>
      </c>
      <c r="AZ41" s="24"/>
    </row>
    <row r="42">
      <c r="A42" s="85">
        <f>A41-543</f>
        <v>2026</v>
      </c>
      <c r="B42" s="86"/>
      <c r="C42" s="140"/>
      <c r="D42" s="140"/>
      <c r="E42" s="115" t="s">
        <v>69</v>
      </c>
      <c r="F42" s="116" t="s">
        <v>215</v>
      </c>
      <c r="G42" s="9"/>
      <c r="H42" s="118"/>
      <c r="I42" s="118"/>
      <c r="J42" s="118"/>
      <c r="K42" s="182"/>
      <c r="L42" s="183"/>
      <c r="M42" s="8"/>
      <c r="N42" s="121"/>
      <c r="O42" s="8"/>
      <c r="P42" s="8"/>
      <c r="Q42" s="8"/>
      <c r="R42" s="121"/>
      <c r="S42" s="8"/>
      <c r="T42" s="121"/>
      <c r="U42" s="9"/>
      <c r="V42" s="110"/>
      <c r="W42" s="9"/>
      <c r="X42" s="110"/>
      <c r="Y42" s="73" t="s">
        <v>69</v>
      </c>
      <c r="Z42" s="94" t="s">
        <v>155</v>
      </c>
      <c r="AA42" s="36"/>
      <c r="AB42" s="36"/>
      <c r="AC42" s="111"/>
      <c r="AD42" s="112"/>
      <c r="AE42" s="37"/>
      <c r="AF42" s="97"/>
      <c r="AG42" s="14"/>
      <c r="AH42" s="14"/>
      <c r="AI42" s="14"/>
      <c r="AJ42" s="113"/>
      <c r="AK42" s="105" t="s">
        <v>136</v>
      </c>
      <c r="AM42" s="104" t="s">
        <v>129</v>
      </c>
      <c r="AO42" s="114" t="s">
        <v>130</v>
      </c>
      <c r="AQ42" s="105" t="s">
        <v>131</v>
      </c>
      <c r="AS42" s="105" t="s">
        <v>132</v>
      </c>
      <c r="AU42" s="104" t="s">
        <v>133</v>
      </c>
      <c r="AW42" s="104" t="s">
        <v>134</v>
      </c>
      <c r="AY42" s="104" t="s">
        <v>135</v>
      </c>
      <c r="AZ42" s="24"/>
    </row>
    <row r="43">
      <c r="A43" s="184">
        <v>0.06875</v>
      </c>
      <c r="B43" s="2"/>
      <c r="C43" s="185"/>
      <c r="D43" s="186"/>
      <c r="E43" s="176" t="s">
        <v>168</v>
      </c>
      <c r="F43" s="88"/>
      <c r="G43" s="39" t="str">
        <f>G5</f>
        <v>อสูรเดือน S</v>
      </c>
      <c r="I43" s="166" t="str">
        <f>I19:J19</f>
        <v>อสูรปี N</v>
      </c>
      <c r="K43" s="90"/>
      <c r="L43" s="126"/>
      <c r="M43" s="8"/>
      <c r="N43" s="121"/>
      <c r="O43" s="8"/>
      <c r="P43" s="8"/>
      <c r="Q43" s="8"/>
      <c r="R43" s="121"/>
      <c r="S43" s="8"/>
      <c r="T43" s="121"/>
      <c r="U43" s="9"/>
      <c r="V43" s="110"/>
      <c r="W43" s="9"/>
      <c r="X43" s="110"/>
      <c r="Y43" s="127"/>
      <c r="Z43" s="155"/>
      <c r="AA43" s="36"/>
      <c r="AB43" s="36"/>
      <c r="AC43" s="111"/>
      <c r="AD43" s="112"/>
      <c r="AE43" s="37"/>
      <c r="AF43" s="97"/>
      <c r="AG43" s="14"/>
      <c r="AH43" s="14"/>
      <c r="AI43" s="14"/>
      <c r="AJ43" s="113"/>
      <c r="AY43" s="128"/>
      <c r="AZ43" s="24"/>
    </row>
    <row r="44">
      <c r="A44" s="188" t="s">
        <v>186</v>
      </c>
      <c r="B44" s="189"/>
      <c r="C44" s="63"/>
      <c r="D44" s="72"/>
      <c r="E44" s="64">
        <f>(O45+P45+Q45+R45)/(O46+P46+Q46+R46)</f>
        <v>0.1</v>
      </c>
      <c r="F44" s="65"/>
      <c r="G44" s="133"/>
      <c r="H44" s="66"/>
      <c r="I44" s="67"/>
      <c r="J44" s="67"/>
      <c r="K44" s="68"/>
      <c r="L44" s="69"/>
      <c r="M44" s="63" t="s">
        <v>64</v>
      </c>
      <c r="N44" s="70"/>
      <c r="O44" s="71" t="s">
        <v>65</v>
      </c>
      <c r="P44" s="72"/>
      <c r="Q44" s="72"/>
      <c r="R44" s="70"/>
      <c r="S44" s="71" t="s">
        <v>66</v>
      </c>
      <c r="T44" s="70"/>
      <c r="U44" s="71" t="s">
        <v>67</v>
      </c>
      <c r="V44" s="70"/>
      <c r="W44" s="71" t="s">
        <v>68</v>
      </c>
      <c r="X44" s="70"/>
      <c r="Y44" s="134" t="s">
        <v>80</v>
      </c>
      <c r="Z44" s="74" t="s">
        <v>181</v>
      </c>
      <c r="AA44" s="75" t="s">
        <v>197</v>
      </c>
      <c r="AB44" s="75" t="s">
        <v>311</v>
      </c>
      <c r="AC44" s="190" t="s">
        <v>173</v>
      </c>
      <c r="AD44" s="77" t="s">
        <v>193</v>
      </c>
      <c r="AE44" s="63" t="s">
        <v>36</v>
      </c>
      <c r="AF44" s="78" t="s">
        <v>34</v>
      </c>
      <c r="AG44" s="79" t="s">
        <v>53</v>
      </c>
      <c r="AH44" s="79">
        <v>30.0</v>
      </c>
      <c r="AI44" s="79" t="s">
        <v>178</v>
      </c>
      <c r="AJ44" s="80" t="str">
        <f>AJ32</f>
        <v>開</v>
      </c>
      <c r="AK44" s="81" t="s">
        <v>44</v>
      </c>
      <c r="AL44" s="82" t="str">
        <f>AL32</f>
        <v>休</v>
      </c>
      <c r="AM44" s="81" t="s">
        <v>46</v>
      </c>
      <c r="AN44" s="82" t="s">
        <v>4</v>
      </c>
      <c r="AO44" s="81" t="s">
        <v>48</v>
      </c>
      <c r="AP44" s="82" t="str">
        <f>AP32</f>
        <v>傷</v>
      </c>
      <c r="AQ44" s="81" t="s">
        <v>50</v>
      </c>
      <c r="AR44" s="82" t="s">
        <v>8</v>
      </c>
      <c r="AS44" s="81" t="s">
        <v>52</v>
      </c>
      <c r="AT44" s="82" t="str">
        <f>AT32</f>
        <v>景</v>
      </c>
      <c r="AU44" s="81" t="s">
        <v>38</v>
      </c>
      <c r="AV44" s="82" t="str">
        <f>AV32</f>
        <v>死</v>
      </c>
      <c r="AW44" s="81" t="s">
        <v>40</v>
      </c>
      <c r="AX44" s="82" t="str">
        <f>AX32</f>
        <v>驚</v>
      </c>
      <c r="AY44" s="81" t="s">
        <v>42</v>
      </c>
      <c r="AZ44" s="191"/>
      <c r="BA44" s="84"/>
      <c r="BB44" s="84"/>
      <c r="BC44" s="84"/>
    </row>
    <row r="45">
      <c r="A45" s="192">
        <f>A33+1</f>
        <v>6</v>
      </c>
      <c r="B45" s="193"/>
      <c r="C45" s="12" t="s">
        <v>248</v>
      </c>
      <c r="E45" s="194" t="s">
        <v>195</v>
      </c>
      <c r="G45" s="324" t="str">
        <f t="shared" ref="G45:G46" si="48">G3:H3</f>
        <v>壬</v>
      </c>
      <c r="I45" s="275" t="str">
        <f t="shared" ref="I45:I46" si="49">I33:J33</f>
        <v>丙</v>
      </c>
      <c r="K45" s="90">
        <f>L45/L46</f>
        <v>0.465</v>
      </c>
      <c r="L45" s="126">
        <f t="shared" ref="L45:L46" si="50">O45+P45+Q45+U45+V45+W45+X45+R45+M45+N45+S45+T45</f>
        <v>465</v>
      </c>
      <c r="M45" s="92">
        <v>0.0</v>
      </c>
      <c r="N45" s="93">
        <v>0.0</v>
      </c>
      <c r="O45" s="92">
        <v>30.0</v>
      </c>
      <c r="P45" s="92">
        <v>0.0</v>
      </c>
      <c r="Q45" s="92">
        <v>0.0</v>
      </c>
      <c r="R45" s="93">
        <v>10.0</v>
      </c>
      <c r="S45" s="92">
        <v>90.0</v>
      </c>
      <c r="T45" s="93">
        <v>70.0</v>
      </c>
      <c r="U45" s="92">
        <f t="shared" ref="U45:V45" si="46">U39</f>
        <v>45</v>
      </c>
      <c r="V45" s="93">
        <f t="shared" si="46"/>
        <v>50</v>
      </c>
      <c r="W45" s="92">
        <f t="shared" ref="W45:X45" si="47">W33</f>
        <v>110</v>
      </c>
      <c r="X45" s="93">
        <f t="shared" si="47"/>
        <v>60</v>
      </c>
      <c r="Y45" s="73" t="s">
        <v>98</v>
      </c>
      <c r="Z45" s="94" t="s">
        <v>163</v>
      </c>
      <c r="AA45" s="36"/>
      <c r="AB45" s="36"/>
      <c r="AC45" s="195" t="s">
        <v>196</v>
      </c>
      <c r="AD45" s="96" t="s">
        <v>149</v>
      </c>
      <c r="AE45" s="37"/>
      <c r="AF45" s="97"/>
      <c r="AG45" s="12" t="s">
        <v>71</v>
      </c>
      <c r="AH45" s="12">
        <v>210.0</v>
      </c>
      <c r="AI45" s="12" t="s">
        <v>175</v>
      </c>
      <c r="AJ45" s="98" t="s">
        <v>88</v>
      </c>
      <c r="AK45" s="101" t="s">
        <v>89</v>
      </c>
      <c r="AL45" s="100" t="s">
        <v>45</v>
      </c>
      <c r="AM45" s="102" t="s">
        <v>90</v>
      </c>
      <c r="AN45" s="100" t="s">
        <v>43</v>
      </c>
      <c r="AO45" s="101" t="s">
        <v>91</v>
      </c>
      <c r="AP45" s="100" t="s">
        <v>41</v>
      </c>
      <c r="AQ45" s="103" t="s">
        <v>92</v>
      </c>
      <c r="AR45" s="100" t="s">
        <v>39</v>
      </c>
      <c r="AS45" s="99" t="s">
        <v>93</v>
      </c>
      <c r="AT45" s="100" t="s">
        <v>37</v>
      </c>
      <c r="AU45" s="99" t="s">
        <v>94</v>
      </c>
      <c r="AV45" s="100" t="s">
        <v>51</v>
      </c>
      <c r="AW45" s="101" t="s">
        <v>95</v>
      </c>
      <c r="AX45" s="100" t="s">
        <v>86</v>
      </c>
      <c r="AY45" s="99" t="s">
        <v>87</v>
      </c>
      <c r="AZ45" s="24"/>
    </row>
    <row r="46">
      <c r="A46" s="196" t="str">
        <f>A34</f>
        <v>เมษายน</v>
      </c>
      <c r="B46" s="193"/>
      <c r="C46" s="140" t="s">
        <v>179</v>
      </c>
      <c r="E46" s="162" t="s">
        <v>206</v>
      </c>
      <c r="G46" s="180" t="str">
        <f t="shared" si="48"/>
        <v>辰</v>
      </c>
      <c r="I46" s="142" t="str">
        <f t="shared" si="49"/>
        <v>午</v>
      </c>
      <c r="K46" s="36"/>
      <c r="L46" s="109">
        <f t="shared" si="50"/>
        <v>1000</v>
      </c>
      <c r="M46" s="9">
        <v>0.0</v>
      </c>
      <c r="N46" s="110">
        <v>0.0</v>
      </c>
      <c r="O46" s="9">
        <v>100.0</v>
      </c>
      <c r="P46" s="9">
        <v>100.0</v>
      </c>
      <c r="Q46" s="9">
        <v>100.0</v>
      </c>
      <c r="R46" s="110">
        <v>100.0</v>
      </c>
      <c r="S46" s="9">
        <v>100.0</v>
      </c>
      <c r="T46" s="110">
        <v>100.0</v>
      </c>
      <c r="U46" s="9">
        <v>100.0</v>
      </c>
      <c r="V46" s="110">
        <v>100.0</v>
      </c>
      <c r="W46" s="9">
        <v>100.0</v>
      </c>
      <c r="X46" s="110">
        <v>100.0</v>
      </c>
      <c r="Y46" s="73" t="s">
        <v>116</v>
      </c>
      <c r="Z46" s="94" t="s">
        <v>153</v>
      </c>
      <c r="AA46" s="36"/>
      <c r="AB46" s="36"/>
      <c r="AC46" s="111"/>
      <c r="AD46" s="112"/>
      <c r="AE46" s="37"/>
      <c r="AF46" s="97"/>
      <c r="AG46" s="14"/>
      <c r="AH46" s="14"/>
      <c r="AI46" s="14"/>
      <c r="AJ46" s="113"/>
      <c r="AK46" s="114" t="s">
        <v>101</v>
      </c>
      <c r="AM46" s="105" t="s">
        <v>102</v>
      </c>
      <c r="AO46" s="105" t="s">
        <v>103</v>
      </c>
      <c r="AQ46" s="104" t="s">
        <v>104</v>
      </c>
      <c r="AS46" s="104" t="s">
        <v>105</v>
      </c>
      <c r="AU46" s="104" t="s">
        <v>106</v>
      </c>
      <c r="AW46" s="105" t="s">
        <v>107</v>
      </c>
      <c r="AY46" s="104" t="s">
        <v>100</v>
      </c>
      <c r="AZ46" s="24"/>
    </row>
    <row r="47">
      <c r="A47" s="192">
        <f>A10</f>
        <v>2569</v>
      </c>
      <c r="B47" s="193"/>
      <c r="E47" s="115" t="s">
        <v>198</v>
      </c>
      <c r="F47" s="116" t="s">
        <v>111</v>
      </c>
      <c r="G47" s="115" t="str">
        <f t="shared" ref="G47:H47" si="51">G41</f>
        <v>A9</v>
      </c>
      <c r="H47" s="9" t="str">
        <f t="shared" si="51"/>
        <v>B9</v>
      </c>
      <c r="I47" s="9" t="str">
        <f t="shared" ref="I47:J47" si="52">I35</f>
        <v>A5</v>
      </c>
      <c r="J47" s="9" t="str">
        <f t="shared" si="52"/>
        <v>B11</v>
      </c>
      <c r="K47" s="36"/>
      <c r="L47" s="117"/>
      <c r="M47" s="118" t="str">
        <f t="shared" ref="M47:P47" si="53">C47</f>
        <v/>
      </c>
      <c r="N47" s="119" t="str">
        <f t="shared" si="53"/>
        <v/>
      </c>
      <c r="O47" s="118" t="str">
        <f t="shared" si="53"/>
        <v>A6</v>
      </c>
      <c r="P47" s="118" t="str">
        <f t="shared" si="53"/>
        <v>B7</v>
      </c>
      <c r="Q47" s="118" t="str">
        <f t="shared" ref="Q47:R47" si="54">E48</f>
        <v>B7</v>
      </c>
      <c r="R47" s="119" t="str">
        <f t="shared" si="54"/>
        <v>C7</v>
      </c>
      <c r="S47" s="9" t="s">
        <v>219</v>
      </c>
      <c r="T47" s="110" t="s">
        <v>165</v>
      </c>
      <c r="U47" s="9" t="str">
        <f t="shared" ref="U47:X47" si="55">G47</f>
        <v>A9</v>
      </c>
      <c r="V47" s="119" t="str">
        <f t="shared" si="55"/>
        <v>B9</v>
      </c>
      <c r="W47" s="118" t="str">
        <f t="shared" si="55"/>
        <v>A5</v>
      </c>
      <c r="X47" s="120" t="str">
        <f t="shared" si="55"/>
        <v>B11</v>
      </c>
      <c r="Y47" s="73" t="s">
        <v>126</v>
      </c>
      <c r="Z47" s="94" t="s">
        <v>155</v>
      </c>
      <c r="AA47" s="36"/>
      <c r="AB47" s="36"/>
      <c r="AC47" s="111"/>
      <c r="AD47" s="112"/>
      <c r="AE47" s="37"/>
      <c r="AF47" s="97"/>
      <c r="AG47" s="14"/>
      <c r="AH47" s="14"/>
      <c r="AI47" s="14"/>
      <c r="AJ47" s="113"/>
      <c r="AK47" s="114" t="s">
        <v>119</v>
      </c>
      <c r="AM47" s="105" t="s">
        <v>120</v>
      </c>
      <c r="AO47" s="105" t="s">
        <v>121</v>
      </c>
      <c r="AQ47" s="104" t="s">
        <v>122</v>
      </c>
      <c r="AS47" s="104" t="s">
        <v>123</v>
      </c>
      <c r="AU47" s="104" t="s">
        <v>124</v>
      </c>
      <c r="AW47" s="105" t="s">
        <v>125</v>
      </c>
      <c r="AY47" s="104" t="s">
        <v>118</v>
      </c>
      <c r="AZ47" s="24"/>
    </row>
    <row r="48">
      <c r="A48" s="192">
        <f>A47-543</f>
        <v>2026</v>
      </c>
      <c r="B48" s="193"/>
      <c r="C48" s="140"/>
      <c r="D48" s="140"/>
      <c r="E48" s="115" t="s">
        <v>111</v>
      </c>
      <c r="F48" s="116" t="s">
        <v>220</v>
      </c>
      <c r="G48" s="115"/>
      <c r="H48" s="118"/>
      <c r="I48" s="118"/>
      <c r="J48" s="118"/>
      <c r="K48" s="36"/>
      <c r="L48" s="117"/>
      <c r="M48" s="8"/>
      <c r="N48" s="121"/>
      <c r="O48" s="8"/>
      <c r="P48" s="8"/>
      <c r="Q48" s="8"/>
      <c r="R48" s="121"/>
      <c r="S48" s="8"/>
      <c r="T48" s="121"/>
      <c r="U48" s="9"/>
      <c r="V48" s="110"/>
      <c r="W48" s="9"/>
      <c r="X48" s="110"/>
      <c r="Y48" s="73" t="s">
        <v>69</v>
      </c>
      <c r="Z48" s="94" t="s">
        <v>128</v>
      </c>
      <c r="AA48" s="36"/>
      <c r="AB48" s="36"/>
      <c r="AC48" s="111"/>
      <c r="AD48" s="112"/>
      <c r="AE48" s="37"/>
      <c r="AF48" s="97"/>
      <c r="AG48" s="14"/>
      <c r="AH48" s="14"/>
      <c r="AI48" s="14"/>
      <c r="AJ48" s="113"/>
      <c r="AK48" s="114" t="s">
        <v>130</v>
      </c>
      <c r="AM48" s="105" t="s">
        <v>131</v>
      </c>
      <c r="AO48" s="105" t="s">
        <v>132</v>
      </c>
      <c r="AQ48" s="104" t="s">
        <v>133</v>
      </c>
      <c r="AS48" s="104" t="s">
        <v>134</v>
      </c>
      <c r="AU48" s="104" t="s">
        <v>135</v>
      </c>
      <c r="AW48" s="105" t="s">
        <v>136</v>
      </c>
      <c r="AY48" s="104" t="s">
        <v>129</v>
      </c>
      <c r="AZ48" s="24"/>
    </row>
    <row r="49">
      <c r="A49" s="325" t="s">
        <v>330</v>
      </c>
      <c r="B49" s="197"/>
      <c r="C49" s="123"/>
      <c r="D49" s="123"/>
      <c r="E49" s="198" t="s">
        <v>185</v>
      </c>
      <c r="F49" s="88"/>
      <c r="G49" s="165" t="str">
        <f>G5</f>
        <v>อสูรเดือน S</v>
      </c>
      <c r="I49" s="166" t="str">
        <f>I12:J12</f>
        <v>อสูรปี N</v>
      </c>
      <c r="K49" s="90"/>
      <c r="L49" s="126"/>
      <c r="M49" s="8"/>
      <c r="N49" s="121"/>
      <c r="O49" s="8"/>
      <c r="P49" s="8"/>
      <c r="Q49" s="8"/>
      <c r="R49" s="121"/>
      <c r="S49" s="8"/>
      <c r="T49" s="121"/>
      <c r="U49" s="9"/>
      <c r="V49" s="110"/>
      <c r="W49" s="9"/>
      <c r="X49" s="110"/>
      <c r="Y49" s="127"/>
      <c r="Z49" s="155"/>
      <c r="AA49" s="36"/>
      <c r="AB49" s="36"/>
      <c r="AC49" s="111"/>
      <c r="AD49" s="112"/>
      <c r="AE49" s="37"/>
      <c r="AF49" s="97"/>
      <c r="AG49" s="14"/>
      <c r="AH49" s="14"/>
      <c r="AI49" s="14"/>
      <c r="AJ49" s="113"/>
      <c r="AU49" s="128"/>
      <c r="AZ49" s="24"/>
    </row>
    <row r="50">
      <c r="A50" s="188" t="s">
        <v>191</v>
      </c>
      <c r="B50" s="189"/>
      <c r="C50" s="63"/>
      <c r="D50" s="63"/>
      <c r="E50" s="64">
        <f>(O51+P51+Q51+R51)/(O52+P52+Q52+R52)</f>
        <v>0.6</v>
      </c>
      <c r="F50" s="65"/>
      <c r="G50" s="133"/>
      <c r="H50" s="66"/>
      <c r="I50" s="67"/>
      <c r="J50" s="67"/>
      <c r="K50" s="68"/>
      <c r="L50" s="69"/>
      <c r="M50" s="63" t="s">
        <v>64</v>
      </c>
      <c r="N50" s="70"/>
      <c r="O50" s="71" t="s">
        <v>65</v>
      </c>
      <c r="P50" s="72"/>
      <c r="Q50" s="72"/>
      <c r="R50" s="70"/>
      <c r="S50" s="71" t="s">
        <v>66</v>
      </c>
      <c r="T50" s="70"/>
      <c r="U50" s="71" t="s">
        <v>67</v>
      </c>
      <c r="V50" s="70"/>
      <c r="W50" s="71" t="s">
        <v>68</v>
      </c>
      <c r="X50" s="70"/>
      <c r="Y50" s="134" t="s">
        <v>69</v>
      </c>
      <c r="Z50" s="74" t="s">
        <v>70</v>
      </c>
      <c r="AA50" s="75" t="s">
        <v>180</v>
      </c>
      <c r="AB50" s="75" t="s">
        <v>312</v>
      </c>
      <c r="AC50" s="190" t="s">
        <v>173</v>
      </c>
      <c r="AD50" s="77" t="s">
        <v>193</v>
      </c>
      <c r="AE50" s="63" t="s">
        <v>36</v>
      </c>
      <c r="AF50" s="78" t="s">
        <v>75</v>
      </c>
      <c r="AG50" s="79" t="s">
        <v>180</v>
      </c>
      <c r="AH50" s="79">
        <v>60.0</v>
      </c>
      <c r="AI50" s="79" t="s">
        <v>200</v>
      </c>
      <c r="AJ50" s="80" t="str">
        <f>AJ38</f>
        <v>開</v>
      </c>
      <c r="AK50" s="81" t="s">
        <v>44</v>
      </c>
      <c r="AL50" s="82" t="str">
        <f>AL38</f>
        <v>休</v>
      </c>
      <c r="AM50" s="81" t="s">
        <v>46</v>
      </c>
      <c r="AN50" s="82" t="s">
        <v>4</v>
      </c>
      <c r="AO50" s="81" t="s">
        <v>48</v>
      </c>
      <c r="AP50" s="82" t="str">
        <f>AP38</f>
        <v>傷</v>
      </c>
      <c r="AQ50" s="81" t="s">
        <v>50</v>
      </c>
      <c r="AR50" s="82" t="s">
        <v>8</v>
      </c>
      <c r="AS50" s="81" t="s">
        <v>52</v>
      </c>
      <c r="AT50" s="82" t="str">
        <f>AT38</f>
        <v>景</v>
      </c>
      <c r="AU50" s="81" t="s">
        <v>38</v>
      </c>
      <c r="AV50" s="82" t="str">
        <f>AV38</f>
        <v>死</v>
      </c>
      <c r="AW50" s="81" t="s">
        <v>40</v>
      </c>
      <c r="AX50" s="82" t="str">
        <f>AX38</f>
        <v>驚</v>
      </c>
      <c r="AY50" s="81" t="s">
        <v>42</v>
      </c>
      <c r="AZ50" s="83"/>
      <c r="BA50" s="84"/>
      <c r="BB50" s="84"/>
      <c r="BC50" s="84"/>
    </row>
    <row r="51">
      <c r="A51" s="192">
        <f>A45+1</f>
        <v>7</v>
      </c>
      <c r="B51" s="193"/>
      <c r="C51" s="12" t="s">
        <v>249</v>
      </c>
      <c r="E51" s="199" t="s">
        <v>201</v>
      </c>
      <c r="G51" s="324" t="str">
        <f t="shared" ref="G51:G52" si="58">G3:H3</f>
        <v>壬</v>
      </c>
      <c r="I51" s="268" t="str">
        <f t="shared" ref="I51:I52" si="59">I33:J33</f>
        <v>丙</v>
      </c>
      <c r="K51" s="90">
        <f>L51/L52</f>
        <v>0.61</v>
      </c>
      <c r="L51" s="126">
        <f t="shared" ref="L51:L52" si="60">O51+P51+Q51+U51+V51+W51+X51+R51+M51+N51+S51+T51</f>
        <v>610</v>
      </c>
      <c r="M51" s="92">
        <v>0.0</v>
      </c>
      <c r="N51" s="93">
        <v>0.0</v>
      </c>
      <c r="O51" s="92">
        <v>40.0</v>
      </c>
      <c r="P51" s="92">
        <v>90.0</v>
      </c>
      <c r="Q51" s="92">
        <v>90.0</v>
      </c>
      <c r="R51" s="93">
        <v>20.0</v>
      </c>
      <c r="S51" s="92">
        <v>90.0</v>
      </c>
      <c r="T51" s="93">
        <v>15.0</v>
      </c>
      <c r="U51" s="92">
        <f t="shared" ref="U51:V51" si="56">U39</f>
        <v>45</v>
      </c>
      <c r="V51" s="93">
        <f t="shared" si="56"/>
        <v>50</v>
      </c>
      <c r="W51" s="92">
        <f t="shared" ref="W51:X51" si="57">W33</f>
        <v>110</v>
      </c>
      <c r="X51" s="93">
        <f t="shared" si="57"/>
        <v>60</v>
      </c>
      <c r="Y51" s="73" t="s">
        <v>80</v>
      </c>
      <c r="Z51" s="94" t="s">
        <v>81</v>
      </c>
      <c r="AA51" s="36"/>
      <c r="AB51" s="169"/>
      <c r="AC51" s="195" t="s">
        <v>196</v>
      </c>
      <c r="AD51" s="96" t="s">
        <v>149</v>
      </c>
      <c r="AE51" s="37"/>
      <c r="AF51" s="97"/>
      <c r="AG51" s="12" t="s">
        <v>202</v>
      </c>
      <c r="AH51" s="12">
        <v>180.0</v>
      </c>
      <c r="AI51" s="12" t="s">
        <v>203</v>
      </c>
      <c r="AJ51" s="98" t="s">
        <v>86</v>
      </c>
      <c r="AK51" s="99" t="s">
        <v>87</v>
      </c>
      <c r="AL51" s="100" t="s">
        <v>88</v>
      </c>
      <c r="AM51" s="101" t="s">
        <v>89</v>
      </c>
      <c r="AN51" s="100" t="s">
        <v>45</v>
      </c>
      <c r="AO51" s="102" t="s">
        <v>90</v>
      </c>
      <c r="AP51" s="100" t="s">
        <v>43</v>
      </c>
      <c r="AQ51" s="101" t="s">
        <v>91</v>
      </c>
      <c r="AR51" s="100" t="s">
        <v>41</v>
      </c>
      <c r="AS51" s="103" t="s">
        <v>92</v>
      </c>
      <c r="AT51" s="100" t="s">
        <v>39</v>
      </c>
      <c r="AU51" s="99" t="s">
        <v>93</v>
      </c>
      <c r="AV51" s="100" t="s">
        <v>37</v>
      </c>
      <c r="AW51" s="99" t="s">
        <v>94</v>
      </c>
      <c r="AX51" s="100" t="s">
        <v>51</v>
      </c>
      <c r="AY51" s="101" t="s">
        <v>95</v>
      </c>
      <c r="AZ51" s="24"/>
    </row>
    <row r="52">
      <c r="A52" s="200" t="str">
        <f>G2</f>
        <v>เมษายน</v>
      </c>
      <c r="B52" s="193"/>
      <c r="C52" s="175" t="s">
        <v>188</v>
      </c>
      <c r="E52" s="107" t="s">
        <v>97</v>
      </c>
      <c r="G52" s="180" t="str">
        <f t="shared" si="58"/>
        <v>辰</v>
      </c>
      <c r="I52" s="142" t="str">
        <f t="shared" si="59"/>
        <v>午</v>
      </c>
      <c r="K52" s="36"/>
      <c r="L52" s="109">
        <f t="shared" si="60"/>
        <v>1000</v>
      </c>
      <c r="M52" s="9">
        <v>0.0</v>
      </c>
      <c r="N52" s="110">
        <v>0.0</v>
      </c>
      <c r="O52" s="9">
        <v>100.0</v>
      </c>
      <c r="P52" s="9">
        <v>100.0</v>
      </c>
      <c r="Q52" s="9">
        <v>100.0</v>
      </c>
      <c r="R52" s="110">
        <v>100.0</v>
      </c>
      <c r="S52" s="9">
        <v>100.0</v>
      </c>
      <c r="T52" s="110">
        <v>100.0</v>
      </c>
      <c r="U52" s="9">
        <v>100.0</v>
      </c>
      <c r="V52" s="110">
        <v>100.0</v>
      </c>
      <c r="W52" s="9">
        <v>100.0</v>
      </c>
      <c r="X52" s="110">
        <v>100.0</v>
      </c>
      <c r="Y52" s="73" t="s">
        <v>98</v>
      </c>
      <c r="Z52" s="94" t="s">
        <v>99</v>
      </c>
      <c r="AA52" s="36"/>
      <c r="AB52" s="36"/>
      <c r="AC52" s="111"/>
      <c r="AD52" s="112"/>
      <c r="AE52" s="37"/>
      <c r="AF52" s="97"/>
      <c r="AG52" s="14"/>
      <c r="AH52" s="14"/>
      <c r="AI52" s="14"/>
      <c r="AJ52" s="113"/>
      <c r="AK52" s="104" t="s">
        <v>100</v>
      </c>
      <c r="AM52" s="114" t="s">
        <v>101</v>
      </c>
      <c r="AO52" s="105" t="s">
        <v>102</v>
      </c>
      <c r="AQ52" s="105" t="s">
        <v>103</v>
      </c>
      <c r="AS52" s="104" t="s">
        <v>104</v>
      </c>
      <c r="AU52" s="104" t="s">
        <v>105</v>
      </c>
      <c r="AW52" s="104" t="s">
        <v>106</v>
      </c>
      <c r="AY52" s="105" t="s">
        <v>107</v>
      </c>
      <c r="AZ52" s="24"/>
    </row>
    <row r="53">
      <c r="A53" s="192">
        <f>A10</f>
        <v>2569</v>
      </c>
      <c r="B53" s="193"/>
      <c r="E53" s="115" t="s">
        <v>112</v>
      </c>
      <c r="F53" s="116" t="s">
        <v>69</v>
      </c>
      <c r="G53" s="115" t="str">
        <f t="shared" ref="G53:H53" si="61">G41</f>
        <v>A9</v>
      </c>
      <c r="H53" s="9" t="str">
        <f t="shared" si="61"/>
        <v>B9</v>
      </c>
      <c r="I53" s="9" t="str">
        <f t="shared" ref="I53:J53" si="62">I35</f>
        <v>A5</v>
      </c>
      <c r="J53" s="9" t="str">
        <f t="shared" si="62"/>
        <v>B11</v>
      </c>
      <c r="K53" s="36"/>
      <c r="L53" s="117"/>
      <c r="M53" s="118" t="str">
        <f t="shared" ref="M53:P53" si="63">C53</f>
        <v/>
      </c>
      <c r="N53" s="119" t="str">
        <f t="shared" si="63"/>
        <v/>
      </c>
      <c r="O53" s="118" t="str">
        <f t="shared" si="63"/>
        <v>A2</v>
      </c>
      <c r="P53" s="118" t="str">
        <f t="shared" si="63"/>
        <v>B8</v>
      </c>
      <c r="Q53" s="118" t="str">
        <f t="shared" ref="Q53:R53" si="64">E54</f>
        <v>B6</v>
      </c>
      <c r="R53" s="119" t="str">
        <f t="shared" si="64"/>
        <v>C8</v>
      </c>
      <c r="S53" s="9" t="s">
        <v>213</v>
      </c>
      <c r="T53" s="110" t="s">
        <v>182</v>
      </c>
      <c r="U53" s="9" t="str">
        <f t="shared" ref="U53:X53" si="65">G53</f>
        <v>A9</v>
      </c>
      <c r="V53" s="119" t="str">
        <f t="shared" si="65"/>
        <v>B9</v>
      </c>
      <c r="W53" s="118" t="str">
        <f t="shared" si="65"/>
        <v>A5</v>
      </c>
      <c r="X53" s="120" t="str">
        <f t="shared" si="65"/>
        <v>B11</v>
      </c>
      <c r="Y53" s="73" t="s">
        <v>116</v>
      </c>
      <c r="Z53" s="94" t="s">
        <v>117</v>
      </c>
      <c r="AA53" s="36"/>
      <c r="AB53" s="36"/>
      <c r="AC53" s="111"/>
      <c r="AD53" s="112"/>
      <c r="AE53" s="37"/>
      <c r="AF53" s="97"/>
      <c r="AG53" s="14"/>
      <c r="AH53" s="14"/>
      <c r="AI53" s="14"/>
      <c r="AJ53" s="113"/>
      <c r="AK53" s="104" t="s">
        <v>118</v>
      </c>
      <c r="AM53" s="114" t="s">
        <v>119</v>
      </c>
      <c r="AO53" s="105" t="s">
        <v>120</v>
      </c>
      <c r="AQ53" s="105" t="s">
        <v>121</v>
      </c>
      <c r="AS53" s="104" t="s">
        <v>122</v>
      </c>
      <c r="AU53" s="104" t="s">
        <v>123</v>
      </c>
      <c r="AW53" s="104" t="s">
        <v>124</v>
      </c>
      <c r="AY53" s="105" t="s">
        <v>125</v>
      </c>
      <c r="AZ53" s="24"/>
    </row>
    <row r="54">
      <c r="A54" s="192">
        <f>A53-543</f>
        <v>2026</v>
      </c>
      <c r="B54" s="193"/>
      <c r="C54" s="140"/>
      <c r="D54" s="140"/>
      <c r="E54" s="115" t="s">
        <v>126</v>
      </c>
      <c r="F54" s="116" t="s">
        <v>225</v>
      </c>
      <c r="G54" s="115"/>
      <c r="H54" s="118"/>
      <c r="I54" s="118"/>
      <c r="J54" s="118"/>
      <c r="K54" s="36"/>
      <c r="L54" s="117"/>
      <c r="M54" s="326"/>
      <c r="N54" s="327"/>
      <c r="O54" s="118"/>
      <c r="P54" s="118"/>
      <c r="Q54" s="118"/>
      <c r="R54" s="119"/>
      <c r="S54" s="118"/>
      <c r="T54" s="119"/>
      <c r="V54" s="117"/>
      <c r="X54" s="117"/>
      <c r="Y54" s="73" t="s">
        <v>126</v>
      </c>
      <c r="Z54" s="94" t="s">
        <v>128</v>
      </c>
      <c r="AA54" s="36"/>
      <c r="AB54" s="36"/>
      <c r="AC54" s="111"/>
      <c r="AD54" s="112"/>
      <c r="AE54" s="37"/>
      <c r="AF54" s="97"/>
      <c r="AG54" s="14"/>
      <c r="AH54" s="14"/>
      <c r="AI54" s="14"/>
      <c r="AJ54" s="113"/>
      <c r="AK54" s="104" t="s">
        <v>129</v>
      </c>
      <c r="AM54" s="114" t="s">
        <v>130</v>
      </c>
      <c r="AO54" s="105" t="s">
        <v>131</v>
      </c>
      <c r="AQ54" s="105" t="s">
        <v>132</v>
      </c>
      <c r="AS54" s="104" t="s">
        <v>133</v>
      </c>
      <c r="AU54" s="104" t="s">
        <v>134</v>
      </c>
      <c r="AW54" s="104" t="s">
        <v>135</v>
      </c>
      <c r="AY54" s="105" t="s">
        <v>136</v>
      </c>
      <c r="AZ54" s="24"/>
    </row>
    <row r="55">
      <c r="A55" s="196"/>
      <c r="B55" s="197"/>
      <c r="C55" s="123"/>
      <c r="D55" s="123"/>
      <c r="E55" s="164" t="s">
        <v>137</v>
      </c>
      <c r="F55" s="88"/>
      <c r="G55" s="165" t="str">
        <f>G5</f>
        <v>อสูรเดือน S</v>
      </c>
      <c r="I55" s="166" t="str">
        <f>I12:J12</f>
        <v>อสูรปี N</v>
      </c>
      <c r="K55" s="90"/>
      <c r="L55" s="126"/>
      <c r="M55" s="8"/>
      <c r="N55" s="121"/>
      <c r="O55" s="9"/>
      <c r="P55" s="9"/>
      <c r="Q55" s="9"/>
      <c r="R55" s="110"/>
      <c r="S55" s="9"/>
      <c r="T55" s="110"/>
      <c r="U55" s="9"/>
      <c r="V55" s="110"/>
      <c r="W55" s="9"/>
      <c r="X55" s="110"/>
      <c r="Y55" s="127"/>
      <c r="Z55" s="155"/>
      <c r="AA55" s="36"/>
      <c r="AB55" s="36"/>
      <c r="AC55" s="111"/>
      <c r="AD55" s="112"/>
      <c r="AE55" s="37"/>
      <c r="AF55" s="97"/>
      <c r="AG55" s="14"/>
      <c r="AH55" s="14"/>
      <c r="AI55" s="14"/>
      <c r="AJ55" s="113"/>
      <c r="AK55" s="128"/>
      <c r="AM55" s="128"/>
      <c r="AO55" s="128"/>
      <c r="AQ55" s="129"/>
      <c r="AS55" s="130"/>
      <c r="AU55" s="131"/>
      <c r="AW55" s="131"/>
      <c r="AY55" s="131"/>
      <c r="AZ55" s="24"/>
    </row>
    <row r="56">
      <c r="A56" s="188" t="s">
        <v>199</v>
      </c>
      <c r="B56" s="189"/>
      <c r="C56" s="63"/>
      <c r="D56" s="63"/>
      <c r="E56" s="216">
        <f>(O57+P57+Q57+R57)/(O58+P58+Q58+R58)</f>
        <v>0.9</v>
      </c>
      <c r="F56" s="65"/>
      <c r="G56" s="133"/>
      <c r="H56" s="72"/>
      <c r="I56" s="67"/>
      <c r="J56" s="72"/>
      <c r="K56" s="68"/>
      <c r="L56" s="69"/>
      <c r="M56" s="63" t="s">
        <v>64</v>
      </c>
      <c r="N56" s="70"/>
      <c r="O56" s="71" t="s">
        <v>65</v>
      </c>
      <c r="P56" s="72"/>
      <c r="Q56" s="72"/>
      <c r="R56" s="70"/>
      <c r="S56" s="71" t="s">
        <v>66</v>
      </c>
      <c r="T56" s="70"/>
      <c r="U56" s="71" t="s">
        <v>67</v>
      </c>
      <c r="V56" s="70"/>
      <c r="W56" s="71" t="s">
        <v>68</v>
      </c>
      <c r="X56" s="70"/>
      <c r="Y56" s="134" t="s">
        <v>116</v>
      </c>
      <c r="Z56" s="74" t="s">
        <v>140</v>
      </c>
      <c r="AA56" s="75" t="s">
        <v>76</v>
      </c>
      <c r="AB56" s="75" t="s">
        <v>243</v>
      </c>
      <c r="AC56" s="202" t="s">
        <v>142</v>
      </c>
      <c r="AD56" s="74" t="s">
        <v>143</v>
      </c>
      <c r="AE56" s="63" t="s">
        <v>144</v>
      </c>
      <c r="AF56" s="78" t="s">
        <v>144</v>
      </c>
      <c r="AG56" s="79" t="s">
        <v>189</v>
      </c>
      <c r="AH56" s="79">
        <v>90.0</v>
      </c>
      <c r="AI56" s="79" t="s">
        <v>208</v>
      </c>
      <c r="AJ56" s="80" t="str">
        <f>AJ50</f>
        <v>開</v>
      </c>
      <c r="AK56" s="81" t="s">
        <v>52</v>
      </c>
      <c r="AL56" s="82" t="str">
        <f>AL50</f>
        <v>休</v>
      </c>
      <c r="AM56" s="81" t="s">
        <v>38</v>
      </c>
      <c r="AN56" s="82" t="s">
        <v>4</v>
      </c>
      <c r="AO56" s="81" t="s">
        <v>40</v>
      </c>
      <c r="AP56" s="82" t="str">
        <f>AP50</f>
        <v>傷</v>
      </c>
      <c r="AQ56" s="81" t="s">
        <v>42</v>
      </c>
      <c r="AR56" s="82" t="str">
        <f>AR50</f>
        <v>杜</v>
      </c>
      <c r="AS56" s="81" t="s">
        <v>44</v>
      </c>
      <c r="AT56" s="82" t="str">
        <f>AT50</f>
        <v>景</v>
      </c>
      <c r="AU56" s="81" t="s">
        <v>46</v>
      </c>
      <c r="AV56" s="82" t="str">
        <f>AV50</f>
        <v>死</v>
      </c>
      <c r="AW56" s="81" t="s">
        <v>48</v>
      </c>
      <c r="AX56" s="82" t="str">
        <f>AX50</f>
        <v>驚</v>
      </c>
      <c r="AY56" s="81" t="s">
        <v>50</v>
      </c>
      <c r="AZ56" s="83"/>
      <c r="BA56" s="84"/>
      <c r="BB56" s="84"/>
      <c r="BC56" s="84"/>
    </row>
    <row r="57">
      <c r="A57" s="192">
        <f>A51+1</f>
        <v>8</v>
      </c>
      <c r="B57" s="193"/>
      <c r="C57" s="12" t="s">
        <v>270</v>
      </c>
      <c r="E57" s="203" t="s">
        <v>209</v>
      </c>
      <c r="G57" s="324" t="str">
        <f t="shared" ref="G57:G58" si="68">G3:H3</f>
        <v>壬</v>
      </c>
      <c r="I57" s="268" t="str">
        <f t="shared" ref="I57:I58" si="69">I33:J33</f>
        <v>丙</v>
      </c>
      <c r="K57" s="90">
        <f>L57/L58</f>
        <v>0.785</v>
      </c>
      <c r="L57" s="126">
        <f t="shared" ref="L57:L58" si="70">O57+P57+Q57+U57+V57+W57+X57+R57+M57+N57+S57+T57</f>
        <v>785</v>
      </c>
      <c r="M57" s="92">
        <v>0.0</v>
      </c>
      <c r="N57" s="93">
        <v>0.0</v>
      </c>
      <c r="O57" s="92">
        <v>110.0</v>
      </c>
      <c r="P57" s="92">
        <v>50.0</v>
      </c>
      <c r="Q57" s="92">
        <v>100.0</v>
      </c>
      <c r="R57" s="93">
        <v>100.0</v>
      </c>
      <c r="S57" s="92">
        <v>110.0</v>
      </c>
      <c r="T57" s="93">
        <v>50.0</v>
      </c>
      <c r="U57" s="92">
        <f t="shared" ref="U57:V57" si="66">U39</f>
        <v>45</v>
      </c>
      <c r="V57" s="93">
        <f t="shared" si="66"/>
        <v>50</v>
      </c>
      <c r="W57" s="92">
        <f t="shared" ref="W57:X57" si="67">W33</f>
        <v>110</v>
      </c>
      <c r="X57" s="93">
        <f t="shared" si="67"/>
        <v>60</v>
      </c>
      <c r="Y57" s="73" t="s">
        <v>126</v>
      </c>
      <c r="Z57" s="94" t="s">
        <v>70</v>
      </c>
      <c r="AA57" s="36"/>
      <c r="AB57" s="29"/>
      <c r="AC57" s="204" t="s">
        <v>82</v>
      </c>
      <c r="AD57" s="96" t="s">
        <v>83</v>
      </c>
      <c r="AE57" s="37"/>
      <c r="AF57" s="97"/>
      <c r="AG57" s="12" t="s">
        <v>54</v>
      </c>
      <c r="AH57" s="12">
        <v>150.0</v>
      </c>
      <c r="AI57" s="12" t="s">
        <v>210</v>
      </c>
      <c r="AJ57" s="98" t="s">
        <v>37</v>
      </c>
      <c r="AK57" s="99" t="s">
        <v>94</v>
      </c>
      <c r="AL57" s="100" t="s">
        <v>51</v>
      </c>
      <c r="AM57" s="101" t="s">
        <v>95</v>
      </c>
      <c r="AN57" s="100" t="s">
        <v>86</v>
      </c>
      <c r="AO57" s="99" t="s">
        <v>87</v>
      </c>
      <c r="AP57" s="100" t="s">
        <v>88</v>
      </c>
      <c r="AQ57" s="101" t="s">
        <v>89</v>
      </c>
      <c r="AR57" s="100" t="s">
        <v>45</v>
      </c>
      <c r="AS57" s="102" t="s">
        <v>90</v>
      </c>
      <c r="AT57" s="100" t="s">
        <v>43</v>
      </c>
      <c r="AU57" s="101" t="s">
        <v>91</v>
      </c>
      <c r="AV57" s="100" t="s">
        <v>41</v>
      </c>
      <c r="AW57" s="103" t="s">
        <v>92</v>
      </c>
      <c r="AX57" s="100" t="s">
        <v>39</v>
      </c>
      <c r="AY57" s="99" t="s">
        <v>93</v>
      </c>
      <c r="AZ57" s="24"/>
    </row>
    <row r="58">
      <c r="A58" s="200" t="str">
        <f>G2</f>
        <v>เมษายน</v>
      </c>
      <c r="B58" s="193"/>
      <c r="C58" s="175" t="s">
        <v>211</v>
      </c>
      <c r="E58" s="107" t="s">
        <v>84</v>
      </c>
      <c r="G58" s="180" t="str">
        <f t="shared" si="68"/>
        <v>辰</v>
      </c>
      <c r="I58" s="142" t="str">
        <f t="shared" si="69"/>
        <v>午</v>
      </c>
      <c r="K58" s="36"/>
      <c r="L58" s="109">
        <f t="shared" si="70"/>
        <v>1000</v>
      </c>
      <c r="M58" s="9">
        <v>0.0</v>
      </c>
      <c r="N58" s="110">
        <v>0.0</v>
      </c>
      <c r="O58" s="9">
        <v>100.0</v>
      </c>
      <c r="P58" s="9">
        <v>100.0</v>
      </c>
      <c r="Q58" s="9">
        <v>100.0</v>
      </c>
      <c r="R58" s="110">
        <v>100.0</v>
      </c>
      <c r="S58" s="9">
        <v>100.0</v>
      </c>
      <c r="T58" s="110">
        <v>100.0</v>
      </c>
      <c r="U58" s="9">
        <v>100.0</v>
      </c>
      <c r="V58" s="110">
        <v>100.0</v>
      </c>
      <c r="W58" s="9">
        <v>100.0</v>
      </c>
      <c r="X58" s="110">
        <v>100.0</v>
      </c>
      <c r="Y58" s="73" t="s">
        <v>69</v>
      </c>
      <c r="Z58" s="94" t="s">
        <v>152</v>
      </c>
      <c r="AA58" s="36"/>
      <c r="AB58" s="36"/>
      <c r="AC58" s="111"/>
      <c r="AD58" s="112"/>
      <c r="AE58" s="37"/>
      <c r="AF58" s="97"/>
      <c r="AG58" s="14"/>
      <c r="AH58" s="14"/>
      <c r="AI58" s="14"/>
      <c r="AJ58" s="113"/>
      <c r="AK58" s="104" t="s">
        <v>106</v>
      </c>
      <c r="AM58" s="105" t="s">
        <v>107</v>
      </c>
      <c r="AO58" s="104" t="s">
        <v>100</v>
      </c>
      <c r="AQ58" s="114" t="s">
        <v>101</v>
      </c>
      <c r="AS58" s="105" t="s">
        <v>102</v>
      </c>
      <c r="AU58" s="105" t="s">
        <v>103</v>
      </c>
      <c r="AW58" s="104" t="s">
        <v>104</v>
      </c>
      <c r="AY58" s="104" t="s">
        <v>105</v>
      </c>
      <c r="AZ58" s="24"/>
    </row>
    <row r="59">
      <c r="A59" s="192">
        <f>A10</f>
        <v>2569</v>
      </c>
      <c r="B59" s="193"/>
      <c r="E59" s="115" t="s">
        <v>204</v>
      </c>
      <c r="F59" s="116" t="s">
        <v>212</v>
      </c>
      <c r="G59" s="115" t="str">
        <f t="shared" ref="G59:H59" si="71">G41</f>
        <v>A9</v>
      </c>
      <c r="H59" s="9" t="str">
        <f t="shared" si="71"/>
        <v>B9</v>
      </c>
      <c r="I59" s="9" t="str">
        <f t="shared" ref="I59:J59" si="72">I35</f>
        <v>A5</v>
      </c>
      <c r="J59" s="9" t="str">
        <f t="shared" si="72"/>
        <v>B11</v>
      </c>
      <c r="K59" s="36"/>
      <c r="L59" s="117"/>
      <c r="M59" s="118" t="str">
        <f t="shared" ref="M59:P59" si="73">C59</f>
        <v/>
      </c>
      <c r="N59" s="119" t="str">
        <f t="shared" si="73"/>
        <v/>
      </c>
      <c r="O59" s="118" t="str">
        <f t="shared" si="73"/>
        <v>A5</v>
      </c>
      <c r="P59" s="118" t="str">
        <f t="shared" si="73"/>
        <v>B9</v>
      </c>
      <c r="Q59" s="118" t="str">
        <f t="shared" ref="Q59:R59" si="74">E60</f>
        <v>B5</v>
      </c>
      <c r="R59" s="119" t="str">
        <f t="shared" si="74"/>
        <v>C9</v>
      </c>
      <c r="S59" s="9" t="s">
        <v>204</v>
      </c>
      <c r="T59" s="110" t="s">
        <v>164</v>
      </c>
      <c r="U59" s="9" t="str">
        <f t="shared" ref="U59:X59" si="75">G59</f>
        <v>A9</v>
      </c>
      <c r="V59" s="119" t="str">
        <f t="shared" si="75"/>
        <v>B9</v>
      </c>
      <c r="W59" s="118" t="str">
        <f t="shared" si="75"/>
        <v>A5</v>
      </c>
      <c r="X59" s="120" t="str">
        <f t="shared" si="75"/>
        <v>B11</v>
      </c>
      <c r="Y59" s="73" t="s">
        <v>80</v>
      </c>
      <c r="Z59" s="94" t="s">
        <v>153</v>
      </c>
      <c r="AA59" s="36"/>
      <c r="AB59" s="36"/>
      <c r="AC59" s="111"/>
      <c r="AD59" s="112"/>
      <c r="AE59" s="37"/>
      <c r="AF59" s="97"/>
      <c r="AG59" s="14"/>
      <c r="AH59" s="14"/>
      <c r="AI59" s="14"/>
      <c r="AJ59" s="113"/>
      <c r="AK59" s="104" t="s">
        <v>124</v>
      </c>
      <c r="AM59" s="105" t="s">
        <v>125</v>
      </c>
      <c r="AO59" s="104" t="s">
        <v>118</v>
      </c>
      <c r="AQ59" s="114" t="s">
        <v>119</v>
      </c>
      <c r="AS59" s="105" t="s">
        <v>120</v>
      </c>
      <c r="AU59" s="105" t="s">
        <v>121</v>
      </c>
      <c r="AW59" s="104" t="s">
        <v>122</v>
      </c>
      <c r="AY59" s="104" t="s">
        <v>123</v>
      </c>
      <c r="AZ59" s="24"/>
    </row>
    <row r="60">
      <c r="A60" s="192">
        <f>A59-543</f>
        <v>2026</v>
      </c>
      <c r="B60" s="193"/>
      <c r="C60" s="106"/>
      <c r="D60" s="106"/>
      <c r="E60" s="115" t="s">
        <v>116</v>
      </c>
      <c r="F60" s="116" t="s">
        <v>229</v>
      </c>
      <c r="G60" s="115"/>
      <c r="H60" s="118"/>
      <c r="I60" s="118"/>
      <c r="J60" s="118"/>
      <c r="K60" s="36"/>
      <c r="L60" s="117"/>
      <c r="M60" s="326"/>
      <c r="N60" s="327"/>
      <c r="R60" s="117"/>
      <c r="T60" s="117"/>
      <c r="V60" s="117"/>
      <c r="X60" s="117"/>
      <c r="Y60" s="73" t="s">
        <v>98</v>
      </c>
      <c r="Z60" s="94" t="s">
        <v>155</v>
      </c>
      <c r="AA60" s="36"/>
      <c r="AB60" s="36"/>
      <c r="AC60" s="111"/>
      <c r="AD60" s="112"/>
      <c r="AE60" s="37"/>
      <c r="AF60" s="97"/>
      <c r="AG60" s="14"/>
      <c r="AH60" s="14"/>
      <c r="AI60" s="14"/>
      <c r="AJ60" s="113"/>
      <c r="AK60" s="104" t="s">
        <v>135</v>
      </c>
      <c r="AM60" s="105" t="s">
        <v>136</v>
      </c>
      <c r="AO60" s="104" t="s">
        <v>129</v>
      </c>
      <c r="AQ60" s="114" t="s">
        <v>130</v>
      </c>
      <c r="AS60" s="105" t="s">
        <v>131</v>
      </c>
      <c r="AU60" s="105" t="s">
        <v>132</v>
      </c>
      <c r="AW60" s="104" t="s">
        <v>133</v>
      </c>
      <c r="AY60" s="104" t="s">
        <v>134</v>
      </c>
      <c r="AZ60" s="24"/>
    </row>
    <row r="61">
      <c r="A61" s="328" t="s">
        <v>331</v>
      </c>
      <c r="B61" s="197"/>
      <c r="C61" s="123"/>
      <c r="D61" s="123"/>
      <c r="E61" s="164" t="s">
        <v>157</v>
      </c>
      <c r="F61" s="88"/>
      <c r="G61" s="165" t="str">
        <f>G5</f>
        <v>อสูรเดือน S</v>
      </c>
      <c r="I61" s="166" t="str">
        <f>I12:J12</f>
        <v>อสูรปี N</v>
      </c>
      <c r="K61" s="90"/>
      <c r="L61" s="126"/>
      <c r="M61" s="8"/>
      <c r="N61" s="121"/>
      <c r="O61" s="8"/>
      <c r="P61" s="8"/>
      <c r="Q61" s="8"/>
      <c r="R61" s="121"/>
      <c r="S61" s="8"/>
      <c r="T61" s="121"/>
      <c r="U61" s="9"/>
      <c r="V61" s="110"/>
      <c r="W61" s="9"/>
      <c r="X61" s="110"/>
      <c r="Y61" s="127"/>
      <c r="Z61" s="155"/>
      <c r="AA61" s="36"/>
      <c r="AB61" s="36"/>
      <c r="AC61" s="111"/>
      <c r="AD61" s="112"/>
      <c r="AE61" s="37"/>
      <c r="AF61" s="97"/>
      <c r="AG61" s="14"/>
      <c r="AH61" s="14"/>
      <c r="AI61" s="14"/>
      <c r="AJ61" s="113"/>
      <c r="AY61" s="128"/>
      <c r="AZ61" s="24"/>
    </row>
    <row r="62">
      <c r="A62" s="188" t="s">
        <v>63</v>
      </c>
      <c r="B62" s="189"/>
      <c r="C62" s="63"/>
      <c r="D62" s="63"/>
      <c r="E62" s="64">
        <f>(O63+P63+Q63+R63)/(O64+P64+Q64+R64)</f>
        <v>0.4625</v>
      </c>
      <c r="F62" s="65"/>
      <c r="G62" s="133"/>
      <c r="H62" s="72"/>
      <c r="I62" s="67"/>
      <c r="J62" s="72"/>
      <c r="K62" s="68"/>
      <c r="L62" s="69"/>
      <c r="M62" s="63" t="s">
        <v>64</v>
      </c>
      <c r="N62" s="70"/>
      <c r="O62" s="71" t="s">
        <v>65</v>
      </c>
      <c r="P62" s="72"/>
      <c r="Q62" s="72"/>
      <c r="R62" s="70"/>
      <c r="S62" s="71" t="s">
        <v>66</v>
      </c>
      <c r="T62" s="70"/>
      <c r="U62" s="71" t="s">
        <v>67</v>
      </c>
      <c r="V62" s="70"/>
      <c r="W62" s="71" t="s">
        <v>68</v>
      </c>
      <c r="X62" s="70"/>
      <c r="Y62" s="134" t="s">
        <v>116</v>
      </c>
      <c r="Z62" s="74" t="s">
        <v>159</v>
      </c>
      <c r="AA62" s="75" t="s">
        <v>54</v>
      </c>
      <c r="AB62" s="75" t="s">
        <v>309</v>
      </c>
      <c r="AC62" s="202" t="s">
        <v>142</v>
      </c>
      <c r="AD62" s="74" t="s">
        <v>143</v>
      </c>
      <c r="AE62" s="63" t="s">
        <v>144</v>
      </c>
      <c r="AF62" s="78" t="s">
        <v>36</v>
      </c>
      <c r="AG62" s="79" t="s">
        <v>54</v>
      </c>
      <c r="AH62" s="79">
        <v>150.0</v>
      </c>
      <c r="AI62" s="79" t="s">
        <v>210</v>
      </c>
      <c r="AJ62" s="80" t="str">
        <f>AJ56</f>
        <v>開</v>
      </c>
      <c r="AK62" s="81" t="s">
        <v>48</v>
      </c>
      <c r="AL62" s="82" t="str">
        <f>AL56</f>
        <v>休</v>
      </c>
      <c r="AM62" s="81" t="s">
        <v>50</v>
      </c>
      <c r="AN62" s="82" t="s">
        <v>4</v>
      </c>
      <c r="AO62" s="81" t="s">
        <v>52</v>
      </c>
      <c r="AP62" s="82" t="str">
        <f>AP56</f>
        <v>傷</v>
      </c>
      <c r="AQ62" s="81" t="s">
        <v>38</v>
      </c>
      <c r="AR62" s="82" t="s">
        <v>8</v>
      </c>
      <c r="AS62" s="81" t="s">
        <v>40</v>
      </c>
      <c r="AT62" s="82" t="str">
        <f>AT56</f>
        <v>景</v>
      </c>
      <c r="AU62" s="81" t="s">
        <v>42</v>
      </c>
      <c r="AV62" s="82" t="str">
        <f>AV56</f>
        <v>死</v>
      </c>
      <c r="AW62" s="81" t="s">
        <v>44</v>
      </c>
      <c r="AX62" s="82" t="str">
        <f>AX56</f>
        <v>驚</v>
      </c>
      <c r="AY62" s="81" t="s">
        <v>46</v>
      </c>
      <c r="AZ62" s="83"/>
      <c r="BA62" s="84"/>
      <c r="BB62" s="84"/>
      <c r="BC62" s="84"/>
    </row>
    <row r="63">
      <c r="A63" s="192">
        <f>A57+1</f>
        <v>9</v>
      </c>
      <c r="B63" s="193"/>
      <c r="C63" s="12" t="s">
        <v>260</v>
      </c>
      <c r="E63" s="203" t="s">
        <v>171</v>
      </c>
      <c r="G63" s="324" t="str">
        <f t="shared" ref="G63:G64" si="78">G3:H3</f>
        <v>壬</v>
      </c>
      <c r="I63" s="275" t="str">
        <f t="shared" ref="I63:I64" si="79">I33:J33</f>
        <v>丙</v>
      </c>
      <c r="K63" s="90">
        <f>L63/L64</f>
        <v>0.54</v>
      </c>
      <c r="L63" s="126">
        <f t="shared" ref="L63:L64" si="80">O63+P63+Q63+U63+V63+W63+X63+R63+M63+N63+S63+T63</f>
        <v>540</v>
      </c>
      <c r="M63" s="92">
        <v>0.0</v>
      </c>
      <c r="N63" s="93">
        <v>0.0</v>
      </c>
      <c r="O63" s="92">
        <v>85.0</v>
      </c>
      <c r="P63" s="92">
        <v>40.0</v>
      </c>
      <c r="Q63" s="92">
        <v>30.0</v>
      </c>
      <c r="R63" s="93">
        <v>30.0</v>
      </c>
      <c r="S63" s="92">
        <v>25.0</v>
      </c>
      <c r="T63" s="93">
        <v>65.0</v>
      </c>
      <c r="U63" s="92">
        <f t="shared" ref="U63:V63" si="76">U39</f>
        <v>45</v>
      </c>
      <c r="V63" s="93">
        <f t="shared" si="76"/>
        <v>50</v>
      </c>
      <c r="W63" s="92">
        <f t="shared" ref="W63:X63" si="77">W33</f>
        <v>110</v>
      </c>
      <c r="X63" s="93">
        <f t="shared" si="77"/>
        <v>60</v>
      </c>
      <c r="Y63" s="73" t="s">
        <v>126</v>
      </c>
      <c r="Z63" s="94" t="s">
        <v>152</v>
      </c>
      <c r="AA63" s="36"/>
      <c r="AB63" s="36"/>
      <c r="AC63" s="204" t="s">
        <v>82</v>
      </c>
      <c r="AD63" s="96" t="s">
        <v>83</v>
      </c>
      <c r="AE63" s="37"/>
      <c r="AF63" s="97"/>
      <c r="AG63" s="12" t="s">
        <v>189</v>
      </c>
      <c r="AH63" s="12">
        <v>90.0</v>
      </c>
      <c r="AI63" s="12" t="s">
        <v>208</v>
      </c>
      <c r="AJ63" s="98" t="s">
        <v>43</v>
      </c>
      <c r="AK63" s="101" t="s">
        <v>91</v>
      </c>
      <c r="AL63" s="100" t="s">
        <v>41</v>
      </c>
      <c r="AM63" s="103" t="s">
        <v>92</v>
      </c>
      <c r="AN63" s="100" t="s">
        <v>39</v>
      </c>
      <c r="AO63" s="99" t="s">
        <v>93</v>
      </c>
      <c r="AP63" s="100" t="s">
        <v>37</v>
      </c>
      <c r="AQ63" s="99" t="s">
        <v>94</v>
      </c>
      <c r="AR63" s="100" t="s">
        <v>51</v>
      </c>
      <c r="AS63" s="101" t="s">
        <v>95</v>
      </c>
      <c r="AT63" s="100" t="s">
        <v>86</v>
      </c>
      <c r="AU63" s="99" t="s">
        <v>87</v>
      </c>
      <c r="AV63" s="100" t="s">
        <v>88</v>
      </c>
      <c r="AW63" s="101" t="s">
        <v>89</v>
      </c>
      <c r="AX63" s="100" t="s">
        <v>45</v>
      </c>
      <c r="AY63" s="102" t="s">
        <v>90</v>
      </c>
      <c r="AZ63" s="24"/>
    </row>
    <row r="64">
      <c r="A64" s="200" t="str">
        <f>A52</f>
        <v>เมษายน</v>
      </c>
      <c r="B64" s="193"/>
      <c r="C64" s="106" t="s">
        <v>217</v>
      </c>
      <c r="E64" s="162" t="s">
        <v>53</v>
      </c>
      <c r="G64" s="180" t="str">
        <f t="shared" si="78"/>
        <v>辰</v>
      </c>
      <c r="I64" s="142" t="str">
        <f t="shared" si="79"/>
        <v>午</v>
      </c>
      <c r="K64" s="36"/>
      <c r="L64" s="109">
        <f t="shared" si="80"/>
        <v>1000</v>
      </c>
      <c r="M64" s="9">
        <v>0.0</v>
      </c>
      <c r="N64" s="110">
        <v>0.0</v>
      </c>
      <c r="O64" s="9">
        <v>100.0</v>
      </c>
      <c r="P64" s="9">
        <v>100.0</v>
      </c>
      <c r="Q64" s="9">
        <v>100.0</v>
      </c>
      <c r="R64" s="110">
        <v>100.0</v>
      </c>
      <c r="S64" s="9">
        <v>100.0</v>
      </c>
      <c r="T64" s="110">
        <v>100.0</v>
      </c>
      <c r="U64" s="9">
        <v>100.0</v>
      </c>
      <c r="V64" s="110">
        <v>100.0</v>
      </c>
      <c r="W64" s="9">
        <v>100.0</v>
      </c>
      <c r="X64" s="110">
        <v>100.0</v>
      </c>
      <c r="Y64" s="73" t="s">
        <v>69</v>
      </c>
      <c r="Z64" s="94" t="s">
        <v>163</v>
      </c>
      <c r="AA64" s="36"/>
      <c r="AB64" s="36"/>
      <c r="AC64" s="111"/>
      <c r="AD64" s="112"/>
      <c r="AE64" s="37"/>
      <c r="AF64" s="97"/>
      <c r="AG64" s="14"/>
      <c r="AH64" s="14"/>
      <c r="AI64" s="14"/>
      <c r="AJ64" s="113"/>
      <c r="AK64" s="105" t="s">
        <v>103</v>
      </c>
      <c r="AM64" s="104" t="s">
        <v>104</v>
      </c>
      <c r="AO64" s="104" t="s">
        <v>105</v>
      </c>
      <c r="AQ64" s="104" t="s">
        <v>106</v>
      </c>
      <c r="AS64" s="105" t="s">
        <v>107</v>
      </c>
      <c r="AU64" s="104" t="s">
        <v>100</v>
      </c>
      <c r="AW64" s="114" t="s">
        <v>101</v>
      </c>
      <c r="AY64" s="105" t="s">
        <v>102</v>
      </c>
      <c r="AZ64" s="24"/>
    </row>
    <row r="65">
      <c r="A65" s="192">
        <f>A10</f>
        <v>2569</v>
      </c>
      <c r="B65" s="193"/>
      <c r="E65" s="115" t="s">
        <v>219</v>
      </c>
      <c r="F65" s="116" t="s">
        <v>218</v>
      </c>
      <c r="G65" s="115" t="str">
        <f t="shared" ref="G65:H65" si="81">G41</f>
        <v>A9</v>
      </c>
      <c r="H65" s="9" t="str">
        <f t="shared" si="81"/>
        <v>B9</v>
      </c>
      <c r="I65" s="9" t="str">
        <f t="shared" ref="I65:J65" si="82">I35</f>
        <v>A5</v>
      </c>
      <c r="J65" s="9" t="str">
        <f t="shared" si="82"/>
        <v>B11</v>
      </c>
      <c r="K65" s="36"/>
      <c r="L65" s="117"/>
      <c r="M65" s="118" t="str">
        <f t="shared" ref="M65:P65" si="83">C65</f>
        <v/>
      </c>
      <c r="N65" s="119" t="str">
        <f t="shared" si="83"/>
        <v/>
      </c>
      <c r="O65" s="118" t="str">
        <f t="shared" si="83"/>
        <v>A3</v>
      </c>
      <c r="P65" s="118" t="str">
        <f t="shared" si="83"/>
        <v>B10</v>
      </c>
      <c r="Q65" s="118" t="str">
        <f t="shared" ref="Q65:R65" si="84">E66</f>
        <v>B4</v>
      </c>
      <c r="R65" s="119" t="str">
        <f t="shared" si="84"/>
        <v>C10</v>
      </c>
      <c r="S65" s="9" t="s">
        <v>198</v>
      </c>
      <c r="T65" s="110" t="s">
        <v>165</v>
      </c>
      <c r="U65" s="9" t="str">
        <f t="shared" ref="U65:X65" si="85">G65</f>
        <v>A9</v>
      </c>
      <c r="V65" s="119" t="str">
        <f t="shared" si="85"/>
        <v>B9</v>
      </c>
      <c r="W65" s="118" t="str">
        <f t="shared" si="85"/>
        <v>A5</v>
      </c>
      <c r="X65" s="120" t="str">
        <f t="shared" si="85"/>
        <v>B11</v>
      </c>
      <c r="Y65" s="73" t="s">
        <v>80</v>
      </c>
      <c r="Z65" s="94" t="s">
        <v>117</v>
      </c>
      <c r="AA65" s="36"/>
      <c r="AB65" s="36"/>
      <c r="AC65" s="111"/>
      <c r="AD65" s="112"/>
      <c r="AE65" s="37"/>
      <c r="AF65" s="97"/>
      <c r="AG65" s="14"/>
      <c r="AH65" s="14"/>
      <c r="AI65" s="14"/>
      <c r="AJ65" s="113"/>
      <c r="AK65" s="105" t="s">
        <v>121</v>
      </c>
      <c r="AM65" s="104" t="s">
        <v>122</v>
      </c>
      <c r="AO65" s="104" t="s">
        <v>123</v>
      </c>
      <c r="AQ65" s="104" t="s">
        <v>124</v>
      </c>
      <c r="AS65" s="105" t="s">
        <v>125</v>
      </c>
      <c r="AU65" s="104" t="s">
        <v>118</v>
      </c>
      <c r="AW65" s="114" t="s">
        <v>119</v>
      </c>
      <c r="AY65" s="105" t="s">
        <v>120</v>
      </c>
      <c r="AZ65" s="24"/>
    </row>
    <row r="66">
      <c r="A66" s="192">
        <f>A65-543</f>
        <v>2026</v>
      </c>
      <c r="B66" s="193"/>
      <c r="C66" s="106"/>
      <c r="D66" s="106"/>
      <c r="E66" s="115" t="s">
        <v>109</v>
      </c>
      <c r="F66" s="116" t="s">
        <v>232</v>
      </c>
      <c r="G66" s="115"/>
      <c r="H66" s="118"/>
      <c r="I66" s="118"/>
      <c r="J66" s="118"/>
      <c r="K66" s="36"/>
      <c r="L66" s="117"/>
      <c r="M66" s="326"/>
      <c r="N66" s="327"/>
      <c r="R66" s="117"/>
      <c r="T66" s="117"/>
      <c r="V66" s="117"/>
      <c r="X66" s="117"/>
      <c r="Y66" s="73" t="s">
        <v>98</v>
      </c>
      <c r="Z66" s="94" t="s">
        <v>128</v>
      </c>
      <c r="AA66" s="36"/>
      <c r="AB66" s="36"/>
      <c r="AC66" s="111"/>
      <c r="AD66" s="112"/>
      <c r="AE66" s="37"/>
      <c r="AF66" s="97"/>
      <c r="AG66" s="14"/>
      <c r="AH66" s="14"/>
      <c r="AI66" s="14"/>
      <c r="AJ66" s="113"/>
      <c r="AK66" s="105" t="s">
        <v>132</v>
      </c>
      <c r="AM66" s="104" t="s">
        <v>133</v>
      </c>
      <c r="AO66" s="104" t="s">
        <v>134</v>
      </c>
      <c r="AQ66" s="104" t="s">
        <v>135</v>
      </c>
      <c r="AS66" s="105" t="s">
        <v>136</v>
      </c>
      <c r="AU66" s="104" t="s">
        <v>129</v>
      </c>
      <c r="AW66" s="114" t="s">
        <v>130</v>
      </c>
      <c r="AY66" s="105" t="s">
        <v>131</v>
      </c>
      <c r="AZ66" s="24"/>
    </row>
    <row r="67">
      <c r="A67" s="329"/>
      <c r="B67" s="206"/>
      <c r="C67" s="123"/>
      <c r="D67" s="123"/>
      <c r="E67" s="198" t="s">
        <v>168</v>
      </c>
      <c r="F67" s="88"/>
      <c r="G67" s="207" t="str">
        <f>G5:H5</f>
        <v>อสูรเดือน S</v>
      </c>
      <c r="I67" s="208" t="str">
        <f>I5:J5</f>
        <v>อสูรปี N</v>
      </c>
      <c r="K67" s="36"/>
      <c r="L67" s="117"/>
      <c r="M67" s="128"/>
      <c r="N67" s="117"/>
      <c r="R67" s="117"/>
      <c r="S67" s="8"/>
      <c r="T67" s="121"/>
      <c r="V67" s="117"/>
      <c r="X67" s="117"/>
      <c r="Y67" s="127"/>
      <c r="Z67" s="155"/>
      <c r="AA67" s="36"/>
      <c r="AB67" s="36"/>
      <c r="AC67" s="111"/>
      <c r="AD67" s="112"/>
      <c r="AE67" s="37"/>
      <c r="AF67" s="97"/>
      <c r="AG67" s="14"/>
      <c r="AH67" s="14"/>
      <c r="AI67" s="14"/>
      <c r="AJ67" s="113"/>
      <c r="AQ67" s="128"/>
      <c r="AZ67" s="24"/>
    </row>
    <row r="68">
      <c r="A68" s="330"/>
      <c r="B68" s="206"/>
      <c r="C68" s="123"/>
      <c r="D68" s="123"/>
      <c r="E68" s="271"/>
      <c r="F68" s="88"/>
      <c r="G68" s="283"/>
      <c r="I68" s="284"/>
      <c r="J68" s="284"/>
      <c r="K68" s="36"/>
      <c r="L68" s="117"/>
      <c r="M68" s="128"/>
      <c r="N68" s="117"/>
      <c r="R68" s="117"/>
      <c r="S68" s="8"/>
      <c r="T68" s="121"/>
      <c r="V68" s="117"/>
      <c r="X68" s="117"/>
      <c r="Y68" s="127"/>
      <c r="Z68" s="155"/>
      <c r="AA68" s="36"/>
      <c r="AB68" s="36"/>
      <c r="AC68" s="111"/>
      <c r="AD68" s="112"/>
      <c r="AE68" s="37"/>
      <c r="AF68" s="97"/>
      <c r="AG68" s="14"/>
      <c r="AH68" s="14"/>
      <c r="AI68" s="14"/>
      <c r="AJ68" s="113"/>
      <c r="AQ68" s="128"/>
      <c r="AZ68" s="24"/>
    </row>
    <row r="69">
      <c r="A69" s="188" t="s">
        <v>139</v>
      </c>
      <c r="B69" s="189"/>
      <c r="C69" s="63"/>
      <c r="D69" s="63"/>
      <c r="E69" s="64">
        <f>(O70+P70+Q70+R70)/(O71+P71+Q71+R71)</f>
        <v>0.65</v>
      </c>
      <c r="F69" s="65"/>
      <c r="G69" s="133"/>
      <c r="H69" s="72"/>
      <c r="I69" s="67"/>
      <c r="J69" s="72"/>
      <c r="K69" s="68"/>
      <c r="L69" s="69"/>
      <c r="M69" s="63" t="s">
        <v>64</v>
      </c>
      <c r="N69" s="70"/>
      <c r="O69" s="71" t="s">
        <v>65</v>
      </c>
      <c r="P69" s="72"/>
      <c r="Q69" s="72"/>
      <c r="R69" s="70"/>
      <c r="S69" s="71" t="s">
        <v>66</v>
      </c>
      <c r="T69" s="70"/>
      <c r="U69" s="71" t="s">
        <v>67</v>
      </c>
      <c r="V69" s="70"/>
      <c r="W69" s="71" t="s">
        <v>68</v>
      </c>
      <c r="X69" s="70"/>
      <c r="Y69" s="134" t="s">
        <v>80</v>
      </c>
      <c r="Z69" s="74" t="s">
        <v>170</v>
      </c>
      <c r="AA69" s="75" t="s">
        <v>71</v>
      </c>
      <c r="AB69" s="75" t="s">
        <v>72</v>
      </c>
      <c r="AC69" s="135" t="s">
        <v>142</v>
      </c>
      <c r="AD69" s="74" t="s">
        <v>143</v>
      </c>
      <c r="AE69" s="63" t="s">
        <v>35</v>
      </c>
      <c r="AF69" s="78" t="s">
        <v>34</v>
      </c>
      <c r="AG69" s="79" t="s">
        <v>71</v>
      </c>
      <c r="AH69" s="79">
        <v>210.0</v>
      </c>
      <c r="AI69" s="79" t="s">
        <v>175</v>
      </c>
      <c r="AJ69" s="80" t="str">
        <f>AJ62</f>
        <v>開</v>
      </c>
      <c r="AK69" s="81" t="s">
        <v>38</v>
      </c>
      <c r="AL69" s="82" t="str">
        <f>AL62</f>
        <v>休</v>
      </c>
      <c r="AM69" s="81" t="s">
        <v>40</v>
      </c>
      <c r="AN69" s="82" t="s">
        <v>4</v>
      </c>
      <c r="AO69" s="81" t="s">
        <v>42</v>
      </c>
      <c r="AP69" s="82" t="str">
        <f>AP62</f>
        <v>傷</v>
      </c>
      <c r="AQ69" s="81" t="s">
        <v>44</v>
      </c>
      <c r="AR69" s="82" t="s">
        <v>8</v>
      </c>
      <c r="AS69" s="81" t="s">
        <v>46</v>
      </c>
      <c r="AT69" s="82" t="str">
        <f>AT62</f>
        <v>景</v>
      </c>
      <c r="AU69" s="81" t="s">
        <v>48</v>
      </c>
      <c r="AV69" s="82" t="str">
        <f>AV62</f>
        <v>死</v>
      </c>
      <c r="AW69" s="81" t="s">
        <v>50</v>
      </c>
      <c r="AX69" s="82" t="str">
        <f>AX62</f>
        <v>驚</v>
      </c>
      <c r="AY69" s="81" t="s">
        <v>52</v>
      </c>
      <c r="AZ69" s="83"/>
      <c r="BA69" s="84"/>
      <c r="BB69" s="84"/>
      <c r="BC69" s="84"/>
    </row>
    <row r="70">
      <c r="A70" s="192">
        <f>A63+1</f>
        <v>10</v>
      </c>
      <c r="B70" s="193"/>
      <c r="C70" s="12" t="s">
        <v>265</v>
      </c>
      <c r="E70" s="87" t="s">
        <v>222</v>
      </c>
      <c r="G70" s="324" t="str">
        <f t="shared" ref="G70:G71" si="88">G3:H3</f>
        <v>壬</v>
      </c>
      <c r="I70" s="275" t="str">
        <f t="shared" ref="I70:I71" si="89">I33:J33</f>
        <v>丙</v>
      </c>
      <c r="K70" s="90">
        <f>L70/L71</f>
        <v>0.58</v>
      </c>
      <c r="L70" s="126">
        <f t="shared" ref="L70:L71" si="90">O70+P70+Q70+U70+V70+W70+X70+R70+M70+N70+S70+T70</f>
        <v>580</v>
      </c>
      <c r="M70" s="92">
        <v>0.0</v>
      </c>
      <c r="N70" s="93">
        <v>0.0</v>
      </c>
      <c r="O70" s="92">
        <v>100.0</v>
      </c>
      <c r="P70" s="92">
        <v>60.0</v>
      </c>
      <c r="Q70" s="92">
        <v>20.0</v>
      </c>
      <c r="R70" s="93">
        <v>80.0</v>
      </c>
      <c r="S70" s="92">
        <v>20.0</v>
      </c>
      <c r="T70" s="93">
        <v>35.0</v>
      </c>
      <c r="U70" s="92">
        <f t="shared" ref="U70:V70" si="86">U39</f>
        <v>45</v>
      </c>
      <c r="V70" s="93">
        <f t="shared" si="86"/>
        <v>50</v>
      </c>
      <c r="W70" s="92">
        <f t="shared" ref="W70:X70" si="87">W33</f>
        <v>110</v>
      </c>
      <c r="X70" s="93">
        <f t="shared" si="87"/>
        <v>60</v>
      </c>
      <c r="Y70" s="73" t="s">
        <v>98</v>
      </c>
      <c r="Z70" s="25" t="s">
        <v>70</v>
      </c>
      <c r="AA70" s="276" t="s">
        <v>53</v>
      </c>
      <c r="AB70" s="277" t="s">
        <v>245</v>
      </c>
      <c r="AC70" s="278" t="s">
        <v>148</v>
      </c>
      <c r="AD70" s="96" t="s">
        <v>149</v>
      </c>
      <c r="AE70" s="37"/>
      <c r="AF70" s="97"/>
      <c r="AG70" s="12" t="s">
        <v>53</v>
      </c>
      <c r="AH70" s="12">
        <v>30.0</v>
      </c>
      <c r="AI70" s="12" t="s">
        <v>178</v>
      </c>
      <c r="AJ70" s="98" t="s">
        <v>86</v>
      </c>
      <c r="AK70" s="99" t="s">
        <v>87</v>
      </c>
      <c r="AL70" s="100" t="s">
        <v>88</v>
      </c>
      <c r="AM70" s="101" t="s">
        <v>89</v>
      </c>
      <c r="AN70" s="100" t="s">
        <v>45</v>
      </c>
      <c r="AO70" s="102" t="s">
        <v>90</v>
      </c>
      <c r="AP70" s="100" t="s">
        <v>43</v>
      </c>
      <c r="AQ70" s="101" t="s">
        <v>91</v>
      </c>
      <c r="AR70" s="100" t="s">
        <v>41</v>
      </c>
      <c r="AS70" s="103" t="s">
        <v>92</v>
      </c>
      <c r="AT70" s="100" t="s">
        <v>39</v>
      </c>
      <c r="AU70" s="99" t="s">
        <v>93</v>
      </c>
      <c r="AV70" s="100" t="s">
        <v>37</v>
      </c>
      <c r="AW70" s="99" t="s">
        <v>94</v>
      </c>
      <c r="AX70" s="100" t="s">
        <v>51</v>
      </c>
      <c r="AY70" s="101" t="s">
        <v>95</v>
      </c>
      <c r="AZ70" s="24"/>
    </row>
    <row r="71">
      <c r="A71" s="200" t="str">
        <f>G2</f>
        <v>เมษายน</v>
      </c>
      <c r="B71" s="193"/>
      <c r="C71" s="161" t="s">
        <v>223</v>
      </c>
      <c r="E71" s="218" t="s">
        <v>180</v>
      </c>
      <c r="G71" s="180" t="str">
        <f t="shared" si="88"/>
        <v>辰</v>
      </c>
      <c r="I71" s="142" t="str">
        <f t="shared" si="89"/>
        <v>午</v>
      </c>
      <c r="K71" s="36"/>
      <c r="L71" s="109">
        <f t="shared" si="90"/>
        <v>1000</v>
      </c>
      <c r="M71" s="9">
        <v>0.0</v>
      </c>
      <c r="N71" s="110">
        <v>0.0</v>
      </c>
      <c r="O71" s="9">
        <v>100.0</v>
      </c>
      <c r="P71" s="9">
        <v>100.0</v>
      </c>
      <c r="Q71" s="9">
        <v>100.0</v>
      </c>
      <c r="R71" s="110">
        <v>100.0</v>
      </c>
      <c r="S71" s="9">
        <v>100.0</v>
      </c>
      <c r="T71" s="110">
        <v>100.0</v>
      </c>
      <c r="U71" s="9">
        <v>100.0</v>
      </c>
      <c r="V71" s="110">
        <v>100.0</v>
      </c>
      <c r="W71" s="9">
        <v>100.0</v>
      </c>
      <c r="X71" s="110">
        <v>100.0</v>
      </c>
      <c r="Y71" s="73" t="s">
        <v>116</v>
      </c>
      <c r="Z71" s="94" t="s">
        <v>181</v>
      </c>
      <c r="AA71" s="36"/>
      <c r="AB71" s="36"/>
      <c r="AC71" s="111"/>
      <c r="AD71" s="112"/>
      <c r="AE71" s="37"/>
      <c r="AF71" s="97"/>
      <c r="AG71" s="14"/>
      <c r="AH71" s="14"/>
      <c r="AI71" s="14"/>
      <c r="AJ71" s="113"/>
      <c r="AK71" s="104" t="s">
        <v>100</v>
      </c>
      <c r="AM71" s="114" t="s">
        <v>101</v>
      </c>
      <c r="AO71" s="105" t="s">
        <v>102</v>
      </c>
      <c r="AQ71" s="105" t="s">
        <v>103</v>
      </c>
      <c r="AS71" s="104" t="s">
        <v>104</v>
      </c>
      <c r="AU71" s="104" t="s">
        <v>105</v>
      </c>
      <c r="AW71" s="104" t="s">
        <v>106</v>
      </c>
      <c r="AY71" s="105" t="s">
        <v>107</v>
      </c>
      <c r="AZ71" s="24"/>
    </row>
    <row r="72">
      <c r="A72" s="192">
        <f>A10</f>
        <v>2569</v>
      </c>
      <c r="B72" s="193"/>
      <c r="E72" s="115" t="s">
        <v>213</v>
      </c>
      <c r="F72" s="116" t="s">
        <v>214</v>
      </c>
      <c r="G72" s="115" t="str">
        <f t="shared" ref="G72:H72" si="91">G41</f>
        <v>A9</v>
      </c>
      <c r="H72" s="9" t="str">
        <f t="shared" si="91"/>
        <v>B9</v>
      </c>
      <c r="I72" s="9" t="str">
        <f t="shared" ref="I72:J72" si="92">I35</f>
        <v>A5</v>
      </c>
      <c r="J72" s="9" t="str">
        <f t="shared" si="92"/>
        <v>B11</v>
      </c>
      <c r="K72" s="36"/>
      <c r="L72" s="117"/>
      <c r="M72" s="118" t="str">
        <f t="shared" ref="M72:P72" si="93">C72</f>
        <v/>
      </c>
      <c r="N72" s="119" t="str">
        <f t="shared" si="93"/>
        <v/>
      </c>
      <c r="O72" s="118" t="str">
        <f t="shared" si="93"/>
        <v>A4</v>
      </c>
      <c r="P72" s="118" t="str">
        <f t="shared" si="93"/>
        <v>B11</v>
      </c>
      <c r="Q72" s="118" t="str">
        <f t="shared" ref="Q72:R72" si="94">E73</f>
        <v>B3</v>
      </c>
      <c r="R72" s="119" t="str">
        <f t="shared" si="94"/>
        <v>C11</v>
      </c>
      <c r="S72" s="9" t="s">
        <v>115</v>
      </c>
      <c r="T72" s="110" t="s">
        <v>198</v>
      </c>
      <c r="U72" s="9" t="str">
        <f t="shared" ref="U72:X72" si="95">G72</f>
        <v>A9</v>
      </c>
      <c r="V72" s="119" t="str">
        <f t="shared" si="95"/>
        <v>B9</v>
      </c>
      <c r="W72" s="118" t="str">
        <f t="shared" si="95"/>
        <v>A5</v>
      </c>
      <c r="X72" s="120" t="str">
        <f t="shared" si="95"/>
        <v>B11</v>
      </c>
      <c r="Y72" s="73" t="s">
        <v>126</v>
      </c>
      <c r="Z72" s="94" t="s">
        <v>163</v>
      </c>
      <c r="AA72" s="36"/>
      <c r="AB72" s="36"/>
      <c r="AC72" s="111"/>
      <c r="AD72" s="112"/>
      <c r="AE72" s="37"/>
      <c r="AF72" s="97"/>
      <c r="AG72" s="14"/>
      <c r="AH72" s="14"/>
      <c r="AI72" s="14"/>
      <c r="AJ72" s="113"/>
      <c r="AK72" s="104" t="s">
        <v>118</v>
      </c>
      <c r="AM72" s="114" t="s">
        <v>119</v>
      </c>
      <c r="AO72" s="105" t="s">
        <v>120</v>
      </c>
      <c r="AQ72" s="105" t="s">
        <v>121</v>
      </c>
      <c r="AS72" s="104" t="s">
        <v>122</v>
      </c>
      <c r="AU72" s="104" t="s">
        <v>123</v>
      </c>
      <c r="AW72" s="104" t="s">
        <v>124</v>
      </c>
      <c r="AY72" s="105" t="s">
        <v>125</v>
      </c>
      <c r="AZ72" s="24"/>
    </row>
    <row r="73">
      <c r="A73" s="192">
        <f>A72-543</f>
        <v>2026</v>
      </c>
      <c r="B73" s="193"/>
      <c r="C73" s="331" t="s">
        <v>166</v>
      </c>
      <c r="E73" s="115" t="s">
        <v>183</v>
      </c>
      <c r="F73" s="116" t="s">
        <v>236</v>
      </c>
      <c r="G73" s="115"/>
      <c r="H73" s="118"/>
      <c r="I73" s="118"/>
      <c r="J73" s="118"/>
      <c r="K73" s="36"/>
      <c r="L73" s="117"/>
      <c r="M73" s="326"/>
      <c r="N73" s="327"/>
      <c r="R73" s="117"/>
      <c r="T73" s="117"/>
      <c r="V73" s="117"/>
      <c r="X73" s="117"/>
      <c r="Y73" s="73" t="s">
        <v>69</v>
      </c>
      <c r="Z73" s="94" t="s">
        <v>99</v>
      </c>
      <c r="AA73" s="36"/>
      <c r="AB73" s="36"/>
      <c r="AC73" s="111"/>
      <c r="AD73" s="112"/>
      <c r="AE73" s="37"/>
      <c r="AF73" s="97"/>
      <c r="AG73" s="14"/>
      <c r="AH73" s="14"/>
      <c r="AI73" s="14"/>
      <c r="AJ73" s="113"/>
      <c r="AK73" s="104" t="s">
        <v>129</v>
      </c>
      <c r="AM73" s="114" t="s">
        <v>130</v>
      </c>
      <c r="AO73" s="105" t="s">
        <v>131</v>
      </c>
      <c r="AQ73" s="105" t="s">
        <v>132</v>
      </c>
      <c r="AS73" s="104" t="s">
        <v>133</v>
      </c>
      <c r="AU73" s="104" t="s">
        <v>134</v>
      </c>
      <c r="AW73" s="104" t="s">
        <v>135</v>
      </c>
      <c r="AY73" s="105" t="s">
        <v>136</v>
      </c>
      <c r="AZ73" s="24"/>
    </row>
    <row r="74">
      <c r="A74" s="113"/>
      <c r="B74" s="206"/>
      <c r="C74" s="123"/>
      <c r="D74" s="123"/>
      <c r="E74" s="176" t="s">
        <v>185</v>
      </c>
      <c r="F74" s="88"/>
      <c r="G74" s="210" t="str">
        <f>G5:H5</f>
        <v>อสูรเดือน S</v>
      </c>
      <c r="I74" s="211" t="str">
        <f>I5:J5</f>
        <v>อสูรปี N</v>
      </c>
      <c r="K74" s="36"/>
      <c r="L74" s="117"/>
      <c r="M74" s="326"/>
      <c r="N74" s="327"/>
      <c r="R74" s="117"/>
      <c r="S74" s="8"/>
      <c r="T74" s="121"/>
      <c r="V74" s="117"/>
      <c r="X74" s="117"/>
      <c r="Y74" s="127"/>
      <c r="Z74" s="155"/>
      <c r="AA74" s="36"/>
      <c r="AB74" s="36"/>
      <c r="AC74" s="111"/>
      <c r="AD74" s="112"/>
      <c r="AE74" s="37"/>
      <c r="AF74" s="97"/>
      <c r="AG74" s="14"/>
      <c r="AH74" s="14"/>
      <c r="AI74" s="14"/>
      <c r="AJ74" s="113"/>
      <c r="AK74" s="128"/>
      <c r="AM74" s="128"/>
      <c r="AO74" s="128"/>
      <c r="AQ74" s="129"/>
      <c r="AS74" s="130"/>
      <c r="AU74" s="131"/>
      <c r="AW74" s="131"/>
      <c r="AY74" s="131"/>
      <c r="AZ74" s="24"/>
    </row>
    <row r="75">
      <c r="A75" s="188" t="s">
        <v>158</v>
      </c>
      <c r="B75" s="189"/>
      <c r="C75" s="63"/>
      <c r="D75" s="63"/>
      <c r="E75" s="64">
        <f>(O76+P76+Q76+R76)/(O77+P77+Q77+R77)</f>
        <v>0.55</v>
      </c>
      <c r="F75" s="65"/>
      <c r="G75" s="133"/>
      <c r="H75" s="72"/>
      <c r="I75" s="67"/>
      <c r="J75" s="72"/>
      <c r="K75" s="68"/>
      <c r="L75" s="69"/>
      <c r="M75" s="63" t="s">
        <v>64</v>
      </c>
      <c r="N75" s="70"/>
      <c r="O75" s="71" t="s">
        <v>65</v>
      </c>
      <c r="P75" s="72"/>
      <c r="Q75" s="72"/>
      <c r="R75" s="70"/>
      <c r="S75" s="71" t="s">
        <v>66</v>
      </c>
      <c r="T75" s="70"/>
      <c r="U75" s="71" t="s">
        <v>67</v>
      </c>
      <c r="V75" s="70"/>
      <c r="W75" s="71" t="s">
        <v>68</v>
      </c>
      <c r="X75" s="70"/>
      <c r="Y75" s="134" t="s">
        <v>80</v>
      </c>
      <c r="Z75" s="74" t="s">
        <v>159</v>
      </c>
      <c r="AA75" s="75" t="s">
        <v>206</v>
      </c>
      <c r="AB75" s="75" t="s">
        <v>207</v>
      </c>
      <c r="AC75" s="135" t="s">
        <v>142</v>
      </c>
      <c r="AD75" s="74" t="s">
        <v>143</v>
      </c>
      <c r="AE75" s="63" t="s">
        <v>35</v>
      </c>
      <c r="AF75" s="78" t="s">
        <v>75</v>
      </c>
      <c r="AG75" s="79" t="s">
        <v>76</v>
      </c>
      <c r="AH75" s="79">
        <v>240.0</v>
      </c>
      <c r="AI75" s="79" t="s">
        <v>77</v>
      </c>
      <c r="AJ75" s="80" t="str">
        <f>AJ69</f>
        <v>開</v>
      </c>
      <c r="AK75" s="81" t="s">
        <v>38</v>
      </c>
      <c r="AL75" s="82" t="str">
        <f>AL69</f>
        <v>休</v>
      </c>
      <c r="AM75" s="81" t="s">
        <v>40</v>
      </c>
      <c r="AN75" s="82" t="s">
        <v>4</v>
      </c>
      <c r="AO75" s="81" t="s">
        <v>42</v>
      </c>
      <c r="AP75" s="82" t="str">
        <f>AP69</f>
        <v>傷</v>
      </c>
      <c r="AQ75" s="81" t="s">
        <v>44</v>
      </c>
      <c r="AR75" s="82" t="s">
        <v>8</v>
      </c>
      <c r="AS75" s="81" t="s">
        <v>46</v>
      </c>
      <c r="AT75" s="82" t="str">
        <f>AT69</f>
        <v>景</v>
      </c>
      <c r="AU75" s="81" t="s">
        <v>48</v>
      </c>
      <c r="AV75" s="82" t="str">
        <f>AV69</f>
        <v>死</v>
      </c>
      <c r="AW75" s="81" t="s">
        <v>50</v>
      </c>
      <c r="AX75" s="82" t="str">
        <f>AX69</f>
        <v>驚</v>
      </c>
      <c r="AY75" s="81" t="s">
        <v>52</v>
      </c>
      <c r="AZ75" s="83"/>
      <c r="BA75" s="84"/>
      <c r="BB75" s="84"/>
      <c r="BC75" s="84"/>
    </row>
    <row r="76">
      <c r="A76" s="192">
        <f>A70+1</f>
        <v>11</v>
      </c>
      <c r="B76" s="193"/>
      <c r="C76" s="12" t="s">
        <v>265</v>
      </c>
      <c r="E76" s="87" t="s">
        <v>31</v>
      </c>
      <c r="G76" s="324" t="str">
        <f t="shared" ref="G76:G77" si="98">G3:H3</f>
        <v>壬</v>
      </c>
      <c r="I76" s="275" t="str">
        <f t="shared" ref="I76:I77" si="99">I33:J33</f>
        <v>丙</v>
      </c>
      <c r="K76" s="90">
        <f>L76/L77</f>
        <v>0.59</v>
      </c>
      <c r="L76" s="126">
        <f t="shared" ref="L76:L77" si="100">O76+P76+Q76+U76+V76+W76+X76+R76+M76+N76+S76+T76</f>
        <v>590</v>
      </c>
      <c r="M76" s="92">
        <v>0.0</v>
      </c>
      <c r="N76" s="93">
        <v>0.0</v>
      </c>
      <c r="O76" s="92">
        <v>100.0</v>
      </c>
      <c r="P76" s="92">
        <v>10.0</v>
      </c>
      <c r="Q76" s="92">
        <v>80.0</v>
      </c>
      <c r="R76" s="93">
        <v>30.0</v>
      </c>
      <c r="S76" s="92">
        <v>10.0</v>
      </c>
      <c r="T76" s="93">
        <v>95.0</v>
      </c>
      <c r="U76" s="92">
        <f t="shared" ref="U76:V76" si="96">U39</f>
        <v>45</v>
      </c>
      <c r="V76" s="93">
        <f t="shared" si="96"/>
        <v>50</v>
      </c>
      <c r="W76" s="92">
        <f t="shared" ref="W76:X76" si="97">W33</f>
        <v>110</v>
      </c>
      <c r="X76" s="93">
        <f t="shared" si="97"/>
        <v>60</v>
      </c>
      <c r="Y76" s="73" t="s">
        <v>98</v>
      </c>
      <c r="Z76" s="94" t="s">
        <v>152</v>
      </c>
      <c r="AA76" s="36"/>
      <c r="AB76" s="29"/>
      <c r="AC76" s="139" t="s">
        <v>148</v>
      </c>
      <c r="AD76" s="96" t="s">
        <v>149</v>
      </c>
      <c r="AE76" s="37"/>
      <c r="AF76" s="97"/>
      <c r="AG76" s="12" t="s">
        <v>84</v>
      </c>
      <c r="AH76" s="12">
        <v>0.0</v>
      </c>
      <c r="AI76" s="12" t="s">
        <v>85</v>
      </c>
      <c r="AJ76" s="98" t="s">
        <v>37</v>
      </c>
      <c r="AK76" s="99" t="s">
        <v>94</v>
      </c>
      <c r="AL76" s="100" t="s">
        <v>51</v>
      </c>
      <c r="AM76" s="101" t="s">
        <v>95</v>
      </c>
      <c r="AN76" s="100" t="s">
        <v>86</v>
      </c>
      <c r="AO76" s="99" t="s">
        <v>87</v>
      </c>
      <c r="AP76" s="100" t="s">
        <v>88</v>
      </c>
      <c r="AQ76" s="101" t="s">
        <v>89</v>
      </c>
      <c r="AR76" s="100" t="s">
        <v>45</v>
      </c>
      <c r="AS76" s="102" t="s">
        <v>90</v>
      </c>
      <c r="AT76" s="100" t="s">
        <v>43</v>
      </c>
      <c r="AU76" s="101" t="s">
        <v>91</v>
      </c>
      <c r="AV76" s="100" t="s">
        <v>41</v>
      </c>
      <c r="AW76" s="103" t="s">
        <v>92</v>
      </c>
      <c r="AX76" s="100" t="s">
        <v>39</v>
      </c>
      <c r="AY76" s="99" t="s">
        <v>93</v>
      </c>
      <c r="AZ76" s="24"/>
    </row>
    <row r="77">
      <c r="A77" s="200" t="str">
        <f>A52</f>
        <v>เมษายน</v>
      </c>
      <c r="B77" s="193"/>
      <c r="C77" s="332" t="s">
        <v>228</v>
      </c>
      <c r="E77" s="171" t="s">
        <v>189</v>
      </c>
      <c r="G77" s="180" t="str">
        <f t="shared" si="98"/>
        <v>辰</v>
      </c>
      <c r="I77" s="142" t="str">
        <f t="shared" si="99"/>
        <v>午</v>
      </c>
      <c r="K77" s="36"/>
      <c r="L77" s="109">
        <f t="shared" si="100"/>
        <v>1000</v>
      </c>
      <c r="M77" s="9">
        <v>0.0</v>
      </c>
      <c r="N77" s="110">
        <v>0.0</v>
      </c>
      <c r="O77" s="9">
        <v>100.0</v>
      </c>
      <c r="P77" s="9">
        <v>100.0</v>
      </c>
      <c r="Q77" s="9">
        <v>100.0</v>
      </c>
      <c r="R77" s="110">
        <v>100.0</v>
      </c>
      <c r="S77" s="9">
        <v>100.0</v>
      </c>
      <c r="T77" s="110">
        <v>100.0</v>
      </c>
      <c r="U77" s="9">
        <v>100.0</v>
      </c>
      <c r="V77" s="110">
        <v>100.0</v>
      </c>
      <c r="W77" s="9">
        <v>100.0</v>
      </c>
      <c r="X77" s="110">
        <v>100.0</v>
      </c>
      <c r="Y77" s="73" t="s">
        <v>116</v>
      </c>
      <c r="Z77" s="94" t="s">
        <v>81</v>
      </c>
      <c r="AA77" s="36"/>
      <c r="AB77" s="36"/>
      <c r="AC77" s="111"/>
      <c r="AD77" s="112"/>
      <c r="AE77" s="37"/>
      <c r="AF77" s="97"/>
      <c r="AG77" s="14"/>
      <c r="AH77" s="14"/>
      <c r="AI77" s="14"/>
      <c r="AJ77" s="113"/>
      <c r="AK77" s="104" t="s">
        <v>106</v>
      </c>
      <c r="AM77" s="105" t="s">
        <v>107</v>
      </c>
      <c r="AO77" s="104" t="s">
        <v>100</v>
      </c>
      <c r="AQ77" s="114" t="s">
        <v>101</v>
      </c>
      <c r="AS77" s="105" t="s">
        <v>102</v>
      </c>
      <c r="AU77" s="105" t="s">
        <v>103</v>
      </c>
      <c r="AW77" s="104" t="s">
        <v>104</v>
      </c>
      <c r="AY77" s="104" t="s">
        <v>105</v>
      </c>
      <c r="AZ77" s="24"/>
    </row>
    <row r="78">
      <c r="A78" s="192">
        <f>A10</f>
        <v>2569</v>
      </c>
      <c r="B78" s="193"/>
      <c r="E78" s="115" t="s">
        <v>213</v>
      </c>
      <c r="F78" s="116" t="s">
        <v>113</v>
      </c>
      <c r="G78" s="115" t="str">
        <f t="shared" ref="G78:H78" si="101">G41</f>
        <v>A9</v>
      </c>
      <c r="H78" s="9" t="str">
        <f t="shared" si="101"/>
        <v>B9</v>
      </c>
      <c r="I78" s="9" t="str">
        <f t="shared" ref="I78:J78" si="102">I35</f>
        <v>A5</v>
      </c>
      <c r="J78" s="9" t="str">
        <f t="shared" si="102"/>
        <v>B11</v>
      </c>
      <c r="K78" s="36"/>
      <c r="L78" s="117"/>
      <c r="M78" s="118" t="str">
        <f t="shared" ref="M78:P78" si="103">C78</f>
        <v/>
      </c>
      <c r="N78" s="119" t="str">
        <f t="shared" si="103"/>
        <v/>
      </c>
      <c r="O78" s="118" t="str">
        <f t="shared" si="103"/>
        <v>A4</v>
      </c>
      <c r="P78" s="118" t="str">
        <f t="shared" si="103"/>
        <v>B12</v>
      </c>
      <c r="Q78" s="118" t="str">
        <f t="shared" ref="Q78:R78" si="104">E79</f>
        <v>B2</v>
      </c>
      <c r="R78" s="119" t="str">
        <f t="shared" si="104"/>
        <v>C12</v>
      </c>
      <c r="S78" s="9" t="s">
        <v>108</v>
      </c>
      <c r="T78" s="110" t="s">
        <v>219</v>
      </c>
      <c r="U78" s="9" t="str">
        <f t="shared" ref="U78:X78" si="105">G78</f>
        <v>A9</v>
      </c>
      <c r="V78" s="119" t="str">
        <f t="shared" si="105"/>
        <v>B9</v>
      </c>
      <c r="W78" s="118" t="str">
        <f t="shared" si="105"/>
        <v>A5</v>
      </c>
      <c r="X78" s="120" t="str">
        <f t="shared" si="105"/>
        <v>B11</v>
      </c>
      <c r="Y78" s="73" t="s">
        <v>126</v>
      </c>
      <c r="Z78" s="94" t="s">
        <v>99</v>
      </c>
      <c r="AA78" s="36"/>
      <c r="AB78" s="36"/>
      <c r="AC78" s="111"/>
      <c r="AD78" s="112"/>
      <c r="AE78" s="37"/>
      <c r="AF78" s="97"/>
      <c r="AG78" s="14"/>
      <c r="AH78" s="14"/>
      <c r="AI78" s="14"/>
      <c r="AJ78" s="113"/>
      <c r="AK78" s="104" t="s">
        <v>124</v>
      </c>
      <c r="AM78" s="105" t="s">
        <v>125</v>
      </c>
      <c r="AO78" s="104" t="s">
        <v>118</v>
      </c>
      <c r="AQ78" s="114" t="s">
        <v>119</v>
      </c>
      <c r="AS78" s="105" t="s">
        <v>120</v>
      </c>
      <c r="AU78" s="105" t="s">
        <v>121</v>
      </c>
      <c r="AW78" s="104" t="s">
        <v>122</v>
      </c>
      <c r="AY78" s="104" t="s">
        <v>123</v>
      </c>
      <c r="AZ78" s="24"/>
    </row>
    <row r="79">
      <c r="A79" s="192">
        <f>A78-543</f>
        <v>2026</v>
      </c>
      <c r="B79" s="193"/>
      <c r="C79" s="163"/>
      <c r="E79" s="115" t="s">
        <v>98</v>
      </c>
      <c r="F79" s="116" t="s">
        <v>127</v>
      </c>
      <c r="G79" s="115"/>
      <c r="H79" s="118"/>
      <c r="I79" s="118"/>
      <c r="J79" s="118"/>
      <c r="K79" s="36"/>
      <c r="L79" s="117"/>
      <c r="M79" s="326"/>
      <c r="N79" s="327"/>
      <c r="R79" s="117"/>
      <c r="T79" s="117"/>
      <c r="V79" s="117"/>
      <c r="X79" s="117"/>
      <c r="Y79" s="73" t="s">
        <v>69</v>
      </c>
      <c r="Z79" s="94" t="s">
        <v>155</v>
      </c>
      <c r="AA79" s="36"/>
      <c r="AB79" s="36"/>
      <c r="AC79" s="111"/>
      <c r="AD79" s="112"/>
      <c r="AE79" s="37"/>
      <c r="AF79" s="97"/>
      <c r="AG79" s="14"/>
      <c r="AH79" s="14"/>
      <c r="AI79" s="14"/>
      <c r="AJ79" s="113"/>
      <c r="AK79" s="104" t="s">
        <v>135</v>
      </c>
      <c r="AM79" s="105" t="s">
        <v>136</v>
      </c>
      <c r="AO79" s="104" t="s">
        <v>129</v>
      </c>
      <c r="AQ79" s="114" t="s">
        <v>130</v>
      </c>
      <c r="AS79" s="105" t="s">
        <v>131</v>
      </c>
      <c r="AU79" s="105" t="s">
        <v>132</v>
      </c>
      <c r="AW79" s="104" t="s">
        <v>133</v>
      </c>
      <c r="AY79" s="104" t="s">
        <v>134</v>
      </c>
      <c r="AZ79" s="24"/>
    </row>
    <row r="80">
      <c r="A80" s="279"/>
      <c r="B80" s="206"/>
      <c r="C80" s="123"/>
      <c r="D80" s="123"/>
      <c r="E80" s="164" t="s">
        <v>137</v>
      </c>
      <c r="F80" s="88"/>
      <c r="G80" s="207" t="str">
        <f>G5:H5</f>
        <v>อสูรเดือน S</v>
      </c>
      <c r="I80" s="208" t="str">
        <f>I5:J5</f>
        <v>อสูรปี N</v>
      </c>
      <c r="K80" s="36"/>
      <c r="L80" s="117"/>
      <c r="M80" s="326"/>
      <c r="N80" s="327"/>
      <c r="R80" s="117"/>
      <c r="T80" s="117"/>
      <c r="V80" s="117"/>
      <c r="X80" s="117"/>
      <c r="Y80" s="127"/>
      <c r="Z80" s="155"/>
      <c r="AA80" s="36"/>
      <c r="AB80" s="36"/>
      <c r="AC80" s="111"/>
      <c r="AD80" s="112"/>
      <c r="AE80" s="37"/>
      <c r="AF80" s="97"/>
      <c r="AG80" s="14"/>
      <c r="AH80" s="14"/>
      <c r="AI80" s="14"/>
      <c r="AJ80" s="113"/>
      <c r="AO80" s="128"/>
      <c r="AZ80" s="24"/>
    </row>
    <row r="81">
      <c r="A81" s="188" t="s">
        <v>169</v>
      </c>
      <c r="B81" s="189"/>
      <c r="C81" s="63"/>
      <c r="D81" s="63"/>
      <c r="E81" s="216">
        <f>(O82+P82+Q82+R82)/(O83+P83+Q83+R83)</f>
        <v>0.8</v>
      </c>
      <c r="F81" s="65"/>
      <c r="G81" s="133"/>
      <c r="H81" s="72"/>
      <c r="I81" s="67"/>
      <c r="J81" s="72"/>
      <c r="K81" s="68"/>
      <c r="L81" s="69"/>
      <c r="M81" s="63" t="s">
        <v>64</v>
      </c>
      <c r="N81" s="70"/>
      <c r="O81" s="71" t="s">
        <v>65</v>
      </c>
      <c r="P81" s="72"/>
      <c r="Q81" s="72"/>
      <c r="R81" s="70"/>
      <c r="S81" s="71" t="s">
        <v>66</v>
      </c>
      <c r="T81" s="70"/>
      <c r="U81" s="71" t="s">
        <v>67</v>
      </c>
      <c r="V81" s="70"/>
      <c r="W81" s="71" t="s">
        <v>68</v>
      </c>
      <c r="X81" s="70"/>
      <c r="Y81" s="134" t="s">
        <v>80</v>
      </c>
      <c r="Z81" s="74" t="s">
        <v>181</v>
      </c>
      <c r="AA81" s="75" t="s">
        <v>32</v>
      </c>
      <c r="AB81" s="75" t="s">
        <v>33</v>
      </c>
      <c r="AC81" s="167" t="s">
        <v>173</v>
      </c>
      <c r="AD81" s="74" t="s">
        <v>174</v>
      </c>
      <c r="AE81" s="63" t="s">
        <v>75</v>
      </c>
      <c r="AF81" s="78" t="s">
        <v>144</v>
      </c>
      <c r="AG81" s="79" t="s">
        <v>32</v>
      </c>
      <c r="AH81" s="79">
        <v>270.0</v>
      </c>
      <c r="AI81" s="79" t="s">
        <v>145</v>
      </c>
      <c r="AJ81" s="80" t="str">
        <f>AJ75</f>
        <v>開</v>
      </c>
      <c r="AK81" s="81" t="s">
        <v>40</v>
      </c>
      <c r="AL81" s="82" t="str">
        <f>AL75</f>
        <v>休</v>
      </c>
      <c r="AM81" s="81" t="s">
        <v>42</v>
      </c>
      <c r="AN81" s="82" t="s">
        <v>4</v>
      </c>
      <c r="AO81" s="81" t="s">
        <v>44</v>
      </c>
      <c r="AP81" s="82" t="str">
        <f>AP75</f>
        <v>傷</v>
      </c>
      <c r="AQ81" s="81" t="s">
        <v>46</v>
      </c>
      <c r="AR81" s="82" t="s">
        <v>8</v>
      </c>
      <c r="AS81" s="81" t="s">
        <v>48</v>
      </c>
      <c r="AT81" s="82" t="str">
        <f>AT75</f>
        <v>景</v>
      </c>
      <c r="AU81" s="81" t="s">
        <v>50</v>
      </c>
      <c r="AV81" s="82" t="str">
        <f>AV75</f>
        <v>死</v>
      </c>
      <c r="AW81" s="81" t="s">
        <v>52</v>
      </c>
      <c r="AX81" s="82" t="str">
        <f>AX75</f>
        <v>驚</v>
      </c>
      <c r="AY81" s="81" t="s">
        <v>38</v>
      </c>
      <c r="AZ81" s="83"/>
      <c r="BA81" s="84"/>
      <c r="BB81" s="84"/>
      <c r="BC81" s="84"/>
    </row>
    <row r="82">
      <c r="A82" s="192">
        <f>A76+1</f>
        <v>12</v>
      </c>
      <c r="B82" s="193"/>
      <c r="C82" s="12" t="s">
        <v>260</v>
      </c>
      <c r="E82" s="214" t="s">
        <v>147</v>
      </c>
      <c r="G82" s="324" t="str">
        <f t="shared" ref="G82:G83" si="108">G3:H3</f>
        <v>壬</v>
      </c>
      <c r="I82" s="275" t="str">
        <f t="shared" ref="I82:I83" si="109">I33:J33</f>
        <v>丙</v>
      </c>
      <c r="K82" s="90">
        <f>L82/L83</f>
        <v>0.715</v>
      </c>
      <c r="L82" s="126">
        <f t="shared" ref="L82:L83" si="110">O82+P82+Q82+U82+V82+W82+X82+R82+M82+N82+S82+T82</f>
        <v>715</v>
      </c>
      <c r="M82" s="92">
        <v>0.0</v>
      </c>
      <c r="N82" s="93">
        <v>0.0</v>
      </c>
      <c r="O82" s="92">
        <v>90.0</v>
      </c>
      <c r="P82" s="92">
        <v>90.0</v>
      </c>
      <c r="Q82" s="92">
        <v>90.0</v>
      </c>
      <c r="R82" s="93">
        <v>50.0</v>
      </c>
      <c r="S82" s="92">
        <v>45.0</v>
      </c>
      <c r="T82" s="93">
        <v>85.0</v>
      </c>
      <c r="U82" s="92">
        <f t="shared" ref="U82:V82" si="106">U39</f>
        <v>45</v>
      </c>
      <c r="V82" s="93">
        <f t="shared" si="106"/>
        <v>50</v>
      </c>
      <c r="W82" s="92">
        <f t="shared" ref="W82:X82" si="107">W33</f>
        <v>110</v>
      </c>
      <c r="X82" s="93">
        <f t="shared" si="107"/>
        <v>60</v>
      </c>
      <c r="Y82" s="73" t="s">
        <v>98</v>
      </c>
      <c r="Z82" s="94" t="s">
        <v>163</v>
      </c>
      <c r="AA82" s="36"/>
      <c r="AB82" s="29" t="s">
        <v>234</v>
      </c>
      <c r="AC82" s="170" t="s">
        <v>73</v>
      </c>
      <c r="AD82" s="25" t="s">
        <v>74</v>
      </c>
      <c r="AE82" s="97"/>
      <c r="AF82" s="97"/>
      <c r="AG82" s="12" t="s">
        <v>97</v>
      </c>
      <c r="AH82" s="12">
        <v>330.0</v>
      </c>
      <c r="AI82" s="12" t="s">
        <v>150</v>
      </c>
      <c r="AJ82" s="98" t="s">
        <v>86</v>
      </c>
      <c r="AK82" s="99" t="s">
        <v>87</v>
      </c>
      <c r="AL82" s="100" t="s">
        <v>88</v>
      </c>
      <c r="AM82" s="101" t="s">
        <v>89</v>
      </c>
      <c r="AN82" s="100" t="s">
        <v>45</v>
      </c>
      <c r="AO82" s="102" t="s">
        <v>90</v>
      </c>
      <c r="AP82" s="100" t="s">
        <v>43</v>
      </c>
      <c r="AQ82" s="101" t="s">
        <v>91</v>
      </c>
      <c r="AR82" s="100" t="s">
        <v>41</v>
      </c>
      <c r="AS82" s="103" t="s">
        <v>92</v>
      </c>
      <c r="AT82" s="100" t="s">
        <v>39</v>
      </c>
      <c r="AU82" s="99" t="s">
        <v>93</v>
      </c>
      <c r="AV82" s="100" t="s">
        <v>37</v>
      </c>
      <c r="AW82" s="99" t="s">
        <v>94</v>
      </c>
      <c r="AX82" s="100" t="s">
        <v>51</v>
      </c>
      <c r="AY82" s="101" t="s">
        <v>95</v>
      </c>
      <c r="AZ82" s="24"/>
    </row>
    <row r="83">
      <c r="A83" s="215" t="str">
        <f>G2</f>
        <v>เมษายน</v>
      </c>
      <c r="B83" s="193"/>
      <c r="C83" s="140" t="s">
        <v>231</v>
      </c>
      <c r="E83" s="162" t="s">
        <v>197</v>
      </c>
      <c r="G83" s="180" t="str">
        <f t="shared" si="108"/>
        <v>辰</v>
      </c>
      <c r="I83" s="142" t="str">
        <f t="shared" si="109"/>
        <v>午</v>
      </c>
      <c r="K83" s="36"/>
      <c r="L83" s="109">
        <f t="shared" si="110"/>
        <v>1000</v>
      </c>
      <c r="M83" s="9">
        <v>0.0</v>
      </c>
      <c r="N83" s="110">
        <v>0.0</v>
      </c>
      <c r="O83" s="9">
        <v>100.0</v>
      </c>
      <c r="P83" s="9">
        <v>100.0</v>
      </c>
      <c r="Q83" s="9">
        <v>100.0</v>
      </c>
      <c r="R83" s="110">
        <v>100.0</v>
      </c>
      <c r="S83" s="9">
        <v>100.0</v>
      </c>
      <c r="T83" s="110">
        <v>100.0</v>
      </c>
      <c r="U83" s="9">
        <v>100.0</v>
      </c>
      <c r="V83" s="110">
        <v>100.0</v>
      </c>
      <c r="W83" s="9">
        <v>100.0</v>
      </c>
      <c r="X83" s="110">
        <v>100.0</v>
      </c>
      <c r="Y83" s="73" t="s">
        <v>116</v>
      </c>
      <c r="Z83" s="94" t="s">
        <v>153</v>
      </c>
      <c r="AA83" s="36"/>
      <c r="AB83" s="36"/>
      <c r="AC83" s="111"/>
      <c r="AD83" s="13"/>
      <c r="AE83" s="280"/>
      <c r="AF83" s="280"/>
      <c r="AG83" s="14"/>
      <c r="AH83" s="14"/>
      <c r="AI83" s="14"/>
      <c r="AJ83" s="113"/>
      <c r="AK83" s="104" t="s">
        <v>100</v>
      </c>
      <c r="AM83" s="114" t="s">
        <v>101</v>
      </c>
      <c r="AO83" s="105" t="s">
        <v>102</v>
      </c>
      <c r="AQ83" s="105" t="s">
        <v>103</v>
      </c>
      <c r="AS83" s="104" t="s">
        <v>104</v>
      </c>
      <c r="AU83" s="104" t="s">
        <v>105</v>
      </c>
      <c r="AW83" s="104" t="s">
        <v>106</v>
      </c>
      <c r="AY83" s="105" t="s">
        <v>107</v>
      </c>
      <c r="AZ83" s="24"/>
    </row>
    <row r="84">
      <c r="A84" s="192">
        <f>A10</f>
        <v>2569</v>
      </c>
      <c r="B84" s="193"/>
      <c r="E84" s="115" t="s">
        <v>219</v>
      </c>
      <c r="F84" s="116" t="s">
        <v>80</v>
      </c>
      <c r="G84" s="115" t="str">
        <f t="shared" ref="G84:H84" si="111">G41</f>
        <v>A9</v>
      </c>
      <c r="H84" s="9" t="str">
        <f t="shared" si="111"/>
        <v>B9</v>
      </c>
      <c r="I84" s="9" t="str">
        <f t="shared" ref="I84:J84" si="112">I35</f>
        <v>A5</v>
      </c>
      <c r="J84" s="9" t="str">
        <f t="shared" si="112"/>
        <v>B11</v>
      </c>
      <c r="K84" s="36"/>
      <c r="L84" s="117"/>
      <c r="M84" s="118" t="str">
        <f t="shared" ref="M84:P84" si="113">C84</f>
        <v/>
      </c>
      <c r="N84" s="119" t="str">
        <f t="shared" si="113"/>
        <v/>
      </c>
      <c r="O84" s="118" t="str">
        <f t="shared" si="113"/>
        <v>A3</v>
      </c>
      <c r="P84" s="118" t="str">
        <f t="shared" si="113"/>
        <v>B1</v>
      </c>
      <c r="Q84" s="118" t="str">
        <f t="shared" ref="Q84:R84" si="114">E85</f>
        <v>B1</v>
      </c>
      <c r="R84" s="119" t="str">
        <f t="shared" si="114"/>
        <v>C1</v>
      </c>
      <c r="S84" s="9" t="s">
        <v>164</v>
      </c>
      <c r="T84" s="110" t="s">
        <v>219</v>
      </c>
      <c r="U84" s="9" t="str">
        <f t="shared" ref="U84:X84" si="115">G84</f>
        <v>A9</v>
      </c>
      <c r="V84" s="119" t="str">
        <f t="shared" si="115"/>
        <v>B9</v>
      </c>
      <c r="W84" s="118" t="str">
        <f t="shared" si="115"/>
        <v>A5</v>
      </c>
      <c r="X84" s="120" t="str">
        <f t="shared" si="115"/>
        <v>B11</v>
      </c>
      <c r="Y84" s="73" t="s">
        <v>126</v>
      </c>
      <c r="Z84" s="94" t="s">
        <v>155</v>
      </c>
      <c r="AA84" s="36"/>
      <c r="AB84" s="36"/>
      <c r="AC84" s="111"/>
      <c r="AD84" s="112"/>
      <c r="AE84" s="37"/>
      <c r="AF84" s="97"/>
      <c r="AG84" s="14"/>
      <c r="AH84" s="14"/>
      <c r="AI84" s="14"/>
      <c r="AJ84" s="113"/>
      <c r="AK84" s="104" t="s">
        <v>118</v>
      </c>
      <c r="AM84" s="114" t="s">
        <v>119</v>
      </c>
      <c r="AO84" s="105" t="s">
        <v>120</v>
      </c>
      <c r="AQ84" s="105" t="s">
        <v>121</v>
      </c>
      <c r="AS84" s="104" t="s">
        <v>122</v>
      </c>
      <c r="AU84" s="104" t="s">
        <v>123</v>
      </c>
      <c r="AW84" s="104" t="s">
        <v>124</v>
      </c>
      <c r="AY84" s="105" t="s">
        <v>125</v>
      </c>
      <c r="AZ84" s="24"/>
    </row>
    <row r="85">
      <c r="A85" s="192">
        <f>A84-543</f>
        <v>2026</v>
      </c>
      <c r="B85" s="193"/>
      <c r="C85" s="12"/>
      <c r="E85" s="115" t="s">
        <v>80</v>
      </c>
      <c r="F85" s="116" t="s">
        <v>154</v>
      </c>
      <c r="G85" s="115"/>
      <c r="H85" s="118"/>
      <c r="I85" s="118"/>
      <c r="J85" s="118"/>
      <c r="K85" s="36"/>
      <c r="L85" s="117"/>
      <c r="M85" s="326"/>
      <c r="N85" s="327"/>
      <c r="R85" s="117"/>
      <c r="T85" s="117"/>
      <c r="V85" s="117"/>
      <c r="X85" s="117"/>
      <c r="Y85" s="73" t="s">
        <v>69</v>
      </c>
      <c r="Z85" s="94" t="s">
        <v>128</v>
      </c>
      <c r="AA85" s="36"/>
      <c r="AB85" s="36"/>
      <c r="AC85" s="111"/>
      <c r="AD85" s="112"/>
      <c r="AE85" s="37"/>
      <c r="AF85" s="97"/>
      <c r="AG85" s="14"/>
      <c r="AH85" s="14"/>
      <c r="AI85" s="14"/>
      <c r="AJ85" s="113"/>
      <c r="AK85" s="104" t="s">
        <v>129</v>
      </c>
      <c r="AM85" s="114" t="s">
        <v>130</v>
      </c>
      <c r="AO85" s="105" t="s">
        <v>131</v>
      </c>
      <c r="AQ85" s="105" t="s">
        <v>132</v>
      </c>
      <c r="AS85" s="104" t="s">
        <v>133</v>
      </c>
      <c r="AU85" s="104" t="s">
        <v>134</v>
      </c>
      <c r="AW85" s="104" t="s">
        <v>135</v>
      </c>
      <c r="AY85" s="105" t="s">
        <v>136</v>
      </c>
      <c r="AZ85" s="24"/>
    </row>
    <row r="86">
      <c r="A86" s="143" t="s">
        <v>156</v>
      </c>
      <c r="B86" s="206"/>
      <c r="C86" s="123"/>
      <c r="D86" s="123"/>
      <c r="E86" s="164" t="s">
        <v>157</v>
      </c>
      <c r="F86" s="88"/>
      <c r="G86" s="207" t="str">
        <f>G5:H5</f>
        <v>อสูรเดือน S</v>
      </c>
      <c r="I86" s="208" t="str">
        <f>I5:J5</f>
        <v>อสูรปี N</v>
      </c>
      <c r="K86" s="36"/>
      <c r="L86" s="117"/>
      <c r="M86" s="128"/>
      <c r="N86" s="117"/>
      <c r="R86" s="117"/>
      <c r="T86" s="117"/>
      <c r="V86" s="117"/>
      <c r="X86" s="117"/>
      <c r="Y86" s="127"/>
      <c r="Z86" s="155"/>
      <c r="AA86" s="36"/>
      <c r="AB86" s="36"/>
      <c r="AC86" s="111"/>
      <c r="AD86" s="112"/>
      <c r="AE86" s="37"/>
      <c r="AF86" s="97"/>
      <c r="AG86" s="14"/>
      <c r="AH86" s="14"/>
      <c r="AI86" s="14"/>
      <c r="AJ86" s="113"/>
      <c r="AY86" s="128"/>
      <c r="AZ86" s="24"/>
    </row>
    <row r="87">
      <c r="A87" s="188" t="s">
        <v>186</v>
      </c>
      <c r="B87" s="189"/>
      <c r="C87" s="63"/>
      <c r="D87" s="63"/>
      <c r="E87" s="64">
        <f>(O88+P88+Q88+R88)/(O89+P89+Q89+R89)</f>
        <v>0.575</v>
      </c>
      <c r="F87" s="65"/>
      <c r="G87" s="133"/>
      <c r="H87" s="72"/>
      <c r="I87" s="67"/>
      <c r="J87" s="72"/>
      <c r="K87" s="68"/>
      <c r="L87" s="69"/>
      <c r="M87" s="63" t="s">
        <v>64</v>
      </c>
      <c r="N87" s="70"/>
      <c r="O87" s="71" t="s">
        <v>65</v>
      </c>
      <c r="P87" s="72"/>
      <c r="Q87" s="72"/>
      <c r="R87" s="70"/>
      <c r="S87" s="71" t="s">
        <v>66</v>
      </c>
      <c r="T87" s="70"/>
      <c r="U87" s="71" t="s">
        <v>67</v>
      </c>
      <c r="V87" s="70"/>
      <c r="W87" s="71" t="s">
        <v>68</v>
      </c>
      <c r="X87" s="70"/>
      <c r="Y87" s="134" t="s">
        <v>69</v>
      </c>
      <c r="Z87" s="74" t="s">
        <v>70</v>
      </c>
      <c r="AA87" s="75" t="s">
        <v>32</v>
      </c>
      <c r="AB87" s="75" t="s">
        <v>233</v>
      </c>
      <c r="AC87" s="167" t="s">
        <v>173</v>
      </c>
      <c r="AD87" s="74" t="s">
        <v>174</v>
      </c>
      <c r="AE87" s="63" t="s">
        <v>75</v>
      </c>
      <c r="AF87" s="78" t="s">
        <v>36</v>
      </c>
      <c r="AG87" s="79" t="s">
        <v>97</v>
      </c>
      <c r="AH87" s="79">
        <v>330.0</v>
      </c>
      <c r="AI87" s="79" t="s">
        <v>150</v>
      </c>
      <c r="AJ87" s="80" t="str">
        <f>AJ81</f>
        <v>開</v>
      </c>
      <c r="AK87" s="81" t="s">
        <v>46</v>
      </c>
      <c r="AL87" s="82" t="str">
        <f>AL81</f>
        <v>休</v>
      </c>
      <c r="AM87" s="81" t="s">
        <v>48</v>
      </c>
      <c r="AN87" s="82" t="s">
        <v>4</v>
      </c>
      <c r="AO87" s="81" t="s">
        <v>50</v>
      </c>
      <c r="AP87" s="82" t="str">
        <f>AP81</f>
        <v>傷</v>
      </c>
      <c r="AQ87" s="81" t="s">
        <v>52</v>
      </c>
      <c r="AR87" s="82" t="s">
        <v>8</v>
      </c>
      <c r="AS87" s="81" t="s">
        <v>38</v>
      </c>
      <c r="AT87" s="82" t="str">
        <f>AT81</f>
        <v>景</v>
      </c>
      <c r="AU87" s="81" t="s">
        <v>40</v>
      </c>
      <c r="AV87" s="82" t="str">
        <f>AV81</f>
        <v>死</v>
      </c>
      <c r="AW87" s="81" t="s">
        <v>42</v>
      </c>
      <c r="AX87" s="82" t="str">
        <f>AX81</f>
        <v>驚</v>
      </c>
      <c r="AY87" s="81" t="s">
        <v>44</v>
      </c>
      <c r="AZ87" s="83"/>
      <c r="BA87" s="84"/>
      <c r="BB87" s="84"/>
      <c r="BC87" s="84"/>
    </row>
    <row r="88">
      <c r="A88" s="192">
        <f>A82+1</f>
        <v>13</v>
      </c>
      <c r="B88" s="193"/>
      <c r="C88" s="12" t="s">
        <v>270</v>
      </c>
      <c r="E88" s="160" t="s">
        <v>161</v>
      </c>
      <c r="G88" s="324" t="str">
        <f t="shared" ref="G88:G89" si="118">G3:H3</f>
        <v>壬</v>
      </c>
      <c r="I88" s="275" t="str">
        <f t="shared" ref="I88:I89" si="119">I33:J33</f>
        <v>丙</v>
      </c>
      <c r="K88" s="90">
        <f>L88/L89</f>
        <v>0.525</v>
      </c>
      <c r="L88" s="126">
        <f t="shared" ref="L88:L89" si="120">O88+P88+Q88+U88+V88+W88+X88+R88+M88+N88+S88+T88</f>
        <v>525</v>
      </c>
      <c r="M88" s="92">
        <v>0.0</v>
      </c>
      <c r="N88" s="93">
        <v>0.0</v>
      </c>
      <c r="O88" s="92">
        <v>110.0</v>
      </c>
      <c r="P88" s="92">
        <v>80.0</v>
      </c>
      <c r="Q88" s="92">
        <v>10.0</v>
      </c>
      <c r="R88" s="93">
        <v>30.0</v>
      </c>
      <c r="S88" s="92">
        <v>0.0</v>
      </c>
      <c r="T88" s="93">
        <v>30.0</v>
      </c>
      <c r="U88" s="92">
        <f t="shared" ref="U88:V88" si="116">U39</f>
        <v>45</v>
      </c>
      <c r="V88" s="93">
        <f t="shared" si="116"/>
        <v>50</v>
      </c>
      <c r="W88" s="92">
        <f t="shared" ref="W88:X88" si="117">W33</f>
        <v>110</v>
      </c>
      <c r="X88" s="93">
        <f t="shared" si="117"/>
        <v>60</v>
      </c>
      <c r="Y88" s="73" t="s">
        <v>80</v>
      </c>
      <c r="Z88" s="94" t="s">
        <v>81</v>
      </c>
      <c r="AA88" s="36"/>
      <c r="AB88" s="29" t="s">
        <v>234</v>
      </c>
      <c r="AC88" s="170" t="s">
        <v>73</v>
      </c>
      <c r="AD88" s="94" t="s">
        <v>74</v>
      </c>
      <c r="AE88" s="37"/>
      <c r="AF88" s="97"/>
      <c r="AG88" s="12" t="s">
        <v>32</v>
      </c>
      <c r="AH88" s="12">
        <v>270.0</v>
      </c>
      <c r="AI88" s="12" t="s">
        <v>145</v>
      </c>
      <c r="AJ88" s="98" t="s">
        <v>43</v>
      </c>
      <c r="AK88" s="101" t="s">
        <v>91</v>
      </c>
      <c r="AL88" s="100" t="s">
        <v>41</v>
      </c>
      <c r="AM88" s="103" t="s">
        <v>92</v>
      </c>
      <c r="AN88" s="100" t="s">
        <v>39</v>
      </c>
      <c r="AO88" s="99" t="s">
        <v>93</v>
      </c>
      <c r="AP88" s="100" t="s">
        <v>37</v>
      </c>
      <c r="AQ88" s="99" t="s">
        <v>94</v>
      </c>
      <c r="AR88" s="100" t="s">
        <v>51</v>
      </c>
      <c r="AS88" s="101" t="s">
        <v>95</v>
      </c>
      <c r="AT88" s="100" t="s">
        <v>86</v>
      </c>
      <c r="AU88" s="99" t="s">
        <v>87</v>
      </c>
      <c r="AV88" s="100" t="s">
        <v>88</v>
      </c>
      <c r="AW88" s="101" t="s">
        <v>89</v>
      </c>
      <c r="AX88" s="100" t="s">
        <v>45</v>
      </c>
      <c r="AY88" s="102" t="s">
        <v>90</v>
      </c>
      <c r="AZ88" s="24"/>
    </row>
    <row r="89">
      <c r="A89" s="215" t="str">
        <f>G2</f>
        <v>เมษายน</v>
      </c>
      <c r="B89" s="193"/>
      <c r="C89" s="140" t="s">
        <v>235</v>
      </c>
      <c r="E89" s="201" t="s">
        <v>54</v>
      </c>
      <c r="G89" s="180" t="str">
        <f t="shared" si="118"/>
        <v>辰</v>
      </c>
      <c r="I89" s="142" t="str">
        <f t="shared" si="119"/>
        <v>午</v>
      </c>
      <c r="K89" s="36"/>
      <c r="L89" s="109">
        <f t="shared" si="120"/>
        <v>1000</v>
      </c>
      <c r="M89" s="9">
        <v>0.0</v>
      </c>
      <c r="N89" s="110">
        <v>0.0</v>
      </c>
      <c r="O89" s="9">
        <v>100.0</v>
      </c>
      <c r="P89" s="9">
        <v>100.0</v>
      </c>
      <c r="Q89" s="9">
        <v>100.0</v>
      </c>
      <c r="R89" s="110">
        <v>100.0</v>
      </c>
      <c r="S89" s="9">
        <v>100.0</v>
      </c>
      <c r="T89" s="110">
        <v>100.0</v>
      </c>
      <c r="U89" s="9">
        <v>100.0</v>
      </c>
      <c r="V89" s="110">
        <v>100.0</v>
      </c>
      <c r="W89" s="9">
        <v>100.0</v>
      </c>
      <c r="X89" s="110">
        <v>100.0</v>
      </c>
      <c r="Y89" s="73" t="s">
        <v>98</v>
      </c>
      <c r="Z89" s="94" t="s">
        <v>99</v>
      </c>
      <c r="AA89" s="36"/>
      <c r="AB89" s="36"/>
      <c r="AC89" s="111"/>
      <c r="AD89" s="112"/>
      <c r="AE89" s="37"/>
      <c r="AF89" s="97"/>
      <c r="AG89" s="14"/>
      <c r="AH89" s="14"/>
      <c r="AI89" s="14"/>
      <c r="AJ89" s="113"/>
      <c r="AK89" s="105" t="s">
        <v>103</v>
      </c>
      <c r="AM89" s="104" t="s">
        <v>104</v>
      </c>
      <c r="AO89" s="104" t="s">
        <v>105</v>
      </c>
      <c r="AQ89" s="104" t="s">
        <v>106</v>
      </c>
      <c r="AS89" s="105" t="s">
        <v>107</v>
      </c>
      <c r="AU89" s="104" t="s">
        <v>100</v>
      </c>
      <c r="AW89" s="114" t="s">
        <v>101</v>
      </c>
      <c r="AY89" s="105" t="s">
        <v>102</v>
      </c>
      <c r="AZ89" s="24"/>
    </row>
    <row r="90">
      <c r="A90" s="192">
        <f>A10</f>
        <v>2569</v>
      </c>
      <c r="B90" s="193"/>
      <c r="E90" s="115" t="s">
        <v>204</v>
      </c>
      <c r="F90" s="116" t="s">
        <v>98</v>
      </c>
      <c r="G90" s="115" t="str">
        <f t="shared" ref="G90:H90" si="121">G41</f>
        <v>A9</v>
      </c>
      <c r="H90" s="9" t="str">
        <f t="shared" si="121"/>
        <v>B9</v>
      </c>
      <c r="I90" s="9" t="str">
        <f t="shared" ref="I90:J90" si="122">I35</f>
        <v>A5</v>
      </c>
      <c r="J90" s="9" t="str">
        <f t="shared" si="122"/>
        <v>B11</v>
      </c>
      <c r="K90" s="36"/>
      <c r="L90" s="117"/>
      <c r="M90" s="118" t="str">
        <f t="shared" ref="M90:P90" si="123">C90</f>
        <v/>
      </c>
      <c r="N90" s="119" t="str">
        <f t="shared" si="123"/>
        <v/>
      </c>
      <c r="O90" s="118" t="str">
        <f t="shared" si="123"/>
        <v>A5</v>
      </c>
      <c r="P90" s="118" t="str">
        <f t="shared" si="123"/>
        <v>B2</v>
      </c>
      <c r="Q90" s="118" t="str">
        <f t="shared" ref="Q90:R90" si="124">E91</f>
        <v>B12</v>
      </c>
      <c r="R90" s="119" t="str">
        <f t="shared" si="124"/>
        <v>C2</v>
      </c>
      <c r="S90" s="9" t="s">
        <v>114</v>
      </c>
      <c r="T90" s="110" t="s">
        <v>198</v>
      </c>
      <c r="U90" s="9" t="str">
        <f t="shared" ref="U90:X90" si="125">G90</f>
        <v>A9</v>
      </c>
      <c r="V90" s="119" t="str">
        <f t="shared" si="125"/>
        <v>B9</v>
      </c>
      <c r="W90" s="118" t="str">
        <f t="shared" si="125"/>
        <v>A5</v>
      </c>
      <c r="X90" s="120" t="str">
        <f t="shared" si="125"/>
        <v>B11</v>
      </c>
      <c r="Y90" s="73" t="s">
        <v>116</v>
      </c>
      <c r="Z90" s="94" t="s">
        <v>117</v>
      </c>
      <c r="AA90" s="36"/>
      <c r="AB90" s="36"/>
      <c r="AC90" s="111"/>
      <c r="AD90" s="112"/>
      <c r="AE90" s="37"/>
      <c r="AF90" s="97"/>
      <c r="AG90" s="14"/>
      <c r="AH90" s="14"/>
      <c r="AI90" s="14"/>
      <c r="AJ90" s="113"/>
      <c r="AK90" s="105" t="s">
        <v>121</v>
      </c>
      <c r="AM90" s="104" t="s">
        <v>122</v>
      </c>
      <c r="AO90" s="104" t="s">
        <v>123</v>
      </c>
      <c r="AQ90" s="104" t="s">
        <v>124</v>
      </c>
      <c r="AS90" s="105" t="s">
        <v>125</v>
      </c>
      <c r="AU90" s="104" t="s">
        <v>118</v>
      </c>
      <c r="AW90" s="114" t="s">
        <v>119</v>
      </c>
      <c r="AY90" s="105" t="s">
        <v>120</v>
      </c>
      <c r="AZ90" s="24"/>
    </row>
    <row r="91">
      <c r="A91" s="192">
        <f>A90-543</f>
        <v>2026</v>
      </c>
      <c r="B91" s="193"/>
      <c r="C91" s="181"/>
      <c r="E91" s="115" t="s">
        <v>113</v>
      </c>
      <c r="F91" s="116" t="s">
        <v>167</v>
      </c>
      <c r="G91" s="115"/>
      <c r="H91" s="118"/>
      <c r="I91" s="118"/>
      <c r="J91" s="118"/>
      <c r="K91" s="36"/>
      <c r="L91" s="117"/>
      <c r="M91" s="326"/>
      <c r="N91" s="327"/>
      <c r="R91" s="117"/>
      <c r="T91" s="117"/>
      <c r="V91" s="117"/>
      <c r="X91" s="117"/>
      <c r="Y91" s="73" t="s">
        <v>126</v>
      </c>
      <c r="Z91" s="94" t="s">
        <v>128</v>
      </c>
      <c r="AA91" s="36"/>
      <c r="AB91" s="36"/>
      <c r="AC91" s="111"/>
      <c r="AD91" s="112"/>
      <c r="AE91" s="37"/>
      <c r="AF91" s="97"/>
      <c r="AG91" s="14"/>
      <c r="AH91" s="14"/>
      <c r="AI91" s="14"/>
      <c r="AJ91" s="113"/>
      <c r="AK91" s="105" t="s">
        <v>132</v>
      </c>
      <c r="AM91" s="104" t="s">
        <v>133</v>
      </c>
      <c r="AO91" s="104" t="s">
        <v>134</v>
      </c>
      <c r="AQ91" s="104" t="s">
        <v>135</v>
      </c>
      <c r="AS91" s="105" t="s">
        <v>136</v>
      </c>
      <c r="AU91" s="104" t="s">
        <v>129</v>
      </c>
      <c r="AW91" s="114" t="s">
        <v>130</v>
      </c>
      <c r="AY91" s="105" t="s">
        <v>131</v>
      </c>
      <c r="AZ91" s="24"/>
    </row>
    <row r="92">
      <c r="A92" s="333" t="s">
        <v>332</v>
      </c>
      <c r="B92" s="206"/>
      <c r="C92" s="123"/>
      <c r="D92" s="123"/>
      <c r="E92" s="176" t="s">
        <v>168</v>
      </c>
      <c r="F92" s="88"/>
      <c r="G92" s="207" t="str">
        <f>G5:H5</f>
        <v>อสูรเดือน S</v>
      </c>
      <c r="I92" s="208" t="str">
        <f>I5:J5</f>
        <v>อสูรปี N</v>
      </c>
      <c r="K92" s="36"/>
      <c r="L92" s="117"/>
      <c r="M92" s="326"/>
      <c r="N92" s="327"/>
      <c r="R92" s="117"/>
      <c r="T92" s="117"/>
      <c r="V92" s="117"/>
      <c r="X92" s="117"/>
      <c r="Y92" s="127"/>
      <c r="Z92" s="155"/>
      <c r="AA92" s="36"/>
      <c r="AB92" s="36"/>
      <c r="AC92" s="111"/>
      <c r="AD92" s="112"/>
      <c r="AE92" s="37"/>
      <c r="AF92" s="97"/>
      <c r="AG92" s="14"/>
      <c r="AH92" s="14"/>
      <c r="AI92" s="14"/>
      <c r="AJ92" s="113"/>
      <c r="AQ92" s="128"/>
      <c r="AZ92" s="24"/>
    </row>
    <row r="93">
      <c r="A93" s="188" t="s">
        <v>191</v>
      </c>
      <c r="B93" s="189"/>
      <c r="C93" s="63"/>
      <c r="D93" s="63"/>
      <c r="E93" s="64">
        <f>(O94+P94+Q94+R94)/(O95+P95+Q95+R95)</f>
        <v>0.675</v>
      </c>
      <c r="F93" s="65"/>
      <c r="G93" s="133"/>
      <c r="H93" s="72"/>
      <c r="I93" s="67"/>
      <c r="J93" s="72"/>
      <c r="K93" s="68"/>
      <c r="L93" s="69"/>
      <c r="M93" s="63" t="s">
        <v>64</v>
      </c>
      <c r="N93" s="70"/>
      <c r="O93" s="71" t="s">
        <v>65</v>
      </c>
      <c r="P93" s="72"/>
      <c r="Q93" s="72"/>
      <c r="R93" s="70"/>
      <c r="S93" s="71" t="s">
        <v>66</v>
      </c>
      <c r="T93" s="70"/>
      <c r="U93" s="71" t="s">
        <v>67</v>
      </c>
      <c r="V93" s="70"/>
      <c r="W93" s="71" t="s">
        <v>68</v>
      </c>
      <c r="X93" s="70"/>
      <c r="Y93" s="134" t="s">
        <v>116</v>
      </c>
      <c r="Z93" s="74" t="s">
        <v>140</v>
      </c>
      <c r="AA93" s="75" t="s">
        <v>197</v>
      </c>
      <c r="AB93" s="75" t="s">
        <v>311</v>
      </c>
      <c r="AC93" s="76" t="s">
        <v>73</v>
      </c>
      <c r="AD93" s="77" t="s">
        <v>74</v>
      </c>
      <c r="AE93" s="63" t="s">
        <v>34</v>
      </c>
      <c r="AF93" s="78" t="s">
        <v>34</v>
      </c>
      <c r="AG93" s="79" t="s">
        <v>71</v>
      </c>
      <c r="AH93" s="79">
        <v>210.0</v>
      </c>
      <c r="AI93" s="79" t="s">
        <v>175</v>
      </c>
      <c r="AJ93" s="80" t="str">
        <f>AJ87</f>
        <v>開</v>
      </c>
      <c r="AK93" s="81" t="s">
        <v>46</v>
      </c>
      <c r="AL93" s="82" t="str">
        <f>AL87</f>
        <v>休</v>
      </c>
      <c r="AM93" s="81" t="s">
        <v>48</v>
      </c>
      <c r="AN93" s="82" t="s">
        <v>4</v>
      </c>
      <c r="AO93" s="81" t="s">
        <v>50</v>
      </c>
      <c r="AP93" s="82" t="str">
        <f>AP87</f>
        <v>傷</v>
      </c>
      <c r="AQ93" s="81" t="s">
        <v>52</v>
      </c>
      <c r="AR93" s="82" t="s">
        <v>8</v>
      </c>
      <c r="AS93" s="81" t="s">
        <v>38</v>
      </c>
      <c r="AT93" s="82" t="str">
        <f>AT87</f>
        <v>景</v>
      </c>
      <c r="AU93" s="81" t="s">
        <v>40</v>
      </c>
      <c r="AV93" s="82" t="str">
        <f>AV87</f>
        <v>死</v>
      </c>
      <c r="AW93" s="81" t="s">
        <v>42</v>
      </c>
      <c r="AX93" s="82" t="str">
        <f>AX87</f>
        <v>驚</v>
      </c>
      <c r="AY93" s="81" t="s">
        <v>44</v>
      </c>
      <c r="AZ93" s="83"/>
      <c r="BA93" s="84"/>
      <c r="BB93" s="84"/>
      <c r="BC93" s="84"/>
    </row>
    <row r="94">
      <c r="A94" s="192">
        <f>A88+1</f>
        <v>14</v>
      </c>
      <c r="B94" s="193"/>
      <c r="C94" s="12" t="s">
        <v>270</v>
      </c>
      <c r="E94" s="168" t="s">
        <v>79</v>
      </c>
      <c r="G94" s="324" t="str">
        <f t="shared" ref="G94:G95" si="128">G3:H3</f>
        <v>壬</v>
      </c>
      <c r="I94" s="275" t="str">
        <f t="shared" ref="I94:I95" si="129">I33:J33</f>
        <v>丙</v>
      </c>
      <c r="K94" s="90">
        <f>L94/L95</f>
        <v>0.69</v>
      </c>
      <c r="L94" s="126">
        <f t="shared" ref="L94:L95" si="130">O94+P94+Q94+U94+V94+W94+X94+R94+M94+N94+S94+T94</f>
        <v>690</v>
      </c>
      <c r="M94" s="92">
        <v>0.0</v>
      </c>
      <c r="N94" s="93">
        <v>0.0</v>
      </c>
      <c r="O94" s="92">
        <v>110.0</v>
      </c>
      <c r="P94" s="92">
        <v>20.0</v>
      </c>
      <c r="Q94" s="92">
        <v>60.0</v>
      </c>
      <c r="R94" s="93">
        <v>80.0</v>
      </c>
      <c r="S94" s="92">
        <v>65.0</v>
      </c>
      <c r="T94" s="93">
        <v>90.0</v>
      </c>
      <c r="U94" s="92">
        <f t="shared" ref="U94:V94" si="126">U39</f>
        <v>45</v>
      </c>
      <c r="V94" s="93">
        <f t="shared" si="126"/>
        <v>50</v>
      </c>
      <c r="W94" s="92">
        <f t="shared" ref="W94:X94" si="127">W33</f>
        <v>110</v>
      </c>
      <c r="X94" s="93">
        <f t="shared" si="127"/>
        <v>60</v>
      </c>
      <c r="Y94" s="73" t="s">
        <v>126</v>
      </c>
      <c r="Z94" s="94" t="s">
        <v>70</v>
      </c>
      <c r="AA94" s="36"/>
      <c r="AB94" s="36"/>
      <c r="AC94" s="95" t="s">
        <v>82</v>
      </c>
      <c r="AD94" s="96" t="s">
        <v>83</v>
      </c>
      <c r="AE94" s="37"/>
      <c r="AF94" s="97"/>
      <c r="AG94" s="12" t="s">
        <v>53</v>
      </c>
      <c r="AH94" s="12">
        <v>30.0</v>
      </c>
      <c r="AI94" s="12" t="s">
        <v>178</v>
      </c>
      <c r="AJ94" s="98" t="s">
        <v>43</v>
      </c>
      <c r="AK94" s="101" t="s">
        <v>91</v>
      </c>
      <c r="AL94" s="100" t="s">
        <v>41</v>
      </c>
      <c r="AM94" s="103" t="s">
        <v>92</v>
      </c>
      <c r="AN94" s="100" t="s">
        <v>39</v>
      </c>
      <c r="AO94" s="99" t="s">
        <v>93</v>
      </c>
      <c r="AP94" s="100" t="s">
        <v>37</v>
      </c>
      <c r="AQ94" s="99" t="s">
        <v>94</v>
      </c>
      <c r="AR94" s="100" t="s">
        <v>51</v>
      </c>
      <c r="AS94" s="101" t="s">
        <v>95</v>
      </c>
      <c r="AT94" s="100" t="s">
        <v>86</v>
      </c>
      <c r="AU94" s="99" t="s">
        <v>87</v>
      </c>
      <c r="AV94" s="100" t="s">
        <v>88</v>
      </c>
      <c r="AW94" s="101" t="s">
        <v>89</v>
      </c>
      <c r="AX94" s="100" t="s">
        <v>45</v>
      </c>
      <c r="AY94" s="102" t="s">
        <v>90</v>
      </c>
      <c r="AZ94" s="24"/>
    </row>
    <row r="95">
      <c r="A95" s="215" t="str">
        <f>G2</f>
        <v>เมษายน</v>
      </c>
      <c r="B95" s="193"/>
      <c r="C95" s="140" t="s">
        <v>239</v>
      </c>
      <c r="E95" s="223" t="s">
        <v>202</v>
      </c>
      <c r="G95" s="180" t="str">
        <f t="shared" si="128"/>
        <v>辰</v>
      </c>
      <c r="I95" s="142" t="str">
        <f t="shared" si="129"/>
        <v>午</v>
      </c>
      <c r="K95" s="36"/>
      <c r="L95" s="109">
        <f t="shared" si="130"/>
        <v>1000</v>
      </c>
      <c r="M95" s="9">
        <v>0.0</v>
      </c>
      <c r="N95" s="110">
        <v>0.0</v>
      </c>
      <c r="O95" s="9">
        <v>100.0</v>
      </c>
      <c r="P95" s="9">
        <v>100.0</v>
      </c>
      <c r="Q95" s="9">
        <v>100.0</v>
      </c>
      <c r="R95" s="110">
        <v>100.0</v>
      </c>
      <c r="S95" s="9">
        <v>100.0</v>
      </c>
      <c r="T95" s="110">
        <v>100.0</v>
      </c>
      <c r="U95" s="9">
        <v>100.0</v>
      </c>
      <c r="V95" s="110">
        <v>100.0</v>
      </c>
      <c r="W95" s="9">
        <v>100.0</v>
      </c>
      <c r="X95" s="110">
        <v>100.0</v>
      </c>
      <c r="Y95" s="73" t="s">
        <v>69</v>
      </c>
      <c r="Z95" s="94" t="s">
        <v>152</v>
      </c>
      <c r="AA95" s="36"/>
      <c r="AB95" s="36"/>
      <c r="AC95" s="111"/>
      <c r="AD95" s="112"/>
      <c r="AE95" s="37"/>
      <c r="AF95" s="97"/>
      <c r="AG95" s="14"/>
      <c r="AH95" s="14"/>
      <c r="AI95" s="14"/>
      <c r="AJ95" s="113"/>
      <c r="AK95" s="105" t="s">
        <v>103</v>
      </c>
      <c r="AM95" s="104" t="s">
        <v>104</v>
      </c>
      <c r="AO95" s="104" t="s">
        <v>105</v>
      </c>
      <c r="AQ95" s="104" t="s">
        <v>106</v>
      </c>
      <c r="AS95" s="105" t="s">
        <v>107</v>
      </c>
      <c r="AU95" s="104" t="s">
        <v>100</v>
      </c>
      <c r="AW95" s="114" t="s">
        <v>101</v>
      </c>
      <c r="AY95" s="105" t="s">
        <v>102</v>
      </c>
      <c r="AZ95" s="24"/>
    </row>
    <row r="96">
      <c r="A96" s="192">
        <f>A10</f>
        <v>2569</v>
      </c>
      <c r="B96" s="193"/>
      <c r="E96" s="115" t="s">
        <v>204</v>
      </c>
      <c r="F96" s="116" t="s">
        <v>183</v>
      </c>
      <c r="G96" s="115" t="str">
        <f t="shared" ref="G96:H96" si="131">G41</f>
        <v>A9</v>
      </c>
      <c r="H96" s="9" t="str">
        <f t="shared" si="131"/>
        <v>B9</v>
      </c>
      <c r="I96" s="9" t="str">
        <f t="shared" ref="I96:J96" si="132">I35</f>
        <v>A5</v>
      </c>
      <c r="J96" s="9" t="str">
        <f t="shared" si="132"/>
        <v>B11</v>
      </c>
      <c r="K96" s="36"/>
      <c r="L96" s="117"/>
      <c r="M96" s="118" t="str">
        <f t="shared" ref="M96:P96" si="133">C96</f>
        <v/>
      </c>
      <c r="N96" s="119" t="str">
        <f t="shared" si="133"/>
        <v/>
      </c>
      <c r="O96" s="118" t="str">
        <f t="shared" si="133"/>
        <v>A5</v>
      </c>
      <c r="P96" s="118" t="str">
        <f t="shared" si="133"/>
        <v>B3</v>
      </c>
      <c r="Q96" s="118" t="str">
        <f t="shared" ref="Q96:R96" si="134">E97</f>
        <v>B11</v>
      </c>
      <c r="R96" s="119" t="str">
        <f t="shared" si="134"/>
        <v>C3</v>
      </c>
      <c r="S96" s="9" t="s">
        <v>110</v>
      </c>
      <c r="T96" s="110" t="s">
        <v>219</v>
      </c>
      <c r="U96" s="9" t="str">
        <f t="shared" ref="U96:X96" si="135">G96</f>
        <v>A9</v>
      </c>
      <c r="V96" s="119" t="str">
        <f t="shared" si="135"/>
        <v>B9</v>
      </c>
      <c r="W96" s="118" t="str">
        <f t="shared" si="135"/>
        <v>A5</v>
      </c>
      <c r="X96" s="120" t="str">
        <f t="shared" si="135"/>
        <v>B11</v>
      </c>
      <c r="Y96" s="73" t="s">
        <v>80</v>
      </c>
      <c r="Z96" s="94" t="s">
        <v>153</v>
      </c>
      <c r="AA96" s="36"/>
      <c r="AB96" s="36"/>
      <c r="AC96" s="111"/>
      <c r="AD96" s="112"/>
      <c r="AE96" s="37"/>
      <c r="AF96" s="97"/>
      <c r="AG96" s="14"/>
      <c r="AH96" s="14"/>
      <c r="AI96" s="14"/>
      <c r="AJ96" s="113"/>
      <c r="AK96" s="105" t="s">
        <v>121</v>
      </c>
      <c r="AM96" s="104" t="s">
        <v>122</v>
      </c>
      <c r="AO96" s="104" t="s">
        <v>123</v>
      </c>
      <c r="AQ96" s="104" t="s">
        <v>124</v>
      </c>
      <c r="AS96" s="105" t="s">
        <v>125</v>
      </c>
      <c r="AU96" s="104" t="s">
        <v>118</v>
      </c>
      <c r="AW96" s="114" t="s">
        <v>119</v>
      </c>
      <c r="AY96" s="105" t="s">
        <v>120</v>
      </c>
      <c r="AZ96" s="24"/>
    </row>
    <row r="97">
      <c r="A97" s="192">
        <f>A96-543</f>
        <v>2026</v>
      </c>
      <c r="B97" s="193"/>
      <c r="E97" s="115" t="s">
        <v>214</v>
      </c>
      <c r="F97" s="116" t="s">
        <v>184</v>
      </c>
      <c r="G97" s="115"/>
      <c r="H97" s="118"/>
      <c r="I97" s="118"/>
      <c r="J97" s="118"/>
      <c r="K97" s="36"/>
      <c r="L97" s="117"/>
      <c r="M97" s="326"/>
      <c r="N97" s="327"/>
      <c r="R97" s="117"/>
      <c r="T97" s="117"/>
      <c r="V97" s="117"/>
      <c r="X97" s="117"/>
      <c r="Y97" s="73" t="s">
        <v>98</v>
      </c>
      <c r="Z97" s="94" t="s">
        <v>155</v>
      </c>
      <c r="AA97" s="36"/>
      <c r="AB97" s="36"/>
      <c r="AC97" s="111"/>
      <c r="AD97" s="112"/>
      <c r="AE97" s="37"/>
      <c r="AF97" s="97"/>
      <c r="AG97" s="14"/>
      <c r="AH97" s="14"/>
      <c r="AI97" s="14"/>
      <c r="AJ97" s="113"/>
      <c r="AK97" s="105" t="s">
        <v>132</v>
      </c>
      <c r="AM97" s="104" t="s">
        <v>133</v>
      </c>
      <c r="AO97" s="104" t="s">
        <v>134</v>
      </c>
      <c r="AQ97" s="104" t="s">
        <v>135</v>
      </c>
      <c r="AS97" s="105" t="s">
        <v>136</v>
      </c>
      <c r="AU97" s="104" t="s">
        <v>129</v>
      </c>
      <c r="AW97" s="114" t="s">
        <v>130</v>
      </c>
      <c r="AY97" s="105" t="s">
        <v>131</v>
      </c>
      <c r="AZ97" s="24"/>
    </row>
    <row r="98">
      <c r="A98" s="333" t="s">
        <v>332</v>
      </c>
      <c r="B98" s="206"/>
      <c r="C98" s="123"/>
      <c r="D98" s="123"/>
      <c r="E98" s="176" t="s">
        <v>185</v>
      </c>
      <c r="F98" s="88"/>
      <c r="G98" s="210" t="str">
        <f>G5:H5</f>
        <v>อสูรเดือน S</v>
      </c>
      <c r="I98" s="334"/>
      <c r="K98" s="36"/>
      <c r="L98" s="117"/>
      <c r="M98" s="326"/>
      <c r="N98" s="327"/>
      <c r="R98" s="117"/>
      <c r="T98" s="117"/>
      <c r="V98" s="117"/>
      <c r="X98" s="117"/>
      <c r="Y98" s="127"/>
      <c r="Z98" s="155"/>
      <c r="AA98" s="36"/>
      <c r="AB98" s="36"/>
      <c r="AC98" s="111"/>
      <c r="AD98" s="112"/>
      <c r="AE98" s="37"/>
      <c r="AF98" s="97"/>
      <c r="AG98" s="14"/>
      <c r="AH98" s="14"/>
      <c r="AI98" s="14"/>
      <c r="AJ98" s="113"/>
      <c r="AM98" s="128"/>
      <c r="AZ98" s="24"/>
    </row>
    <row r="99">
      <c r="A99" s="188" t="s">
        <v>199</v>
      </c>
      <c r="B99" s="189"/>
      <c r="C99" s="63"/>
      <c r="D99" s="63"/>
      <c r="E99" s="64">
        <f>(O100+P100+Q100+R100)/(O101+P101+Q101+R101)</f>
        <v>0.525</v>
      </c>
      <c r="F99" s="65"/>
      <c r="G99" s="133"/>
      <c r="H99" s="72"/>
      <c r="I99" s="67"/>
      <c r="J99" s="72"/>
      <c r="K99" s="68"/>
      <c r="L99" s="69"/>
      <c r="M99" s="63" t="s">
        <v>64</v>
      </c>
      <c r="N99" s="70"/>
      <c r="O99" s="71" t="s">
        <v>65</v>
      </c>
      <c r="P99" s="72"/>
      <c r="Q99" s="72"/>
      <c r="R99" s="70"/>
      <c r="S99" s="71" t="s">
        <v>66</v>
      </c>
      <c r="T99" s="70"/>
      <c r="U99" s="71" t="s">
        <v>67</v>
      </c>
      <c r="V99" s="70"/>
      <c r="W99" s="71" t="s">
        <v>68</v>
      </c>
      <c r="X99" s="70"/>
      <c r="Y99" s="134" t="s">
        <v>116</v>
      </c>
      <c r="Z99" s="74" t="s">
        <v>159</v>
      </c>
      <c r="AA99" s="75" t="s">
        <v>32</v>
      </c>
      <c r="AB99" s="75" t="s">
        <v>233</v>
      </c>
      <c r="AC99" s="76" t="s">
        <v>73</v>
      </c>
      <c r="AD99" s="77" t="s">
        <v>74</v>
      </c>
      <c r="AE99" s="63" t="s">
        <v>34</v>
      </c>
      <c r="AF99" s="78" t="s">
        <v>75</v>
      </c>
      <c r="AG99" s="79" t="s">
        <v>84</v>
      </c>
      <c r="AH99" s="79">
        <v>0.0</v>
      </c>
      <c r="AI99" s="79" t="s">
        <v>85</v>
      </c>
      <c r="AJ99" s="80" t="str">
        <f>AJ93</f>
        <v>開</v>
      </c>
      <c r="AK99" s="81" t="s">
        <v>40</v>
      </c>
      <c r="AL99" s="82" t="str">
        <f>AL93</f>
        <v>休</v>
      </c>
      <c r="AM99" s="81" t="s">
        <v>42</v>
      </c>
      <c r="AN99" s="82" t="s">
        <v>4</v>
      </c>
      <c r="AO99" s="81" t="s">
        <v>44</v>
      </c>
      <c r="AP99" s="82" t="str">
        <f>AP93</f>
        <v>傷</v>
      </c>
      <c r="AQ99" s="81" t="s">
        <v>46</v>
      </c>
      <c r="AR99" s="82" t="s">
        <v>8</v>
      </c>
      <c r="AS99" s="81" t="s">
        <v>48</v>
      </c>
      <c r="AT99" s="82" t="str">
        <f>AT93</f>
        <v>景</v>
      </c>
      <c r="AU99" s="81" t="s">
        <v>50</v>
      </c>
      <c r="AV99" s="82" t="str">
        <f>AV93</f>
        <v>死</v>
      </c>
      <c r="AW99" s="81" t="s">
        <v>52</v>
      </c>
      <c r="AX99" s="82" t="str">
        <f>AX93</f>
        <v>驚</v>
      </c>
      <c r="AY99" s="81" t="s">
        <v>38</v>
      </c>
      <c r="AZ99" s="83"/>
      <c r="BA99" s="84"/>
      <c r="BB99" s="84"/>
      <c r="BC99" s="84"/>
    </row>
    <row r="100">
      <c r="A100" s="192">
        <f>A94+1</f>
        <v>15</v>
      </c>
      <c r="B100" s="193"/>
      <c r="C100" s="12" t="s">
        <v>260</v>
      </c>
      <c r="E100" s="168" t="s">
        <v>30</v>
      </c>
      <c r="G100" s="324" t="str">
        <f t="shared" ref="G100:G101" si="138">G3:H3</f>
        <v>壬</v>
      </c>
      <c r="I100" s="275" t="str">
        <f t="shared" ref="I100:I101" si="139">I33:J33</f>
        <v>丙</v>
      </c>
      <c r="K100" s="90">
        <f>L100/L101</f>
        <v>0.57</v>
      </c>
      <c r="L100" s="126">
        <f t="shared" ref="L100:L101" si="140">O100+P100+Q100+U100+V100+W100+X100+R100+M100+N100+S100+T100</f>
        <v>570</v>
      </c>
      <c r="M100" s="92">
        <v>0.0</v>
      </c>
      <c r="N100" s="93">
        <v>0.0</v>
      </c>
      <c r="O100" s="92">
        <v>90.0</v>
      </c>
      <c r="P100" s="92">
        <v>30.0</v>
      </c>
      <c r="Q100" s="92">
        <v>40.0</v>
      </c>
      <c r="R100" s="93">
        <v>50.0</v>
      </c>
      <c r="S100" s="92">
        <v>65.0</v>
      </c>
      <c r="T100" s="93">
        <v>30.0</v>
      </c>
      <c r="U100" s="92">
        <f t="shared" ref="U100:V100" si="136">U39</f>
        <v>45</v>
      </c>
      <c r="V100" s="93">
        <f t="shared" si="136"/>
        <v>50</v>
      </c>
      <c r="W100" s="92">
        <f t="shared" ref="W100:X100" si="137">W33</f>
        <v>110</v>
      </c>
      <c r="X100" s="93">
        <f t="shared" si="137"/>
        <v>60</v>
      </c>
      <c r="Y100" s="73" t="s">
        <v>126</v>
      </c>
      <c r="Z100" s="94" t="s">
        <v>152</v>
      </c>
      <c r="AA100" s="36"/>
      <c r="AB100" s="29" t="s">
        <v>234</v>
      </c>
      <c r="AC100" s="95" t="s">
        <v>82</v>
      </c>
      <c r="AD100" s="96" t="s">
        <v>83</v>
      </c>
      <c r="AE100" s="37"/>
      <c r="AF100" s="97"/>
      <c r="AG100" s="12" t="s">
        <v>76</v>
      </c>
      <c r="AH100" s="12">
        <v>240.0</v>
      </c>
      <c r="AI100" s="12" t="s">
        <v>77</v>
      </c>
      <c r="AJ100" s="98" t="s">
        <v>88</v>
      </c>
      <c r="AK100" s="101" t="s">
        <v>89</v>
      </c>
      <c r="AL100" s="100" t="s">
        <v>45</v>
      </c>
      <c r="AM100" s="102" t="s">
        <v>90</v>
      </c>
      <c r="AN100" s="100" t="s">
        <v>43</v>
      </c>
      <c r="AO100" s="101" t="s">
        <v>91</v>
      </c>
      <c r="AP100" s="100" t="s">
        <v>41</v>
      </c>
      <c r="AQ100" s="103" t="s">
        <v>92</v>
      </c>
      <c r="AR100" s="100" t="s">
        <v>39</v>
      </c>
      <c r="AS100" s="99" t="s">
        <v>93</v>
      </c>
      <c r="AT100" s="100" t="s">
        <v>37</v>
      </c>
      <c r="AU100" s="99" t="s">
        <v>94</v>
      </c>
      <c r="AV100" s="100" t="s">
        <v>51</v>
      </c>
      <c r="AW100" s="101" t="s">
        <v>95</v>
      </c>
      <c r="AX100" s="100" t="s">
        <v>86</v>
      </c>
      <c r="AY100" s="99" t="s">
        <v>87</v>
      </c>
      <c r="AZ100" s="24"/>
    </row>
    <row r="101">
      <c r="A101" s="215" t="str">
        <f>G2</f>
        <v>เมษายน</v>
      </c>
      <c r="B101" s="193"/>
      <c r="C101" s="161" t="s">
        <v>96</v>
      </c>
      <c r="E101" s="162" t="s">
        <v>71</v>
      </c>
      <c r="G101" s="180" t="str">
        <f t="shared" si="138"/>
        <v>辰</v>
      </c>
      <c r="I101" s="142" t="str">
        <f t="shared" si="139"/>
        <v>午</v>
      </c>
      <c r="K101" s="36"/>
      <c r="L101" s="109">
        <f t="shared" si="140"/>
        <v>1000</v>
      </c>
      <c r="M101" s="9">
        <v>0.0</v>
      </c>
      <c r="N101" s="110">
        <v>0.0</v>
      </c>
      <c r="O101" s="9">
        <v>100.0</v>
      </c>
      <c r="P101" s="9">
        <v>100.0</v>
      </c>
      <c r="Q101" s="9">
        <v>100.0</v>
      </c>
      <c r="R101" s="110">
        <v>100.0</v>
      </c>
      <c r="S101" s="9">
        <v>100.0</v>
      </c>
      <c r="T101" s="110">
        <v>100.0</v>
      </c>
      <c r="U101" s="9">
        <v>100.0</v>
      </c>
      <c r="V101" s="110">
        <v>100.0</v>
      </c>
      <c r="W101" s="9">
        <v>100.0</v>
      </c>
      <c r="X101" s="110">
        <v>100.0</v>
      </c>
      <c r="Y101" s="73" t="s">
        <v>69</v>
      </c>
      <c r="Z101" s="94" t="s">
        <v>163</v>
      </c>
      <c r="AA101" s="36"/>
      <c r="AB101" s="36"/>
      <c r="AC101" s="111"/>
      <c r="AD101" s="112"/>
      <c r="AE101" s="37"/>
      <c r="AF101" s="97"/>
      <c r="AG101" s="14"/>
      <c r="AH101" s="14"/>
      <c r="AI101" s="14"/>
      <c r="AJ101" s="113"/>
      <c r="AK101" s="114" t="s">
        <v>101</v>
      </c>
      <c r="AM101" s="105" t="s">
        <v>102</v>
      </c>
      <c r="AO101" s="105" t="s">
        <v>103</v>
      </c>
      <c r="AQ101" s="104" t="s">
        <v>104</v>
      </c>
      <c r="AS101" s="104" t="s">
        <v>105</v>
      </c>
      <c r="AU101" s="104" t="s">
        <v>106</v>
      </c>
      <c r="AW101" s="105" t="s">
        <v>107</v>
      </c>
      <c r="AY101" s="104" t="s">
        <v>100</v>
      </c>
      <c r="AZ101" s="24"/>
    </row>
    <row r="102">
      <c r="A102" s="192">
        <v>2569.0</v>
      </c>
      <c r="B102" s="193"/>
      <c r="E102" s="115" t="s">
        <v>219</v>
      </c>
      <c r="F102" s="116" t="s">
        <v>109</v>
      </c>
      <c r="G102" s="115" t="str">
        <f t="shared" ref="G102:H102" si="141">G41</f>
        <v>A9</v>
      </c>
      <c r="H102" s="9" t="str">
        <f t="shared" si="141"/>
        <v>B9</v>
      </c>
      <c r="I102" s="9" t="str">
        <f t="shared" ref="I102:J102" si="142">I35</f>
        <v>A5</v>
      </c>
      <c r="J102" s="9" t="str">
        <f t="shared" si="142"/>
        <v>B11</v>
      </c>
      <c r="K102" s="36"/>
      <c r="L102" s="117"/>
      <c r="M102" s="118" t="str">
        <f t="shared" ref="M102:P102" si="143">C102</f>
        <v/>
      </c>
      <c r="N102" s="119" t="str">
        <f t="shared" si="143"/>
        <v/>
      </c>
      <c r="O102" s="118" t="str">
        <f t="shared" si="143"/>
        <v>A3</v>
      </c>
      <c r="P102" s="118" t="str">
        <f t="shared" si="143"/>
        <v>B4</v>
      </c>
      <c r="Q102" s="118" t="str">
        <f t="shared" ref="Q102:R102" si="144">E103</f>
        <v>B10</v>
      </c>
      <c r="R102" s="119" t="str">
        <f t="shared" si="144"/>
        <v>C4</v>
      </c>
      <c r="S102" s="9" t="s">
        <v>165</v>
      </c>
      <c r="T102" s="110" t="s">
        <v>198</v>
      </c>
      <c r="U102" s="9" t="str">
        <f t="shared" ref="U102:X102" si="145">G102</f>
        <v>A9</v>
      </c>
      <c r="V102" s="119" t="str">
        <f t="shared" si="145"/>
        <v>B9</v>
      </c>
      <c r="W102" s="118" t="str">
        <f t="shared" si="145"/>
        <v>A5</v>
      </c>
      <c r="X102" s="120" t="str">
        <f t="shared" si="145"/>
        <v>B11</v>
      </c>
      <c r="Y102" s="73" t="s">
        <v>80</v>
      </c>
      <c r="Z102" s="94" t="s">
        <v>117</v>
      </c>
      <c r="AA102" s="36"/>
      <c r="AB102" s="36"/>
      <c r="AC102" s="111"/>
      <c r="AD102" s="112"/>
      <c r="AE102" s="37"/>
      <c r="AF102" s="97"/>
      <c r="AG102" s="14"/>
      <c r="AH102" s="14"/>
      <c r="AI102" s="14"/>
      <c r="AJ102" s="113"/>
      <c r="AK102" s="114" t="s">
        <v>119</v>
      </c>
      <c r="AM102" s="105" t="s">
        <v>120</v>
      </c>
      <c r="AO102" s="105" t="s">
        <v>121</v>
      </c>
      <c r="AQ102" s="104" t="s">
        <v>122</v>
      </c>
      <c r="AS102" s="104" t="s">
        <v>123</v>
      </c>
      <c r="AU102" s="104" t="s">
        <v>124</v>
      </c>
      <c r="AW102" s="105" t="s">
        <v>125</v>
      </c>
      <c r="AY102" s="104" t="s">
        <v>118</v>
      </c>
      <c r="AZ102" s="24"/>
    </row>
    <row r="103">
      <c r="A103" s="192">
        <f>A102-543</f>
        <v>2026</v>
      </c>
      <c r="B103" s="193"/>
      <c r="E103" s="115" t="s">
        <v>218</v>
      </c>
      <c r="F103" s="116" t="s">
        <v>190</v>
      </c>
      <c r="G103" s="115"/>
      <c r="H103" s="118"/>
      <c r="I103" s="118"/>
      <c r="J103" s="118"/>
      <c r="K103" s="36"/>
      <c r="L103" s="117"/>
      <c r="M103" s="326"/>
      <c r="N103" s="327"/>
      <c r="R103" s="117"/>
      <c r="T103" s="117"/>
      <c r="V103" s="117"/>
      <c r="X103" s="117"/>
      <c r="Y103" s="73" t="s">
        <v>98</v>
      </c>
      <c r="Z103" s="94" t="s">
        <v>128</v>
      </c>
      <c r="AA103" s="36"/>
      <c r="AB103" s="36"/>
      <c r="AC103" s="111"/>
      <c r="AD103" s="112"/>
      <c r="AE103" s="37"/>
      <c r="AF103" s="97"/>
      <c r="AG103" s="14"/>
      <c r="AH103" s="14"/>
      <c r="AI103" s="14"/>
      <c r="AJ103" s="113"/>
      <c r="AK103" s="114" t="s">
        <v>130</v>
      </c>
      <c r="AM103" s="105" t="s">
        <v>131</v>
      </c>
      <c r="AO103" s="105" t="s">
        <v>132</v>
      </c>
      <c r="AQ103" s="104" t="s">
        <v>133</v>
      </c>
      <c r="AS103" s="104" t="s">
        <v>134</v>
      </c>
      <c r="AU103" s="104" t="s">
        <v>135</v>
      </c>
      <c r="AW103" s="105" t="s">
        <v>136</v>
      </c>
      <c r="AY103" s="104" t="s">
        <v>129</v>
      </c>
      <c r="AZ103" s="24"/>
    </row>
    <row r="104">
      <c r="A104" s="333" t="s">
        <v>332</v>
      </c>
      <c r="B104" s="206"/>
      <c r="C104" s="123"/>
      <c r="D104" s="123"/>
      <c r="E104" s="164" t="s">
        <v>137</v>
      </c>
      <c r="F104" s="88"/>
      <c r="G104" s="207" t="str">
        <f>G5:H5</f>
        <v>อสูรเดือน S</v>
      </c>
      <c r="I104" s="208" t="str">
        <f>I5:J5</f>
        <v>อสูรปี N</v>
      </c>
      <c r="K104" s="36"/>
      <c r="L104" s="117"/>
      <c r="M104" s="128"/>
      <c r="N104" s="117"/>
      <c r="R104" s="117"/>
      <c r="T104" s="117"/>
      <c r="V104" s="117"/>
      <c r="X104" s="117"/>
      <c r="Y104" s="127"/>
      <c r="Z104" s="155"/>
      <c r="AA104" s="36"/>
      <c r="AB104" s="36"/>
      <c r="AC104" s="111"/>
      <c r="AD104" s="112"/>
      <c r="AE104" s="37"/>
      <c r="AF104" s="97"/>
      <c r="AG104" s="14"/>
      <c r="AH104" s="14"/>
      <c r="AI104" s="14"/>
      <c r="AJ104" s="113"/>
      <c r="AU104" s="128"/>
      <c r="AZ104" s="24"/>
    </row>
    <row r="105">
      <c r="A105" s="188" t="s">
        <v>63</v>
      </c>
      <c r="B105" s="189"/>
      <c r="C105" s="63"/>
      <c r="D105" s="63"/>
      <c r="E105" s="216">
        <f>(O106+P106+Q106+R106)/(O107+P107+Q107+R107)</f>
        <v>0.825</v>
      </c>
      <c r="F105" s="65"/>
      <c r="G105" s="133"/>
      <c r="H105" s="72"/>
      <c r="I105" s="67"/>
      <c r="J105" s="72"/>
      <c r="K105" s="68"/>
      <c r="L105" s="69"/>
      <c r="M105" s="63" t="s">
        <v>64</v>
      </c>
      <c r="N105" s="70"/>
      <c r="O105" s="71" t="s">
        <v>65</v>
      </c>
      <c r="P105" s="72"/>
      <c r="Q105" s="72"/>
      <c r="R105" s="70"/>
      <c r="S105" s="71" t="s">
        <v>66</v>
      </c>
      <c r="T105" s="70"/>
      <c r="U105" s="71" t="s">
        <v>67</v>
      </c>
      <c r="V105" s="70"/>
      <c r="W105" s="71" t="s">
        <v>68</v>
      </c>
      <c r="X105" s="70"/>
      <c r="Y105" s="134" t="s">
        <v>80</v>
      </c>
      <c r="Z105" s="74" t="s">
        <v>170</v>
      </c>
      <c r="AA105" s="75" t="s">
        <v>71</v>
      </c>
      <c r="AB105" s="75" t="s">
        <v>72</v>
      </c>
      <c r="AC105" s="202" t="s">
        <v>142</v>
      </c>
      <c r="AD105" s="74" t="s">
        <v>143</v>
      </c>
      <c r="AE105" s="63" t="s">
        <v>36</v>
      </c>
      <c r="AF105" s="78" t="s">
        <v>144</v>
      </c>
      <c r="AG105" s="79" t="s">
        <v>53</v>
      </c>
      <c r="AH105" s="79">
        <v>30.0</v>
      </c>
      <c r="AI105" s="79" t="s">
        <v>178</v>
      </c>
      <c r="AJ105" s="80" t="str">
        <f>AJ99</f>
        <v>開</v>
      </c>
      <c r="AK105" s="81" t="s">
        <v>46</v>
      </c>
      <c r="AL105" s="82" t="str">
        <f>AL99</f>
        <v>休</v>
      </c>
      <c r="AM105" s="81" t="s">
        <v>48</v>
      </c>
      <c r="AN105" s="82" t="str">
        <f>AN99</f>
        <v>生</v>
      </c>
      <c r="AO105" s="81" t="s">
        <v>50</v>
      </c>
      <c r="AP105" s="82" t="str">
        <f>AP99</f>
        <v>傷</v>
      </c>
      <c r="AQ105" s="81" t="s">
        <v>52</v>
      </c>
      <c r="AR105" s="82" t="str">
        <f>AR99</f>
        <v>杜</v>
      </c>
      <c r="AS105" s="81" t="s">
        <v>38</v>
      </c>
      <c r="AT105" s="82" t="str">
        <f>AT99</f>
        <v>景</v>
      </c>
      <c r="AU105" s="81" t="s">
        <v>40</v>
      </c>
      <c r="AV105" s="82" t="str">
        <f>AV99</f>
        <v>死</v>
      </c>
      <c r="AW105" s="81" t="s">
        <v>42</v>
      </c>
      <c r="AX105" s="82" t="str">
        <f>AX99</f>
        <v>驚</v>
      </c>
      <c r="AY105" s="81" t="s">
        <v>44</v>
      </c>
      <c r="AZ105" s="83"/>
      <c r="BA105" s="84"/>
      <c r="BB105" s="84"/>
      <c r="BC105" s="84"/>
    </row>
    <row r="106">
      <c r="A106" s="192">
        <f>A100+1</f>
        <v>16</v>
      </c>
      <c r="B106" s="193"/>
      <c r="C106" s="12" t="s">
        <v>265</v>
      </c>
      <c r="E106" s="194" t="s">
        <v>195</v>
      </c>
      <c r="G106" s="324" t="str">
        <f t="shared" ref="G106:G107" si="148">G3:H3</f>
        <v>壬</v>
      </c>
      <c r="I106" s="275" t="str">
        <f t="shared" ref="I106:I107" si="149">I33:J33</f>
        <v>丙</v>
      </c>
      <c r="K106" s="90">
        <f>L106/L107</f>
        <v>0.745</v>
      </c>
      <c r="L106" s="126">
        <f t="shared" ref="L106:L107" si="150">O106+P106+Q106+U106+V106+W106+X106+R106+M106+N106+S106+T106</f>
        <v>745</v>
      </c>
      <c r="M106" s="92">
        <v>0.0</v>
      </c>
      <c r="N106" s="93">
        <v>0.0</v>
      </c>
      <c r="O106" s="92">
        <v>100.0</v>
      </c>
      <c r="P106" s="92">
        <v>100.0</v>
      </c>
      <c r="Q106" s="92">
        <v>50.0</v>
      </c>
      <c r="R106" s="93">
        <v>80.0</v>
      </c>
      <c r="S106" s="92">
        <v>80.0</v>
      </c>
      <c r="T106" s="93">
        <v>70.0</v>
      </c>
      <c r="U106" s="92">
        <f t="shared" ref="U106:V106" si="146">U39</f>
        <v>45</v>
      </c>
      <c r="V106" s="93">
        <f t="shared" si="146"/>
        <v>50</v>
      </c>
      <c r="W106" s="92">
        <f t="shared" ref="W106:X106" si="147">W33</f>
        <v>110</v>
      </c>
      <c r="X106" s="93">
        <f t="shared" si="147"/>
        <v>60</v>
      </c>
      <c r="Y106" s="73" t="s">
        <v>98</v>
      </c>
      <c r="Z106" s="94" t="s">
        <v>70</v>
      </c>
      <c r="AA106" s="36"/>
      <c r="AB106" s="36"/>
      <c r="AC106" s="204" t="s">
        <v>82</v>
      </c>
      <c r="AD106" s="96" t="s">
        <v>83</v>
      </c>
      <c r="AE106" s="37"/>
      <c r="AF106" s="97"/>
      <c r="AG106" s="12" t="s">
        <v>71</v>
      </c>
      <c r="AH106" s="12">
        <v>210.0</v>
      </c>
      <c r="AI106" s="12" t="s">
        <v>175</v>
      </c>
      <c r="AJ106" s="98" t="s">
        <v>86</v>
      </c>
      <c r="AK106" s="99" t="s">
        <v>87</v>
      </c>
      <c r="AL106" s="100" t="s">
        <v>88</v>
      </c>
      <c r="AM106" s="101" t="s">
        <v>89</v>
      </c>
      <c r="AN106" s="100" t="s">
        <v>45</v>
      </c>
      <c r="AO106" s="102" t="s">
        <v>90</v>
      </c>
      <c r="AP106" s="100" t="s">
        <v>43</v>
      </c>
      <c r="AQ106" s="101" t="s">
        <v>91</v>
      </c>
      <c r="AR106" s="100" t="s">
        <v>41</v>
      </c>
      <c r="AS106" s="103" t="s">
        <v>92</v>
      </c>
      <c r="AT106" s="100" t="s">
        <v>39</v>
      </c>
      <c r="AU106" s="99" t="s">
        <v>93</v>
      </c>
      <c r="AV106" s="100" t="s">
        <v>37</v>
      </c>
      <c r="AW106" s="99" t="s">
        <v>94</v>
      </c>
      <c r="AX106" s="100" t="s">
        <v>51</v>
      </c>
      <c r="AY106" s="101" t="s">
        <v>95</v>
      </c>
      <c r="AZ106" s="24"/>
    </row>
    <row r="107">
      <c r="A107" s="215" t="str">
        <f>G2</f>
        <v>เมษายน</v>
      </c>
      <c r="B107" s="193"/>
      <c r="C107" s="106" t="s">
        <v>151</v>
      </c>
      <c r="E107" s="209" t="s">
        <v>76</v>
      </c>
      <c r="G107" s="180" t="str">
        <f t="shared" si="148"/>
        <v>辰</v>
      </c>
      <c r="I107" s="142" t="str">
        <f t="shared" si="149"/>
        <v>午</v>
      </c>
      <c r="K107" s="36"/>
      <c r="L107" s="109">
        <f t="shared" si="150"/>
        <v>1000</v>
      </c>
      <c r="M107" s="9">
        <v>0.0</v>
      </c>
      <c r="N107" s="110">
        <v>0.0</v>
      </c>
      <c r="O107" s="9">
        <v>100.0</v>
      </c>
      <c r="P107" s="9">
        <v>100.0</v>
      </c>
      <c r="Q107" s="9">
        <v>100.0</v>
      </c>
      <c r="R107" s="110">
        <v>100.0</v>
      </c>
      <c r="S107" s="9">
        <v>100.0</v>
      </c>
      <c r="T107" s="110">
        <v>100.0</v>
      </c>
      <c r="U107" s="9">
        <v>100.0</v>
      </c>
      <c r="V107" s="110">
        <v>100.0</v>
      </c>
      <c r="W107" s="9">
        <v>100.0</v>
      </c>
      <c r="X107" s="110">
        <v>100.0</v>
      </c>
      <c r="Y107" s="73" t="s">
        <v>116</v>
      </c>
      <c r="Z107" s="94" t="s">
        <v>181</v>
      </c>
      <c r="AA107" s="36"/>
      <c r="AB107" s="36"/>
      <c r="AC107" s="111"/>
      <c r="AD107" s="112"/>
      <c r="AE107" s="37"/>
      <c r="AF107" s="97"/>
      <c r="AG107" s="14"/>
      <c r="AH107" s="14"/>
      <c r="AI107" s="14"/>
      <c r="AJ107" s="113"/>
      <c r="AK107" s="104" t="s">
        <v>100</v>
      </c>
      <c r="AM107" s="114" t="s">
        <v>101</v>
      </c>
      <c r="AO107" s="105" t="s">
        <v>102</v>
      </c>
      <c r="AQ107" s="105" t="s">
        <v>103</v>
      </c>
      <c r="AS107" s="104" t="s">
        <v>104</v>
      </c>
      <c r="AU107" s="104" t="s">
        <v>105</v>
      </c>
      <c r="AW107" s="104" t="s">
        <v>106</v>
      </c>
      <c r="AY107" s="105" t="s">
        <v>107</v>
      </c>
      <c r="AZ107" s="24"/>
    </row>
    <row r="108">
      <c r="A108" s="192">
        <v>2569.0</v>
      </c>
      <c r="B108" s="193"/>
      <c r="E108" s="115" t="s">
        <v>213</v>
      </c>
      <c r="F108" s="116" t="s">
        <v>116</v>
      </c>
      <c r="G108" s="115" t="str">
        <f t="shared" ref="G108:H108" si="151">G41</f>
        <v>A9</v>
      </c>
      <c r="H108" s="9" t="str">
        <f t="shared" si="151"/>
        <v>B9</v>
      </c>
      <c r="I108" s="9" t="str">
        <f t="shared" ref="I108:J108" si="152">I35</f>
        <v>A5</v>
      </c>
      <c r="J108" s="9" t="str">
        <f t="shared" si="152"/>
        <v>B11</v>
      </c>
      <c r="K108" s="36"/>
      <c r="L108" s="117"/>
      <c r="M108" s="118" t="str">
        <f t="shared" ref="M108:P108" si="153">C108</f>
        <v/>
      </c>
      <c r="N108" s="119" t="str">
        <f t="shared" si="153"/>
        <v/>
      </c>
      <c r="O108" s="118" t="str">
        <f t="shared" si="153"/>
        <v>A4</v>
      </c>
      <c r="P108" s="118" t="str">
        <f t="shared" si="153"/>
        <v>B5</v>
      </c>
      <c r="Q108" s="118" t="str">
        <f t="shared" ref="Q108:R108" si="154">E109</f>
        <v>B9</v>
      </c>
      <c r="R108" s="119" t="str">
        <f t="shared" si="154"/>
        <v>C5</v>
      </c>
      <c r="S108" s="9" t="s">
        <v>182</v>
      </c>
      <c r="T108" s="110" t="s">
        <v>165</v>
      </c>
      <c r="U108" s="9" t="str">
        <f t="shared" ref="U108:X108" si="155">G108</f>
        <v>A9</v>
      </c>
      <c r="V108" s="119" t="str">
        <f t="shared" si="155"/>
        <v>B9</v>
      </c>
      <c r="W108" s="118" t="str">
        <f t="shared" si="155"/>
        <v>A5</v>
      </c>
      <c r="X108" s="120" t="str">
        <f t="shared" si="155"/>
        <v>B11</v>
      </c>
      <c r="Y108" s="73" t="s">
        <v>126</v>
      </c>
      <c r="Z108" s="94" t="s">
        <v>163</v>
      </c>
      <c r="AA108" s="36"/>
      <c r="AB108" s="36"/>
      <c r="AC108" s="111"/>
      <c r="AD108" s="112"/>
      <c r="AE108" s="37"/>
      <c r="AF108" s="97"/>
      <c r="AG108" s="14"/>
      <c r="AH108" s="14"/>
      <c r="AI108" s="14"/>
      <c r="AJ108" s="113"/>
      <c r="AK108" s="104" t="s">
        <v>118</v>
      </c>
      <c r="AM108" s="114" t="s">
        <v>119</v>
      </c>
      <c r="AO108" s="105" t="s">
        <v>120</v>
      </c>
      <c r="AQ108" s="105" t="s">
        <v>121</v>
      </c>
      <c r="AS108" s="104" t="s">
        <v>122</v>
      </c>
      <c r="AU108" s="104" t="s">
        <v>123</v>
      </c>
      <c r="AW108" s="104" t="s">
        <v>124</v>
      </c>
      <c r="AY108" s="105" t="s">
        <v>125</v>
      </c>
      <c r="AZ108" s="24"/>
    </row>
    <row r="109">
      <c r="A109" s="192">
        <f>A108-543</f>
        <v>2026</v>
      </c>
      <c r="B109" s="193"/>
      <c r="C109" s="12" t="s">
        <v>166</v>
      </c>
      <c r="E109" s="115" t="s">
        <v>212</v>
      </c>
      <c r="F109" s="116" t="s">
        <v>205</v>
      </c>
      <c r="G109" s="115"/>
      <c r="H109" s="118"/>
      <c r="I109" s="118"/>
      <c r="J109" s="118"/>
      <c r="K109" s="36"/>
      <c r="L109" s="117"/>
      <c r="M109" s="326"/>
      <c r="N109" s="327"/>
      <c r="R109" s="117"/>
      <c r="T109" s="117"/>
      <c r="V109" s="117"/>
      <c r="X109" s="117"/>
      <c r="Y109" s="73" t="s">
        <v>69</v>
      </c>
      <c r="Z109" s="94" t="s">
        <v>99</v>
      </c>
      <c r="AA109" s="36"/>
      <c r="AB109" s="36"/>
      <c r="AC109" s="111"/>
      <c r="AD109" s="112"/>
      <c r="AE109" s="37"/>
      <c r="AF109" s="97"/>
      <c r="AG109" s="14"/>
      <c r="AH109" s="14"/>
      <c r="AI109" s="14"/>
      <c r="AJ109" s="113"/>
      <c r="AK109" s="104" t="s">
        <v>129</v>
      </c>
      <c r="AM109" s="114" t="s">
        <v>130</v>
      </c>
      <c r="AO109" s="105" t="s">
        <v>131</v>
      </c>
      <c r="AQ109" s="105" t="s">
        <v>132</v>
      </c>
      <c r="AS109" s="104" t="s">
        <v>133</v>
      </c>
      <c r="AU109" s="104" t="s">
        <v>134</v>
      </c>
      <c r="AW109" s="104" t="s">
        <v>135</v>
      </c>
      <c r="AY109" s="105" t="s">
        <v>136</v>
      </c>
      <c r="AZ109" s="24"/>
    </row>
    <row r="110">
      <c r="A110" s="319" t="s">
        <v>242</v>
      </c>
      <c r="B110" s="206"/>
      <c r="C110" s="123"/>
      <c r="D110" s="123"/>
      <c r="E110" s="164"/>
      <c r="F110" s="282"/>
      <c r="G110" s="283"/>
      <c r="H110" s="284"/>
      <c r="I110" s="284"/>
      <c r="J110" s="284"/>
      <c r="K110" s="36"/>
      <c r="L110" s="117"/>
      <c r="M110" s="326"/>
      <c r="N110" s="327"/>
      <c r="R110" s="117"/>
      <c r="T110" s="117"/>
      <c r="V110" s="117"/>
      <c r="X110" s="117"/>
      <c r="Y110" s="127"/>
      <c r="Z110" s="155"/>
      <c r="AA110" s="36"/>
      <c r="AB110" s="36"/>
      <c r="AC110" s="111"/>
      <c r="AD110" s="112"/>
      <c r="AE110" s="37"/>
      <c r="AF110" s="97"/>
      <c r="AG110" s="14"/>
      <c r="AH110" s="14"/>
      <c r="AI110" s="14"/>
      <c r="AJ110" s="113"/>
      <c r="AK110" s="128"/>
      <c r="AY110" s="220"/>
      <c r="AZ110" s="24"/>
    </row>
    <row r="111">
      <c r="A111" s="143" t="s">
        <v>156</v>
      </c>
      <c r="B111" s="206"/>
      <c r="C111" s="123"/>
      <c r="D111" s="123"/>
      <c r="E111" s="164" t="s">
        <v>157</v>
      </c>
      <c r="F111" s="88"/>
      <c r="G111" s="207" t="str">
        <f>G5:H5</f>
        <v>อสูรเดือน S</v>
      </c>
      <c r="I111" s="208" t="str">
        <f>I5:J5</f>
        <v>อสูรปี N</v>
      </c>
      <c r="K111" s="36"/>
      <c r="L111" s="117"/>
      <c r="M111" s="128"/>
      <c r="N111" s="117"/>
      <c r="R111" s="117"/>
      <c r="T111" s="117"/>
      <c r="V111" s="117"/>
      <c r="X111" s="117"/>
      <c r="Y111" s="127"/>
      <c r="Z111" s="155"/>
      <c r="AA111" s="36"/>
      <c r="AB111" s="36"/>
      <c r="AC111" s="111"/>
      <c r="AD111" s="112"/>
      <c r="AE111" s="37"/>
      <c r="AF111" s="97"/>
      <c r="AG111" s="14"/>
      <c r="AH111" s="14"/>
      <c r="AI111" s="14"/>
      <c r="AJ111" s="113"/>
      <c r="AK111" s="128"/>
      <c r="AY111" s="220"/>
      <c r="AZ111" s="24"/>
    </row>
    <row r="112">
      <c r="A112" s="188" t="s">
        <v>139</v>
      </c>
      <c r="B112" s="189"/>
      <c r="C112" s="63"/>
      <c r="D112" s="63"/>
      <c r="E112" s="216">
        <f>(O113+P113+Q113+R113)/(O114+P114+Q114+R114)</f>
        <v>0.9</v>
      </c>
      <c r="F112" s="65"/>
      <c r="G112" s="133"/>
      <c r="H112" s="72"/>
      <c r="I112" s="67"/>
      <c r="J112" s="72"/>
      <c r="K112" s="68"/>
      <c r="L112" s="69"/>
      <c r="M112" s="63" t="s">
        <v>64</v>
      </c>
      <c r="N112" s="70"/>
      <c r="O112" s="71" t="s">
        <v>65</v>
      </c>
      <c r="P112" s="72"/>
      <c r="Q112" s="72"/>
      <c r="R112" s="70"/>
      <c r="S112" s="71" t="s">
        <v>66</v>
      </c>
      <c r="T112" s="70"/>
      <c r="U112" s="71" t="s">
        <v>67</v>
      </c>
      <c r="V112" s="70"/>
      <c r="W112" s="71" t="s">
        <v>68</v>
      </c>
      <c r="X112" s="70"/>
      <c r="Y112" s="134" t="s">
        <v>80</v>
      </c>
      <c r="Z112" s="74" t="s">
        <v>159</v>
      </c>
      <c r="AA112" s="75" t="s">
        <v>180</v>
      </c>
      <c r="AB112" s="75" t="s">
        <v>312</v>
      </c>
      <c r="AC112" s="202" t="s">
        <v>142</v>
      </c>
      <c r="AD112" s="74" t="s">
        <v>143</v>
      </c>
      <c r="AE112" s="63" t="s">
        <v>36</v>
      </c>
      <c r="AF112" s="78" t="s">
        <v>36</v>
      </c>
      <c r="AG112" s="79" t="s">
        <v>180</v>
      </c>
      <c r="AH112" s="79">
        <v>60.0</v>
      </c>
      <c r="AI112" s="79" t="s">
        <v>200</v>
      </c>
      <c r="AJ112" s="80" t="str">
        <f>AJ105</f>
        <v>開</v>
      </c>
      <c r="AK112" s="81" t="s">
        <v>46</v>
      </c>
      <c r="AL112" s="82" t="str">
        <f>AL105</f>
        <v>休</v>
      </c>
      <c r="AM112" s="81" t="s">
        <v>48</v>
      </c>
      <c r="AN112" s="82" t="str">
        <f>AN105</f>
        <v>生</v>
      </c>
      <c r="AO112" s="81" t="s">
        <v>50</v>
      </c>
      <c r="AP112" s="82" t="str">
        <f>AP105</f>
        <v>傷</v>
      </c>
      <c r="AQ112" s="81" t="s">
        <v>52</v>
      </c>
      <c r="AR112" s="82" t="str">
        <f>AR105</f>
        <v>杜</v>
      </c>
      <c r="AS112" s="81" t="s">
        <v>38</v>
      </c>
      <c r="AT112" s="82" t="str">
        <f>AT105</f>
        <v>景</v>
      </c>
      <c r="AU112" s="81" t="s">
        <v>40</v>
      </c>
      <c r="AV112" s="82" t="str">
        <f>AV105</f>
        <v>死</v>
      </c>
      <c r="AW112" s="81" t="s">
        <v>42</v>
      </c>
      <c r="AX112" s="82" t="str">
        <f>AX105</f>
        <v>驚</v>
      </c>
      <c r="AY112" s="81" t="s">
        <v>44</v>
      </c>
      <c r="AZ112" s="83"/>
      <c r="BA112" s="84"/>
      <c r="BB112" s="84"/>
      <c r="BC112" s="84"/>
    </row>
    <row r="113">
      <c r="A113" s="192">
        <f>A106+1</f>
        <v>17</v>
      </c>
      <c r="B113" s="193"/>
      <c r="C113" s="12" t="s">
        <v>265</v>
      </c>
      <c r="E113" s="199" t="s">
        <v>201</v>
      </c>
      <c r="G113" s="324" t="str">
        <f t="shared" ref="G113:G114" si="158">G3:H3</f>
        <v>壬</v>
      </c>
      <c r="I113" s="275" t="str">
        <f t="shared" ref="I113:I114" si="159">I33:J33</f>
        <v>丙</v>
      </c>
      <c r="K113" s="90">
        <f>L113/L114</f>
        <v>0.715</v>
      </c>
      <c r="L113" s="126">
        <f t="shared" ref="L113:L114" si="160">O113+P113+Q113+U113+V113+W113+X113+R113+M113+N113+S113+T113</f>
        <v>715</v>
      </c>
      <c r="M113" s="92">
        <v>0.0</v>
      </c>
      <c r="N113" s="93">
        <v>0.0</v>
      </c>
      <c r="O113" s="92">
        <v>100.0</v>
      </c>
      <c r="P113" s="92">
        <v>90.0</v>
      </c>
      <c r="Q113" s="92">
        <v>90.0</v>
      </c>
      <c r="R113" s="93">
        <v>80.0</v>
      </c>
      <c r="S113" s="92">
        <v>40.0</v>
      </c>
      <c r="T113" s="93">
        <v>50.0</v>
      </c>
      <c r="U113" s="92">
        <f t="shared" ref="U113:V113" si="156">U39</f>
        <v>45</v>
      </c>
      <c r="V113" s="93">
        <f t="shared" si="156"/>
        <v>50</v>
      </c>
      <c r="W113" s="92">
        <f t="shared" ref="W113:X113" si="157">W33</f>
        <v>110</v>
      </c>
      <c r="X113" s="93">
        <f t="shared" si="157"/>
        <v>60</v>
      </c>
      <c r="Y113" s="73" t="s">
        <v>98</v>
      </c>
      <c r="Z113" s="94" t="s">
        <v>152</v>
      </c>
      <c r="AA113" s="36"/>
      <c r="AB113" s="36"/>
      <c r="AC113" s="204" t="s">
        <v>82</v>
      </c>
      <c r="AD113" s="96" t="s">
        <v>83</v>
      </c>
      <c r="AE113" s="37"/>
      <c r="AF113" s="97"/>
      <c r="AG113" s="12" t="s">
        <v>202</v>
      </c>
      <c r="AH113" s="12">
        <v>180.0</v>
      </c>
      <c r="AI113" s="12" t="s">
        <v>203</v>
      </c>
      <c r="AJ113" s="98" t="s">
        <v>37</v>
      </c>
      <c r="AK113" s="99" t="s">
        <v>94</v>
      </c>
      <c r="AL113" s="100" t="s">
        <v>51</v>
      </c>
      <c r="AM113" s="101" t="s">
        <v>95</v>
      </c>
      <c r="AN113" s="100" t="s">
        <v>86</v>
      </c>
      <c r="AO113" s="99" t="s">
        <v>87</v>
      </c>
      <c r="AP113" s="100" t="s">
        <v>88</v>
      </c>
      <c r="AQ113" s="101" t="s">
        <v>89</v>
      </c>
      <c r="AR113" s="100" t="s">
        <v>45</v>
      </c>
      <c r="AS113" s="102" t="s">
        <v>90</v>
      </c>
      <c r="AT113" s="100" t="s">
        <v>43</v>
      </c>
      <c r="AU113" s="101" t="s">
        <v>91</v>
      </c>
      <c r="AV113" s="100" t="s">
        <v>41</v>
      </c>
      <c r="AW113" s="103" t="s">
        <v>92</v>
      </c>
      <c r="AX113" s="100" t="s">
        <v>39</v>
      </c>
      <c r="AY113" s="99" t="s">
        <v>93</v>
      </c>
      <c r="AZ113" s="24"/>
    </row>
    <row r="114">
      <c r="A114" s="215" t="str">
        <f>G2</f>
        <v>เมษายน</v>
      </c>
      <c r="B114" s="193"/>
      <c r="C114" s="106" t="s">
        <v>162</v>
      </c>
      <c r="E114" s="209" t="s">
        <v>32</v>
      </c>
      <c r="G114" s="180" t="str">
        <f t="shared" si="158"/>
        <v>辰</v>
      </c>
      <c r="I114" s="142" t="str">
        <f t="shared" si="159"/>
        <v>午</v>
      </c>
      <c r="K114" s="36"/>
      <c r="L114" s="109">
        <f t="shared" si="160"/>
        <v>1000</v>
      </c>
      <c r="M114" s="9">
        <v>0.0</v>
      </c>
      <c r="N114" s="110">
        <v>0.0</v>
      </c>
      <c r="O114" s="9">
        <v>100.0</v>
      </c>
      <c r="P114" s="9">
        <v>100.0</v>
      </c>
      <c r="Q114" s="9">
        <v>100.0</v>
      </c>
      <c r="R114" s="110">
        <v>100.0</v>
      </c>
      <c r="S114" s="9">
        <v>100.0</v>
      </c>
      <c r="T114" s="110">
        <v>100.0</v>
      </c>
      <c r="U114" s="9">
        <v>100.0</v>
      </c>
      <c r="V114" s="110">
        <v>100.0</v>
      </c>
      <c r="W114" s="9">
        <v>100.0</v>
      </c>
      <c r="X114" s="110">
        <v>100.0</v>
      </c>
      <c r="Y114" s="73" t="s">
        <v>116</v>
      </c>
      <c r="Z114" s="94" t="s">
        <v>81</v>
      </c>
      <c r="AA114" s="36"/>
      <c r="AB114" s="36"/>
      <c r="AC114" s="111"/>
      <c r="AD114" s="112"/>
      <c r="AE114" s="37"/>
      <c r="AF114" s="97"/>
      <c r="AG114" s="14"/>
      <c r="AH114" s="14"/>
      <c r="AI114" s="14"/>
      <c r="AJ114" s="113"/>
      <c r="AK114" s="104" t="s">
        <v>106</v>
      </c>
      <c r="AM114" s="105" t="s">
        <v>107</v>
      </c>
      <c r="AO114" s="104" t="s">
        <v>100</v>
      </c>
      <c r="AQ114" s="114" t="s">
        <v>101</v>
      </c>
      <c r="AS114" s="105" t="s">
        <v>102</v>
      </c>
      <c r="AU114" s="105" t="s">
        <v>103</v>
      </c>
      <c r="AW114" s="104" t="s">
        <v>104</v>
      </c>
      <c r="AY114" s="104" t="s">
        <v>105</v>
      </c>
      <c r="AZ114" s="24"/>
    </row>
    <row r="115">
      <c r="A115" s="192">
        <v>2569.0</v>
      </c>
      <c r="B115" s="193"/>
      <c r="E115" s="115" t="s">
        <v>213</v>
      </c>
      <c r="F115" s="116" t="s">
        <v>126</v>
      </c>
      <c r="G115" s="115" t="str">
        <f t="shared" ref="G115:H115" si="161">G41</f>
        <v>A9</v>
      </c>
      <c r="H115" s="9" t="str">
        <f t="shared" si="161"/>
        <v>B9</v>
      </c>
      <c r="I115" s="9" t="str">
        <f t="shared" ref="I115:J115" si="162">I35</f>
        <v>A5</v>
      </c>
      <c r="J115" s="9" t="str">
        <f t="shared" si="162"/>
        <v>B11</v>
      </c>
      <c r="K115" s="36"/>
      <c r="L115" s="117"/>
      <c r="M115" s="118" t="str">
        <f t="shared" ref="M115:P115" si="163">C115</f>
        <v/>
      </c>
      <c r="N115" s="119" t="str">
        <f t="shared" si="163"/>
        <v/>
      </c>
      <c r="O115" s="118" t="str">
        <f t="shared" si="163"/>
        <v>A4</v>
      </c>
      <c r="P115" s="118" t="str">
        <f t="shared" si="163"/>
        <v>B6</v>
      </c>
      <c r="Q115" s="118" t="str">
        <f t="shared" ref="Q115:R115" si="164">E116</f>
        <v>B8</v>
      </c>
      <c r="R115" s="119" t="str">
        <f t="shared" si="164"/>
        <v>C6</v>
      </c>
      <c r="S115" s="9" t="s">
        <v>112</v>
      </c>
      <c r="T115" s="110" t="s">
        <v>164</v>
      </c>
      <c r="U115" s="9" t="str">
        <f t="shared" ref="U115:X115" si="165">G115</f>
        <v>A9</v>
      </c>
      <c r="V115" s="119" t="str">
        <f t="shared" si="165"/>
        <v>B9</v>
      </c>
      <c r="W115" s="118" t="str">
        <f t="shared" si="165"/>
        <v>A5</v>
      </c>
      <c r="X115" s="120" t="str">
        <f t="shared" si="165"/>
        <v>B11</v>
      </c>
      <c r="Y115" s="73" t="s">
        <v>126</v>
      </c>
      <c r="Z115" s="94" t="s">
        <v>99</v>
      </c>
      <c r="AA115" s="36"/>
      <c r="AB115" s="36"/>
      <c r="AC115" s="111"/>
      <c r="AD115" s="112"/>
      <c r="AE115" s="37"/>
      <c r="AF115" s="97"/>
      <c r="AG115" s="14"/>
      <c r="AH115" s="14"/>
      <c r="AI115" s="14"/>
      <c r="AJ115" s="113"/>
      <c r="AK115" s="104" t="s">
        <v>124</v>
      </c>
      <c r="AM115" s="105" t="s">
        <v>125</v>
      </c>
      <c r="AO115" s="104" t="s">
        <v>118</v>
      </c>
      <c r="AQ115" s="114" t="s">
        <v>119</v>
      </c>
      <c r="AS115" s="105" t="s">
        <v>120</v>
      </c>
      <c r="AU115" s="105" t="s">
        <v>121</v>
      </c>
      <c r="AW115" s="104" t="s">
        <v>122</v>
      </c>
      <c r="AY115" s="104" t="s">
        <v>123</v>
      </c>
      <c r="AZ115" s="24"/>
    </row>
    <row r="116">
      <c r="A116" s="192">
        <f>A115-543</f>
        <v>2026</v>
      </c>
      <c r="B116" s="193"/>
      <c r="C116" s="12" t="s">
        <v>166</v>
      </c>
      <c r="E116" s="115" t="s">
        <v>69</v>
      </c>
      <c r="F116" s="116" t="s">
        <v>215</v>
      </c>
      <c r="G116" s="115"/>
      <c r="H116" s="118"/>
      <c r="I116" s="118"/>
      <c r="J116" s="118"/>
      <c r="K116" s="36"/>
      <c r="L116" s="117"/>
      <c r="M116" s="326"/>
      <c r="N116" s="327"/>
      <c r="R116" s="117"/>
      <c r="T116" s="117"/>
      <c r="V116" s="117"/>
      <c r="X116" s="117"/>
      <c r="Y116" s="73" t="s">
        <v>69</v>
      </c>
      <c r="Z116" s="94" t="s">
        <v>155</v>
      </c>
      <c r="AA116" s="36"/>
      <c r="AB116" s="36"/>
      <c r="AC116" s="111"/>
      <c r="AD116" s="112"/>
      <c r="AE116" s="37"/>
      <c r="AF116" s="97"/>
      <c r="AG116" s="14"/>
      <c r="AH116" s="14"/>
      <c r="AI116" s="14"/>
      <c r="AJ116" s="113"/>
      <c r="AK116" s="104" t="s">
        <v>135</v>
      </c>
      <c r="AM116" s="105" t="s">
        <v>136</v>
      </c>
      <c r="AO116" s="104" t="s">
        <v>129</v>
      </c>
      <c r="AQ116" s="114" t="s">
        <v>130</v>
      </c>
      <c r="AS116" s="105" t="s">
        <v>131</v>
      </c>
      <c r="AU116" s="105" t="s">
        <v>132</v>
      </c>
      <c r="AW116" s="104" t="s">
        <v>133</v>
      </c>
      <c r="AY116" s="104" t="s">
        <v>134</v>
      </c>
      <c r="AZ116" s="24"/>
    </row>
    <row r="117">
      <c r="A117" s="143" t="s">
        <v>156</v>
      </c>
      <c r="B117" s="206"/>
      <c r="C117" s="123"/>
      <c r="D117" s="123"/>
      <c r="E117" s="176" t="s">
        <v>168</v>
      </c>
      <c r="F117" s="88"/>
      <c r="G117" s="207" t="str">
        <f>G5:H5</f>
        <v>อสูรเดือน S</v>
      </c>
      <c r="I117" s="208" t="str">
        <f>I5:J5</f>
        <v>อสูรปี N</v>
      </c>
      <c r="K117" s="36"/>
      <c r="L117" s="117"/>
      <c r="M117" s="326"/>
      <c r="N117" s="327"/>
      <c r="R117" s="117"/>
      <c r="T117" s="117"/>
      <c r="V117" s="117"/>
      <c r="X117" s="117"/>
      <c r="Y117" s="127"/>
      <c r="Z117" s="155"/>
      <c r="AA117" s="36"/>
      <c r="AB117" s="36"/>
      <c r="AC117" s="111"/>
      <c r="AD117" s="112"/>
      <c r="AE117" s="37"/>
      <c r="AF117" s="97"/>
      <c r="AG117" s="14"/>
      <c r="AH117" s="14"/>
      <c r="AI117" s="14"/>
      <c r="AJ117" s="113"/>
      <c r="AU117" s="128"/>
      <c r="AZ117" s="24"/>
    </row>
    <row r="118">
      <c r="A118" s="188" t="s">
        <v>158</v>
      </c>
      <c r="B118" s="189"/>
      <c r="C118" s="63"/>
      <c r="D118" s="63"/>
      <c r="E118" s="64">
        <f>(O119+P119+Q119+R119)/(O120+P120+Q120+R120)</f>
        <v>0.2375</v>
      </c>
      <c r="F118" s="65"/>
      <c r="G118" s="133"/>
      <c r="H118" s="72"/>
      <c r="I118" s="67"/>
      <c r="J118" s="72"/>
      <c r="K118" s="68"/>
      <c r="L118" s="69"/>
      <c r="M118" s="63" t="s">
        <v>64</v>
      </c>
      <c r="N118" s="70"/>
      <c r="O118" s="71" t="s">
        <v>65</v>
      </c>
      <c r="P118" s="72"/>
      <c r="Q118" s="72"/>
      <c r="R118" s="70"/>
      <c r="S118" s="71" t="s">
        <v>66</v>
      </c>
      <c r="T118" s="70"/>
      <c r="U118" s="71" t="s">
        <v>67</v>
      </c>
      <c r="V118" s="70"/>
      <c r="W118" s="71" t="s">
        <v>68</v>
      </c>
      <c r="X118" s="70"/>
      <c r="Y118" s="134" t="s">
        <v>80</v>
      </c>
      <c r="Z118" s="74" t="s">
        <v>181</v>
      </c>
      <c r="AA118" s="75" t="s">
        <v>206</v>
      </c>
      <c r="AB118" s="75" t="s">
        <v>207</v>
      </c>
      <c r="AC118" s="135" t="s">
        <v>142</v>
      </c>
      <c r="AD118" s="74" t="s">
        <v>143</v>
      </c>
      <c r="AE118" s="63" t="s">
        <v>144</v>
      </c>
      <c r="AF118" s="78" t="s">
        <v>34</v>
      </c>
      <c r="AG118" s="79" t="s">
        <v>189</v>
      </c>
      <c r="AH118" s="79">
        <v>90.0</v>
      </c>
      <c r="AI118" s="79" t="s">
        <v>208</v>
      </c>
      <c r="AJ118" s="80" t="str">
        <f>AJ112</f>
        <v>開</v>
      </c>
      <c r="AK118" s="81" t="s">
        <v>42</v>
      </c>
      <c r="AL118" s="82" t="str">
        <f>AL112</f>
        <v>休</v>
      </c>
      <c r="AM118" s="81" t="s">
        <v>44</v>
      </c>
      <c r="AN118" s="82" t="s">
        <v>4</v>
      </c>
      <c r="AO118" s="81" t="s">
        <v>46</v>
      </c>
      <c r="AP118" s="82" t="str">
        <f>AP112</f>
        <v>傷</v>
      </c>
      <c r="AQ118" s="81" t="s">
        <v>48</v>
      </c>
      <c r="AR118" s="82" t="s">
        <v>8</v>
      </c>
      <c r="AS118" s="81" t="s">
        <v>50</v>
      </c>
      <c r="AT118" s="82" t="str">
        <f>AT112</f>
        <v>景</v>
      </c>
      <c r="AU118" s="81" t="s">
        <v>52</v>
      </c>
      <c r="AV118" s="82" t="str">
        <f>AV112</f>
        <v>死</v>
      </c>
      <c r="AW118" s="81" t="s">
        <v>38</v>
      </c>
      <c r="AX118" s="82" t="str">
        <f>AX112</f>
        <v>驚</v>
      </c>
      <c r="AY118" s="81" t="s">
        <v>40</v>
      </c>
      <c r="AZ118" s="83"/>
      <c r="BA118" s="84"/>
      <c r="BB118" s="84"/>
      <c r="BC118" s="84"/>
    </row>
    <row r="119">
      <c r="A119" s="192">
        <f>A113+1</f>
        <v>18</v>
      </c>
      <c r="B119" s="193"/>
      <c r="C119" s="12" t="s">
        <v>260</v>
      </c>
      <c r="E119" s="203" t="s">
        <v>209</v>
      </c>
      <c r="G119" s="324" t="str">
        <f t="shared" ref="G119:G120" si="168">G3:H3</f>
        <v>壬</v>
      </c>
      <c r="I119" s="275" t="str">
        <f t="shared" ref="I119:I120" si="169">I33:J33</f>
        <v>丙</v>
      </c>
      <c r="K119" s="90">
        <f>L119/L120</f>
        <v>0.49</v>
      </c>
      <c r="L119" s="126">
        <f t="shared" ref="L119:L120" si="170">O119+P119+Q119+U119+V119+W119+X119+R119+M119+N119+S119+T119</f>
        <v>490</v>
      </c>
      <c r="M119" s="92">
        <v>0.0</v>
      </c>
      <c r="N119" s="93">
        <v>0.0</v>
      </c>
      <c r="O119" s="92">
        <v>85.0</v>
      </c>
      <c r="P119" s="92">
        <v>0.0</v>
      </c>
      <c r="Q119" s="92">
        <v>0.0</v>
      </c>
      <c r="R119" s="93">
        <v>10.0</v>
      </c>
      <c r="S119" s="92">
        <v>85.0</v>
      </c>
      <c r="T119" s="93">
        <v>45.0</v>
      </c>
      <c r="U119" s="92">
        <f t="shared" ref="U119:V119" si="166">U39</f>
        <v>45</v>
      </c>
      <c r="V119" s="93">
        <f t="shared" si="166"/>
        <v>50</v>
      </c>
      <c r="W119" s="92">
        <f t="shared" ref="W119:X119" si="167">W33</f>
        <v>110</v>
      </c>
      <c r="X119" s="93">
        <f t="shared" si="167"/>
        <v>60</v>
      </c>
      <c r="Y119" s="73" t="s">
        <v>98</v>
      </c>
      <c r="Z119" s="94" t="s">
        <v>163</v>
      </c>
      <c r="AA119" s="36"/>
      <c r="AB119" s="36"/>
      <c r="AC119" s="139" t="s">
        <v>148</v>
      </c>
      <c r="AD119" s="96" t="s">
        <v>149</v>
      </c>
      <c r="AE119" s="37"/>
      <c r="AF119" s="97"/>
      <c r="AG119" s="12" t="s">
        <v>54</v>
      </c>
      <c r="AH119" s="12">
        <v>150.0</v>
      </c>
      <c r="AI119" s="12" t="s">
        <v>210</v>
      </c>
      <c r="AJ119" s="98" t="s">
        <v>39</v>
      </c>
      <c r="AK119" s="99" t="s">
        <v>93</v>
      </c>
      <c r="AL119" s="100" t="s">
        <v>37</v>
      </c>
      <c r="AM119" s="99" t="s">
        <v>94</v>
      </c>
      <c r="AN119" s="100" t="s">
        <v>51</v>
      </c>
      <c r="AO119" s="101" t="s">
        <v>95</v>
      </c>
      <c r="AP119" s="100" t="s">
        <v>86</v>
      </c>
      <c r="AQ119" s="99" t="s">
        <v>87</v>
      </c>
      <c r="AR119" s="100" t="s">
        <v>88</v>
      </c>
      <c r="AS119" s="101" t="s">
        <v>89</v>
      </c>
      <c r="AT119" s="100" t="s">
        <v>45</v>
      </c>
      <c r="AU119" s="102" t="s">
        <v>90</v>
      </c>
      <c r="AV119" s="100" t="s">
        <v>43</v>
      </c>
      <c r="AW119" s="101" t="s">
        <v>91</v>
      </c>
      <c r="AX119" s="100" t="s">
        <v>41</v>
      </c>
      <c r="AY119" s="103" t="s">
        <v>92</v>
      </c>
      <c r="AZ119" s="24"/>
    </row>
    <row r="120">
      <c r="A120" s="215" t="str">
        <f>G2</f>
        <v>เมษายน</v>
      </c>
      <c r="B120" s="193"/>
      <c r="C120" s="140" t="s">
        <v>179</v>
      </c>
      <c r="E120" s="162" t="s">
        <v>206</v>
      </c>
      <c r="G120" s="180" t="str">
        <f t="shared" si="168"/>
        <v>辰</v>
      </c>
      <c r="I120" s="142" t="str">
        <f t="shared" si="169"/>
        <v>午</v>
      </c>
      <c r="K120" s="36"/>
      <c r="L120" s="109">
        <f t="shared" si="170"/>
        <v>1000</v>
      </c>
      <c r="M120" s="9">
        <v>0.0</v>
      </c>
      <c r="N120" s="110">
        <v>0.0</v>
      </c>
      <c r="O120" s="9">
        <v>100.0</v>
      </c>
      <c r="P120" s="9">
        <v>100.0</v>
      </c>
      <c r="Q120" s="9">
        <v>100.0</v>
      </c>
      <c r="R120" s="110">
        <v>100.0</v>
      </c>
      <c r="S120" s="9">
        <v>100.0</v>
      </c>
      <c r="T120" s="110">
        <v>100.0</v>
      </c>
      <c r="U120" s="9">
        <v>100.0</v>
      </c>
      <c r="V120" s="110">
        <v>100.0</v>
      </c>
      <c r="W120" s="9">
        <v>100.0</v>
      </c>
      <c r="X120" s="110">
        <v>100.0</v>
      </c>
      <c r="Y120" s="73" t="s">
        <v>116</v>
      </c>
      <c r="Z120" s="94" t="s">
        <v>153</v>
      </c>
      <c r="AA120" s="36"/>
      <c r="AB120" s="36"/>
      <c r="AC120" s="111"/>
      <c r="AD120" s="112"/>
      <c r="AE120" s="37"/>
      <c r="AF120" s="97"/>
      <c r="AG120" s="14"/>
      <c r="AH120" s="14"/>
      <c r="AI120" s="14"/>
      <c r="AJ120" s="113"/>
      <c r="AK120" s="104" t="s">
        <v>105</v>
      </c>
      <c r="AM120" s="104" t="s">
        <v>106</v>
      </c>
      <c r="AO120" s="105" t="s">
        <v>107</v>
      </c>
      <c r="AQ120" s="104" t="s">
        <v>100</v>
      </c>
      <c r="AS120" s="114" t="s">
        <v>101</v>
      </c>
      <c r="AU120" s="105" t="s">
        <v>102</v>
      </c>
      <c r="AW120" s="105" t="s">
        <v>103</v>
      </c>
      <c r="AY120" s="104" t="s">
        <v>104</v>
      </c>
      <c r="AZ120" s="24"/>
    </row>
    <row r="121">
      <c r="A121" s="192">
        <v>2569.0</v>
      </c>
      <c r="B121" s="193"/>
      <c r="E121" s="115" t="s">
        <v>219</v>
      </c>
      <c r="F121" s="116" t="s">
        <v>111</v>
      </c>
      <c r="G121" s="115" t="str">
        <f t="shared" ref="G121:H121" si="171">G41</f>
        <v>A9</v>
      </c>
      <c r="H121" s="9" t="str">
        <f t="shared" si="171"/>
        <v>B9</v>
      </c>
      <c r="I121" s="9" t="str">
        <f t="shared" ref="I121:J121" si="172">I35</f>
        <v>A5</v>
      </c>
      <c r="J121" s="9" t="str">
        <f t="shared" si="172"/>
        <v>B11</v>
      </c>
      <c r="K121" s="36"/>
      <c r="L121" s="117"/>
      <c r="M121" s="118" t="str">
        <f t="shared" ref="M121:P121" si="173">C121</f>
        <v/>
      </c>
      <c r="N121" s="119" t="str">
        <f t="shared" si="173"/>
        <v/>
      </c>
      <c r="O121" s="118" t="str">
        <f t="shared" si="173"/>
        <v>A3</v>
      </c>
      <c r="P121" s="118" t="str">
        <f t="shared" si="173"/>
        <v>B7</v>
      </c>
      <c r="Q121" s="118" t="str">
        <f t="shared" ref="Q121:R121" si="174">E122</f>
        <v>B7</v>
      </c>
      <c r="R121" s="119" t="str">
        <f t="shared" si="174"/>
        <v>C7</v>
      </c>
      <c r="S121" s="9" t="s">
        <v>219</v>
      </c>
      <c r="T121" s="110" t="s">
        <v>164</v>
      </c>
      <c r="U121" s="9" t="str">
        <f t="shared" ref="U121:X121" si="175">G121</f>
        <v>A9</v>
      </c>
      <c r="V121" s="119" t="str">
        <f t="shared" si="175"/>
        <v>B9</v>
      </c>
      <c r="W121" s="118" t="str">
        <f t="shared" si="175"/>
        <v>A5</v>
      </c>
      <c r="X121" s="120" t="str">
        <f t="shared" si="175"/>
        <v>B11</v>
      </c>
      <c r="Y121" s="73" t="s">
        <v>126</v>
      </c>
      <c r="Z121" s="94" t="s">
        <v>155</v>
      </c>
      <c r="AA121" s="36"/>
      <c r="AB121" s="36"/>
      <c r="AC121" s="111"/>
      <c r="AD121" s="112"/>
      <c r="AE121" s="37"/>
      <c r="AF121" s="97"/>
      <c r="AG121" s="14"/>
      <c r="AH121" s="14"/>
      <c r="AI121" s="14"/>
      <c r="AJ121" s="113"/>
      <c r="AK121" s="104" t="s">
        <v>123</v>
      </c>
      <c r="AM121" s="104" t="s">
        <v>124</v>
      </c>
      <c r="AO121" s="105" t="s">
        <v>125</v>
      </c>
      <c r="AQ121" s="104" t="s">
        <v>118</v>
      </c>
      <c r="AS121" s="114" t="s">
        <v>119</v>
      </c>
      <c r="AU121" s="105" t="s">
        <v>120</v>
      </c>
      <c r="AW121" s="105" t="s">
        <v>121</v>
      </c>
      <c r="AY121" s="104" t="s">
        <v>122</v>
      </c>
      <c r="AZ121" s="24"/>
    </row>
    <row r="122">
      <c r="A122" s="192">
        <f>A121-543</f>
        <v>2026</v>
      </c>
      <c r="B122" s="193"/>
      <c r="C122" s="12" t="s">
        <v>166</v>
      </c>
      <c r="E122" s="115" t="s">
        <v>111</v>
      </c>
      <c r="F122" s="116" t="s">
        <v>220</v>
      </c>
      <c r="G122" s="115"/>
      <c r="H122" s="118"/>
      <c r="I122" s="118"/>
      <c r="J122" s="118"/>
      <c r="K122" s="36"/>
      <c r="L122" s="117"/>
      <c r="M122" s="326"/>
      <c r="N122" s="327"/>
      <c r="R122" s="117"/>
      <c r="T122" s="117"/>
      <c r="V122" s="117"/>
      <c r="X122" s="117"/>
      <c r="Y122" s="73" t="s">
        <v>69</v>
      </c>
      <c r="Z122" s="94" t="s">
        <v>128</v>
      </c>
      <c r="AA122" s="36"/>
      <c r="AB122" s="36"/>
      <c r="AC122" s="111"/>
      <c r="AD122" s="112"/>
      <c r="AE122" s="37"/>
      <c r="AF122" s="97"/>
      <c r="AG122" s="14"/>
      <c r="AH122" s="14"/>
      <c r="AI122" s="14"/>
      <c r="AJ122" s="113"/>
      <c r="AK122" s="104" t="s">
        <v>134</v>
      </c>
      <c r="AM122" s="104" t="s">
        <v>135</v>
      </c>
      <c r="AO122" s="105" t="s">
        <v>136</v>
      </c>
      <c r="AQ122" s="104" t="s">
        <v>129</v>
      </c>
      <c r="AS122" s="114" t="s">
        <v>130</v>
      </c>
      <c r="AU122" s="105" t="s">
        <v>131</v>
      </c>
      <c r="AW122" s="105" t="s">
        <v>132</v>
      </c>
      <c r="AY122" s="104" t="s">
        <v>133</v>
      </c>
      <c r="AZ122" s="24"/>
    </row>
    <row r="123">
      <c r="A123" s="279"/>
      <c r="B123" s="206"/>
      <c r="C123" s="123"/>
      <c r="D123" s="123"/>
      <c r="E123" s="176" t="s">
        <v>185</v>
      </c>
      <c r="F123" s="88"/>
      <c r="G123" s="207" t="str">
        <f>G5:H5</f>
        <v>อสูรเดือน S</v>
      </c>
      <c r="I123" s="208" t="str">
        <f>I5:J5</f>
        <v>อสูรปี N</v>
      </c>
      <c r="K123" s="36"/>
      <c r="L123" s="117"/>
      <c r="M123" s="128"/>
      <c r="N123" s="117"/>
      <c r="R123" s="117"/>
      <c r="T123" s="117"/>
      <c r="V123" s="117"/>
      <c r="X123" s="117"/>
      <c r="Y123" s="127"/>
      <c r="Z123" s="155"/>
      <c r="AA123" s="36"/>
      <c r="AB123" s="36"/>
      <c r="AC123" s="111"/>
      <c r="AD123" s="112"/>
      <c r="AE123" s="37"/>
      <c r="AF123" s="97"/>
      <c r="AG123" s="14"/>
      <c r="AH123" s="14"/>
      <c r="AI123" s="14"/>
      <c r="AJ123" s="113"/>
      <c r="AU123" s="128"/>
      <c r="AZ123" s="24"/>
    </row>
    <row r="124">
      <c r="A124" s="188" t="s">
        <v>169</v>
      </c>
      <c r="B124" s="189"/>
      <c r="C124" s="63"/>
      <c r="D124" s="63"/>
      <c r="E124" s="216">
        <f>(O125+P125+Q125+R125)/(O126+P126+Q126+R126)</f>
        <v>0.775</v>
      </c>
      <c r="F124" s="65"/>
      <c r="G124" s="133"/>
      <c r="H124" s="72"/>
      <c r="I124" s="67"/>
      <c r="J124" s="72"/>
      <c r="K124" s="68"/>
      <c r="L124" s="69"/>
      <c r="M124" s="63" t="s">
        <v>64</v>
      </c>
      <c r="N124" s="70"/>
      <c r="O124" s="71" t="s">
        <v>65</v>
      </c>
      <c r="P124" s="72"/>
      <c r="Q124" s="72"/>
      <c r="R124" s="70"/>
      <c r="S124" s="71" t="s">
        <v>66</v>
      </c>
      <c r="T124" s="70"/>
      <c r="U124" s="71" t="s">
        <v>67</v>
      </c>
      <c r="V124" s="70"/>
      <c r="W124" s="71" t="s">
        <v>68</v>
      </c>
      <c r="X124" s="70"/>
      <c r="Y124" s="134" t="s">
        <v>69</v>
      </c>
      <c r="Z124" s="74" t="s">
        <v>70</v>
      </c>
      <c r="AA124" s="75" t="s">
        <v>189</v>
      </c>
      <c r="AB124" s="75" t="s">
        <v>192</v>
      </c>
      <c r="AC124" s="135" t="s">
        <v>142</v>
      </c>
      <c r="AD124" s="74" t="s">
        <v>143</v>
      </c>
      <c r="AE124" s="63" t="s">
        <v>144</v>
      </c>
      <c r="AF124" s="78" t="s">
        <v>75</v>
      </c>
      <c r="AG124" s="79" t="s">
        <v>54</v>
      </c>
      <c r="AH124" s="79">
        <v>150.0</v>
      </c>
      <c r="AI124" s="79" t="s">
        <v>210</v>
      </c>
      <c r="AJ124" s="80" t="str">
        <f>AJ118</f>
        <v>開</v>
      </c>
      <c r="AK124" s="81" t="s">
        <v>46</v>
      </c>
      <c r="AL124" s="82" t="str">
        <f>AL118</f>
        <v>休</v>
      </c>
      <c r="AM124" s="81" t="s">
        <v>48</v>
      </c>
      <c r="AN124" s="82" t="str">
        <f>AN118</f>
        <v>生</v>
      </c>
      <c r="AO124" s="81" t="s">
        <v>50</v>
      </c>
      <c r="AP124" s="82" t="str">
        <f>AP118</f>
        <v>傷</v>
      </c>
      <c r="AQ124" s="81" t="s">
        <v>52</v>
      </c>
      <c r="AR124" s="82" t="str">
        <f>AR118</f>
        <v>杜</v>
      </c>
      <c r="AS124" s="81" t="s">
        <v>38</v>
      </c>
      <c r="AT124" s="82" t="str">
        <f>AT118</f>
        <v>景</v>
      </c>
      <c r="AU124" s="81" t="s">
        <v>40</v>
      </c>
      <c r="AV124" s="82" t="str">
        <f>AV118</f>
        <v>死</v>
      </c>
      <c r="AW124" s="81" t="s">
        <v>42</v>
      </c>
      <c r="AX124" s="82" t="str">
        <f>AX118</f>
        <v>驚</v>
      </c>
      <c r="AY124" s="81" t="s">
        <v>44</v>
      </c>
      <c r="AZ124" s="83"/>
      <c r="BA124" s="84"/>
      <c r="BB124" s="84"/>
      <c r="BC124" s="84"/>
    </row>
    <row r="125">
      <c r="A125" s="192">
        <f>A119+1</f>
        <v>19</v>
      </c>
      <c r="B125" s="193"/>
      <c r="C125" s="12" t="s">
        <v>270</v>
      </c>
      <c r="E125" s="203" t="s">
        <v>171</v>
      </c>
      <c r="G125" s="324" t="str">
        <f t="shared" ref="G125:G126" si="178">G3:H3</f>
        <v>壬</v>
      </c>
      <c r="I125" s="275" t="str">
        <f t="shared" ref="I125:I126" si="179">I33:J33</f>
        <v>丙</v>
      </c>
      <c r="K125" s="90">
        <f>L125/L126</f>
        <v>0.74</v>
      </c>
      <c r="L125" s="126">
        <f t="shared" ref="L125:L126" si="180">O125+P125+Q125+U125+V125+W125+X125+R125+M125+N125+S125+T125</f>
        <v>740</v>
      </c>
      <c r="M125" s="92">
        <v>0.0</v>
      </c>
      <c r="N125" s="93">
        <v>0.0</v>
      </c>
      <c r="O125" s="92">
        <v>110.0</v>
      </c>
      <c r="P125" s="92">
        <v>90.0</v>
      </c>
      <c r="Q125" s="92">
        <v>90.0</v>
      </c>
      <c r="R125" s="93">
        <v>20.0</v>
      </c>
      <c r="S125" s="92">
        <v>100.0</v>
      </c>
      <c r="T125" s="93">
        <v>65.0</v>
      </c>
      <c r="U125" s="92">
        <f t="shared" ref="U125:V125" si="176">U39</f>
        <v>45</v>
      </c>
      <c r="V125" s="93">
        <f t="shared" si="176"/>
        <v>50</v>
      </c>
      <c r="W125" s="92">
        <f t="shared" ref="W125:X125" si="177">W33</f>
        <v>110</v>
      </c>
      <c r="X125" s="93">
        <f t="shared" si="177"/>
        <v>60</v>
      </c>
      <c r="Y125" s="73" t="s">
        <v>80</v>
      </c>
      <c r="Z125" s="94" t="s">
        <v>81</v>
      </c>
      <c r="AA125" s="36"/>
      <c r="AB125" s="29" t="s">
        <v>316</v>
      </c>
      <c r="AC125" s="139" t="s">
        <v>148</v>
      </c>
      <c r="AD125" s="96" t="s">
        <v>149</v>
      </c>
      <c r="AE125" s="37"/>
      <c r="AF125" s="97"/>
      <c r="AG125" s="12" t="s">
        <v>189</v>
      </c>
      <c r="AH125" s="12">
        <v>90.0</v>
      </c>
      <c r="AI125" s="12" t="s">
        <v>208</v>
      </c>
      <c r="AJ125" s="98" t="s">
        <v>39</v>
      </c>
      <c r="AK125" s="99" t="s">
        <v>93</v>
      </c>
      <c r="AL125" s="100" t="s">
        <v>37</v>
      </c>
      <c r="AM125" s="99" t="s">
        <v>94</v>
      </c>
      <c r="AN125" s="100" t="s">
        <v>51</v>
      </c>
      <c r="AO125" s="101" t="s">
        <v>95</v>
      </c>
      <c r="AP125" s="100" t="s">
        <v>86</v>
      </c>
      <c r="AQ125" s="99" t="s">
        <v>87</v>
      </c>
      <c r="AR125" s="100" t="s">
        <v>88</v>
      </c>
      <c r="AS125" s="101" t="s">
        <v>89</v>
      </c>
      <c r="AT125" s="100" t="s">
        <v>45</v>
      </c>
      <c r="AU125" s="102" t="s">
        <v>90</v>
      </c>
      <c r="AV125" s="100" t="s">
        <v>43</v>
      </c>
      <c r="AW125" s="101" t="s">
        <v>91</v>
      </c>
      <c r="AX125" s="100" t="s">
        <v>41</v>
      </c>
      <c r="AY125" s="103" t="s">
        <v>92</v>
      </c>
      <c r="AZ125" s="24"/>
    </row>
    <row r="126">
      <c r="A126" s="215" t="str">
        <f>G2</f>
        <v>เมษายน</v>
      </c>
      <c r="B126" s="193"/>
      <c r="C126" s="175" t="s">
        <v>188</v>
      </c>
      <c r="E126" s="107" t="s">
        <v>97</v>
      </c>
      <c r="G126" s="180" t="str">
        <f t="shared" si="178"/>
        <v>辰</v>
      </c>
      <c r="I126" s="142" t="str">
        <f t="shared" si="179"/>
        <v>午</v>
      </c>
      <c r="K126" s="36"/>
      <c r="L126" s="109">
        <f t="shared" si="180"/>
        <v>1000</v>
      </c>
      <c r="M126" s="9">
        <v>0.0</v>
      </c>
      <c r="N126" s="110">
        <v>0.0</v>
      </c>
      <c r="O126" s="9">
        <v>100.0</v>
      </c>
      <c r="P126" s="9">
        <v>100.0</v>
      </c>
      <c r="Q126" s="9">
        <v>100.0</v>
      </c>
      <c r="R126" s="110">
        <v>100.0</v>
      </c>
      <c r="S126" s="9">
        <v>100.0</v>
      </c>
      <c r="T126" s="110">
        <v>100.0</v>
      </c>
      <c r="U126" s="9">
        <v>100.0</v>
      </c>
      <c r="V126" s="110">
        <v>100.0</v>
      </c>
      <c r="W126" s="9">
        <v>100.0</v>
      </c>
      <c r="X126" s="110">
        <v>100.0</v>
      </c>
      <c r="Y126" s="73" t="s">
        <v>98</v>
      </c>
      <c r="Z126" s="94" t="s">
        <v>99</v>
      </c>
      <c r="AA126" s="36"/>
      <c r="AB126" s="36"/>
      <c r="AC126" s="111"/>
      <c r="AD126" s="112"/>
      <c r="AE126" s="37"/>
      <c r="AF126" s="97"/>
      <c r="AG126" s="14"/>
      <c r="AH126" s="14"/>
      <c r="AI126" s="14"/>
      <c r="AJ126" s="113"/>
      <c r="AK126" s="104" t="s">
        <v>105</v>
      </c>
      <c r="AM126" s="104" t="s">
        <v>106</v>
      </c>
      <c r="AO126" s="105" t="s">
        <v>107</v>
      </c>
      <c r="AQ126" s="104" t="s">
        <v>100</v>
      </c>
      <c r="AS126" s="114" t="s">
        <v>101</v>
      </c>
      <c r="AU126" s="105" t="s">
        <v>102</v>
      </c>
      <c r="AW126" s="105" t="s">
        <v>103</v>
      </c>
      <c r="AY126" s="104" t="s">
        <v>104</v>
      </c>
      <c r="AZ126" s="24"/>
    </row>
    <row r="127">
      <c r="A127" s="192">
        <v>2569.0</v>
      </c>
      <c r="B127" s="193"/>
      <c r="E127" s="115" t="s">
        <v>204</v>
      </c>
      <c r="F127" s="116" t="s">
        <v>69</v>
      </c>
      <c r="G127" s="115" t="str">
        <f t="shared" ref="G127:H127" si="181">G41</f>
        <v>A9</v>
      </c>
      <c r="H127" s="9" t="str">
        <f t="shared" si="181"/>
        <v>B9</v>
      </c>
      <c r="I127" s="9" t="str">
        <f t="shared" ref="I127:J127" si="182">I35</f>
        <v>A5</v>
      </c>
      <c r="J127" s="9" t="str">
        <f t="shared" si="182"/>
        <v>B11</v>
      </c>
      <c r="K127" s="36"/>
      <c r="L127" s="117"/>
      <c r="M127" s="118" t="str">
        <f t="shared" ref="M127:P127" si="183">C127</f>
        <v/>
      </c>
      <c r="N127" s="119" t="str">
        <f t="shared" si="183"/>
        <v/>
      </c>
      <c r="O127" s="118" t="str">
        <f t="shared" si="183"/>
        <v>A5</v>
      </c>
      <c r="P127" s="118" t="str">
        <f t="shared" si="183"/>
        <v>B8</v>
      </c>
      <c r="Q127" s="118" t="str">
        <f t="shared" ref="Q127:R127" si="184">E128</f>
        <v>B6</v>
      </c>
      <c r="R127" s="119" t="str">
        <f t="shared" si="184"/>
        <v>C8</v>
      </c>
      <c r="S127" s="9" t="s">
        <v>213</v>
      </c>
      <c r="T127" s="110" t="s">
        <v>165</v>
      </c>
      <c r="U127" s="9" t="str">
        <f t="shared" ref="U127:X127" si="185">G127</f>
        <v>A9</v>
      </c>
      <c r="V127" s="119" t="str">
        <f t="shared" si="185"/>
        <v>B9</v>
      </c>
      <c r="W127" s="118" t="str">
        <f t="shared" si="185"/>
        <v>A5</v>
      </c>
      <c r="X127" s="120" t="str">
        <f t="shared" si="185"/>
        <v>B11</v>
      </c>
      <c r="Y127" s="73" t="s">
        <v>116</v>
      </c>
      <c r="Z127" s="94" t="s">
        <v>117</v>
      </c>
      <c r="AA127" s="36"/>
      <c r="AB127" s="36"/>
      <c r="AC127" s="111"/>
      <c r="AD127" s="112"/>
      <c r="AE127" s="37"/>
      <c r="AF127" s="97"/>
      <c r="AG127" s="14"/>
      <c r="AH127" s="14"/>
      <c r="AI127" s="14"/>
      <c r="AJ127" s="113"/>
      <c r="AK127" s="104" t="s">
        <v>123</v>
      </c>
      <c r="AM127" s="104" t="s">
        <v>124</v>
      </c>
      <c r="AO127" s="105" t="s">
        <v>125</v>
      </c>
      <c r="AQ127" s="104" t="s">
        <v>118</v>
      </c>
      <c r="AS127" s="114" t="s">
        <v>119</v>
      </c>
      <c r="AU127" s="105" t="s">
        <v>120</v>
      </c>
      <c r="AW127" s="105" t="s">
        <v>121</v>
      </c>
      <c r="AY127" s="104" t="s">
        <v>122</v>
      </c>
      <c r="AZ127" s="24"/>
    </row>
    <row r="128">
      <c r="A128" s="192">
        <f>A127-543</f>
        <v>2026</v>
      </c>
      <c r="B128" s="193"/>
      <c r="E128" s="115" t="s">
        <v>126</v>
      </c>
      <c r="F128" s="116" t="s">
        <v>225</v>
      </c>
      <c r="G128" s="115"/>
      <c r="H128" s="118"/>
      <c r="I128" s="118"/>
      <c r="J128" s="118"/>
      <c r="K128" s="36"/>
      <c r="L128" s="117"/>
      <c r="M128" s="326"/>
      <c r="N128" s="327"/>
      <c r="R128" s="117"/>
      <c r="T128" s="117"/>
      <c r="V128" s="117"/>
      <c r="X128" s="117"/>
      <c r="Y128" s="73" t="s">
        <v>126</v>
      </c>
      <c r="Z128" s="94" t="s">
        <v>128</v>
      </c>
      <c r="AA128" s="36"/>
      <c r="AB128" s="36"/>
      <c r="AC128" s="111"/>
      <c r="AD128" s="112"/>
      <c r="AE128" s="37"/>
      <c r="AF128" s="97"/>
      <c r="AG128" s="14"/>
      <c r="AH128" s="14"/>
      <c r="AI128" s="14"/>
      <c r="AJ128" s="113"/>
      <c r="AK128" s="104" t="s">
        <v>134</v>
      </c>
      <c r="AM128" s="104" t="s">
        <v>135</v>
      </c>
      <c r="AO128" s="105" t="s">
        <v>136</v>
      </c>
      <c r="AQ128" s="104" t="s">
        <v>129</v>
      </c>
      <c r="AS128" s="114" t="s">
        <v>130</v>
      </c>
      <c r="AU128" s="105" t="s">
        <v>131</v>
      </c>
      <c r="AW128" s="105" t="s">
        <v>132</v>
      </c>
      <c r="AY128" s="104" t="s">
        <v>133</v>
      </c>
      <c r="AZ128" s="24"/>
    </row>
    <row r="129">
      <c r="A129" s="113"/>
      <c r="B129" s="206"/>
      <c r="C129" s="123"/>
      <c r="D129" s="123"/>
      <c r="E129" s="164" t="s">
        <v>137</v>
      </c>
      <c r="F129" s="88"/>
      <c r="G129" s="207" t="str">
        <f>G5:H5</f>
        <v>อสูรเดือน S</v>
      </c>
      <c r="I129" s="208" t="str">
        <f>I5:J5</f>
        <v>อสูรปี N</v>
      </c>
      <c r="K129" s="36"/>
      <c r="L129" s="117"/>
      <c r="M129" s="128"/>
      <c r="N129" s="117"/>
      <c r="R129" s="117"/>
      <c r="T129" s="117"/>
      <c r="V129" s="117"/>
      <c r="X129" s="117"/>
      <c r="Y129" s="127"/>
      <c r="Z129" s="155"/>
      <c r="AA129" s="36"/>
      <c r="AB129" s="36"/>
      <c r="AC129" s="111"/>
      <c r="AD129" s="112"/>
      <c r="AE129" s="37"/>
      <c r="AF129" s="97"/>
      <c r="AG129" s="14"/>
      <c r="AH129" s="14"/>
      <c r="AI129" s="14"/>
      <c r="AJ129" s="113"/>
      <c r="AK129" s="128"/>
      <c r="AZ129" s="24"/>
    </row>
    <row r="130">
      <c r="A130" s="188" t="s">
        <v>186</v>
      </c>
      <c r="B130" s="189"/>
      <c r="C130" s="63"/>
      <c r="D130" s="63"/>
      <c r="E130" s="216">
        <f>(O131+P131+Q131+R131)/(O132+P132+Q132+R132)</f>
        <v>0.725</v>
      </c>
      <c r="F130" s="65"/>
      <c r="G130" s="133"/>
      <c r="H130" s="72"/>
      <c r="I130" s="67"/>
      <c r="J130" s="72"/>
      <c r="K130" s="68"/>
      <c r="L130" s="69"/>
      <c r="M130" s="63" t="s">
        <v>64</v>
      </c>
      <c r="N130" s="70"/>
      <c r="O130" s="71" t="s">
        <v>65</v>
      </c>
      <c r="P130" s="72"/>
      <c r="Q130" s="72"/>
      <c r="R130" s="70"/>
      <c r="S130" s="71" t="s">
        <v>66</v>
      </c>
      <c r="T130" s="70"/>
      <c r="U130" s="71" t="s">
        <v>67</v>
      </c>
      <c r="V130" s="70"/>
      <c r="W130" s="71" t="s">
        <v>68</v>
      </c>
      <c r="X130" s="70"/>
      <c r="Y130" s="134" t="s">
        <v>116</v>
      </c>
      <c r="Z130" s="74" t="s">
        <v>140</v>
      </c>
      <c r="AA130" s="75" t="s">
        <v>97</v>
      </c>
      <c r="AB130" s="75" t="s">
        <v>317</v>
      </c>
      <c r="AC130" s="190" t="s">
        <v>173</v>
      </c>
      <c r="AD130" s="77" t="s">
        <v>193</v>
      </c>
      <c r="AE130" s="63" t="s">
        <v>35</v>
      </c>
      <c r="AF130" s="78" t="s">
        <v>144</v>
      </c>
      <c r="AG130" s="79" t="s">
        <v>71</v>
      </c>
      <c r="AH130" s="79">
        <v>210.0</v>
      </c>
      <c r="AI130" s="79" t="s">
        <v>175</v>
      </c>
      <c r="AJ130" s="80" t="str">
        <f>AJ124</f>
        <v>開</v>
      </c>
      <c r="AK130" s="81" t="s">
        <v>38</v>
      </c>
      <c r="AL130" s="82" t="str">
        <f>AL124</f>
        <v>休</v>
      </c>
      <c r="AM130" s="81" t="s">
        <v>40</v>
      </c>
      <c r="AN130" s="82" t="s">
        <v>4</v>
      </c>
      <c r="AO130" s="81" t="s">
        <v>42</v>
      </c>
      <c r="AP130" s="82" t="str">
        <f>AP124</f>
        <v>傷</v>
      </c>
      <c r="AQ130" s="81" t="s">
        <v>44</v>
      </c>
      <c r="AR130" s="82" t="s">
        <v>8</v>
      </c>
      <c r="AS130" s="81" t="s">
        <v>46</v>
      </c>
      <c r="AT130" s="82" t="str">
        <f>AT124</f>
        <v>景</v>
      </c>
      <c r="AU130" s="81" t="s">
        <v>48</v>
      </c>
      <c r="AV130" s="82" t="str">
        <f>AV124</f>
        <v>死</v>
      </c>
      <c r="AW130" s="81" t="s">
        <v>50</v>
      </c>
      <c r="AX130" s="82" t="str">
        <f>AX124</f>
        <v>驚</v>
      </c>
      <c r="AY130" s="81" t="s">
        <v>52</v>
      </c>
      <c r="AZ130" s="83"/>
      <c r="BA130" s="84"/>
      <c r="BB130" s="84"/>
      <c r="BC130" s="84"/>
    </row>
    <row r="131">
      <c r="A131" s="222">
        <f>A125+1</f>
        <v>20</v>
      </c>
      <c r="B131" s="193"/>
      <c r="C131" s="12" t="s">
        <v>249</v>
      </c>
      <c r="E131" s="87" t="s">
        <v>222</v>
      </c>
      <c r="G131" s="324" t="str">
        <f t="shared" ref="G131:G132" si="188">G3:H3</f>
        <v>壬</v>
      </c>
      <c r="I131" s="275" t="str">
        <f t="shared" ref="I131:I132" si="189">I33:J33</f>
        <v>丙</v>
      </c>
      <c r="K131" s="90">
        <f>L131/L132</f>
        <v>0.7</v>
      </c>
      <c r="L131" s="126">
        <f t="shared" ref="L131:L132" si="190">O131+P131+Q131+U131+V131+W131+X131+R131+M131+N131+S131+T131</f>
        <v>700</v>
      </c>
      <c r="M131" s="92">
        <v>0.0</v>
      </c>
      <c r="N131" s="93">
        <v>0.0</v>
      </c>
      <c r="O131" s="92">
        <v>40.0</v>
      </c>
      <c r="P131" s="92">
        <v>50.0</v>
      </c>
      <c r="Q131" s="92">
        <v>100.0</v>
      </c>
      <c r="R131" s="93">
        <v>100.0</v>
      </c>
      <c r="S131" s="92">
        <v>110.0</v>
      </c>
      <c r="T131" s="93">
        <v>35.0</v>
      </c>
      <c r="U131" s="92">
        <f t="shared" ref="U131:V131" si="186">U39</f>
        <v>45</v>
      </c>
      <c r="V131" s="93">
        <f t="shared" si="186"/>
        <v>50</v>
      </c>
      <c r="W131" s="92">
        <f t="shared" ref="W131:X131" si="187">W33</f>
        <v>110</v>
      </c>
      <c r="X131" s="93">
        <f t="shared" si="187"/>
        <v>60</v>
      </c>
      <c r="Y131" s="73" t="s">
        <v>126</v>
      </c>
      <c r="Z131" s="94" t="s">
        <v>70</v>
      </c>
      <c r="AA131" s="36"/>
      <c r="AB131" s="36"/>
      <c r="AC131" s="195" t="s">
        <v>196</v>
      </c>
      <c r="AD131" s="96" t="s">
        <v>149</v>
      </c>
      <c r="AE131" s="37"/>
      <c r="AF131" s="97"/>
      <c r="AG131" s="12" t="s">
        <v>53</v>
      </c>
      <c r="AH131" s="12">
        <v>30.0</v>
      </c>
      <c r="AI131" s="12" t="s">
        <v>178</v>
      </c>
      <c r="AJ131" s="98" t="s">
        <v>37</v>
      </c>
      <c r="AK131" s="99" t="s">
        <v>94</v>
      </c>
      <c r="AL131" s="100" t="s">
        <v>51</v>
      </c>
      <c r="AM131" s="101" t="s">
        <v>95</v>
      </c>
      <c r="AN131" s="100" t="s">
        <v>86</v>
      </c>
      <c r="AO131" s="99" t="s">
        <v>87</v>
      </c>
      <c r="AP131" s="100" t="s">
        <v>88</v>
      </c>
      <c r="AQ131" s="101" t="s">
        <v>89</v>
      </c>
      <c r="AR131" s="100" t="s">
        <v>45</v>
      </c>
      <c r="AS131" s="102" t="s">
        <v>90</v>
      </c>
      <c r="AT131" s="100" t="s">
        <v>43</v>
      </c>
      <c r="AU131" s="101" t="s">
        <v>91</v>
      </c>
      <c r="AV131" s="100" t="s">
        <v>41</v>
      </c>
      <c r="AW131" s="103" t="s">
        <v>92</v>
      </c>
      <c r="AX131" s="100" t="s">
        <v>39</v>
      </c>
      <c r="AY131" s="99" t="s">
        <v>93</v>
      </c>
      <c r="AZ131" s="24"/>
    </row>
    <row r="132">
      <c r="A132" s="215" t="str">
        <f>G2</f>
        <v>เมษายน</v>
      </c>
      <c r="B132" s="193"/>
      <c r="C132" s="175" t="s">
        <v>211</v>
      </c>
      <c r="E132" s="107" t="s">
        <v>84</v>
      </c>
      <c r="G132" s="180" t="str">
        <f t="shared" si="188"/>
        <v>辰</v>
      </c>
      <c r="I132" s="142" t="str">
        <f t="shared" si="189"/>
        <v>午</v>
      </c>
      <c r="K132" s="36"/>
      <c r="L132" s="109">
        <f t="shared" si="190"/>
        <v>1000</v>
      </c>
      <c r="M132" s="9">
        <v>0.0</v>
      </c>
      <c r="N132" s="110">
        <v>0.0</v>
      </c>
      <c r="O132" s="9">
        <v>100.0</v>
      </c>
      <c r="P132" s="9">
        <v>100.0</v>
      </c>
      <c r="Q132" s="9">
        <v>100.0</v>
      </c>
      <c r="R132" s="110">
        <v>100.0</v>
      </c>
      <c r="S132" s="9">
        <v>100.0</v>
      </c>
      <c r="T132" s="110">
        <v>100.0</v>
      </c>
      <c r="U132" s="9">
        <v>100.0</v>
      </c>
      <c r="V132" s="110">
        <v>100.0</v>
      </c>
      <c r="W132" s="9">
        <v>100.0</v>
      </c>
      <c r="X132" s="110">
        <v>100.0</v>
      </c>
      <c r="Y132" s="73" t="s">
        <v>69</v>
      </c>
      <c r="Z132" s="94" t="s">
        <v>152</v>
      </c>
      <c r="AA132" s="36"/>
      <c r="AB132" s="36"/>
      <c r="AC132" s="111"/>
      <c r="AD132" s="112"/>
      <c r="AE132" s="37"/>
      <c r="AF132" s="97"/>
      <c r="AG132" s="14"/>
      <c r="AH132" s="14"/>
      <c r="AI132" s="14"/>
      <c r="AJ132" s="113"/>
      <c r="AK132" s="104" t="s">
        <v>106</v>
      </c>
      <c r="AM132" s="105" t="s">
        <v>107</v>
      </c>
      <c r="AO132" s="104" t="s">
        <v>100</v>
      </c>
      <c r="AQ132" s="114" t="s">
        <v>101</v>
      </c>
      <c r="AS132" s="105" t="s">
        <v>102</v>
      </c>
      <c r="AU132" s="105" t="s">
        <v>103</v>
      </c>
      <c r="AW132" s="104" t="s">
        <v>104</v>
      </c>
      <c r="AY132" s="104" t="s">
        <v>105</v>
      </c>
      <c r="AZ132" s="24"/>
    </row>
    <row r="133">
      <c r="A133" s="192">
        <v>2569.0</v>
      </c>
      <c r="B133" s="193"/>
      <c r="E133" s="115" t="s">
        <v>112</v>
      </c>
      <c r="F133" s="116" t="s">
        <v>212</v>
      </c>
      <c r="G133" s="115" t="str">
        <f t="shared" ref="G133:H133" si="191">G41</f>
        <v>A9</v>
      </c>
      <c r="H133" s="9" t="str">
        <f t="shared" si="191"/>
        <v>B9</v>
      </c>
      <c r="I133" s="9" t="str">
        <f t="shared" ref="I133:J133" si="192">I35</f>
        <v>A5</v>
      </c>
      <c r="J133" s="9" t="str">
        <f t="shared" si="192"/>
        <v>B11</v>
      </c>
      <c r="K133" s="36"/>
      <c r="L133" s="117"/>
      <c r="M133" s="118" t="str">
        <f t="shared" ref="M133:P133" si="193">C133</f>
        <v/>
      </c>
      <c r="N133" s="119" t="str">
        <f t="shared" si="193"/>
        <v/>
      </c>
      <c r="O133" s="118" t="str">
        <f t="shared" si="193"/>
        <v>A2</v>
      </c>
      <c r="P133" s="118" t="str">
        <f t="shared" si="193"/>
        <v>B9</v>
      </c>
      <c r="Q133" s="118" t="str">
        <f t="shared" ref="Q133:R133" si="194">E134</f>
        <v>B5</v>
      </c>
      <c r="R133" s="119" t="str">
        <f t="shared" si="194"/>
        <v>C9</v>
      </c>
      <c r="S133" s="9" t="s">
        <v>204</v>
      </c>
      <c r="T133" s="110" t="s">
        <v>198</v>
      </c>
      <c r="U133" s="9" t="str">
        <f t="shared" ref="U133:X133" si="195">G133</f>
        <v>A9</v>
      </c>
      <c r="V133" s="119" t="str">
        <f t="shared" si="195"/>
        <v>B9</v>
      </c>
      <c r="W133" s="118" t="str">
        <f t="shared" si="195"/>
        <v>A5</v>
      </c>
      <c r="X133" s="120" t="str">
        <f t="shared" si="195"/>
        <v>B11</v>
      </c>
      <c r="Y133" s="73" t="s">
        <v>80</v>
      </c>
      <c r="Z133" s="94" t="s">
        <v>153</v>
      </c>
      <c r="AA133" s="36"/>
      <c r="AB133" s="36"/>
      <c r="AC133" s="111"/>
      <c r="AD133" s="112"/>
      <c r="AE133" s="37"/>
      <c r="AF133" s="97"/>
      <c r="AG133" s="14"/>
      <c r="AH133" s="14"/>
      <c r="AI133" s="14"/>
      <c r="AJ133" s="113"/>
      <c r="AK133" s="104" t="s">
        <v>124</v>
      </c>
      <c r="AM133" s="105" t="s">
        <v>125</v>
      </c>
      <c r="AO133" s="104" t="s">
        <v>118</v>
      </c>
      <c r="AQ133" s="114" t="s">
        <v>119</v>
      </c>
      <c r="AS133" s="105" t="s">
        <v>120</v>
      </c>
      <c r="AU133" s="105" t="s">
        <v>121</v>
      </c>
      <c r="AW133" s="104" t="s">
        <v>122</v>
      </c>
      <c r="AY133" s="104" t="s">
        <v>123</v>
      </c>
      <c r="AZ133" s="24"/>
    </row>
    <row r="134">
      <c r="A134" s="192">
        <f>A133-543</f>
        <v>2026</v>
      </c>
      <c r="B134" s="193"/>
      <c r="C134" s="181"/>
      <c r="E134" s="115" t="s">
        <v>116</v>
      </c>
      <c r="F134" s="116" t="s">
        <v>229</v>
      </c>
      <c r="G134" s="115"/>
      <c r="H134" s="118"/>
      <c r="I134" s="118"/>
      <c r="J134" s="118"/>
      <c r="K134" s="36"/>
      <c r="L134" s="117"/>
      <c r="M134" s="326"/>
      <c r="N134" s="327"/>
      <c r="R134" s="117"/>
      <c r="T134" s="117"/>
      <c r="V134" s="117"/>
      <c r="X134" s="117"/>
      <c r="Y134" s="73" t="s">
        <v>98</v>
      </c>
      <c r="Z134" s="94" t="s">
        <v>155</v>
      </c>
      <c r="AA134" s="36"/>
      <c r="AB134" s="36"/>
      <c r="AC134" s="111"/>
      <c r="AD134" s="112"/>
      <c r="AE134" s="37"/>
      <c r="AF134" s="97"/>
      <c r="AG134" s="14"/>
      <c r="AH134" s="14"/>
      <c r="AI134" s="14"/>
      <c r="AJ134" s="113"/>
      <c r="AK134" s="104" t="s">
        <v>135</v>
      </c>
      <c r="AM134" s="105" t="s">
        <v>136</v>
      </c>
      <c r="AO134" s="104" t="s">
        <v>129</v>
      </c>
      <c r="AQ134" s="114" t="s">
        <v>130</v>
      </c>
      <c r="AS134" s="105" t="s">
        <v>131</v>
      </c>
      <c r="AU134" s="105" t="s">
        <v>132</v>
      </c>
      <c r="AW134" s="104" t="s">
        <v>133</v>
      </c>
      <c r="AY134" s="104" t="s">
        <v>134</v>
      </c>
      <c r="AZ134" s="24"/>
    </row>
    <row r="135">
      <c r="A135" s="335" t="s">
        <v>324</v>
      </c>
      <c r="B135" s="206"/>
      <c r="C135" s="123"/>
      <c r="D135" s="123"/>
      <c r="E135" s="164" t="s">
        <v>157</v>
      </c>
      <c r="F135" s="88"/>
      <c r="G135" s="207" t="str">
        <f>G5:H5</f>
        <v>อสูรเดือน S</v>
      </c>
      <c r="I135" s="208" t="str">
        <f>I5:J5</f>
        <v>อสูรปี N</v>
      </c>
      <c r="K135" s="36"/>
      <c r="L135" s="117"/>
      <c r="M135" s="326"/>
      <c r="N135" s="327"/>
      <c r="R135" s="117"/>
      <c r="T135" s="117"/>
      <c r="V135" s="117"/>
      <c r="X135" s="117"/>
      <c r="Y135" s="127"/>
      <c r="Z135" s="155"/>
      <c r="AA135" s="36"/>
      <c r="AB135" s="36"/>
      <c r="AC135" s="111"/>
      <c r="AD135" s="112"/>
      <c r="AE135" s="37"/>
      <c r="AF135" s="97"/>
      <c r="AG135" s="14"/>
      <c r="AH135" s="14"/>
      <c r="AI135" s="14"/>
      <c r="AJ135" s="113"/>
      <c r="AO135" s="128"/>
      <c r="AZ135" s="24"/>
    </row>
    <row r="136">
      <c r="A136" s="188" t="s">
        <v>191</v>
      </c>
      <c r="B136" s="189"/>
      <c r="C136" s="63"/>
      <c r="D136" s="63"/>
      <c r="E136" s="64">
        <f>(O137+P137+Q137+R137)/(O138+P138+Q138+R138)</f>
        <v>0.3375</v>
      </c>
      <c r="F136" s="65"/>
      <c r="G136" s="133"/>
      <c r="H136" s="72"/>
      <c r="I136" s="67"/>
      <c r="J136" s="72"/>
      <c r="K136" s="68"/>
      <c r="L136" s="69"/>
      <c r="M136" s="63" t="s">
        <v>64</v>
      </c>
      <c r="N136" s="70"/>
      <c r="O136" s="71" t="s">
        <v>65</v>
      </c>
      <c r="P136" s="72"/>
      <c r="Q136" s="72"/>
      <c r="R136" s="70"/>
      <c r="S136" s="71" t="s">
        <v>66</v>
      </c>
      <c r="T136" s="70"/>
      <c r="U136" s="71" t="s">
        <v>67</v>
      </c>
      <c r="V136" s="70"/>
      <c r="W136" s="71" t="s">
        <v>68</v>
      </c>
      <c r="X136" s="70"/>
      <c r="Y136" s="134" t="s">
        <v>116</v>
      </c>
      <c r="Z136" s="74" t="s">
        <v>159</v>
      </c>
      <c r="AA136" s="75" t="s">
        <v>202</v>
      </c>
      <c r="AB136" s="75" t="s">
        <v>226</v>
      </c>
      <c r="AC136" s="190" t="s">
        <v>173</v>
      </c>
      <c r="AD136" s="77" t="s">
        <v>193</v>
      </c>
      <c r="AE136" s="63" t="s">
        <v>35</v>
      </c>
      <c r="AF136" s="78" t="s">
        <v>36</v>
      </c>
      <c r="AG136" s="79" t="s">
        <v>76</v>
      </c>
      <c r="AH136" s="79">
        <v>240.0</v>
      </c>
      <c r="AI136" s="79" t="s">
        <v>77</v>
      </c>
      <c r="AJ136" s="80" t="str">
        <f>AJ130</f>
        <v>開</v>
      </c>
      <c r="AK136" s="81" t="s">
        <v>38</v>
      </c>
      <c r="AL136" s="82" t="str">
        <f>AL130</f>
        <v>休</v>
      </c>
      <c r="AM136" s="81" t="s">
        <v>40</v>
      </c>
      <c r="AN136" s="82" t="s">
        <v>4</v>
      </c>
      <c r="AO136" s="81" t="s">
        <v>42</v>
      </c>
      <c r="AP136" s="82" t="str">
        <f>AP130</f>
        <v>傷</v>
      </c>
      <c r="AQ136" s="81" t="s">
        <v>44</v>
      </c>
      <c r="AR136" s="82" t="s">
        <v>8</v>
      </c>
      <c r="AS136" s="81" t="s">
        <v>46</v>
      </c>
      <c r="AT136" s="82" t="str">
        <f>AT130</f>
        <v>景</v>
      </c>
      <c r="AU136" s="81" t="s">
        <v>48</v>
      </c>
      <c r="AV136" s="82" t="str">
        <f>AV130</f>
        <v>死</v>
      </c>
      <c r="AW136" s="81" t="s">
        <v>50</v>
      </c>
      <c r="AX136" s="82" t="str">
        <f>AX130</f>
        <v>驚</v>
      </c>
      <c r="AY136" s="81" t="s">
        <v>52</v>
      </c>
      <c r="AZ136" s="83"/>
      <c r="BA136" s="84"/>
      <c r="BB136" s="84"/>
      <c r="BC136" s="84"/>
    </row>
    <row r="137">
      <c r="A137" s="192">
        <f>A131+1</f>
        <v>21</v>
      </c>
      <c r="B137" s="193"/>
      <c r="C137" s="12" t="s">
        <v>248</v>
      </c>
      <c r="E137" s="87" t="s">
        <v>31</v>
      </c>
      <c r="G137" s="324" t="str">
        <f t="shared" ref="G137:G138" si="198">G3:H3</f>
        <v>壬</v>
      </c>
      <c r="I137" s="275" t="str">
        <f t="shared" ref="I137:I138" si="199">I33:J33</f>
        <v>丙</v>
      </c>
      <c r="K137" s="90">
        <f>L137/L138</f>
        <v>0.515</v>
      </c>
      <c r="L137" s="126">
        <f t="shared" ref="L137:L138" si="200">O137+P137+Q137+U137+V137+W137+X137+R137+M137+N137+S137+T137</f>
        <v>515</v>
      </c>
      <c r="M137" s="92">
        <v>0.0</v>
      </c>
      <c r="N137" s="93">
        <v>0.0</v>
      </c>
      <c r="O137" s="92">
        <v>35.0</v>
      </c>
      <c r="P137" s="92">
        <v>40.0</v>
      </c>
      <c r="Q137" s="92">
        <v>30.0</v>
      </c>
      <c r="R137" s="93">
        <v>30.0</v>
      </c>
      <c r="S137" s="92">
        <v>25.0</v>
      </c>
      <c r="T137" s="93">
        <v>90.0</v>
      </c>
      <c r="U137" s="92">
        <f t="shared" ref="U137:V137" si="196">U39</f>
        <v>45</v>
      </c>
      <c r="V137" s="93">
        <f t="shared" si="196"/>
        <v>50</v>
      </c>
      <c r="W137" s="92">
        <f t="shared" ref="W137:X137" si="197">W33</f>
        <v>110</v>
      </c>
      <c r="X137" s="93">
        <f t="shared" si="197"/>
        <v>60</v>
      </c>
      <c r="Y137" s="73" t="s">
        <v>126</v>
      </c>
      <c r="Z137" s="94" t="s">
        <v>152</v>
      </c>
      <c r="AA137" s="36"/>
      <c r="AB137" s="29" t="s">
        <v>227</v>
      </c>
      <c r="AC137" s="195" t="s">
        <v>196</v>
      </c>
      <c r="AD137" s="96" t="s">
        <v>149</v>
      </c>
      <c r="AE137" s="37"/>
      <c r="AF137" s="97"/>
      <c r="AG137" s="12" t="s">
        <v>84</v>
      </c>
      <c r="AH137" s="12">
        <v>0.0</v>
      </c>
      <c r="AI137" s="12" t="s">
        <v>85</v>
      </c>
      <c r="AJ137" s="98" t="s">
        <v>37</v>
      </c>
      <c r="AK137" s="99" t="s">
        <v>94</v>
      </c>
      <c r="AL137" s="100" t="s">
        <v>88</v>
      </c>
      <c r="AM137" s="101" t="s">
        <v>89</v>
      </c>
      <c r="AN137" s="100" t="s">
        <v>45</v>
      </c>
      <c r="AO137" s="102" t="s">
        <v>90</v>
      </c>
      <c r="AP137" s="100" t="s">
        <v>43</v>
      </c>
      <c r="AQ137" s="101" t="s">
        <v>91</v>
      </c>
      <c r="AR137" s="100" t="s">
        <v>41</v>
      </c>
      <c r="AS137" s="103" t="s">
        <v>92</v>
      </c>
      <c r="AT137" s="100" t="s">
        <v>41</v>
      </c>
      <c r="AU137" s="103" t="s">
        <v>92</v>
      </c>
      <c r="AV137" s="100" t="s">
        <v>39</v>
      </c>
      <c r="AW137" s="99" t="s">
        <v>93</v>
      </c>
      <c r="AX137" s="100" t="s">
        <v>51</v>
      </c>
      <c r="AY137" s="101" t="s">
        <v>95</v>
      </c>
      <c r="AZ137" s="24"/>
    </row>
    <row r="138">
      <c r="A138" s="215" t="str">
        <f>G2</f>
        <v>เมษายน</v>
      </c>
      <c r="B138" s="193"/>
      <c r="C138" s="106" t="s">
        <v>217</v>
      </c>
      <c r="E138" s="162" t="s">
        <v>53</v>
      </c>
      <c r="G138" s="180" t="str">
        <f t="shared" si="198"/>
        <v>辰</v>
      </c>
      <c r="I138" s="142" t="str">
        <f t="shared" si="199"/>
        <v>午</v>
      </c>
      <c r="K138" s="36"/>
      <c r="L138" s="109">
        <f t="shared" si="200"/>
        <v>1000</v>
      </c>
      <c r="M138" s="9">
        <v>0.0</v>
      </c>
      <c r="N138" s="110">
        <v>0.0</v>
      </c>
      <c r="O138" s="9">
        <v>100.0</v>
      </c>
      <c r="P138" s="9">
        <v>100.0</v>
      </c>
      <c r="Q138" s="9">
        <v>100.0</v>
      </c>
      <c r="R138" s="110">
        <v>100.0</v>
      </c>
      <c r="S138" s="9">
        <v>100.0</v>
      </c>
      <c r="T138" s="110">
        <v>100.0</v>
      </c>
      <c r="U138" s="9">
        <v>100.0</v>
      </c>
      <c r="V138" s="110">
        <v>100.0</v>
      </c>
      <c r="W138" s="9">
        <v>100.0</v>
      </c>
      <c r="X138" s="110">
        <v>100.0</v>
      </c>
      <c r="Y138" s="73" t="s">
        <v>69</v>
      </c>
      <c r="Z138" s="94" t="s">
        <v>163</v>
      </c>
      <c r="AA138" s="36"/>
      <c r="AB138" s="36"/>
      <c r="AC138" s="111"/>
      <c r="AD138" s="112"/>
      <c r="AE138" s="37"/>
      <c r="AF138" s="97"/>
      <c r="AG138" s="14"/>
      <c r="AH138" s="14"/>
      <c r="AI138" s="14"/>
      <c r="AJ138" s="113"/>
      <c r="AK138" s="104" t="s">
        <v>106</v>
      </c>
      <c r="AM138" s="114" t="s">
        <v>101</v>
      </c>
      <c r="AO138" s="105" t="s">
        <v>102</v>
      </c>
      <c r="AQ138" s="105" t="s">
        <v>103</v>
      </c>
      <c r="AS138" s="104" t="s">
        <v>104</v>
      </c>
      <c r="AU138" s="104" t="s">
        <v>104</v>
      </c>
      <c r="AW138" s="104" t="s">
        <v>105</v>
      </c>
      <c r="AY138" s="105" t="s">
        <v>107</v>
      </c>
      <c r="AZ138" s="24"/>
    </row>
    <row r="139">
      <c r="A139" s="192">
        <v>2569.0</v>
      </c>
      <c r="B139" s="193"/>
      <c r="E139" s="115" t="s">
        <v>198</v>
      </c>
      <c r="F139" s="116" t="s">
        <v>218</v>
      </c>
      <c r="G139" s="115" t="str">
        <f t="shared" ref="G139:H139" si="201">G41</f>
        <v>A9</v>
      </c>
      <c r="H139" s="9" t="str">
        <f t="shared" si="201"/>
        <v>B9</v>
      </c>
      <c r="I139" s="9" t="str">
        <f t="shared" ref="I139:J139" si="202">I35</f>
        <v>A5</v>
      </c>
      <c r="J139" s="9" t="str">
        <f t="shared" si="202"/>
        <v>B11</v>
      </c>
      <c r="K139" s="36"/>
      <c r="L139" s="117"/>
      <c r="M139" s="118" t="str">
        <f t="shared" ref="M139:P139" si="203">C139</f>
        <v/>
      </c>
      <c r="N139" s="119" t="str">
        <f t="shared" si="203"/>
        <v/>
      </c>
      <c r="O139" s="118" t="str">
        <f t="shared" si="203"/>
        <v>A6</v>
      </c>
      <c r="P139" s="118" t="str">
        <f t="shared" si="203"/>
        <v>B10</v>
      </c>
      <c r="Q139" s="118" t="str">
        <f t="shared" ref="Q139:R139" si="204">E140</f>
        <v>B4</v>
      </c>
      <c r="R139" s="119" t="str">
        <f t="shared" si="204"/>
        <v>C10</v>
      </c>
      <c r="S139" s="9" t="s">
        <v>198</v>
      </c>
      <c r="T139" s="110" t="s">
        <v>219</v>
      </c>
      <c r="U139" s="9" t="str">
        <f t="shared" ref="U139:X139" si="205">G139</f>
        <v>A9</v>
      </c>
      <c r="V139" s="119" t="str">
        <f t="shared" si="205"/>
        <v>B9</v>
      </c>
      <c r="W139" s="118" t="str">
        <f t="shared" si="205"/>
        <v>A5</v>
      </c>
      <c r="X139" s="120" t="str">
        <f t="shared" si="205"/>
        <v>B11</v>
      </c>
      <c r="Y139" s="73" t="s">
        <v>80</v>
      </c>
      <c r="Z139" s="94" t="s">
        <v>117</v>
      </c>
      <c r="AA139" s="36"/>
      <c r="AB139" s="36"/>
      <c r="AC139" s="111"/>
      <c r="AD139" s="112"/>
      <c r="AE139" s="37"/>
      <c r="AF139" s="97"/>
      <c r="AG139" s="14"/>
      <c r="AH139" s="14"/>
      <c r="AI139" s="14"/>
      <c r="AJ139" s="113"/>
      <c r="AK139" s="104" t="s">
        <v>124</v>
      </c>
      <c r="AM139" s="114" t="s">
        <v>119</v>
      </c>
      <c r="AO139" s="105" t="s">
        <v>120</v>
      </c>
      <c r="AQ139" s="105" t="s">
        <v>121</v>
      </c>
      <c r="AS139" s="104" t="s">
        <v>122</v>
      </c>
      <c r="AU139" s="104" t="s">
        <v>122</v>
      </c>
      <c r="AW139" s="104" t="s">
        <v>123</v>
      </c>
      <c r="AY139" s="105" t="s">
        <v>125</v>
      </c>
      <c r="AZ139" s="24"/>
    </row>
    <row r="140">
      <c r="A140" s="192">
        <f>A139-543</f>
        <v>2026</v>
      </c>
      <c r="B140" s="193"/>
      <c r="C140" s="12"/>
      <c r="E140" s="115" t="s">
        <v>109</v>
      </c>
      <c r="F140" s="116" t="s">
        <v>232</v>
      </c>
      <c r="G140" s="115"/>
      <c r="H140" s="118"/>
      <c r="I140" s="118"/>
      <c r="J140" s="118"/>
      <c r="K140" s="36"/>
      <c r="L140" s="117"/>
      <c r="M140" s="326"/>
      <c r="N140" s="327"/>
      <c r="R140" s="117"/>
      <c r="T140" s="117"/>
      <c r="V140" s="117"/>
      <c r="X140" s="117"/>
      <c r="Y140" s="73" t="s">
        <v>98</v>
      </c>
      <c r="Z140" s="94" t="s">
        <v>128</v>
      </c>
      <c r="AA140" s="36"/>
      <c r="AB140" s="36"/>
      <c r="AC140" s="111"/>
      <c r="AD140" s="112"/>
      <c r="AE140" s="37"/>
      <c r="AF140" s="97"/>
      <c r="AG140" s="14"/>
      <c r="AH140" s="14"/>
      <c r="AI140" s="14"/>
      <c r="AJ140" s="113"/>
      <c r="AK140" s="104" t="s">
        <v>135</v>
      </c>
      <c r="AM140" s="114" t="s">
        <v>130</v>
      </c>
      <c r="AO140" s="105" t="s">
        <v>131</v>
      </c>
      <c r="AQ140" s="105" t="s">
        <v>132</v>
      </c>
      <c r="AS140" s="104" t="s">
        <v>133</v>
      </c>
      <c r="AU140" s="104" t="s">
        <v>133</v>
      </c>
      <c r="AW140" s="104" t="s">
        <v>134</v>
      </c>
      <c r="AY140" s="105" t="s">
        <v>136</v>
      </c>
      <c r="AZ140" s="24"/>
    </row>
    <row r="141">
      <c r="A141" s="319" t="s">
        <v>242</v>
      </c>
      <c r="B141" s="206"/>
      <c r="C141" s="1"/>
      <c r="D141" s="123"/>
      <c r="E141" s="176" t="s">
        <v>168</v>
      </c>
      <c r="F141" s="88"/>
      <c r="G141" s="207" t="str">
        <f>G5:H5</f>
        <v>อสูรเดือน S</v>
      </c>
      <c r="I141" s="208" t="str">
        <f>I5:J5</f>
        <v>อสูรปี N</v>
      </c>
      <c r="K141" s="36"/>
      <c r="L141" s="117"/>
      <c r="M141" s="326"/>
      <c r="N141" s="327"/>
      <c r="R141" s="117"/>
      <c r="T141" s="117"/>
      <c r="V141" s="117"/>
      <c r="X141" s="117"/>
      <c r="Y141" s="127"/>
      <c r="Z141" s="155"/>
      <c r="AA141" s="36"/>
      <c r="AB141" s="36"/>
      <c r="AC141" s="111"/>
      <c r="AD141" s="112"/>
      <c r="AE141" s="37"/>
      <c r="AF141" s="97"/>
      <c r="AG141" s="14"/>
      <c r="AH141" s="14"/>
      <c r="AI141" s="14"/>
      <c r="AJ141" s="113"/>
      <c r="AM141" s="128"/>
      <c r="AZ141" s="24"/>
    </row>
    <row r="142">
      <c r="A142" s="188" t="s">
        <v>199</v>
      </c>
      <c r="B142" s="189"/>
      <c r="C142" s="63"/>
      <c r="D142" s="63"/>
      <c r="E142" s="64">
        <f>(O143+P143+Q143+R143)/(O144+P144+Q144+R144)</f>
        <v>0.6</v>
      </c>
      <c r="F142" s="65"/>
      <c r="G142" s="133"/>
      <c r="H142" s="72"/>
      <c r="I142" s="67"/>
      <c r="J142" s="72"/>
      <c r="K142" s="68"/>
      <c r="L142" s="69"/>
      <c r="M142" s="63" t="s">
        <v>64</v>
      </c>
      <c r="N142" s="70"/>
      <c r="O142" s="71" t="s">
        <v>65</v>
      </c>
      <c r="P142" s="72"/>
      <c r="Q142" s="72"/>
      <c r="R142" s="70"/>
      <c r="S142" s="71" t="s">
        <v>66</v>
      </c>
      <c r="T142" s="70"/>
      <c r="U142" s="71" t="s">
        <v>67</v>
      </c>
      <c r="V142" s="70"/>
      <c r="W142" s="71" t="s">
        <v>68</v>
      </c>
      <c r="X142" s="70"/>
      <c r="Y142" s="134" t="s">
        <v>80</v>
      </c>
      <c r="Z142" s="74" t="s">
        <v>170</v>
      </c>
      <c r="AA142" s="75" t="s">
        <v>32</v>
      </c>
      <c r="AB142" s="75" t="s">
        <v>233</v>
      </c>
      <c r="AC142" s="76" t="s">
        <v>73</v>
      </c>
      <c r="AD142" s="77" t="s">
        <v>74</v>
      </c>
      <c r="AE142" s="63" t="s">
        <v>75</v>
      </c>
      <c r="AF142" s="78" t="s">
        <v>34</v>
      </c>
      <c r="AG142" s="79" t="s">
        <v>32</v>
      </c>
      <c r="AH142" s="79">
        <v>270.0</v>
      </c>
      <c r="AI142" s="79" t="s">
        <v>145</v>
      </c>
      <c r="AJ142" s="80" t="str">
        <f>AJ136</f>
        <v>開</v>
      </c>
      <c r="AK142" s="81" t="s">
        <v>42</v>
      </c>
      <c r="AL142" s="82" t="str">
        <f>AL136</f>
        <v>休</v>
      </c>
      <c r="AM142" s="81" t="s">
        <v>44</v>
      </c>
      <c r="AN142" s="82" t="s">
        <v>4</v>
      </c>
      <c r="AO142" s="81" t="s">
        <v>46</v>
      </c>
      <c r="AP142" s="82" t="str">
        <f>AP136</f>
        <v>傷</v>
      </c>
      <c r="AQ142" s="81" t="s">
        <v>48</v>
      </c>
      <c r="AR142" s="82" t="s">
        <v>8</v>
      </c>
      <c r="AS142" s="81" t="s">
        <v>50</v>
      </c>
      <c r="AT142" s="82" t="str">
        <f>AT136</f>
        <v>景</v>
      </c>
      <c r="AU142" s="81" t="s">
        <v>52</v>
      </c>
      <c r="AV142" s="82" t="str">
        <f>AV136</f>
        <v>死</v>
      </c>
      <c r="AW142" s="81" t="s">
        <v>38</v>
      </c>
      <c r="AX142" s="82" t="str">
        <f>AX136</f>
        <v>驚</v>
      </c>
      <c r="AY142" s="81" t="s">
        <v>40</v>
      </c>
      <c r="AZ142" s="83"/>
      <c r="BA142" s="84"/>
      <c r="BB142" s="84"/>
      <c r="BC142" s="84"/>
    </row>
    <row r="143">
      <c r="A143" s="192">
        <f>A137+1</f>
        <v>22</v>
      </c>
      <c r="B143" s="193"/>
      <c r="C143" s="12" t="s">
        <v>176</v>
      </c>
      <c r="E143" s="214" t="s">
        <v>147</v>
      </c>
      <c r="G143" s="324" t="str">
        <f t="shared" ref="G143:G144" si="208">G3:H3</f>
        <v>壬</v>
      </c>
      <c r="I143" s="275" t="str">
        <f t="shared" ref="I143:I144" si="209">I33:J33</f>
        <v>丙</v>
      </c>
      <c r="K143" s="90">
        <f>L143/L144</f>
        <v>0.61</v>
      </c>
      <c r="L143" s="126">
        <f t="shared" ref="L143:L144" si="210">O143+P143+Q143+U143+V143+W143+X143+R143+M143+N143+S143+T143</f>
        <v>610</v>
      </c>
      <c r="M143" s="92">
        <v>0.0</v>
      </c>
      <c r="N143" s="93">
        <v>0.0</v>
      </c>
      <c r="O143" s="92">
        <v>80.0</v>
      </c>
      <c r="P143" s="92">
        <v>60.0</v>
      </c>
      <c r="Q143" s="92">
        <v>20.0</v>
      </c>
      <c r="R143" s="93">
        <v>80.0</v>
      </c>
      <c r="S143" s="92">
        <v>20.0</v>
      </c>
      <c r="T143" s="93">
        <v>85.0</v>
      </c>
      <c r="U143" s="92">
        <f t="shared" ref="U143:V143" si="206">U39</f>
        <v>45</v>
      </c>
      <c r="V143" s="93">
        <f t="shared" si="206"/>
        <v>50</v>
      </c>
      <c r="W143" s="92">
        <f t="shared" ref="W143:X143" si="207">W33</f>
        <v>110</v>
      </c>
      <c r="X143" s="93">
        <f t="shared" si="207"/>
        <v>60</v>
      </c>
      <c r="Y143" s="73" t="s">
        <v>98</v>
      </c>
      <c r="Z143" s="94" t="s">
        <v>70</v>
      </c>
      <c r="AA143" s="36"/>
      <c r="AB143" s="29" t="s">
        <v>234</v>
      </c>
      <c r="AC143" s="95" t="s">
        <v>82</v>
      </c>
      <c r="AD143" s="96" t="s">
        <v>83</v>
      </c>
      <c r="AE143" s="37"/>
      <c r="AF143" s="97"/>
      <c r="AG143" s="12" t="s">
        <v>97</v>
      </c>
      <c r="AH143" s="12">
        <v>330.0</v>
      </c>
      <c r="AI143" s="12" t="s">
        <v>150</v>
      </c>
      <c r="AJ143" s="98" t="s">
        <v>39</v>
      </c>
      <c r="AK143" s="99" t="s">
        <v>93</v>
      </c>
      <c r="AL143" s="100" t="s">
        <v>37</v>
      </c>
      <c r="AM143" s="99" t="s">
        <v>94</v>
      </c>
      <c r="AN143" s="100" t="s">
        <v>51</v>
      </c>
      <c r="AO143" s="101" t="s">
        <v>95</v>
      </c>
      <c r="AP143" s="100" t="s">
        <v>86</v>
      </c>
      <c r="AQ143" s="99" t="s">
        <v>87</v>
      </c>
      <c r="AR143" s="100" t="s">
        <v>88</v>
      </c>
      <c r="AS143" s="101" t="s">
        <v>89</v>
      </c>
      <c r="AT143" s="100" t="s">
        <v>45</v>
      </c>
      <c r="AU143" s="102" t="s">
        <v>90</v>
      </c>
      <c r="AV143" s="100" t="s">
        <v>43</v>
      </c>
      <c r="AW143" s="101" t="s">
        <v>91</v>
      </c>
      <c r="AX143" s="100" t="s">
        <v>41</v>
      </c>
      <c r="AY143" s="103" t="s">
        <v>92</v>
      </c>
      <c r="AZ143" s="24"/>
    </row>
    <row r="144">
      <c r="A144" s="215" t="str">
        <f>G2</f>
        <v>เมษายน</v>
      </c>
      <c r="B144" s="193"/>
      <c r="C144" s="161" t="s">
        <v>223</v>
      </c>
      <c r="E144" s="218" t="s">
        <v>180</v>
      </c>
      <c r="G144" s="180" t="str">
        <f t="shared" si="208"/>
        <v>辰</v>
      </c>
      <c r="I144" s="142" t="str">
        <f t="shared" si="209"/>
        <v>午</v>
      </c>
      <c r="K144" s="36"/>
      <c r="L144" s="109">
        <f t="shared" si="210"/>
        <v>1000</v>
      </c>
      <c r="M144" s="9">
        <v>0.0</v>
      </c>
      <c r="N144" s="110">
        <v>0.0</v>
      </c>
      <c r="O144" s="9">
        <v>100.0</v>
      </c>
      <c r="P144" s="9">
        <v>100.0</v>
      </c>
      <c r="Q144" s="9">
        <v>100.0</v>
      </c>
      <c r="R144" s="110">
        <v>100.0</v>
      </c>
      <c r="S144" s="9">
        <v>100.0</v>
      </c>
      <c r="T144" s="110">
        <v>100.0</v>
      </c>
      <c r="U144" s="9">
        <v>100.0</v>
      </c>
      <c r="V144" s="110">
        <v>100.0</v>
      </c>
      <c r="W144" s="9">
        <v>100.0</v>
      </c>
      <c r="X144" s="110">
        <v>100.0</v>
      </c>
      <c r="Y144" s="73" t="s">
        <v>116</v>
      </c>
      <c r="Z144" s="94" t="s">
        <v>181</v>
      </c>
      <c r="AA144" s="36"/>
      <c r="AB144" s="36"/>
      <c r="AC144" s="111"/>
      <c r="AD144" s="112"/>
      <c r="AE144" s="37"/>
      <c r="AF144" s="97"/>
      <c r="AG144" s="14"/>
      <c r="AH144" s="14"/>
      <c r="AI144" s="14"/>
      <c r="AJ144" s="113"/>
      <c r="AK144" s="104" t="s">
        <v>105</v>
      </c>
      <c r="AM144" s="104" t="s">
        <v>106</v>
      </c>
      <c r="AO144" s="105" t="s">
        <v>107</v>
      </c>
      <c r="AQ144" s="104" t="s">
        <v>100</v>
      </c>
      <c r="AS144" s="114" t="s">
        <v>101</v>
      </c>
      <c r="AU144" s="105" t="s">
        <v>102</v>
      </c>
      <c r="AW144" s="105" t="s">
        <v>103</v>
      </c>
      <c r="AY144" s="104" t="s">
        <v>104</v>
      </c>
      <c r="AZ144" s="24"/>
    </row>
    <row r="145">
      <c r="A145" s="192">
        <v>2569.0</v>
      </c>
      <c r="B145" s="193"/>
      <c r="E145" s="115" t="s">
        <v>182</v>
      </c>
      <c r="F145" s="116" t="s">
        <v>214</v>
      </c>
      <c r="G145" s="115" t="str">
        <f t="shared" ref="G145:H145" si="211">G41</f>
        <v>A9</v>
      </c>
      <c r="H145" s="9" t="str">
        <f t="shared" si="211"/>
        <v>B9</v>
      </c>
      <c r="I145" s="9" t="str">
        <f t="shared" ref="I145:J145" si="212">I35</f>
        <v>A5</v>
      </c>
      <c r="J145" s="9" t="str">
        <f t="shared" si="212"/>
        <v>B11</v>
      </c>
      <c r="K145" s="36"/>
      <c r="L145" s="117"/>
      <c r="M145" s="118" t="str">
        <f t="shared" ref="M145:P145" si="213">C145</f>
        <v/>
      </c>
      <c r="N145" s="119" t="str">
        <f t="shared" si="213"/>
        <v/>
      </c>
      <c r="O145" s="118" t="str">
        <f t="shared" si="213"/>
        <v>A1</v>
      </c>
      <c r="P145" s="118" t="str">
        <f t="shared" si="213"/>
        <v>B11</v>
      </c>
      <c r="Q145" s="118" t="str">
        <f t="shared" ref="Q145:R145" si="214">E146</f>
        <v>B3</v>
      </c>
      <c r="R145" s="119" t="str">
        <f t="shared" si="214"/>
        <v>C11</v>
      </c>
      <c r="S145" s="9" t="s">
        <v>115</v>
      </c>
      <c r="T145" s="110" t="s">
        <v>219</v>
      </c>
      <c r="U145" s="9" t="str">
        <f t="shared" ref="U145:X145" si="215">G145</f>
        <v>A9</v>
      </c>
      <c r="V145" s="119" t="str">
        <f t="shared" si="215"/>
        <v>B9</v>
      </c>
      <c r="W145" s="118" t="str">
        <f t="shared" si="215"/>
        <v>A5</v>
      </c>
      <c r="X145" s="120" t="str">
        <f t="shared" si="215"/>
        <v>B11</v>
      </c>
      <c r="Y145" s="73" t="s">
        <v>126</v>
      </c>
      <c r="Z145" s="94" t="s">
        <v>163</v>
      </c>
      <c r="AA145" s="36"/>
      <c r="AB145" s="36"/>
      <c r="AC145" s="111"/>
      <c r="AD145" s="112"/>
      <c r="AE145" s="37"/>
      <c r="AF145" s="97"/>
      <c r="AG145" s="14"/>
      <c r="AH145" s="14"/>
      <c r="AI145" s="14"/>
      <c r="AJ145" s="113"/>
      <c r="AK145" s="104" t="s">
        <v>123</v>
      </c>
      <c r="AM145" s="104" t="s">
        <v>124</v>
      </c>
      <c r="AO145" s="105" t="s">
        <v>125</v>
      </c>
      <c r="AQ145" s="104" t="s">
        <v>118</v>
      </c>
      <c r="AS145" s="114" t="s">
        <v>119</v>
      </c>
      <c r="AU145" s="105" t="s">
        <v>120</v>
      </c>
      <c r="AW145" s="105" t="s">
        <v>121</v>
      </c>
      <c r="AY145" s="104" t="s">
        <v>122</v>
      </c>
      <c r="AZ145" s="24"/>
    </row>
    <row r="146">
      <c r="A146" s="192">
        <f>A145-543</f>
        <v>2026</v>
      </c>
      <c r="B146" s="193"/>
      <c r="E146" s="115" t="s">
        <v>183</v>
      </c>
      <c r="F146" s="116" t="s">
        <v>236</v>
      </c>
      <c r="G146" s="115"/>
      <c r="H146" s="118"/>
      <c r="I146" s="118"/>
      <c r="J146" s="118"/>
      <c r="K146" s="36"/>
      <c r="L146" s="117"/>
      <c r="M146" s="326"/>
      <c r="N146" s="327"/>
      <c r="R146" s="117"/>
      <c r="T146" s="117"/>
      <c r="V146" s="117"/>
      <c r="X146" s="117"/>
      <c r="Y146" s="73" t="s">
        <v>69</v>
      </c>
      <c r="Z146" s="94" t="s">
        <v>99</v>
      </c>
      <c r="AA146" s="36"/>
      <c r="AB146" s="36"/>
      <c r="AC146" s="111"/>
      <c r="AD146" s="112"/>
      <c r="AE146" s="37"/>
      <c r="AF146" s="97"/>
      <c r="AG146" s="14"/>
      <c r="AH146" s="14"/>
      <c r="AI146" s="14"/>
      <c r="AJ146" s="113"/>
      <c r="AK146" s="104" t="s">
        <v>134</v>
      </c>
      <c r="AM146" s="104" t="s">
        <v>135</v>
      </c>
      <c r="AO146" s="105" t="s">
        <v>136</v>
      </c>
      <c r="AQ146" s="104" t="s">
        <v>129</v>
      </c>
      <c r="AS146" s="114" t="s">
        <v>130</v>
      </c>
      <c r="AU146" s="105" t="s">
        <v>131</v>
      </c>
      <c r="AW146" s="105" t="s">
        <v>132</v>
      </c>
      <c r="AY146" s="104" t="s">
        <v>133</v>
      </c>
      <c r="AZ146" s="24"/>
    </row>
    <row r="147">
      <c r="A147" s="113"/>
      <c r="B147" s="206"/>
      <c r="C147" s="1"/>
      <c r="D147" s="123"/>
      <c r="E147" s="176" t="s">
        <v>185</v>
      </c>
      <c r="F147" s="88"/>
      <c r="G147" s="207" t="str">
        <f>G5:H5</f>
        <v>อสูรเดือน S</v>
      </c>
      <c r="I147" s="208" t="str">
        <f>I5:J5</f>
        <v>อสูรปี N</v>
      </c>
      <c r="K147" s="36"/>
      <c r="L147" s="117"/>
      <c r="M147" s="326"/>
      <c r="N147" s="327"/>
      <c r="R147" s="117"/>
      <c r="T147" s="117"/>
      <c r="V147" s="117"/>
      <c r="X147" s="117"/>
      <c r="Y147" s="127"/>
      <c r="Z147" s="155"/>
      <c r="AA147" s="36"/>
      <c r="AB147" s="36"/>
      <c r="AC147" s="111"/>
      <c r="AD147" s="112"/>
      <c r="AE147" s="37"/>
      <c r="AF147" s="97"/>
      <c r="AG147" s="14"/>
      <c r="AH147" s="14"/>
      <c r="AI147" s="14"/>
      <c r="AJ147" s="113"/>
      <c r="AU147" s="128"/>
      <c r="AZ147" s="24"/>
    </row>
    <row r="148">
      <c r="A148" s="188" t="s">
        <v>63</v>
      </c>
      <c r="B148" s="189"/>
      <c r="C148" s="63"/>
      <c r="D148" s="63"/>
      <c r="E148" s="225">
        <f>(O149+P149+Q149+R149)/(O150+P150+Q150+R150)</f>
        <v>0.35</v>
      </c>
      <c r="F148" s="72"/>
      <c r="G148" s="133"/>
      <c r="H148" s="72"/>
      <c r="I148" s="67"/>
      <c r="J148" s="72"/>
      <c r="K148" s="68"/>
      <c r="L148" s="69"/>
      <c r="M148" s="63" t="s">
        <v>64</v>
      </c>
      <c r="N148" s="70"/>
      <c r="O148" s="71" t="s">
        <v>65</v>
      </c>
      <c r="P148" s="72"/>
      <c r="Q148" s="72"/>
      <c r="R148" s="70"/>
      <c r="S148" s="71" t="s">
        <v>66</v>
      </c>
      <c r="T148" s="70"/>
      <c r="U148" s="71" t="s">
        <v>67</v>
      </c>
      <c r="V148" s="70"/>
      <c r="W148" s="71" t="s">
        <v>68</v>
      </c>
      <c r="X148" s="70"/>
      <c r="Y148" s="134" t="s">
        <v>80</v>
      </c>
      <c r="Z148" s="74" t="s">
        <v>159</v>
      </c>
      <c r="AA148" s="75" t="s">
        <v>71</v>
      </c>
      <c r="AB148" s="75" t="s">
        <v>72</v>
      </c>
      <c r="AC148" s="76" t="s">
        <v>73</v>
      </c>
      <c r="AD148" s="77" t="s">
        <v>74</v>
      </c>
      <c r="AE148" s="63" t="s">
        <v>75</v>
      </c>
      <c r="AF148" s="78" t="s">
        <v>75</v>
      </c>
      <c r="AG148" s="79" t="s">
        <v>97</v>
      </c>
      <c r="AH148" s="79">
        <v>330.0</v>
      </c>
      <c r="AI148" s="79" t="s">
        <v>150</v>
      </c>
      <c r="AJ148" s="80" t="str">
        <f>AJ142</f>
        <v>開</v>
      </c>
      <c r="AK148" s="81" t="s">
        <v>42</v>
      </c>
      <c r="AL148" s="82" t="str">
        <f>AL142</f>
        <v>休</v>
      </c>
      <c r="AM148" s="81" t="s">
        <v>44</v>
      </c>
      <c r="AN148" s="82" t="s">
        <v>4</v>
      </c>
      <c r="AO148" s="81" t="s">
        <v>46</v>
      </c>
      <c r="AP148" s="82" t="str">
        <f>AP142</f>
        <v>傷</v>
      </c>
      <c r="AQ148" s="81" t="s">
        <v>48</v>
      </c>
      <c r="AR148" s="82" t="s">
        <v>8</v>
      </c>
      <c r="AS148" s="81" t="s">
        <v>50</v>
      </c>
      <c r="AT148" s="82" t="str">
        <f>AT142</f>
        <v>景</v>
      </c>
      <c r="AU148" s="81" t="s">
        <v>52</v>
      </c>
      <c r="AV148" s="82" t="str">
        <f>AV142</f>
        <v>死</v>
      </c>
      <c r="AW148" s="81" t="s">
        <v>38</v>
      </c>
      <c r="AX148" s="82" t="str">
        <f>AX142</f>
        <v>驚</v>
      </c>
      <c r="AY148" s="81" t="s">
        <v>40</v>
      </c>
      <c r="AZ148" s="83"/>
      <c r="BA148" s="84"/>
      <c r="BB148" s="84"/>
      <c r="BC148" s="84"/>
    </row>
    <row r="149">
      <c r="A149" s="192">
        <f>A143+1</f>
        <v>23</v>
      </c>
      <c r="B149" s="193"/>
      <c r="C149" s="12" t="s">
        <v>187</v>
      </c>
      <c r="E149" s="160" t="s">
        <v>161</v>
      </c>
      <c r="G149" s="324" t="str">
        <f t="shared" ref="G149:G150" si="218">G3:H3</f>
        <v>壬</v>
      </c>
      <c r="I149" s="275" t="str">
        <f t="shared" ref="I149:I150" si="219">I33:J33</f>
        <v>丙</v>
      </c>
      <c r="K149" s="90">
        <f>L149/L150</f>
        <v>0.445</v>
      </c>
      <c r="L149" s="126">
        <f t="shared" ref="L149:L150" si="220">O149+P149+Q149+U149+V149+W149+X149+R149+M149+N149+S149+T149</f>
        <v>445</v>
      </c>
      <c r="M149" s="92">
        <v>0.0</v>
      </c>
      <c r="N149" s="93">
        <v>0.0</v>
      </c>
      <c r="O149" s="92">
        <v>20.0</v>
      </c>
      <c r="P149" s="92">
        <v>10.0</v>
      </c>
      <c r="Q149" s="92">
        <v>80.0</v>
      </c>
      <c r="R149" s="93">
        <v>30.0</v>
      </c>
      <c r="S149" s="92">
        <v>10.0</v>
      </c>
      <c r="T149" s="93">
        <v>30.0</v>
      </c>
      <c r="U149" s="92">
        <f t="shared" ref="U149:V149" si="216">U39</f>
        <v>45</v>
      </c>
      <c r="V149" s="93">
        <f t="shared" si="216"/>
        <v>50</v>
      </c>
      <c r="W149" s="92">
        <f t="shared" ref="W149:X149" si="217">W33</f>
        <v>110</v>
      </c>
      <c r="X149" s="93">
        <f t="shared" si="217"/>
        <v>60</v>
      </c>
      <c r="Y149" s="73" t="s">
        <v>98</v>
      </c>
      <c r="Z149" s="94" t="s">
        <v>152</v>
      </c>
      <c r="AA149" s="36"/>
      <c r="AB149" s="36"/>
      <c r="AC149" s="95" t="s">
        <v>82</v>
      </c>
      <c r="AD149" s="96" t="s">
        <v>83</v>
      </c>
      <c r="AE149" s="37"/>
      <c r="AF149" s="97"/>
      <c r="AG149" s="12" t="s">
        <v>32</v>
      </c>
      <c r="AH149" s="12">
        <v>270.0</v>
      </c>
      <c r="AI149" s="12" t="s">
        <v>145</v>
      </c>
      <c r="AJ149" s="98" t="s">
        <v>39</v>
      </c>
      <c r="AK149" s="99" t="s">
        <v>93</v>
      </c>
      <c r="AL149" s="100" t="s">
        <v>37</v>
      </c>
      <c r="AM149" s="99" t="s">
        <v>94</v>
      </c>
      <c r="AN149" s="100" t="s">
        <v>51</v>
      </c>
      <c r="AO149" s="101" t="s">
        <v>95</v>
      </c>
      <c r="AP149" s="100" t="s">
        <v>86</v>
      </c>
      <c r="AQ149" s="99" t="s">
        <v>87</v>
      </c>
      <c r="AR149" s="100" t="s">
        <v>88</v>
      </c>
      <c r="AS149" s="101" t="s">
        <v>89</v>
      </c>
      <c r="AT149" s="100" t="s">
        <v>45</v>
      </c>
      <c r="AU149" s="102" t="s">
        <v>90</v>
      </c>
      <c r="AV149" s="100" t="s">
        <v>43</v>
      </c>
      <c r="AW149" s="101" t="s">
        <v>91</v>
      </c>
      <c r="AX149" s="100" t="s">
        <v>41</v>
      </c>
      <c r="AY149" s="103" t="s">
        <v>92</v>
      </c>
      <c r="AZ149" s="24"/>
    </row>
    <row r="150">
      <c r="A150" s="215" t="str">
        <f>G2</f>
        <v>เมษายน</v>
      </c>
      <c r="B150" s="193"/>
      <c r="C150" s="332" t="s">
        <v>228</v>
      </c>
      <c r="E150" s="171" t="s">
        <v>189</v>
      </c>
      <c r="G150" s="180" t="str">
        <f t="shared" si="218"/>
        <v>辰</v>
      </c>
      <c r="I150" s="142" t="str">
        <f t="shared" si="219"/>
        <v>午</v>
      </c>
      <c r="K150" s="36"/>
      <c r="L150" s="109">
        <f t="shared" si="220"/>
        <v>1000</v>
      </c>
      <c r="M150" s="9">
        <v>0.0</v>
      </c>
      <c r="N150" s="110">
        <v>0.0</v>
      </c>
      <c r="O150" s="9">
        <v>100.0</v>
      </c>
      <c r="P150" s="9">
        <v>100.0</v>
      </c>
      <c r="Q150" s="9">
        <v>100.0</v>
      </c>
      <c r="R150" s="110">
        <v>100.0</v>
      </c>
      <c r="S150" s="9">
        <v>100.0</v>
      </c>
      <c r="T150" s="110">
        <v>100.0</v>
      </c>
      <c r="U150" s="9">
        <v>100.0</v>
      </c>
      <c r="V150" s="110">
        <v>100.0</v>
      </c>
      <c r="W150" s="9">
        <v>100.0</v>
      </c>
      <c r="X150" s="110">
        <v>100.0</v>
      </c>
      <c r="Y150" s="73" t="s">
        <v>116</v>
      </c>
      <c r="Z150" s="94" t="s">
        <v>81</v>
      </c>
      <c r="AA150" s="36"/>
      <c r="AB150" s="36"/>
      <c r="AC150" s="111"/>
      <c r="AD150" s="112"/>
      <c r="AE150" s="37"/>
      <c r="AF150" s="97"/>
      <c r="AG150" s="14"/>
      <c r="AH150" s="14"/>
      <c r="AI150" s="14"/>
      <c r="AJ150" s="113"/>
      <c r="AK150" s="104" t="s">
        <v>105</v>
      </c>
      <c r="AM150" s="104" t="s">
        <v>106</v>
      </c>
      <c r="AO150" s="105" t="s">
        <v>107</v>
      </c>
      <c r="AQ150" s="104" t="s">
        <v>100</v>
      </c>
      <c r="AS150" s="114" t="s">
        <v>101</v>
      </c>
      <c r="AU150" s="105" t="s">
        <v>102</v>
      </c>
      <c r="AW150" s="105" t="s">
        <v>103</v>
      </c>
      <c r="AY150" s="104" t="s">
        <v>104</v>
      </c>
      <c r="AZ150" s="24"/>
    </row>
    <row r="151">
      <c r="A151" s="192">
        <v>2569.0</v>
      </c>
      <c r="B151" s="193"/>
      <c r="E151" s="115" t="s">
        <v>115</v>
      </c>
      <c r="F151" s="116" t="s">
        <v>113</v>
      </c>
      <c r="G151" s="115" t="str">
        <f t="shared" ref="G151:H151" si="221">G41</f>
        <v>A9</v>
      </c>
      <c r="H151" s="9" t="str">
        <f t="shared" si="221"/>
        <v>B9</v>
      </c>
      <c r="I151" s="9" t="str">
        <f t="shared" ref="I151:J151" si="222">I35</f>
        <v>A5</v>
      </c>
      <c r="J151" s="9" t="str">
        <f t="shared" si="222"/>
        <v>B11</v>
      </c>
      <c r="K151" s="36"/>
      <c r="L151" s="117"/>
      <c r="M151" s="118" t="str">
        <f t="shared" ref="M151:P151" si="223">C151</f>
        <v/>
      </c>
      <c r="N151" s="119" t="str">
        <f t="shared" si="223"/>
        <v/>
      </c>
      <c r="O151" s="118" t="str">
        <f t="shared" si="223"/>
        <v>A7</v>
      </c>
      <c r="P151" s="118" t="str">
        <f t="shared" si="223"/>
        <v>B12</v>
      </c>
      <c r="Q151" s="118" t="str">
        <f t="shared" ref="Q151:R151" si="224">E152</f>
        <v>B2</v>
      </c>
      <c r="R151" s="119" t="str">
        <f t="shared" si="224"/>
        <v>C12</v>
      </c>
      <c r="S151" s="9" t="s">
        <v>108</v>
      </c>
      <c r="T151" s="110" t="s">
        <v>198</v>
      </c>
      <c r="U151" s="9" t="str">
        <f t="shared" ref="U151:X151" si="225">G151</f>
        <v>A9</v>
      </c>
      <c r="V151" s="119" t="str">
        <f t="shared" si="225"/>
        <v>B9</v>
      </c>
      <c r="W151" s="118" t="str">
        <f t="shared" si="225"/>
        <v>A5</v>
      </c>
      <c r="X151" s="120" t="str">
        <f t="shared" si="225"/>
        <v>B11</v>
      </c>
      <c r="Y151" s="73" t="s">
        <v>126</v>
      </c>
      <c r="Z151" s="94" t="s">
        <v>99</v>
      </c>
      <c r="AA151" s="36"/>
      <c r="AB151" s="36"/>
      <c r="AC151" s="111"/>
      <c r="AD151" s="112"/>
      <c r="AE151" s="37"/>
      <c r="AF151" s="97"/>
      <c r="AG151" s="14"/>
      <c r="AH151" s="14"/>
      <c r="AI151" s="14"/>
      <c r="AJ151" s="113"/>
      <c r="AK151" s="104" t="s">
        <v>123</v>
      </c>
      <c r="AM151" s="104" t="s">
        <v>124</v>
      </c>
      <c r="AO151" s="105" t="s">
        <v>125</v>
      </c>
      <c r="AQ151" s="104" t="s">
        <v>118</v>
      </c>
      <c r="AS151" s="114" t="s">
        <v>119</v>
      </c>
      <c r="AU151" s="105" t="s">
        <v>120</v>
      </c>
      <c r="AW151" s="105" t="s">
        <v>121</v>
      </c>
      <c r="AY151" s="104" t="s">
        <v>122</v>
      </c>
      <c r="AZ151" s="24"/>
    </row>
    <row r="152">
      <c r="A152" s="192">
        <f>A151-543</f>
        <v>2026</v>
      </c>
      <c r="B152" s="193"/>
      <c r="E152" s="115" t="s">
        <v>98</v>
      </c>
      <c r="F152" s="116" t="s">
        <v>127</v>
      </c>
      <c r="G152" s="115"/>
      <c r="H152" s="118"/>
      <c r="I152" s="118"/>
      <c r="J152" s="118"/>
      <c r="K152" s="36"/>
      <c r="L152" s="117"/>
      <c r="M152" s="326"/>
      <c r="N152" s="327"/>
      <c r="O152" s="226"/>
      <c r="R152" s="117"/>
      <c r="T152" s="117"/>
      <c r="V152" s="117"/>
      <c r="X152" s="117"/>
      <c r="Y152" s="73" t="s">
        <v>69</v>
      </c>
      <c r="Z152" s="94" t="s">
        <v>155</v>
      </c>
      <c r="AA152" s="36"/>
      <c r="AB152" s="36"/>
      <c r="AC152" s="111"/>
      <c r="AD152" s="112"/>
      <c r="AE152" s="37"/>
      <c r="AF152" s="97"/>
      <c r="AG152" s="14"/>
      <c r="AH152" s="14"/>
      <c r="AI152" s="14"/>
      <c r="AJ152" s="113"/>
      <c r="AK152" s="104" t="s">
        <v>134</v>
      </c>
      <c r="AM152" s="104" t="s">
        <v>135</v>
      </c>
      <c r="AO152" s="105" t="s">
        <v>136</v>
      </c>
      <c r="AQ152" s="104" t="s">
        <v>129</v>
      </c>
      <c r="AS152" s="114" t="s">
        <v>130</v>
      </c>
      <c r="AU152" s="105" t="s">
        <v>131</v>
      </c>
      <c r="AW152" s="105" t="s">
        <v>132</v>
      </c>
      <c r="AY152" s="104" t="s">
        <v>133</v>
      </c>
      <c r="AZ152" s="24"/>
    </row>
    <row r="153">
      <c r="A153" s="279"/>
      <c r="B153" s="206"/>
      <c r="C153" s="1"/>
      <c r="D153" s="123"/>
      <c r="E153" s="164" t="s">
        <v>168</v>
      </c>
      <c r="F153" s="88"/>
      <c r="G153" s="207" t="str">
        <f>G5:H5</f>
        <v>อสูรเดือน S</v>
      </c>
      <c r="I153" s="208" t="str">
        <f>I5:J5</f>
        <v>อสูรปี N</v>
      </c>
      <c r="K153" s="36"/>
      <c r="L153" s="117"/>
      <c r="M153" s="326"/>
      <c r="N153" s="327"/>
      <c r="R153" s="117"/>
      <c r="T153" s="117"/>
      <c r="V153" s="117"/>
      <c r="X153" s="117"/>
      <c r="Y153" s="127"/>
      <c r="Z153" s="155"/>
      <c r="AA153" s="36"/>
      <c r="AB153" s="36"/>
      <c r="AC153" s="111"/>
      <c r="AD153" s="112"/>
      <c r="AE153" s="37"/>
      <c r="AF153" s="97"/>
      <c r="AG153" s="14"/>
      <c r="AH153" s="14"/>
      <c r="AI153" s="14"/>
      <c r="AJ153" s="113"/>
      <c r="AU153" s="128"/>
      <c r="AZ153" s="24"/>
    </row>
    <row r="154">
      <c r="A154" s="188" t="s">
        <v>139</v>
      </c>
      <c r="B154" s="189"/>
      <c r="C154" s="63"/>
      <c r="D154" s="63"/>
      <c r="E154" s="228">
        <f>(O155+P155+Q155+R155)/(O156+P156+Q156+R156)</f>
        <v>0.7</v>
      </c>
      <c r="F154" s="72"/>
      <c r="G154" s="133"/>
      <c r="H154" s="72"/>
      <c r="I154" s="67"/>
      <c r="J154" s="72"/>
      <c r="K154" s="68"/>
      <c r="L154" s="69"/>
      <c r="M154" s="63" t="s">
        <v>64</v>
      </c>
      <c r="N154" s="70"/>
      <c r="O154" s="71" t="s">
        <v>65</v>
      </c>
      <c r="P154" s="72"/>
      <c r="Q154" s="72"/>
      <c r="R154" s="70"/>
      <c r="S154" s="71" t="s">
        <v>66</v>
      </c>
      <c r="T154" s="70"/>
      <c r="U154" s="71" t="s">
        <v>67</v>
      </c>
      <c r="V154" s="70"/>
      <c r="W154" s="71" t="s">
        <v>68</v>
      </c>
      <c r="X154" s="70"/>
      <c r="Y154" s="134" t="s">
        <v>80</v>
      </c>
      <c r="Z154" s="74" t="s">
        <v>181</v>
      </c>
      <c r="AA154" s="75" t="s">
        <v>197</v>
      </c>
      <c r="AB154" s="75" t="s">
        <v>311</v>
      </c>
      <c r="AC154" s="202" t="s">
        <v>142</v>
      </c>
      <c r="AD154" s="74" t="s">
        <v>143</v>
      </c>
      <c r="AE154" s="63" t="s">
        <v>34</v>
      </c>
      <c r="AF154" s="78" t="s">
        <v>144</v>
      </c>
      <c r="AG154" s="79" t="s">
        <v>71</v>
      </c>
      <c r="AH154" s="79">
        <v>210.0</v>
      </c>
      <c r="AI154" s="79" t="s">
        <v>175</v>
      </c>
      <c r="AJ154" s="80" t="str">
        <f>AJ148</f>
        <v>開</v>
      </c>
      <c r="AK154" s="81" t="s">
        <v>42</v>
      </c>
      <c r="AL154" s="82" t="str">
        <f>AL148</f>
        <v>休</v>
      </c>
      <c r="AM154" s="81" t="s">
        <v>44</v>
      </c>
      <c r="AN154" s="82" t="s">
        <v>4</v>
      </c>
      <c r="AO154" s="81" t="s">
        <v>46</v>
      </c>
      <c r="AP154" s="82" t="str">
        <f>AP148</f>
        <v>傷</v>
      </c>
      <c r="AQ154" s="81" t="s">
        <v>48</v>
      </c>
      <c r="AR154" s="82" t="s">
        <v>8</v>
      </c>
      <c r="AS154" s="81" t="s">
        <v>50</v>
      </c>
      <c r="AT154" s="82" t="str">
        <f>AT148</f>
        <v>景</v>
      </c>
      <c r="AU154" s="81" t="s">
        <v>52</v>
      </c>
      <c r="AV154" s="82" t="str">
        <f>AV148</f>
        <v>死</v>
      </c>
      <c r="AW154" s="81" t="s">
        <v>38</v>
      </c>
      <c r="AX154" s="82" t="str">
        <f>AX148</f>
        <v>驚</v>
      </c>
      <c r="AY154" s="81" t="s">
        <v>40</v>
      </c>
      <c r="AZ154" s="83"/>
      <c r="BA154" s="84"/>
      <c r="BB154" s="84"/>
      <c r="BC154" s="84"/>
    </row>
    <row r="155">
      <c r="A155" s="192">
        <f>A149+1</f>
        <v>24</v>
      </c>
      <c r="B155" s="193"/>
      <c r="C155" s="12" t="s">
        <v>260</v>
      </c>
      <c r="E155" s="168" t="s">
        <v>79</v>
      </c>
      <c r="G155" s="324" t="str">
        <f t="shared" ref="G155:G156" si="228">G3:H3</f>
        <v>壬</v>
      </c>
      <c r="I155" s="275" t="str">
        <f t="shared" ref="I155:I156" si="229">I33:J33</f>
        <v>丙</v>
      </c>
      <c r="K155" s="90">
        <f>L155/L156</f>
        <v>0.68</v>
      </c>
      <c r="L155" s="126">
        <f t="shared" ref="L155:L156" si="230">O155+P155+Q155+U155+V155+W155+X155+R155+M155+N155+S155+T155</f>
        <v>680</v>
      </c>
      <c r="M155" s="92">
        <v>0.0</v>
      </c>
      <c r="N155" s="93">
        <v>0.0</v>
      </c>
      <c r="O155" s="92">
        <v>90.0</v>
      </c>
      <c r="P155" s="92">
        <v>70.0</v>
      </c>
      <c r="Q155" s="92">
        <v>70.0</v>
      </c>
      <c r="R155" s="93">
        <v>50.0</v>
      </c>
      <c r="S155" s="92">
        <v>45.0</v>
      </c>
      <c r="T155" s="93">
        <v>90.0</v>
      </c>
      <c r="U155" s="92">
        <f t="shared" ref="U155:V155" si="226">U39</f>
        <v>45</v>
      </c>
      <c r="V155" s="93">
        <f t="shared" si="226"/>
        <v>50</v>
      </c>
      <c r="W155" s="92">
        <f t="shared" ref="W155:X155" si="227">W33</f>
        <v>110</v>
      </c>
      <c r="X155" s="93">
        <f t="shared" si="227"/>
        <v>60</v>
      </c>
      <c r="Y155" s="73" t="s">
        <v>98</v>
      </c>
      <c r="Z155" s="94" t="s">
        <v>163</v>
      </c>
      <c r="AA155" s="36"/>
      <c r="AB155" s="29"/>
      <c r="AC155" s="204" t="s">
        <v>82</v>
      </c>
      <c r="AD155" s="96" t="s">
        <v>83</v>
      </c>
      <c r="AE155" s="37"/>
      <c r="AF155" s="97"/>
      <c r="AG155" s="12" t="s">
        <v>53</v>
      </c>
      <c r="AH155" s="12">
        <v>30.0</v>
      </c>
      <c r="AI155" s="12" t="s">
        <v>178</v>
      </c>
      <c r="AJ155" s="98" t="s">
        <v>39</v>
      </c>
      <c r="AK155" s="99" t="s">
        <v>93</v>
      </c>
      <c r="AL155" s="100" t="s">
        <v>37</v>
      </c>
      <c r="AM155" s="99" t="s">
        <v>94</v>
      </c>
      <c r="AN155" s="100" t="s">
        <v>51</v>
      </c>
      <c r="AO155" s="101" t="s">
        <v>95</v>
      </c>
      <c r="AP155" s="100" t="s">
        <v>86</v>
      </c>
      <c r="AQ155" s="99" t="s">
        <v>87</v>
      </c>
      <c r="AR155" s="100" t="s">
        <v>88</v>
      </c>
      <c r="AS155" s="101" t="s">
        <v>89</v>
      </c>
      <c r="AT155" s="100" t="s">
        <v>45</v>
      </c>
      <c r="AU155" s="102" t="s">
        <v>90</v>
      </c>
      <c r="AV155" s="100" t="s">
        <v>43</v>
      </c>
      <c r="AW155" s="101" t="s">
        <v>91</v>
      </c>
      <c r="AX155" s="100" t="s">
        <v>41</v>
      </c>
      <c r="AY155" s="103" t="s">
        <v>92</v>
      </c>
      <c r="AZ155" s="24"/>
    </row>
    <row r="156">
      <c r="A156" s="215" t="str">
        <f>G2</f>
        <v>เมษายน</v>
      </c>
      <c r="B156" s="193"/>
      <c r="C156" s="175" t="s">
        <v>231</v>
      </c>
      <c r="E156" s="162" t="s">
        <v>197</v>
      </c>
      <c r="G156" s="180" t="str">
        <f t="shared" si="228"/>
        <v>辰</v>
      </c>
      <c r="I156" s="142" t="str">
        <f t="shared" si="229"/>
        <v>午</v>
      </c>
      <c r="K156" s="36"/>
      <c r="L156" s="109">
        <f t="shared" si="230"/>
        <v>1000</v>
      </c>
      <c r="M156" s="9">
        <v>0.0</v>
      </c>
      <c r="N156" s="110">
        <v>0.0</v>
      </c>
      <c r="O156" s="9">
        <v>100.0</v>
      </c>
      <c r="P156" s="9">
        <v>100.0</v>
      </c>
      <c r="Q156" s="9">
        <v>100.0</v>
      </c>
      <c r="R156" s="110">
        <v>100.0</v>
      </c>
      <c r="S156" s="9">
        <v>100.0</v>
      </c>
      <c r="T156" s="110">
        <v>100.0</v>
      </c>
      <c r="U156" s="9">
        <v>100.0</v>
      </c>
      <c r="V156" s="110">
        <v>100.0</v>
      </c>
      <c r="W156" s="9">
        <v>100.0</v>
      </c>
      <c r="X156" s="110">
        <v>100.0</v>
      </c>
      <c r="Y156" s="73" t="s">
        <v>116</v>
      </c>
      <c r="Z156" s="94" t="s">
        <v>153</v>
      </c>
      <c r="AA156" s="36"/>
      <c r="AB156" s="36"/>
      <c r="AC156" s="111"/>
      <c r="AD156" s="112"/>
      <c r="AE156" s="37"/>
      <c r="AF156" s="97"/>
      <c r="AG156" s="14"/>
      <c r="AH156" s="14"/>
      <c r="AI156" s="14"/>
      <c r="AJ156" s="113"/>
      <c r="AK156" s="104" t="s">
        <v>105</v>
      </c>
      <c r="AM156" s="104" t="s">
        <v>106</v>
      </c>
      <c r="AO156" s="105" t="s">
        <v>107</v>
      </c>
      <c r="AQ156" s="104" t="s">
        <v>100</v>
      </c>
      <c r="AS156" s="114" t="s">
        <v>101</v>
      </c>
      <c r="AU156" s="105" t="s">
        <v>102</v>
      </c>
      <c r="AW156" s="105" t="s">
        <v>103</v>
      </c>
      <c r="AY156" s="104" t="s">
        <v>104</v>
      </c>
      <c r="AZ156" s="24"/>
    </row>
    <row r="157">
      <c r="A157" s="192">
        <v>2569.0</v>
      </c>
      <c r="B157" s="193"/>
      <c r="E157" s="115" t="s">
        <v>219</v>
      </c>
      <c r="F157" s="116" t="s">
        <v>80</v>
      </c>
      <c r="G157" s="115" t="str">
        <f t="shared" ref="G157:H157" si="231">G41</f>
        <v>A9</v>
      </c>
      <c r="H157" s="9" t="str">
        <f t="shared" si="231"/>
        <v>B9</v>
      </c>
      <c r="I157" s="9" t="str">
        <f t="shared" ref="I157:J157" si="232">I35</f>
        <v>A5</v>
      </c>
      <c r="J157" s="9" t="str">
        <f t="shared" si="232"/>
        <v>B11</v>
      </c>
      <c r="K157" s="36"/>
      <c r="L157" s="117"/>
      <c r="M157" s="118" t="str">
        <f t="shared" ref="M157:P157" si="233">C157</f>
        <v/>
      </c>
      <c r="N157" s="119" t="str">
        <f t="shared" si="233"/>
        <v/>
      </c>
      <c r="O157" s="118" t="str">
        <f t="shared" si="233"/>
        <v>A3</v>
      </c>
      <c r="P157" s="118" t="str">
        <f t="shared" si="233"/>
        <v>B1</v>
      </c>
      <c r="Q157" s="118" t="str">
        <f t="shared" ref="Q157:R157" si="234">E158</f>
        <v>B1</v>
      </c>
      <c r="R157" s="119" t="str">
        <f t="shared" si="234"/>
        <v>C1</v>
      </c>
      <c r="S157" s="9" t="s">
        <v>164</v>
      </c>
      <c r="T157" s="110" t="s">
        <v>219</v>
      </c>
      <c r="U157" s="9" t="str">
        <f t="shared" ref="U157:X157" si="235">G157</f>
        <v>A9</v>
      </c>
      <c r="V157" s="119" t="str">
        <f t="shared" si="235"/>
        <v>B9</v>
      </c>
      <c r="W157" s="118" t="str">
        <f t="shared" si="235"/>
        <v>A5</v>
      </c>
      <c r="X157" s="120" t="str">
        <f t="shared" si="235"/>
        <v>B11</v>
      </c>
      <c r="Y157" s="73" t="s">
        <v>126</v>
      </c>
      <c r="Z157" s="94" t="s">
        <v>155</v>
      </c>
      <c r="AA157" s="36"/>
      <c r="AB157" s="36"/>
      <c r="AC157" s="111"/>
      <c r="AD157" s="112"/>
      <c r="AE157" s="37"/>
      <c r="AF157" s="97"/>
      <c r="AG157" s="14"/>
      <c r="AH157" s="14"/>
      <c r="AI157" s="14"/>
      <c r="AJ157" s="113"/>
      <c r="AK157" s="104" t="s">
        <v>123</v>
      </c>
      <c r="AM157" s="104" t="s">
        <v>124</v>
      </c>
      <c r="AO157" s="105" t="s">
        <v>125</v>
      </c>
      <c r="AQ157" s="104" t="s">
        <v>118</v>
      </c>
      <c r="AS157" s="114" t="s">
        <v>119</v>
      </c>
      <c r="AU157" s="105" t="s">
        <v>120</v>
      </c>
      <c r="AW157" s="105" t="s">
        <v>121</v>
      </c>
      <c r="AY157" s="104" t="s">
        <v>122</v>
      </c>
      <c r="AZ157" s="24"/>
    </row>
    <row r="158">
      <c r="A158" s="192">
        <f>A157-543</f>
        <v>2026</v>
      </c>
      <c r="B158" s="193"/>
      <c r="C158" s="262" t="s">
        <v>166</v>
      </c>
      <c r="E158" s="115" t="s">
        <v>80</v>
      </c>
      <c r="F158" s="116" t="s">
        <v>154</v>
      </c>
      <c r="G158" s="115"/>
      <c r="H158" s="118"/>
      <c r="I158" s="118"/>
      <c r="J158" s="118"/>
      <c r="K158" s="36"/>
      <c r="L158" s="117"/>
      <c r="M158" s="326"/>
      <c r="N158" s="327"/>
      <c r="R158" s="117"/>
      <c r="T158" s="117"/>
      <c r="V158" s="117"/>
      <c r="X158" s="117"/>
      <c r="Y158" s="73" t="s">
        <v>69</v>
      </c>
      <c r="Z158" s="94" t="s">
        <v>128</v>
      </c>
      <c r="AA158" s="36"/>
      <c r="AB158" s="36"/>
      <c r="AC158" s="111"/>
      <c r="AD158" s="112"/>
      <c r="AE158" s="37"/>
      <c r="AF158" s="97"/>
      <c r="AG158" s="14"/>
      <c r="AH158" s="14"/>
      <c r="AI158" s="14"/>
      <c r="AJ158" s="113"/>
      <c r="AK158" s="104" t="s">
        <v>134</v>
      </c>
      <c r="AM158" s="104" t="s">
        <v>135</v>
      </c>
      <c r="AO158" s="105" t="s">
        <v>136</v>
      </c>
      <c r="AQ158" s="104" t="s">
        <v>129</v>
      </c>
      <c r="AS158" s="114" t="s">
        <v>130</v>
      </c>
      <c r="AU158" s="105" t="s">
        <v>131</v>
      </c>
      <c r="AW158" s="105" t="s">
        <v>132</v>
      </c>
      <c r="AY158" s="104" t="s">
        <v>133</v>
      </c>
      <c r="AZ158" s="24"/>
    </row>
    <row r="159">
      <c r="A159" s="143" t="s">
        <v>156</v>
      </c>
      <c r="B159" s="206"/>
      <c r="C159" s="1"/>
      <c r="D159" s="312"/>
      <c r="E159" s="164" t="s">
        <v>157</v>
      </c>
      <c r="F159" s="88"/>
      <c r="G159" s="207" t="str">
        <f>G5:H5</f>
        <v>อสูรเดือน S</v>
      </c>
      <c r="I159" s="208" t="str">
        <f>I5:J5</f>
        <v>อสูรปี N</v>
      </c>
      <c r="K159" s="36"/>
      <c r="L159" s="117"/>
      <c r="M159" s="326"/>
      <c r="N159" s="327"/>
      <c r="R159" s="117"/>
      <c r="T159" s="117"/>
      <c r="V159" s="117"/>
      <c r="X159" s="117"/>
      <c r="Y159" s="127"/>
      <c r="Z159" s="155"/>
      <c r="AA159" s="36"/>
      <c r="AB159" s="36"/>
      <c r="AC159" s="111"/>
      <c r="AD159" s="112"/>
      <c r="AE159" s="37"/>
      <c r="AF159" s="97"/>
      <c r="AG159" s="14"/>
      <c r="AH159" s="14"/>
      <c r="AI159" s="14"/>
      <c r="AJ159" s="113"/>
      <c r="AY159" s="128"/>
      <c r="AZ159" s="24"/>
    </row>
    <row r="160">
      <c r="A160" s="188" t="s">
        <v>158</v>
      </c>
      <c r="B160" s="189"/>
      <c r="C160" s="63"/>
      <c r="D160" s="63"/>
      <c r="E160" s="64">
        <f>(O161+P161+Q161+R161)/(O162+P162+Q162+R162)</f>
        <v>0.575</v>
      </c>
      <c r="F160" s="65"/>
      <c r="G160" s="133"/>
      <c r="H160" s="72"/>
      <c r="I160" s="67"/>
      <c r="J160" s="72"/>
      <c r="K160" s="68"/>
      <c r="L160" s="69"/>
      <c r="M160" s="63" t="s">
        <v>64</v>
      </c>
      <c r="N160" s="70"/>
      <c r="O160" s="71" t="s">
        <v>65</v>
      </c>
      <c r="P160" s="72"/>
      <c r="Q160" s="72"/>
      <c r="R160" s="70"/>
      <c r="S160" s="71" t="s">
        <v>66</v>
      </c>
      <c r="T160" s="70"/>
      <c r="U160" s="71" t="s">
        <v>67</v>
      </c>
      <c r="V160" s="70"/>
      <c r="W160" s="71" t="s">
        <v>68</v>
      </c>
      <c r="X160" s="70"/>
      <c r="Y160" s="134" t="s">
        <v>69</v>
      </c>
      <c r="Z160" s="74" t="s">
        <v>70</v>
      </c>
      <c r="AA160" s="75" t="s">
        <v>171</v>
      </c>
      <c r="AB160" s="75" t="s">
        <v>172</v>
      </c>
      <c r="AC160" s="202" t="s">
        <v>142</v>
      </c>
      <c r="AD160" s="74" t="s">
        <v>143</v>
      </c>
      <c r="AE160" s="63" t="s">
        <v>34</v>
      </c>
      <c r="AF160" s="78" t="s">
        <v>36</v>
      </c>
      <c r="AG160" s="79" t="s">
        <v>84</v>
      </c>
      <c r="AH160" s="79">
        <v>0.0</v>
      </c>
      <c r="AI160" s="79" t="s">
        <v>85</v>
      </c>
      <c r="AJ160" s="80" t="str">
        <f>AJ154</f>
        <v>開</v>
      </c>
      <c r="AK160" s="81" t="s">
        <v>40</v>
      </c>
      <c r="AL160" s="82" t="str">
        <f>AL154</f>
        <v>休</v>
      </c>
      <c r="AM160" s="81" t="s">
        <v>42</v>
      </c>
      <c r="AN160" s="82" t="s">
        <v>4</v>
      </c>
      <c r="AO160" s="81" t="s">
        <v>44</v>
      </c>
      <c r="AP160" s="82" t="str">
        <f>AP154</f>
        <v>傷</v>
      </c>
      <c r="AQ160" s="81" t="s">
        <v>46</v>
      </c>
      <c r="AR160" s="82" t="s">
        <v>8</v>
      </c>
      <c r="AS160" s="81" t="s">
        <v>48</v>
      </c>
      <c r="AT160" s="82" t="str">
        <f>AT154</f>
        <v>景</v>
      </c>
      <c r="AU160" s="81" t="s">
        <v>50</v>
      </c>
      <c r="AV160" s="82" t="str">
        <f>AV154</f>
        <v>死</v>
      </c>
      <c r="AW160" s="81" t="s">
        <v>52</v>
      </c>
      <c r="AX160" s="82" t="str">
        <f>AX154</f>
        <v>驚</v>
      </c>
      <c r="AY160" s="81" t="s">
        <v>38</v>
      </c>
      <c r="AZ160" s="83"/>
      <c r="BA160" s="84"/>
      <c r="BB160" s="84"/>
      <c r="BC160" s="84"/>
    </row>
    <row r="161">
      <c r="A161" s="192">
        <f>A155+1</f>
        <v>25</v>
      </c>
      <c r="B161" s="193"/>
      <c r="C161" s="12" t="s">
        <v>270</v>
      </c>
      <c r="E161" s="168" t="s">
        <v>30</v>
      </c>
      <c r="G161" s="324" t="str">
        <f t="shared" ref="G161:G162" si="238">G3:H3</f>
        <v>壬</v>
      </c>
      <c r="I161" s="275" t="str">
        <f t="shared" ref="I161:I162" si="239">I33:J33</f>
        <v>丙</v>
      </c>
      <c r="K161" s="90">
        <f>L161/L162</f>
        <v>0.525</v>
      </c>
      <c r="L161" s="126">
        <f t="shared" ref="L161:L162" si="240">O161+P161+Q161+U161+V161+W161+X161+R161+M161+N161+S161+T161</f>
        <v>525</v>
      </c>
      <c r="M161" s="92">
        <v>0.0</v>
      </c>
      <c r="N161" s="93">
        <v>0.0</v>
      </c>
      <c r="O161" s="92">
        <v>110.0</v>
      </c>
      <c r="P161" s="92">
        <v>80.0</v>
      </c>
      <c r="Q161" s="92">
        <v>10.0</v>
      </c>
      <c r="R161" s="93">
        <v>30.0</v>
      </c>
      <c r="S161" s="92">
        <v>0.0</v>
      </c>
      <c r="T161" s="93">
        <v>30.0</v>
      </c>
      <c r="U161" s="92">
        <f t="shared" ref="U161:V161" si="236">U39</f>
        <v>45</v>
      </c>
      <c r="V161" s="93">
        <f t="shared" si="236"/>
        <v>50</v>
      </c>
      <c r="W161" s="92">
        <f t="shared" ref="W161:X161" si="237">W33</f>
        <v>110</v>
      </c>
      <c r="X161" s="93">
        <f t="shared" si="237"/>
        <v>60</v>
      </c>
      <c r="Y161" s="73" t="s">
        <v>80</v>
      </c>
      <c r="Z161" s="94" t="s">
        <v>81</v>
      </c>
      <c r="AA161" s="36"/>
      <c r="AB161" s="169" t="s">
        <v>177</v>
      </c>
      <c r="AC161" s="204" t="s">
        <v>82</v>
      </c>
      <c r="AD161" s="96" t="s">
        <v>83</v>
      </c>
      <c r="AE161" s="37"/>
      <c r="AF161" s="97"/>
      <c r="AG161" s="12" t="s">
        <v>76</v>
      </c>
      <c r="AH161" s="12">
        <v>240.0</v>
      </c>
      <c r="AI161" s="12" t="s">
        <v>77</v>
      </c>
      <c r="AJ161" s="98" t="s">
        <v>51</v>
      </c>
      <c r="AK161" s="101" t="s">
        <v>95</v>
      </c>
      <c r="AL161" s="100" t="s">
        <v>86</v>
      </c>
      <c r="AM161" s="99" t="s">
        <v>87</v>
      </c>
      <c r="AN161" s="100" t="s">
        <v>88</v>
      </c>
      <c r="AO161" s="101" t="s">
        <v>89</v>
      </c>
      <c r="AP161" s="100" t="s">
        <v>45</v>
      </c>
      <c r="AQ161" s="102" t="s">
        <v>90</v>
      </c>
      <c r="AR161" s="100" t="s">
        <v>43</v>
      </c>
      <c r="AS161" s="101" t="s">
        <v>91</v>
      </c>
      <c r="AT161" s="100" t="s">
        <v>41</v>
      </c>
      <c r="AU161" s="103" t="s">
        <v>92</v>
      </c>
      <c r="AV161" s="100" t="s">
        <v>39</v>
      </c>
      <c r="AW161" s="99" t="s">
        <v>93</v>
      </c>
      <c r="AX161" s="100" t="s">
        <v>37</v>
      </c>
      <c r="AY161" s="99" t="s">
        <v>94</v>
      </c>
      <c r="AZ161" s="24"/>
    </row>
    <row r="162">
      <c r="A162" s="215" t="str">
        <f>G2</f>
        <v>เมษายน</v>
      </c>
      <c r="B162" s="193"/>
      <c r="C162" s="175" t="s">
        <v>235</v>
      </c>
      <c r="E162" s="201" t="s">
        <v>54</v>
      </c>
      <c r="G162" s="180" t="str">
        <f t="shared" si="238"/>
        <v>辰</v>
      </c>
      <c r="I162" s="142" t="str">
        <f t="shared" si="239"/>
        <v>午</v>
      </c>
      <c r="K162" s="36"/>
      <c r="L162" s="109">
        <f t="shared" si="240"/>
        <v>1000</v>
      </c>
      <c r="M162" s="9">
        <v>0.0</v>
      </c>
      <c r="N162" s="110">
        <v>0.0</v>
      </c>
      <c r="O162" s="9">
        <v>100.0</v>
      </c>
      <c r="P162" s="9">
        <v>100.0</v>
      </c>
      <c r="Q162" s="9">
        <v>100.0</v>
      </c>
      <c r="R162" s="110">
        <v>100.0</v>
      </c>
      <c r="S162" s="9">
        <v>100.0</v>
      </c>
      <c r="T162" s="110">
        <v>100.0</v>
      </c>
      <c r="U162" s="9">
        <v>100.0</v>
      </c>
      <c r="V162" s="110">
        <v>100.0</v>
      </c>
      <c r="W162" s="9">
        <v>100.0</v>
      </c>
      <c r="X162" s="110">
        <v>100.0</v>
      </c>
      <c r="Y162" s="73" t="s">
        <v>98</v>
      </c>
      <c r="Z162" s="94" t="s">
        <v>99</v>
      </c>
      <c r="AA162" s="36"/>
      <c r="AB162" s="36"/>
      <c r="AC162" s="111"/>
      <c r="AD162" s="112"/>
      <c r="AE162" s="37"/>
      <c r="AF162" s="97"/>
      <c r="AG162" s="14"/>
      <c r="AH162" s="14"/>
      <c r="AI162" s="14"/>
      <c r="AJ162" s="113"/>
      <c r="AK162" s="105" t="s">
        <v>107</v>
      </c>
      <c r="AM162" s="104" t="s">
        <v>100</v>
      </c>
      <c r="AO162" s="114" t="s">
        <v>101</v>
      </c>
      <c r="AQ162" s="105" t="s">
        <v>102</v>
      </c>
      <c r="AS162" s="105" t="s">
        <v>103</v>
      </c>
      <c r="AU162" s="104" t="s">
        <v>104</v>
      </c>
      <c r="AW162" s="104" t="s">
        <v>105</v>
      </c>
      <c r="AY162" s="104" t="s">
        <v>106</v>
      </c>
      <c r="AZ162" s="24"/>
    </row>
    <row r="163">
      <c r="A163" s="192">
        <v>2569.0</v>
      </c>
      <c r="B163" s="193"/>
      <c r="E163" s="115" t="s">
        <v>204</v>
      </c>
      <c r="F163" s="116" t="s">
        <v>98</v>
      </c>
      <c r="G163" s="115" t="str">
        <f t="shared" ref="G163:H163" si="241">G41</f>
        <v>A9</v>
      </c>
      <c r="H163" s="9" t="str">
        <f t="shared" si="241"/>
        <v>B9</v>
      </c>
      <c r="I163" s="9" t="str">
        <f t="shared" ref="I163:J163" si="242">I35</f>
        <v>A5</v>
      </c>
      <c r="J163" s="9" t="str">
        <f t="shared" si="242"/>
        <v>B11</v>
      </c>
      <c r="K163" s="36"/>
      <c r="L163" s="117"/>
      <c r="M163" s="118" t="str">
        <f t="shared" ref="M163:P163" si="243">C163</f>
        <v/>
      </c>
      <c r="N163" s="119" t="str">
        <f t="shared" si="243"/>
        <v/>
      </c>
      <c r="O163" s="118" t="str">
        <f t="shared" si="243"/>
        <v>A5</v>
      </c>
      <c r="P163" s="118" t="str">
        <f t="shared" si="243"/>
        <v>B2</v>
      </c>
      <c r="Q163" s="118" t="str">
        <f t="shared" ref="Q163:R163" si="244">E164</f>
        <v>B12</v>
      </c>
      <c r="R163" s="119" t="str">
        <f t="shared" si="244"/>
        <v>C2</v>
      </c>
      <c r="S163" s="9" t="s">
        <v>114</v>
      </c>
      <c r="T163" s="110" t="s">
        <v>198</v>
      </c>
      <c r="U163" s="9" t="str">
        <f t="shared" ref="U163:X163" si="245">G163</f>
        <v>A9</v>
      </c>
      <c r="V163" s="119" t="str">
        <f t="shared" si="245"/>
        <v>B9</v>
      </c>
      <c r="W163" s="118" t="str">
        <f t="shared" si="245"/>
        <v>A5</v>
      </c>
      <c r="X163" s="120" t="str">
        <f t="shared" si="245"/>
        <v>B11</v>
      </c>
      <c r="Y163" s="73" t="s">
        <v>116</v>
      </c>
      <c r="Z163" s="94" t="s">
        <v>117</v>
      </c>
      <c r="AA163" s="36"/>
      <c r="AB163" s="36"/>
      <c r="AC163" s="111"/>
      <c r="AD163" s="112"/>
      <c r="AE163" s="37"/>
      <c r="AF163" s="97"/>
      <c r="AG163" s="14"/>
      <c r="AH163" s="14"/>
      <c r="AI163" s="14"/>
      <c r="AJ163" s="113"/>
      <c r="AK163" s="105" t="s">
        <v>125</v>
      </c>
      <c r="AM163" s="104" t="s">
        <v>118</v>
      </c>
      <c r="AO163" s="114" t="s">
        <v>119</v>
      </c>
      <c r="AQ163" s="105" t="s">
        <v>120</v>
      </c>
      <c r="AS163" s="105" t="s">
        <v>121</v>
      </c>
      <c r="AU163" s="104" t="s">
        <v>122</v>
      </c>
      <c r="AW163" s="104" t="s">
        <v>123</v>
      </c>
      <c r="AY163" s="104" t="s">
        <v>124</v>
      </c>
      <c r="AZ163" s="24"/>
    </row>
    <row r="164">
      <c r="A164" s="192">
        <f>A163-543</f>
        <v>2026</v>
      </c>
      <c r="B164" s="193"/>
      <c r="C164" s="12"/>
      <c r="E164" s="115" t="s">
        <v>113</v>
      </c>
      <c r="F164" s="116" t="s">
        <v>167</v>
      </c>
      <c r="G164" s="115"/>
      <c r="H164" s="118"/>
      <c r="I164" s="118"/>
      <c r="J164" s="118"/>
      <c r="K164" s="36"/>
      <c r="L164" s="117"/>
      <c r="M164" s="326"/>
      <c r="N164" s="327"/>
      <c r="R164" s="117"/>
      <c r="T164" s="117"/>
      <c r="V164" s="117"/>
      <c r="X164" s="117"/>
      <c r="Y164" s="73" t="s">
        <v>126</v>
      </c>
      <c r="Z164" s="94" t="s">
        <v>128</v>
      </c>
      <c r="AA164" s="36"/>
      <c r="AB164" s="36"/>
      <c r="AC164" s="111"/>
      <c r="AD164" s="112"/>
      <c r="AE164" s="37"/>
      <c r="AF164" s="97"/>
      <c r="AG164" s="14"/>
      <c r="AH164" s="14"/>
      <c r="AI164" s="14"/>
      <c r="AJ164" s="113"/>
      <c r="AK164" s="105" t="s">
        <v>136</v>
      </c>
      <c r="AM164" s="104" t="s">
        <v>129</v>
      </c>
      <c r="AO164" s="114" t="s">
        <v>130</v>
      </c>
      <c r="AQ164" s="105" t="s">
        <v>131</v>
      </c>
      <c r="AS164" s="105" t="s">
        <v>132</v>
      </c>
      <c r="AU164" s="104" t="s">
        <v>133</v>
      </c>
      <c r="AW164" s="104" t="s">
        <v>134</v>
      </c>
      <c r="AY164" s="104" t="s">
        <v>135</v>
      </c>
      <c r="AZ164" s="24"/>
    </row>
    <row r="165">
      <c r="A165" s="310"/>
      <c r="B165" s="206"/>
      <c r="C165" s="1"/>
      <c r="D165" s="123"/>
      <c r="E165" s="176" t="s">
        <v>168</v>
      </c>
      <c r="F165" s="88"/>
      <c r="G165" s="207" t="str">
        <f>G5:H5</f>
        <v>อสูรเดือน S</v>
      </c>
      <c r="I165" s="208" t="str">
        <f>I5:J5</f>
        <v>อสูรปี N</v>
      </c>
      <c r="K165" s="36"/>
      <c r="L165" s="117"/>
      <c r="M165" s="326"/>
      <c r="N165" s="327"/>
      <c r="R165" s="117"/>
      <c r="T165" s="117"/>
      <c r="V165" s="117"/>
      <c r="X165" s="117"/>
      <c r="Y165" s="127"/>
      <c r="Z165" s="155"/>
      <c r="AA165" s="36"/>
      <c r="AB165" s="36"/>
      <c r="AC165" s="111"/>
      <c r="AD165" s="112"/>
      <c r="AE165" s="37"/>
      <c r="AF165" s="97"/>
      <c r="AG165" s="14"/>
      <c r="AH165" s="14"/>
      <c r="AI165" s="14"/>
      <c r="AJ165" s="113"/>
      <c r="AK165" s="128"/>
      <c r="AZ165" s="24"/>
    </row>
    <row r="166">
      <c r="A166" s="188" t="s">
        <v>169</v>
      </c>
      <c r="B166" s="189"/>
      <c r="C166" s="63"/>
      <c r="D166" s="63"/>
      <c r="E166" s="64">
        <f>(O167+P167+Q167+R167)/(O168+P168+Q168+R168)</f>
        <v>0.625</v>
      </c>
      <c r="F166" s="65"/>
      <c r="G166" s="133"/>
      <c r="H166" s="72"/>
      <c r="I166" s="67"/>
      <c r="J166" s="72"/>
      <c r="K166" s="68"/>
      <c r="L166" s="69"/>
      <c r="M166" s="63" t="s">
        <v>64</v>
      </c>
      <c r="N166" s="70"/>
      <c r="O166" s="71" t="s">
        <v>65</v>
      </c>
      <c r="P166" s="72"/>
      <c r="Q166" s="72"/>
      <c r="R166" s="70"/>
      <c r="S166" s="71" t="s">
        <v>66</v>
      </c>
      <c r="T166" s="70"/>
      <c r="U166" s="71" t="s">
        <v>67</v>
      </c>
      <c r="V166" s="70"/>
      <c r="W166" s="71" t="s">
        <v>68</v>
      </c>
      <c r="X166" s="70"/>
      <c r="Y166" s="134" t="s">
        <v>116</v>
      </c>
      <c r="Z166" s="74" t="s">
        <v>140</v>
      </c>
      <c r="AA166" s="75" t="s">
        <v>209</v>
      </c>
      <c r="AB166" s="75" t="s">
        <v>238</v>
      </c>
      <c r="AC166" s="167" t="s">
        <v>173</v>
      </c>
      <c r="AD166" s="74" t="s">
        <v>174</v>
      </c>
      <c r="AE166" s="63" t="s">
        <v>36</v>
      </c>
      <c r="AF166" s="78" t="s">
        <v>34</v>
      </c>
      <c r="AG166" s="79" t="s">
        <v>53</v>
      </c>
      <c r="AH166" s="79">
        <v>30.0</v>
      </c>
      <c r="AI166" s="79" t="s">
        <v>178</v>
      </c>
      <c r="AJ166" s="80" t="str">
        <f>AJ160</f>
        <v>開</v>
      </c>
      <c r="AK166" s="81" t="s">
        <v>40</v>
      </c>
      <c r="AL166" s="82" t="str">
        <f>AL160</f>
        <v>休</v>
      </c>
      <c r="AM166" s="81" t="s">
        <v>42</v>
      </c>
      <c r="AN166" s="82" t="s">
        <v>4</v>
      </c>
      <c r="AO166" s="81" t="s">
        <v>44</v>
      </c>
      <c r="AP166" s="82" t="str">
        <f>AP160</f>
        <v>傷</v>
      </c>
      <c r="AQ166" s="81" t="s">
        <v>46</v>
      </c>
      <c r="AR166" s="82" t="s">
        <v>8</v>
      </c>
      <c r="AS166" s="81" t="s">
        <v>48</v>
      </c>
      <c r="AT166" s="82" t="str">
        <f>AT160</f>
        <v>景</v>
      </c>
      <c r="AU166" s="81" t="s">
        <v>50</v>
      </c>
      <c r="AV166" s="82" t="str">
        <f>AV160</f>
        <v>死</v>
      </c>
      <c r="AW166" s="81" t="s">
        <v>52</v>
      </c>
      <c r="AX166" s="82" t="str">
        <f>AX160</f>
        <v>驚</v>
      </c>
      <c r="AY166" s="81" t="s">
        <v>38</v>
      </c>
      <c r="AZ166" s="83"/>
      <c r="BA166" s="84"/>
      <c r="BB166" s="84"/>
      <c r="BC166" s="84"/>
    </row>
    <row r="167">
      <c r="A167" s="192">
        <f>A161+1</f>
        <v>26</v>
      </c>
      <c r="B167" s="193"/>
      <c r="C167" s="12" t="s">
        <v>249</v>
      </c>
      <c r="E167" s="194" t="s">
        <v>195</v>
      </c>
      <c r="G167" s="324" t="str">
        <f t="shared" ref="G167:G168" si="248">G3:H3</f>
        <v>壬</v>
      </c>
      <c r="I167" s="275" t="str">
        <f t="shared" ref="I167:I168" si="249">I33:J33</f>
        <v>丙</v>
      </c>
      <c r="K167" s="90">
        <f>L167/L168</f>
        <v>0.6524122807</v>
      </c>
      <c r="L167" s="126">
        <f>O167+P167+Q167+U167+V167+W167+X167+R167+M167+N167+S167+T167</f>
        <v>595</v>
      </c>
      <c r="M167" s="92">
        <v>0.0</v>
      </c>
      <c r="N167" s="93">
        <v>0.0</v>
      </c>
      <c r="O167" s="92">
        <v>35.0</v>
      </c>
      <c r="P167" s="92">
        <v>20.0</v>
      </c>
      <c r="Q167" s="92">
        <v>60.0</v>
      </c>
      <c r="R167" s="93">
        <v>80.0</v>
      </c>
      <c r="S167" s="92">
        <v>65.0</v>
      </c>
      <c r="T167" s="93">
        <v>70.0</v>
      </c>
      <c r="U167" s="92">
        <f t="shared" ref="U167:V167" si="246">U39</f>
        <v>45</v>
      </c>
      <c r="V167" s="93">
        <f t="shared" si="246"/>
        <v>50</v>
      </c>
      <c r="W167" s="92">
        <f t="shared" ref="W167:X167" si="247">W33</f>
        <v>110</v>
      </c>
      <c r="X167" s="93">
        <f t="shared" si="247"/>
        <v>60</v>
      </c>
      <c r="Y167" s="73" t="s">
        <v>126</v>
      </c>
      <c r="Z167" s="94" t="s">
        <v>70</v>
      </c>
      <c r="AA167" s="36"/>
      <c r="AB167" s="36"/>
      <c r="AC167" s="170" t="s">
        <v>73</v>
      </c>
      <c r="AD167" s="94" t="s">
        <v>74</v>
      </c>
      <c r="AE167" s="37"/>
      <c r="AF167" s="97"/>
      <c r="AG167" s="12" t="s">
        <v>71</v>
      </c>
      <c r="AH167" s="12">
        <v>210.0</v>
      </c>
      <c r="AI167" s="12" t="s">
        <v>175</v>
      </c>
      <c r="AJ167" s="98" t="s">
        <v>37</v>
      </c>
      <c r="AK167" s="99" t="s">
        <v>94</v>
      </c>
      <c r="AL167" s="100" t="s">
        <v>51</v>
      </c>
      <c r="AM167" s="101" t="s">
        <v>95</v>
      </c>
      <c r="AN167" s="100" t="s">
        <v>86</v>
      </c>
      <c r="AO167" s="99" t="s">
        <v>87</v>
      </c>
      <c r="AP167" s="100" t="s">
        <v>88</v>
      </c>
      <c r="AQ167" s="101" t="s">
        <v>89</v>
      </c>
      <c r="AR167" s="100" t="s">
        <v>45</v>
      </c>
      <c r="AS167" s="102" t="s">
        <v>90</v>
      </c>
      <c r="AT167" s="100" t="s">
        <v>43</v>
      </c>
      <c r="AU167" s="101" t="s">
        <v>91</v>
      </c>
      <c r="AV167" s="100" t="s">
        <v>41</v>
      </c>
      <c r="AW167" s="103" t="s">
        <v>92</v>
      </c>
      <c r="AX167" s="100" t="s">
        <v>39</v>
      </c>
      <c r="AY167" s="99" t="s">
        <v>93</v>
      </c>
      <c r="AZ167" s="24"/>
    </row>
    <row r="168">
      <c r="A168" s="215" t="str">
        <f>G2</f>
        <v>เมษายน</v>
      </c>
      <c r="B168" s="193"/>
      <c r="C168" s="140" t="s">
        <v>239</v>
      </c>
      <c r="E168" s="223" t="s">
        <v>202</v>
      </c>
      <c r="G168" s="180" t="str">
        <f t="shared" si="248"/>
        <v>辰</v>
      </c>
      <c r="I168" s="142" t="str">
        <f t="shared" si="249"/>
        <v>午</v>
      </c>
      <c r="K168" s="36"/>
      <c r="L168" s="109">
        <f>O168+P168+Q168+U168+V168+W168+X168+R168+M168+N168+S168+V168</f>
        <v>912</v>
      </c>
      <c r="M168" s="9">
        <v>0.0</v>
      </c>
      <c r="N168" s="110">
        <v>0.0</v>
      </c>
      <c r="O168" s="9">
        <v>100.0</v>
      </c>
      <c r="P168" s="9">
        <v>100.0</v>
      </c>
      <c r="Q168" s="9">
        <v>100.0</v>
      </c>
      <c r="R168" s="110">
        <v>12.0</v>
      </c>
      <c r="S168" s="9">
        <v>100.0</v>
      </c>
      <c r="T168" s="110">
        <v>100.0</v>
      </c>
      <c r="U168" s="9">
        <v>100.0</v>
      </c>
      <c r="V168" s="110">
        <v>100.0</v>
      </c>
      <c r="W168" s="9">
        <v>100.0</v>
      </c>
      <c r="X168" s="110">
        <v>100.0</v>
      </c>
      <c r="Y168" s="73" t="s">
        <v>69</v>
      </c>
      <c r="Z168" s="94" t="s">
        <v>152</v>
      </c>
      <c r="AA168" s="36"/>
      <c r="AB168" s="36"/>
      <c r="AC168" s="111"/>
      <c r="AD168" s="112"/>
      <c r="AE168" s="37"/>
      <c r="AF168" s="97"/>
      <c r="AG168" s="14"/>
      <c r="AH168" s="14"/>
      <c r="AI168" s="14"/>
      <c r="AJ168" s="113"/>
      <c r="AK168" s="104" t="s">
        <v>106</v>
      </c>
      <c r="AM168" s="105" t="s">
        <v>107</v>
      </c>
      <c r="AO168" s="104" t="s">
        <v>100</v>
      </c>
      <c r="AQ168" s="114" t="s">
        <v>101</v>
      </c>
      <c r="AS168" s="105" t="s">
        <v>102</v>
      </c>
      <c r="AU168" s="105" t="s">
        <v>103</v>
      </c>
      <c r="AW168" s="104" t="s">
        <v>104</v>
      </c>
      <c r="AY168" s="104" t="s">
        <v>105</v>
      </c>
      <c r="AZ168" s="24"/>
    </row>
    <row r="169">
      <c r="A169" s="192">
        <v>2569.0</v>
      </c>
      <c r="B169" s="193"/>
      <c r="E169" s="115" t="s">
        <v>112</v>
      </c>
      <c r="F169" s="116" t="s">
        <v>183</v>
      </c>
      <c r="G169" s="115" t="str">
        <f t="shared" ref="G169:H169" si="250">G41</f>
        <v>A9</v>
      </c>
      <c r="H169" s="9" t="str">
        <f t="shared" si="250"/>
        <v>B9</v>
      </c>
      <c r="I169" s="9" t="str">
        <f t="shared" ref="I169:J169" si="251">I35</f>
        <v>A5</v>
      </c>
      <c r="J169" s="9" t="str">
        <f t="shared" si="251"/>
        <v>B11</v>
      </c>
      <c r="K169" s="36"/>
      <c r="L169" s="117"/>
      <c r="M169" s="118" t="str">
        <f t="shared" ref="M169:P169" si="252">C169</f>
        <v/>
      </c>
      <c r="N169" s="119" t="str">
        <f t="shared" si="252"/>
        <v/>
      </c>
      <c r="O169" s="118" t="str">
        <f t="shared" si="252"/>
        <v>A2</v>
      </c>
      <c r="P169" s="118" t="str">
        <f t="shared" si="252"/>
        <v>B3</v>
      </c>
      <c r="Q169" s="118" t="str">
        <f t="shared" ref="Q169:R169" si="253">E170</f>
        <v>B11</v>
      </c>
      <c r="R169" s="119" t="str">
        <f t="shared" si="253"/>
        <v>C3</v>
      </c>
      <c r="S169" s="9" t="s">
        <v>110</v>
      </c>
      <c r="T169" s="110" t="s">
        <v>165</v>
      </c>
      <c r="U169" s="9" t="str">
        <f t="shared" ref="U169:X169" si="254">G169</f>
        <v>A9</v>
      </c>
      <c r="V169" s="119" t="str">
        <f t="shared" si="254"/>
        <v>B9</v>
      </c>
      <c r="W169" s="118" t="str">
        <f t="shared" si="254"/>
        <v>A5</v>
      </c>
      <c r="X169" s="120" t="str">
        <f t="shared" si="254"/>
        <v>B11</v>
      </c>
      <c r="Y169" s="73" t="s">
        <v>80</v>
      </c>
      <c r="Z169" s="94" t="s">
        <v>153</v>
      </c>
      <c r="AA169" s="36"/>
      <c r="AB169" s="36"/>
      <c r="AC169" s="111"/>
      <c r="AD169" s="112"/>
      <c r="AE169" s="37"/>
      <c r="AF169" s="97"/>
      <c r="AG169" s="14"/>
      <c r="AH169" s="14"/>
      <c r="AI169" s="14"/>
      <c r="AJ169" s="113"/>
      <c r="AK169" s="104" t="s">
        <v>124</v>
      </c>
      <c r="AM169" s="105" t="s">
        <v>125</v>
      </c>
      <c r="AO169" s="104" t="s">
        <v>118</v>
      </c>
      <c r="AQ169" s="114" t="s">
        <v>119</v>
      </c>
      <c r="AS169" s="105" t="s">
        <v>120</v>
      </c>
      <c r="AU169" s="105" t="s">
        <v>121</v>
      </c>
      <c r="AW169" s="104" t="s">
        <v>122</v>
      </c>
      <c r="AY169" s="104" t="s">
        <v>123</v>
      </c>
      <c r="AZ169" s="24"/>
    </row>
    <row r="170">
      <c r="A170" s="192">
        <f>A169-543</f>
        <v>2026</v>
      </c>
      <c r="B170" s="193"/>
      <c r="C170" s="163" t="s">
        <v>166</v>
      </c>
      <c r="E170" s="115" t="s">
        <v>214</v>
      </c>
      <c r="F170" s="116" t="s">
        <v>184</v>
      </c>
      <c r="G170" s="115"/>
      <c r="H170" s="118"/>
      <c r="I170" s="118"/>
      <c r="J170" s="118"/>
      <c r="K170" s="36"/>
      <c r="L170" s="117"/>
      <c r="M170" s="326"/>
      <c r="N170" s="327"/>
      <c r="R170" s="117"/>
      <c r="T170" s="117"/>
      <c r="V170" s="117"/>
      <c r="X170" s="117"/>
      <c r="Y170" s="73" t="s">
        <v>98</v>
      </c>
      <c r="Z170" s="94" t="s">
        <v>155</v>
      </c>
      <c r="AA170" s="36"/>
      <c r="AB170" s="36"/>
      <c r="AC170" s="111"/>
      <c r="AD170" s="112"/>
      <c r="AE170" s="37"/>
      <c r="AF170" s="97"/>
      <c r="AG170" s="14"/>
      <c r="AH170" s="14"/>
      <c r="AI170" s="14"/>
      <c r="AJ170" s="113"/>
      <c r="AK170" s="104" t="s">
        <v>135</v>
      </c>
      <c r="AM170" s="105" t="s">
        <v>136</v>
      </c>
      <c r="AO170" s="104" t="s">
        <v>129</v>
      </c>
      <c r="AQ170" s="114" t="s">
        <v>130</v>
      </c>
      <c r="AS170" s="105" t="s">
        <v>131</v>
      </c>
      <c r="AU170" s="105" t="s">
        <v>132</v>
      </c>
      <c r="AW170" s="104" t="s">
        <v>133</v>
      </c>
      <c r="AY170" s="104" t="s">
        <v>134</v>
      </c>
      <c r="AZ170" s="24"/>
    </row>
    <row r="171">
      <c r="A171" s="336" t="s">
        <v>331</v>
      </c>
      <c r="B171" s="206"/>
      <c r="C171" s="1"/>
      <c r="D171" s="123"/>
      <c r="E171" s="176" t="s">
        <v>185</v>
      </c>
      <c r="F171" s="88"/>
      <c r="G171" s="207" t="str">
        <f>G5:H5</f>
        <v>อสูรเดือน S</v>
      </c>
      <c r="I171" s="208" t="str">
        <f>I5:J5</f>
        <v>อสูรปี N</v>
      </c>
      <c r="K171" s="36"/>
      <c r="L171" s="117"/>
      <c r="M171" s="326"/>
      <c r="N171" s="327"/>
      <c r="R171" s="117"/>
      <c r="T171" s="117"/>
      <c r="V171" s="117"/>
      <c r="X171" s="117"/>
      <c r="Y171" s="233"/>
      <c r="Z171" s="234"/>
      <c r="AA171" s="36"/>
      <c r="AB171" s="36"/>
      <c r="AC171" s="111"/>
      <c r="AD171" s="112"/>
      <c r="AE171" s="37"/>
      <c r="AF171" s="97"/>
      <c r="AG171" s="14"/>
      <c r="AH171" s="14"/>
      <c r="AI171" s="14"/>
      <c r="AJ171" s="113"/>
      <c r="AU171" s="128"/>
      <c r="AZ171" s="24"/>
    </row>
    <row r="172">
      <c r="A172" s="188" t="s">
        <v>186</v>
      </c>
      <c r="B172" s="189"/>
      <c r="C172" s="63"/>
      <c r="D172" s="63"/>
      <c r="E172" s="64">
        <f>(O173+P173+Q173+R173)/(O174+P174+Q174+R174)</f>
        <v>0.375</v>
      </c>
      <c r="F172" s="65"/>
      <c r="G172" s="133"/>
      <c r="H172" s="72"/>
      <c r="I172" s="67"/>
      <c r="J172" s="72"/>
      <c r="K172" s="68"/>
      <c r="L172" s="69"/>
      <c r="M172" s="63" t="s">
        <v>64</v>
      </c>
      <c r="N172" s="70"/>
      <c r="O172" s="71" t="s">
        <v>65</v>
      </c>
      <c r="P172" s="72"/>
      <c r="Q172" s="72"/>
      <c r="R172" s="70"/>
      <c r="S172" s="71" t="s">
        <v>66</v>
      </c>
      <c r="T172" s="70"/>
      <c r="U172" s="71" t="s">
        <v>67</v>
      </c>
      <c r="V172" s="70"/>
      <c r="W172" s="71" t="s">
        <v>68</v>
      </c>
      <c r="X172" s="70"/>
      <c r="Y172" s="134" t="s">
        <v>116</v>
      </c>
      <c r="Z172" s="74" t="s">
        <v>159</v>
      </c>
      <c r="AA172" s="75" t="s">
        <v>31</v>
      </c>
      <c r="AB172" s="75" t="s">
        <v>141</v>
      </c>
      <c r="AC172" s="167" t="s">
        <v>173</v>
      </c>
      <c r="AD172" s="74" t="s">
        <v>174</v>
      </c>
      <c r="AE172" s="63" t="s">
        <v>36</v>
      </c>
      <c r="AF172" s="78" t="s">
        <v>75</v>
      </c>
      <c r="AG172" s="79" t="s">
        <v>180</v>
      </c>
      <c r="AH172" s="79">
        <v>60.0</v>
      </c>
      <c r="AI172" s="79" t="s">
        <v>200</v>
      </c>
      <c r="AJ172" s="80" t="str">
        <f>AJ166</f>
        <v>開</v>
      </c>
      <c r="AK172" s="81" t="s">
        <v>50</v>
      </c>
      <c r="AL172" s="82" t="str">
        <f>AL166</f>
        <v>休</v>
      </c>
      <c r="AM172" s="81" t="s">
        <v>52</v>
      </c>
      <c r="AN172" s="82" t="s">
        <v>4</v>
      </c>
      <c r="AO172" s="81" t="s">
        <v>38</v>
      </c>
      <c r="AP172" s="82" t="str">
        <f>AP166</f>
        <v>傷</v>
      </c>
      <c r="AQ172" s="81" t="s">
        <v>40</v>
      </c>
      <c r="AR172" s="82" t="s">
        <v>8</v>
      </c>
      <c r="AS172" s="81" t="s">
        <v>42</v>
      </c>
      <c r="AT172" s="82" t="str">
        <f>AT166</f>
        <v>景</v>
      </c>
      <c r="AU172" s="81" t="s">
        <v>44</v>
      </c>
      <c r="AV172" s="82" t="str">
        <f>AV166</f>
        <v>死</v>
      </c>
      <c r="AW172" s="81" t="s">
        <v>46</v>
      </c>
      <c r="AX172" s="82" t="str">
        <f>AX166</f>
        <v>驚</v>
      </c>
      <c r="AY172" s="81" t="s">
        <v>48</v>
      </c>
      <c r="AZ172" s="83"/>
      <c r="BA172" s="84"/>
      <c r="BB172" s="84"/>
      <c r="BC172" s="84"/>
    </row>
    <row r="173">
      <c r="A173" s="192">
        <f>A167+1</f>
        <v>27</v>
      </c>
      <c r="B173" s="193"/>
      <c r="C173" s="12" t="s">
        <v>248</v>
      </c>
      <c r="E173" s="199" t="s">
        <v>201</v>
      </c>
      <c r="G173" s="324" t="str">
        <f t="shared" ref="G173:G174" si="257">G3:H3</f>
        <v>壬</v>
      </c>
      <c r="I173" s="275" t="str">
        <f t="shared" ref="I173:I174" si="258">I33:J33</f>
        <v>丙</v>
      </c>
      <c r="K173" s="90">
        <f>L173/L174</f>
        <v>0.53</v>
      </c>
      <c r="L173" s="126">
        <f t="shared" ref="L173:L174" si="259">O173+P173+Q173+U173+V173+W173+X173+R173+M173+N173+S173+T173</f>
        <v>530</v>
      </c>
      <c r="M173" s="92">
        <v>0.0</v>
      </c>
      <c r="N173" s="93">
        <v>0.0</v>
      </c>
      <c r="O173" s="92">
        <v>30.0</v>
      </c>
      <c r="P173" s="92">
        <v>30.0</v>
      </c>
      <c r="Q173" s="92">
        <v>40.0</v>
      </c>
      <c r="R173" s="93">
        <v>50.0</v>
      </c>
      <c r="S173" s="92">
        <v>65.0</v>
      </c>
      <c r="T173" s="93">
        <v>50.0</v>
      </c>
      <c r="U173" s="92">
        <f t="shared" ref="U173:V173" si="255">U39</f>
        <v>45</v>
      </c>
      <c r="V173" s="93">
        <f t="shared" si="255"/>
        <v>50</v>
      </c>
      <c r="W173" s="92">
        <f t="shared" ref="W173:X173" si="256">W33</f>
        <v>110</v>
      </c>
      <c r="X173" s="93">
        <f t="shared" si="256"/>
        <v>60</v>
      </c>
      <c r="Y173" s="73" t="s">
        <v>126</v>
      </c>
      <c r="Z173" s="94" t="s">
        <v>152</v>
      </c>
      <c r="AA173" s="36"/>
      <c r="AB173" s="169"/>
      <c r="AC173" s="170" t="s">
        <v>73</v>
      </c>
      <c r="AD173" s="94" t="s">
        <v>74</v>
      </c>
      <c r="AE173" s="37"/>
      <c r="AF173" s="97"/>
      <c r="AG173" s="12" t="s">
        <v>202</v>
      </c>
      <c r="AH173" s="12">
        <v>180.0</v>
      </c>
      <c r="AI173" s="12" t="s">
        <v>203</v>
      </c>
      <c r="AJ173" s="98" t="s">
        <v>39</v>
      </c>
      <c r="AK173" s="99" t="s">
        <v>93</v>
      </c>
      <c r="AL173" s="100" t="s">
        <v>37</v>
      </c>
      <c r="AM173" s="99" t="s">
        <v>94</v>
      </c>
      <c r="AN173" s="100" t="s">
        <v>51</v>
      </c>
      <c r="AO173" s="101" t="s">
        <v>95</v>
      </c>
      <c r="AP173" s="100" t="s">
        <v>86</v>
      </c>
      <c r="AQ173" s="99" t="s">
        <v>87</v>
      </c>
      <c r="AR173" s="100" t="s">
        <v>88</v>
      </c>
      <c r="AS173" s="101" t="s">
        <v>89</v>
      </c>
      <c r="AT173" s="100" t="s">
        <v>45</v>
      </c>
      <c r="AU173" s="102" t="s">
        <v>90</v>
      </c>
      <c r="AV173" s="100" t="s">
        <v>43</v>
      </c>
      <c r="AW173" s="101" t="s">
        <v>91</v>
      </c>
      <c r="AX173" s="100" t="s">
        <v>41</v>
      </c>
      <c r="AY173" s="103" t="s">
        <v>92</v>
      </c>
      <c r="AZ173" s="24"/>
    </row>
    <row r="174">
      <c r="A174" s="215" t="str">
        <f>G2</f>
        <v>เมษายน</v>
      </c>
      <c r="B174" s="193"/>
      <c r="C174" s="161" t="s">
        <v>96</v>
      </c>
      <c r="E174" s="162" t="s">
        <v>71</v>
      </c>
      <c r="G174" s="180" t="str">
        <f t="shared" si="257"/>
        <v>辰</v>
      </c>
      <c r="I174" s="35" t="str">
        <f t="shared" si="258"/>
        <v>午</v>
      </c>
      <c r="K174" s="36"/>
      <c r="L174" s="109">
        <f t="shared" si="259"/>
        <v>1000</v>
      </c>
      <c r="M174" s="9">
        <v>0.0</v>
      </c>
      <c r="N174" s="110">
        <v>0.0</v>
      </c>
      <c r="O174" s="9">
        <v>100.0</v>
      </c>
      <c r="P174" s="9">
        <v>100.0</v>
      </c>
      <c r="Q174" s="9">
        <v>100.0</v>
      </c>
      <c r="R174" s="110">
        <v>100.0</v>
      </c>
      <c r="S174" s="9">
        <v>100.0</v>
      </c>
      <c r="T174" s="110">
        <v>100.0</v>
      </c>
      <c r="U174" s="9">
        <v>100.0</v>
      </c>
      <c r="V174" s="110">
        <v>100.0</v>
      </c>
      <c r="W174" s="9">
        <v>100.0</v>
      </c>
      <c r="X174" s="110">
        <v>100.0</v>
      </c>
      <c r="Y174" s="73" t="s">
        <v>69</v>
      </c>
      <c r="Z174" s="94" t="s">
        <v>163</v>
      </c>
      <c r="AA174" s="36"/>
      <c r="AB174" s="36"/>
      <c r="AC174" s="111"/>
      <c r="AD174" s="112"/>
      <c r="AE174" s="37"/>
      <c r="AF174" s="97"/>
      <c r="AG174" s="14"/>
      <c r="AH174" s="14"/>
      <c r="AI174" s="14"/>
      <c r="AJ174" s="113"/>
      <c r="AK174" s="104" t="s">
        <v>105</v>
      </c>
      <c r="AM174" s="104" t="s">
        <v>106</v>
      </c>
      <c r="AO174" s="105" t="s">
        <v>107</v>
      </c>
      <c r="AQ174" s="104" t="s">
        <v>100</v>
      </c>
      <c r="AS174" s="114" t="s">
        <v>101</v>
      </c>
      <c r="AU174" s="105" t="s">
        <v>102</v>
      </c>
      <c r="AW174" s="105" t="s">
        <v>103</v>
      </c>
      <c r="AY174" s="104" t="s">
        <v>104</v>
      </c>
      <c r="AZ174" s="24"/>
    </row>
    <row r="175">
      <c r="A175" s="192">
        <v>2569.0</v>
      </c>
      <c r="B175" s="193"/>
      <c r="E175" s="115" t="s">
        <v>198</v>
      </c>
      <c r="F175" s="116" t="s">
        <v>109</v>
      </c>
      <c r="G175" s="115" t="str">
        <f t="shared" ref="G175:H175" si="260">G41</f>
        <v>A9</v>
      </c>
      <c r="H175" s="9" t="str">
        <f t="shared" si="260"/>
        <v>B9</v>
      </c>
      <c r="I175" s="9" t="str">
        <f t="shared" ref="I175:J175" si="261">I35</f>
        <v>A5</v>
      </c>
      <c r="J175" s="9" t="str">
        <f t="shared" si="261"/>
        <v>B11</v>
      </c>
      <c r="K175" s="36"/>
      <c r="L175" s="117"/>
      <c r="M175" s="118" t="str">
        <f t="shared" ref="M175:P175" si="262">C175</f>
        <v/>
      </c>
      <c r="N175" s="119" t="str">
        <f t="shared" si="262"/>
        <v/>
      </c>
      <c r="O175" s="118" t="str">
        <f t="shared" si="262"/>
        <v>A6</v>
      </c>
      <c r="P175" s="118" t="str">
        <f t="shared" si="262"/>
        <v>B4</v>
      </c>
      <c r="Q175" s="118" t="str">
        <f t="shared" ref="Q175:R175" si="263">E176</f>
        <v>B10</v>
      </c>
      <c r="R175" s="119" t="str">
        <f t="shared" si="263"/>
        <v>C4</v>
      </c>
      <c r="S175" s="9" t="s">
        <v>165</v>
      </c>
      <c r="T175" s="110" t="s">
        <v>164</v>
      </c>
      <c r="U175" s="9" t="str">
        <f t="shared" ref="U175:X175" si="264">G175</f>
        <v>A9</v>
      </c>
      <c r="V175" s="119" t="str">
        <f t="shared" si="264"/>
        <v>B9</v>
      </c>
      <c r="W175" s="118" t="str">
        <f t="shared" si="264"/>
        <v>A5</v>
      </c>
      <c r="X175" s="120" t="str">
        <f t="shared" si="264"/>
        <v>B11</v>
      </c>
      <c r="Y175" s="73" t="s">
        <v>80</v>
      </c>
      <c r="Z175" s="94" t="s">
        <v>117</v>
      </c>
      <c r="AA175" s="36"/>
      <c r="AB175" s="36"/>
      <c r="AC175" s="111"/>
      <c r="AD175" s="112"/>
      <c r="AE175" s="37"/>
      <c r="AF175" s="97"/>
      <c r="AG175" s="14"/>
      <c r="AH175" s="14"/>
      <c r="AI175" s="14"/>
      <c r="AJ175" s="113"/>
      <c r="AK175" s="104" t="s">
        <v>123</v>
      </c>
      <c r="AM175" s="104" t="s">
        <v>124</v>
      </c>
      <c r="AO175" s="105" t="s">
        <v>125</v>
      </c>
      <c r="AQ175" s="104" t="s">
        <v>118</v>
      </c>
      <c r="AS175" s="114" t="s">
        <v>119</v>
      </c>
      <c r="AU175" s="105" t="s">
        <v>120</v>
      </c>
      <c r="AW175" s="105" t="s">
        <v>121</v>
      </c>
      <c r="AY175" s="104" t="s">
        <v>122</v>
      </c>
      <c r="AZ175" s="24"/>
    </row>
    <row r="176">
      <c r="A176" s="192">
        <f>A175-543</f>
        <v>2026</v>
      </c>
      <c r="B176" s="193"/>
      <c r="E176" s="115" t="s">
        <v>218</v>
      </c>
      <c r="F176" s="116" t="s">
        <v>190</v>
      </c>
      <c r="G176" s="115"/>
      <c r="H176" s="118"/>
      <c r="I176" s="118"/>
      <c r="J176" s="118"/>
      <c r="K176" s="36"/>
      <c r="L176" s="117"/>
      <c r="M176" s="326"/>
      <c r="N176" s="327"/>
      <c r="R176" s="117"/>
      <c r="T176" s="117"/>
      <c r="V176" s="117"/>
      <c r="X176" s="117"/>
      <c r="Y176" s="73" t="s">
        <v>98</v>
      </c>
      <c r="Z176" s="94" t="s">
        <v>128</v>
      </c>
      <c r="AA176" s="36"/>
      <c r="AB176" s="36"/>
      <c r="AC176" s="111"/>
      <c r="AD176" s="112"/>
      <c r="AE176" s="37"/>
      <c r="AF176" s="97"/>
      <c r="AG176" s="14"/>
      <c r="AH176" s="14"/>
      <c r="AI176" s="14"/>
      <c r="AJ176" s="113"/>
      <c r="AK176" s="104" t="s">
        <v>134</v>
      </c>
      <c r="AM176" s="104" t="s">
        <v>135</v>
      </c>
      <c r="AO176" s="105" t="s">
        <v>136</v>
      </c>
      <c r="AQ176" s="104" t="s">
        <v>129</v>
      </c>
      <c r="AS176" s="114" t="s">
        <v>130</v>
      </c>
      <c r="AU176" s="105" t="s">
        <v>131</v>
      </c>
      <c r="AW176" s="105" t="s">
        <v>132</v>
      </c>
      <c r="AY176" s="104" t="s">
        <v>133</v>
      </c>
      <c r="AZ176" s="24"/>
    </row>
    <row r="177">
      <c r="A177" s="205"/>
      <c r="B177" s="206"/>
      <c r="C177" s="1"/>
      <c r="D177" s="123"/>
      <c r="E177" s="164" t="s">
        <v>137</v>
      </c>
      <c r="F177" s="88"/>
      <c r="G177" s="207" t="str">
        <f>G5:H5</f>
        <v>อสูรเดือน S</v>
      </c>
      <c r="I177" s="208" t="str">
        <f>I5:J5</f>
        <v>อสูรปี N</v>
      </c>
      <c r="K177" s="36"/>
      <c r="L177" s="117"/>
      <c r="M177" s="326"/>
      <c r="N177" s="327"/>
      <c r="R177" s="117"/>
      <c r="T177" s="117"/>
      <c r="V177" s="117"/>
      <c r="X177" s="117"/>
      <c r="Y177" s="233"/>
      <c r="Z177" s="234"/>
      <c r="AA177" s="36"/>
      <c r="AB177" s="36"/>
      <c r="AC177" s="111"/>
      <c r="AD177" s="112"/>
      <c r="AE177" s="37"/>
      <c r="AF177" s="97"/>
      <c r="AG177" s="14"/>
      <c r="AH177" s="14"/>
      <c r="AI177" s="14"/>
      <c r="AJ177" s="113"/>
      <c r="AU177" s="128"/>
      <c r="AZ177" s="24"/>
    </row>
    <row r="178">
      <c r="A178" s="188" t="s">
        <v>191</v>
      </c>
      <c r="B178" s="189"/>
      <c r="C178" s="63"/>
      <c r="D178" s="63"/>
      <c r="E178" s="216">
        <f>(O179+P179+Q179+R179)/(O180+P180+Q180+R180)</f>
        <v>0.775</v>
      </c>
      <c r="F178" s="65"/>
      <c r="G178" s="133"/>
      <c r="H178" s="72"/>
      <c r="I178" s="67"/>
      <c r="J178" s="72"/>
      <c r="K178" s="68"/>
      <c r="L178" s="69"/>
      <c r="M178" s="63" t="s">
        <v>64</v>
      </c>
      <c r="N178" s="70"/>
      <c r="O178" s="71" t="s">
        <v>65</v>
      </c>
      <c r="P178" s="72"/>
      <c r="Q178" s="72"/>
      <c r="R178" s="70"/>
      <c r="S178" s="71" t="s">
        <v>66</v>
      </c>
      <c r="T178" s="70"/>
      <c r="U178" s="71" t="s">
        <v>67</v>
      </c>
      <c r="V178" s="70"/>
      <c r="W178" s="71" t="s">
        <v>68</v>
      </c>
      <c r="X178" s="70"/>
      <c r="Y178" s="134" t="s">
        <v>80</v>
      </c>
      <c r="Z178" s="74" t="s">
        <v>170</v>
      </c>
      <c r="AA178" s="75" t="s">
        <v>202</v>
      </c>
      <c r="AB178" s="75" t="s">
        <v>226</v>
      </c>
      <c r="AC178" s="190" t="s">
        <v>173</v>
      </c>
      <c r="AD178" s="77" t="s">
        <v>193</v>
      </c>
      <c r="AE178" s="63" t="s">
        <v>144</v>
      </c>
      <c r="AF178" s="78" t="s">
        <v>144</v>
      </c>
      <c r="AG178" s="79" t="s">
        <v>189</v>
      </c>
      <c r="AH178" s="79">
        <v>90.0</v>
      </c>
      <c r="AI178" s="79" t="s">
        <v>208</v>
      </c>
      <c r="AJ178" s="80" t="str">
        <f>AJ172</f>
        <v>開</v>
      </c>
      <c r="AK178" s="81" t="s">
        <v>52</v>
      </c>
      <c r="AL178" s="82" t="str">
        <f>AL172</f>
        <v>休</v>
      </c>
      <c r="AM178" s="81" t="s">
        <v>38</v>
      </c>
      <c r="AN178" s="82" t="s">
        <v>4</v>
      </c>
      <c r="AO178" s="81" t="s">
        <v>40</v>
      </c>
      <c r="AP178" s="82" t="str">
        <f>AP172</f>
        <v>傷</v>
      </c>
      <c r="AQ178" s="81" t="s">
        <v>42</v>
      </c>
      <c r="AR178" s="82" t="str">
        <f>AR172</f>
        <v>杜</v>
      </c>
      <c r="AS178" s="81" t="s">
        <v>44</v>
      </c>
      <c r="AT178" s="82" t="str">
        <f>AT172</f>
        <v>景</v>
      </c>
      <c r="AU178" s="81" t="s">
        <v>46</v>
      </c>
      <c r="AV178" s="82" t="str">
        <f>AV172</f>
        <v>死</v>
      </c>
      <c r="AW178" s="81" t="s">
        <v>48</v>
      </c>
      <c r="AX178" s="82" t="str">
        <f>AX172</f>
        <v>驚</v>
      </c>
      <c r="AY178" s="81" t="s">
        <v>50</v>
      </c>
      <c r="AZ178" s="83"/>
      <c r="BA178" s="84"/>
      <c r="BB178" s="84"/>
      <c r="BC178" s="84"/>
    </row>
    <row r="179">
      <c r="A179" s="192">
        <f>A173+1</f>
        <v>28</v>
      </c>
      <c r="B179" s="193"/>
      <c r="C179" s="12" t="s">
        <v>176</v>
      </c>
      <c r="E179" s="203" t="s">
        <v>209</v>
      </c>
      <c r="G179" s="324" t="str">
        <f t="shared" ref="G179:G180" si="267">G3:H3</f>
        <v>壬</v>
      </c>
      <c r="I179" s="275" t="str">
        <f t="shared" ref="I179:I180" si="268">I33:J33</f>
        <v>丙</v>
      </c>
      <c r="K179" s="90">
        <f>L179/L180</f>
        <v>0.7</v>
      </c>
      <c r="L179" s="126">
        <f t="shared" ref="L179:L180" si="269">O179+P179+Q179+U179+V179+W179+X179+R179+M179+N179+S179+T179</f>
        <v>700</v>
      </c>
      <c r="M179" s="92">
        <v>0.0</v>
      </c>
      <c r="N179" s="93">
        <v>0.0</v>
      </c>
      <c r="O179" s="92">
        <v>80.0</v>
      </c>
      <c r="P179" s="92">
        <v>100.0</v>
      </c>
      <c r="Q179" s="92">
        <v>50.0</v>
      </c>
      <c r="R179" s="93">
        <v>80.0</v>
      </c>
      <c r="S179" s="92">
        <v>80.0</v>
      </c>
      <c r="T179" s="93">
        <v>45.0</v>
      </c>
      <c r="U179" s="92">
        <f t="shared" ref="U179:V179" si="265">U39</f>
        <v>45</v>
      </c>
      <c r="V179" s="93">
        <f t="shared" si="265"/>
        <v>50</v>
      </c>
      <c r="W179" s="92">
        <f t="shared" ref="W179:X179" si="266">W33</f>
        <v>110</v>
      </c>
      <c r="X179" s="93">
        <f t="shared" si="266"/>
        <v>60</v>
      </c>
      <c r="Y179" s="73" t="s">
        <v>98</v>
      </c>
      <c r="Z179" s="94" t="s">
        <v>70</v>
      </c>
      <c r="AA179" s="36"/>
      <c r="AB179" s="29" t="s">
        <v>227</v>
      </c>
      <c r="AC179" s="195" t="s">
        <v>196</v>
      </c>
      <c r="AD179" s="96" t="s">
        <v>149</v>
      </c>
      <c r="AE179" s="37"/>
      <c r="AF179" s="97"/>
      <c r="AG179" s="12" t="s">
        <v>54</v>
      </c>
      <c r="AH179" s="12">
        <v>150.0</v>
      </c>
      <c r="AI179" s="12" t="s">
        <v>210</v>
      </c>
      <c r="AJ179" s="98" t="s">
        <v>39</v>
      </c>
      <c r="AK179" s="99" t="s">
        <v>93</v>
      </c>
      <c r="AL179" s="100" t="s">
        <v>37</v>
      </c>
      <c r="AM179" s="99" t="s">
        <v>94</v>
      </c>
      <c r="AN179" s="100" t="s">
        <v>51</v>
      </c>
      <c r="AO179" s="101" t="s">
        <v>95</v>
      </c>
      <c r="AP179" s="100" t="s">
        <v>86</v>
      </c>
      <c r="AQ179" s="99" t="s">
        <v>87</v>
      </c>
      <c r="AR179" s="100" t="s">
        <v>88</v>
      </c>
      <c r="AS179" s="101" t="s">
        <v>89</v>
      </c>
      <c r="AT179" s="100" t="s">
        <v>45</v>
      </c>
      <c r="AU179" s="102" t="s">
        <v>90</v>
      </c>
      <c r="AV179" s="100" t="s">
        <v>43</v>
      </c>
      <c r="AW179" s="101" t="s">
        <v>91</v>
      </c>
      <c r="AX179" s="100" t="s">
        <v>41</v>
      </c>
      <c r="AY179" s="103" t="s">
        <v>92</v>
      </c>
      <c r="AZ179" s="24"/>
    </row>
    <row r="180">
      <c r="A180" s="215" t="str">
        <f>G2</f>
        <v>เมษายน</v>
      </c>
      <c r="B180" s="193"/>
      <c r="C180" s="106" t="s">
        <v>151</v>
      </c>
      <c r="E180" s="209" t="s">
        <v>76</v>
      </c>
      <c r="G180" s="180" t="str">
        <f t="shared" si="267"/>
        <v>辰</v>
      </c>
      <c r="I180" s="142" t="str">
        <f t="shared" si="268"/>
        <v>午</v>
      </c>
      <c r="K180" s="36"/>
      <c r="L180" s="109">
        <f t="shared" si="269"/>
        <v>1000</v>
      </c>
      <c r="M180" s="9">
        <v>0.0</v>
      </c>
      <c r="N180" s="110">
        <v>0.0</v>
      </c>
      <c r="O180" s="9">
        <v>100.0</v>
      </c>
      <c r="P180" s="9">
        <v>100.0</v>
      </c>
      <c r="Q180" s="9">
        <v>100.0</v>
      </c>
      <c r="R180" s="110">
        <v>100.0</v>
      </c>
      <c r="S180" s="9">
        <v>100.0</v>
      </c>
      <c r="T180" s="110">
        <v>100.0</v>
      </c>
      <c r="U180" s="9">
        <v>100.0</v>
      </c>
      <c r="V180" s="110">
        <v>100.0</v>
      </c>
      <c r="W180" s="9">
        <v>100.0</v>
      </c>
      <c r="X180" s="110">
        <v>100.0</v>
      </c>
      <c r="Y180" s="73" t="s">
        <v>116</v>
      </c>
      <c r="Z180" s="94" t="s">
        <v>181</v>
      </c>
      <c r="AA180" s="36"/>
      <c r="AB180" s="36"/>
      <c r="AC180" s="111"/>
      <c r="AD180" s="112"/>
      <c r="AE180" s="37"/>
      <c r="AF180" s="97"/>
      <c r="AG180" s="14"/>
      <c r="AH180" s="14"/>
      <c r="AI180" s="14"/>
      <c r="AJ180" s="113"/>
      <c r="AK180" s="104" t="s">
        <v>105</v>
      </c>
      <c r="AM180" s="104" t="s">
        <v>106</v>
      </c>
      <c r="AO180" s="105" t="s">
        <v>107</v>
      </c>
      <c r="AQ180" s="104" t="s">
        <v>100</v>
      </c>
      <c r="AS180" s="114" t="s">
        <v>101</v>
      </c>
      <c r="AU180" s="105" t="s">
        <v>102</v>
      </c>
      <c r="AW180" s="105" t="s">
        <v>103</v>
      </c>
      <c r="AY180" s="104" t="s">
        <v>104</v>
      </c>
      <c r="AZ180" s="24"/>
    </row>
    <row r="181">
      <c r="A181" s="192">
        <v>2569.0</v>
      </c>
      <c r="B181" s="193"/>
      <c r="E181" s="115" t="s">
        <v>182</v>
      </c>
      <c r="F181" s="116" t="s">
        <v>116</v>
      </c>
      <c r="G181" s="115" t="str">
        <f t="shared" ref="G181:H181" si="270">G41</f>
        <v>A9</v>
      </c>
      <c r="H181" s="9" t="str">
        <f t="shared" si="270"/>
        <v>B9</v>
      </c>
      <c r="I181" s="9" t="str">
        <f t="shared" ref="I181:J181" si="271">I35</f>
        <v>A5</v>
      </c>
      <c r="J181" s="9" t="str">
        <f t="shared" si="271"/>
        <v>B11</v>
      </c>
      <c r="K181" s="36"/>
      <c r="L181" s="117"/>
      <c r="M181" s="118" t="str">
        <f t="shared" ref="M181:P181" si="272">C181</f>
        <v/>
      </c>
      <c r="N181" s="119" t="str">
        <f t="shared" si="272"/>
        <v/>
      </c>
      <c r="O181" s="118" t="str">
        <f t="shared" si="272"/>
        <v>A1</v>
      </c>
      <c r="P181" s="118" t="str">
        <f t="shared" si="272"/>
        <v>B5</v>
      </c>
      <c r="Q181" s="118" t="str">
        <f t="shared" ref="Q181:R181" si="273">E182</f>
        <v>B9</v>
      </c>
      <c r="R181" s="119" t="str">
        <f t="shared" si="273"/>
        <v>C5</v>
      </c>
      <c r="S181" s="9" t="s">
        <v>182</v>
      </c>
      <c r="T181" s="110" t="s">
        <v>164</v>
      </c>
      <c r="U181" s="9" t="str">
        <f t="shared" ref="U181:X181" si="274">G181</f>
        <v>A9</v>
      </c>
      <c r="V181" s="119" t="str">
        <f t="shared" si="274"/>
        <v>B9</v>
      </c>
      <c r="W181" s="118" t="str">
        <f t="shared" si="274"/>
        <v>A5</v>
      </c>
      <c r="X181" s="120" t="str">
        <f t="shared" si="274"/>
        <v>B11</v>
      </c>
      <c r="Y181" s="73" t="s">
        <v>126</v>
      </c>
      <c r="Z181" s="94" t="s">
        <v>163</v>
      </c>
      <c r="AA181" s="36"/>
      <c r="AB181" s="36"/>
      <c r="AC181" s="111"/>
      <c r="AD181" s="112"/>
      <c r="AE181" s="37"/>
      <c r="AF181" s="97"/>
      <c r="AG181" s="14"/>
      <c r="AH181" s="14"/>
      <c r="AI181" s="14"/>
      <c r="AJ181" s="113"/>
      <c r="AK181" s="104" t="s">
        <v>123</v>
      </c>
      <c r="AM181" s="104" t="s">
        <v>124</v>
      </c>
      <c r="AO181" s="105" t="s">
        <v>125</v>
      </c>
      <c r="AQ181" s="104" t="s">
        <v>118</v>
      </c>
      <c r="AS181" s="114" t="s">
        <v>119</v>
      </c>
      <c r="AU181" s="105" t="s">
        <v>120</v>
      </c>
      <c r="AW181" s="105" t="s">
        <v>121</v>
      </c>
      <c r="AY181" s="104" t="s">
        <v>122</v>
      </c>
      <c r="AZ181" s="24"/>
    </row>
    <row r="182">
      <c r="A182" s="192">
        <f>A181-543</f>
        <v>2026</v>
      </c>
      <c r="B182" s="193"/>
      <c r="C182" s="181"/>
      <c r="E182" s="115" t="s">
        <v>212</v>
      </c>
      <c r="F182" s="116" t="s">
        <v>205</v>
      </c>
      <c r="G182" s="115"/>
      <c r="H182" s="118"/>
      <c r="I182" s="118"/>
      <c r="J182" s="118"/>
      <c r="K182" s="36"/>
      <c r="L182" s="117"/>
      <c r="M182" s="326"/>
      <c r="N182" s="327"/>
      <c r="R182" s="117"/>
      <c r="T182" s="117"/>
      <c r="V182" s="117"/>
      <c r="X182" s="117"/>
      <c r="Y182" s="73" t="s">
        <v>69</v>
      </c>
      <c r="Z182" s="94" t="s">
        <v>99</v>
      </c>
      <c r="AA182" s="36"/>
      <c r="AB182" s="36"/>
      <c r="AC182" s="111"/>
      <c r="AD182" s="112"/>
      <c r="AE182" s="37"/>
      <c r="AF182" s="97"/>
      <c r="AG182" s="14"/>
      <c r="AH182" s="14"/>
      <c r="AI182" s="14"/>
      <c r="AJ182" s="113"/>
      <c r="AK182" s="104" t="s">
        <v>134</v>
      </c>
      <c r="AM182" s="104" t="s">
        <v>135</v>
      </c>
      <c r="AO182" s="105" t="s">
        <v>136</v>
      </c>
      <c r="AQ182" s="104" t="s">
        <v>129</v>
      </c>
      <c r="AS182" s="114" t="s">
        <v>130</v>
      </c>
      <c r="AU182" s="105" t="s">
        <v>131</v>
      </c>
      <c r="AW182" s="105" t="s">
        <v>132</v>
      </c>
      <c r="AY182" s="104" t="s">
        <v>133</v>
      </c>
      <c r="AZ182" s="24"/>
    </row>
    <row r="183">
      <c r="A183" s="319" t="s">
        <v>242</v>
      </c>
      <c r="B183" s="206"/>
      <c r="C183" s="1"/>
      <c r="D183" s="123"/>
      <c r="E183" s="164"/>
      <c r="F183" s="282"/>
      <c r="G183" s="283"/>
      <c r="H183" s="284"/>
      <c r="I183" s="284"/>
      <c r="J183" s="284"/>
      <c r="K183" s="36"/>
      <c r="L183" s="117"/>
      <c r="M183" s="326"/>
      <c r="N183" s="327"/>
      <c r="R183" s="117"/>
      <c r="T183" s="117"/>
      <c r="V183" s="117"/>
      <c r="X183" s="117"/>
      <c r="Y183" s="127"/>
      <c r="Z183" s="155"/>
      <c r="AA183" s="36"/>
      <c r="AB183" s="36"/>
      <c r="AC183" s="111"/>
      <c r="AD183" s="112"/>
      <c r="AE183" s="37"/>
      <c r="AF183" s="97"/>
      <c r="AG183" s="14"/>
      <c r="AH183" s="14"/>
      <c r="AI183" s="14"/>
      <c r="AJ183" s="113"/>
      <c r="AY183" s="128"/>
      <c r="AZ183" s="24"/>
    </row>
    <row r="184">
      <c r="A184" s="143" t="s">
        <v>156</v>
      </c>
      <c r="B184" s="206"/>
      <c r="C184" s="1"/>
      <c r="D184" s="123"/>
      <c r="E184" s="164" t="s">
        <v>157</v>
      </c>
      <c r="F184" s="88"/>
      <c r="G184" s="207" t="str">
        <f>G5:H5</f>
        <v>อสูรเดือน S</v>
      </c>
      <c r="I184" s="208" t="str">
        <f>I5:J5</f>
        <v>อสูรปี N</v>
      </c>
      <c r="K184" s="36"/>
      <c r="L184" s="117"/>
      <c r="M184" s="326"/>
      <c r="N184" s="327"/>
      <c r="R184" s="117"/>
      <c r="T184" s="117"/>
      <c r="V184" s="117"/>
      <c r="X184" s="117"/>
      <c r="Y184" s="233"/>
      <c r="Z184" s="234"/>
      <c r="AA184" s="36"/>
      <c r="AB184" s="36"/>
      <c r="AC184" s="111"/>
      <c r="AD184" s="112"/>
      <c r="AE184" s="37"/>
      <c r="AF184" s="97"/>
      <c r="AG184" s="14"/>
      <c r="AH184" s="14"/>
      <c r="AI184" s="14"/>
      <c r="AJ184" s="113"/>
      <c r="AY184" s="128"/>
      <c r="AZ184" s="24"/>
    </row>
    <row r="185">
      <c r="A185" s="188" t="s">
        <v>199</v>
      </c>
      <c r="B185" s="189"/>
      <c r="C185" s="63"/>
      <c r="D185" s="63"/>
      <c r="E185" s="216">
        <f>(O186+P186+Q186+R186)/(O187+P187+Q187+R187)</f>
        <v>0.7</v>
      </c>
      <c r="F185" s="65"/>
      <c r="G185" s="133"/>
      <c r="H185" s="66"/>
      <c r="I185" s="67"/>
      <c r="J185" s="67"/>
      <c r="K185" s="68"/>
      <c r="L185" s="69"/>
      <c r="M185" s="63" t="s">
        <v>64</v>
      </c>
      <c r="N185" s="70"/>
      <c r="O185" s="71" t="s">
        <v>65</v>
      </c>
      <c r="P185" s="72"/>
      <c r="Q185" s="72"/>
      <c r="R185" s="70"/>
      <c r="S185" s="71" t="s">
        <v>66</v>
      </c>
      <c r="T185" s="70"/>
      <c r="U185" s="71" t="s">
        <v>67</v>
      </c>
      <c r="V185" s="70"/>
      <c r="W185" s="71" t="s">
        <v>68</v>
      </c>
      <c r="X185" s="70"/>
      <c r="Y185" s="134" t="s">
        <v>80</v>
      </c>
      <c r="Z185" s="74" t="s">
        <v>159</v>
      </c>
      <c r="AA185" s="79" t="s">
        <v>161</v>
      </c>
      <c r="AB185" s="221" t="s">
        <v>244</v>
      </c>
      <c r="AC185" s="190" t="s">
        <v>173</v>
      </c>
      <c r="AD185" s="77" t="s">
        <v>193</v>
      </c>
      <c r="AE185" s="63" t="s">
        <v>144</v>
      </c>
      <c r="AF185" s="78" t="s">
        <v>36</v>
      </c>
      <c r="AG185" s="79" t="s">
        <v>54</v>
      </c>
      <c r="AH185" s="79">
        <v>150.0</v>
      </c>
      <c r="AI185" s="79" t="s">
        <v>210</v>
      </c>
      <c r="AJ185" s="80" t="str">
        <f>AJ172</f>
        <v>開</v>
      </c>
      <c r="AK185" s="81" t="s">
        <v>44</v>
      </c>
      <c r="AL185" s="82" t="str">
        <f>AL172</f>
        <v>休</v>
      </c>
      <c r="AM185" s="81" t="s">
        <v>46</v>
      </c>
      <c r="AN185" s="82" t="s">
        <v>4</v>
      </c>
      <c r="AO185" s="81" t="s">
        <v>48</v>
      </c>
      <c r="AP185" s="82" t="str">
        <f>AP172</f>
        <v>傷</v>
      </c>
      <c r="AQ185" s="81" t="s">
        <v>50</v>
      </c>
      <c r="AR185" s="82" t="s">
        <v>8</v>
      </c>
      <c r="AS185" s="81" t="s">
        <v>52</v>
      </c>
      <c r="AT185" s="82" t="str">
        <f>AT172</f>
        <v>景</v>
      </c>
      <c r="AU185" s="81" t="s">
        <v>38</v>
      </c>
      <c r="AV185" s="82" t="str">
        <f>AV172</f>
        <v>死</v>
      </c>
      <c r="AW185" s="81" t="s">
        <v>40</v>
      </c>
      <c r="AX185" s="82" t="str">
        <f>AX172</f>
        <v>驚</v>
      </c>
      <c r="AY185" s="81" t="s">
        <v>42</v>
      </c>
      <c r="AZ185" s="83"/>
      <c r="BA185" s="84"/>
      <c r="BB185" s="84"/>
      <c r="BC185" s="84"/>
    </row>
    <row r="186">
      <c r="A186" s="192">
        <f>A179+1</f>
        <v>29</v>
      </c>
      <c r="B186" s="193"/>
      <c r="C186" s="12" t="s">
        <v>187</v>
      </c>
      <c r="E186" s="203" t="s">
        <v>171</v>
      </c>
      <c r="G186" s="203" t="str">
        <f t="shared" ref="G186:G187" si="277">G3:H3</f>
        <v>壬</v>
      </c>
      <c r="I186" s="275" t="str">
        <f t="shared" ref="I186:I187" si="278">I33:J33</f>
        <v>丙</v>
      </c>
      <c r="K186" s="90">
        <f>L186/L187</f>
        <v>0.65</v>
      </c>
      <c r="L186" s="126">
        <f t="shared" ref="L186:L187" si="279">O186+P186+Q186+U186+V186+W186+X186+R186+M186+N186+S186+T186</f>
        <v>650</v>
      </c>
      <c r="M186" s="92">
        <v>0.0</v>
      </c>
      <c r="N186" s="93">
        <v>0.0</v>
      </c>
      <c r="O186" s="92">
        <v>20.0</v>
      </c>
      <c r="P186" s="92">
        <v>90.0</v>
      </c>
      <c r="Q186" s="92">
        <v>90.0</v>
      </c>
      <c r="R186" s="93">
        <v>80.0</v>
      </c>
      <c r="S186" s="92">
        <v>40.0</v>
      </c>
      <c r="T186" s="93">
        <v>65.0</v>
      </c>
      <c r="U186" s="92">
        <f t="shared" ref="U186:V186" si="275">U39</f>
        <v>45</v>
      </c>
      <c r="V186" s="93">
        <f t="shared" si="275"/>
        <v>50</v>
      </c>
      <c r="W186" s="92">
        <f t="shared" ref="W186:X186" si="276">W33</f>
        <v>110</v>
      </c>
      <c r="X186" s="93">
        <f t="shared" si="276"/>
        <v>60</v>
      </c>
      <c r="Y186" s="73" t="s">
        <v>98</v>
      </c>
      <c r="Z186" s="94" t="s">
        <v>152</v>
      </c>
      <c r="AA186" s="36"/>
      <c r="AB186" s="29"/>
      <c r="AC186" s="195" t="s">
        <v>196</v>
      </c>
      <c r="AD186" s="96" t="s">
        <v>149</v>
      </c>
      <c r="AE186" s="37"/>
      <c r="AF186" s="97"/>
      <c r="AG186" s="12" t="s">
        <v>189</v>
      </c>
      <c r="AH186" s="12">
        <v>90.0</v>
      </c>
      <c r="AI186" s="12" t="s">
        <v>208</v>
      </c>
      <c r="AJ186" s="98" t="s">
        <v>43</v>
      </c>
      <c r="AK186" s="101" t="s">
        <v>91</v>
      </c>
      <c r="AL186" s="100" t="s">
        <v>41</v>
      </c>
      <c r="AM186" s="103" t="s">
        <v>92</v>
      </c>
      <c r="AN186" s="100" t="s">
        <v>39</v>
      </c>
      <c r="AO186" s="99" t="s">
        <v>93</v>
      </c>
      <c r="AP186" s="100" t="s">
        <v>37</v>
      </c>
      <c r="AQ186" s="99" t="s">
        <v>94</v>
      </c>
      <c r="AR186" s="100" t="s">
        <v>51</v>
      </c>
      <c r="AS186" s="101" t="s">
        <v>95</v>
      </c>
      <c r="AT186" s="100" t="s">
        <v>86</v>
      </c>
      <c r="AU186" s="99" t="s">
        <v>87</v>
      </c>
      <c r="AV186" s="100" t="s">
        <v>88</v>
      </c>
      <c r="AW186" s="101" t="s">
        <v>89</v>
      </c>
      <c r="AX186" s="100" t="s">
        <v>45</v>
      </c>
      <c r="AY186" s="102" t="s">
        <v>90</v>
      </c>
      <c r="AZ186" s="24"/>
    </row>
    <row r="187">
      <c r="A187" s="229" t="str">
        <f>A180</f>
        <v>เมษายน</v>
      </c>
      <c r="B187" s="193"/>
      <c r="C187" s="161" t="s">
        <v>162</v>
      </c>
      <c r="E187" s="209" t="s">
        <v>32</v>
      </c>
      <c r="G187" s="180" t="str">
        <f t="shared" si="277"/>
        <v>辰</v>
      </c>
      <c r="I187" s="142" t="str">
        <f t="shared" si="278"/>
        <v>午</v>
      </c>
      <c r="K187" s="36"/>
      <c r="L187" s="109">
        <f t="shared" si="279"/>
        <v>1000</v>
      </c>
      <c r="M187" s="9">
        <v>0.0</v>
      </c>
      <c r="N187" s="110">
        <v>0.0</v>
      </c>
      <c r="O187" s="9">
        <v>100.0</v>
      </c>
      <c r="P187" s="9">
        <v>100.0</v>
      </c>
      <c r="Q187" s="9">
        <v>100.0</v>
      </c>
      <c r="R187" s="110">
        <v>100.0</v>
      </c>
      <c r="S187" s="9">
        <v>100.0</v>
      </c>
      <c r="T187" s="110">
        <v>100.0</v>
      </c>
      <c r="U187" s="9">
        <v>100.0</v>
      </c>
      <c r="V187" s="110">
        <v>100.0</v>
      </c>
      <c r="W187" s="9">
        <v>100.0</v>
      </c>
      <c r="X187" s="110">
        <v>100.0</v>
      </c>
      <c r="Y187" s="73" t="s">
        <v>116</v>
      </c>
      <c r="Z187" s="94" t="s">
        <v>81</v>
      </c>
      <c r="AA187" s="36"/>
      <c r="AB187" s="36"/>
      <c r="AC187" s="111"/>
      <c r="AD187" s="112"/>
      <c r="AE187" s="37"/>
      <c r="AF187" s="97"/>
      <c r="AG187" s="14"/>
      <c r="AH187" s="14"/>
      <c r="AI187" s="14"/>
      <c r="AJ187" s="113"/>
      <c r="AK187" s="105" t="s">
        <v>103</v>
      </c>
      <c r="AM187" s="104" t="s">
        <v>104</v>
      </c>
      <c r="AO187" s="104" t="s">
        <v>105</v>
      </c>
      <c r="AQ187" s="104" t="s">
        <v>106</v>
      </c>
      <c r="AS187" s="105" t="s">
        <v>107</v>
      </c>
      <c r="AU187" s="104" t="s">
        <v>100</v>
      </c>
      <c r="AW187" s="114" t="s">
        <v>101</v>
      </c>
      <c r="AY187" s="105" t="s">
        <v>102</v>
      </c>
      <c r="AZ187" s="24"/>
    </row>
    <row r="188">
      <c r="A188" s="192">
        <v>2569.0</v>
      </c>
      <c r="B188" s="193"/>
      <c r="E188" s="115" t="s">
        <v>112</v>
      </c>
      <c r="F188" s="116" t="s">
        <v>126</v>
      </c>
      <c r="G188" s="115" t="str">
        <f t="shared" ref="G188:H188" si="280">G41</f>
        <v>A9</v>
      </c>
      <c r="H188" s="9" t="str">
        <f t="shared" si="280"/>
        <v>B9</v>
      </c>
      <c r="I188" s="9" t="str">
        <f t="shared" ref="I188:J188" si="281">I35</f>
        <v>A5</v>
      </c>
      <c r="J188" s="9" t="str">
        <f t="shared" si="281"/>
        <v>B11</v>
      </c>
      <c r="K188" s="36"/>
      <c r="L188" s="117"/>
      <c r="M188" s="118" t="str">
        <f t="shared" ref="M188:P188" si="282">C188</f>
        <v/>
      </c>
      <c r="N188" s="119" t="str">
        <f t="shared" si="282"/>
        <v/>
      </c>
      <c r="O188" s="118" t="str">
        <f t="shared" si="282"/>
        <v>A2</v>
      </c>
      <c r="P188" s="118" t="str">
        <f t="shared" si="282"/>
        <v>B6</v>
      </c>
      <c r="Q188" s="118" t="str">
        <f t="shared" ref="Q188:R188" si="283">E189</f>
        <v>B8</v>
      </c>
      <c r="R188" s="119" t="str">
        <f t="shared" si="283"/>
        <v>C6</v>
      </c>
      <c r="S188" s="9" t="s">
        <v>112</v>
      </c>
      <c r="T188" s="110" t="s">
        <v>165</v>
      </c>
      <c r="U188" s="9" t="str">
        <f t="shared" ref="U188:X188" si="284">G188</f>
        <v>A9</v>
      </c>
      <c r="V188" s="119" t="str">
        <f t="shared" si="284"/>
        <v>B9</v>
      </c>
      <c r="W188" s="118" t="str">
        <f t="shared" si="284"/>
        <v>A5</v>
      </c>
      <c r="X188" s="120" t="str">
        <f t="shared" si="284"/>
        <v>B11</v>
      </c>
      <c r="Y188" s="73" t="s">
        <v>126</v>
      </c>
      <c r="Z188" s="94" t="s">
        <v>99</v>
      </c>
      <c r="AA188" s="36"/>
      <c r="AB188" s="36"/>
      <c r="AC188" s="111"/>
      <c r="AD188" s="112"/>
      <c r="AE188" s="37"/>
      <c r="AF188" s="97"/>
      <c r="AG188" s="14"/>
      <c r="AH188" s="14"/>
      <c r="AI188" s="14"/>
      <c r="AJ188" s="113"/>
      <c r="AK188" s="105" t="s">
        <v>121</v>
      </c>
      <c r="AM188" s="104" t="s">
        <v>122</v>
      </c>
      <c r="AO188" s="104" t="s">
        <v>123</v>
      </c>
      <c r="AQ188" s="104" t="s">
        <v>124</v>
      </c>
      <c r="AS188" s="105" t="s">
        <v>125</v>
      </c>
      <c r="AU188" s="104" t="s">
        <v>118</v>
      </c>
      <c r="AW188" s="114" t="s">
        <v>119</v>
      </c>
      <c r="AY188" s="105" t="s">
        <v>120</v>
      </c>
      <c r="AZ188" s="24"/>
    </row>
    <row r="189">
      <c r="A189" s="192">
        <f>A188-543</f>
        <v>2026</v>
      </c>
      <c r="B189" s="193"/>
      <c r="E189" s="115" t="s">
        <v>69</v>
      </c>
      <c r="F189" s="116" t="s">
        <v>215</v>
      </c>
      <c r="G189" s="115"/>
      <c r="H189" s="118"/>
      <c r="I189" s="118"/>
      <c r="J189" s="118"/>
      <c r="K189" s="36"/>
      <c r="L189" s="117"/>
      <c r="M189" s="8"/>
      <c r="N189" s="121"/>
      <c r="O189" s="8"/>
      <c r="P189" s="8"/>
      <c r="Q189" s="8"/>
      <c r="R189" s="121"/>
      <c r="S189" s="8"/>
      <c r="T189" s="121"/>
      <c r="U189" s="9"/>
      <c r="V189" s="110"/>
      <c r="W189" s="9"/>
      <c r="X189" s="110"/>
      <c r="Y189" s="73" t="s">
        <v>69</v>
      </c>
      <c r="Z189" s="94" t="s">
        <v>155</v>
      </c>
      <c r="AA189" s="36"/>
      <c r="AB189" s="36"/>
      <c r="AC189" s="111"/>
      <c r="AD189" s="112"/>
      <c r="AE189" s="37"/>
      <c r="AF189" s="97"/>
      <c r="AG189" s="14"/>
      <c r="AH189" s="14"/>
      <c r="AI189" s="14"/>
      <c r="AJ189" s="113"/>
      <c r="AK189" s="105" t="s">
        <v>132</v>
      </c>
      <c r="AM189" s="104" t="s">
        <v>133</v>
      </c>
      <c r="AO189" s="104" t="s">
        <v>134</v>
      </c>
      <c r="AQ189" s="104" t="s">
        <v>135</v>
      </c>
      <c r="AS189" s="105" t="s">
        <v>136</v>
      </c>
      <c r="AU189" s="104" t="s">
        <v>129</v>
      </c>
      <c r="AW189" s="114" t="s">
        <v>130</v>
      </c>
      <c r="AY189" s="105" t="s">
        <v>131</v>
      </c>
      <c r="AZ189" s="24"/>
    </row>
    <row r="190">
      <c r="A190" s="310"/>
      <c r="B190" s="197"/>
      <c r="C190" s="1"/>
      <c r="D190" s="123"/>
      <c r="E190" s="124" t="s">
        <v>168</v>
      </c>
      <c r="F190" s="125"/>
      <c r="G190" s="165" t="str">
        <f>G5:H5</f>
        <v>อสูรเดือน S</v>
      </c>
      <c r="I190" s="166" t="str">
        <f>I5:J5</f>
        <v>อสูรปี N</v>
      </c>
      <c r="K190" s="90"/>
      <c r="L190" s="126"/>
      <c r="M190" s="8"/>
      <c r="N190" s="121"/>
      <c r="O190" s="8"/>
      <c r="P190" s="8"/>
      <c r="Q190" s="8"/>
      <c r="R190" s="121"/>
      <c r="S190" s="8"/>
      <c r="T190" s="121"/>
      <c r="U190" s="9"/>
      <c r="V190" s="110"/>
      <c r="W190" s="9"/>
      <c r="X190" s="110"/>
      <c r="Y190" s="233"/>
      <c r="Z190" s="234"/>
      <c r="AA190" s="156"/>
      <c r="AB190" s="156"/>
      <c r="AC190" s="235"/>
      <c r="AD190" s="236"/>
      <c r="AE190" s="237"/>
      <c r="AF190" s="238"/>
      <c r="AG190" s="239"/>
      <c r="AH190" s="239"/>
      <c r="AI190" s="239"/>
      <c r="AJ190" s="113"/>
      <c r="AW190" s="128"/>
      <c r="AZ190" s="24"/>
    </row>
    <row r="191">
      <c r="A191" s="188" t="s">
        <v>63</v>
      </c>
      <c r="B191" s="189"/>
      <c r="C191" s="63"/>
      <c r="D191" s="63"/>
      <c r="E191" s="64">
        <f>(O192+P192+Q192+R192)/(O193+P193+Q193+R193)</f>
        <v>0.2125</v>
      </c>
      <c r="F191" s="65"/>
      <c r="G191" s="133"/>
      <c r="H191" s="66"/>
      <c r="I191" s="67"/>
      <c r="J191" s="67"/>
      <c r="K191" s="68"/>
      <c r="L191" s="69"/>
      <c r="M191" s="63" t="s">
        <v>64</v>
      </c>
      <c r="N191" s="70"/>
      <c r="O191" s="71" t="s">
        <v>65</v>
      </c>
      <c r="P191" s="72"/>
      <c r="Q191" s="72"/>
      <c r="R191" s="70"/>
      <c r="S191" s="71" t="s">
        <v>66</v>
      </c>
      <c r="T191" s="70"/>
      <c r="U191" s="71" t="s">
        <v>67</v>
      </c>
      <c r="V191" s="70"/>
      <c r="W191" s="71" t="s">
        <v>68</v>
      </c>
      <c r="X191" s="70"/>
      <c r="Y191" s="134" t="s">
        <v>80</v>
      </c>
      <c r="Z191" s="74" t="s">
        <v>181</v>
      </c>
      <c r="AA191" s="75" t="s">
        <v>97</v>
      </c>
      <c r="AB191" s="75" t="s">
        <v>317</v>
      </c>
      <c r="AC191" s="95" t="s">
        <v>73</v>
      </c>
      <c r="AD191" s="94" t="s">
        <v>74</v>
      </c>
      <c r="AE191" s="63" t="s">
        <v>35</v>
      </c>
      <c r="AF191" s="78" t="s">
        <v>34</v>
      </c>
      <c r="AG191" s="79" t="s">
        <v>71</v>
      </c>
      <c r="AH191" s="79">
        <v>210.0</v>
      </c>
      <c r="AI191" s="79" t="s">
        <v>175</v>
      </c>
      <c r="AJ191" s="80" t="str">
        <f>AJ185</f>
        <v>開</v>
      </c>
      <c r="AK191" s="81" t="s">
        <v>38</v>
      </c>
      <c r="AL191" s="82" t="str">
        <f>AL185</f>
        <v>休</v>
      </c>
      <c r="AM191" s="81" t="s">
        <v>40</v>
      </c>
      <c r="AN191" s="82" t="s">
        <v>4</v>
      </c>
      <c r="AO191" s="81" t="s">
        <v>42</v>
      </c>
      <c r="AP191" s="82" t="str">
        <f>AP185</f>
        <v>傷</v>
      </c>
      <c r="AQ191" s="81" t="s">
        <v>44</v>
      </c>
      <c r="AR191" s="82" t="s">
        <v>8</v>
      </c>
      <c r="AS191" s="81" t="s">
        <v>46</v>
      </c>
      <c r="AT191" s="82" t="str">
        <f>AT185</f>
        <v>景</v>
      </c>
      <c r="AU191" s="81" t="s">
        <v>48</v>
      </c>
      <c r="AV191" s="82" t="str">
        <f>AV185</f>
        <v>死</v>
      </c>
      <c r="AW191" s="81" t="s">
        <v>50</v>
      </c>
      <c r="AX191" s="82" t="str">
        <f>AX185</f>
        <v>驚</v>
      </c>
      <c r="AY191" s="337" t="s">
        <v>52</v>
      </c>
      <c r="AZ191" s="83"/>
      <c r="BA191" s="84"/>
      <c r="BB191" s="84"/>
      <c r="BC191" s="84"/>
    </row>
    <row r="192">
      <c r="A192" s="192">
        <f>A186+1</f>
        <v>30</v>
      </c>
      <c r="B192" s="193"/>
      <c r="C192" s="338" t="s">
        <v>298</v>
      </c>
      <c r="E192" s="87" t="s">
        <v>222</v>
      </c>
      <c r="F192" s="88"/>
      <c r="G192" s="324" t="str">
        <f t="shared" ref="G192:G193" si="287">G3:H3</f>
        <v>壬</v>
      </c>
      <c r="I192" s="138" t="str">
        <f t="shared" ref="I192:I193" si="288">I33:J33</f>
        <v>丙</v>
      </c>
      <c r="K192" s="90">
        <f>L192/L193</f>
        <v>0.47</v>
      </c>
      <c r="L192" s="126">
        <f t="shared" ref="L192:L193" si="289">O192+P192+Q192+U192+V192+W192+X192+R192+M192+N192+S192+T192</f>
        <v>470</v>
      </c>
      <c r="M192" s="92">
        <v>0.0</v>
      </c>
      <c r="N192" s="93">
        <v>0.0</v>
      </c>
      <c r="O192" s="92">
        <v>75.0</v>
      </c>
      <c r="P192" s="92">
        <v>0.0</v>
      </c>
      <c r="Q192" s="92">
        <v>0.0</v>
      </c>
      <c r="R192" s="93">
        <v>10.0</v>
      </c>
      <c r="S192" s="92">
        <v>85.0</v>
      </c>
      <c r="T192" s="93">
        <v>35.0</v>
      </c>
      <c r="U192" s="92">
        <f t="shared" ref="U192:V192" si="285">U39</f>
        <v>45</v>
      </c>
      <c r="V192" s="93">
        <f t="shared" si="285"/>
        <v>50</v>
      </c>
      <c r="W192" s="92">
        <f t="shared" ref="W192:X192" si="286">W33</f>
        <v>110</v>
      </c>
      <c r="X192" s="93">
        <f t="shared" si="286"/>
        <v>60</v>
      </c>
      <c r="Y192" s="73" t="s">
        <v>98</v>
      </c>
      <c r="Z192" s="94" t="s">
        <v>163</v>
      </c>
      <c r="AA192" s="29"/>
      <c r="AB192" s="29"/>
      <c r="AC192" s="95" t="s">
        <v>82</v>
      </c>
      <c r="AD192" s="96" t="s">
        <v>83</v>
      </c>
      <c r="AE192" s="37"/>
      <c r="AF192" s="97"/>
      <c r="AG192" s="12" t="s">
        <v>53</v>
      </c>
      <c r="AH192" s="12">
        <v>30.0</v>
      </c>
      <c r="AI192" s="12" t="s">
        <v>178</v>
      </c>
      <c r="AJ192" s="98" t="s">
        <v>41</v>
      </c>
      <c r="AK192" s="103" t="s">
        <v>92</v>
      </c>
      <c r="AL192" s="100" t="s">
        <v>39</v>
      </c>
      <c r="AM192" s="99" t="s">
        <v>93</v>
      </c>
      <c r="AN192" s="100" t="s">
        <v>37</v>
      </c>
      <c r="AO192" s="99" t="s">
        <v>94</v>
      </c>
      <c r="AP192" s="100" t="s">
        <v>51</v>
      </c>
      <c r="AQ192" s="101" t="s">
        <v>95</v>
      </c>
      <c r="AR192" s="100" t="s">
        <v>86</v>
      </c>
      <c r="AS192" s="99" t="s">
        <v>87</v>
      </c>
      <c r="AT192" s="100" t="s">
        <v>88</v>
      </c>
      <c r="AU192" s="101" t="s">
        <v>89</v>
      </c>
      <c r="AV192" s="100" t="s">
        <v>45</v>
      </c>
      <c r="AW192" s="102" t="s">
        <v>90</v>
      </c>
      <c r="AX192" s="100" t="s">
        <v>43</v>
      </c>
      <c r="AY192" s="339" t="s">
        <v>91</v>
      </c>
      <c r="AZ192" s="24"/>
    </row>
    <row r="193">
      <c r="A193" s="229" t="str">
        <f>A187</f>
        <v>เมษายน</v>
      </c>
      <c r="B193" s="193"/>
      <c r="C193" s="140" t="s">
        <v>179</v>
      </c>
      <c r="E193" s="162" t="s">
        <v>206</v>
      </c>
      <c r="F193" s="88"/>
      <c r="G193" s="180" t="str">
        <f t="shared" si="287"/>
        <v>辰</v>
      </c>
      <c r="I193" s="142" t="str">
        <f t="shared" si="288"/>
        <v>午</v>
      </c>
      <c r="K193" s="36"/>
      <c r="L193" s="109">
        <f t="shared" si="289"/>
        <v>1000</v>
      </c>
      <c r="M193" s="9">
        <v>0.0</v>
      </c>
      <c r="N193" s="110">
        <v>0.0</v>
      </c>
      <c r="O193" s="9">
        <v>100.0</v>
      </c>
      <c r="P193" s="9">
        <v>100.0</v>
      </c>
      <c r="Q193" s="9">
        <v>100.0</v>
      </c>
      <c r="R193" s="110">
        <v>100.0</v>
      </c>
      <c r="S193" s="9">
        <v>100.0</v>
      </c>
      <c r="T193" s="110">
        <v>100.0</v>
      </c>
      <c r="U193" s="9">
        <v>100.0</v>
      </c>
      <c r="V193" s="110">
        <v>100.0</v>
      </c>
      <c r="W193" s="9">
        <v>100.0</v>
      </c>
      <c r="X193" s="110">
        <v>100.0</v>
      </c>
      <c r="Y193" s="73" t="s">
        <v>116</v>
      </c>
      <c r="Z193" s="94" t="s">
        <v>153</v>
      </c>
      <c r="AA193" s="36"/>
      <c r="AB193" s="36"/>
      <c r="AC193" s="111"/>
      <c r="AD193" s="112"/>
      <c r="AE193" s="37"/>
      <c r="AF193" s="97"/>
      <c r="AG193" s="14"/>
      <c r="AH193" s="14"/>
      <c r="AI193" s="14"/>
      <c r="AJ193" s="113"/>
      <c r="AK193" s="104" t="s">
        <v>104</v>
      </c>
      <c r="AM193" s="104" t="s">
        <v>105</v>
      </c>
      <c r="AO193" s="104" t="s">
        <v>106</v>
      </c>
      <c r="AQ193" s="105" t="s">
        <v>107</v>
      </c>
      <c r="AS193" s="104" t="s">
        <v>100</v>
      </c>
      <c r="AU193" s="114" t="s">
        <v>101</v>
      </c>
      <c r="AW193" s="105" t="s">
        <v>102</v>
      </c>
      <c r="AY193" s="340" t="s">
        <v>103</v>
      </c>
      <c r="AZ193" s="24"/>
    </row>
    <row r="194">
      <c r="A194" s="192">
        <v>2569.0</v>
      </c>
      <c r="B194" s="193"/>
      <c r="E194" s="115" t="s">
        <v>165</v>
      </c>
      <c r="F194" s="116" t="s">
        <v>111</v>
      </c>
      <c r="G194" s="115" t="str">
        <f t="shared" ref="G194:H194" si="290">G41</f>
        <v>A9</v>
      </c>
      <c r="H194" s="9" t="str">
        <f t="shared" si="290"/>
        <v>B9</v>
      </c>
      <c r="I194" s="9" t="str">
        <f t="shared" ref="I194:J194" si="291">I35</f>
        <v>A5</v>
      </c>
      <c r="J194" s="9" t="str">
        <f t="shared" si="291"/>
        <v>B11</v>
      </c>
      <c r="K194" s="36"/>
      <c r="L194" s="117"/>
      <c r="M194" s="118" t="str">
        <f t="shared" ref="M194:P194" si="292">C194</f>
        <v/>
      </c>
      <c r="N194" s="119" t="str">
        <f t="shared" si="292"/>
        <v/>
      </c>
      <c r="O194" s="118" t="str">
        <f t="shared" si="292"/>
        <v>A12</v>
      </c>
      <c r="P194" s="118" t="str">
        <f t="shared" si="292"/>
        <v>B7</v>
      </c>
      <c r="Q194" s="118" t="str">
        <f t="shared" ref="Q194:R194" si="293">E195</f>
        <v>B7</v>
      </c>
      <c r="R194" s="119" t="str">
        <f t="shared" si="293"/>
        <v>C7</v>
      </c>
      <c r="S194" s="9" t="s">
        <v>219</v>
      </c>
      <c r="T194" s="110" t="s">
        <v>198</v>
      </c>
      <c r="U194" s="9" t="str">
        <f t="shared" ref="U194:X194" si="294">G194</f>
        <v>A9</v>
      </c>
      <c r="V194" s="119" t="str">
        <f t="shared" si="294"/>
        <v>B9</v>
      </c>
      <c r="W194" s="118" t="str">
        <f t="shared" si="294"/>
        <v>A5</v>
      </c>
      <c r="X194" s="120" t="str">
        <f t="shared" si="294"/>
        <v>B11</v>
      </c>
      <c r="Y194" s="73" t="s">
        <v>126</v>
      </c>
      <c r="Z194" s="94" t="s">
        <v>155</v>
      </c>
      <c r="AA194" s="36"/>
      <c r="AB194" s="36"/>
      <c r="AC194" s="111"/>
      <c r="AD194" s="112"/>
      <c r="AE194" s="37"/>
      <c r="AF194" s="97"/>
      <c r="AG194" s="14"/>
      <c r="AH194" s="14"/>
      <c r="AI194" s="14"/>
      <c r="AJ194" s="113"/>
      <c r="AK194" s="104" t="s">
        <v>122</v>
      </c>
      <c r="AM194" s="104" t="s">
        <v>123</v>
      </c>
      <c r="AO194" s="104" t="s">
        <v>124</v>
      </c>
      <c r="AQ194" s="105" t="s">
        <v>125</v>
      </c>
      <c r="AS194" s="104" t="s">
        <v>118</v>
      </c>
      <c r="AU194" s="114" t="s">
        <v>119</v>
      </c>
      <c r="AW194" s="105" t="s">
        <v>120</v>
      </c>
      <c r="AY194" s="340" t="s">
        <v>121</v>
      </c>
      <c r="AZ194" s="24"/>
    </row>
    <row r="195">
      <c r="A195" s="192">
        <f>A194-543</f>
        <v>2026</v>
      </c>
      <c r="B195" s="193"/>
      <c r="E195" s="115" t="s">
        <v>111</v>
      </c>
      <c r="F195" s="116" t="s">
        <v>220</v>
      </c>
      <c r="G195" s="115"/>
      <c r="H195" s="118"/>
      <c r="I195" s="118"/>
      <c r="J195" s="118"/>
      <c r="K195" s="36"/>
      <c r="L195" s="117"/>
      <c r="M195" s="8"/>
      <c r="N195" s="121"/>
      <c r="O195" s="8"/>
      <c r="P195" s="8"/>
      <c r="Q195" s="8"/>
      <c r="R195" s="121"/>
      <c r="S195" s="8"/>
      <c r="T195" s="121"/>
      <c r="U195" s="9"/>
      <c r="V195" s="110"/>
      <c r="W195" s="9"/>
      <c r="X195" s="110"/>
      <c r="Y195" s="73" t="s">
        <v>69</v>
      </c>
      <c r="Z195" s="94" t="s">
        <v>128</v>
      </c>
      <c r="AA195" s="36"/>
      <c r="AB195" s="36"/>
      <c r="AC195" s="111"/>
      <c r="AD195" s="112"/>
      <c r="AE195" s="37"/>
      <c r="AF195" s="97"/>
      <c r="AG195" s="14"/>
      <c r="AH195" s="14"/>
      <c r="AI195" s="14"/>
      <c r="AJ195" s="113"/>
      <c r="AK195" s="104" t="s">
        <v>133</v>
      </c>
      <c r="AM195" s="104" t="s">
        <v>134</v>
      </c>
      <c r="AO195" s="104" t="s">
        <v>135</v>
      </c>
      <c r="AQ195" s="105" t="s">
        <v>136</v>
      </c>
      <c r="AS195" s="104" t="s">
        <v>129</v>
      </c>
      <c r="AU195" s="114" t="s">
        <v>130</v>
      </c>
      <c r="AW195" s="105" t="s">
        <v>131</v>
      </c>
      <c r="AY195" s="340" t="s">
        <v>132</v>
      </c>
      <c r="AZ195" s="24"/>
    </row>
    <row r="196">
      <c r="A196" s="230"/>
      <c r="B196" s="231"/>
      <c r="C196" s="185"/>
      <c r="D196" s="186"/>
      <c r="E196" s="124" t="s">
        <v>185</v>
      </c>
      <c r="F196" s="125"/>
      <c r="G196" s="146" t="str">
        <f>G5:H5</f>
        <v>อสูรเดือน S</v>
      </c>
      <c r="H196" s="147"/>
      <c r="I196" s="148" t="str">
        <f>I5:J5</f>
        <v>อสูรปี N</v>
      </c>
      <c r="J196" s="147"/>
      <c r="K196" s="149"/>
      <c r="L196" s="150"/>
      <c r="M196" s="151"/>
      <c r="N196" s="152"/>
      <c r="O196" s="151"/>
      <c r="P196" s="151"/>
      <c r="Q196" s="151"/>
      <c r="R196" s="152"/>
      <c r="S196" s="151"/>
      <c r="T196" s="152"/>
      <c r="U196" s="153"/>
      <c r="V196" s="154"/>
      <c r="W196" s="153"/>
      <c r="X196" s="154"/>
      <c r="Y196" s="233"/>
      <c r="Z196" s="234"/>
      <c r="AA196" s="156"/>
      <c r="AB196" s="156"/>
      <c r="AC196" s="235"/>
      <c r="AD196" s="236"/>
      <c r="AE196" s="237"/>
      <c r="AF196" s="238"/>
      <c r="AG196" s="239"/>
      <c r="AH196" s="239"/>
      <c r="AI196" s="239"/>
      <c r="AJ196" s="157"/>
      <c r="AK196" s="158"/>
      <c r="AL196" s="158"/>
      <c r="AM196" s="158"/>
      <c r="AN196" s="158"/>
      <c r="AO196" s="158"/>
      <c r="AP196" s="158"/>
      <c r="AQ196" s="158"/>
      <c r="AR196" s="158"/>
      <c r="AS196" s="158"/>
      <c r="AT196" s="158"/>
      <c r="AU196" s="158"/>
      <c r="AV196" s="158"/>
      <c r="AW196" s="240"/>
      <c r="AX196" s="158"/>
      <c r="AY196" s="241"/>
      <c r="AZ196" s="24"/>
    </row>
    <row r="197">
      <c r="B197" s="24"/>
      <c r="E197" s="225"/>
      <c r="F197" s="72"/>
      <c r="G197" s="113"/>
      <c r="K197" s="36"/>
      <c r="L197" s="117"/>
      <c r="M197" s="128"/>
      <c r="N197" s="117"/>
      <c r="R197" s="117"/>
      <c r="T197" s="117"/>
      <c r="V197" s="117"/>
      <c r="X197" s="117"/>
      <c r="Y197" s="127"/>
      <c r="Z197" s="155"/>
      <c r="AA197" s="36"/>
      <c r="AB197" s="36"/>
      <c r="AC197" s="13"/>
      <c r="AD197" s="13"/>
      <c r="AE197" s="1"/>
      <c r="AF197" s="1"/>
      <c r="AG197" s="14"/>
      <c r="AH197" s="14"/>
      <c r="AI197" s="14"/>
      <c r="AZ197" s="24"/>
    </row>
    <row r="198">
      <c r="B198" s="24"/>
      <c r="E198" s="87"/>
      <c r="G198" s="113"/>
      <c r="K198" s="36"/>
      <c r="L198" s="117"/>
      <c r="M198" s="128"/>
      <c r="N198" s="117"/>
      <c r="R198" s="117"/>
      <c r="T198" s="117"/>
      <c r="V198" s="117"/>
      <c r="X198" s="117"/>
      <c r="Y198" s="127"/>
      <c r="Z198" s="11"/>
      <c r="AA198" s="36"/>
      <c r="AB198" s="36"/>
      <c r="AC198" s="13"/>
      <c r="AD198" s="13"/>
      <c r="AE198" s="37"/>
      <c r="AF198" s="37"/>
      <c r="AG198" s="14"/>
      <c r="AH198" s="14"/>
      <c r="AI198" s="14"/>
      <c r="AZ198" s="24"/>
    </row>
    <row r="199">
      <c r="B199" s="24"/>
      <c r="E199" s="113"/>
      <c r="F199" s="266"/>
      <c r="G199" s="113"/>
      <c r="K199" s="36"/>
      <c r="L199" s="117"/>
      <c r="M199" s="128"/>
      <c r="N199" s="117"/>
      <c r="R199" s="117"/>
      <c r="T199" s="117"/>
      <c r="V199" s="117"/>
      <c r="X199" s="117"/>
      <c r="Y199" s="127"/>
      <c r="Z199" s="11"/>
      <c r="AA199" s="36"/>
      <c r="AB199" s="36"/>
      <c r="AC199" s="13"/>
      <c r="AD199" s="13"/>
      <c r="AE199" s="37"/>
      <c r="AF199" s="37"/>
      <c r="AG199" s="14"/>
      <c r="AH199" s="14"/>
      <c r="AI199" s="14"/>
      <c r="AZ199" s="24"/>
    </row>
    <row r="200">
      <c r="A200" s="242"/>
      <c r="B200" s="243"/>
      <c r="C200" s="251" t="s">
        <v>182</v>
      </c>
      <c r="D200" s="251">
        <v>80.0</v>
      </c>
      <c r="E200" s="252" t="s">
        <v>250</v>
      </c>
      <c r="F200" s="253"/>
      <c r="G200" s="254" t="s">
        <v>176</v>
      </c>
      <c r="H200" s="255"/>
      <c r="I200" s="256"/>
      <c r="J200" s="249" t="s">
        <v>80</v>
      </c>
      <c r="K200" s="253">
        <v>70.0</v>
      </c>
      <c r="L200" s="257" t="s">
        <v>251</v>
      </c>
      <c r="M200" s="257" t="s">
        <v>231</v>
      </c>
      <c r="N200" s="258"/>
      <c r="O200" s="258"/>
      <c r="P200" s="258"/>
      <c r="Q200" s="259"/>
      <c r="R200" s="259"/>
      <c r="S200" s="259"/>
      <c r="T200" s="259"/>
      <c r="U200" s="259"/>
      <c r="V200" s="260"/>
      <c r="W200" s="259"/>
      <c r="X200" s="261" t="s">
        <v>154</v>
      </c>
      <c r="Y200" s="261">
        <v>50.0</v>
      </c>
      <c r="Z200" s="262" t="s">
        <v>252</v>
      </c>
      <c r="AA200" s="263" t="s">
        <v>253</v>
      </c>
      <c r="AB200" s="258"/>
      <c r="AC200" s="13"/>
      <c r="AD200" s="13"/>
      <c r="AE200" s="37"/>
      <c r="AF200" s="37"/>
      <c r="AG200" s="14"/>
      <c r="AH200" s="14"/>
      <c r="AI200" s="14"/>
      <c r="AZ200" s="24"/>
    </row>
    <row r="201">
      <c r="A201" s="242"/>
      <c r="B201" s="243"/>
      <c r="C201" s="251" t="s">
        <v>112</v>
      </c>
      <c r="D201" s="251">
        <v>40.0</v>
      </c>
      <c r="E201" s="252" t="s">
        <v>254</v>
      </c>
      <c r="F201" s="253"/>
      <c r="G201" s="254" t="s">
        <v>249</v>
      </c>
      <c r="H201" s="255"/>
      <c r="I201" s="256"/>
      <c r="J201" s="249" t="s">
        <v>98</v>
      </c>
      <c r="K201" s="253">
        <v>80.0</v>
      </c>
      <c r="L201" s="257" t="s">
        <v>255</v>
      </c>
      <c r="M201" s="257" t="s">
        <v>235</v>
      </c>
      <c r="N201" s="258"/>
      <c r="O201" s="258"/>
      <c r="P201" s="258"/>
      <c r="Q201" s="259"/>
      <c r="R201" s="259"/>
      <c r="S201" s="259"/>
      <c r="T201" s="259"/>
      <c r="U201" s="259"/>
      <c r="V201" s="260"/>
      <c r="W201" s="259"/>
      <c r="X201" s="261" t="s">
        <v>167</v>
      </c>
      <c r="Y201" s="261" t="s">
        <v>256</v>
      </c>
      <c r="Z201" s="262" t="s">
        <v>257</v>
      </c>
      <c r="AA201" s="263" t="s">
        <v>258</v>
      </c>
      <c r="AB201" s="258"/>
      <c r="AC201" s="13"/>
      <c r="AD201" s="13"/>
      <c r="AE201" s="37"/>
      <c r="AF201" s="37"/>
      <c r="AG201" s="14"/>
      <c r="AH201" s="14"/>
      <c r="AI201" s="14"/>
      <c r="AZ201" s="24"/>
    </row>
    <row r="202">
      <c r="A202" s="242"/>
      <c r="B202" s="243"/>
      <c r="C202" s="251" t="s">
        <v>219</v>
      </c>
      <c r="D202" s="251">
        <v>90.0</v>
      </c>
      <c r="E202" s="252" t="s">
        <v>259</v>
      </c>
      <c r="F202" s="253"/>
      <c r="G202" s="254" t="s">
        <v>260</v>
      </c>
      <c r="H202" s="255"/>
      <c r="I202" s="256"/>
      <c r="J202" s="249" t="s">
        <v>183</v>
      </c>
      <c r="K202" s="253">
        <v>20.0</v>
      </c>
      <c r="L202" s="264" t="s">
        <v>261</v>
      </c>
      <c r="M202" s="257" t="s">
        <v>239</v>
      </c>
      <c r="N202" s="258"/>
      <c r="O202" s="258"/>
      <c r="P202" s="258"/>
      <c r="Q202" s="259"/>
      <c r="R202" s="259"/>
      <c r="S202" s="259"/>
      <c r="T202" s="259"/>
      <c r="U202" s="259"/>
      <c r="V202" s="259"/>
      <c r="W202" s="260"/>
      <c r="X202" s="261" t="s">
        <v>184</v>
      </c>
      <c r="Y202" s="261">
        <v>80.0</v>
      </c>
      <c r="Z202" s="262" t="s">
        <v>262</v>
      </c>
      <c r="AA202" s="263" t="s">
        <v>263</v>
      </c>
      <c r="AB202" s="258"/>
      <c r="AC202" s="13"/>
      <c r="AD202" s="13"/>
      <c r="AE202" s="37"/>
      <c r="AF202" s="37"/>
      <c r="AG202" s="14"/>
      <c r="AH202" s="14"/>
      <c r="AI202" s="14"/>
      <c r="AZ202" s="24"/>
    </row>
    <row r="203">
      <c r="A203" s="242"/>
      <c r="B203" s="243"/>
      <c r="C203" s="251" t="s">
        <v>213</v>
      </c>
      <c r="D203" s="251">
        <v>100.0</v>
      </c>
      <c r="E203" s="252" t="s">
        <v>264</v>
      </c>
      <c r="F203" s="253"/>
      <c r="G203" s="254" t="s">
        <v>265</v>
      </c>
      <c r="H203" s="255"/>
      <c r="I203" s="256"/>
      <c r="J203" s="249" t="s">
        <v>109</v>
      </c>
      <c r="K203" s="253">
        <v>30.0</v>
      </c>
      <c r="L203" s="264" t="s">
        <v>266</v>
      </c>
      <c r="M203" s="257" t="s">
        <v>96</v>
      </c>
      <c r="N203" s="258"/>
      <c r="O203" s="258"/>
      <c r="P203" s="258"/>
      <c r="Q203" s="259"/>
      <c r="R203" s="259"/>
      <c r="S203" s="259"/>
      <c r="T203" s="259"/>
      <c r="U203" s="259"/>
      <c r="V203" s="259"/>
      <c r="W203" s="260"/>
      <c r="X203" s="261" t="s">
        <v>190</v>
      </c>
      <c r="Y203" s="261">
        <v>50.0</v>
      </c>
      <c r="Z203" s="262" t="s">
        <v>267</v>
      </c>
      <c r="AA203" s="263" t="s">
        <v>268</v>
      </c>
      <c r="AB203" s="258"/>
      <c r="AC203" s="13"/>
      <c r="AD203" s="13"/>
      <c r="AE203" s="37"/>
      <c r="AF203" s="37"/>
      <c r="AG203" s="14"/>
      <c r="AH203" s="14"/>
      <c r="AI203" s="14"/>
      <c r="AZ203" s="24"/>
    </row>
    <row r="204">
      <c r="A204" s="242"/>
      <c r="B204" s="243"/>
      <c r="C204" s="251" t="s">
        <v>204</v>
      </c>
      <c r="D204" s="251">
        <v>110.0</v>
      </c>
      <c r="E204" s="252" t="s">
        <v>269</v>
      </c>
      <c r="F204" s="253"/>
      <c r="G204" s="254" t="s">
        <v>270</v>
      </c>
      <c r="H204" s="255"/>
      <c r="I204" s="256"/>
      <c r="J204" s="249" t="s">
        <v>116</v>
      </c>
      <c r="K204" s="253">
        <v>100.0</v>
      </c>
      <c r="L204" s="264" t="s">
        <v>271</v>
      </c>
      <c r="M204" s="257" t="s">
        <v>151</v>
      </c>
      <c r="N204" s="258"/>
      <c r="O204" s="258"/>
      <c r="P204" s="258"/>
      <c r="Q204" s="259"/>
      <c r="R204" s="259"/>
      <c r="S204" s="259"/>
      <c r="T204" s="259"/>
      <c r="U204" s="259"/>
      <c r="V204" s="259"/>
      <c r="W204" s="260"/>
      <c r="X204" s="261" t="s">
        <v>205</v>
      </c>
      <c r="Y204" s="261">
        <v>80.0</v>
      </c>
      <c r="Z204" s="262" t="s">
        <v>272</v>
      </c>
      <c r="AA204" s="263" t="s">
        <v>273</v>
      </c>
      <c r="AB204" s="258"/>
      <c r="AC204" s="13"/>
      <c r="AD204" s="13"/>
      <c r="AE204" s="37"/>
      <c r="AF204" s="37"/>
      <c r="AG204" s="14"/>
      <c r="AH204" s="14"/>
      <c r="AI204" s="14"/>
      <c r="AZ204" s="24"/>
    </row>
    <row r="205">
      <c r="A205" s="242"/>
      <c r="B205" s="243"/>
      <c r="C205" s="251" t="s">
        <v>198</v>
      </c>
      <c r="D205" s="251">
        <v>30.0</v>
      </c>
      <c r="E205" s="252" t="s">
        <v>274</v>
      </c>
      <c r="F205" s="253"/>
      <c r="G205" s="254" t="s">
        <v>248</v>
      </c>
      <c r="H205" s="255"/>
      <c r="I205" s="256"/>
      <c r="J205" s="249" t="s">
        <v>126</v>
      </c>
      <c r="K205" s="253">
        <v>90.0</v>
      </c>
      <c r="L205" s="264" t="s">
        <v>275</v>
      </c>
      <c r="M205" s="257" t="s">
        <v>162</v>
      </c>
      <c r="N205" s="258"/>
      <c r="O205" s="258"/>
      <c r="P205" s="258"/>
      <c r="Q205" s="259"/>
      <c r="R205" s="259"/>
      <c r="S205" s="259"/>
      <c r="T205" s="259"/>
      <c r="U205" s="259"/>
      <c r="V205" s="259"/>
      <c r="W205" s="260"/>
      <c r="X205" s="261" t="s">
        <v>215</v>
      </c>
      <c r="Y205" s="261">
        <v>80.0</v>
      </c>
      <c r="Z205" s="262" t="s">
        <v>276</v>
      </c>
      <c r="AA205" s="263" t="s">
        <v>277</v>
      </c>
      <c r="AB205" s="258"/>
      <c r="AC205" s="13"/>
      <c r="AD205" s="13"/>
      <c r="AE205" s="37"/>
      <c r="AF205" s="37"/>
      <c r="AG205" s="14"/>
      <c r="AH205" s="14"/>
      <c r="AI205" s="14"/>
      <c r="AZ205" s="24"/>
    </row>
    <row r="206">
      <c r="A206" s="242"/>
      <c r="B206" s="243"/>
      <c r="C206" s="251" t="s">
        <v>115</v>
      </c>
      <c r="D206" s="251">
        <v>20.0</v>
      </c>
      <c r="E206" s="252" t="s">
        <v>278</v>
      </c>
      <c r="F206" s="253"/>
      <c r="G206" s="254" t="s">
        <v>187</v>
      </c>
      <c r="H206" s="255"/>
      <c r="I206" s="256"/>
      <c r="J206" s="249" t="s">
        <v>111</v>
      </c>
      <c r="K206" s="253">
        <v>0.0</v>
      </c>
      <c r="L206" s="264" t="s">
        <v>279</v>
      </c>
      <c r="M206" s="257" t="s">
        <v>179</v>
      </c>
      <c r="N206" s="258"/>
      <c r="O206" s="258"/>
      <c r="P206" s="258"/>
      <c r="Q206" s="259"/>
      <c r="R206" s="259"/>
      <c r="S206" s="259"/>
      <c r="T206" s="259"/>
      <c r="U206" s="259"/>
      <c r="V206" s="259"/>
      <c r="W206" s="260"/>
      <c r="X206" s="261" t="s">
        <v>220</v>
      </c>
      <c r="Y206" s="261">
        <v>10.0</v>
      </c>
      <c r="Z206" s="262" t="s">
        <v>280</v>
      </c>
      <c r="AA206" s="263" t="s">
        <v>281</v>
      </c>
      <c r="AB206" s="258"/>
      <c r="AC206" s="13"/>
      <c r="AD206" s="13"/>
      <c r="AE206" s="37"/>
      <c r="AF206" s="37"/>
      <c r="AG206" s="14"/>
      <c r="AH206" s="14"/>
      <c r="AI206" s="14"/>
      <c r="AZ206" s="24"/>
    </row>
    <row r="207">
      <c r="A207" s="242"/>
      <c r="B207" s="243"/>
      <c r="C207" s="251" t="s">
        <v>108</v>
      </c>
      <c r="D207" s="251">
        <v>10.0</v>
      </c>
      <c r="E207" s="252" t="s">
        <v>282</v>
      </c>
      <c r="F207" s="253"/>
      <c r="G207" s="254" t="s">
        <v>78</v>
      </c>
      <c r="H207" s="255"/>
      <c r="I207" s="256"/>
      <c r="J207" s="249" t="s">
        <v>69</v>
      </c>
      <c r="K207" s="253">
        <v>90.0</v>
      </c>
      <c r="L207" s="264" t="s">
        <v>283</v>
      </c>
      <c r="M207" s="257" t="s">
        <v>188</v>
      </c>
      <c r="N207" s="258"/>
      <c r="O207" s="258"/>
      <c r="P207" s="258"/>
      <c r="Q207" s="259"/>
      <c r="R207" s="259"/>
      <c r="S207" s="259"/>
      <c r="T207" s="259"/>
      <c r="U207" s="259"/>
      <c r="V207" s="259"/>
      <c r="W207" s="260"/>
      <c r="X207" s="261" t="s">
        <v>225</v>
      </c>
      <c r="Y207" s="261">
        <v>20.0</v>
      </c>
      <c r="Z207" s="262" t="s">
        <v>284</v>
      </c>
      <c r="AA207" s="263" t="s">
        <v>285</v>
      </c>
      <c r="AB207" s="258"/>
      <c r="AC207" s="13"/>
      <c r="AD207" s="13"/>
      <c r="AE207" s="37"/>
      <c r="AF207" s="37"/>
      <c r="AG207" s="14"/>
      <c r="AH207" s="14"/>
      <c r="AI207" s="14"/>
      <c r="AZ207" s="24"/>
    </row>
    <row r="208">
      <c r="A208" s="242"/>
      <c r="B208" s="243"/>
      <c r="C208" s="251" t="s">
        <v>164</v>
      </c>
      <c r="D208" s="251">
        <v>50.0</v>
      </c>
      <c r="E208" s="252" t="s">
        <v>286</v>
      </c>
      <c r="F208" s="253"/>
      <c r="G208" s="254" t="s">
        <v>216</v>
      </c>
      <c r="H208" s="255"/>
      <c r="I208" s="256"/>
      <c r="J208" s="249" t="s">
        <v>212</v>
      </c>
      <c r="K208" s="253">
        <v>50.0</v>
      </c>
      <c r="L208" s="264" t="s">
        <v>287</v>
      </c>
      <c r="M208" s="257" t="s">
        <v>211</v>
      </c>
      <c r="N208" s="258"/>
      <c r="O208" s="258"/>
      <c r="P208" s="258"/>
      <c r="Q208" s="259"/>
      <c r="R208" s="259"/>
      <c r="S208" s="259"/>
      <c r="T208" s="259"/>
      <c r="U208" s="259"/>
      <c r="V208" s="259"/>
      <c r="W208" s="260"/>
      <c r="X208" s="261" t="s">
        <v>229</v>
      </c>
      <c r="Y208" s="261">
        <v>100.0</v>
      </c>
      <c r="Z208" s="262" t="s">
        <v>288</v>
      </c>
      <c r="AA208" s="263" t="s">
        <v>104</v>
      </c>
      <c r="AB208" s="258"/>
      <c r="AC208" s="13"/>
      <c r="AD208" s="13"/>
      <c r="AE208" s="37"/>
      <c r="AF208" s="37"/>
      <c r="AG208" s="14"/>
      <c r="AH208" s="14"/>
      <c r="AI208" s="14"/>
      <c r="AZ208" s="24"/>
    </row>
    <row r="209">
      <c r="A209" s="242"/>
      <c r="B209" s="243"/>
      <c r="C209" s="251" t="s">
        <v>114</v>
      </c>
      <c r="D209" s="251">
        <v>0.0</v>
      </c>
      <c r="E209" s="252" t="s">
        <v>289</v>
      </c>
      <c r="F209" s="253"/>
      <c r="G209" s="254" t="s">
        <v>221</v>
      </c>
      <c r="H209" s="255"/>
      <c r="I209" s="256"/>
      <c r="J209" s="249" t="s">
        <v>218</v>
      </c>
      <c r="K209" s="253">
        <v>40.0</v>
      </c>
      <c r="L209" s="264" t="s">
        <v>290</v>
      </c>
      <c r="M209" s="257" t="s">
        <v>217</v>
      </c>
      <c r="N209" s="258"/>
      <c r="O209" s="258"/>
      <c r="P209" s="258"/>
      <c r="Q209" s="259"/>
      <c r="R209" s="259"/>
      <c r="S209" s="259"/>
      <c r="T209" s="259"/>
      <c r="U209" s="259"/>
      <c r="V209" s="259"/>
      <c r="W209" s="260"/>
      <c r="X209" s="261" t="s">
        <v>232</v>
      </c>
      <c r="Y209" s="261" t="s">
        <v>256</v>
      </c>
      <c r="Z209" s="262" t="s">
        <v>291</v>
      </c>
      <c r="AA209" s="263" t="s">
        <v>292</v>
      </c>
      <c r="AB209" s="258"/>
      <c r="AC209" s="13"/>
      <c r="AD209" s="13"/>
      <c r="AE209" s="37"/>
      <c r="AF209" s="37"/>
      <c r="AG209" s="14"/>
      <c r="AH209" s="14"/>
      <c r="AI209" s="14"/>
      <c r="AZ209" s="24"/>
    </row>
    <row r="210">
      <c r="A210" s="242"/>
      <c r="B210" s="243"/>
      <c r="C210" s="251" t="s">
        <v>110</v>
      </c>
      <c r="D210" s="251">
        <v>60.0</v>
      </c>
      <c r="E210" s="252" t="s">
        <v>293</v>
      </c>
      <c r="F210" s="253"/>
      <c r="G210" s="254" t="s">
        <v>294</v>
      </c>
      <c r="H210" s="255"/>
      <c r="I210" s="256"/>
      <c r="J210" s="249" t="s">
        <v>214</v>
      </c>
      <c r="K210" s="253">
        <v>60.0</v>
      </c>
      <c r="L210" s="264" t="s">
        <v>295</v>
      </c>
      <c r="M210" s="257" t="s">
        <v>223</v>
      </c>
      <c r="N210" s="258"/>
      <c r="O210" s="258"/>
      <c r="P210" s="258"/>
      <c r="Q210" s="259"/>
      <c r="R210" s="259"/>
      <c r="S210" s="259"/>
      <c r="T210" s="259"/>
      <c r="U210" s="259"/>
      <c r="V210" s="259"/>
      <c r="W210" s="260"/>
      <c r="X210" s="261" t="s">
        <v>236</v>
      </c>
      <c r="Y210" s="261">
        <v>80.0</v>
      </c>
      <c r="Z210" s="262" t="s">
        <v>296</v>
      </c>
      <c r="AA210" s="263" t="s">
        <v>1</v>
      </c>
      <c r="AB210" s="258"/>
      <c r="AC210" s="13"/>
      <c r="AD210" s="13"/>
      <c r="AE210" s="37"/>
      <c r="AF210" s="37"/>
      <c r="AG210" s="14"/>
      <c r="AH210" s="14"/>
      <c r="AI210" s="14"/>
      <c r="AZ210" s="24"/>
    </row>
    <row r="211">
      <c r="A211" s="242"/>
      <c r="B211" s="243"/>
      <c r="C211" s="251" t="s">
        <v>165</v>
      </c>
      <c r="D211" s="251">
        <v>70.0</v>
      </c>
      <c r="E211" s="252" t="s">
        <v>297</v>
      </c>
      <c r="F211" s="253"/>
      <c r="G211" s="254" t="s">
        <v>298</v>
      </c>
      <c r="H211" s="255"/>
      <c r="I211" s="256"/>
      <c r="J211" s="249" t="s">
        <v>113</v>
      </c>
      <c r="K211" s="253">
        <v>10.0</v>
      </c>
      <c r="L211" s="264" t="s">
        <v>299</v>
      </c>
      <c r="M211" s="257" t="s">
        <v>228</v>
      </c>
      <c r="N211" s="258"/>
      <c r="O211" s="258"/>
      <c r="P211" s="258"/>
      <c r="Q211" s="259"/>
      <c r="R211" s="259"/>
      <c r="S211" s="259"/>
      <c r="T211" s="259"/>
      <c r="U211" s="259"/>
      <c r="V211" s="259"/>
      <c r="W211" s="260"/>
      <c r="X211" s="261" t="s">
        <v>127</v>
      </c>
      <c r="Y211" s="261" t="s">
        <v>256</v>
      </c>
      <c r="Z211" s="262" t="s">
        <v>300</v>
      </c>
      <c r="AA211" s="263" t="s">
        <v>301</v>
      </c>
      <c r="AB211" s="258"/>
      <c r="AC211" s="13"/>
      <c r="AD211" s="13"/>
      <c r="AE211" s="37"/>
      <c r="AF211" s="37"/>
      <c r="AG211" s="14"/>
      <c r="AH211" s="14"/>
      <c r="AI211" s="14"/>
      <c r="AZ211" s="24"/>
    </row>
    <row r="212">
      <c r="B212" s="24"/>
      <c r="E212" s="113"/>
      <c r="F212" s="266"/>
      <c r="G212" s="289"/>
      <c r="H212" s="128"/>
      <c r="I212" s="128"/>
      <c r="J212" s="128"/>
      <c r="K212" s="265"/>
      <c r="L212" s="117"/>
      <c r="M212" s="128"/>
      <c r="N212" s="117"/>
      <c r="R212" s="117"/>
      <c r="T212" s="117"/>
      <c r="V212" s="117"/>
      <c r="Y212" s="314"/>
      <c r="Z212" s="315"/>
      <c r="AA212" s="36"/>
      <c r="AB212" s="36"/>
      <c r="AC212" s="13"/>
      <c r="AD212" s="13"/>
      <c r="AE212" s="37"/>
      <c r="AF212" s="37"/>
      <c r="AG212" s="14"/>
      <c r="AH212" s="14"/>
      <c r="AI212" s="14"/>
      <c r="AZ212" s="24"/>
    </row>
    <row r="213">
      <c r="B213" s="24"/>
      <c r="E213" s="113"/>
      <c r="F213" s="266"/>
      <c r="G213" s="289"/>
      <c r="H213" s="128"/>
      <c r="I213" s="128"/>
      <c r="J213" s="128"/>
      <c r="K213" s="265"/>
      <c r="L213" s="117"/>
      <c r="M213" s="128"/>
      <c r="N213" s="117"/>
      <c r="R213" s="117"/>
      <c r="T213" s="117"/>
      <c r="V213" s="117"/>
      <c r="X213" s="117"/>
      <c r="Y213" s="127"/>
      <c r="Z213" s="11"/>
      <c r="AA213" s="36"/>
      <c r="AB213" s="36"/>
      <c r="AC213" s="13"/>
      <c r="AD213" s="13"/>
      <c r="AE213" s="37"/>
      <c r="AF213" s="37"/>
      <c r="AG213" s="14"/>
      <c r="AH213" s="14"/>
      <c r="AI213" s="14"/>
      <c r="AZ213" s="24"/>
    </row>
    <row r="214">
      <c r="B214" s="24"/>
      <c r="E214" s="113"/>
      <c r="F214" s="266"/>
      <c r="G214" s="289"/>
      <c r="H214" s="128"/>
      <c r="I214" s="128"/>
      <c r="J214" s="128"/>
      <c r="K214" s="265"/>
      <c r="L214" s="117"/>
      <c r="M214" s="128"/>
      <c r="N214" s="117"/>
      <c r="R214" s="117"/>
      <c r="T214" s="117"/>
      <c r="V214" s="117"/>
      <c r="X214" s="117"/>
      <c r="Y214" s="10"/>
      <c r="Z214" s="11"/>
      <c r="AA214" s="36"/>
      <c r="AB214" s="36"/>
      <c r="AC214" s="13"/>
      <c r="AD214" s="13"/>
      <c r="AE214" s="37"/>
      <c r="AF214" s="37"/>
      <c r="AG214" s="14"/>
      <c r="AH214" s="14"/>
      <c r="AI214" s="14"/>
      <c r="AZ214" s="24"/>
    </row>
    <row r="215">
      <c r="B215" s="24"/>
      <c r="E215" s="113"/>
      <c r="F215" s="266"/>
      <c r="G215" s="289"/>
      <c r="H215" s="128"/>
      <c r="I215" s="128"/>
      <c r="J215" s="128"/>
      <c r="K215" s="265"/>
      <c r="L215" s="117"/>
      <c r="M215" s="128"/>
      <c r="N215" s="117"/>
      <c r="R215" s="117"/>
      <c r="T215" s="117"/>
      <c r="V215" s="117"/>
      <c r="X215" s="117"/>
      <c r="Y215" s="10"/>
      <c r="Z215" s="11"/>
      <c r="AA215" s="36"/>
      <c r="AB215" s="36"/>
      <c r="AC215" s="13"/>
      <c r="AD215" s="13"/>
      <c r="AE215" s="37"/>
      <c r="AF215" s="37"/>
      <c r="AG215" s="14"/>
      <c r="AH215" s="14"/>
      <c r="AI215" s="14"/>
      <c r="AZ215" s="24"/>
    </row>
    <row r="216">
      <c r="B216" s="24"/>
      <c r="E216" s="113"/>
      <c r="F216" s="266"/>
      <c r="G216" s="289"/>
      <c r="H216" s="128"/>
      <c r="I216" s="128"/>
      <c r="J216" s="128"/>
      <c r="K216" s="265"/>
      <c r="L216" s="117"/>
      <c r="M216" s="128"/>
      <c r="N216" s="117"/>
      <c r="R216" s="117"/>
      <c r="T216" s="117"/>
      <c r="V216" s="117"/>
      <c r="X216" s="117"/>
      <c r="Y216" s="10"/>
      <c r="Z216" s="11"/>
      <c r="AA216" s="36"/>
      <c r="AB216" s="36"/>
      <c r="AC216" s="13"/>
      <c r="AD216" s="13"/>
      <c r="AE216" s="37"/>
      <c r="AF216" s="37"/>
      <c r="AG216" s="14"/>
      <c r="AH216" s="14"/>
      <c r="AI216" s="14"/>
      <c r="AZ216" s="24"/>
    </row>
    <row r="217">
      <c r="B217" s="24"/>
      <c r="E217" s="113"/>
      <c r="F217" s="266"/>
      <c r="G217" s="289"/>
      <c r="H217" s="128"/>
      <c r="I217" s="128"/>
      <c r="J217" s="128"/>
      <c r="K217" s="265"/>
      <c r="L217" s="117"/>
      <c r="M217" s="128"/>
      <c r="N217" s="117"/>
      <c r="R217" s="117"/>
      <c r="T217" s="117"/>
      <c r="V217" s="117"/>
      <c r="X217" s="117"/>
      <c r="Y217" s="10"/>
      <c r="Z217" s="11"/>
      <c r="AA217" s="36"/>
      <c r="AB217" s="36"/>
      <c r="AC217" s="13"/>
      <c r="AD217" s="13"/>
      <c r="AE217" s="37"/>
      <c r="AF217" s="37"/>
      <c r="AG217" s="14"/>
      <c r="AH217" s="14"/>
      <c r="AI217" s="14"/>
      <c r="AZ217" s="24"/>
    </row>
    <row r="218">
      <c r="B218" s="24"/>
      <c r="E218" s="113"/>
      <c r="F218" s="266"/>
      <c r="G218" s="289"/>
      <c r="H218" s="128"/>
      <c r="I218" s="128"/>
      <c r="J218" s="128"/>
      <c r="K218" s="265"/>
      <c r="L218" s="117"/>
      <c r="M218" s="128"/>
      <c r="N218" s="117"/>
      <c r="R218" s="117"/>
      <c r="T218" s="117"/>
      <c r="V218" s="117"/>
      <c r="X218" s="117"/>
      <c r="Y218" s="10"/>
      <c r="Z218" s="11"/>
      <c r="AA218" s="36"/>
      <c r="AB218" s="36"/>
      <c r="AC218" s="13"/>
      <c r="AD218" s="13"/>
      <c r="AE218" s="37"/>
      <c r="AF218" s="37"/>
      <c r="AG218" s="14"/>
      <c r="AH218" s="14"/>
      <c r="AI218" s="14"/>
      <c r="AZ218" s="24"/>
    </row>
    <row r="219">
      <c r="B219" s="24"/>
      <c r="E219" s="113"/>
      <c r="F219" s="266"/>
      <c r="G219" s="113"/>
      <c r="K219" s="36"/>
      <c r="L219" s="117"/>
      <c r="M219" s="128"/>
      <c r="N219" s="117"/>
      <c r="R219" s="117"/>
      <c r="T219" s="117"/>
      <c r="V219" s="117"/>
      <c r="X219" s="117"/>
      <c r="Y219" s="10"/>
      <c r="Z219" s="11"/>
      <c r="AA219" s="36"/>
      <c r="AB219" s="36"/>
      <c r="AC219" s="13"/>
      <c r="AD219" s="13"/>
      <c r="AE219" s="37"/>
      <c r="AF219" s="37"/>
      <c r="AG219" s="14"/>
      <c r="AH219" s="14"/>
      <c r="AI219" s="14"/>
      <c r="AZ219" s="24"/>
    </row>
    <row r="220">
      <c r="B220" s="24"/>
      <c r="E220" s="113"/>
      <c r="F220" s="266"/>
      <c r="G220" s="113"/>
      <c r="K220" s="36"/>
      <c r="L220" s="117"/>
      <c r="M220" s="128"/>
      <c r="N220" s="117"/>
      <c r="R220" s="117"/>
      <c r="T220" s="117"/>
      <c r="V220" s="117"/>
      <c r="X220" s="117"/>
      <c r="Y220" s="10"/>
      <c r="Z220" s="11"/>
      <c r="AA220" s="36"/>
      <c r="AB220" s="36"/>
      <c r="AC220" s="13"/>
      <c r="AD220" s="13"/>
      <c r="AE220" s="37"/>
      <c r="AF220" s="37"/>
      <c r="AG220" s="14"/>
      <c r="AH220" s="14"/>
      <c r="AI220" s="14"/>
      <c r="AZ220" s="24"/>
    </row>
    <row r="221">
      <c r="B221" s="24"/>
      <c r="E221" s="113"/>
      <c r="F221" s="266"/>
      <c r="G221" s="113"/>
      <c r="K221" s="36"/>
      <c r="L221" s="117"/>
      <c r="M221" s="128"/>
      <c r="N221" s="117"/>
      <c r="R221" s="117"/>
      <c r="T221" s="117"/>
      <c r="V221" s="117"/>
      <c r="X221" s="117"/>
      <c r="Y221" s="10"/>
      <c r="Z221" s="11"/>
      <c r="AA221" s="36"/>
      <c r="AB221" s="36"/>
      <c r="AC221" s="13"/>
      <c r="AD221" s="13"/>
      <c r="AE221" s="37"/>
      <c r="AF221" s="37"/>
      <c r="AG221" s="14"/>
      <c r="AH221" s="14"/>
      <c r="AI221" s="14"/>
      <c r="AZ221" s="24"/>
    </row>
    <row r="222">
      <c r="B222" s="24"/>
      <c r="E222" s="113"/>
      <c r="F222" s="266"/>
      <c r="G222" s="113"/>
      <c r="K222" s="36"/>
      <c r="L222" s="117"/>
      <c r="M222" s="128"/>
      <c r="N222" s="117"/>
      <c r="R222" s="117"/>
      <c r="T222" s="117"/>
      <c r="V222" s="117"/>
      <c r="X222" s="117"/>
      <c r="Y222" s="10"/>
      <c r="Z222" s="11"/>
      <c r="AA222" s="36"/>
      <c r="AB222" s="36"/>
      <c r="AC222" s="13"/>
      <c r="AD222" s="13"/>
      <c r="AE222" s="37"/>
      <c r="AF222" s="37"/>
      <c r="AG222" s="14"/>
      <c r="AH222" s="14"/>
      <c r="AI222" s="14"/>
      <c r="AZ222" s="24"/>
    </row>
    <row r="223">
      <c r="B223" s="24"/>
      <c r="E223" s="113"/>
      <c r="F223" s="266"/>
      <c r="G223" s="113"/>
      <c r="K223" s="36"/>
      <c r="L223" s="117"/>
      <c r="M223" s="128"/>
      <c r="N223" s="117"/>
      <c r="R223" s="117"/>
      <c r="T223" s="117"/>
      <c r="V223" s="117"/>
      <c r="X223" s="117"/>
      <c r="Y223" s="10"/>
      <c r="Z223" s="11"/>
      <c r="AA223" s="36"/>
      <c r="AB223" s="36"/>
      <c r="AC223" s="13"/>
      <c r="AD223" s="13"/>
      <c r="AE223" s="37"/>
      <c r="AF223" s="37"/>
      <c r="AG223" s="14"/>
      <c r="AH223" s="14"/>
      <c r="AI223" s="14"/>
      <c r="AZ223" s="24"/>
    </row>
    <row r="224">
      <c r="B224" s="24"/>
      <c r="E224" s="113"/>
      <c r="F224" s="266"/>
      <c r="G224" s="113"/>
      <c r="K224" s="36"/>
      <c r="L224" s="117"/>
      <c r="M224" s="128"/>
      <c r="N224" s="117"/>
      <c r="R224" s="117"/>
      <c r="T224" s="117"/>
      <c r="V224" s="117"/>
      <c r="X224" s="117"/>
      <c r="Y224" s="10"/>
      <c r="Z224" s="11"/>
      <c r="AA224" s="36"/>
      <c r="AB224" s="36"/>
      <c r="AC224" s="13"/>
      <c r="AD224" s="13"/>
      <c r="AE224" s="37"/>
      <c r="AF224" s="37"/>
      <c r="AG224" s="14"/>
      <c r="AH224" s="14"/>
      <c r="AI224" s="14"/>
      <c r="AZ224" s="24"/>
    </row>
    <row r="225">
      <c r="B225" s="24"/>
      <c r="E225" s="113"/>
      <c r="F225" s="266"/>
      <c r="G225" s="113"/>
      <c r="K225" s="36"/>
      <c r="L225" s="117"/>
      <c r="M225" s="128"/>
      <c r="N225" s="117"/>
      <c r="R225" s="117"/>
      <c r="T225" s="117"/>
      <c r="V225" s="117"/>
      <c r="X225" s="117"/>
      <c r="Y225" s="10"/>
      <c r="Z225" s="11"/>
      <c r="AA225" s="36"/>
      <c r="AB225" s="36"/>
      <c r="AC225" s="13"/>
      <c r="AD225" s="13"/>
      <c r="AE225" s="37"/>
      <c r="AF225" s="37"/>
      <c r="AG225" s="14"/>
      <c r="AH225" s="14"/>
      <c r="AI225" s="14"/>
      <c r="AZ225" s="24"/>
    </row>
    <row r="226">
      <c r="B226" s="24"/>
      <c r="E226" s="113"/>
      <c r="F226" s="266"/>
      <c r="G226" s="113"/>
      <c r="K226" s="36"/>
      <c r="L226" s="117"/>
      <c r="M226" s="128"/>
      <c r="N226" s="117"/>
      <c r="R226" s="117"/>
      <c r="T226" s="117"/>
      <c r="V226" s="117"/>
      <c r="X226" s="117"/>
      <c r="Y226" s="10"/>
      <c r="Z226" s="11"/>
      <c r="AA226" s="36"/>
      <c r="AB226" s="36"/>
      <c r="AC226" s="13"/>
      <c r="AD226" s="13"/>
      <c r="AE226" s="37"/>
      <c r="AF226" s="37"/>
      <c r="AG226" s="14"/>
      <c r="AH226" s="14"/>
      <c r="AI226" s="14"/>
      <c r="AZ226" s="24"/>
    </row>
    <row r="227">
      <c r="B227" s="24"/>
      <c r="E227" s="113"/>
      <c r="F227" s="266"/>
      <c r="G227" s="113"/>
      <c r="K227" s="36"/>
      <c r="L227" s="117"/>
      <c r="M227" s="128"/>
      <c r="N227" s="117"/>
      <c r="R227" s="117"/>
      <c r="T227" s="117"/>
      <c r="V227" s="117"/>
      <c r="X227" s="117"/>
      <c r="Y227" s="10"/>
      <c r="Z227" s="11"/>
      <c r="AA227" s="36"/>
      <c r="AB227" s="36"/>
      <c r="AC227" s="13"/>
      <c r="AD227" s="13"/>
      <c r="AE227" s="37"/>
      <c r="AF227" s="37"/>
      <c r="AG227" s="14"/>
      <c r="AH227" s="14"/>
      <c r="AI227" s="14"/>
      <c r="AZ227" s="24"/>
    </row>
    <row r="228">
      <c r="B228" s="24"/>
      <c r="E228" s="113"/>
      <c r="F228" s="266"/>
      <c r="G228" s="113"/>
      <c r="K228" s="36"/>
      <c r="L228" s="117"/>
      <c r="M228" s="128"/>
      <c r="N228" s="117"/>
      <c r="R228" s="117"/>
      <c r="T228" s="117"/>
      <c r="V228" s="117"/>
      <c r="X228" s="117"/>
      <c r="Y228" s="10"/>
      <c r="Z228" s="11"/>
      <c r="AA228" s="36"/>
      <c r="AB228" s="36"/>
      <c r="AC228" s="13"/>
      <c r="AD228" s="13"/>
      <c r="AE228" s="37"/>
      <c r="AF228" s="37"/>
      <c r="AG228" s="14"/>
      <c r="AH228" s="14"/>
      <c r="AI228" s="14"/>
      <c r="AZ228" s="24"/>
    </row>
    <row r="229">
      <c r="B229" s="24"/>
      <c r="E229" s="113"/>
      <c r="F229" s="266"/>
      <c r="G229" s="113"/>
      <c r="K229" s="36"/>
      <c r="L229" s="117"/>
      <c r="M229" s="128"/>
      <c r="N229" s="117"/>
      <c r="R229" s="117"/>
      <c r="T229" s="117"/>
      <c r="V229" s="117"/>
      <c r="X229" s="117"/>
      <c r="Y229" s="10"/>
      <c r="Z229" s="11"/>
      <c r="AA229" s="36"/>
      <c r="AB229" s="36"/>
      <c r="AC229" s="13"/>
      <c r="AD229" s="13"/>
      <c r="AE229" s="37"/>
      <c r="AF229" s="37"/>
      <c r="AG229" s="14"/>
      <c r="AH229" s="14"/>
      <c r="AI229" s="14"/>
      <c r="AZ229" s="24"/>
    </row>
    <row r="230">
      <c r="B230" s="24"/>
      <c r="E230" s="113"/>
      <c r="F230" s="266"/>
      <c r="G230" s="113"/>
      <c r="K230" s="36"/>
      <c r="L230" s="117"/>
      <c r="M230" s="128"/>
      <c r="N230" s="117"/>
      <c r="R230" s="117"/>
      <c r="T230" s="117"/>
      <c r="V230" s="117"/>
      <c r="X230" s="117"/>
      <c r="Y230" s="10"/>
      <c r="Z230" s="11"/>
      <c r="AA230" s="36"/>
      <c r="AB230" s="36"/>
      <c r="AC230" s="13"/>
      <c r="AD230" s="13"/>
      <c r="AE230" s="37"/>
      <c r="AF230" s="37"/>
      <c r="AG230" s="14"/>
      <c r="AH230" s="14"/>
      <c r="AI230" s="14"/>
      <c r="AZ230" s="24"/>
    </row>
    <row r="231">
      <c r="B231" s="24"/>
      <c r="E231" s="113"/>
      <c r="F231" s="266"/>
      <c r="G231" s="113"/>
      <c r="K231" s="36"/>
      <c r="L231" s="117"/>
      <c r="M231" s="128"/>
      <c r="N231" s="117"/>
      <c r="R231" s="117"/>
      <c r="T231" s="117"/>
      <c r="V231" s="117"/>
      <c r="X231" s="117"/>
      <c r="Y231" s="10"/>
      <c r="Z231" s="11"/>
      <c r="AA231" s="36"/>
      <c r="AB231" s="36"/>
      <c r="AC231" s="13"/>
      <c r="AD231" s="13"/>
      <c r="AE231" s="37"/>
      <c r="AF231" s="37"/>
      <c r="AG231" s="14"/>
      <c r="AH231" s="14"/>
      <c r="AI231" s="14"/>
      <c r="AZ231" s="24"/>
    </row>
    <row r="232">
      <c r="B232" s="24"/>
      <c r="E232" s="113"/>
      <c r="F232" s="266"/>
      <c r="G232" s="113"/>
      <c r="K232" s="36"/>
      <c r="L232" s="117"/>
      <c r="M232" s="128"/>
      <c r="N232" s="117"/>
      <c r="R232" s="117"/>
      <c r="T232" s="117"/>
      <c r="V232" s="117"/>
      <c r="X232" s="117"/>
      <c r="Y232" s="10"/>
      <c r="Z232" s="11"/>
      <c r="AA232" s="36"/>
      <c r="AB232" s="36"/>
      <c r="AC232" s="13"/>
      <c r="AD232" s="13"/>
      <c r="AE232" s="37"/>
      <c r="AF232" s="37"/>
      <c r="AG232" s="14"/>
      <c r="AH232" s="14"/>
      <c r="AI232" s="14"/>
      <c r="AZ232" s="24"/>
    </row>
    <row r="233">
      <c r="B233" s="24"/>
      <c r="E233" s="113"/>
      <c r="F233" s="266"/>
      <c r="G233" s="113"/>
      <c r="K233" s="36"/>
      <c r="L233" s="117"/>
      <c r="M233" s="128"/>
      <c r="N233" s="117"/>
      <c r="R233" s="117"/>
      <c r="T233" s="117"/>
      <c r="V233" s="117"/>
      <c r="X233" s="117"/>
      <c r="Y233" s="10"/>
      <c r="Z233" s="11"/>
      <c r="AA233" s="36"/>
      <c r="AB233" s="36"/>
      <c r="AC233" s="13"/>
      <c r="AD233" s="13"/>
      <c r="AE233" s="37"/>
      <c r="AF233" s="37"/>
      <c r="AG233" s="14"/>
      <c r="AH233" s="14"/>
      <c r="AI233" s="14"/>
      <c r="AZ233" s="24"/>
    </row>
    <row r="234">
      <c r="B234" s="24"/>
      <c r="E234" s="113"/>
      <c r="F234" s="266"/>
      <c r="G234" s="113"/>
      <c r="K234" s="36"/>
      <c r="L234" s="117"/>
      <c r="M234" s="128"/>
      <c r="N234" s="117"/>
      <c r="R234" s="117"/>
      <c r="T234" s="117"/>
      <c r="V234" s="117"/>
      <c r="X234" s="117"/>
      <c r="Y234" s="10"/>
      <c r="Z234" s="11"/>
      <c r="AA234" s="36"/>
      <c r="AB234" s="36"/>
      <c r="AC234" s="13"/>
      <c r="AD234" s="13"/>
      <c r="AE234" s="37"/>
      <c r="AF234" s="37"/>
      <c r="AG234" s="14"/>
      <c r="AH234" s="14"/>
      <c r="AI234" s="14"/>
      <c r="AZ234" s="24"/>
    </row>
    <row r="235">
      <c r="B235" s="24"/>
      <c r="E235" s="113"/>
      <c r="F235" s="266"/>
      <c r="G235" s="113"/>
      <c r="K235" s="36"/>
      <c r="L235" s="117"/>
      <c r="M235" s="128"/>
      <c r="N235" s="117"/>
      <c r="R235" s="117"/>
      <c r="T235" s="117"/>
      <c r="V235" s="117"/>
      <c r="X235" s="117"/>
      <c r="Y235" s="10"/>
      <c r="Z235" s="11"/>
      <c r="AA235" s="36"/>
      <c r="AB235" s="36"/>
      <c r="AC235" s="13"/>
      <c r="AD235" s="13"/>
      <c r="AE235" s="37"/>
      <c r="AF235" s="37"/>
      <c r="AG235" s="14"/>
      <c r="AH235" s="14"/>
      <c r="AI235" s="14"/>
      <c r="AZ235" s="24"/>
    </row>
    <row r="236">
      <c r="B236" s="24"/>
      <c r="E236" s="113"/>
      <c r="F236" s="266"/>
      <c r="G236" s="113"/>
      <c r="K236" s="36"/>
      <c r="L236" s="117"/>
      <c r="M236" s="128"/>
      <c r="N236" s="117"/>
      <c r="R236" s="117"/>
      <c r="T236" s="117"/>
      <c r="V236" s="117"/>
      <c r="X236" s="117"/>
      <c r="Y236" s="10"/>
      <c r="Z236" s="11"/>
      <c r="AA236" s="36"/>
      <c r="AB236" s="36"/>
      <c r="AC236" s="13"/>
      <c r="AD236" s="13"/>
      <c r="AE236" s="37"/>
      <c r="AF236" s="37"/>
      <c r="AG236" s="14"/>
      <c r="AH236" s="14"/>
      <c r="AI236" s="14"/>
      <c r="AZ236" s="24"/>
    </row>
    <row r="237">
      <c r="B237" s="24"/>
      <c r="E237" s="113"/>
      <c r="F237" s="266"/>
      <c r="G237" s="113"/>
      <c r="K237" s="36"/>
      <c r="L237" s="117"/>
      <c r="M237" s="128"/>
      <c r="N237" s="117"/>
      <c r="R237" s="117"/>
      <c r="T237" s="117"/>
      <c r="V237" s="117"/>
      <c r="X237" s="117"/>
      <c r="Y237" s="10"/>
      <c r="Z237" s="11"/>
      <c r="AA237" s="36"/>
      <c r="AB237" s="36"/>
      <c r="AC237" s="13"/>
      <c r="AD237" s="13"/>
      <c r="AE237" s="37"/>
      <c r="AF237" s="37"/>
      <c r="AG237" s="14"/>
      <c r="AH237" s="14"/>
      <c r="AI237" s="14"/>
      <c r="AZ237" s="24"/>
    </row>
    <row r="238">
      <c r="B238" s="24"/>
      <c r="E238" s="113"/>
      <c r="F238" s="266"/>
      <c r="G238" s="113"/>
      <c r="K238" s="36"/>
      <c r="L238" s="117"/>
      <c r="M238" s="128"/>
      <c r="N238" s="117"/>
      <c r="R238" s="117"/>
      <c r="T238" s="117"/>
      <c r="V238" s="117"/>
      <c r="X238" s="117"/>
      <c r="Y238" s="10"/>
      <c r="Z238" s="11"/>
      <c r="AA238" s="36"/>
      <c r="AB238" s="36"/>
      <c r="AC238" s="13"/>
      <c r="AD238" s="13"/>
      <c r="AE238" s="37"/>
      <c r="AF238" s="37"/>
      <c r="AG238" s="14"/>
      <c r="AH238" s="14"/>
      <c r="AI238" s="14"/>
      <c r="AZ238" s="24"/>
    </row>
    <row r="239">
      <c r="B239" s="24"/>
      <c r="E239" s="113"/>
      <c r="F239" s="266"/>
      <c r="G239" s="113"/>
      <c r="K239" s="36"/>
      <c r="L239" s="117"/>
      <c r="M239" s="128"/>
      <c r="N239" s="117"/>
      <c r="R239" s="117"/>
      <c r="T239" s="117"/>
      <c r="V239" s="117"/>
      <c r="X239" s="117"/>
      <c r="Y239" s="10"/>
      <c r="Z239" s="11"/>
      <c r="AA239" s="36"/>
      <c r="AB239" s="36"/>
      <c r="AC239" s="13"/>
      <c r="AD239" s="13"/>
      <c r="AE239" s="37"/>
      <c r="AF239" s="37"/>
      <c r="AG239" s="14"/>
      <c r="AH239" s="14"/>
      <c r="AI239" s="14"/>
      <c r="AZ239" s="24"/>
    </row>
    <row r="240">
      <c r="B240" s="24"/>
      <c r="E240" s="113"/>
      <c r="F240" s="266"/>
      <c r="G240" s="113"/>
      <c r="K240" s="36"/>
      <c r="L240" s="117"/>
      <c r="M240" s="128"/>
      <c r="N240" s="117"/>
      <c r="R240" s="117"/>
      <c r="T240" s="117"/>
      <c r="V240" s="117"/>
      <c r="X240" s="117"/>
      <c r="Y240" s="10"/>
      <c r="Z240" s="11"/>
      <c r="AA240" s="36"/>
      <c r="AB240" s="36"/>
      <c r="AC240" s="13"/>
      <c r="AD240" s="13"/>
      <c r="AE240" s="37"/>
      <c r="AF240" s="37"/>
      <c r="AG240" s="14"/>
      <c r="AH240" s="14"/>
      <c r="AI240" s="14"/>
      <c r="AZ240" s="24"/>
    </row>
    <row r="241">
      <c r="B241" s="24"/>
      <c r="E241" s="113"/>
      <c r="F241" s="266"/>
      <c r="G241" s="113"/>
      <c r="K241" s="36"/>
      <c r="L241" s="117"/>
      <c r="M241" s="128"/>
      <c r="N241" s="117"/>
      <c r="R241" s="117"/>
      <c r="T241" s="117"/>
      <c r="V241" s="117"/>
      <c r="X241" s="117"/>
      <c r="Y241" s="10"/>
      <c r="Z241" s="11"/>
      <c r="AA241" s="36"/>
      <c r="AB241" s="36"/>
      <c r="AC241" s="13"/>
      <c r="AD241" s="13"/>
      <c r="AE241" s="37"/>
      <c r="AF241" s="37"/>
      <c r="AG241" s="14"/>
      <c r="AH241" s="14"/>
      <c r="AI241" s="14"/>
      <c r="AZ241" s="24"/>
    </row>
    <row r="242">
      <c r="B242" s="24"/>
      <c r="E242" s="113"/>
      <c r="F242" s="266"/>
      <c r="G242" s="113"/>
      <c r="K242" s="36"/>
      <c r="L242" s="117"/>
      <c r="M242" s="128"/>
      <c r="N242" s="117"/>
      <c r="R242" s="117"/>
      <c r="T242" s="117"/>
      <c r="V242" s="117"/>
      <c r="X242" s="117"/>
      <c r="Y242" s="10"/>
      <c r="Z242" s="11"/>
      <c r="AA242" s="36"/>
      <c r="AB242" s="36"/>
      <c r="AC242" s="13"/>
      <c r="AD242" s="13"/>
      <c r="AE242" s="37"/>
      <c r="AF242" s="37"/>
      <c r="AG242" s="14"/>
      <c r="AH242" s="14"/>
      <c r="AI242" s="14"/>
      <c r="AZ242" s="24"/>
    </row>
    <row r="243">
      <c r="B243" s="24"/>
      <c r="E243" s="113"/>
      <c r="F243" s="266"/>
      <c r="G243" s="113"/>
      <c r="K243" s="36"/>
      <c r="L243" s="117"/>
      <c r="M243" s="128"/>
      <c r="N243" s="117"/>
      <c r="R243" s="117"/>
      <c r="T243" s="117"/>
      <c r="V243" s="117"/>
      <c r="X243" s="117"/>
      <c r="Y243" s="10"/>
      <c r="Z243" s="11"/>
      <c r="AA243" s="36"/>
      <c r="AB243" s="36"/>
      <c r="AC243" s="13"/>
      <c r="AD243" s="13"/>
      <c r="AE243" s="37"/>
      <c r="AF243" s="37"/>
      <c r="AG243" s="14"/>
      <c r="AH243" s="14"/>
      <c r="AI243" s="14"/>
      <c r="AZ243" s="24"/>
    </row>
    <row r="244">
      <c r="B244" s="24"/>
      <c r="E244" s="113"/>
      <c r="F244" s="266"/>
      <c r="G244" s="113"/>
      <c r="K244" s="36"/>
      <c r="L244" s="117"/>
      <c r="M244" s="128"/>
      <c r="N244" s="117"/>
      <c r="R244" s="117"/>
      <c r="T244" s="117"/>
      <c r="V244" s="117"/>
      <c r="X244" s="117"/>
      <c r="Y244" s="10"/>
      <c r="Z244" s="11"/>
      <c r="AA244" s="36"/>
      <c r="AB244" s="36"/>
      <c r="AC244" s="13"/>
      <c r="AD244" s="13"/>
      <c r="AE244" s="37"/>
      <c r="AF244" s="37"/>
      <c r="AG244" s="14"/>
      <c r="AH244" s="14"/>
      <c r="AI244" s="14"/>
      <c r="AZ244" s="24"/>
    </row>
    <row r="245">
      <c r="B245" s="24"/>
      <c r="E245" s="113"/>
      <c r="F245" s="266"/>
      <c r="G245" s="113"/>
      <c r="K245" s="36"/>
      <c r="L245" s="117"/>
      <c r="M245" s="128"/>
      <c r="N245" s="117"/>
      <c r="R245" s="117"/>
      <c r="T245" s="117"/>
      <c r="V245" s="117"/>
      <c r="X245" s="117"/>
      <c r="Y245" s="10"/>
      <c r="Z245" s="11"/>
      <c r="AA245" s="36"/>
      <c r="AB245" s="36"/>
      <c r="AC245" s="13"/>
      <c r="AD245" s="13"/>
      <c r="AE245" s="37"/>
      <c r="AF245" s="37"/>
      <c r="AG245" s="14"/>
      <c r="AH245" s="14"/>
      <c r="AI245" s="14"/>
      <c r="AZ245" s="24"/>
    </row>
    <row r="246">
      <c r="B246" s="24"/>
      <c r="E246" s="113"/>
      <c r="F246" s="266"/>
      <c r="G246" s="113"/>
      <c r="K246" s="36"/>
      <c r="L246" s="117"/>
      <c r="M246" s="128"/>
      <c r="N246" s="117"/>
      <c r="R246" s="117"/>
      <c r="T246" s="117"/>
      <c r="V246" s="117"/>
      <c r="X246" s="117"/>
      <c r="Y246" s="10"/>
      <c r="Z246" s="11"/>
      <c r="AA246" s="36"/>
      <c r="AB246" s="36"/>
      <c r="AC246" s="13"/>
      <c r="AD246" s="13"/>
      <c r="AE246" s="37"/>
      <c r="AF246" s="37"/>
      <c r="AG246" s="14"/>
      <c r="AH246" s="14"/>
      <c r="AI246" s="14"/>
      <c r="AZ246" s="24"/>
    </row>
    <row r="247">
      <c r="B247" s="24"/>
      <c r="E247" s="113"/>
      <c r="F247" s="266"/>
      <c r="G247" s="113"/>
      <c r="K247" s="36"/>
      <c r="L247" s="117"/>
      <c r="M247" s="128"/>
      <c r="N247" s="117"/>
      <c r="R247" s="117"/>
      <c r="T247" s="117"/>
      <c r="V247" s="117"/>
      <c r="X247" s="117"/>
      <c r="Y247" s="10"/>
      <c r="Z247" s="11"/>
      <c r="AA247" s="36"/>
      <c r="AB247" s="36"/>
      <c r="AC247" s="13"/>
      <c r="AD247" s="13"/>
      <c r="AE247" s="37"/>
      <c r="AF247" s="37"/>
      <c r="AG247" s="14"/>
      <c r="AH247" s="14"/>
      <c r="AI247" s="14"/>
      <c r="AZ247" s="24"/>
    </row>
    <row r="248">
      <c r="B248" s="24"/>
      <c r="E248" s="113"/>
      <c r="F248" s="266"/>
      <c r="G248" s="113"/>
      <c r="K248" s="36"/>
      <c r="L248" s="117"/>
      <c r="M248" s="128"/>
      <c r="N248" s="117"/>
      <c r="R248" s="117"/>
      <c r="T248" s="117"/>
      <c r="V248" s="117"/>
      <c r="X248" s="117"/>
      <c r="Y248" s="10"/>
      <c r="Z248" s="11"/>
      <c r="AA248" s="36"/>
      <c r="AB248" s="36"/>
      <c r="AC248" s="13"/>
      <c r="AD248" s="13"/>
      <c r="AE248" s="37"/>
      <c r="AF248" s="37"/>
      <c r="AG248" s="14"/>
      <c r="AH248" s="14"/>
      <c r="AI248" s="14"/>
      <c r="AZ248" s="24"/>
    </row>
    <row r="249">
      <c r="B249" s="24"/>
      <c r="E249" s="113"/>
      <c r="F249" s="266"/>
      <c r="G249" s="113"/>
      <c r="K249" s="36"/>
      <c r="L249" s="117"/>
      <c r="M249" s="128"/>
      <c r="N249" s="117"/>
      <c r="R249" s="117"/>
      <c r="T249" s="117"/>
      <c r="V249" s="117"/>
      <c r="X249" s="117"/>
      <c r="Y249" s="10"/>
      <c r="Z249" s="11"/>
      <c r="AA249" s="36"/>
      <c r="AB249" s="36"/>
      <c r="AC249" s="13"/>
      <c r="AD249" s="13"/>
      <c r="AE249" s="37"/>
      <c r="AF249" s="37"/>
      <c r="AG249" s="14"/>
      <c r="AH249" s="14"/>
      <c r="AI249" s="14"/>
      <c r="AZ249" s="24"/>
    </row>
    <row r="250">
      <c r="B250" s="24"/>
      <c r="E250" s="113"/>
      <c r="F250" s="266"/>
      <c r="G250" s="113"/>
      <c r="K250" s="36"/>
      <c r="L250" s="117"/>
      <c r="M250" s="128"/>
      <c r="N250" s="117"/>
      <c r="R250" s="117"/>
      <c r="T250" s="117"/>
      <c r="V250" s="117"/>
      <c r="X250" s="117"/>
      <c r="Y250" s="10"/>
      <c r="Z250" s="11"/>
      <c r="AA250" s="36"/>
      <c r="AB250" s="36"/>
      <c r="AC250" s="13"/>
      <c r="AD250" s="13"/>
      <c r="AE250" s="37"/>
      <c r="AF250" s="37"/>
      <c r="AG250" s="14"/>
      <c r="AH250" s="14"/>
      <c r="AI250" s="14"/>
      <c r="AZ250" s="24"/>
    </row>
    <row r="251">
      <c r="B251" s="24"/>
      <c r="E251" s="113"/>
      <c r="F251" s="266"/>
      <c r="G251" s="113"/>
      <c r="K251" s="36"/>
      <c r="L251" s="117"/>
      <c r="M251" s="128"/>
      <c r="N251" s="117"/>
      <c r="R251" s="117"/>
      <c r="T251" s="117"/>
      <c r="V251" s="117"/>
      <c r="X251" s="117"/>
      <c r="Y251" s="10"/>
      <c r="Z251" s="11"/>
      <c r="AA251" s="36"/>
      <c r="AB251" s="36"/>
      <c r="AC251" s="13"/>
      <c r="AD251" s="13"/>
      <c r="AE251" s="37"/>
      <c r="AF251" s="37"/>
      <c r="AG251" s="14"/>
      <c r="AH251" s="14"/>
      <c r="AI251" s="14"/>
      <c r="AZ251" s="24"/>
    </row>
    <row r="252">
      <c r="B252" s="24"/>
      <c r="E252" s="113"/>
      <c r="F252" s="266"/>
      <c r="G252" s="113"/>
      <c r="K252" s="36"/>
      <c r="L252" s="117"/>
      <c r="M252" s="128"/>
      <c r="N252" s="117"/>
      <c r="R252" s="117"/>
      <c r="T252" s="117"/>
      <c r="V252" s="117"/>
      <c r="X252" s="117"/>
      <c r="Y252" s="10"/>
      <c r="Z252" s="11"/>
      <c r="AA252" s="36"/>
      <c r="AB252" s="36"/>
      <c r="AC252" s="13"/>
      <c r="AD252" s="13"/>
      <c r="AE252" s="37"/>
      <c r="AF252" s="37"/>
      <c r="AG252" s="14"/>
      <c r="AH252" s="14"/>
      <c r="AI252" s="14"/>
      <c r="AZ252" s="24"/>
    </row>
    <row r="253">
      <c r="B253" s="24"/>
      <c r="E253" s="113"/>
      <c r="F253" s="266"/>
      <c r="G253" s="113"/>
      <c r="K253" s="36"/>
      <c r="L253" s="117"/>
      <c r="M253" s="128"/>
      <c r="N253" s="117"/>
      <c r="R253" s="117"/>
      <c r="T253" s="117"/>
      <c r="V253" s="117"/>
      <c r="X253" s="117"/>
      <c r="Y253" s="10"/>
      <c r="Z253" s="11"/>
      <c r="AA253" s="36"/>
      <c r="AB253" s="36"/>
      <c r="AC253" s="13"/>
      <c r="AD253" s="13"/>
      <c r="AE253" s="37"/>
      <c r="AF253" s="37"/>
      <c r="AG253" s="14"/>
      <c r="AH253" s="14"/>
      <c r="AI253" s="14"/>
      <c r="AZ253" s="24"/>
    </row>
    <row r="254">
      <c r="B254" s="24"/>
      <c r="E254" s="113"/>
      <c r="F254" s="266"/>
      <c r="G254" s="113"/>
      <c r="K254" s="36"/>
      <c r="L254" s="117"/>
      <c r="M254" s="128"/>
      <c r="N254" s="117"/>
      <c r="R254" s="117"/>
      <c r="T254" s="117"/>
      <c r="V254" s="117"/>
      <c r="X254" s="117"/>
      <c r="Y254" s="10"/>
      <c r="Z254" s="11"/>
      <c r="AA254" s="36"/>
      <c r="AB254" s="36"/>
      <c r="AC254" s="13"/>
      <c r="AD254" s="13"/>
      <c r="AE254" s="37"/>
      <c r="AF254" s="37"/>
      <c r="AG254" s="14"/>
      <c r="AH254" s="14"/>
      <c r="AI254" s="14"/>
      <c r="AZ254" s="24"/>
    </row>
    <row r="255">
      <c r="B255" s="24"/>
      <c r="E255" s="113"/>
      <c r="F255" s="266"/>
      <c r="G255" s="113"/>
      <c r="K255" s="36"/>
      <c r="L255" s="117"/>
      <c r="M255" s="128"/>
      <c r="N255" s="117"/>
      <c r="R255" s="117"/>
      <c r="T255" s="117"/>
      <c r="V255" s="117"/>
      <c r="X255" s="117"/>
      <c r="Y255" s="10"/>
      <c r="Z255" s="11"/>
      <c r="AA255" s="36"/>
      <c r="AB255" s="36"/>
      <c r="AC255" s="13"/>
      <c r="AD255" s="13"/>
      <c r="AE255" s="37"/>
      <c r="AF255" s="37"/>
      <c r="AG255" s="14"/>
      <c r="AH255" s="14"/>
      <c r="AI255" s="14"/>
      <c r="AZ255" s="24"/>
    </row>
    <row r="256">
      <c r="B256" s="24"/>
      <c r="E256" s="113"/>
      <c r="F256" s="266"/>
      <c r="G256" s="113"/>
      <c r="K256" s="36"/>
      <c r="L256" s="117"/>
      <c r="M256" s="128"/>
      <c r="N256" s="117"/>
      <c r="R256" s="117"/>
      <c r="T256" s="117"/>
      <c r="V256" s="117"/>
      <c r="X256" s="117"/>
      <c r="Y256" s="10"/>
      <c r="Z256" s="11"/>
      <c r="AA256" s="36"/>
      <c r="AB256" s="36"/>
      <c r="AC256" s="13"/>
      <c r="AD256" s="13"/>
      <c r="AE256" s="37"/>
      <c r="AF256" s="37"/>
      <c r="AG256" s="14"/>
      <c r="AH256" s="14"/>
      <c r="AI256" s="14"/>
      <c r="AZ256" s="24"/>
    </row>
    <row r="257">
      <c r="B257" s="24"/>
      <c r="E257" s="113"/>
      <c r="F257" s="266"/>
      <c r="G257" s="113"/>
      <c r="K257" s="36"/>
      <c r="L257" s="117"/>
      <c r="M257" s="128"/>
      <c r="N257" s="117"/>
      <c r="R257" s="117"/>
      <c r="T257" s="117"/>
      <c r="V257" s="117"/>
      <c r="X257" s="117"/>
      <c r="Y257" s="10"/>
      <c r="Z257" s="11"/>
      <c r="AA257" s="36"/>
      <c r="AB257" s="36"/>
      <c r="AC257" s="13"/>
      <c r="AD257" s="13"/>
      <c r="AE257" s="37"/>
      <c r="AF257" s="37"/>
      <c r="AG257" s="14"/>
      <c r="AH257" s="14"/>
      <c r="AI257" s="14"/>
      <c r="AZ257" s="24"/>
    </row>
    <row r="258">
      <c r="B258" s="24"/>
      <c r="E258" s="113"/>
      <c r="F258" s="266"/>
      <c r="G258" s="113"/>
      <c r="K258" s="36"/>
      <c r="L258" s="117"/>
      <c r="M258" s="128"/>
      <c r="N258" s="117"/>
      <c r="R258" s="117"/>
      <c r="T258" s="117"/>
      <c r="V258" s="117"/>
      <c r="X258" s="117"/>
      <c r="Y258" s="10"/>
      <c r="Z258" s="11"/>
      <c r="AA258" s="36"/>
      <c r="AB258" s="36"/>
      <c r="AC258" s="13"/>
      <c r="AD258" s="13"/>
      <c r="AE258" s="37"/>
      <c r="AF258" s="37"/>
      <c r="AG258" s="14"/>
      <c r="AH258" s="14"/>
      <c r="AI258" s="14"/>
      <c r="AZ258" s="24"/>
    </row>
    <row r="259">
      <c r="B259" s="24"/>
      <c r="E259" s="113"/>
      <c r="F259" s="266"/>
      <c r="G259" s="113"/>
      <c r="K259" s="36"/>
      <c r="L259" s="117"/>
      <c r="M259" s="128"/>
      <c r="N259" s="117"/>
      <c r="R259" s="117"/>
      <c r="T259" s="117"/>
      <c r="V259" s="117"/>
      <c r="X259" s="117"/>
      <c r="Y259" s="10"/>
      <c r="Z259" s="11"/>
      <c r="AA259" s="36"/>
      <c r="AB259" s="36"/>
      <c r="AC259" s="13"/>
      <c r="AD259" s="13"/>
      <c r="AE259" s="37"/>
      <c r="AF259" s="37"/>
      <c r="AG259" s="14"/>
      <c r="AH259" s="14"/>
      <c r="AI259" s="14"/>
      <c r="AZ259" s="24"/>
    </row>
    <row r="260">
      <c r="B260" s="24"/>
      <c r="E260" s="113"/>
      <c r="F260" s="266"/>
      <c r="G260" s="113"/>
      <c r="K260" s="36"/>
      <c r="L260" s="117"/>
      <c r="M260" s="128"/>
      <c r="N260" s="117"/>
      <c r="R260" s="117"/>
      <c r="T260" s="117"/>
      <c r="V260" s="117"/>
      <c r="X260" s="117"/>
      <c r="Y260" s="10"/>
      <c r="Z260" s="11"/>
      <c r="AA260" s="36"/>
      <c r="AB260" s="36"/>
      <c r="AC260" s="13"/>
      <c r="AD260" s="13"/>
      <c r="AE260" s="37"/>
      <c r="AF260" s="37"/>
      <c r="AG260" s="14"/>
      <c r="AH260" s="14"/>
      <c r="AI260" s="14"/>
      <c r="AZ260" s="24"/>
    </row>
    <row r="261">
      <c r="B261" s="24"/>
      <c r="E261" s="113"/>
      <c r="F261" s="266"/>
      <c r="G261" s="113"/>
      <c r="K261" s="36"/>
      <c r="L261" s="117"/>
      <c r="M261" s="128"/>
      <c r="N261" s="117"/>
      <c r="R261" s="117"/>
      <c r="T261" s="117"/>
      <c r="V261" s="117"/>
      <c r="X261" s="117"/>
      <c r="Y261" s="10"/>
      <c r="Z261" s="11"/>
      <c r="AA261" s="36"/>
      <c r="AB261" s="36"/>
      <c r="AC261" s="13"/>
      <c r="AD261" s="13"/>
      <c r="AE261" s="37"/>
      <c r="AF261" s="37"/>
      <c r="AG261" s="14"/>
      <c r="AH261" s="14"/>
      <c r="AI261" s="14"/>
      <c r="AZ261" s="24"/>
    </row>
    <row r="262">
      <c r="B262" s="24"/>
      <c r="E262" s="113"/>
      <c r="F262" s="266"/>
      <c r="G262" s="113"/>
      <c r="K262" s="36"/>
      <c r="L262" s="117"/>
      <c r="M262" s="128"/>
      <c r="N262" s="117"/>
      <c r="R262" s="117"/>
      <c r="T262" s="117"/>
      <c r="V262" s="117"/>
      <c r="X262" s="117"/>
      <c r="Y262" s="10"/>
      <c r="Z262" s="11"/>
      <c r="AA262" s="36"/>
      <c r="AB262" s="36"/>
      <c r="AC262" s="13"/>
      <c r="AD262" s="13"/>
      <c r="AE262" s="37"/>
      <c r="AF262" s="37"/>
      <c r="AG262" s="14"/>
      <c r="AH262" s="14"/>
      <c r="AI262" s="14"/>
      <c r="AZ262" s="24"/>
    </row>
    <row r="263">
      <c r="B263" s="24"/>
      <c r="E263" s="113"/>
      <c r="F263" s="266"/>
      <c r="G263" s="113"/>
      <c r="K263" s="36"/>
      <c r="L263" s="117"/>
      <c r="M263" s="128"/>
      <c r="N263" s="117"/>
      <c r="R263" s="117"/>
      <c r="T263" s="117"/>
      <c r="V263" s="117"/>
      <c r="X263" s="117"/>
      <c r="Y263" s="10"/>
      <c r="Z263" s="11"/>
      <c r="AA263" s="36"/>
      <c r="AB263" s="36"/>
      <c r="AC263" s="13"/>
      <c r="AD263" s="13"/>
      <c r="AE263" s="37"/>
      <c r="AF263" s="37"/>
      <c r="AG263" s="14"/>
      <c r="AH263" s="14"/>
      <c r="AI263" s="14"/>
      <c r="AZ263" s="24"/>
    </row>
    <row r="264">
      <c r="B264" s="24"/>
      <c r="E264" s="113"/>
      <c r="F264" s="266"/>
      <c r="G264" s="113"/>
      <c r="K264" s="36"/>
      <c r="L264" s="117"/>
      <c r="M264" s="128"/>
      <c r="N264" s="117"/>
      <c r="R264" s="117"/>
      <c r="T264" s="117"/>
      <c r="V264" s="117"/>
      <c r="X264" s="117"/>
      <c r="Y264" s="10"/>
      <c r="Z264" s="11"/>
      <c r="AA264" s="36"/>
      <c r="AB264" s="36"/>
      <c r="AC264" s="13"/>
      <c r="AD264" s="13"/>
      <c r="AE264" s="37"/>
      <c r="AF264" s="37"/>
      <c r="AG264" s="14"/>
      <c r="AH264" s="14"/>
      <c r="AI264" s="14"/>
      <c r="AZ264" s="24"/>
    </row>
    <row r="265">
      <c r="B265" s="24"/>
      <c r="E265" s="113"/>
      <c r="F265" s="266"/>
      <c r="G265" s="113"/>
      <c r="K265" s="36"/>
      <c r="L265" s="117"/>
      <c r="M265" s="128"/>
      <c r="N265" s="117"/>
      <c r="R265" s="117"/>
      <c r="T265" s="117"/>
      <c r="V265" s="117"/>
      <c r="X265" s="117"/>
      <c r="Y265" s="10"/>
      <c r="Z265" s="11"/>
      <c r="AA265" s="36"/>
      <c r="AB265" s="36"/>
      <c r="AC265" s="13"/>
      <c r="AD265" s="13"/>
      <c r="AE265" s="37"/>
      <c r="AF265" s="37"/>
      <c r="AG265" s="14"/>
      <c r="AH265" s="14"/>
      <c r="AI265" s="14"/>
      <c r="AZ265" s="24"/>
    </row>
    <row r="266">
      <c r="B266" s="24"/>
      <c r="E266" s="113"/>
      <c r="F266" s="266"/>
      <c r="G266" s="113"/>
      <c r="K266" s="36"/>
      <c r="L266" s="117"/>
      <c r="M266" s="128"/>
      <c r="N266" s="117"/>
      <c r="R266" s="117"/>
      <c r="T266" s="117"/>
      <c r="V266" s="117"/>
      <c r="X266" s="117"/>
      <c r="Y266" s="10"/>
      <c r="Z266" s="11"/>
      <c r="AA266" s="36"/>
      <c r="AB266" s="36"/>
      <c r="AC266" s="13"/>
      <c r="AD266" s="13"/>
      <c r="AE266" s="37"/>
      <c r="AF266" s="37"/>
      <c r="AG266" s="14"/>
      <c r="AH266" s="14"/>
      <c r="AI266" s="14"/>
      <c r="AZ266" s="24"/>
    </row>
    <row r="267">
      <c r="B267" s="24"/>
      <c r="E267" s="113"/>
      <c r="F267" s="266"/>
      <c r="G267" s="113"/>
      <c r="K267" s="36"/>
      <c r="L267" s="117"/>
      <c r="M267" s="128"/>
      <c r="N267" s="117"/>
      <c r="R267" s="117"/>
      <c r="T267" s="117"/>
      <c r="V267" s="117"/>
      <c r="X267" s="117"/>
      <c r="Y267" s="10"/>
      <c r="Z267" s="11"/>
      <c r="AA267" s="36"/>
      <c r="AB267" s="36"/>
      <c r="AC267" s="13"/>
      <c r="AD267" s="13"/>
      <c r="AE267" s="37"/>
      <c r="AF267" s="37"/>
      <c r="AG267" s="14"/>
      <c r="AH267" s="14"/>
      <c r="AI267" s="14"/>
      <c r="AZ267" s="24"/>
    </row>
    <row r="268">
      <c r="B268" s="24"/>
      <c r="E268" s="113"/>
      <c r="F268" s="266"/>
      <c r="G268" s="113"/>
      <c r="K268" s="36"/>
      <c r="L268" s="117"/>
      <c r="M268" s="128"/>
      <c r="N268" s="117"/>
      <c r="R268" s="117"/>
      <c r="T268" s="117"/>
      <c r="V268" s="117"/>
      <c r="X268" s="117"/>
      <c r="Y268" s="10"/>
      <c r="Z268" s="11"/>
      <c r="AA268" s="36"/>
      <c r="AB268" s="36"/>
      <c r="AC268" s="13"/>
      <c r="AD268" s="13"/>
      <c r="AE268" s="37"/>
      <c r="AF268" s="37"/>
      <c r="AG268" s="14"/>
      <c r="AH268" s="14"/>
      <c r="AI268" s="14"/>
      <c r="AZ268" s="24"/>
    </row>
    <row r="269">
      <c r="B269" s="24"/>
      <c r="E269" s="113"/>
      <c r="F269" s="266"/>
      <c r="G269" s="113"/>
      <c r="K269" s="36"/>
      <c r="L269" s="117"/>
      <c r="M269" s="128"/>
      <c r="N269" s="117"/>
      <c r="R269" s="117"/>
      <c r="T269" s="117"/>
      <c r="V269" s="117"/>
      <c r="X269" s="117"/>
      <c r="Y269" s="10"/>
      <c r="Z269" s="11"/>
      <c r="AA269" s="36"/>
      <c r="AB269" s="36"/>
      <c r="AC269" s="13"/>
      <c r="AD269" s="13"/>
      <c r="AE269" s="37"/>
      <c r="AF269" s="37"/>
      <c r="AG269" s="14"/>
      <c r="AH269" s="14"/>
      <c r="AI269" s="14"/>
      <c r="AZ269" s="24"/>
    </row>
    <row r="270">
      <c r="B270" s="24"/>
      <c r="E270" s="113"/>
      <c r="F270" s="266"/>
      <c r="G270" s="113"/>
      <c r="K270" s="36"/>
      <c r="L270" s="117"/>
      <c r="M270" s="128"/>
      <c r="N270" s="117"/>
      <c r="R270" s="117"/>
      <c r="T270" s="117"/>
      <c r="V270" s="117"/>
      <c r="X270" s="117"/>
      <c r="Y270" s="10"/>
      <c r="Z270" s="11"/>
      <c r="AA270" s="36"/>
      <c r="AB270" s="36"/>
      <c r="AC270" s="13"/>
      <c r="AD270" s="13"/>
      <c r="AE270" s="37"/>
      <c r="AF270" s="37"/>
      <c r="AG270" s="14"/>
      <c r="AH270" s="14"/>
      <c r="AI270" s="14"/>
      <c r="AZ270" s="24"/>
    </row>
    <row r="271">
      <c r="B271" s="24"/>
      <c r="E271" s="113"/>
      <c r="F271" s="266"/>
      <c r="G271" s="113"/>
      <c r="K271" s="36"/>
      <c r="L271" s="117"/>
      <c r="M271" s="128"/>
      <c r="N271" s="117"/>
      <c r="R271" s="117"/>
      <c r="T271" s="117"/>
      <c r="V271" s="117"/>
      <c r="X271" s="117"/>
      <c r="Y271" s="10"/>
      <c r="Z271" s="11"/>
      <c r="AA271" s="36"/>
      <c r="AB271" s="36"/>
      <c r="AC271" s="13"/>
      <c r="AD271" s="13"/>
      <c r="AE271" s="37"/>
      <c r="AF271" s="37"/>
      <c r="AG271" s="14"/>
      <c r="AH271" s="14"/>
      <c r="AI271" s="14"/>
      <c r="AZ271" s="24"/>
    </row>
    <row r="272">
      <c r="B272" s="24"/>
      <c r="E272" s="113"/>
      <c r="F272" s="266"/>
      <c r="G272" s="113"/>
      <c r="K272" s="36"/>
      <c r="L272" s="117"/>
      <c r="M272" s="128"/>
      <c r="N272" s="117"/>
      <c r="R272" s="117"/>
      <c r="T272" s="117"/>
      <c r="V272" s="117"/>
      <c r="X272" s="117"/>
      <c r="Y272" s="10"/>
      <c r="Z272" s="11"/>
      <c r="AA272" s="36"/>
      <c r="AB272" s="36"/>
      <c r="AC272" s="13"/>
      <c r="AD272" s="13"/>
      <c r="AE272" s="37"/>
      <c r="AF272" s="37"/>
      <c r="AG272" s="14"/>
      <c r="AH272" s="14"/>
      <c r="AI272" s="14"/>
      <c r="AZ272" s="24"/>
    </row>
    <row r="273">
      <c r="B273" s="24"/>
      <c r="E273" s="113"/>
      <c r="F273" s="266"/>
      <c r="G273" s="113"/>
      <c r="K273" s="36"/>
      <c r="L273" s="117"/>
      <c r="M273" s="128"/>
      <c r="N273" s="117"/>
      <c r="R273" s="117"/>
      <c r="T273" s="117"/>
      <c r="V273" s="117"/>
      <c r="X273" s="117"/>
      <c r="Y273" s="10"/>
      <c r="Z273" s="11"/>
      <c r="AA273" s="36"/>
      <c r="AB273" s="36"/>
      <c r="AC273" s="13"/>
      <c r="AD273" s="13"/>
      <c r="AE273" s="37"/>
      <c r="AF273" s="37"/>
      <c r="AG273" s="14"/>
      <c r="AH273" s="14"/>
      <c r="AI273" s="14"/>
      <c r="AZ273" s="24"/>
    </row>
    <row r="274">
      <c r="B274" s="24"/>
      <c r="E274" s="113"/>
      <c r="F274" s="266"/>
      <c r="G274" s="113"/>
      <c r="K274" s="36"/>
      <c r="L274" s="117"/>
      <c r="M274" s="128"/>
      <c r="N274" s="117"/>
      <c r="R274" s="117"/>
      <c r="T274" s="117"/>
      <c r="V274" s="117"/>
      <c r="X274" s="117"/>
      <c r="Y274" s="10"/>
      <c r="Z274" s="11"/>
      <c r="AA274" s="36"/>
      <c r="AB274" s="36"/>
      <c r="AC274" s="13"/>
      <c r="AD274" s="13"/>
      <c r="AE274" s="37"/>
      <c r="AF274" s="37"/>
      <c r="AG274" s="14"/>
      <c r="AH274" s="14"/>
      <c r="AI274" s="14"/>
      <c r="AZ274" s="24"/>
    </row>
    <row r="275">
      <c r="B275" s="24"/>
      <c r="E275" s="113"/>
      <c r="F275" s="266"/>
      <c r="G275" s="113"/>
      <c r="K275" s="36"/>
      <c r="L275" s="117"/>
      <c r="M275" s="128"/>
      <c r="N275" s="117"/>
      <c r="R275" s="117"/>
      <c r="T275" s="117"/>
      <c r="V275" s="117"/>
      <c r="X275" s="117"/>
      <c r="Y275" s="10"/>
      <c r="Z275" s="11"/>
      <c r="AA275" s="36"/>
      <c r="AB275" s="36"/>
      <c r="AC275" s="13"/>
      <c r="AD275" s="13"/>
      <c r="AE275" s="37"/>
      <c r="AF275" s="37"/>
      <c r="AG275" s="14"/>
      <c r="AH275" s="14"/>
      <c r="AI275" s="14"/>
      <c r="AZ275" s="24"/>
    </row>
    <row r="276">
      <c r="B276" s="24"/>
      <c r="E276" s="113"/>
      <c r="F276" s="266"/>
      <c r="G276" s="113"/>
      <c r="K276" s="36"/>
      <c r="L276" s="117"/>
      <c r="M276" s="128"/>
      <c r="N276" s="117"/>
      <c r="R276" s="117"/>
      <c r="T276" s="117"/>
      <c r="V276" s="117"/>
      <c r="X276" s="117"/>
      <c r="Y276" s="10"/>
      <c r="Z276" s="11"/>
      <c r="AA276" s="36"/>
      <c r="AB276" s="36"/>
      <c r="AC276" s="13"/>
      <c r="AD276" s="13"/>
      <c r="AE276" s="37"/>
      <c r="AF276" s="37"/>
      <c r="AG276" s="14"/>
      <c r="AH276" s="14"/>
      <c r="AI276" s="14"/>
      <c r="AZ276" s="24"/>
    </row>
    <row r="277">
      <c r="B277" s="24"/>
      <c r="E277" s="113"/>
      <c r="F277" s="266"/>
      <c r="G277" s="113"/>
      <c r="K277" s="36"/>
      <c r="L277" s="117"/>
      <c r="M277" s="128"/>
      <c r="N277" s="117"/>
      <c r="R277" s="117"/>
      <c r="T277" s="117"/>
      <c r="V277" s="117"/>
      <c r="X277" s="117"/>
      <c r="Y277" s="10"/>
      <c r="Z277" s="11"/>
      <c r="AA277" s="36"/>
      <c r="AB277" s="36"/>
      <c r="AC277" s="13"/>
      <c r="AD277" s="13"/>
      <c r="AE277" s="37"/>
      <c r="AF277" s="37"/>
      <c r="AG277" s="14"/>
      <c r="AH277" s="14"/>
      <c r="AI277" s="14"/>
      <c r="AZ277" s="24"/>
    </row>
    <row r="278">
      <c r="B278" s="24"/>
      <c r="E278" s="113"/>
      <c r="F278" s="266"/>
      <c r="G278" s="113"/>
      <c r="K278" s="36"/>
      <c r="L278" s="117"/>
      <c r="M278" s="128"/>
      <c r="N278" s="117"/>
      <c r="R278" s="117"/>
      <c r="T278" s="117"/>
      <c r="V278" s="117"/>
      <c r="X278" s="117"/>
      <c r="Y278" s="10"/>
      <c r="Z278" s="11"/>
      <c r="AA278" s="36"/>
      <c r="AB278" s="36"/>
      <c r="AC278" s="13"/>
      <c r="AD278" s="13"/>
      <c r="AE278" s="37"/>
      <c r="AF278" s="37"/>
      <c r="AG278" s="14"/>
      <c r="AH278" s="14"/>
      <c r="AI278" s="14"/>
      <c r="AZ278" s="24"/>
    </row>
    <row r="279">
      <c r="B279" s="24"/>
      <c r="E279" s="113"/>
      <c r="F279" s="266"/>
      <c r="G279" s="113"/>
      <c r="K279" s="36"/>
      <c r="L279" s="117"/>
      <c r="M279" s="128"/>
      <c r="N279" s="117"/>
      <c r="R279" s="117"/>
      <c r="T279" s="117"/>
      <c r="V279" s="117"/>
      <c r="X279" s="117"/>
      <c r="Y279" s="10"/>
      <c r="Z279" s="11"/>
      <c r="AA279" s="36"/>
      <c r="AB279" s="36"/>
      <c r="AC279" s="13"/>
      <c r="AD279" s="13"/>
      <c r="AE279" s="37"/>
      <c r="AF279" s="37"/>
      <c r="AG279" s="14"/>
      <c r="AH279" s="14"/>
      <c r="AI279" s="14"/>
      <c r="AZ279" s="24"/>
    </row>
    <row r="280">
      <c r="B280" s="24"/>
      <c r="E280" s="113"/>
      <c r="F280" s="266"/>
      <c r="G280" s="113"/>
      <c r="K280" s="36"/>
      <c r="L280" s="117"/>
      <c r="M280" s="128"/>
      <c r="N280" s="117"/>
      <c r="R280" s="117"/>
      <c r="T280" s="117"/>
      <c r="V280" s="117"/>
      <c r="X280" s="117"/>
      <c r="Y280" s="10"/>
      <c r="Z280" s="11"/>
      <c r="AA280" s="36"/>
      <c r="AB280" s="36"/>
      <c r="AC280" s="13"/>
      <c r="AD280" s="13"/>
      <c r="AE280" s="37"/>
      <c r="AF280" s="37"/>
      <c r="AG280" s="14"/>
      <c r="AH280" s="14"/>
      <c r="AI280" s="14"/>
      <c r="AZ280" s="24"/>
    </row>
    <row r="281">
      <c r="B281" s="24"/>
      <c r="E281" s="113"/>
      <c r="F281" s="266"/>
      <c r="G281" s="113"/>
      <c r="K281" s="36"/>
      <c r="L281" s="117"/>
      <c r="M281" s="128"/>
      <c r="N281" s="117"/>
      <c r="R281" s="117"/>
      <c r="T281" s="117"/>
      <c r="V281" s="117"/>
      <c r="X281" s="117"/>
      <c r="Y281" s="10"/>
      <c r="Z281" s="11"/>
      <c r="AA281" s="36"/>
      <c r="AB281" s="36"/>
      <c r="AC281" s="13"/>
      <c r="AD281" s="13"/>
      <c r="AE281" s="37"/>
      <c r="AF281" s="37"/>
      <c r="AG281" s="14"/>
      <c r="AH281" s="14"/>
      <c r="AI281" s="14"/>
      <c r="AZ281" s="24"/>
    </row>
    <row r="282">
      <c r="B282" s="24"/>
      <c r="E282" s="113"/>
      <c r="F282" s="266"/>
      <c r="G282" s="113"/>
      <c r="K282" s="36"/>
      <c r="L282" s="117"/>
      <c r="M282" s="128"/>
      <c r="N282" s="117"/>
      <c r="R282" s="117"/>
      <c r="T282" s="117"/>
      <c r="V282" s="117"/>
      <c r="X282" s="117"/>
      <c r="Y282" s="10"/>
      <c r="Z282" s="11"/>
      <c r="AA282" s="36"/>
      <c r="AB282" s="36"/>
      <c r="AC282" s="13"/>
      <c r="AD282" s="13"/>
      <c r="AE282" s="37"/>
      <c r="AF282" s="37"/>
      <c r="AG282" s="14"/>
      <c r="AH282" s="14"/>
      <c r="AI282" s="14"/>
      <c r="AZ282" s="24"/>
    </row>
    <row r="283">
      <c r="B283" s="24"/>
      <c r="E283" s="113"/>
      <c r="F283" s="266"/>
      <c r="G283" s="113"/>
      <c r="K283" s="36"/>
      <c r="L283" s="117"/>
      <c r="M283" s="128"/>
      <c r="N283" s="117"/>
      <c r="R283" s="117"/>
      <c r="T283" s="117"/>
      <c r="V283" s="117"/>
      <c r="X283" s="117"/>
      <c r="Y283" s="10"/>
      <c r="Z283" s="11"/>
      <c r="AA283" s="36"/>
      <c r="AB283" s="36"/>
      <c r="AC283" s="13"/>
      <c r="AD283" s="13"/>
      <c r="AE283" s="37"/>
      <c r="AF283" s="37"/>
      <c r="AG283" s="14"/>
      <c r="AH283" s="14"/>
      <c r="AI283" s="14"/>
      <c r="AZ283" s="24"/>
    </row>
    <row r="284">
      <c r="B284" s="24"/>
      <c r="E284" s="113"/>
      <c r="F284" s="266"/>
      <c r="G284" s="113"/>
      <c r="K284" s="36"/>
      <c r="L284" s="117"/>
      <c r="M284" s="128"/>
      <c r="N284" s="117"/>
      <c r="R284" s="117"/>
      <c r="T284" s="117"/>
      <c r="V284" s="117"/>
      <c r="X284" s="117"/>
      <c r="Y284" s="10"/>
      <c r="Z284" s="11"/>
      <c r="AA284" s="36"/>
      <c r="AB284" s="36"/>
      <c r="AC284" s="13"/>
      <c r="AD284" s="13"/>
      <c r="AE284" s="37"/>
      <c r="AF284" s="37"/>
      <c r="AG284" s="14"/>
      <c r="AH284" s="14"/>
      <c r="AI284" s="14"/>
      <c r="AZ284" s="24"/>
    </row>
    <row r="285">
      <c r="B285" s="24"/>
      <c r="E285" s="113"/>
      <c r="F285" s="266"/>
      <c r="G285" s="113"/>
      <c r="K285" s="36"/>
      <c r="L285" s="117"/>
      <c r="M285" s="128"/>
      <c r="N285" s="117"/>
      <c r="R285" s="117"/>
      <c r="T285" s="117"/>
      <c r="V285" s="117"/>
      <c r="X285" s="117"/>
      <c r="Y285" s="10"/>
      <c r="Z285" s="11"/>
      <c r="AA285" s="36"/>
      <c r="AB285" s="36"/>
      <c r="AC285" s="13"/>
      <c r="AD285" s="13"/>
      <c r="AE285" s="37"/>
      <c r="AF285" s="37"/>
      <c r="AG285" s="14"/>
      <c r="AH285" s="14"/>
      <c r="AI285" s="14"/>
      <c r="AZ285" s="24"/>
    </row>
    <row r="286">
      <c r="B286" s="24"/>
      <c r="E286" s="113"/>
      <c r="F286" s="266"/>
      <c r="G286" s="113"/>
      <c r="K286" s="36"/>
      <c r="L286" s="117"/>
      <c r="M286" s="128"/>
      <c r="N286" s="117"/>
      <c r="R286" s="117"/>
      <c r="T286" s="117"/>
      <c r="V286" s="117"/>
      <c r="X286" s="117"/>
      <c r="Y286" s="10"/>
      <c r="Z286" s="11"/>
      <c r="AA286" s="36"/>
      <c r="AB286" s="36"/>
      <c r="AC286" s="13"/>
      <c r="AD286" s="13"/>
      <c r="AE286" s="37"/>
      <c r="AF286" s="37"/>
      <c r="AG286" s="14"/>
      <c r="AH286" s="14"/>
      <c r="AI286" s="14"/>
      <c r="AZ286" s="24"/>
    </row>
    <row r="287">
      <c r="B287" s="24"/>
      <c r="E287" s="113"/>
      <c r="F287" s="266"/>
      <c r="G287" s="113"/>
      <c r="K287" s="36"/>
      <c r="L287" s="117"/>
      <c r="M287" s="128"/>
      <c r="N287" s="117"/>
      <c r="R287" s="117"/>
      <c r="T287" s="117"/>
      <c r="V287" s="117"/>
      <c r="X287" s="117"/>
      <c r="Y287" s="10"/>
      <c r="Z287" s="11"/>
      <c r="AA287" s="36"/>
      <c r="AB287" s="36"/>
      <c r="AC287" s="13"/>
      <c r="AD287" s="13"/>
      <c r="AE287" s="37"/>
      <c r="AF287" s="37"/>
      <c r="AG287" s="14"/>
      <c r="AH287" s="14"/>
      <c r="AI287" s="14"/>
      <c r="AZ287" s="24"/>
    </row>
    <row r="288">
      <c r="B288" s="24"/>
      <c r="E288" s="113"/>
      <c r="F288" s="266"/>
      <c r="G288" s="113"/>
      <c r="K288" s="36"/>
      <c r="L288" s="117"/>
      <c r="M288" s="128"/>
      <c r="N288" s="117"/>
      <c r="R288" s="117"/>
      <c r="T288" s="117"/>
      <c r="V288" s="117"/>
      <c r="X288" s="117"/>
      <c r="Y288" s="10"/>
      <c r="Z288" s="11"/>
      <c r="AA288" s="36"/>
      <c r="AB288" s="36"/>
      <c r="AC288" s="13"/>
      <c r="AD288" s="13"/>
      <c r="AE288" s="37"/>
      <c r="AF288" s="37"/>
      <c r="AG288" s="14"/>
      <c r="AH288" s="14"/>
      <c r="AI288" s="14"/>
      <c r="AZ288" s="24"/>
    </row>
    <row r="289">
      <c r="B289" s="24"/>
      <c r="E289" s="113"/>
      <c r="F289" s="266"/>
      <c r="G289" s="113"/>
      <c r="K289" s="36"/>
      <c r="L289" s="117"/>
      <c r="M289" s="128"/>
      <c r="N289" s="117"/>
      <c r="R289" s="117"/>
      <c r="T289" s="117"/>
      <c r="V289" s="117"/>
      <c r="X289" s="117"/>
      <c r="Y289" s="10"/>
      <c r="Z289" s="11"/>
      <c r="AA289" s="36"/>
      <c r="AB289" s="36"/>
      <c r="AC289" s="13"/>
      <c r="AD289" s="13"/>
      <c r="AE289" s="37"/>
      <c r="AF289" s="37"/>
      <c r="AG289" s="14"/>
      <c r="AH289" s="14"/>
      <c r="AI289" s="14"/>
      <c r="AZ289" s="24"/>
    </row>
    <row r="290">
      <c r="B290" s="24"/>
      <c r="E290" s="113"/>
      <c r="F290" s="266"/>
      <c r="G290" s="113"/>
      <c r="K290" s="36"/>
      <c r="L290" s="117"/>
      <c r="M290" s="128"/>
      <c r="N290" s="117"/>
      <c r="R290" s="117"/>
      <c r="T290" s="117"/>
      <c r="V290" s="117"/>
      <c r="X290" s="117"/>
      <c r="Y290" s="10"/>
      <c r="Z290" s="11"/>
      <c r="AA290" s="36"/>
      <c r="AB290" s="36"/>
      <c r="AC290" s="13"/>
      <c r="AD290" s="13"/>
      <c r="AE290" s="37"/>
      <c r="AF290" s="37"/>
      <c r="AG290" s="14"/>
      <c r="AH290" s="14"/>
      <c r="AI290" s="14"/>
      <c r="AZ290" s="24"/>
    </row>
    <row r="291">
      <c r="B291" s="24"/>
      <c r="E291" s="113"/>
      <c r="F291" s="266"/>
      <c r="G291" s="113"/>
      <c r="K291" s="36"/>
      <c r="L291" s="117"/>
      <c r="M291" s="128"/>
      <c r="N291" s="117"/>
      <c r="R291" s="117"/>
      <c r="T291" s="117"/>
      <c r="V291" s="117"/>
      <c r="X291" s="117"/>
      <c r="Y291" s="10"/>
      <c r="Z291" s="11"/>
      <c r="AA291" s="36"/>
      <c r="AB291" s="36"/>
      <c r="AC291" s="13"/>
      <c r="AD291" s="13"/>
      <c r="AE291" s="37"/>
      <c r="AF291" s="37"/>
      <c r="AG291" s="14"/>
      <c r="AH291" s="14"/>
      <c r="AI291" s="14"/>
      <c r="AZ291" s="24"/>
    </row>
    <row r="292">
      <c r="B292" s="24"/>
      <c r="E292" s="113"/>
      <c r="F292" s="266"/>
      <c r="G292" s="113"/>
      <c r="K292" s="36"/>
      <c r="L292" s="117"/>
      <c r="M292" s="128"/>
      <c r="N292" s="117"/>
      <c r="R292" s="117"/>
      <c r="T292" s="117"/>
      <c r="V292" s="117"/>
      <c r="X292" s="117"/>
      <c r="Y292" s="10"/>
      <c r="Z292" s="11"/>
      <c r="AA292" s="36"/>
      <c r="AB292" s="36"/>
      <c r="AC292" s="13"/>
      <c r="AD292" s="13"/>
      <c r="AE292" s="37"/>
      <c r="AF292" s="37"/>
      <c r="AG292" s="14"/>
      <c r="AH292" s="14"/>
      <c r="AI292" s="14"/>
      <c r="AZ292" s="24"/>
    </row>
    <row r="293">
      <c r="B293" s="24"/>
      <c r="E293" s="113"/>
      <c r="F293" s="266"/>
      <c r="G293" s="113"/>
      <c r="K293" s="36"/>
      <c r="L293" s="117"/>
      <c r="M293" s="128"/>
      <c r="N293" s="117"/>
      <c r="R293" s="117"/>
      <c r="T293" s="117"/>
      <c r="V293" s="117"/>
      <c r="X293" s="117"/>
      <c r="Y293" s="10"/>
      <c r="Z293" s="11"/>
      <c r="AA293" s="36"/>
      <c r="AB293" s="36"/>
      <c r="AC293" s="13"/>
      <c r="AD293" s="13"/>
      <c r="AE293" s="37"/>
      <c r="AF293" s="37"/>
      <c r="AG293" s="14"/>
      <c r="AH293" s="14"/>
      <c r="AI293" s="14"/>
      <c r="AZ293" s="24"/>
    </row>
    <row r="294">
      <c r="B294" s="24"/>
      <c r="E294" s="113"/>
      <c r="F294" s="266"/>
      <c r="G294" s="113"/>
      <c r="K294" s="36"/>
      <c r="L294" s="117"/>
      <c r="M294" s="128"/>
      <c r="N294" s="117"/>
      <c r="R294" s="117"/>
      <c r="T294" s="117"/>
      <c r="V294" s="117"/>
      <c r="X294" s="117"/>
      <c r="Y294" s="10"/>
      <c r="Z294" s="11"/>
      <c r="AA294" s="36"/>
      <c r="AB294" s="36"/>
      <c r="AC294" s="13"/>
      <c r="AD294" s="13"/>
      <c r="AE294" s="37"/>
      <c r="AF294" s="37"/>
      <c r="AG294" s="14"/>
      <c r="AH294" s="14"/>
      <c r="AI294" s="14"/>
      <c r="AZ294" s="24"/>
    </row>
    <row r="295">
      <c r="B295" s="24"/>
      <c r="E295" s="113"/>
      <c r="F295" s="266"/>
      <c r="G295" s="113"/>
      <c r="K295" s="36"/>
      <c r="L295" s="117"/>
      <c r="M295" s="128"/>
      <c r="N295" s="117"/>
      <c r="R295" s="117"/>
      <c r="T295" s="117"/>
      <c r="V295" s="117"/>
      <c r="X295" s="117"/>
      <c r="Y295" s="10"/>
      <c r="Z295" s="11"/>
      <c r="AA295" s="36"/>
      <c r="AB295" s="36"/>
      <c r="AC295" s="13"/>
      <c r="AD295" s="13"/>
      <c r="AE295" s="37"/>
      <c r="AF295" s="37"/>
      <c r="AG295" s="14"/>
      <c r="AH295" s="14"/>
      <c r="AI295" s="14"/>
      <c r="AZ295" s="24"/>
    </row>
    <row r="296">
      <c r="B296" s="24"/>
      <c r="E296" s="113"/>
      <c r="F296" s="266"/>
      <c r="G296" s="113"/>
      <c r="K296" s="36"/>
      <c r="L296" s="117"/>
      <c r="M296" s="128"/>
      <c r="N296" s="117"/>
      <c r="R296" s="117"/>
      <c r="T296" s="117"/>
      <c r="V296" s="117"/>
      <c r="X296" s="117"/>
      <c r="Y296" s="10"/>
      <c r="Z296" s="11"/>
      <c r="AA296" s="36"/>
      <c r="AB296" s="36"/>
      <c r="AC296" s="13"/>
      <c r="AD296" s="13"/>
      <c r="AE296" s="37"/>
      <c r="AF296" s="37"/>
      <c r="AG296" s="14"/>
      <c r="AH296" s="14"/>
      <c r="AI296" s="14"/>
      <c r="AZ296" s="24"/>
    </row>
    <row r="297">
      <c r="B297" s="24"/>
      <c r="E297" s="113"/>
      <c r="F297" s="266"/>
      <c r="G297" s="113"/>
      <c r="K297" s="36"/>
      <c r="L297" s="117"/>
      <c r="M297" s="128"/>
      <c r="N297" s="117"/>
      <c r="R297" s="117"/>
      <c r="T297" s="117"/>
      <c r="V297" s="117"/>
      <c r="X297" s="117"/>
      <c r="Y297" s="10"/>
      <c r="Z297" s="11"/>
      <c r="AA297" s="36"/>
      <c r="AB297" s="36"/>
      <c r="AC297" s="13"/>
      <c r="AD297" s="13"/>
      <c r="AE297" s="37"/>
      <c r="AF297" s="37"/>
      <c r="AG297" s="14"/>
      <c r="AH297" s="14"/>
      <c r="AI297" s="14"/>
      <c r="AZ297" s="24"/>
    </row>
    <row r="298">
      <c r="B298" s="24"/>
      <c r="E298" s="113"/>
      <c r="F298" s="266"/>
      <c r="G298" s="113"/>
      <c r="K298" s="36"/>
      <c r="L298" s="117"/>
      <c r="M298" s="128"/>
      <c r="N298" s="117"/>
      <c r="R298" s="117"/>
      <c r="T298" s="117"/>
      <c r="V298" s="117"/>
      <c r="X298" s="117"/>
      <c r="Y298" s="10"/>
      <c r="Z298" s="11"/>
      <c r="AA298" s="36"/>
      <c r="AB298" s="36"/>
      <c r="AC298" s="13"/>
      <c r="AD298" s="13"/>
      <c r="AE298" s="37"/>
      <c r="AF298" s="37"/>
      <c r="AG298" s="14"/>
      <c r="AH298" s="14"/>
      <c r="AI298" s="14"/>
      <c r="AZ298" s="24"/>
    </row>
    <row r="299">
      <c r="B299" s="24"/>
      <c r="E299" s="113"/>
      <c r="F299" s="266"/>
      <c r="G299" s="113"/>
      <c r="K299" s="36"/>
      <c r="L299" s="117"/>
      <c r="M299" s="128"/>
      <c r="N299" s="117"/>
      <c r="R299" s="117"/>
      <c r="T299" s="117"/>
      <c r="V299" s="117"/>
      <c r="X299" s="117"/>
      <c r="Y299" s="10"/>
      <c r="Z299" s="11"/>
      <c r="AA299" s="36"/>
      <c r="AB299" s="36"/>
      <c r="AC299" s="13"/>
      <c r="AD299" s="13"/>
      <c r="AE299" s="37"/>
      <c r="AF299" s="37"/>
      <c r="AG299" s="14"/>
      <c r="AH299" s="14"/>
      <c r="AI299" s="14"/>
      <c r="AZ299" s="24"/>
    </row>
    <row r="300">
      <c r="B300" s="24"/>
      <c r="E300" s="113"/>
      <c r="F300" s="266"/>
      <c r="G300" s="113"/>
      <c r="K300" s="36"/>
      <c r="L300" s="117"/>
      <c r="M300" s="128"/>
      <c r="N300" s="117"/>
      <c r="R300" s="117"/>
      <c r="T300" s="117"/>
      <c r="V300" s="117"/>
      <c r="X300" s="117"/>
      <c r="Y300" s="10"/>
      <c r="Z300" s="11"/>
      <c r="AA300" s="36"/>
      <c r="AB300" s="36"/>
      <c r="AC300" s="13"/>
      <c r="AD300" s="13"/>
      <c r="AE300" s="37"/>
      <c r="AF300" s="37"/>
      <c r="AG300" s="14"/>
      <c r="AH300" s="14"/>
      <c r="AI300" s="14"/>
      <c r="AZ300" s="24"/>
    </row>
    <row r="301">
      <c r="B301" s="24"/>
      <c r="E301" s="113"/>
      <c r="F301" s="266"/>
      <c r="G301" s="113"/>
      <c r="K301" s="36"/>
      <c r="L301" s="117"/>
      <c r="M301" s="128"/>
      <c r="N301" s="117"/>
      <c r="R301" s="117"/>
      <c r="T301" s="117"/>
      <c r="V301" s="117"/>
      <c r="X301" s="117"/>
      <c r="Y301" s="10"/>
      <c r="Z301" s="11"/>
      <c r="AA301" s="36"/>
      <c r="AB301" s="36"/>
      <c r="AC301" s="13"/>
      <c r="AD301" s="13"/>
      <c r="AE301" s="37"/>
      <c r="AF301" s="37"/>
      <c r="AG301" s="14"/>
      <c r="AH301" s="14"/>
      <c r="AI301" s="14"/>
      <c r="AZ301" s="24"/>
    </row>
    <row r="302">
      <c r="B302" s="24"/>
      <c r="E302" s="113"/>
      <c r="F302" s="266"/>
      <c r="G302" s="113"/>
      <c r="K302" s="36"/>
      <c r="L302" s="117"/>
      <c r="M302" s="128"/>
      <c r="N302" s="117"/>
      <c r="R302" s="117"/>
      <c r="T302" s="117"/>
      <c r="V302" s="117"/>
      <c r="X302" s="117"/>
      <c r="Y302" s="10"/>
      <c r="Z302" s="11"/>
      <c r="AA302" s="36"/>
      <c r="AB302" s="36"/>
      <c r="AC302" s="13"/>
      <c r="AD302" s="13"/>
      <c r="AE302" s="37"/>
      <c r="AF302" s="37"/>
      <c r="AG302" s="14"/>
      <c r="AH302" s="14"/>
      <c r="AI302" s="14"/>
      <c r="AZ302" s="24"/>
    </row>
    <row r="303">
      <c r="B303" s="24"/>
      <c r="E303" s="113"/>
      <c r="F303" s="266"/>
      <c r="G303" s="113"/>
      <c r="K303" s="36"/>
      <c r="L303" s="117"/>
      <c r="M303" s="128"/>
      <c r="N303" s="117"/>
      <c r="R303" s="117"/>
      <c r="T303" s="117"/>
      <c r="V303" s="117"/>
      <c r="X303" s="117"/>
      <c r="Y303" s="10"/>
      <c r="Z303" s="11"/>
      <c r="AA303" s="36"/>
      <c r="AB303" s="36"/>
      <c r="AC303" s="13"/>
      <c r="AD303" s="13"/>
      <c r="AE303" s="37"/>
      <c r="AF303" s="37"/>
      <c r="AG303" s="14"/>
      <c r="AH303" s="14"/>
      <c r="AI303" s="14"/>
      <c r="AZ303" s="24"/>
    </row>
    <row r="304">
      <c r="B304" s="24"/>
      <c r="E304" s="113"/>
      <c r="F304" s="266"/>
      <c r="G304" s="113"/>
      <c r="K304" s="36"/>
      <c r="L304" s="117"/>
      <c r="M304" s="128"/>
      <c r="N304" s="117"/>
      <c r="R304" s="117"/>
      <c r="T304" s="117"/>
      <c r="V304" s="117"/>
      <c r="X304" s="117"/>
      <c r="Y304" s="10"/>
      <c r="Z304" s="11"/>
      <c r="AA304" s="36"/>
      <c r="AB304" s="36"/>
      <c r="AC304" s="13"/>
      <c r="AD304" s="13"/>
      <c r="AE304" s="37"/>
      <c r="AF304" s="37"/>
      <c r="AG304" s="14"/>
      <c r="AH304" s="14"/>
      <c r="AI304" s="14"/>
      <c r="AZ304" s="24"/>
    </row>
    <row r="305">
      <c r="B305" s="24"/>
      <c r="E305" s="113"/>
      <c r="F305" s="266"/>
      <c r="G305" s="113"/>
      <c r="K305" s="36"/>
      <c r="L305" s="117"/>
      <c r="M305" s="128"/>
      <c r="N305" s="117"/>
      <c r="R305" s="117"/>
      <c r="T305" s="117"/>
      <c r="V305" s="117"/>
      <c r="X305" s="117"/>
      <c r="Y305" s="10"/>
      <c r="Z305" s="11"/>
      <c r="AA305" s="36"/>
      <c r="AB305" s="36"/>
      <c r="AC305" s="13"/>
      <c r="AD305" s="13"/>
      <c r="AE305" s="37"/>
      <c r="AF305" s="37"/>
      <c r="AG305" s="14"/>
      <c r="AH305" s="14"/>
      <c r="AI305" s="14"/>
      <c r="AZ305" s="24"/>
    </row>
    <row r="306">
      <c r="B306" s="24"/>
      <c r="E306" s="113"/>
      <c r="F306" s="266"/>
      <c r="G306" s="113"/>
      <c r="K306" s="36"/>
      <c r="L306" s="117"/>
      <c r="M306" s="128"/>
      <c r="N306" s="117"/>
      <c r="R306" s="117"/>
      <c r="T306" s="117"/>
      <c r="V306" s="117"/>
      <c r="X306" s="117"/>
      <c r="Y306" s="10"/>
      <c r="Z306" s="11"/>
      <c r="AA306" s="36"/>
      <c r="AB306" s="36"/>
      <c r="AC306" s="13"/>
      <c r="AD306" s="13"/>
      <c r="AE306" s="37"/>
      <c r="AF306" s="37"/>
      <c r="AG306" s="14"/>
      <c r="AH306" s="14"/>
      <c r="AI306" s="14"/>
      <c r="AZ306" s="24"/>
    </row>
    <row r="307">
      <c r="B307" s="24"/>
      <c r="E307" s="113"/>
      <c r="F307" s="266"/>
      <c r="G307" s="113"/>
      <c r="K307" s="36"/>
      <c r="L307" s="117"/>
      <c r="M307" s="128"/>
      <c r="N307" s="117"/>
      <c r="R307" s="117"/>
      <c r="T307" s="117"/>
      <c r="V307" s="117"/>
      <c r="X307" s="117"/>
      <c r="Y307" s="10"/>
      <c r="Z307" s="11"/>
      <c r="AA307" s="36"/>
      <c r="AB307" s="36"/>
      <c r="AC307" s="13"/>
      <c r="AD307" s="13"/>
      <c r="AE307" s="37"/>
      <c r="AF307" s="37"/>
      <c r="AG307" s="14"/>
      <c r="AH307" s="14"/>
      <c r="AI307" s="14"/>
      <c r="AZ307" s="24"/>
    </row>
    <row r="308">
      <c r="B308" s="24"/>
      <c r="E308" s="113"/>
      <c r="F308" s="266"/>
      <c r="G308" s="113"/>
      <c r="K308" s="36"/>
      <c r="L308" s="117"/>
      <c r="M308" s="128"/>
      <c r="N308" s="117"/>
      <c r="R308" s="117"/>
      <c r="T308" s="117"/>
      <c r="V308" s="117"/>
      <c r="X308" s="117"/>
      <c r="Y308" s="10"/>
      <c r="Z308" s="11"/>
      <c r="AA308" s="36"/>
      <c r="AB308" s="36"/>
      <c r="AC308" s="13"/>
      <c r="AD308" s="13"/>
      <c r="AE308" s="37"/>
      <c r="AF308" s="37"/>
      <c r="AG308" s="14"/>
      <c r="AH308" s="14"/>
      <c r="AI308" s="14"/>
      <c r="AZ308" s="24"/>
    </row>
    <row r="309">
      <c r="B309" s="24"/>
      <c r="E309" s="113"/>
      <c r="F309" s="266"/>
      <c r="G309" s="113"/>
      <c r="K309" s="36"/>
      <c r="L309" s="117"/>
      <c r="M309" s="128"/>
      <c r="N309" s="117"/>
      <c r="R309" s="117"/>
      <c r="T309" s="117"/>
      <c r="V309" s="117"/>
      <c r="X309" s="117"/>
      <c r="Y309" s="10"/>
      <c r="Z309" s="11"/>
      <c r="AA309" s="36"/>
      <c r="AB309" s="36"/>
      <c r="AC309" s="13"/>
      <c r="AD309" s="13"/>
      <c r="AE309" s="37"/>
      <c r="AF309" s="37"/>
      <c r="AG309" s="14"/>
      <c r="AH309" s="14"/>
      <c r="AI309" s="14"/>
      <c r="AZ309" s="24"/>
    </row>
    <row r="310">
      <c r="B310" s="24"/>
      <c r="E310" s="113"/>
      <c r="F310" s="266"/>
      <c r="G310" s="113"/>
      <c r="K310" s="36"/>
      <c r="L310" s="117"/>
      <c r="M310" s="128"/>
      <c r="N310" s="117"/>
      <c r="R310" s="117"/>
      <c r="T310" s="117"/>
      <c r="V310" s="117"/>
      <c r="X310" s="117"/>
      <c r="Y310" s="10"/>
      <c r="Z310" s="11"/>
      <c r="AA310" s="36"/>
      <c r="AB310" s="36"/>
      <c r="AC310" s="13"/>
      <c r="AD310" s="13"/>
      <c r="AE310" s="37"/>
      <c r="AF310" s="37"/>
      <c r="AG310" s="14"/>
      <c r="AH310" s="14"/>
      <c r="AI310" s="14"/>
      <c r="AZ310" s="24"/>
    </row>
    <row r="311">
      <c r="B311" s="24"/>
      <c r="E311" s="113"/>
      <c r="F311" s="266"/>
      <c r="G311" s="113"/>
      <c r="K311" s="36"/>
      <c r="L311" s="117"/>
      <c r="M311" s="128"/>
      <c r="N311" s="117"/>
      <c r="R311" s="117"/>
      <c r="T311" s="117"/>
      <c r="V311" s="117"/>
      <c r="X311" s="117"/>
      <c r="Y311" s="10"/>
      <c r="Z311" s="11"/>
      <c r="AA311" s="36"/>
      <c r="AB311" s="36"/>
      <c r="AC311" s="13"/>
      <c r="AD311" s="13"/>
      <c r="AE311" s="37"/>
      <c r="AF311" s="37"/>
      <c r="AG311" s="14"/>
      <c r="AH311" s="14"/>
      <c r="AI311" s="14"/>
      <c r="AZ311" s="24"/>
    </row>
    <row r="312">
      <c r="B312" s="24"/>
      <c r="E312" s="113"/>
      <c r="F312" s="266"/>
      <c r="G312" s="113"/>
      <c r="K312" s="36"/>
      <c r="L312" s="117"/>
      <c r="M312" s="128"/>
      <c r="N312" s="117"/>
      <c r="R312" s="117"/>
      <c r="T312" s="117"/>
      <c r="V312" s="117"/>
      <c r="X312" s="117"/>
      <c r="Y312" s="10"/>
      <c r="Z312" s="11"/>
      <c r="AA312" s="36"/>
      <c r="AB312" s="36"/>
      <c r="AC312" s="13"/>
      <c r="AD312" s="13"/>
      <c r="AE312" s="37"/>
      <c r="AF312" s="37"/>
      <c r="AG312" s="14"/>
      <c r="AH312" s="14"/>
      <c r="AI312" s="14"/>
      <c r="AZ312" s="24"/>
    </row>
    <row r="313">
      <c r="B313" s="24"/>
      <c r="E313" s="113"/>
      <c r="F313" s="266"/>
      <c r="G313" s="113"/>
      <c r="K313" s="36"/>
      <c r="L313" s="117"/>
      <c r="M313" s="128"/>
      <c r="N313" s="117"/>
      <c r="R313" s="117"/>
      <c r="T313" s="117"/>
      <c r="V313" s="117"/>
      <c r="X313" s="117"/>
      <c r="Y313" s="10"/>
      <c r="Z313" s="11"/>
      <c r="AA313" s="36"/>
      <c r="AB313" s="36"/>
      <c r="AC313" s="13"/>
      <c r="AD313" s="13"/>
      <c r="AE313" s="37"/>
      <c r="AF313" s="37"/>
      <c r="AG313" s="14"/>
      <c r="AH313" s="14"/>
      <c r="AI313" s="14"/>
      <c r="AZ313" s="24"/>
    </row>
    <row r="314">
      <c r="B314" s="24"/>
      <c r="E314" s="113"/>
      <c r="F314" s="266"/>
      <c r="G314" s="113"/>
      <c r="K314" s="36"/>
      <c r="L314" s="117"/>
      <c r="M314" s="128"/>
      <c r="N314" s="117"/>
      <c r="R314" s="117"/>
      <c r="T314" s="117"/>
      <c r="V314" s="117"/>
      <c r="X314" s="117"/>
      <c r="Y314" s="10"/>
      <c r="Z314" s="11"/>
      <c r="AA314" s="36"/>
      <c r="AB314" s="36"/>
      <c r="AC314" s="13"/>
      <c r="AD314" s="13"/>
      <c r="AE314" s="37"/>
      <c r="AF314" s="37"/>
      <c r="AG314" s="14"/>
      <c r="AH314" s="14"/>
      <c r="AI314" s="14"/>
      <c r="AZ314" s="24"/>
    </row>
    <row r="315">
      <c r="B315" s="24"/>
      <c r="E315" s="113"/>
      <c r="F315" s="266"/>
      <c r="G315" s="113"/>
      <c r="K315" s="36"/>
      <c r="L315" s="117"/>
      <c r="M315" s="128"/>
      <c r="N315" s="117"/>
      <c r="R315" s="117"/>
      <c r="T315" s="117"/>
      <c r="V315" s="117"/>
      <c r="X315" s="117"/>
      <c r="Y315" s="10"/>
      <c r="Z315" s="11"/>
      <c r="AA315" s="36"/>
      <c r="AB315" s="36"/>
      <c r="AC315" s="13"/>
      <c r="AD315" s="13"/>
      <c r="AE315" s="37"/>
      <c r="AF315" s="37"/>
      <c r="AG315" s="14"/>
      <c r="AH315" s="14"/>
      <c r="AI315" s="14"/>
      <c r="AZ315" s="24"/>
    </row>
    <row r="316">
      <c r="B316" s="24"/>
      <c r="E316" s="113"/>
      <c r="F316" s="266"/>
      <c r="G316" s="113"/>
      <c r="K316" s="36"/>
      <c r="L316" s="117"/>
      <c r="M316" s="128"/>
      <c r="N316" s="117"/>
      <c r="R316" s="117"/>
      <c r="T316" s="117"/>
      <c r="V316" s="117"/>
      <c r="X316" s="117"/>
      <c r="Y316" s="10"/>
      <c r="Z316" s="11"/>
      <c r="AA316" s="36"/>
      <c r="AB316" s="36"/>
      <c r="AC316" s="13"/>
      <c r="AD316" s="13"/>
      <c r="AE316" s="37"/>
      <c r="AF316" s="37"/>
      <c r="AG316" s="14"/>
      <c r="AH316" s="14"/>
      <c r="AI316" s="14"/>
      <c r="AZ316" s="24"/>
    </row>
    <row r="317">
      <c r="B317" s="24"/>
      <c r="E317" s="113"/>
      <c r="F317" s="266"/>
      <c r="G317" s="113"/>
      <c r="K317" s="36"/>
      <c r="L317" s="117"/>
      <c r="M317" s="128"/>
      <c r="N317" s="117"/>
      <c r="R317" s="117"/>
      <c r="T317" s="117"/>
      <c r="V317" s="117"/>
      <c r="X317" s="117"/>
      <c r="Y317" s="10"/>
      <c r="Z317" s="11"/>
      <c r="AA317" s="36"/>
      <c r="AB317" s="36"/>
      <c r="AC317" s="13"/>
      <c r="AD317" s="13"/>
      <c r="AE317" s="37"/>
      <c r="AF317" s="37"/>
      <c r="AG317" s="14"/>
      <c r="AH317" s="14"/>
      <c r="AI317" s="14"/>
      <c r="AZ317" s="24"/>
    </row>
    <row r="318">
      <c r="B318" s="24"/>
      <c r="E318" s="113"/>
      <c r="F318" s="266"/>
      <c r="G318" s="113"/>
      <c r="K318" s="36"/>
      <c r="L318" s="117"/>
      <c r="M318" s="128"/>
      <c r="N318" s="117"/>
      <c r="R318" s="117"/>
      <c r="T318" s="117"/>
      <c r="V318" s="117"/>
      <c r="X318" s="117"/>
      <c r="Y318" s="10"/>
      <c r="Z318" s="11"/>
      <c r="AA318" s="36"/>
      <c r="AB318" s="36"/>
      <c r="AC318" s="13"/>
      <c r="AD318" s="13"/>
      <c r="AE318" s="37"/>
      <c r="AF318" s="37"/>
      <c r="AG318" s="14"/>
      <c r="AH318" s="14"/>
      <c r="AI318" s="14"/>
      <c r="AZ318" s="24"/>
    </row>
    <row r="319">
      <c r="B319" s="24"/>
      <c r="E319" s="113"/>
      <c r="F319" s="266"/>
      <c r="G319" s="113"/>
      <c r="K319" s="36"/>
      <c r="L319" s="117"/>
      <c r="M319" s="128"/>
      <c r="N319" s="117"/>
      <c r="R319" s="117"/>
      <c r="T319" s="117"/>
      <c r="V319" s="117"/>
      <c r="X319" s="117"/>
      <c r="Y319" s="10"/>
      <c r="Z319" s="11"/>
      <c r="AA319" s="36"/>
      <c r="AB319" s="36"/>
      <c r="AC319" s="13"/>
      <c r="AD319" s="13"/>
      <c r="AE319" s="37"/>
      <c r="AF319" s="37"/>
      <c r="AG319" s="14"/>
      <c r="AH319" s="14"/>
      <c r="AI319" s="14"/>
      <c r="AZ319" s="24"/>
    </row>
    <row r="320">
      <c r="B320" s="24"/>
      <c r="E320" s="113"/>
      <c r="F320" s="266"/>
      <c r="G320" s="113"/>
      <c r="K320" s="36"/>
      <c r="L320" s="117"/>
      <c r="M320" s="128"/>
      <c r="N320" s="117"/>
      <c r="R320" s="117"/>
      <c r="T320" s="117"/>
      <c r="V320" s="117"/>
      <c r="X320" s="117"/>
      <c r="Y320" s="10"/>
      <c r="Z320" s="11"/>
      <c r="AA320" s="36"/>
      <c r="AB320" s="36"/>
      <c r="AC320" s="13"/>
      <c r="AD320" s="13"/>
      <c r="AE320" s="37"/>
      <c r="AF320" s="37"/>
      <c r="AG320" s="14"/>
      <c r="AH320" s="14"/>
      <c r="AI320" s="14"/>
      <c r="AZ320" s="24"/>
    </row>
    <row r="321">
      <c r="B321" s="24"/>
      <c r="E321" s="113"/>
      <c r="F321" s="266"/>
      <c r="G321" s="113"/>
      <c r="K321" s="36"/>
      <c r="L321" s="117"/>
      <c r="M321" s="128"/>
      <c r="N321" s="117"/>
      <c r="R321" s="117"/>
      <c r="T321" s="117"/>
      <c r="V321" s="117"/>
      <c r="X321" s="117"/>
      <c r="Y321" s="10"/>
      <c r="Z321" s="11"/>
      <c r="AA321" s="36"/>
      <c r="AB321" s="36"/>
      <c r="AC321" s="13"/>
      <c r="AD321" s="13"/>
      <c r="AE321" s="37"/>
      <c r="AF321" s="37"/>
      <c r="AG321" s="14"/>
      <c r="AH321" s="14"/>
      <c r="AI321" s="14"/>
      <c r="AZ321" s="24"/>
    </row>
    <row r="322">
      <c r="B322" s="24"/>
      <c r="E322" s="113"/>
      <c r="F322" s="266"/>
      <c r="G322" s="113"/>
      <c r="K322" s="36"/>
      <c r="L322" s="117"/>
      <c r="M322" s="128"/>
      <c r="N322" s="117"/>
      <c r="R322" s="117"/>
      <c r="T322" s="117"/>
      <c r="V322" s="117"/>
      <c r="X322" s="117"/>
      <c r="Y322" s="10"/>
      <c r="Z322" s="11"/>
      <c r="AA322" s="36"/>
      <c r="AB322" s="36"/>
      <c r="AC322" s="13"/>
      <c r="AD322" s="13"/>
      <c r="AE322" s="37"/>
      <c r="AF322" s="37"/>
      <c r="AG322" s="14"/>
      <c r="AH322" s="14"/>
      <c r="AI322" s="14"/>
      <c r="AZ322" s="24"/>
    </row>
    <row r="323">
      <c r="B323" s="24"/>
      <c r="E323" s="113"/>
      <c r="F323" s="266"/>
      <c r="G323" s="113"/>
      <c r="K323" s="36"/>
      <c r="L323" s="117"/>
      <c r="M323" s="128"/>
      <c r="N323" s="117"/>
      <c r="R323" s="117"/>
      <c r="T323" s="117"/>
      <c r="V323" s="117"/>
      <c r="X323" s="117"/>
      <c r="Y323" s="10"/>
      <c r="Z323" s="11"/>
      <c r="AA323" s="36"/>
      <c r="AB323" s="36"/>
      <c r="AC323" s="13"/>
      <c r="AD323" s="13"/>
      <c r="AE323" s="37"/>
      <c r="AF323" s="37"/>
      <c r="AG323" s="14"/>
      <c r="AH323" s="14"/>
      <c r="AI323" s="14"/>
      <c r="AZ323" s="24"/>
    </row>
    <row r="324">
      <c r="B324" s="24"/>
      <c r="E324" s="113"/>
      <c r="F324" s="266"/>
      <c r="G324" s="113"/>
      <c r="K324" s="36"/>
      <c r="L324" s="117"/>
      <c r="M324" s="128"/>
      <c r="N324" s="117"/>
      <c r="R324" s="117"/>
      <c r="T324" s="117"/>
      <c r="V324" s="117"/>
      <c r="X324" s="117"/>
      <c r="Y324" s="10"/>
      <c r="Z324" s="11"/>
      <c r="AA324" s="36"/>
      <c r="AB324" s="36"/>
      <c r="AC324" s="13"/>
      <c r="AD324" s="13"/>
      <c r="AE324" s="37"/>
      <c r="AF324" s="37"/>
      <c r="AG324" s="14"/>
      <c r="AH324" s="14"/>
      <c r="AI324" s="14"/>
      <c r="AZ324" s="24"/>
    </row>
    <row r="325">
      <c r="B325" s="24"/>
      <c r="E325" s="113"/>
      <c r="F325" s="266"/>
      <c r="G325" s="113"/>
      <c r="K325" s="36"/>
      <c r="L325" s="117"/>
      <c r="M325" s="128"/>
      <c r="N325" s="117"/>
      <c r="R325" s="117"/>
      <c r="T325" s="117"/>
      <c r="V325" s="117"/>
      <c r="X325" s="117"/>
      <c r="Y325" s="10"/>
      <c r="Z325" s="11"/>
      <c r="AA325" s="36"/>
      <c r="AB325" s="36"/>
      <c r="AC325" s="13"/>
      <c r="AD325" s="13"/>
      <c r="AE325" s="37"/>
      <c r="AF325" s="37"/>
      <c r="AG325" s="14"/>
      <c r="AH325" s="14"/>
      <c r="AI325" s="14"/>
      <c r="AZ325" s="24"/>
    </row>
    <row r="326">
      <c r="B326" s="24"/>
      <c r="E326" s="113"/>
      <c r="F326" s="266"/>
      <c r="G326" s="113"/>
      <c r="K326" s="36"/>
      <c r="L326" s="117"/>
      <c r="M326" s="128"/>
      <c r="N326" s="117"/>
      <c r="R326" s="117"/>
      <c r="T326" s="117"/>
      <c r="V326" s="117"/>
      <c r="X326" s="117"/>
      <c r="Y326" s="10"/>
      <c r="Z326" s="11"/>
      <c r="AA326" s="36"/>
      <c r="AB326" s="36"/>
      <c r="AC326" s="13"/>
      <c r="AD326" s="13"/>
      <c r="AE326" s="37"/>
      <c r="AF326" s="37"/>
      <c r="AG326" s="14"/>
      <c r="AH326" s="14"/>
      <c r="AI326" s="14"/>
      <c r="AZ326" s="24"/>
    </row>
    <row r="327">
      <c r="B327" s="24"/>
      <c r="E327" s="113"/>
      <c r="F327" s="266"/>
      <c r="G327" s="113"/>
      <c r="K327" s="36"/>
      <c r="L327" s="117"/>
      <c r="M327" s="128"/>
      <c r="N327" s="117"/>
      <c r="R327" s="117"/>
      <c r="T327" s="117"/>
      <c r="V327" s="117"/>
      <c r="X327" s="117"/>
      <c r="Y327" s="10"/>
      <c r="Z327" s="11"/>
      <c r="AA327" s="36"/>
      <c r="AB327" s="36"/>
      <c r="AC327" s="13"/>
      <c r="AD327" s="13"/>
      <c r="AE327" s="37"/>
      <c r="AF327" s="37"/>
      <c r="AG327" s="14"/>
      <c r="AH327" s="14"/>
      <c r="AI327" s="14"/>
      <c r="AZ327" s="24"/>
    </row>
    <row r="328">
      <c r="B328" s="24"/>
      <c r="E328" s="113"/>
      <c r="F328" s="266"/>
      <c r="G328" s="113"/>
      <c r="K328" s="36"/>
      <c r="L328" s="117"/>
      <c r="M328" s="128"/>
      <c r="N328" s="117"/>
      <c r="R328" s="117"/>
      <c r="T328" s="117"/>
      <c r="V328" s="117"/>
      <c r="X328" s="117"/>
      <c r="Y328" s="10"/>
      <c r="Z328" s="11"/>
      <c r="AA328" s="36"/>
      <c r="AB328" s="36"/>
      <c r="AC328" s="13"/>
      <c r="AD328" s="13"/>
      <c r="AE328" s="37"/>
      <c r="AF328" s="37"/>
      <c r="AG328" s="14"/>
      <c r="AH328" s="14"/>
      <c r="AI328" s="14"/>
      <c r="AZ328" s="24"/>
    </row>
    <row r="329">
      <c r="B329" s="24"/>
      <c r="E329" s="113"/>
      <c r="F329" s="266"/>
      <c r="G329" s="113"/>
      <c r="K329" s="36"/>
      <c r="L329" s="117"/>
      <c r="M329" s="128"/>
      <c r="N329" s="117"/>
      <c r="R329" s="117"/>
      <c r="T329" s="117"/>
      <c r="V329" s="117"/>
      <c r="X329" s="117"/>
      <c r="Y329" s="10"/>
      <c r="Z329" s="11"/>
      <c r="AA329" s="36"/>
      <c r="AB329" s="36"/>
      <c r="AC329" s="13"/>
      <c r="AD329" s="13"/>
      <c r="AE329" s="37"/>
      <c r="AF329" s="37"/>
      <c r="AG329" s="14"/>
      <c r="AH329" s="14"/>
      <c r="AI329" s="14"/>
      <c r="AZ329" s="24"/>
    </row>
    <row r="330">
      <c r="B330" s="24"/>
      <c r="E330" s="113"/>
      <c r="F330" s="266"/>
      <c r="G330" s="113"/>
      <c r="K330" s="36"/>
      <c r="L330" s="117"/>
      <c r="M330" s="128"/>
      <c r="N330" s="117"/>
      <c r="R330" s="117"/>
      <c r="T330" s="117"/>
      <c r="V330" s="117"/>
      <c r="X330" s="117"/>
      <c r="Y330" s="10"/>
      <c r="Z330" s="11"/>
      <c r="AA330" s="36"/>
      <c r="AB330" s="36"/>
      <c r="AC330" s="13"/>
      <c r="AD330" s="13"/>
      <c r="AE330" s="37"/>
      <c r="AF330" s="37"/>
      <c r="AG330" s="14"/>
      <c r="AH330" s="14"/>
      <c r="AI330" s="14"/>
      <c r="AZ330" s="24"/>
    </row>
    <row r="331">
      <c r="B331" s="24"/>
      <c r="E331" s="113"/>
      <c r="F331" s="266"/>
      <c r="G331" s="113"/>
      <c r="K331" s="36"/>
      <c r="L331" s="117"/>
      <c r="M331" s="128"/>
      <c r="N331" s="117"/>
      <c r="R331" s="117"/>
      <c r="T331" s="117"/>
      <c r="V331" s="117"/>
      <c r="X331" s="117"/>
      <c r="Y331" s="10"/>
      <c r="Z331" s="11"/>
      <c r="AA331" s="36"/>
      <c r="AB331" s="36"/>
      <c r="AC331" s="13"/>
      <c r="AD331" s="13"/>
      <c r="AE331" s="37"/>
      <c r="AF331" s="37"/>
      <c r="AG331" s="14"/>
      <c r="AH331" s="14"/>
      <c r="AI331" s="14"/>
      <c r="AZ331" s="24"/>
    </row>
    <row r="332">
      <c r="B332" s="24"/>
      <c r="E332" s="113"/>
      <c r="F332" s="266"/>
      <c r="G332" s="113"/>
      <c r="K332" s="36"/>
      <c r="L332" s="117"/>
      <c r="M332" s="128"/>
      <c r="N332" s="117"/>
      <c r="R332" s="117"/>
      <c r="T332" s="117"/>
      <c r="V332" s="117"/>
      <c r="X332" s="117"/>
      <c r="Y332" s="10"/>
      <c r="Z332" s="11"/>
      <c r="AA332" s="36"/>
      <c r="AB332" s="36"/>
      <c r="AC332" s="13"/>
      <c r="AD332" s="13"/>
      <c r="AE332" s="37"/>
      <c r="AF332" s="37"/>
      <c r="AG332" s="14"/>
      <c r="AH332" s="14"/>
      <c r="AI332" s="14"/>
      <c r="AZ332" s="24"/>
    </row>
    <row r="333">
      <c r="B333" s="24"/>
      <c r="E333" s="113"/>
      <c r="F333" s="266"/>
      <c r="G333" s="113"/>
      <c r="K333" s="36"/>
      <c r="L333" s="117"/>
      <c r="M333" s="128"/>
      <c r="N333" s="117"/>
      <c r="R333" s="117"/>
      <c r="T333" s="117"/>
      <c r="V333" s="117"/>
      <c r="X333" s="117"/>
      <c r="Y333" s="10"/>
      <c r="Z333" s="11"/>
      <c r="AA333" s="36"/>
      <c r="AB333" s="36"/>
      <c r="AC333" s="13"/>
      <c r="AD333" s="13"/>
      <c r="AE333" s="37"/>
      <c r="AF333" s="37"/>
      <c r="AG333" s="14"/>
      <c r="AH333" s="14"/>
      <c r="AI333" s="14"/>
      <c r="AZ333" s="24"/>
    </row>
    <row r="334">
      <c r="B334" s="24"/>
      <c r="E334" s="113"/>
      <c r="F334" s="266"/>
      <c r="G334" s="113"/>
      <c r="K334" s="36"/>
      <c r="L334" s="117"/>
      <c r="M334" s="128"/>
      <c r="N334" s="117"/>
      <c r="R334" s="117"/>
      <c r="T334" s="117"/>
      <c r="V334" s="117"/>
      <c r="X334" s="117"/>
      <c r="Y334" s="10"/>
      <c r="Z334" s="11"/>
      <c r="AA334" s="36"/>
      <c r="AB334" s="36"/>
      <c r="AC334" s="13"/>
      <c r="AD334" s="13"/>
      <c r="AE334" s="37"/>
      <c r="AF334" s="37"/>
      <c r="AG334" s="14"/>
      <c r="AH334" s="14"/>
      <c r="AI334" s="14"/>
      <c r="AZ334" s="24"/>
    </row>
    <row r="335">
      <c r="B335" s="24"/>
      <c r="E335" s="113"/>
      <c r="F335" s="266"/>
      <c r="G335" s="113"/>
      <c r="K335" s="36"/>
      <c r="L335" s="117"/>
      <c r="M335" s="128"/>
      <c r="N335" s="117"/>
      <c r="R335" s="117"/>
      <c r="T335" s="117"/>
      <c r="V335" s="117"/>
      <c r="X335" s="117"/>
      <c r="Y335" s="10"/>
      <c r="Z335" s="11"/>
      <c r="AA335" s="36"/>
      <c r="AB335" s="36"/>
      <c r="AC335" s="13"/>
      <c r="AD335" s="13"/>
      <c r="AE335" s="37"/>
      <c r="AF335" s="37"/>
      <c r="AG335" s="14"/>
      <c r="AH335" s="14"/>
      <c r="AI335" s="14"/>
      <c r="AZ335" s="24"/>
    </row>
    <row r="336">
      <c r="B336" s="24"/>
      <c r="E336" s="113"/>
      <c r="F336" s="266"/>
      <c r="G336" s="113"/>
      <c r="K336" s="36"/>
      <c r="L336" s="117"/>
      <c r="M336" s="128"/>
      <c r="N336" s="117"/>
      <c r="R336" s="117"/>
      <c r="T336" s="117"/>
      <c r="V336" s="117"/>
      <c r="X336" s="117"/>
      <c r="Y336" s="10"/>
      <c r="Z336" s="11"/>
      <c r="AA336" s="36"/>
      <c r="AB336" s="36"/>
      <c r="AC336" s="13"/>
      <c r="AD336" s="13"/>
      <c r="AE336" s="37"/>
      <c r="AF336" s="37"/>
      <c r="AG336" s="14"/>
      <c r="AH336" s="14"/>
      <c r="AI336" s="14"/>
      <c r="AZ336" s="24"/>
    </row>
    <row r="337">
      <c r="B337" s="24"/>
      <c r="E337" s="113"/>
      <c r="F337" s="266"/>
      <c r="G337" s="113"/>
      <c r="K337" s="36"/>
      <c r="L337" s="117"/>
      <c r="M337" s="128"/>
      <c r="N337" s="117"/>
      <c r="R337" s="117"/>
      <c r="T337" s="117"/>
      <c r="V337" s="117"/>
      <c r="X337" s="117"/>
      <c r="Y337" s="10"/>
      <c r="Z337" s="11"/>
      <c r="AA337" s="36"/>
      <c r="AB337" s="36"/>
      <c r="AC337" s="13"/>
      <c r="AD337" s="13"/>
      <c r="AE337" s="37"/>
      <c r="AF337" s="37"/>
      <c r="AG337" s="14"/>
      <c r="AH337" s="14"/>
      <c r="AI337" s="14"/>
      <c r="AZ337" s="24"/>
    </row>
    <row r="338">
      <c r="B338" s="24"/>
      <c r="E338" s="113"/>
      <c r="F338" s="266"/>
      <c r="G338" s="113"/>
      <c r="K338" s="36"/>
      <c r="L338" s="117"/>
      <c r="M338" s="128"/>
      <c r="N338" s="117"/>
      <c r="R338" s="117"/>
      <c r="T338" s="117"/>
      <c r="V338" s="117"/>
      <c r="X338" s="117"/>
      <c r="Y338" s="10"/>
      <c r="Z338" s="11"/>
      <c r="AA338" s="36"/>
      <c r="AB338" s="36"/>
      <c r="AC338" s="13"/>
      <c r="AD338" s="13"/>
      <c r="AE338" s="37"/>
      <c r="AF338" s="37"/>
      <c r="AG338" s="14"/>
      <c r="AH338" s="14"/>
      <c r="AI338" s="14"/>
      <c r="AZ338" s="24"/>
    </row>
    <row r="339">
      <c r="B339" s="24"/>
      <c r="E339" s="113"/>
      <c r="F339" s="266"/>
      <c r="G339" s="113"/>
      <c r="K339" s="36"/>
      <c r="L339" s="117"/>
      <c r="M339" s="128"/>
      <c r="N339" s="117"/>
      <c r="R339" s="117"/>
      <c r="T339" s="117"/>
      <c r="V339" s="117"/>
      <c r="X339" s="117"/>
      <c r="Y339" s="10"/>
      <c r="Z339" s="11"/>
      <c r="AA339" s="36"/>
      <c r="AB339" s="36"/>
      <c r="AC339" s="13"/>
      <c r="AD339" s="13"/>
      <c r="AE339" s="37"/>
      <c r="AF339" s="37"/>
      <c r="AG339" s="14"/>
      <c r="AH339" s="14"/>
      <c r="AI339" s="14"/>
      <c r="AZ339" s="24"/>
    </row>
    <row r="340">
      <c r="B340" s="24"/>
      <c r="E340" s="113"/>
      <c r="F340" s="266"/>
      <c r="G340" s="113"/>
      <c r="K340" s="36"/>
      <c r="L340" s="117"/>
      <c r="M340" s="128"/>
      <c r="N340" s="117"/>
      <c r="R340" s="117"/>
      <c r="T340" s="117"/>
      <c r="V340" s="117"/>
      <c r="X340" s="117"/>
      <c r="Y340" s="10"/>
      <c r="Z340" s="11"/>
      <c r="AA340" s="36"/>
      <c r="AB340" s="36"/>
      <c r="AC340" s="13"/>
      <c r="AD340" s="13"/>
      <c r="AE340" s="37"/>
      <c r="AF340" s="37"/>
      <c r="AG340" s="14"/>
      <c r="AH340" s="14"/>
      <c r="AI340" s="14"/>
      <c r="AZ340" s="24"/>
    </row>
    <row r="341">
      <c r="B341" s="24"/>
      <c r="E341" s="113"/>
      <c r="F341" s="266"/>
      <c r="G341" s="113"/>
      <c r="K341" s="36"/>
      <c r="L341" s="117"/>
      <c r="M341" s="128"/>
      <c r="N341" s="117"/>
      <c r="R341" s="117"/>
      <c r="T341" s="117"/>
      <c r="V341" s="117"/>
      <c r="X341" s="117"/>
      <c r="Y341" s="10"/>
      <c r="Z341" s="11"/>
      <c r="AA341" s="36"/>
      <c r="AB341" s="36"/>
      <c r="AC341" s="13"/>
      <c r="AD341" s="13"/>
      <c r="AE341" s="37"/>
      <c r="AF341" s="37"/>
      <c r="AG341" s="14"/>
      <c r="AH341" s="14"/>
      <c r="AI341" s="14"/>
      <c r="AZ341" s="24"/>
    </row>
    <row r="342">
      <c r="B342" s="24"/>
      <c r="E342" s="113"/>
      <c r="F342" s="266"/>
      <c r="G342" s="113"/>
      <c r="K342" s="36"/>
      <c r="L342" s="117"/>
      <c r="M342" s="128"/>
      <c r="N342" s="117"/>
      <c r="R342" s="117"/>
      <c r="T342" s="117"/>
      <c r="V342" s="117"/>
      <c r="X342" s="117"/>
      <c r="Y342" s="10"/>
      <c r="Z342" s="11"/>
      <c r="AA342" s="36"/>
      <c r="AB342" s="36"/>
      <c r="AC342" s="13"/>
      <c r="AD342" s="13"/>
      <c r="AE342" s="37"/>
      <c r="AF342" s="37"/>
      <c r="AG342" s="14"/>
      <c r="AH342" s="14"/>
      <c r="AI342" s="14"/>
      <c r="AZ342" s="24"/>
    </row>
    <row r="343">
      <c r="B343" s="24"/>
      <c r="E343" s="113"/>
      <c r="F343" s="266"/>
      <c r="G343" s="113"/>
      <c r="K343" s="36"/>
      <c r="L343" s="117"/>
      <c r="M343" s="128"/>
      <c r="N343" s="117"/>
      <c r="R343" s="117"/>
      <c r="T343" s="117"/>
      <c r="V343" s="117"/>
      <c r="X343" s="117"/>
      <c r="Y343" s="10"/>
      <c r="Z343" s="11"/>
      <c r="AA343" s="36"/>
      <c r="AB343" s="36"/>
      <c r="AC343" s="13"/>
      <c r="AD343" s="13"/>
      <c r="AE343" s="37"/>
      <c r="AF343" s="37"/>
      <c r="AG343" s="14"/>
      <c r="AH343" s="14"/>
      <c r="AI343" s="14"/>
      <c r="AZ343" s="24"/>
    </row>
    <row r="344">
      <c r="B344" s="24"/>
      <c r="E344" s="113"/>
      <c r="F344" s="266"/>
      <c r="G344" s="113"/>
      <c r="K344" s="36"/>
      <c r="L344" s="117"/>
      <c r="M344" s="128"/>
      <c r="N344" s="117"/>
      <c r="R344" s="117"/>
      <c r="T344" s="117"/>
      <c r="V344" s="117"/>
      <c r="X344" s="117"/>
      <c r="Y344" s="10"/>
      <c r="Z344" s="11"/>
      <c r="AA344" s="36"/>
      <c r="AB344" s="36"/>
      <c r="AC344" s="13"/>
      <c r="AD344" s="13"/>
      <c r="AE344" s="37"/>
      <c r="AF344" s="37"/>
      <c r="AG344" s="14"/>
      <c r="AH344" s="14"/>
      <c r="AI344" s="14"/>
      <c r="AZ344" s="24"/>
    </row>
    <row r="345">
      <c r="B345" s="24"/>
      <c r="E345" s="113"/>
      <c r="F345" s="266"/>
      <c r="G345" s="113"/>
      <c r="K345" s="36"/>
      <c r="L345" s="117"/>
      <c r="M345" s="128"/>
      <c r="N345" s="117"/>
      <c r="R345" s="117"/>
      <c r="T345" s="117"/>
      <c r="V345" s="117"/>
      <c r="X345" s="117"/>
      <c r="Y345" s="10"/>
      <c r="Z345" s="11"/>
      <c r="AA345" s="36"/>
      <c r="AB345" s="36"/>
      <c r="AC345" s="13"/>
      <c r="AD345" s="13"/>
      <c r="AE345" s="37"/>
      <c r="AF345" s="37"/>
      <c r="AG345" s="14"/>
      <c r="AH345" s="14"/>
      <c r="AI345" s="14"/>
      <c r="AZ345" s="24"/>
    </row>
    <row r="346">
      <c r="B346" s="24"/>
      <c r="E346" s="113"/>
      <c r="F346" s="266"/>
      <c r="G346" s="113"/>
      <c r="K346" s="36"/>
      <c r="L346" s="117"/>
      <c r="M346" s="128"/>
      <c r="N346" s="117"/>
      <c r="R346" s="117"/>
      <c r="T346" s="117"/>
      <c r="V346" s="117"/>
      <c r="X346" s="117"/>
      <c r="Y346" s="10"/>
      <c r="Z346" s="11"/>
      <c r="AA346" s="36"/>
      <c r="AB346" s="36"/>
      <c r="AC346" s="13"/>
      <c r="AD346" s="13"/>
      <c r="AE346" s="37"/>
      <c r="AF346" s="37"/>
      <c r="AG346" s="14"/>
      <c r="AH346" s="14"/>
      <c r="AI346" s="14"/>
      <c r="AZ346" s="24"/>
    </row>
    <row r="347">
      <c r="B347" s="24"/>
      <c r="E347" s="113"/>
      <c r="F347" s="266"/>
      <c r="G347" s="113"/>
      <c r="K347" s="36"/>
      <c r="L347" s="117"/>
      <c r="M347" s="128"/>
      <c r="N347" s="117"/>
      <c r="R347" s="117"/>
      <c r="T347" s="117"/>
      <c r="V347" s="117"/>
      <c r="X347" s="117"/>
      <c r="Y347" s="10"/>
      <c r="Z347" s="11"/>
      <c r="AA347" s="36"/>
      <c r="AB347" s="36"/>
      <c r="AC347" s="13"/>
      <c r="AD347" s="13"/>
      <c r="AE347" s="37"/>
      <c r="AF347" s="37"/>
      <c r="AG347" s="14"/>
      <c r="AH347" s="14"/>
      <c r="AI347" s="14"/>
      <c r="AZ347" s="24"/>
    </row>
    <row r="348">
      <c r="B348" s="24"/>
      <c r="E348" s="113"/>
      <c r="F348" s="266"/>
      <c r="G348" s="113"/>
      <c r="K348" s="36"/>
      <c r="L348" s="117"/>
      <c r="M348" s="128"/>
      <c r="N348" s="117"/>
      <c r="R348" s="117"/>
      <c r="T348" s="117"/>
      <c r="V348" s="117"/>
      <c r="X348" s="117"/>
      <c r="Y348" s="10"/>
      <c r="Z348" s="11"/>
      <c r="AA348" s="36"/>
      <c r="AB348" s="36"/>
      <c r="AC348" s="13"/>
      <c r="AD348" s="13"/>
      <c r="AE348" s="37"/>
      <c r="AF348" s="37"/>
      <c r="AG348" s="14"/>
      <c r="AH348" s="14"/>
      <c r="AI348" s="14"/>
      <c r="AZ348" s="24"/>
    </row>
    <row r="349">
      <c r="B349" s="24"/>
      <c r="E349" s="113"/>
      <c r="F349" s="266"/>
      <c r="G349" s="113"/>
      <c r="K349" s="36"/>
      <c r="L349" s="117"/>
      <c r="M349" s="128"/>
      <c r="N349" s="117"/>
      <c r="R349" s="117"/>
      <c r="T349" s="117"/>
      <c r="V349" s="117"/>
      <c r="X349" s="117"/>
      <c r="Y349" s="10"/>
      <c r="Z349" s="11"/>
      <c r="AA349" s="36"/>
      <c r="AB349" s="36"/>
      <c r="AC349" s="13"/>
      <c r="AD349" s="13"/>
      <c r="AE349" s="37"/>
      <c r="AF349" s="37"/>
      <c r="AG349" s="14"/>
      <c r="AH349" s="14"/>
      <c r="AI349" s="14"/>
      <c r="AZ349" s="24"/>
    </row>
    <row r="350">
      <c r="B350" s="24"/>
      <c r="E350" s="113"/>
      <c r="F350" s="266"/>
      <c r="G350" s="113"/>
      <c r="K350" s="36"/>
      <c r="L350" s="117"/>
      <c r="M350" s="128"/>
      <c r="N350" s="117"/>
      <c r="R350" s="117"/>
      <c r="T350" s="117"/>
      <c r="V350" s="117"/>
      <c r="X350" s="117"/>
      <c r="Y350" s="10"/>
      <c r="Z350" s="11"/>
      <c r="AA350" s="36"/>
      <c r="AB350" s="36"/>
      <c r="AC350" s="13"/>
      <c r="AD350" s="13"/>
      <c r="AE350" s="37"/>
      <c r="AF350" s="37"/>
      <c r="AG350" s="14"/>
      <c r="AH350" s="14"/>
      <c r="AI350" s="14"/>
      <c r="AZ350" s="24"/>
    </row>
    <row r="351">
      <c r="B351" s="24"/>
      <c r="E351" s="113"/>
      <c r="F351" s="266"/>
      <c r="G351" s="113"/>
      <c r="K351" s="36"/>
      <c r="L351" s="117"/>
      <c r="M351" s="128"/>
      <c r="N351" s="117"/>
      <c r="R351" s="117"/>
      <c r="T351" s="117"/>
      <c r="V351" s="117"/>
      <c r="X351" s="117"/>
      <c r="Y351" s="10"/>
      <c r="Z351" s="11"/>
      <c r="AA351" s="36"/>
      <c r="AB351" s="36"/>
      <c r="AC351" s="13"/>
      <c r="AD351" s="13"/>
      <c r="AE351" s="37"/>
      <c r="AF351" s="37"/>
      <c r="AG351" s="14"/>
      <c r="AH351" s="14"/>
      <c r="AI351" s="14"/>
      <c r="AZ351" s="24"/>
    </row>
    <row r="352">
      <c r="B352" s="24"/>
      <c r="E352" s="113"/>
      <c r="F352" s="266"/>
      <c r="G352" s="113"/>
      <c r="K352" s="36"/>
      <c r="L352" s="117"/>
      <c r="M352" s="128"/>
      <c r="N352" s="117"/>
      <c r="R352" s="117"/>
      <c r="T352" s="117"/>
      <c r="V352" s="117"/>
      <c r="X352" s="117"/>
      <c r="Y352" s="10"/>
      <c r="Z352" s="11"/>
      <c r="AA352" s="36"/>
      <c r="AB352" s="36"/>
      <c r="AC352" s="13"/>
      <c r="AD352" s="13"/>
      <c r="AE352" s="37"/>
      <c r="AF352" s="37"/>
      <c r="AG352" s="14"/>
      <c r="AH352" s="14"/>
      <c r="AI352" s="14"/>
      <c r="AZ352" s="24"/>
    </row>
    <row r="353">
      <c r="B353" s="24"/>
      <c r="E353" s="113"/>
      <c r="F353" s="266"/>
      <c r="G353" s="113"/>
      <c r="K353" s="36"/>
      <c r="L353" s="117"/>
      <c r="M353" s="128"/>
      <c r="N353" s="117"/>
      <c r="R353" s="117"/>
      <c r="T353" s="117"/>
      <c r="V353" s="117"/>
      <c r="X353" s="117"/>
      <c r="Y353" s="10"/>
      <c r="Z353" s="11"/>
      <c r="AA353" s="36"/>
      <c r="AB353" s="36"/>
      <c r="AC353" s="13"/>
      <c r="AD353" s="13"/>
      <c r="AE353" s="37"/>
      <c r="AF353" s="37"/>
      <c r="AG353" s="14"/>
      <c r="AH353" s="14"/>
      <c r="AI353" s="14"/>
      <c r="AZ353" s="24"/>
    </row>
    <row r="354">
      <c r="B354" s="24"/>
      <c r="E354" s="113"/>
      <c r="F354" s="266"/>
      <c r="G354" s="113"/>
      <c r="K354" s="36"/>
      <c r="L354" s="117"/>
      <c r="M354" s="128"/>
      <c r="N354" s="117"/>
      <c r="R354" s="117"/>
      <c r="T354" s="117"/>
      <c r="V354" s="117"/>
      <c r="X354" s="117"/>
      <c r="Y354" s="10"/>
      <c r="Z354" s="11"/>
      <c r="AA354" s="36"/>
      <c r="AB354" s="36"/>
      <c r="AC354" s="13"/>
      <c r="AD354" s="13"/>
      <c r="AE354" s="37"/>
      <c r="AF354" s="37"/>
      <c r="AG354" s="14"/>
      <c r="AH354" s="14"/>
      <c r="AI354" s="14"/>
      <c r="AZ354" s="24"/>
    </row>
    <row r="355">
      <c r="B355" s="24"/>
      <c r="E355" s="113"/>
      <c r="F355" s="266"/>
      <c r="G355" s="113"/>
      <c r="K355" s="36"/>
      <c r="L355" s="117"/>
      <c r="M355" s="128"/>
      <c r="N355" s="117"/>
      <c r="R355" s="117"/>
      <c r="T355" s="117"/>
      <c r="V355" s="117"/>
      <c r="X355" s="117"/>
      <c r="Y355" s="10"/>
      <c r="Z355" s="11"/>
      <c r="AA355" s="36"/>
      <c r="AB355" s="36"/>
      <c r="AC355" s="13"/>
      <c r="AD355" s="13"/>
      <c r="AE355" s="37"/>
      <c r="AF355" s="37"/>
      <c r="AG355" s="14"/>
      <c r="AH355" s="14"/>
      <c r="AI355" s="14"/>
      <c r="AZ355" s="24"/>
    </row>
    <row r="356">
      <c r="B356" s="24"/>
      <c r="E356" s="113"/>
      <c r="F356" s="266"/>
      <c r="G356" s="113"/>
      <c r="K356" s="36"/>
      <c r="L356" s="117"/>
      <c r="M356" s="128"/>
      <c r="N356" s="117"/>
      <c r="R356" s="117"/>
      <c r="T356" s="117"/>
      <c r="V356" s="117"/>
      <c r="X356" s="117"/>
      <c r="Y356" s="10"/>
      <c r="Z356" s="11"/>
      <c r="AA356" s="36"/>
      <c r="AB356" s="36"/>
      <c r="AC356" s="13"/>
      <c r="AD356" s="13"/>
      <c r="AE356" s="37"/>
      <c r="AF356" s="37"/>
      <c r="AG356" s="14"/>
      <c r="AH356" s="14"/>
      <c r="AI356" s="14"/>
      <c r="AZ356" s="24"/>
    </row>
    <row r="357">
      <c r="B357" s="24"/>
      <c r="E357" s="113"/>
      <c r="F357" s="266"/>
      <c r="G357" s="113"/>
      <c r="K357" s="36"/>
      <c r="L357" s="117"/>
      <c r="M357" s="128"/>
      <c r="N357" s="117"/>
      <c r="R357" s="117"/>
      <c r="T357" s="117"/>
      <c r="V357" s="117"/>
      <c r="X357" s="117"/>
      <c r="Y357" s="10"/>
      <c r="Z357" s="11"/>
      <c r="AA357" s="36"/>
      <c r="AB357" s="36"/>
      <c r="AC357" s="13"/>
      <c r="AD357" s="13"/>
      <c r="AE357" s="37"/>
      <c r="AF357" s="37"/>
      <c r="AG357" s="14"/>
      <c r="AH357" s="14"/>
      <c r="AI357" s="14"/>
      <c r="AZ357" s="24"/>
    </row>
    <row r="358">
      <c r="B358" s="24"/>
      <c r="E358" s="113"/>
      <c r="F358" s="266"/>
      <c r="G358" s="113"/>
      <c r="K358" s="36"/>
      <c r="L358" s="117"/>
      <c r="M358" s="128"/>
      <c r="N358" s="117"/>
      <c r="R358" s="117"/>
      <c r="T358" s="117"/>
      <c r="V358" s="117"/>
      <c r="X358" s="117"/>
      <c r="Y358" s="10"/>
      <c r="Z358" s="11"/>
      <c r="AA358" s="36"/>
      <c r="AB358" s="36"/>
      <c r="AC358" s="13"/>
      <c r="AD358" s="13"/>
      <c r="AE358" s="37"/>
      <c r="AF358" s="37"/>
      <c r="AG358" s="14"/>
      <c r="AH358" s="14"/>
      <c r="AI358" s="14"/>
      <c r="AZ358" s="24"/>
    </row>
    <row r="359">
      <c r="B359" s="24"/>
      <c r="E359" s="113"/>
      <c r="F359" s="266"/>
      <c r="G359" s="113"/>
      <c r="K359" s="36"/>
      <c r="L359" s="117"/>
      <c r="M359" s="128"/>
      <c r="N359" s="117"/>
      <c r="R359" s="117"/>
      <c r="T359" s="117"/>
      <c r="V359" s="117"/>
      <c r="X359" s="117"/>
      <c r="Y359" s="10"/>
      <c r="Z359" s="11"/>
      <c r="AA359" s="36"/>
      <c r="AB359" s="36"/>
      <c r="AC359" s="13"/>
      <c r="AD359" s="13"/>
      <c r="AE359" s="37"/>
      <c r="AF359" s="37"/>
      <c r="AG359" s="14"/>
      <c r="AH359" s="14"/>
      <c r="AI359" s="14"/>
      <c r="AZ359" s="24"/>
    </row>
    <row r="360">
      <c r="B360" s="24"/>
      <c r="E360" s="113"/>
      <c r="F360" s="266"/>
      <c r="G360" s="113"/>
      <c r="K360" s="36"/>
      <c r="L360" s="117"/>
      <c r="M360" s="128"/>
      <c r="N360" s="117"/>
      <c r="R360" s="117"/>
      <c r="T360" s="117"/>
      <c r="V360" s="117"/>
      <c r="X360" s="117"/>
      <c r="Y360" s="10"/>
      <c r="Z360" s="11"/>
      <c r="AA360" s="36"/>
      <c r="AB360" s="36"/>
      <c r="AC360" s="13"/>
      <c r="AD360" s="13"/>
      <c r="AE360" s="37"/>
      <c r="AF360" s="37"/>
      <c r="AG360" s="14"/>
      <c r="AH360" s="14"/>
      <c r="AI360" s="14"/>
      <c r="AZ360" s="24"/>
    </row>
    <row r="361">
      <c r="B361" s="24"/>
      <c r="E361" s="113"/>
      <c r="F361" s="266"/>
      <c r="G361" s="113"/>
      <c r="K361" s="36"/>
      <c r="L361" s="117"/>
      <c r="M361" s="128"/>
      <c r="N361" s="117"/>
      <c r="R361" s="117"/>
      <c r="T361" s="117"/>
      <c r="V361" s="117"/>
      <c r="X361" s="117"/>
      <c r="Y361" s="10"/>
      <c r="Z361" s="11"/>
      <c r="AA361" s="36"/>
      <c r="AB361" s="36"/>
      <c r="AC361" s="13"/>
      <c r="AD361" s="13"/>
      <c r="AE361" s="37"/>
      <c r="AF361" s="37"/>
      <c r="AG361" s="14"/>
      <c r="AH361" s="14"/>
      <c r="AI361" s="14"/>
      <c r="AZ361" s="24"/>
    </row>
    <row r="362">
      <c r="B362" s="24"/>
      <c r="E362" s="113"/>
      <c r="F362" s="266"/>
      <c r="G362" s="113"/>
      <c r="K362" s="36"/>
      <c r="L362" s="117"/>
      <c r="M362" s="128"/>
      <c r="N362" s="117"/>
      <c r="R362" s="117"/>
      <c r="T362" s="117"/>
      <c r="V362" s="117"/>
      <c r="X362" s="117"/>
      <c r="Y362" s="10"/>
      <c r="Z362" s="11"/>
      <c r="AA362" s="36"/>
      <c r="AB362" s="36"/>
      <c r="AC362" s="13"/>
      <c r="AD362" s="13"/>
      <c r="AE362" s="37"/>
      <c r="AF362" s="37"/>
      <c r="AG362" s="14"/>
      <c r="AH362" s="14"/>
      <c r="AI362" s="14"/>
      <c r="AZ362" s="24"/>
    </row>
    <row r="363">
      <c r="B363" s="24"/>
      <c r="E363" s="113"/>
      <c r="F363" s="266"/>
      <c r="G363" s="113"/>
      <c r="K363" s="36"/>
      <c r="L363" s="117"/>
      <c r="M363" s="128"/>
      <c r="N363" s="117"/>
      <c r="R363" s="117"/>
      <c r="T363" s="117"/>
      <c r="V363" s="117"/>
      <c r="X363" s="117"/>
      <c r="Y363" s="10"/>
      <c r="Z363" s="11"/>
      <c r="AA363" s="36"/>
      <c r="AB363" s="36"/>
      <c r="AC363" s="13"/>
      <c r="AD363" s="13"/>
      <c r="AE363" s="37"/>
      <c r="AF363" s="37"/>
      <c r="AG363" s="14"/>
      <c r="AH363" s="14"/>
      <c r="AI363" s="14"/>
      <c r="AZ363" s="24"/>
    </row>
    <row r="364">
      <c r="B364" s="24"/>
      <c r="E364" s="113"/>
      <c r="F364" s="266"/>
      <c r="G364" s="113"/>
      <c r="K364" s="36"/>
      <c r="L364" s="117"/>
      <c r="M364" s="128"/>
      <c r="N364" s="117"/>
      <c r="R364" s="117"/>
      <c r="T364" s="117"/>
      <c r="V364" s="117"/>
      <c r="X364" s="117"/>
      <c r="Y364" s="10"/>
      <c r="Z364" s="11"/>
      <c r="AA364" s="36"/>
      <c r="AB364" s="36"/>
      <c r="AC364" s="13"/>
      <c r="AD364" s="13"/>
      <c r="AE364" s="37"/>
      <c r="AF364" s="37"/>
      <c r="AG364" s="14"/>
      <c r="AH364" s="14"/>
      <c r="AI364" s="14"/>
      <c r="AZ364" s="24"/>
    </row>
    <row r="365">
      <c r="B365" s="24"/>
      <c r="E365" s="113"/>
      <c r="F365" s="266"/>
      <c r="G365" s="113"/>
      <c r="K365" s="36"/>
      <c r="L365" s="117"/>
      <c r="M365" s="128"/>
      <c r="N365" s="117"/>
      <c r="R365" s="117"/>
      <c r="T365" s="117"/>
      <c r="V365" s="117"/>
      <c r="X365" s="117"/>
      <c r="Y365" s="10"/>
      <c r="Z365" s="11"/>
      <c r="AA365" s="36"/>
      <c r="AB365" s="36"/>
      <c r="AC365" s="13"/>
      <c r="AD365" s="13"/>
      <c r="AE365" s="37"/>
      <c r="AF365" s="37"/>
      <c r="AG365" s="14"/>
      <c r="AH365" s="14"/>
      <c r="AI365" s="14"/>
      <c r="AZ365" s="24"/>
    </row>
    <row r="366">
      <c r="B366" s="24"/>
      <c r="E366" s="113"/>
      <c r="F366" s="266"/>
      <c r="G366" s="113"/>
      <c r="K366" s="36"/>
      <c r="L366" s="117"/>
      <c r="M366" s="128"/>
      <c r="N366" s="117"/>
      <c r="R366" s="117"/>
      <c r="T366" s="117"/>
      <c r="V366" s="117"/>
      <c r="X366" s="117"/>
      <c r="Y366" s="10"/>
      <c r="Z366" s="11"/>
      <c r="AA366" s="36"/>
      <c r="AB366" s="36"/>
      <c r="AC366" s="13"/>
      <c r="AD366" s="13"/>
      <c r="AE366" s="37"/>
      <c r="AF366" s="37"/>
      <c r="AG366" s="14"/>
      <c r="AH366" s="14"/>
      <c r="AI366" s="14"/>
      <c r="AZ366" s="24"/>
    </row>
    <row r="367">
      <c r="B367" s="24"/>
      <c r="E367" s="113"/>
      <c r="F367" s="266"/>
      <c r="G367" s="113"/>
      <c r="K367" s="36"/>
      <c r="L367" s="117"/>
      <c r="M367" s="128"/>
      <c r="N367" s="117"/>
      <c r="R367" s="117"/>
      <c r="T367" s="117"/>
      <c r="V367" s="117"/>
      <c r="X367" s="117"/>
      <c r="Y367" s="10"/>
      <c r="Z367" s="11"/>
      <c r="AA367" s="36"/>
      <c r="AB367" s="36"/>
      <c r="AC367" s="13"/>
      <c r="AD367" s="13"/>
      <c r="AE367" s="37"/>
      <c r="AF367" s="37"/>
      <c r="AG367" s="14"/>
      <c r="AH367" s="14"/>
      <c r="AI367" s="14"/>
      <c r="AZ367" s="24"/>
    </row>
    <row r="368">
      <c r="B368" s="24"/>
      <c r="E368" s="113"/>
      <c r="F368" s="266"/>
      <c r="G368" s="113"/>
      <c r="K368" s="36"/>
      <c r="L368" s="117"/>
      <c r="M368" s="128"/>
      <c r="N368" s="117"/>
      <c r="R368" s="117"/>
      <c r="T368" s="117"/>
      <c r="V368" s="117"/>
      <c r="X368" s="117"/>
      <c r="Y368" s="10"/>
      <c r="Z368" s="11"/>
      <c r="AA368" s="36"/>
      <c r="AB368" s="36"/>
      <c r="AC368" s="13"/>
      <c r="AD368" s="13"/>
      <c r="AE368" s="37"/>
      <c r="AF368" s="37"/>
      <c r="AG368" s="14"/>
      <c r="AH368" s="14"/>
      <c r="AI368" s="14"/>
      <c r="AZ368" s="24"/>
    </row>
    <row r="369">
      <c r="B369" s="24"/>
      <c r="E369" s="113"/>
      <c r="F369" s="266"/>
      <c r="G369" s="113"/>
      <c r="K369" s="36"/>
      <c r="L369" s="117"/>
      <c r="M369" s="128"/>
      <c r="N369" s="117"/>
      <c r="R369" s="117"/>
      <c r="T369" s="117"/>
      <c r="V369" s="117"/>
      <c r="X369" s="117"/>
      <c r="Y369" s="10"/>
      <c r="Z369" s="11"/>
      <c r="AA369" s="36"/>
      <c r="AB369" s="36"/>
      <c r="AC369" s="13"/>
      <c r="AD369" s="13"/>
      <c r="AE369" s="37"/>
      <c r="AF369" s="37"/>
      <c r="AG369" s="14"/>
      <c r="AH369" s="14"/>
      <c r="AI369" s="14"/>
      <c r="AZ369" s="24"/>
    </row>
    <row r="370">
      <c r="B370" s="24"/>
      <c r="E370" s="113"/>
      <c r="F370" s="266"/>
      <c r="G370" s="113"/>
      <c r="K370" s="36"/>
      <c r="L370" s="117"/>
      <c r="M370" s="128"/>
      <c r="N370" s="117"/>
      <c r="R370" s="117"/>
      <c r="T370" s="117"/>
      <c r="V370" s="117"/>
      <c r="X370" s="117"/>
      <c r="Y370" s="10"/>
      <c r="Z370" s="11"/>
      <c r="AA370" s="36"/>
      <c r="AB370" s="36"/>
      <c r="AC370" s="13"/>
      <c r="AD370" s="13"/>
      <c r="AE370" s="37"/>
      <c r="AF370" s="37"/>
      <c r="AG370" s="14"/>
      <c r="AH370" s="14"/>
      <c r="AI370" s="14"/>
      <c r="AZ370" s="24"/>
    </row>
    <row r="371">
      <c r="B371" s="24"/>
      <c r="E371" s="113"/>
      <c r="F371" s="266"/>
      <c r="G371" s="113"/>
      <c r="K371" s="36"/>
      <c r="L371" s="117"/>
      <c r="M371" s="128"/>
      <c r="N371" s="117"/>
      <c r="R371" s="117"/>
      <c r="T371" s="117"/>
      <c r="V371" s="117"/>
      <c r="X371" s="117"/>
      <c r="Y371" s="10"/>
      <c r="Z371" s="11"/>
      <c r="AA371" s="36"/>
      <c r="AB371" s="36"/>
      <c r="AC371" s="13"/>
      <c r="AD371" s="13"/>
      <c r="AE371" s="37"/>
      <c r="AF371" s="37"/>
      <c r="AG371" s="14"/>
      <c r="AH371" s="14"/>
      <c r="AI371" s="14"/>
      <c r="AZ371" s="24"/>
    </row>
    <row r="372">
      <c r="B372" s="24"/>
      <c r="E372" s="113"/>
      <c r="F372" s="266"/>
      <c r="G372" s="113"/>
      <c r="K372" s="36"/>
      <c r="L372" s="117"/>
      <c r="M372" s="128"/>
      <c r="N372" s="117"/>
      <c r="R372" s="117"/>
      <c r="T372" s="117"/>
      <c r="V372" s="117"/>
      <c r="X372" s="117"/>
      <c r="Y372" s="10"/>
      <c r="Z372" s="11"/>
      <c r="AA372" s="36"/>
      <c r="AB372" s="36"/>
      <c r="AC372" s="13"/>
      <c r="AD372" s="13"/>
      <c r="AE372" s="37"/>
      <c r="AF372" s="37"/>
      <c r="AG372" s="14"/>
      <c r="AH372" s="14"/>
      <c r="AI372" s="14"/>
      <c r="AZ372" s="24"/>
    </row>
    <row r="373">
      <c r="B373" s="24"/>
      <c r="E373" s="113"/>
      <c r="F373" s="266"/>
      <c r="G373" s="113"/>
      <c r="K373" s="36"/>
      <c r="L373" s="117"/>
      <c r="M373" s="128"/>
      <c r="N373" s="117"/>
      <c r="R373" s="117"/>
      <c r="T373" s="117"/>
      <c r="V373" s="117"/>
      <c r="X373" s="117"/>
      <c r="Y373" s="10"/>
      <c r="Z373" s="11"/>
      <c r="AA373" s="36"/>
      <c r="AB373" s="36"/>
      <c r="AC373" s="13"/>
      <c r="AD373" s="13"/>
      <c r="AE373" s="37"/>
      <c r="AF373" s="37"/>
      <c r="AG373" s="14"/>
      <c r="AH373" s="14"/>
      <c r="AI373" s="14"/>
      <c r="AZ373" s="24"/>
    </row>
    <row r="374">
      <c r="B374" s="24"/>
      <c r="E374" s="113"/>
      <c r="F374" s="266"/>
      <c r="G374" s="113"/>
      <c r="K374" s="36"/>
      <c r="L374" s="117"/>
      <c r="M374" s="128"/>
      <c r="N374" s="117"/>
      <c r="R374" s="117"/>
      <c r="T374" s="117"/>
      <c r="V374" s="117"/>
      <c r="X374" s="117"/>
      <c r="Y374" s="10"/>
      <c r="Z374" s="11"/>
      <c r="AA374" s="36"/>
      <c r="AB374" s="36"/>
      <c r="AC374" s="13"/>
      <c r="AD374" s="13"/>
      <c r="AE374" s="37"/>
      <c r="AF374" s="37"/>
      <c r="AG374" s="14"/>
      <c r="AH374" s="14"/>
      <c r="AI374" s="14"/>
      <c r="AZ374" s="24"/>
    </row>
    <row r="375">
      <c r="B375" s="24"/>
      <c r="E375" s="113"/>
      <c r="F375" s="266"/>
      <c r="G375" s="113"/>
      <c r="K375" s="36"/>
      <c r="L375" s="117"/>
      <c r="M375" s="128"/>
      <c r="N375" s="117"/>
      <c r="R375" s="117"/>
      <c r="T375" s="117"/>
      <c r="V375" s="117"/>
      <c r="X375" s="117"/>
      <c r="Y375" s="10"/>
      <c r="Z375" s="11"/>
      <c r="AA375" s="36"/>
      <c r="AB375" s="36"/>
      <c r="AC375" s="13"/>
      <c r="AD375" s="13"/>
      <c r="AE375" s="37"/>
      <c r="AF375" s="37"/>
      <c r="AG375" s="14"/>
      <c r="AH375" s="14"/>
      <c r="AI375" s="14"/>
      <c r="AZ375" s="24"/>
    </row>
    <row r="376">
      <c r="B376" s="24"/>
      <c r="E376" s="113"/>
      <c r="F376" s="266"/>
      <c r="G376" s="113"/>
      <c r="K376" s="36"/>
      <c r="L376" s="117"/>
      <c r="M376" s="128"/>
      <c r="N376" s="117"/>
      <c r="R376" s="117"/>
      <c r="T376" s="117"/>
      <c r="V376" s="117"/>
      <c r="X376" s="117"/>
      <c r="Y376" s="10"/>
      <c r="Z376" s="11"/>
      <c r="AA376" s="36"/>
      <c r="AB376" s="36"/>
      <c r="AC376" s="13"/>
      <c r="AD376" s="13"/>
      <c r="AE376" s="37"/>
      <c r="AF376" s="37"/>
      <c r="AG376" s="14"/>
      <c r="AH376" s="14"/>
      <c r="AI376" s="14"/>
      <c r="AZ376" s="24"/>
    </row>
    <row r="377">
      <c r="B377" s="24"/>
      <c r="E377" s="113"/>
      <c r="F377" s="266"/>
      <c r="G377" s="113"/>
      <c r="K377" s="36"/>
      <c r="L377" s="117"/>
      <c r="M377" s="128"/>
      <c r="N377" s="117"/>
      <c r="R377" s="117"/>
      <c r="T377" s="117"/>
      <c r="V377" s="117"/>
      <c r="X377" s="117"/>
      <c r="Y377" s="10"/>
      <c r="Z377" s="11"/>
      <c r="AA377" s="36"/>
      <c r="AB377" s="36"/>
      <c r="AC377" s="13"/>
      <c r="AD377" s="13"/>
      <c r="AE377" s="37"/>
      <c r="AF377" s="37"/>
      <c r="AG377" s="14"/>
      <c r="AH377" s="14"/>
      <c r="AI377" s="14"/>
      <c r="AZ377" s="24"/>
    </row>
    <row r="378">
      <c r="B378" s="24"/>
      <c r="E378" s="113"/>
      <c r="F378" s="266"/>
      <c r="G378" s="113"/>
      <c r="K378" s="36"/>
      <c r="L378" s="117"/>
      <c r="M378" s="128"/>
      <c r="N378" s="117"/>
      <c r="R378" s="117"/>
      <c r="T378" s="117"/>
      <c r="V378" s="117"/>
      <c r="X378" s="117"/>
      <c r="Y378" s="10"/>
      <c r="Z378" s="11"/>
      <c r="AA378" s="36"/>
      <c r="AB378" s="36"/>
      <c r="AC378" s="13"/>
      <c r="AD378" s="13"/>
      <c r="AE378" s="37"/>
      <c r="AF378" s="37"/>
      <c r="AG378" s="14"/>
      <c r="AH378" s="14"/>
      <c r="AI378" s="14"/>
      <c r="AZ378" s="24"/>
    </row>
    <row r="379">
      <c r="B379" s="24"/>
      <c r="E379" s="113"/>
      <c r="F379" s="266"/>
      <c r="G379" s="113"/>
      <c r="K379" s="36"/>
      <c r="L379" s="117"/>
      <c r="M379" s="128"/>
      <c r="N379" s="117"/>
      <c r="R379" s="117"/>
      <c r="T379" s="117"/>
      <c r="V379" s="117"/>
      <c r="X379" s="117"/>
      <c r="Y379" s="10"/>
      <c r="Z379" s="11"/>
      <c r="AA379" s="36"/>
      <c r="AB379" s="36"/>
      <c r="AC379" s="13"/>
      <c r="AD379" s="13"/>
      <c r="AE379" s="37"/>
      <c r="AF379" s="37"/>
      <c r="AG379" s="14"/>
      <c r="AH379" s="14"/>
      <c r="AI379" s="14"/>
      <c r="AZ379" s="24"/>
    </row>
    <row r="380">
      <c r="B380" s="24"/>
      <c r="E380" s="113"/>
      <c r="F380" s="266"/>
      <c r="G380" s="113"/>
      <c r="K380" s="36"/>
      <c r="L380" s="117"/>
      <c r="M380" s="128"/>
      <c r="N380" s="117"/>
      <c r="R380" s="117"/>
      <c r="T380" s="117"/>
      <c r="V380" s="117"/>
      <c r="X380" s="117"/>
      <c r="Y380" s="10"/>
      <c r="Z380" s="11"/>
      <c r="AA380" s="36"/>
      <c r="AB380" s="36"/>
      <c r="AC380" s="13"/>
      <c r="AD380" s="13"/>
      <c r="AE380" s="37"/>
      <c r="AF380" s="37"/>
      <c r="AG380" s="14"/>
      <c r="AH380" s="14"/>
      <c r="AI380" s="14"/>
      <c r="AZ380" s="24"/>
    </row>
    <row r="381">
      <c r="B381" s="24"/>
      <c r="E381" s="113"/>
      <c r="F381" s="266"/>
      <c r="G381" s="113"/>
      <c r="K381" s="36"/>
      <c r="L381" s="117"/>
      <c r="M381" s="128"/>
      <c r="N381" s="117"/>
      <c r="R381" s="117"/>
      <c r="T381" s="117"/>
      <c r="V381" s="117"/>
      <c r="X381" s="117"/>
      <c r="Y381" s="10"/>
      <c r="Z381" s="11"/>
      <c r="AA381" s="36"/>
      <c r="AB381" s="36"/>
      <c r="AC381" s="13"/>
      <c r="AD381" s="13"/>
      <c r="AE381" s="37"/>
      <c r="AF381" s="37"/>
      <c r="AG381" s="14"/>
      <c r="AH381" s="14"/>
      <c r="AI381" s="14"/>
      <c r="AZ381" s="24"/>
    </row>
    <row r="382">
      <c r="B382" s="24"/>
      <c r="E382" s="113"/>
      <c r="F382" s="266"/>
      <c r="G382" s="113"/>
      <c r="K382" s="36"/>
      <c r="L382" s="117"/>
      <c r="M382" s="128"/>
      <c r="N382" s="117"/>
      <c r="R382" s="117"/>
      <c r="T382" s="117"/>
      <c r="V382" s="117"/>
      <c r="X382" s="117"/>
      <c r="Y382" s="10"/>
      <c r="Z382" s="11"/>
      <c r="AA382" s="36"/>
      <c r="AB382" s="36"/>
      <c r="AC382" s="13"/>
      <c r="AD382" s="13"/>
      <c r="AE382" s="37"/>
      <c r="AF382" s="37"/>
      <c r="AG382" s="14"/>
      <c r="AH382" s="14"/>
      <c r="AI382" s="14"/>
      <c r="AZ382" s="24"/>
    </row>
    <row r="383">
      <c r="B383" s="24"/>
      <c r="E383" s="113"/>
      <c r="F383" s="266"/>
      <c r="G383" s="113"/>
      <c r="K383" s="36"/>
      <c r="L383" s="117"/>
      <c r="M383" s="128"/>
      <c r="N383" s="117"/>
      <c r="R383" s="117"/>
      <c r="T383" s="117"/>
      <c r="V383" s="117"/>
      <c r="X383" s="117"/>
      <c r="Y383" s="10"/>
      <c r="Z383" s="11"/>
      <c r="AA383" s="36"/>
      <c r="AB383" s="36"/>
      <c r="AC383" s="13"/>
      <c r="AD383" s="13"/>
      <c r="AE383" s="37"/>
      <c r="AF383" s="37"/>
      <c r="AG383" s="14"/>
      <c r="AH383" s="14"/>
      <c r="AI383" s="14"/>
      <c r="AZ383" s="24"/>
    </row>
    <row r="384">
      <c r="B384" s="24"/>
      <c r="E384" s="113"/>
      <c r="F384" s="266"/>
      <c r="G384" s="113"/>
      <c r="K384" s="36"/>
      <c r="L384" s="117"/>
      <c r="M384" s="128"/>
      <c r="N384" s="117"/>
      <c r="R384" s="117"/>
      <c r="T384" s="117"/>
      <c r="V384" s="117"/>
      <c r="X384" s="117"/>
      <c r="Y384" s="10"/>
      <c r="Z384" s="11"/>
      <c r="AA384" s="36"/>
      <c r="AB384" s="36"/>
      <c r="AC384" s="13"/>
      <c r="AD384" s="13"/>
      <c r="AE384" s="37"/>
      <c r="AF384" s="37"/>
      <c r="AG384" s="14"/>
      <c r="AH384" s="14"/>
      <c r="AI384" s="14"/>
      <c r="AZ384" s="24"/>
    </row>
    <row r="385">
      <c r="B385" s="24"/>
      <c r="E385" s="113"/>
      <c r="F385" s="266"/>
      <c r="G385" s="113"/>
      <c r="K385" s="36"/>
      <c r="L385" s="117"/>
      <c r="M385" s="128"/>
      <c r="N385" s="117"/>
      <c r="R385" s="117"/>
      <c r="T385" s="117"/>
      <c r="V385" s="117"/>
      <c r="X385" s="117"/>
      <c r="Y385" s="10"/>
      <c r="Z385" s="11"/>
      <c r="AA385" s="36"/>
      <c r="AB385" s="36"/>
      <c r="AC385" s="13"/>
      <c r="AD385" s="13"/>
      <c r="AE385" s="37"/>
      <c r="AF385" s="37"/>
      <c r="AG385" s="14"/>
      <c r="AH385" s="14"/>
      <c r="AI385" s="14"/>
      <c r="AZ385" s="24"/>
    </row>
    <row r="386">
      <c r="B386" s="24"/>
      <c r="E386" s="113"/>
      <c r="F386" s="266"/>
      <c r="G386" s="113"/>
      <c r="K386" s="36"/>
      <c r="L386" s="117"/>
      <c r="M386" s="128"/>
      <c r="N386" s="117"/>
      <c r="R386" s="117"/>
      <c r="T386" s="117"/>
      <c r="V386" s="117"/>
      <c r="X386" s="117"/>
      <c r="Y386" s="10"/>
      <c r="Z386" s="11"/>
      <c r="AA386" s="36"/>
      <c r="AB386" s="36"/>
      <c r="AC386" s="13"/>
      <c r="AD386" s="13"/>
      <c r="AE386" s="37"/>
      <c r="AF386" s="37"/>
      <c r="AG386" s="14"/>
      <c r="AH386" s="14"/>
      <c r="AI386" s="14"/>
      <c r="AZ386" s="24"/>
    </row>
    <row r="387">
      <c r="B387" s="24"/>
      <c r="E387" s="113"/>
      <c r="F387" s="266"/>
      <c r="G387" s="113"/>
      <c r="K387" s="36"/>
      <c r="L387" s="117"/>
      <c r="M387" s="128"/>
      <c r="N387" s="117"/>
      <c r="R387" s="117"/>
      <c r="T387" s="117"/>
      <c r="V387" s="117"/>
      <c r="X387" s="117"/>
      <c r="Y387" s="10"/>
      <c r="Z387" s="11"/>
      <c r="AA387" s="36"/>
      <c r="AB387" s="36"/>
      <c r="AC387" s="13"/>
      <c r="AD387" s="13"/>
      <c r="AE387" s="37"/>
      <c r="AF387" s="37"/>
      <c r="AG387" s="14"/>
      <c r="AH387" s="14"/>
      <c r="AI387" s="14"/>
      <c r="AZ387" s="24"/>
    </row>
    <row r="388">
      <c r="B388" s="24"/>
      <c r="E388" s="113"/>
      <c r="F388" s="266"/>
      <c r="G388" s="113"/>
      <c r="K388" s="36"/>
      <c r="L388" s="117"/>
      <c r="M388" s="128"/>
      <c r="N388" s="117"/>
      <c r="R388" s="117"/>
      <c r="T388" s="117"/>
      <c r="V388" s="117"/>
      <c r="X388" s="117"/>
      <c r="Y388" s="10"/>
      <c r="Z388" s="11"/>
      <c r="AA388" s="36"/>
      <c r="AB388" s="36"/>
      <c r="AC388" s="13"/>
      <c r="AD388" s="13"/>
      <c r="AE388" s="37"/>
      <c r="AF388" s="37"/>
      <c r="AG388" s="14"/>
      <c r="AH388" s="14"/>
      <c r="AI388" s="14"/>
      <c r="AZ388" s="24"/>
    </row>
    <row r="389">
      <c r="B389" s="24"/>
      <c r="E389" s="113"/>
      <c r="F389" s="266"/>
      <c r="G389" s="113"/>
      <c r="K389" s="36"/>
      <c r="L389" s="117"/>
      <c r="M389" s="128"/>
      <c r="N389" s="117"/>
      <c r="R389" s="117"/>
      <c r="T389" s="117"/>
      <c r="V389" s="117"/>
      <c r="X389" s="117"/>
      <c r="Y389" s="10"/>
      <c r="Z389" s="11"/>
      <c r="AA389" s="36"/>
      <c r="AB389" s="36"/>
      <c r="AC389" s="13"/>
      <c r="AD389" s="13"/>
      <c r="AE389" s="37"/>
      <c r="AF389" s="37"/>
      <c r="AG389" s="14"/>
      <c r="AH389" s="14"/>
      <c r="AI389" s="14"/>
      <c r="AZ389" s="24"/>
    </row>
    <row r="390">
      <c r="B390" s="24"/>
      <c r="E390" s="113"/>
      <c r="F390" s="266"/>
      <c r="G390" s="113"/>
      <c r="K390" s="36"/>
      <c r="L390" s="117"/>
      <c r="M390" s="128"/>
      <c r="N390" s="117"/>
      <c r="R390" s="117"/>
      <c r="T390" s="117"/>
      <c r="V390" s="117"/>
      <c r="X390" s="117"/>
      <c r="Y390" s="10"/>
      <c r="Z390" s="11"/>
      <c r="AA390" s="36"/>
      <c r="AB390" s="36"/>
      <c r="AC390" s="13"/>
      <c r="AD390" s="13"/>
      <c r="AE390" s="37"/>
      <c r="AF390" s="37"/>
      <c r="AG390" s="14"/>
      <c r="AH390" s="14"/>
      <c r="AI390" s="14"/>
      <c r="AZ390" s="24"/>
    </row>
    <row r="391">
      <c r="B391" s="24"/>
      <c r="E391" s="113"/>
      <c r="F391" s="266"/>
      <c r="G391" s="113"/>
      <c r="K391" s="36"/>
      <c r="L391" s="117"/>
      <c r="M391" s="128"/>
      <c r="N391" s="117"/>
      <c r="R391" s="117"/>
      <c r="T391" s="117"/>
      <c r="V391" s="117"/>
      <c r="X391" s="117"/>
      <c r="Y391" s="10"/>
      <c r="Z391" s="11"/>
      <c r="AA391" s="36"/>
      <c r="AB391" s="36"/>
      <c r="AC391" s="13"/>
      <c r="AD391" s="13"/>
      <c r="AE391" s="37"/>
      <c r="AF391" s="37"/>
      <c r="AG391" s="14"/>
      <c r="AH391" s="14"/>
      <c r="AI391" s="14"/>
      <c r="AZ391" s="24"/>
    </row>
    <row r="392">
      <c r="B392" s="24"/>
      <c r="E392" s="113"/>
      <c r="F392" s="266"/>
      <c r="G392" s="113"/>
      <c r="K392" s="36"/>
      <c r="L392" s="117"/>
      <c r="M392" s="128"/>
      <c r="N392" s="117"/>
      <c r="R392" s="117"/>
      <c r="T392" s="117"/>
      <c r="V392" s="117"/>
      <c r="X392" s="117"/>
      <c r="Y392" s="10"/>
      <c r="Z392" s="11"/>
      <c r="AA392" s="36"/>
      <c r="AB392" s="36"/>
      <c r="AC392" s="13"/>
      <c r="AD392" s="13"/>
      <c r="AE392" s="37"/>
      <c r="AF392" s="37"/>
      <c r="AG392" s="14"/>
      <c r="AH392" s="14"/>
      <c r="AI392" s="14"/>
      <c r="AZ392" s="24"/>
    </row>
    <row r="393">
      <c r="B393" s="24"/>
      <c r="E393" s="113"/>
      <c r="F393" s="266"/>
      <c r="G393" s="113"/>
      <c r="K393" s="36"/>
      <c r="L393" s="117"/>
      <c r="M393" s="128"/>
      <c r="N393" s="117"/>
      <c r="R393" s="117"/>
      <c r="T393" s="117"/>
      <c r="V393" s="117"/>
      <c r="X393" s="117"/>
      <c r="Y393" s="10"/>
      <c r="Z393" s="11"/>
      <c r="AA393" s="36"/>
      <c r="AB393" s="36"/>
      <c r="AC393" s="13"/>
      <c r="AD393" s="13"/>
      <c r="AE393" s="37"/>
      <c r="AF393" s="37"/>
      <c r="AG393" s="14"/>
      <c r="AH393" s="14"/>
      <c r="AI393" s="14"/>
      <c r="AZ393" s="24"/>
    </row>
    <row r="394">
      <c r="B394" s="24"/>
      <c r="E394" s="113"/>
      <c r="F394" s="266"/>
      <c r="G394" s="113"/>
      <c r="K394" s="36"/>
      <c r="L394" s="117"/>
      <c r="M394" s="128"/>
      <c r="N394" s="117"/>
      <c r="R394" s="117"/>
      <c r="T394" s="117"/>
      <c r="V394" s="117"/>
      <c r="X394" s="117"/>
      <c r="Y394" s="10"/>
      <c r="Z394" s="11"/>
      <c r="AA394" s="36"/>
      <c r="AB394" s="36"/>
      <c r="AC394" s="13"/>
      <c r="AD394" s="13"/>
      <c r="AE394" s="37"/>
      <c r="AF394" s="37"/>
      <c r="AG394" s="14"/>
      <c r="AH394" s="14"/>
      <c r="AI394" s="14"/>
      <c r="AZ394" s="24"/>
    </row>
    <row r="395">
      <c r="B395" s="24"/>
      <c r="E395" s="113"/>
      <c r="F395" s="266"/>
      <c r="G395" s="113"/>
      <c r="K395" s="36"/>
      <c r="L395" s="117"/>
      <c r="M395" s="128"/>
      <c r="N395" s="117"/>
      <c r="R395" s="117"/>
      <c r="T395" s="117"/>
      <c r="V395" s="117"/>
      <c r="X395" s="117"/>
      <c r="Y395" s="10"/>
      <c r="Z395" s="11"/>
      <c r="AA395" s="36"/>
      <c r="AB395" s="36"/>
      <c r="AC395" s="13"/>
      <c r="AD395" s="13"/>
      <c r="AE395" s="37"/>
      <c r="AF395" s="37"/>
      <c r="AG395" s="14"/>
      <c r="AH395" s="14"/>
      <c r="AI395" s="14"/>
      <c r="AZ395" s="24"/>
    </row>
    <row r="396">
      <c r="B396" s="24"/>
      <c r="E396" s="113"/>
      <c r="F396" s="266"/>
      <c r="G396" s="113"/>
      <c r="K396" s="36"/>
      <c r="L396" s="117"/>
      <c r="M396" s="128"/>
      <c r="N396" s="117"/>
      <c r="R396" s="117"/>
      <c r="T396" s="117"/>
      <c r="V396" s="117"/>
      <c r="X396" s="117"/>
      <c r="Y396" s="10"/>
      <c r="Z396" s="11"/>
      <c r="AA396" s="36"/>
      <c r="AB396" s="36"/>
      <c r="AC396" s="13"/>
      <c r="AD396" s="13"/>
      <c r="AE396" s="37"/>
      <c r="AF396" s="37"/>
      <c r="AG396" s="14"/>
      <c r="AH396" s="14"/>
      <c r="AI396" s="14"/>
      <c r="AZ396" s="24"/>
    </row>
    <row r="397">
      <c r="B397" s="24"/>
      <c r="E397" s="113"/>
      <c r="F397" s="266"/>
      <c r="G397" s="113"/>
      <c r="K397" s="36"/>
      <c r="L397" s="117"/>
      <c r="M397" s="128"/>
      <c r="N397" s="117"/>
      <c r="R397" s="117"/>
      <c r="T397" s="117"/>
      <c r="V397" s="117"/>
      <c r="X397" s="117"/>
      <c r="Y397" s="10"/>
      <c r="Z397" s="11"/>
      <c r="AA397" s="36"/>
      <c r="AB397" s="36"/>
      <c r="AC397" s="13"/>
      <c r="AD397" s="13"/>
      <c r="AE397" s="37"/>
      <c r="AF397" s="37"/>
      <c r="AG397" s="14"/>
      <c r="AH397" s="14"/>
      <c r="AI397" s="14"/>
      <c r="AZ397" s="24"/>
    </row>
    <row r="398">
      <c r="B398" s="24"/>
      <c r="E398" s="113"/>
      <c r="F398" s="266"/>
      <c r="G398" s="113"/>
      <c r="K398" s="36"/>
      <c r="L398" s="117"/>
      <c r="M398" s="128"/>
      <c r="N398" s="117"/>
      <c r="R398" s="117"/>
      <c r="T398" s="117"/>
      <c r="V398" s="117"/>
      <c r="X398" s="117"/>
      <c r="Y398" s="10"/>
      <c r="Z398" s="11"/>
      <c r="AA398" s="36"/>
      <c r="AB398" s="36"/>
      <c r="AC398" s="13"/>
      <c r="AD398" s="13"/>
      <c r="AE398" s="37"/>
      <c r="AF398" s="37"/>
      <c r="AG398" s="14"/>
      <c r="AH398" s="14"/>
      <c r="AI398" s="14"/>
      <c r="AZ398" s="24"/>
    </row>
    <row r="399">
      <c r="B399" s="24"/>
      <c r="E399" s="113"/>
      <c r="F399" s="266"/>
      <c r="G399" s="113"/>
      <c r="K399" s="36"/>
      <c r="L399" s="117"/>
      <c r="M399" s="128"/>
      <c r="N399" s="117"/>
      <c r="R399" s="117"/>
      <c r="T399" s="117"/>
      <c r="V399" s="117"/>
      <c r="X399" s="117"/>
      <c r="Y399" s="10"/>
      <c r="Z399" s="11"/>
      <c r="AA399" s="36"/>
      <c r="AB399" s="36"/>
      <c r="AC399" s="13"/>
      <c r="AD399" s="13"/>
      <c r="AE399" s="37"/>
      <c r="AF399" s="37"/>
      <c r="AG399" s="14"/>
      <c r="AH399" s="14"/>
      <c r="AI399" s="14"/>
      <c r="AZ399" s="24"/>
    </row>
    <row r="400">
      <c r="B400" s="24"/>
      <c r="E400" s="113"/>
      <c r="F400" s="266"/>
      <c r="G400" s="113"/>
      <c r="K400" s="36"/>
      <c r="L400" s="117"/>
      <c r="M400" s="128"/>
      <c r="N400" s="117"/>
      <c r="R400" s="117"/>
      <c r="T400" s="117"/>
      <c r="V400" s="117"/>
      <c r="X400" s="117"/>
      <c r="Y400" s="10"/>
      <c r="Z400" s="11"/>
      <c r="AA400" s="36"/>
      <c r="AB400" s="36"/>
      <c r="AC400" s="13"/>
      <c r="AD400" s="13"/>
      <c r="AE400" s="37"/>
      <c r="AF400" s="37"/>
      <c r="AG400" s="14"/>
      <c r="AH400" s="14"/>
      <c r="AI400" s="14"/>
      <c r="AZ400" s="24"/>
    </row>
    <row r="401">
      <c r="B401" s="24"/>
      <c r="E401" s="113"/>
      <c r="F401" s="266"/>
      <c r="G401" s="113"/>
      <c r="K401" s="36"/>
      <c r="L401" s="117"/>
      <c r="M401" s="128"/>
      <c r="N401" s="117"/>
      <c r="R401" s="117"/>
      <c r="T401" s="117"/>
      <c r="V401" s="117"/>
      <c r="X401" s="117"/>
      <c r="Y401" s="10"/>
      <c r="Z401" s="11"/>
      <c r="AA401" s="36"/>
      <c r="AB401" s="36"/>
      <c r="AC401" s="13"/>
      <c r="AD401" s="13"/>
      <c r="AE401" s="37"/>
      <c r="AF401" s="37"/>
      <c r="AG401" s="14"/>
      <c r="AH401" s="14"/>
      <c r="AI401" s="14"/>
      <c r="AZ401" s="24"/>
    </row>
    <row r="402">
      <c r="B402" s="24"/>
      <c r="E402" s="113"/>
      <c r="F402" s="266"/>
      <c r="G402" s="113"/>
      <c r="K402" s="36"/>
      <c r="L402" s="117"/>
      <c r="M402" s="128"/>
      <c r="N402" s="117"/>
      <c r="R402" s="117"/>
      <c r="T402" s="117"/>
      <c r="V402" s="117"/>
      <c r="X402" s="117"/>
      <c r="Y402" s="10"/>
      <c r="Z402" s="11"/>
      <c r="AA402" s="36"/>
      <c r="AB402" s="36"/>
      <c r="AC402" s="13"/>
      <c r="AD402" s="13"/>
      <c r="AE402" s="37"/>
      <c r="AF402" s="37"/>
      <c r="AG402" s="14"/>
      <c r="AH402" s="14"/>
      <c r="AI402" s="14"/>
      <c r="AZ402" s="24"/>
    </row>
    <row r="403">
      <c r="B403" s="24"/>
      <c r="E403" s="113"/>
      <c r="F403" s="266"/>
      <c r="G403" s="113"/>
      <c r="K403" s="36"/>
      <c r="L403" s="117"/>
      <c r="M403" s="128"/>
      <c r="N403" s="117"/>
      <c r="R403" s="117"/>
      <c r="T403" s="117"/>
      <c r="V403" s="117"/>
      <c r="X403" s="117"/>
      <c r="Y403" s="10"/>
      <c r="Z403" s="11"/>
      <c r="AA403" s="36"/>
      <c r="AB403" s="36"/>
      <c r="AC403" s="13"/>
      <c r="AD403" s="13"/>
      <c r="AE403" s="37"/>
      <c r="AF403" s="37"/>
      <c r="AG403" s="14"/>
      <c r="AH403" s="14"/>
      <c r="AI403" s="14"/>
      <c r="AZ403" s="24"/>
    </row>
    <row r="404">
      <c r="B404" s="24"/>
      <c r="E404" s="113"/>
      <c r="F404" s="266"/>
      <c r="G404" s="113"/>
      <c r="K404" s="36"/>
      <c r="L404" s="117"/>
      <c r="M404" s="128"/>
      <c r="N404" s="117"/>
      <c r="R404" s="117"/>
      <c r="T404" s="117"/>
      <c r="V404" s="117"/>
      <c r="X404" s="117"/>
      <c r="Y404" s="10"/>
      <c r="Z404" s="11"/>
      <c r="AA404" s="36"/>
      <c r="AB404" s="36"/>
      <c r="AC404" s="13"/>
      <c r="AD404" s="13"/>
      <c r="AE404" s="37"/>
      <c r="AF404" s="37"/>
      <c r="AG404" s="14"/>
      <c r="AH404" s="14"/>
      <c r="AI404" s="14"/>
      <c r="AZ404" s="24"/>
    </row>
    <row r="405">
      <c r="B405" s="24"/>
      <c r="E405" s="113"/>
      <c r="F405" s="266"/>
      <c r="G405" s="113"/>
      <c r="K405" s="36"/>
      <c r="L405" s="117"/>
      <c r="M405" s="128"/>
      <c r="N405" s="117"/>
      <c r="R405" s="117"/>
      <c r="T405" s="117"/>
      <c r="V405" s="117"/>
      <c r="X405" s="117"/>
      <c r="Y405" s="10"/>
      <c r="Z405" s="11"/>
      <c r="AA405" s="36"/>
      <c r="AB405" s="36"/>
      <c r="AC405" s="13"/>
      <c r="AD405" s="13"/>
      <c r="AE405" s="37"/>
      <c r="AF405" s="37"/>
      <c r="AG405" s="14"/>
      <c r="AH405" s="14"/>
      <c r="AI405" s="14"/>
      <c r="AZ405" s="24"/>
    </row>
    <row r="406">
      <c r="B406" s="24"/>
      <c r="E406" s="113"/>
      <c r="F406" s="266"/>
      <c r="G406" s="113"/>
      <c r="K406" s="36"/>
      <c r="L406" s="117"/>
      <c r="M406" s="128"/>
      <c r="N406" s="117"/>
      <c r="R406" s="117"/>
      <c r="T406" s="117"/>
      <c r="V406" s="117"/>
      <c r="X406" s="117"/>
      <c r="Y406" s="10"/>
      <c r="Z406" s="11"/>
      <c r="AA406" s="36"/>
      <c r="AB406" s="36"/>
      <c r="AC406" s="13"/>
      <c r="AD406" s="13"/>
      <c r="AE406" s="37"/>
      <c r="AF406" s="37"/>
      <c r="AG406" s="14"/>
      <c r="AH406" s="14"/>
      <c r="AI406" s="14"/>
      <c r="AZ406" s="24"/>
    </row>
    <row r="407">
      <c r="B407" s="24"/>
      <c r="E407" s="113"/>
      <c r="F407" s="266"/>
      <c r="G407" s="113"/>
      <c r="K407" s="36"/>
      <c r="L407" s="117"/>
      <c r="M407" s="128"/>
      <c r="N407" s="117"/>
      <c r="R407" s="117"/>
      <c r="T407" s="117"/>
      <c r="V407" s="117"/>
      <c r="X407" s="117"/>
      <c r="Y407" s="10"/>
      <c r="Z407" s="11"/>
      <c r="AA407" s="36"/>
      <c r="AB407" s="36"/>
      <c r="AC407" s="13"/>
      <c r="AD407" s="13"/>
      <c r="AE407" s="37"/>
      <c r="AF407" s="37"/>
      <c r="AG407" s="14"/>
      <c r="AH407" s="14"/>
      <c r="AI407" s="14"/>
      <c r="AZ407" s="24"/>
    </row>
    <row r="408">
      <c r="B408" s="24"/>
      <c r="E408" s="113"/>
      <c r="F408" s="266"/>
      <c r="G408" s="113"/>
      <c r="K408" s="36"/>
      <c r="L408" s="117"/>
      <c r="M408" s="128"/>
      <c r="N408" s="117"/>
      <c r="R408" s="117"/>
      <c r="T408" s="117"/>
      <c r="V408" s="117"/>
      <c r="X408" s="117"/>
      <c r="Y408" s="10"/>
      <c r="Z408" s="11"/>
      <c r="AA408" s="36"/>
      <c r="AB408" s="36"/>
      <c r="AC408" s="13"/>
      <c r="AD408" s="13"/>
      <c r="AE408" s="37"/>
      <c r="AF408" s="37"/>
      <c r="AG408" s="14"/>
      <c r="AH408" s="14"/>
      <c r="AI408" s="14"/>
      <c r="AZ408" s="24"/>
    </row>
    <row r="409">
      <c r="B409" s="24"/>
      <c r="E409" s="113"/>
      <c r="F409" s="266"/>
      <c r="G409" s="113"/>
      <c r="K409" s="36"/>
      <c r="L409" s="117"/>
      <c r="M409" s="128"/>
      <c r="N409" s="117"/>
      <c r="R409" s="117"/>
      <c r="T409" s="117"/>
      <c r="V409" s="117"/>
      <c r="X409" s="117"/>
      <c r="Y409" s="10"/>
      <c r="Z409" s="11"/>
      <c r="AA409" s="36"/>
      <c r="AB409" s="36"/>
      <c r="AC409" s="13"/>
      <c r="AD409" s="13"/>
      <c r="AE409" s="37"/>
      <c r="AF409" s="37"/>
      <c r="AG409" s="14"/>
      <c r="AH409" s="14"/>
      <c r="AI409" s="14"/>
      <c r="AZ409" s="24"/>
    </row>
    <row r="410">
      <c r="B410" s="24"/>
      <c r="E410" s="113"/>
      <c r="F410" s="266"/>
      <c r="G410" s="113"/>
      <c r="K410" s="36"/>
      <c r="L410" s="117"/>
      <c r="M410" s="128"/>
      <c r="N410" s="117"/>
      <c r="R410" s="117"/>
      <c r="T410" s="117"/>
      <c r="V410" s="117"/>
      <c r="X410" s="117"/>
      <c r="Y410" s="10"/>
      <c r="Z410" s="11"/>
      <c r="AA410" s="36"/>
      <c r="AB410" s="36"/>
      <c r="AC410" s="13"/>
      <c r="AD410" s="13"/>
      <c r="AE410" s="37"/>
      <c r="AF410" s="37"/>
      <c r="AG410" s="14"/>
      <c r="AH410" s="14"/>
      <c r="AI410" s="14"/>
      <c r="AZ410" s="24"/>
    </row>
    <row r="411">
      <c r="B411" s="24"/>
      <c r="E411" s="113"/>
      <c r="F411" s="266"/>
      <c r="G411" s="113"/>
      <c r="K411" s="36"/>
      <c r="L411" s="117"/>
      <c r="M411" s="128"/>
      <c r="N411" s="117"/>
      <c r="R411" s="117"/>
      <c r="T411" s="117"/>
      <c r="V411" s="117"/>
      <c r="X411" s="117"/>
      <c r="Y411" s="10"/>
      <c r="Z411" s="11"/>
      <c r="AA411" s="36"/>
      <c r="AB411" s="36"/>
      <c r="AC411" s="13"/>
      <c r="AD411" s="13"/>
      <c r="AE411" s="37"/>
      <c r="AF411" s="37"/>
      <c r="AG411" s="14"/>
      <c r="AH411" s="14"/>
      <c r="AI411" s="14"/>
      <c r="AZ411" s="24"/>
    </row>
    <row r="412">
      <c r="B412" s="24"/>
      <c r="E412" s="113"/>
      <c r="F412" s="266"/>
      <c r="G412" s="113"/>
      <c r="K412" s="36"/>
      <c r="L412" s="117"/>
      <c r="M412" s="128"/>
      <c r="N412" s="117"/>
      <c r="R412" s="117"/>
      <c r="T412" s="117"/>
      <c r="V412" s="117"/>
      <c r="X412" s="117"/>
      <c r="Y412" s="10"/>
      <c r="Z412" s="11"/>
      <c r="AA412" s="36"/>
      <c r="AB412" s="36"/>
      <c r="AC412" s="13"/>
      <c r="AD412" s="13"/>
      <c r="AE412" s="37"/>
      <c r="AF412" s="37"/>
      <c r="AG412" s="14"/>
      <c r="AH412" s="14"/>
      <c r="AI412" s="14"/>
      <c r="AZ412" s="24"/>
    </row>
    <row r="413">
      <c r="B413" s="24"/>
      <c r="E413" s="113"/>
      <c r="F413" s="266"/>
      <c r="G413" s="113"/>
      <c r="K413" s="36"/>
      <c r="L413" s="117"/>
      <c r="M413" s="128"/>
      <c r="N413" s="117"/>
      <c r="R413" s="117"/>
      <c r="T413" s="117"/>
      <c r="V413" s="117"/>
      <c r="X413" s="117"/>
      <c r="Y413" s="10"/>
      <c r="Z413" s="11"/>
      <c r="AA413" s="36"/>
      <c r="AB413" s="36"/>
      <c r="AC413" s="13"/>
      <c r="AD413" s="13"/>
      <c r="AE413" s="37"/>
      <c r="AF413" s="37"/>
      <c r="AG413" s="14"/>
      <c r="AH413" s="14"/>
      <c r="AI413" s="14"/>
      <c r="AZ413" s="24"/>
    </row>
    <row r="414">
      <c r="B414" s="24"/>
      <c r="E414" s="113"/>
      <c r="F414" s="266"/>
      <c r="G414" s="113"/>
      <c r="K414" s="36"/>
      <c r="L414" s="117"/>
      <c r="M414" s="128"/>
      <c r="N414" s="117"/>
      <c r="R414" s="117"/>
      <c r="T414" s="117"/>
      <c r="V414" s="117"/>
      <c r="X414" s="117"/>
      <c r="Y414" s="10"/>
      <c r="Z414" s="11"/>
      <c r="AA414" s="36"/>
      <c r="AB414" s="36"/>
      <c r="AC414" s="13"/>
      <c r="AD414" s="13"/>
      <c r="AE414" s="37"/>
      <c r="AF414" s="37"/>
      <c r="AG414" s="14"/>
      <c r="AH414" s="14"/>
      <c r="AI414" s="14"/>
      <c r="AZ414" s="24"/>
    </row>
    <row r="415">
      <c r="B415" s="24"/>
      <c r="E415" s="113"/>
      <c r="F415" s="266"/>
      <c r="G415" s="113"/>
      <c r="K415" s="36"/>
      <c r="L415" s="117"/>
      <c r="M415" s="128"/>
      <c r="N415" s="117"/>
      <c r="R415" s="117"/>
      <c r="T415" s="117"/>
      <c r="V415" s="117"/>
      <c r="X415" s="117"/>
      <c r="Y415" s="10"/>
      <c r="Z415" s="11"/>
      <c r="AA415" s="36"/>
      <c r="AB415" s="36"/>
      <c r="AC415" s="13"/>
      <c r="AD415" s="13"/>
      <c r="AE415" s="37"/>
      <c r="AF415" s="37"/>
      <c r="AG415" s="14"/>
      <c r="AH415" s="14"/>
      <c r="AI415" s="14"/>
      <c r="AZ415" s="24"/>
    </row>
    <row r="416">
      <c r="B416" s="24"/>
      <c r="E416" s="113"/>
      <c r="F416" s="266"/>
      <c r="G416" s="113"/>
      <c r="K416" s="36"/>
      <c r="L416" s="117"/>
      <c r="M416" s="128"/>
      <c r="N416" s="117"/>
      <c r="R416" s="117"/>
      <c r="T416" s="117"/>
      <c r="V416" s="117"/>
      <c r="X416" s="117"/>
      <c r="Y416" s="10"/>
      <c r="Z416" s="11"/>
      <c r="AA416" s="36"/>
      <c r="AB416" s="36"/>
      <c r="AC416" s="13"/>
      <c r="AD416" s="13"/>
      <c r="AE416" s="37"/>
      <c r="AF416" s="37"/>
      <c r="AG416" s="14"/>
      <c r="AH416" s="14"/>
      <c r="AI416" s="14"/>
      <c r="AZ416" s="24"/>
    </row>
    <row r="417">
      <c r="B417" s="24"/>
      <c r="E417" s="113"/>
      <c r="F417" s="266"/>
      <c r="G417" s="113"/>
      <c r="K417" s="36"/>
      <c r="L417" s="117"/>
      <c r="M417" s="128"/>
      <c r="N417" s="117"/>
      <c r="R417" s="117"/>
      <c r="T417" s="117"/>
      <c r="V417" s="117"/>
      <c r="X417" s="117"/>
      <c r="Y417" s="10"/>
      <c r="Z417" s="11"/>
      <c r="AA417" s="36"/>
      <c r="AB417" s="36"/>
      <c r="AC417" s="13"/>
      <c r="AD417" s="13"/>
      <c r="AE417" s="37"/>
      <c r="AF417" s="37"/>
      <c r="AG417" s="14"/>
      <c r="AH417" s="14"/>
      <c r="AI417" s="14"/>
      <c r="AZ417" s="24"/>
    </row>
    <row r="418">
      <c r="B418" s="24"/>
      <c r="E418" s="113"/>
      <c r="F418" s="266"/>
      <c r="G418" s="113"/>
      <c r="K418" s="36"/>
      <c r="L418" s="117"/>
      <c r="M418" s="128"/>
      <c r="N418" s="117"/>
      <c r="R418" s="117"/>
      <c r="T418" s="117"/>
      <c r="V418" s="117"/>
      <c r="X418" s="117"/>
      <c r="Y418" s="10"/>
      <c r="Z418" s="11"/>
      <c r="AA418" s="36"/>
      <c r="AB418" s="36"/>
      <c r="AC418" s="13"/>
      <c r="AD418" s="13"/>
      <c r="AE418" s="37"/>
      <c r="AF418" s="37"/>
      <c r="AG418" s="14"/>
      <c r="AH418" s="14"/>
      <c r="AI418" s="14"/>
      <c r="AZ418" s="24"/>
    </row>
    <row r="419">
      <c r="B419" s="24"/>
      <c r="E419" s="113"/>
      <c r="F419" s="266"/>
      <c r="G419" s="113"/>
      <c r="K419" s="36"/>
      <c r="L419" s="117"/>
      <c r="M419" s="128"/>
      <c r="N419" s="117"/>
      <c r="R419" s="117"/>
      <c r="T419" s="117"/>
      <c r="V419" s="117"/>
      <c r="X419" s="117"/>
      <c r="Y419" s="10"/>
      <c r="Z419" s="11"/>
      <c r="AA419" s="36"/>
      <c r="AB419" s="36"/>
      <c r="AC419" s="13"/>
      <c r="AD419" s="13"/>
      <c r="AE419" s="37"/>
      <c r="AF419" s="37"/>
      <c r="AG419" s="14"/>
      <c r="AH419" s="14"/>
      <c r="AI419" s="14"/>
      <c r="AZ419" s="24"/>
    </row>
    <row r="420">
      <c r="B420" s="24"/>
      <c r="E420" s="113"/>
      <c r="F420" s="266"/>
      <c r="G420" s="113"/>
      <c r="K420" s="36"/>
      <c r="L420" s="117"/>
      <c r="M420" s="128"/>
      <c r="N420" s="117"/>
      <c r="R420" s="117"/>
      <c r="T420" s="117"/>
      <c r="V420" s="117"/>
      <c r="X420" s="117"/>
      <c r="Y420" s="10"/>
      <c r="Z420" s="11"/>
      <c r="AA420" s="36"/>
      <c r="AB420" s="36"/>
      <c r="AC420" s="13"/>
      <c r="AD420" s="13"/>
      <c r="AE420" s="37"/>
      <c r="AF420" s="37"/>
      <c r="AG420" s="14"/>
      <c r="AH420" s="14"/>
      <c r="AI420" s="14"/>
      <c r="AZ420" s="24"/>
    </row>
    <row r="421">
      <c r="B421" s="24"/>
      <c r="E421" s="113"/>
      <c r="F421" s="266"/>
      <c r="G421" s="113"/>
      <c r="K421" s="36"/>
      <c r="L421" s="117"/>
      <c r="M421" s="128"/>
      <c r="N421" s="117"/>
      <c r="R421" s="117"/>
      <c r="T421" s="117"/>
      <c r="V421" s="117"/>
      <c r="X421" s="117"/>
      <c r="Y421" s="10"/>
      <c r="Z421" s="11"/>
      <c r="AA421" s="36"/>
      <c r="AB421" s="36"/>
      <c r="AC421" s="13"/>
      <c r="AD421" s="13"/>
      <c r="AE421" s="37"/>
      <c r="AF421" s="37"/>
      <c r="AG421" s="14"/>
      <c r="AH421" s="14"/>
      <c r="AI421" s="14"/>
      <c r="AZ421" s="24"/>
    </row>
    <row r="422">
      <c r="B422" s="24"/>
      <c r="E422" s="113"/>
      <c r="F422" s="266"/>
      <c r="G422" s="113"/>
      <c r="K422" s="36"/>
      <c r="L422" s="117"/>
      <c r="M422" s="128"/>
      <c r="N422" s="117"/>
      <c r="R422" s="117"/>
      <c r="T422" s="117"/>
      <c r="V422" s="117"/>
      <c r="X422" s="117"/>
      <c r="Y422" s="10"/>
      <c r="Z422" s="11"/>
      <c r="AA422" s="36"/>
      <c r="AB422" s="36"/>
      <c r="AC422" s="13"/>
      <c r="AD422" s="13"/>
      <c r="AE422" s="37"/>
      <c r="AF422" s="37"/>
      <c r="AG422" s="14"/>
      <c r="AH422" s="14"/>
      <c r="AI422" s="14"/>
      <c r="AZ422" s="24"/>
    </row>
    <row r="423">
      <c r="B423" s="24"/>
      <c r="E423" s="113"/>
      <c r="F423" s="266"/>
      <c r="G423" s="113"/>
      <c r="K423" s="36"/>
      <c r="L423" s="117"/>
      <c r="M423" s="128"/>
      <c r="N423" s="117"/>
      <c r="R423" s="117"/>
      <c r="T423" s="117"/>
      <c r="V423" s="117"/>
      <c r="X423" s="117"/>
      <c r="Y423" s="10"/>
      <c r="Z423" s="11"/>
      <c r="AA423" s="36"/>
      <c r="AB423" s="36"/>
      <c r="AC423" s="13"/>
      <c r="AD423" s="13"/>
      <c r="AE423" s="37"/>
      <c r="AF423" s="37"/>
      <c r="AG423" s="14"/>
      <c r="AH423" s="14"/>
      <c r="AI423" s="14"/>
      <c r="AZ423" s="24"/>
    </row>
    <row r="424">
      <c r="B424" s="24"/>
      <c r="E424" s="113"/>
      <c r="F424" s="266"/>
      <c r="G424" s="113"/>
      <c r="K424" s="36"/>
      <c r="L424" s="117"/>
      <c r="M424" s="128"/>
      <c r="N424" s="117"/>
      <c r="R424" s="117"/>
      <c r="T424" s="117"/>
      <c r="V424" s="117"/>
      <c r="X424" s="117"/>
      <c r="Y424" s="10"/>
      <c r="Z424" s="11"/>
      <c r="AA424" s="36"/>
      <c r="AB424" s="36"/>
      <c r="AC424" s="13"/>
      <c r="AD424" s="13"/>
      <c r="AE424" s="37"/>
      <c r="AF424" s="37"/>
      <c r="AG424" s="14"/>
      <c r="AH424" s="14"/>
      <c r="AI424" s="14"/>
      <c r="AZ424" s="24"/>
    </row>
    <row r="425">
      <c r="B425" s="24"/>
      <c r="E425" s="113"/>
      <c r="F425" s="266"/>
      <c r="G425" s="113"/>
      <c r="K425" s="36"/>
      <c r="L425" s="117"/>
      <c r="M425" s="128"/>
      <c r="N425" s="117"/>
      <c r="R425" s="117"/>
      <c r="T425" s="117"/>
      <c r="V425" s="117"/>
      <c r="X425" s="117"/>
      <c r="Y425" s="10"/>
      <c r="Z425" s="11"/>
      <c r="AA425" s="36"/>
      <c r="AB425" s="36"/>
      <c r="AC425" s="13"/>
      <c r="AD425" s="13"/>
      <c r="AE425" s="37"/>
      <c r="AF425" s="37"/>
      <c r="AG425" s="14"/>
      <c r="AH425" s="14"/>
      <c r="AI425" s="14"/>
      <c r="AZ425" s="24"/>
    </row>
    <row r="426">
      <c r="B426" s="24"/>
      <c r="E426" s="113"/>
      <c r="F426" s="266"/>
      <c r="G426" s="113"/>
      <c r="K426" s="36"/>
      <c r="L426" s="117"/>
      <c r="M426" s="128"/>
      <c r="N426" s="117"/>
      <c r="R426" s="117"/>
      <c r="T426" s="117"/>
      <c r="V426" s="117"/>
      <c r="X426" s="117"/>
      <c r="Y426" s="10"/>
      <c r="Z426" s="11"/>
      <c r="AA426" s="36"/>
      <c r="AB426" s="36"/>
      <c r="AC426" s="13"/>
      <c r="AD426" s="13"/>
      <c r="AE426" s="37"/>
      <c r="AF426" s="37"/>
      <c r="AG426" s="14"/>
      <c r="AH426" s="14"/>
      <c r="AI426" s="14"/>
      <c r="AZ426" s="24"/>
    </row>
    <row r="427">
      <c r="B427" s="24"/>
      <c r="E427" s="113"/>
      <c r="F427" s="266"/>
      <c r="G427" s="113"/>
      <c r="K427" s="36"/>
      <c r="L427" s="117"/>
      <c r="M427" s="128"/>
      <c r="N427" s="117"/>
      <c r="R427" s="117"/>
      <c r="T427" s="117"/>
      <c r="V427" s="117"/>
      <c r="X427" s="117"/>
      <c r="Y427" s="10"/>
      <c r="Z427" s="11"/>
      <c r="AA427" s="36"/>
      <c r="AB427" s="36"/>
      <c r="AC427" s="13"/>
      <c r="AD427" s="13"/>
      <c r="AE427" s="37"/>
      <c r="AF427" s="37"/>
      <c r="AG427" s="14"/>
      <c r="AH427" s="14"/>
      <c r="AI427" s="14"/>
      <c r="AZ427" s="24"/>
    </row>
    <row r="428">
      <c r="B428" s="24"/>
      <c r="E428" s="113"/>
      <c r="F428" s="266"/>
      <c r="G428" s="113"/>
      <c r="K428" s="36"/>
      <c r="L428" s="117"/>
      <c r="M428" s="128"/>
      <c r="N428" s="117"/>
      <c r="R428" s="117"/>
      <c r="T428" s="117"/>
      <c r="V428" s="117"/>
      <c r="X428" s="117"/>
      <c r="Y428" s="10"/>
      <c r="Z428" s="11"/>
      <c r="AA428" s="36"/>
      <c r="AB428" s="36"/>
      <c r="AC428" s="13"/>
      <c r="AD428" s="13"/>
      <c r="AE428" s="37"/>
      <c r="AF428" s="37"/>
      <c r="AG428" s="14"/>
      <c r="AH428" s="14"/>
      <c r="AI428" s="14"/>
      <c r="AZ428" s="24"/>
    </row>
    <row r="429">
      <c r="B429" s="24"/>
      <c r="E429" s="113"/>
      <c r="F429" s="266"/>
      <c r="G429" s="113"/>
      <c r="K429" s="36"/>
      <c r="L429" s="117"/>
      <c r="M429" s="128"/>
      <c r="N429" s="117"/>
      <c r="R429" s="117"/>
      <c r="T429" s="117"/>
      <c r="V429" s="117"/>
      <c r="X429" s="117"/>
      <c r="Y429" s="10"/>
      <c r="Z429" s="11"/>
      <c r="AA429" s="36"/>
      <c r="AB429" s="36"/>
      <c r="AC429" s="13"/>
      <c r="AD429" s="13"/>
      <c r="AE429" s="37"/>
      <c r="AF429" s="37"/>
      <c r="AG429" s="14"/>
      <c r="AH429" s="14"/>
      <c r="AI429" s="14"/>
      <c r="AZ429" s="24"/>
    </row>
    <row r="430">
      <c r="B430" s="24"/>
      <c r="E430" s="113"/>
      <c r="F430" s="266"/>
      <c r="G430" s="113"/>
      <c r="K430" s="36"/>
      <c r="L430" s="117"/>
      <c r="M430" s="128"/>
      <c r="N430" s="117"/>
      <c r="R430" s="117"/>
      <c r="T430" s="117"/>
      <c r="V430" s="117"/>
      <c r="X430" s="117"/>
      <c r="Y430" s="10"/>
      <c r="Z430" s="11"/>
      <c r="AA430" s="36"/>
      <c r="AB430" s="36"/>
      <c r="AC430" s="13"/>
      <c r="AD430" s="13"/>
      <c r="AE430" s="37"/>
      <c r="AF430" s="37"/>
      <c r="AG430" s="14"/>
      <c r="AH430" s="14"/>
      <c r="AI430" s="14"/>
      <c r="AZ430" s="24"/>
    </row>
    <row r="431">
      <c r="B431" s="24"/>
      <c r="E431" s="113"/>
      <c r="F431" s="266"/>
      <c r="G431" s="113"/>
      <c r="K431" s="36"/>
      <c r="L431" s="117"/>
      <c r="M431" s="128"/>
      <c r="N431" s="117"/>
      <c r="R431" s="117"/>
      <c r="T431" s="117"/>
      <c r="V431" s="117"/>
      <c r="X431" s="117"/>
      <c r="Y431" s="10"/>
      <c r="Z431" s="11"/>
      <c r="AA431" s="36"/>
      <c r="AB431" s="36"/>
      <c r="AC431" s="13"/>
      <c r="AD431" s="13"/>
      <c r="AE431" s="37"/>
      <c r="AF431" s="37"/>
      <c r="AG431" s="14"/>
      <c r="AH431" s="14"/>
      <c r="AI431" s="14"/>
      <c r="AZ431" s="24"/>
    </row>
    <row r="432">
      <c r="B432" s="24"/>
      <c r="E432" s="113"/>
      <c r="F432" s="266"/>
      <c r="G432" s="113"/>
      <c r="K432" s="36"/>
      <c r="L432" s="117"/>
      <c r="M432" s="128"/>
      <c r="N432" s="117"/>
      <c r="R432" s="117"/>
      <c r="T432" s="117"/>
      <c r="V432" s="117"/>
      <c r="X432" s="117"/>
      <c r="Y432" s="10"/>
      <c r="Z432" s="11"/>
      <c r="AA432" s="36"/>
      <c r="AB432" s="36"/>
      <c r="AC432" s="13"/>
      <c r="AD432" s="13"/>
      <c r="AE432" s="37"/>
      <c r="AF432" s="37"/>
      <c r="AG432" s="14"/>
      <c r="AH432" s="14"/>
      <c r="AI432" s="14"/>
      <c r="AZ432" s="24"/>
    </row>
    <row r="433">
      <c r="B433" s="24"/>
      <c r="E433" s="113"/>
      <c r="F433" s="266"/>
      <c r="G433" s="113"/>
      <c r="K433" s="36"/>
      <c r="L433" s="117"/>
      <c r="M433" s="128"/>
      <c r="N433" s="117"/>
      <c r="R433" s="117"/>
      <c r="T433" s="117"/>
      <c r="V433" s="117"/>
      <c r="X433" s="117"/>
      <c r="Y433" s="10"/>
      <c r="Z433" s="11"/>
      <c r="AA433" s="36"/>
      <c r="AB433" s="36"/>
      <c r="AC433" s="13"/>
      <c r="AD433" s="13"/>
      <c r="AE433" s="37"/>
      <c r="AF433" s="37"/>
      <c r="AG433" s="14"/>
      <c r="AH433" s="14"/>
      <c r="AI433" s="14"/>
      <c r="AZ433" s="24"/>
    </row>
    <row r="434">
      <c r="B434" s="24"/>
      <c r="E434" s="113"/>
      <c r="F434" s="266"/>
      <c r="G434" s="113"/>
      <c r="K434" s="36"/>
      <c r="L434" s="117"/>
      <c r="M434" s="128"/>
      <c r="N434" s="117"/>
      <c r="R434" s="117"/>
      <c r="T434" s="117"/>
      <c r="V434" s="117"/>
      <c r="X434" s="117"/>
      <c r="Y434" s="10"/>
      <c r="Z434" s="11"/>
      <c r="AA434" s="36"/>
      <c r="AB434" s="36"/>
      <c r="AC434" s="13"/>
      <c r="AD434" s="13"/>
      <c r="AE434" s="37"/>
      <c r="AF434" s="37"/>
      <c r="AG434" s="14"/>
      <c r="AH434" s="14"/>
      <c r="AI434" s="14"/>
      <c r="AZ434" s="24"/>
    </row>
    <row r="435">
      <c r="B435" s="24"/>
      <c r="E435" s="113"/>
      <c r="F435" s="266"/>
      <c r="G435" s="113"/>
      <c r="K435" s="36"/>
      <c r="L435" s="117"/>
      <c r="M435" s="128"/>
      <c r="N435" s="117"/>
      <c r="R435" s="117"/>
      <c r="T435" s="117"/>
      <c r="V435" s="117"/>
      <c r="X435" s="117"/>
      <c r="Y435" s="10"/>
      <c r="Z435" s="11"/>
      <c r="AA435" s="36"/>
      <c r="AB435" s="36"/>
      <c r="AC435" s="13"/>
      <c r="AD435" s="13"/>
      <c r="AE435" s="37"/>
      <c r="AF435" s="37"/>
      <c r="AG435" s="14"/>
      <c r="AH435" s="14"/>
      <c r="AI435" s="14"/>
      <c r="AZ435" s="24"/>
    </row>
    <row r="436">
      <c r="B436" s="24"/>
      <c r="E436" s="113"/>
      <c r="F436" s="266"/>
      <c r="G436" s="113"/>
      <c r="K436" s="36"/>
      <c r="L436" s="117"/>
      <c r="M436" s="128"/>
      <c r="N436" s="117"/>
      <c r="R436" s="117"/>
      <c r="T436" s="117"/>
      <c r="V436" s="117"/>
      <c r="X436" s="117"/>
      <c r="Y436" s="10"/>
      <c r="Z436" s="11"/>
      <c r="AA436" s="36"/>
      <c r="AB436" s="36"/>
      <c r="AC436" s="13"/>
      <c r="AD436" s="13"/>
      <c r="AE436" s="37"/>
      <c r="AF436" s="37"/>
      <c r="AG436" s="14"/>
      <c r="AH436" s="14"/>
      <c r="AI436" s="14"/>
      <c r="AZ436" s="24"/>
    </row>
    <row r="437">
      <c r="B437" s="24"/>
      <c r="E437" s="113"/>
      <c r="F437" s="266"/>
      <c r="G437" s="113"/>
      <c r="K437" s="36"/>
      <c r="L437" s="117"/>
      <c r="M437" s="128"/>
      <c r="N437" s="117"/>
      <c r="R437" s="117"/>
      <c r="T437" s="117"/>
      <c r="V437" s="117"/>
      <c r="X437" s="117"/>
      <c r="Y437" s="10"/>
      <c r="Z437" s="11"/>
      <c r="AA437" s="36"/>
      <c r="AB437" s="36"/>
      <c r="AC437" s="13"/>
      <c r="AD437" s="13"/>
      <c r="AE437" s="37"/>
      <c r="AF437" s="37"/>
      <c r="AG437" s="14"/>
      <c r="AH437" s="14"/>
      <c r="AI437" s="14"/>
      <c r="AZ437" s="24"/>
    </row>
    <row r="438">
      <c r="B438" s="24"/>
      <c r="E438" s="113"/>
      <c r="F438" s="266"/>
      <c r="G438" s="113"/>
      <c r="K438" s="36"/>
      <c r="L438" s="117"/>
      <c r="M438" s="128"/>
      <c r="N438" s="117"/>
      <c r="R438" s="117"/>
      <c r="T438" s="117"/>
      <c r="V438" s="117"/>
      <c r="X438" s="117"/>
      <c r="Y438" s="10"/>
      <c r="Z438" s="11"/>
      <c r="AA438" s="36"/>
      <c r="AB438" s="36"/>
      <c r="AC438" s="13"/>
      <c r="AD438" s="13"/>
      <c r="AE438" s="37"/>
      <c r="AF438" s="37"/>
      <c r="AG438" s="14"/>
      <c r="AH438" s="14"/>
      <c r="AI438" s="14"/>
      <c r="AZ438" s="24"/>
    </row>
    <row r="439">
      <c r="B439" s="24"/>
      <c r="E439" s="113"/>
      <c r="F439" s="266"/>
      <c r="G439" s="113"/>
      <c r="K439" s="36"/>
      <c r="L439" s="117"/>
      <c r="M439" s="128"/>
      <c r="N439" s="117"/>
      <c r="R439" s="117"/>
      <c r="T439" s="117"/>
      <c r="V439" s="117"/>
      <c r="X439" s="117"/>
      <c r="Y439" s="10"/>
      <c r="Z439" s="11"/>
      <c r="AA439" s="36"/>
      <c r="AB439" s="36"/>
      <c r="AC439" s="13"/>
      <c r="AD439" s="13"/>
      <c r="AE439" s="37"/>
      <c r="AF439" s="37"/>
      <c r="AG439" s="14"/>
      <c r="AH439" s="14"/>
      <c r="AI439" s="14"/>
      <c r="AZ439" s="24"/>
    </row>
    <row r="440">
      <c r="B440" s="24"/>
      <c r="E440" s="113"/>
      <c r="F440" s="266"/>
      <c r="G440" s="113"/>
      <c r="K440" s="36"/>
      <c r="L440" s="117"/>
      <c r="M440" s="128"/>
      <c r="N440" s="117"/>
      <c r="R440" s="117"/>
      <c r="T440" s="117"/>
      <c r="V440" s="117"/>
      <c r="X440" s="117"/>
      <c r="Y440" s="10"/>
      <c r="Z440" s="11"/>
      <c r="AA440" s="36"/>
      <c r="AB440" s="36"/>
      <c r="AC440" s="13"/>
      <c r="AD440" s="13"/>
      <c r="AE440" s="37"/>
      <c r="AF440" s="37"/>
      <c r="AG440" s="14"/>
      <c r="AH440" s="14"/>
      <c r="AI440" s="14"/>
      <c r="AZ440" s="24"/>
    </row>
    <row r="441">
      <c r="B441" s="24"/>
      <c r="E441" s="113"/>
      <c r="F441" s="266"/>
      <c r="G441" s="113"/>
      <c r="K441" s="36"/>
      <c r="L441" s="117"/>
      <c r="M441" s="128"/>
      <c r="N441" s="117"/>
      <c r="R441" s="117"/>
      <c r="T441" s="117"/>
      <c r="V441" s="117"/>
      <c r="X441" s="117"/>
      <c r="Y441" s="10"/>
      <c r="Z441" s="11"/>
      <c r="AA441" s="36"/>
      <c r="AB441" s="36"/>
      <c r="AC441" s="13"/>
      <c r="AD441" s="13"/>
      <c r="AE441" s="37"/>
      <c r="AF441" s="37"/>
      <c r="AG441" s="14"/>
      <c r="AH441" s="14"/>
      <c r="AI441" s="14"/>
      <c r="AZ441" s="24"/>
    </row>
    <row r="442">
      <c r="B442" s="24"/>
      <c r="E442" s="113"/>
      <c r="F442" s="266"/>
      <c r="G442" s="113"/>
      <c r="K442" s="36"/>
      <c r="L442" s="117"/>
      <c r="M442" s="128"/>
      <c r="N442" s="117"/>
      <c r="R442" s="117"/>
      <c r="T442" s="117"/>
      <c r="V442" s="117"/>
      <c r="X442" s="117"/>
      <c r="Y442" s="10"/>
      <c r="Z442" s="11"/>
      <c r="AA442" s="36"/>
      <c r="AB442" s="36"/>
      <c r="AC442" s="13"/>
      <c r="AD442" s="13"/>
      <c r="AE442" s="37"/>
      <c r="AF442" s="37"/>
      <c r="AG442" s="14"/>
      <c r="AH442" s="14"/>
      <c r="AI442" s="14"/>
      <c r="AZ442" s="24"/>
    </row>
    <row r="443">
      <c r="B443" s="24"/>
      <c r="E443" s="113"/>
      <c r="F443" s="266"/>
      <c r="G443" s="113"/>
      <c r="K443" s="36"/>
      <c r="L443" s="117"/>
      <c r="M443" s="128"/>
      <c r="N443" s="117"/>
      <c r="R443" s="117"/>
      <c r="T443" s="117"/>
      <c r="V443" s="117"/>
      <c r="X443" s="117"/>
      <c r="Y443" s="10"/>
      <c r="Z443" s="11"/>
      <c r="AA443" s="36"/>
      <c r="AB443" s="36"/>
      <c r="AC443" s="13"/>
      <c r="AD443" s="13"/>
      <c r="AE443" s="37"/>
      <c r="AF443" s="37"/>
      <c r="AG443" s="14"/>
      <c r="AH443" s="14"/>
      <c r="AI443" s="14"/>
      <c r="AZ443" s="24"/>
    </row>
    <row r="444">
      <c r="B444" s="24"/>
      <c r="E444" s="113"/>
      <c r="F444" s="266"/>
      <c r="G444" s="113"/>
      <c r="K444" s="36"/>
      <c r="L444" s="117"/>
      <c r="M444" s="128"/>
      <c r="N444" s="117"/>
      <c r="R444" s="117"/>
      <c r="T444" s="117"/>
      <c r="V444" s="117"/>
      <c r="X444" s="117"/>
      <c r="Y444" s="10"/>
      <c r="Z444" s="11"/>
      <c r="AA444" s="36"/>
      <c r="AB444" s="36"/>
      <c r="AC444" s="13"/>
      <c r="AD444" s="13"/>
      <c r="AE444" s="37"/>
      <c r="AF444" s="37"/>
      <c r="AG444" s="14"/>
      <c r="AH444" s="14"/>
      <c r="AI444" s="14"/>
      <c r="AZ444" s="24"/>
    </row>
    <row r="445">
      <c r="B445" s="24"/>
      <c r="E445" s="113"/>
      <c r="F445" s="266"/>
      <c r="G445" s="113"/>
      <c r="K445" s="36"/>
      <c r="L445" s="117"/>
      <c r="M445" s="128"/>
      <c r="N445" s="117"/>
      <c r="R445" s="117"/>
      <c r="T445" s="117"/>
      <c r="V445" s="117"/>
      <c r="X445" s="117"/>
      <c r="Y445" s="10"/>
      <c r="Z445" s="11"/>
      <c r="AA445" s="36"/>
      <c r="AB445" s="36"/>
      <c r="AC445" s="13"/>
      <c r="AD445" s="13"/>
      <c r="AE445" s="37"/>
      <c r="AF445" s="37"/>
      <c r="AG445" s="14"/>
      <c r="AH445" s="14"/>
      <c r="AI445" s="14"/>
      <c r="AZ445" s="24"/>
    </row>
    <row r="446">
      <c r="B446" s="24"/>
      <c r="E446" s="113"/>
      <c r="F446" s="266"/>
      <c r="G446" s="113"/>
      <c r="K446" s="36"/>
      <c r="L446" s="117"/>
      <c r="M446" s="128"/>
      <c r="N446" s="117"/>
      <c r="R446" s="117"/>
      <c r="T446" s="117"/>
      <c r="V446" s="117"/>
      <c r="X446" s="117"/>
      <c r="Y446" s="10"/>
      <c r="Z446" s="11"/>
      <c r="AA446" s="36"/>
      <c r="AB446" s="36"/>
      <c r="AC446" s="13"/>
      <c r="AD446" s="13"/>
      <c r="AE446" s="37"/>
      <c r="AF446" s="37"/>
      <c r="AG446" s="14"/>
      <c r="AH446" s="14"/>
      <c r="AI446" s="14"/>
      <c r="AZ446" s="24"/>
    </row>
    <row r="447">
      <c r="B447" s="24"/>
      <c r="E447" s="113"/>
      <c r="F447" s="266"/>
      <c r="G447" s="113"/>
      <c r="K447" s="36"/>
      <c r="L447" s="117"/>
      <c r="M447" s="128"/>
      <c r="N447" s="117"/>
      <c r="R447" s="117"/>
      <c r="T447" s="117"/>
      <c r="V447" s="117"/>
      <c r="X447" s="117"/>
      <c r="Y447" s="10"/>
      <c r="Z447" s="11"/>
      <c r="AA447" s="36"/>
      <c r="AB447" s="36"/>
      <c r="AC447" s="13"/>
      <c r="AD447" s="13"/>
      <c r="AE447" s="37"/>
      <c r="AF447" s="37"/>
      <c r="AG447" s="14"/>
      <c r="AH447" s="14"/>
      <c r="AI447" s="14"/>
      <c r="AZ447" s="24"/>
    </row>
    <row r="448">
      <c r="B448" s="24"/>
      <c r="E448" s="113"/>
      <c r="F448" s="266"/>
      <c r="G448" s="113"/>
      <c r="K448" s="36"/>
      <c r="L448" s="117"/>
      <c r="M448" s="128"/>
      <c r="N448" s="117"/>
      <c r="R448" s="117"/>
      <c r="T448" s="117"/>
      <c r="V448" s="117"/>
      <c r="X448" s="117"/>
      <c r="Y448" s="10"/>
      <c r="Z448" s="11"/>
      <c r="AA448" s="36"/>
      <c r="AB448" s="36"/>
      <c r="AC448" s="13"/>
      <c r="AD448" s="13"/>
      <c r="AE448" s="37"/>
      <c r="AF448" s="37"/>
      <c r="AG448" s="14"/>
      <c r="AH448" s="14"/>
      <c r="AI448" s="14"/>
      <c r="AZ448" s="24"/>
    </row>
    <row r="449">
      <c r="B449" s="24"/>
      <c r="E449" s="113"/>
      <c r="F449" s="266"/>
      <c r="G449" s="113"/>
      <c r="K449" s="36"/>
      <c r="L449" s="117"/>
      <c r="M449" s="128"/>
      <c r="N449" s="117"/>
      <c r="R449" s="117"/>
      <c r="T449" s="117"/>
      <c r="V449" s="117"/>
      <c r="X449" s="117"/>
      <c r="Y449" s="10"/>
      <c r="Z449" s="11"/>
      <c r="AA449" s="36"/>
      <c r="AB449" s="36"/>
      <c r="AC449" s="13"/>
      <c r="AD449" s="13"/>
      <c r="AE449" s="37"/>
      <c r="AF449" s="37"/>
      <c r="AG449" s="14"/>
      <c r="AH449" s="14"/>
      <c r="AI449" s="14"/>
      <c r="AZ449" s="24"/>
    </row>
    <row r="450">
      <c r="B450" s="24"/>
      <c r="E450" s="113"/>
      <c r="F450" s="266"/>
      <c r="G450" s="113"/>
      <c r="K450" s="36"/>
      <c r="L450" s="117"/>
      <c r="M450" s="128"/>
      <c r="N450" s="117"/>
      <c r="R450" s="117"/>
      <c r="T450" s="117"/>
      <c r="V450" s="117"/>
      <c r="X450" s="117"/>
      <c r="Y450" s="10"/>
      <c r="Z450" s="11"/>
      <c r="AA450" s="36"/>
      <c r="AB450" s="36"/>
      <c r="AC450" s="13"/>
      <c r="AD450" s="13"/>
      <c r="AE450" s="37"/>
      <c r="AF450" s="37"/>
      <c r="AG450" s="14"/>
      <c r="AH450" s="14"/>
      <c r="AI450" s="14"/>
      <c r="AZ450" s="24"/>
    </row>
    <row r="451">
      <c r="B451" s="24"/>
      <c r="E451" s="113"/>
      <c r="F451" s="266"/>
      <c r="G451" s="113"/>
      <c r="K451" s="36"/>
      <c r="L451" s="117"/>
      <c r="M451" s="128"/>
      <c r="N451" s="117"/>
      <c r="R451" s="117"/>
      <c r="T451" s="117"/>
      <c r="V451" s="117"/>
      <c r="X451" s="117"/>
      <c r="Y451" s="10"/>
      <c r="Z451" s="11"/>
      <c r="AA451" s="36"/>
      <c r="AB451" s="36"/>
      <c r="AC451" s="13"/>
      <c r="AD451" s="13"/>
      <c r="AE451" s="37"/>
      <c r="AF451" s="37"/>
      <c r="AG451" s="14"/>
      <c r="AH451" s="14"/>
      <c r="AI451" s="14"/>
      <c r="AZ451" s="24"/>
    </row>
    <row r="452">
      <c r="B452" s="24"/>
      <c r="E452" s="113"/>
      <c r="F452" s="266"/>
      <c r="G452" s="113"/>
      <c r="K452" s="36"/>
      <c r="L452" s="117"/>
      <c r="M452" s="128"/>
      <c r="N452" s="117"/>
      <c r="R452" s="117"/>
      <c r="T452" s="117"/>
      <c r="V452" s="117"/>
      <c r="X452" s="117"/>
      <c r="Y452" s="10"/>
      <c r="Z452" s="11"/>
      <c r="AA452" s="36"/>
      <c r="AB452" s="36"/>
      <c r="AC452" s="13"/>
      <c r="AD452" s="13"/>
      <c r="AE452" s="37"/>
      <c r="AF452" s="37"/>
      <c r="AG452" s="14"/>
      <c r="AH452" s="14"/>
      <c r="AI452" s="14"/>
      <c r="AZ452" s="24"/>
    </row>
    <row r="453">
      <c r="B453" s="24"/>
      <c r="E453" s="113"/>
      <c r="F453" s="266"/>
      <c r="G453" s="113"/>
      <c r="K453" s="36"/>
      <c r="L453" s="117"/>
      <c r="M453" s="128"/>
      <c r="N453" s="117"/>
      <c r="R453" s="117"/>
      <c r="T453" s="117"/>
      <c r="V453" s="117"/>
      <c r="X453" s="117"/>
      <c r="Y453" s="10"/>
      <c r="Z453" s="11"/>
      <c r="AA453" s="36"/>
      <c r="AB453" s="36"/>
      <c r="AC453" s="13"/>
      <c r="AD453" s="13"/>
      <c r="AE453" s="37"/>
      <c r="AF453" s="37"/>
      <c r="AG453" s="14"/>
      <c r="AH453" s="14"/>
      <c r="AI453" s="14"/>
      <c r="AZ453" s="24"/>
    </row>
    <row r="454">
      <c r="B454" s="24"/>
      <c r="E454" s="113"/>
      <c r="F454" s="266"/>
      <c r="G454" s="113"/>
      <c r="K454" s="36"/>
      <c r="L454" s="117"/>
      <c r="M454" s="128"/>
      <c r="N454" s="117"/>
      <c r="R454" s="117"/>
      <c r="T454" s="117"/>
      <c r="V454" s="117"/>
      <c r="X454" s="117"/>
      <c r="Y454" s="10"/>
      <c r="Z454" s="11"/>
      <c r="AA454" s="36"/>
      <c r="AB454" s="36"/>
      <c r="AC454" s="13"/>
      <c r="AD454" s="13"/>
      <c r="AE454" s="37"/>
      <c r="AF454" s="37"/>
      <c r="AG454" s="14"/>
      <c r="AH454" s="14"/>
      <c r="AI454" s="14"/>
      <c r="AZ454" s="24"/>
    </row>
    <row r="455">
      <c r="B455" s="24"/>
      <c r="E455" s="113"/>
      <c r="F455" s="266"/>
      <c r="G455" s="113"/>
      <c r="K455" s="36"/>
      <c r="L455" s="117"/>
      <c r="M455" s="128"/>
      <c r="N455" s="117"/>
      <c r="R455" s="117"/>
      <c r="T455" s="117"/>
      <c r="V455" s="117"/>
      <c r="X455" s="117"/>
      <c r="Y455" s="10"/>
      <c r="Z455" s="11"/>
      <c r="AA455" s="36"/>
      <c r="AB455" s="36"/>
      <c r="AC455" s="13"/>
      <c r="AD455" s="13"/>
      <c r="AE455" s="37"/>
      <c r="AF455" s="37"/>
      <c r="AG455" s="14"/>
      <c r="AH455" s="14"/>
      <c r="AI455" s="14"/>
      <c r="AZ455" s="24"/>
    </row>
    <row r="456">
      <c r="B456" s="24"/>
      <c r="E456" s="113"/>
      <c r="F456" s="266"/>
      <c r="G456" s="113"/>
      <c r="K456" s="36"/>
      <c r="L456" s="117"/>
      <c r="M456" s="128"/>
      <c r="N456" s="117"/>
      <c r="R456" s="117"/>
      <c r="T456" s="117"/>
      <c r="V456" s="117"/>
      <c r="X456" s="117"/>
      <c r="Y456" s="10"/>
      <c r="Z456" s="11"/>
      <c r="AA456" s="36"/>
      <c r="AB456" s="36"/>
      <c r="AC456" s="13"/>
      <c r="AD456" s="13"/>
      <c r="AE456" s="37"/>
      <c r="AF456" s="37"/>
      <c r="AG456" s="14"/>
      <c r="AH456" s="14"/>
      <c r="AI456" s="14"/>
      <c r="AZ456" s="24"/>
    </row>
    <row r="457">
      <c r="B457" s="24"/>
      <c r="E457" s="113"/>
      <c r="F457" s="266"/>
      <c r="G457" s="113"/>
      <c r="K457" s="36"/>
      <c r="L457" s="117"/>
      <c r="M457" s="128"/>
      <c r="N457" s="117"/>
      <c r="R457" s="117"/>
      <c r="T457" s="117"/>
      <c r="V457" s="117"/>
      <c r="X457" s="117"/>
      <c r="Y457" s="10"/>
      <c r="Z457" s="11"/>
      <c r="AA457" s="36"/>
      <c r="AB457" s="36"/>
      <c r="AC457" s="13"/>
      <c r="AD457" s="13"/>
      <c r="AE457" s="37"/>
      <c r="AF457" s="37"/>
      <c r="AG457" s="14"/>
      <c r="AH457" s="14"/>
      <c r="AI457" s="14"/>
      <c r="AZ457" s="24"/>
    </row>
    <row r="458">
      <c r="B458" s="24"/>
      <c r="E458" s="113"/>
      <c r="F458" s="266"/>
      <c r="G458" s="113"/>
      <c r="K458" s="36"/>
      <c r="L458" s="117"/>
      <c r="M458" s="128"/>
      <c r="N458" s="117"/>
      <c r="R458" s="117"/>
      <c r="T458" s="117"/>
      <c r="V458" s="117"/>
      <c r="X458" s="117"/>
      <c r="Y458" s="10"/>
      <c r="Z458" s="11"/>
      <c r="AA458" s="36"/>
      <c r="AB458" s="36"/>
      <c r="AC458" s="13"/>
      <c r="AD458" s="13"/>
      <c r="AE458" s="37"/>
      <c r="AF458" s="37"/>
      <c r="AG458" s="14"/>
      <c r="AH458" s="14"/>
      <c r="AI458" s="14"/>
      <c r="AZ458" s="24"/>
    </row>
    <row r="459">
      <c r="B459" s="24"/>
      <c r="E459" s="113"/>
      <c r="F459" s="266"/>
      <c r="G459" s="113"/>
      <c r="K459" s="36"/>
      <c r="L459" s="117"/>
      <c r="M459" s="128"/>
      <c r="N459" s="117"/>
      <c r="R459" s="117"/>
      <c r="T459" s="117"/>
      <c r="V459" s="117"/>
      <c r="X459" s="117"/>
      <c r="Y459" s="10"/>
      <c r="Z459" s="11"/>
      <c r="AA459" s="36"/>
      <c r="AB459" s="36"/>
      <c r="AC459" s="13"/>
      <c r="AD459" s="13"/>
      <c r="AE459" s="37"/>
      <c r="AF459" s="37"/>
      <c r="AG459" s="14"/>
      <c r="AH459" s="14"/>
      <c r="AI459" s="14"/>
      <c r="AZ459" s="24"/>
    </row>
    <row r="460">
      <c r="B460" s="24"/>
      <c r="E460" s="113"/>
      <c r="F460" s="266"/>
      <c r="G460" s="113"/>
      <c r="K460" s="36"/>
      <c r="L460" s="117"/>
      <c r="M460" s="128"/>
      <c r="N460" s="117"/>
      <c r="R460" s="117"/>
      <c r="T460" s="117"/>
      <c r="V460" s="117"/>
      <c r="X460" s="117"/>
      <c r="Y460" s="10"/>
      <c r="Z460" s="11"/>
      <c r="AA460" s="36"/>
      <c r="AB460" s="36"/>
      <c r="AC460" s="13"/>
      <c r="AD460" s="13"/>
      <c r="AE460" s="37"/>
      <c r="AF460" s="37"/>
      <c r="AG460" s="14"/>
      <c r="AH460" s="14"/>
      <c r="AI460" s="14"/>
      <c r="AZ460" s="24"/>
    </row>
    <row r="461">
      <c r="B461" s="24"/>
      <c r="E461" s="113"/>
      <c r="F461" s="266"/>
      <c r="G461" s="113"/>
      <c r="K461" s="36"/>
      <c r="L461" s="117"/>
      <c r="M461" s="128"/>
      <c r="N461" s="117"/>
      <c r="R461" s="117"/>
      <c r="T461" s="117"/>
      <c r="V461" s="117"/>
      <c r="X461" s="117"/>
      <c r="Y461" s="10"/>
      <c r="Z461" s="11"/>
      <c r="AA461" s="36"/>
      <c r="AB461" s="36"/>
      <c r="AC461" s="13"/>
      <c r="AD461" s="13"/>
      <c r="AE461" s="37"/>
      <c r="AF461" s="37"/>
      <c r="AG461" s="14"/>
      <c r="AH461" s="14"/>
      <c r="AI461" s="14"/>
      <c r="AZ461" s="24"/>
    </row>
    <row r="462">
      <c r="B462" s="24"/>
      <c r="E462" s="113"/>
      <c r="F462" s="266"/>
      <c r="G462" s="113"/>
      <c r="K462" s="36"/>
      <c r="L462" s="117"/>
      <c r="M462" s="128"/>
      <c r="N462" s="117"/>
      <c r="R462" s="117"/>
      <c r="T462" s="117"/>
      <c r="V462" s="117"/>
      <c r="X462" s="117"/>
      <c r="Y462" s="10"/>
      <c r="Z462" s="11"/>
      <c r="AA462" s="36"/>
      <c r="AB462" s="36"/>
      <c r="AC462" s="13"/>
      <c r="AD462" s="13"/>
      <c r="AE462" s="37"/>
      <c r="AF462" s="37"/>
      <c r="AG462" s="14"/>
      <c r="AH462" s="14"/>
      <c r="AI462" s="14"/>
      <c r="AZ462" s="24"/>
    </row>
    <row r="463">
      <c r="B463" s="24"/>
      <c r="E463" s="113"/>
      <c r="F463" s="266"/>
      <c r="G463" s="113"/>
      <c r="K463" s="36"/>
      <c r="L463" s="117"/>
      <c r="M463" s="128"/>
      <c r="N463" s="117"/>
      <c r="R463" s="117"/>
      <c r="T463" s="117"/>
      <c r="V463" s="117"/>
      <c r="X463" s="117"/>
      <c r="Y463" s="10"/>
      <c r="Z463" s="11"/>
      <c r="AA463" s="36"/>
      <c r="AB463" s="36"/>
      <c r="AC463" s="13"/>
      <c r="AD463" s="13"/>
      <c r="AE463" s="37"/>
      <c r="AF463" s="37"/>
      <c r="AG463" s="14"/>
      <c r="AH463" s="14"/>
      <c r="AI463" s="14"/>
      <c r="AZ463" s="24"/>
    </row>
    <row r="464">
      <c r="B464" s="24"/>
      <c r="E464" s="113"/>
      <c r="F464" s="266"/>
      <c r="G464" s="113"/>
      <c r="K464" s="36"/>
      <c r="L464" s="117"/>
      <c r="M464" s="128"/>
      <c r="N464" s="117"/>
      <c r="R464" s="117"/>
      <c r="T464" s="117"/>
      <c r="V464" s="117"/>
      <c r="X464" s="117"/>
      <c r="Y464" s="10"/>
      <c r="Z464" s="11"/>
      <c r="AA464" s="36"/>
      <c r="AB464" s="36"/>
      <c r="AC464" s="13"/>
      <c r="AD464" s="13"/>
      <c r="AE464" s="37"/>
      <c r="AF464" s="37"/>
      <c r="AG464" s="14"/>
      <c r="AH464" s="14"/>
      <c r="AI464" s="14"/>
      <c r="AZ464" s="24"/>
    </row>
    <row r="465">
      <c r="B465" s="24"/>
      <c r="E465" s="113"/>
      <c r="F465" s="266"/>
      <c r="G465" s="113"/>
      <c r="K465" s="36"/>
      <c r="L465" s="117"/>
      <c r="M465" s="128"/>
      <c r="N465" s="117"/>
      <c r="R465" s="117"/>
      <c r="T465" s="117"/>
      <c r="V465" s="117"/>
      <c r="X465" s="117"/>
      <c r="Y465" s="10"/>
      <c r="Z465" s="11"/>
      <c r="AA465" s="36"/>
      <c r="AB465" s="36"/>
      <c r="AC465" s="13"/>
      <c r="AD465" s="13"/>
      <c r="AE465" s="37"/>
      <c r="AF465" s="37"/>
      <c r="AG465" s="14"/>
      <c r="AH465" s="14"/>
      <c r="AI465" s="14"/>
      <c r="AZ465" s="24"/>
    </row>
    <row r="466">
      <c r="B466" s="24"/>
      <c r="E466" s="113"/>
      <c r="F466" s="266"/>
      <c r="G466" s="113"/>
      <c r="K466" s="36"/>
      <c r="L466" s="117"/>
      <c r="M466" s="128"/>
      <c r="N466" s="117"/>
      <c r="R466" s="117"/>
      <c r="T466" s="117"/>
      <c r="V466" s="117"/>
      <c r="X466" s="117"/>
      <c r="Y466" s="10"/>
      <c r="Z466" s="11"/>
      <c r="AA466" s="36"/>
      <c r="AB466" s="36"/>
      <c r="AC466" s="13"/>
      <c r="AD466" s="13"/>
      <c r="AE466" s="37"/>
      <c r="AF466" s="37"/>
      <c r="AG466" s="14"/>
      <c r="AH466" s="14"/>
      <c r="AI466" s="14"/>
      <c r="AZ466" s="24"/>
    </row>
    <row r="467">
      <c r="B467" s="24"/>
      <c r="E467" s="113"/>
      <c r="F467" s="266"/>
      <c r="G467" s="113"/>
      <c r="K467" s="36"/>
      <c r="L467" s="117"/>
      <c r="M467" s="128"/>
      <c r="N467" s="117"/>
      <c r="R467" s="117"/>
      <c r="T467" s="117"/>
      <c r="V467" s="117"/>
      <c r="X467" s="117"/>
      <c r="Y467" s="10"/>
      <c r="Z467" s="11"/>
      <c r="AA467" s="36"/>
      <c r="AB467" s="36"/>
      <c r="AC467" s="13"/>
      <c r="AD467" s="13"/>
      <c r="AE467" s="37"/>
      <c r="AF467" s="37"/>
      <c r="AG467" s="14"/>
      <c r="AH467" s="14"/>
      <c r="AI467" s="14"/>
      <c r="AZ467" s="24"/>
    </row>
    <row r="468">
      <c r="B468" s="24"/>
      <c r="E468" s="113"/>
      <c r="F468" s="266"/>
      <c r="G468" s="113"/>
      <c r="K468" s="36"/>
      <c r="L468" s="117"/>
      <c r="M468" s="128"/>
      <c r="N468" s="117"/>
      <c r="R468" s="117"/>
      <c r="T468" s="117"/>
      <c r="V468" s="117"/>
      <c r="X468" s="117"/>
      <c r="Y468" s="10"/>
      <c r="Z468" s="11"/>
      <c r="AA468" s="36"/>
      <c r="AB468" s="36"/>
      <c r="AC468" s="13"/>
      <c r="AD468" s="13"/>
      <c r="AE468" s="37"/>
      <c r="AF468" s="37"/>
      <c r="AG468" s="14"/>
      <c r="AH468" s="14"/>
      <c r="AI468" s="14"/>
      <c r="AZ468" s="24"/>
    </row>
    <row r="469">
      <c r="B469" s="24"/>
      <c r="E469" s="113"/>
      <c r="F469" s="266"/>
      <c r="G469" s="113"/>
      <c r="K469" s="36"/>
      <c r="L469" s="117"/>
      <c r="M469" s="128"/>
      <c r="N469" s="117"/>
      <c r="R469" s="117"/>
      <c r="T469" s="117"/>
      <c r="V469" s="117"/>
      <c r="X469" s="117"/>
      <c r="Y469" s="10"/>
      <c r="Z469" s="11"/>
      <c r="AA469" s="36"/>
      <c r="AB469" s="36"/>
      <c r="AC469" s="13"/>
      <c r="AD469" s="13"/>
      <c r="AE469" s="37"/>
      <c r="AF469" s="37"/>
      <c r="AG469" s="14"/>
      <c r="AH469" s="14"/>
      <c r="AI469" s="14"/>
      <c r="AZ469" s="24"/>
    </row>
    <row r="470">
      <c r="B470" s="24"/>
      <c r="E470" s="113"/>
      <c r="F470" s="266"/>
      <c r="G470" s="113"/>
      <c r="K470" s="36"/>
      <c r="L470" s="117"/>
      <c r="M470" s="128"/>
      <c r="N470" s="117"/>
      <c r="R470" s="117"/>
      <c r="T470" s="117"/>
      <c r="V470" s="117"/>
      <c r="X470" s="117"/>
      <c r="Y470" s="10"/>
      <c r="Z470" s="11"/>
      <c r="AA470" s="36"/>
      <c r="AB470" s="36"/>
      <c r="AC470" s="13"/>
      <c r="AD470" s="13"/>
      <c r="AE470" s="37"/>
      <c r="AF470" s="37"/>
      <c r="AG470" s="14"/>
      <c r="AH470" s="14"/>
      <c r="AI470" s="14"/>
      <c r="AZ470" s="24"/>
    </row>
    <row r="471">
      <c r="B471" s="24"/>
      <c r="E471" s="113"/>
      <c r="F471" s="266"/>
      <c r="G471" s="113"/>
      <c r="K471" s="36"/>
      <c r="L471" s="117"/>
      <c r="M471" s="128"/>
      <c r="N471" s="117"/>
      <c r="R471" s="117"/>
      <c r="T471" s="117"/>
      <c r="V471" s="117"/>
      <c r="X471" s="117"/>
      <c r="Y471" s="10"/>
      <c r="Z471" s="11"/>
      <c r="AA471" s="36"/>
      <c r="AB471" s="36"/>
      <c r="AC471" s="13"/>
      <c r="AD471" s="13"/>
      <c r="AE471" s="37"/>
      <c r="AF471" s="37"/>
      <c r="AG471" s="14"/>
      <c r="AH471" s="14"/>
      <c r="AI471" s="14"/>
      <c r="AZ471" s="24"/>
    </row>
    <row r="472">
      <c r="B472" s="24"/>
      <c r="E472" s="113"/>
      <c r="F472" s="266"/>
      <c r="G472" s="113"/>
      <c r="K472" s="36"/>
      <c r="L472" s="117"/>
      <c r="M472" s="128"/>
      <c r="N472" s="117"/>
      <c r="R472" s="117"/>
      <c r="T472" s="117"/>
      <c r="V472" s="117"/>
      <c r="X472" s="117"/>
      <c r="Y472" s="10"/>
      <c r="Z472" s="11"/>
      <c r="AA472" s="36"/>
      <c r="AB472" s="36"/>
      <c r="AC472" s="13"/>
      <c r="AD472" s="13"/>
      <c r="AE472" s="37"/>
      <c r="AF472" s="37"/>
      <c r="AG472" s="14"/>
      <c r="AH472" s="14"/>
      <c r="AI472" s="14"/>
      <c r="AZ472" s="24"/>
    </row>
    <row r="473">
      <c r="B473" s="24"/>
      <c r="E473" s="113"/>
      <c r="F473" s="266"/>
      <c r="G473" s="113"/>
      <c r="K473" s="36"/>
      <c r="L473" s="117"/>
      <c r="M473" s="128"/>
      <c r="N473" s="117"/>
      <c r="R473" s="117"/>
      <c r="T473" s="117"/>
      <c r="V473" s="117"/>
      <c r="X473" s="117"/>
      <c r="Y473" s="10"/>
      <c r="Z473" s="11"/>
      <c r="AA473" s="36"/>
      <c r="AB473" s="36"/>
      <c r="AC473" s="13"/>
      <c r="AD473" s="13"/>
      <c r="AE473" s="37"/>
      <c r="AF473" s="37"/>
      <c r="AG473" s="14"/>
      <c r="AH473" s="14"/>
      <c r="AI473" s="14"/>
      <c r="AZ473" s="24"/>
    </row>
    <row r="474">
      <c r="B474" s="24"/>
      <c r="E474" s="113"/>
      <c r="F474" s="266"/>
      <c r="G474" s="113"/>
      <c r="K474" s="36"/>
      <c r="L474" s="117"/>
      <c r="M474" s="128"/>
      <c r="N474" s="117"/>
      <c r="R474" s="117"/>
      <c r="T474" s="117"/>
      <c r="V474" s="117"/>
      <c r="X474" s="117"/>
      <c r="Y474" s="10"/>
      <c r="Z474" s="11"/>
      <c r="AA474" s="36"/>
      <c r="AB474" s="36"/>
      <c r="AC474" s="13"/>
      <c r="AD474" s="13"/>
      <c r="AE474" s="37"/>
      <c r="AF474" s="37"/>
      <c r="AG474" s="14"/>
      <c r="AH474" s="14"/>
      <c r="AI474" s="14"/>
      <c r="AZ474" s="24"/>
    </row>
    <row r="475">
      <c r="B475" s="24"/>
      <c r="E475" s="113"/>
      <c r="F475" s="266"/>
      <c r="G475" s="113"/>
      <c r="K475" s="36"/>
      <c r="L475" s="117"/>
      <c r="M475" s="128"/>
      <c r="N475" s="117"/>
      <c r="R475" s="117"/>
      <c r="T475" s="117"/>
      <c r="V475" s="117"/>
      <c r="X475" s="117"/>
      <c r="Y475" s="10"/>
      <c r="Z475" s="11"/>
      <c r="AA475" s="36"/>
      <c r="AB475" s="36"/>
      <c r="AC475" s="13"/>
      <c r="AD475" s="13"/>
      <c r="AE475" s="37"/>
      <c r="AF475" s="37"/>
      <c r="AG475" s="14"/>
      <c r="AH475" s="14"/>
      <c r="AI475" s="14"/>
      <c r="AZ475" s="24"/>
    </row>
    <row r="476">
      <c r="B476" s="24"/>
      <c r="E476" s="113"/>
      <c r="F476" s="266"/>
      <c r="G476" s="113"/>
      <c r="K476" s="36"/>
      <c r="L476" s="117"/>
      <c r="M476" s="128"/>
      <c r="N476" s="117"/>
      <c r="R476" s="117"/>
      <c r="T476" s="117"/>
      <c r="V476" s="117"/>
      <c r="X476" s="117"/>
      <c r="Y476" s="10"/>
      <c r="Z476" s="11"/>
      <c r="AA476" s="36"/>
      <c r="AB476" s="36"/>
      <c r="AC476" s="13"/>
      <c r="AD476" s="13"/>
      <c r="AE476" s="37"/>
      <c r="AF476" s="37"/>
      <c r="AG476" s="14"/>
      <c r="AH476" s="14"/>
      <c r="AI476" s="14"/>
      <c r="AZ476" s="24"/>
    </row>
    <row r="477">
      <c r="B477" s="24"/>
      <c r="E477" s="113"/>
      <c r="F477" s="266"/>
      <c r="G477" s="113"/>
      <c r="K477" s="36"/>
      <c r="L477" s="117"/>
      <c r="M477" s="128"/>
      <c r="N477" s="117"/>
      <c r="R477" s="117"/>
      <c r="T477" s="117"/>
      <c r="V477" s="117"/>
      <c r="X477" s="117"/>
      <c r="Y477" s="10"/>
      <c r="Z477" s="11"/>
      <c r="AA477" s="36"/>
      <c r="AB477" s="36"/>
      <c r="AC477" s="13"/>
      <c r="AD477" s="13"/>
      <c r="AE477" s="37"/>
      <c r="AF477" s="37"/>
      <c r="AG477" s="14"/>
      <c r="AH477" s="14"/>
      <c r="AI477" s="14"/>
      <c r="AZ477" s="24"/>
    </row>
    <row r="478">
      <c r="B478" s="24"/>
      <c r="E478" s="113"/>
      <c r="F478" s="266"/>
      <c r="G478" s="113"/>
      <c r="K478" s="36"/>
      <c r="L478" s="117"/>
      <c r="M478" s="128"/>
      <c r="N478" s="117"/>
      <c r="R478" s="117"/>
      <c r="T478" s="117"/>
      <c r="V478" s="117"/>
      <c r="X478" s="117"/>
      <c r="Y478" s="10"/>
      <c r="Z478" s="11"/>
      <c r="AA478" s="36"/>
      <c r="AB478" s="36"/>
      <c r="AC478" s="13"/>
      <c r="AD478" s="13"/>
      <c r="AE478" s="37"/>
      <c r="AF478" s="37"/>
      <c r="AG478" s="14"/>
      <c r="AH478" s="14"/>
      <c r="AI478" s="14"/>
      <c r="AZ478" s="24"/>
    </row>
    <row r="479">
      <c r="B479" s="24"/>
      <c r="E479" s="113"/>
      <c r="F479" s="266"/>
      <c r="G479" s="113"/>
      <c r="K479" s="36"/>
      <c r="L479" s="117"/>
      <c r="M479" s="128"/>
      <c r="N479" s="117"/>
      <c r="R479" s="117"/>
      <c r="T479" s="117"/>
      <c r="V479" s="117"/>
      <c r="X479" s="117"/>
      <c r="Y479" s="10"/>
      <c r="Z479" s="11"/>
      <c r="AA479" s="36"/>
      <c r="AB479" s="36"/>
      <c r="AC479" s="13"/>
      <c r="AD479" s="13"/>
      <c r="AE479" s="37"/>
      <c r="AF479" s="37"/>
      <c r="AG479" s="14"/>
      <c r="AH479" s="14"/>
      <c r="AI479" s="14"/>
      <c r="AZ479" s="24"/>
    </row>
    <row r="480">
      <c r="B480" s="24"/>
      <c r="E480" s="113"/>
      <c r="F480" s="266"/>
      <c r="G480" s="113"/>
      <c r="K480" s="36"/>
      <c r="L480" s="117"/>
      <c r="M480" s="128"/>
      <c r="N480" s="117"/>
      <c r="R480" s="117"/>
      <c r="T480" s="117"/>
      <c r="V480" s="117"/>
      <c r="X480" s="117"/>
      <c r="Y480" s="10"/>
      <c r="Z480" s="11"/>
      <c r="AA480" s="36"/>
      <c r="AB480" s="36"/>
      <c r="AC480" s="13"/>
      <c r="AD480" s="13"/>
      <c r="AE480" s="37"/>
      <c r="AF480" s="37"/>
      <c r="AG480" s="14"/>
      <c r="AH480" s="14"/>
      <c r="AI480" s="14"/>
      <c r="AZ480" s="24"/>
    </row>
    <row r="481">
      <c r="B481" s="24"/>
      <c r="E481" s="113"/>
      <c r="F481" s="266"/>
      <c r="G481" s="113"/>
      <c r="K481" s="36"/>
      <c r="L481" s="117"/>
      <c r="M481" s="128"/>
      <c r="N481" s="117"/>
      <c r="R481" s="117"/>
      <c r="T481" s="117"/>
      <c r="V481" s="117"/>
      <c r="X481" s="117"/>
      <c r="Y481" s="10"/>
      <c r="Z481" s="11"/>
      <c r="AA481" s="36"/>
      <c r="AB481" s="36"/>
      <c r="AC481" s="13"/>
      <c r="AD481" s="13"/>
      <c r="AE481" s="37"/>
      <c r="AF481" s="37"/>
      <c r="AG481" s="14"/>
      <c r="AH481" s="14"/>
      <c r="AI481" s="14"/>
      <c r="AZ481" s="24"/>
    </row>
    <row r="482">
      <c r="B482" s="24"/>
      <c r="E482" s="113"/>
      <c r="F482" s="266"/>
      <c r="G482" s="113"/>
      <c r="K482" s="36"/>
      <c r="L482" s="117"/>
      <c r="M482" s="128"/>
      <c r="N482" s="117"/>
      <c r="R482" s="117"/>
      <c r="T482" s="117"/>
      <c r="V482" s="117"/>
      <c r="X482" s="117"/>
      <c r="Y482" s="10"/>
      <c r="Z482" s="11"/>
      <c r="AA482" s="36"/>
      <c r="AB482" s="36"/>
      <c r="AC482" s="13"/>
      <c r="AD482" s="13"/>
      <c r="AE482" s="37"/>
      <c r="AF482" s="37"/>
      <c r="AG482" s="14"/>
      <c r="AH482" s="14"/>
      <c r="AI482" s="14"/>
      <c r="AZ482" s="24"/>
    </row>
    <row r="483">
      <c r="B483" s="24"/>
      <c r="E483" s="113"/>
      <c r="F483" s="266"/>
      <c r="G483" s="113"/>
      <c r="K483" s="36"/>
      <c r="L483" s="117"/>
      <c r="M483" s="128"/>
      <c r="N483" s="117"/>
      <c r="R483" s="117"/>
      <c r="T483" s="117"/>
      <c r="V483" s="117"/>
      <c r="X483" s="117"/>
      <c r="Y483" s="10"/>
      <c r="Z483" s="11"/>
      <c r="AA483" s="36"/>
      <c r="AB483" s="36"/>
      <c r="AC483" s="13"/>
      <c r="AD483" s="13"/>
      <c r="AE483" s="37"/>
      <c r="AF483" s="37"/>
      <c r="AG483" s="14"/>
      <c r="AH483" s="14"/>
      <c r="AI483" s="14"/>
      <c r="AZ483" s="24"/>
    </row>
    <row r="484">
      <c r="B484" s="24"/>
      <c r="E484" s="113"/>
      <c r="F484" s="266"/>
      <c r="G484" s="113"/>
      <c r="K484" s="36"/>
      <c r="L484" s="117"/>
      <c r="M484" s="128"/>
      <c r="N484" s="117"/>
      <c r="R484" s="117"/>
      <c r="T484" s="117"/>
      <c r="V484" s="117"/>
      <c r="X484" s="117"/>
      <c r="Y484" s="10"/>
      <c r="Z484" s="11"/>
      <c r="AA484" s="36"/>
      <c r="AB484" s="36"/>
      <c r="AC484" s="13"/>
      <c r="AD484" s="13"/>
      <c r="AE484" s="37"/>
      <c r="AF484" s="37"/>
      <c r="AG484" s="14"/>
      <c r="AH484" s="14"/>
      <c r="AI484" s="14"/>
      <c r="AZ484" s="24"/>
    </row>
    <row r="485">
      <c r="B485" s="24"/>
      <c r="E485" s="113"/>
      <c r="F485" s="266"/>
      <c r="G485" s="113"/>
      <c r="K485" s="36"/>
      <c r="L485" s="117"/>
      <c r="M485" s="128"/>
      <c r="N485" s="117"/>
      <c r="R485" s="117"/>
      <c r="T485" s="117"/>
      <c r="V485" s="117"/>
      <c r="X485" s="117"/>
      <c r="Y485" s="10"/>
      <c r="Z485" s="11"/>
      <c r="AA485" s="36"/>
      <c r="AB485" s="36"/>
      <c r="AC485" s="13"/>
      <c r="AD485" s="13"/>
      <c r="AE485" s="37"/>
      <c r="AF485" s="37"/>
      <c r="AG485" s="14"/>
      <c r="AH485" s="14"/>
      <c r="AI485" s="14"/>
      <c r="AZ485" s="24"/>
    </row>
    <row r="486">
      <c r="B486" s="24"/>
      <c r="E486" s="113"/>
      <c r="F486" s="266"/>
      <c r="G486" s="113"/>
      <c r="K486" s="36"/>
      <c r="L486" s="117"/>
      <c r="M486" s="128"/>
      <c r="N486" s="117"/>
      <c r="R486" s="117"/>
      <c r="T486" s="117"/>
      <c r="V486" s="117"/>
      <c r="X486" s="117"/>
      <c r="Y486" s="10"/>
      <c r="Z486" s="11"/>
      <c r="AA486" s="36"/>
      <c r="AB486" s="36"/>
      <c r="AC486" s="13"/>
      <c r="AD486" s="13"/>
      <c r="AE486" s="37"/>
      <c r="AF486" s="37"/>
      <c r="AG486" s="14"/>
      <c r="AH486" s="14"/>
      <c r="AI486" s="14"/>
      <c r="AZ486" s="24"/>
    </row>
    <row r="487">
      <c r="B487" s="24"/>
      <c r="E487" s="113"/>
      <c r="F487" s="266"/>
      <c r="G487" s="113"/>
      <c r="K487" s="36"/>
      <c r="L487" s="117"/>
      <c r="M487" s="128"/>
      <c r="N487" s="117"/>
      <c r="R487" s="117"/>
      <c r="T487" s="117"/>
      <c r="V487" s="117"/>
      <c r="X487" s="117"/>
      <c r="Y487" s="10"/>
      <c r="Z487" s="11"/>
      <c r="AA487" s="36"/>
      <c r="AB487" s="36"/>
      <c r="AC487" s="13"/>
      <c r="AD487" s="13"/>
      <c r="AE487" s="37"/>
      <c r="AF487" s="37"/>
      <c r="AG487" s="14"/>
      <c r="AH487" s="14"/>
      <c r="AI487" s="14"/>
      <c r="AZ487" s="24"/>
    </row>
    <row r="488">
      <c r="B488" s="24"/>
      <c r="E488" s="113"/>
      <c r="F488" s="266"/>
      <c r="G488" s="113"/>
      <c r="K488" s="36"/>
      <c r="L488" s="117"/>
      <c r="M488" s="128"/>
      <c r="N488" s="117"/>
      <c r="R488" s="117"/>
      <c r="T488" s="117"/>
      <c r="V488" s="117"/>
      <c r="X488" s="117"/>
      <c r="Y488" s="10"/>
      <c r="Z488" s="11"/>
      <c r="AA488" s="36"/>
      <c r="AB488" s="36"/>
      <c r="AC488" s="13"/>
      <c r="AD488" s="13"/>
      <c r="AE488" s="37"/>
      <c r="AF488" s="37"/>
      <c r="AG488" s="14"/>
      <c r="AH488" s="14"/>
      <c r="AI488" s="14"/>
      <c r="AZ488" s="24"/>
    </row>
    <row r="489">
      <c r="B489" s="24"/>
      <c r="E489" s="113"/>
      <c r="F489" s="266"/>
      <c r="G489" s="113"/>
      <c r="K489" s="36"/>
      <c r="L489" s="117"/>
      <c r="M489" s="128"/>
      <c r="N489" s="117"/>
      <c r="R489" s="117"/>
      <c r="T489" s="117"/>
      <c r="V489" s="117"/>
      <c r="X489" s="117"/>
      <c r="Y489" s="10"/>
      <c r="Z489" s="11"/>
      <c r="AA489" s="36"/>
      <c r="AB489" s="36"/>
      <c r="AC489" s="13"/>
      <c r="AD489" s="13"/>
      <c r="AE489" s="37"/>
      <c r="AF489" s="37"/>
      <c r="AG489" s="14"/>
      <c r="AH489" s="14"/>
      <c r="AI489" s="14"/>
      <c r="AZ489" s="24"/>
    </row>
    <row r="490">
      <c r="B490" s="24"/>
      <c r="E490" s="113"/>
      <c r="F490" s="266"/>
      <c r="G490" s="113"/>
      <c r="K490" s="36"/>
      <c r="L490" s="117"/>
      <c r="M490" s="128"/>
      <c r="N490" s="117"/>
      <c r="R490" s="117"/>
      <c r="T490" s="117"/>
      <c r="V490" s="117"/>
      <c r="X490" s="117"/>
      <c r="Y490" s="10"/>
      <c r="Z490" s="11"/>
      <c r="AA490" s="36"/>
      <c r="AB490" s="36"/>
      <c r="AC490" s="13"/>
      <c r="AD490" s="13"/>
      <c r="AE490" s="37"/>
      <c r="AF490" s="37"/>
      <c r="AG490" s="14"/>
      <c r="AH490" s="14"/>
      <c r="AI490" s="14"/>
      <c r="AZ490" s="24"/>
    </row>
    <row r="491">
      <c r="B491" s="24"/>
      <c r="E491" s="113"/>
      <c r="F491" s="266"/>
      <c r="G491" s="113"/>
      <c r="K491" s="36"/>
      <c r="L491" s="117"/>
      <c r="M491" s="128"/>
      <c r="N491" s="117"/>
      <c r="R491" s="117"/>
      <c r="T491" s="117"/>
      <c r="V491" s="117"/>
      <c r="X491" s="117"/>
      <c r="Y491" s="10"/>
      <c r="Z491" s="11"/>
      <c r="AA491" s="36"/>
      <c r="AB491" s="36"/>
      <c r="AC491" s="13"/>
      <c r="AD491" s="13"/>
      <c r="AE491" s="37"/>
      <c r="AF491" s="37"/>
      <c r="AG491" s="14"/>
      <c r="AH491" s="14"/>
      <c r="AI491" s="14"/>
      <c r="AZ491" s="24"/>
    </row>
    <row r="492">
      <c r="B492" s="24"/>
      <c r="E492" s="113"/>
      <c r="F492" s="266"/>
      <c r="G492" s="113"/>
      <c r="K492" s="36"/>
      <c r="L492" s="117"/>
      <c r="M492" s="128"/>
      <c r="N492" s="117"/>
      <c r="R492" s="117"/>
      <c r="T492" s="117"/>
      <c r="V492" s="117"/>
      <c r="X492" s="117"/>
      <c r="Y492" s="10"/>
      <c r="Z492" s="11"/>
      <c r="AA492" s="36"/>
      <c r="AB492" s="36"/>
      <c r="AC492" s="13"/>
      <c r="AD492" s="13"/>
      <c r="AE492" s="37"/>
      <c r="AF492" s="37"/>
      <c r="AG492" s="14"/>
      <c r="AH492" s="14"/>
      <c r="AI492" s="14"/>
      <c r="AZ492" s="24"/>
    </row>
    <row r="493">
      <c r="B493" s="24"/>
      <c r="E493" s="113"/>
      <c r="F493" s="266"/>
      <c r="G493" s="113"/>
      <c r="K493" s="36"/>
      <c r="L493" s="117"/>
      <c r="M493" s="128"/>
      <c r="N493" s="117"/>
      <c r="R493" s="117"/>
      <c r="T493" s="117"/>
      <c r="V493" s="117"/>
      <c r="X493" s="117"/>
      <c r="Y493" s="10"/>
      <c r="Z493" s="11"/>
      <c r="AA493" s="36"/>
      <c r="AB493" s="36"/>
      <c r="AC493" s="13"/>
      <c r="AD493" s="13"/>
      <c r="AE493" s="37"/>
      <c r="AF493" s="37"/>
      <c r="AG493" s="14"/>
      <c r="AH493" s="14"/>
      <c r="AI493" s="14"/>
      <c r="AZ493" s="24"/>
    </row>
    <row r="494">
      <c r="B494" s="24"/>
      <c r="E494" s="113"/>
      <c r="F494" s="266"/>
      <c r="G494" s="113"/>
      <c r="K494" s="36"/>
      <c r="L494" s="117"/>
      <c r="M494" s="128"/>
      <c r="N494" s="117"/>
      <c r="R494" s="117"/>
      <c r="T494" s="117"/>
      <c r="V494" s="117"/>
      <c r="X494" s="117"/>
      <c r="Y494" s="10"/>
      <c r="Z494" s="11"/>
      <c r="AA494" s="36"/>
      <c r="AB494" s="36"/>
      <c r="AC494" s="13"/>
      <c r="AD494" s="13"/>
      <c r="AE494" s="37"/>
      <c r="AF494" s="37"/>
      <c r="AG494" s="14"/>
      <c r="AH494" s="14"/>
      <c r="AI494" s="14"/>
      <c r="AZ494" s="24"/>
    </row>
    <row r="495">
      <c r="B495" s="24"/>
      <c r="E495" s="113"/>
      <c r="F495" s="266"/>
      <c r="G495" s="113"/>
      <c r="K495" s="36"/>
      <c r="L495" s="117"/>
      <c r="M495" s="128"/>
      <c r="N495" s="117"/>
      <c r="R495" s="117"/>
      <c r="T495" s="117"/>
      <c r="V495" s="117"/>
      <c r="X495" s="117"/>
      <c r="Y495" s="10"/>
      <c r="Z495" s="11"/>
      <c r="AA495" s="36"/>
      <c r="AB495" s="36"/>
      <c r="AC495" s="13"/>
      <c r="AD495" s="13"/>
      <c r="AE495" s="37"/>
      <c r="AF495" s="37"/>
      <c r="AG495" s="14"/>
      <c r="AH495" s="14"/>
      <c r="AI495" s="14"/>
      <c r="AZ495" s="24"/>
    </row>
    <row r="496">
      <c r="B496" s="24"/>
      <c r="E496" s="113"/>
      <c r="F496" s="266"/>
      <c r="G496" s="113"/>
      <c r="K496" s="36"/>
      <c r="L496" s="117"/>
      <c r="M496" s="128"/>
      <c r="N496" s="117"/>
      <c r="R496" s="117"/>
      <c r="T496" s="117"/>
      <c r="V496" s="117"/>
      <c r="X496" s="117"/>
      <c r="Y496" s="10"/>
      <c r="Z496" s="11"/>
      <c r="AA496" s="36"/>
      <c r="AB496" s="36"/>
      <c r="AC496" s="13"/>
      <c r="AD496" s="13"/>
      <c r="AE496" s="37"/>
      <c r="AF496" s="37"/>
      <c r="AG496" s="14"/>
      <c r="AH496" s="14"/>
      <c r="AI496" s="14"/>
      <c r="AZ496" s="24"/>
    </row>
    <row r="497">
      <c r="B497" s="24"/>
      <c r="E497" s="113"/>
      <c r="F497" s="266"/>
      <c r="G497" s="113"/>
      <c r="K497" s="36"/>
      <c r="L497" s="117"/>
      <c r="M497" s="128"/>
      <c r="N497" s="117"/>
      <c r="R497" s="117"/>
      <c r="T497" s="117"/>
      <c r="V497" s="117"/>
      <c r="X497" s="117"/>
      <c r="Y497" s="10"/>
      <c r="Z497" s="11"/>
      <c r="AA497" s="36"/>
      <c r="AB497" s="36"/>
      <c r="AC497" s="13"/>
      <c r="AD497" s="13"/>
      <c r="AE497" s="37"/>
      <c r="AF497" s="37"/>
      <c r="AG497" s="14"/>
      <c r="AH497" s="14"/>
      <c r="AI497" s="14"/>
      <c r="AZ497" s="24"/>
    </row>
    <row r="498">
      <c r="B498" s="24"/>
      <c r="E498" s="113"/>
      <c r="F498" s="266"/>
      <c r="G498" s="113"/>
      <c r="K498" s="36"/>
      <c r="L498" s="117"/>
      <c r="M498" s="128"/>
      <c r="N498" s="117"/>
      <c r="R498" s="117"/>
      <c r="T498" s="117"/>
      <c r="V498" s="117"/>
      <c r="X498" s="117"/>
      <c r="Y498" s="10"/>
      <c r="Z498" s="11"/>
      <c r="AA498" s="36"/>
      <c r="AB498" s="36"/>
      <c r="AC498" s="13"/>
      <c r="AD498" s="13"/>
      <c r="AE498" s="37"/>
      <c r="AF498" s="37"/>
      <c r="AG498" s="14"/>
      <c r="AH498" s="14"/>
      <c r="AI498" s="14"/>
      <c r="AZ498" s="24"/>
    </row>
    <row r="499">
      <c r="B499" s="24"/>
      <c r="E499" s="113"/>
      <c r="F499" s="266"/>
      <c r="G499" s="113"/>
      <c r="K499" s="36"/>
      <c r="L499" s="117"/>
      <c r="M499" s="128"/>
      <c r="N499" s="117"/>
      <c r="R499" s="117"/>
      <c r="T499" s="117"/>
      <c r="V499" s="117"/>
      <c r="X499" s="117"/>
      <c r="Y499" s="10"/>
      <c r="Z499" s="11"/>
      <c r="AA499" s="36"/>
      <c r="AB499" s="36"/>
      <c r="AC499" s="13"/>
      <c r="AD499" s="13"/>
      <c r="AE499" s="37"/>
      <c r="AF499" s="37"/>
      <c r="AG499" s="14"/>
      <c r="AH499" s="14"/>
      <c r="AI499" s="14"/>
      <c r="AZ499" s="24"/>
    </row>
    <row r="500">
      <c r="B500" s="24"/>
      <c r="E500" s="113"/>
      <c r="F500" s="266"/>
      <c r="G500" s="113"/>
      <c r="K500" s="36"/>
      <c r="L500" s="117"/>
      <c r="M500" s="128"/>
      <c r="N500" s="117"/>
      <c r="R500" s="117"/>
      <c r="T500" s="117"/>
      <c r="V500" s="117"/>
      <c r="X500" s="117"/>
      <c r="Y500" s="10"/>
      <c r="Z500" s="11"/>
      <c r="AA500" s="36"/>
      <c r="AB500" s="36"/>
      <c r="AC500" s="13"/>
      <c r="AD500" s="13"/>
      <c r="AE500" s="37"/>
      <c r="AF500" s="37"/>
      <c r="AG500" s="14"/>
      <c r="AH500" s="14"/>
      <c r="AI500" s="14"/>
      <c r="AZ500" s="24"/>
    </row>
    <row r="501">
      <c r="B501" s="24"/>
      <c r="E501" s="113"/>
      <c r="F501" s="266"/>
      <c r="G501" s="113"/>
      <c r="K501" s="36"/>
      <c r="L501" s="117"/>
      <c r="M501" s="128"/>
      <c r="N501" s="117"/>
      <c r="R501" s="117"/>
      <c r="T501" s="117"/>
      <c r="V501" s="117"/>
      <c r="X501" s="117"/>
      <c r="Y501" s="10"/>
      <c r="Z501" s="11"/>
      <c r="AA501" s="36"/>
      <c r="AB501" s="36"/>
      <c r="AC501" s="13"/>
      <c r="AD501" s="13"/>
      <c r="AE501" s="37"/>
      <c r="AF501" s="37"/>
      <c r="AG501" s="14"/>
      <c r="AH501" s="14"/>
      <c r="AI501" s="14"/>
      <c r="AZ501" s="24"/>
    </row>
    <row r="502">
      <c r="B502" s="24"/>
      <c r="E502" s="113"/>
      <c r="F502" s="266"/>
      <c r="G502" s="113"/>
      <c r="K502" s="36"/>
      <c r="L502" s="117"/>
      <c r="M502" s="128"/>
      <c r="N502" s="117"/>
      <c r="R502" s="117"/>
      <c r="T502" s="117"/>
      <c r="V502" s="117"/>
      <c r="X502" s="117"/>
      <c r="Y502" s="10"/>
      <c r="Z502" s="11"/>
      <c r="AA502" s="36"/>
      <c r="AB502" s="36"/>
      <c r="AC502" s="13"/>
      <c r="AD502" s="13"/>
      <c r="AE502" s="37"/>
      <c r="AF502" s="37"/>
      <c r="AG502" s="14"/>
      <c r="AH502" s="14"/>
      <c r="AI502" s="14"/>
      <c r="AZ502" s="24"/>
    </row>
    <row r="503">
      <c r="B503" s="24"/>
      <c r="E503" s="113"/>
      <c r="F503" s="266"/>
      <c r="G503" s="113"/>
      <c r="K503" s="36"/>
      <c r="L503" s="117"/>
      <c r="M503" s="128"/>
      <c r="N503" s="117"/>
      <c r="R503" s="117"/>
      <c r="T503" s="117"/>
      <c r="V503" s="117"/>
      <c r="X503" s="117"/>
      <c r="Y503" s="10"/>
      <c r="Z503" s="11"/>
      <c r="AA503" s="36"/>
      <c r="AB503" s="36"/>
      <c r="AC503" s="13"/>
      <c r="AD503" s="13"/>
      <c r="AE503" s="37"/>
      <c r="AF503" s="37"/>
      <c r="AG503" s="14"/>
      <c r="AH503" s="14"/>
      <c r="AI503" s="14"/>
      <c r="AZ503" s="24"/>
    </row>
    <row r="504">
      <c r="B504" s="24"/>
      <c r="E504" s="113"/>
      <c r="F504" s="266"/>
      <c r="G504" s="113"/>
      <c r="K504" s="36"/>
      <c r="L504" s="117"/>
      <c r="M504" s="128"/>
      <c r="N504" s="117"/>
      <c r="R504" s="117"/>
      <c r="T504" s="117"/>
      <c r="V504" s="117"/>
      <c r="X504" s="117"/>
      <c r="Y504" s="10"/>
      <c r="Z504" s="11"/>
      <c r="AA504" s="36"/>
      <c r="AB504" s="36"/>
      <c r="AC504" s="13"/>
      <c r="AD504" s="13"/>
      <c r="AE504" s="37"/>
      <c r="AF504" s="37"/>
      <c r="AG504" s="14"/>
      <c r="AH504" s="14"/>
      <c r="AI504" s="14"/>
      <c r="AZ504" s="24"/>
    </row>
    <row r="505">
      <c r="B505" s="24"/>
      <c r="E505" s="113"/>
      <c r="F505" s="266"/>
      <c r="G505" s="113"/>
      <c r="K505" s="36"/>
      <c r="L505" s="117"/>
      <c r="M505" s="128"/>
      <c r="N505" s="117"/>
      <c r="R505" s="117"/>
      <c r="T505" s="117"/>
      <c r="V505" s="117"/>
      <c r="X505" s="117"/>
      <c r="Y505" s="10"/>
      <c r="Z505" s="11"/>
      <c r="AA505" s="36"/>
      <c r="AB505" s="36"/>
      <c r="AC505" s="13"/>
      <c r="AD505" s="13"/>
      <c r="AE505" s="37"/>
      <c r="AF505" s="37"/>
      <c r="AG505" s="14"/>
      <c r="AH505" s="14"/>
      <c r="AI505" s="14"/>
      <c r="AZ505" s="24"/>
    </row>
    <row r="506">
      <c r="B506" s="24"/>
      <c r="E506" s="113"/>
      <c r="F506" s="266"/>
      <c r="G506" s="113"/>
      <c r="K506" s="36"/>
      <c r="L506" s="117"/>
      <c r="M506" s="128"/>
      <c r="N506" s="117"/>
      <c r="R506" s="117"/>
      <c r="T506" s="117"/>
      <c r="V506" s="117"/>
      <c r="X506" s="117"/>
      <c r="Y506" s="10"/>
      <c r="Z506" s="11"/>
      <c r="AA506" s="36"/>
      <c r="AB506" s="36"/>
      <c r="AC506" s="13"/>
      <c r="AD506" s="13"/>
      <c r="AE506" s="37"/>
      <c r="AF506" s="37"/>
      <c r="AG506" s="14"/>
      <c r="AH506" s="14"/>
      <c r="AI506" s="14"/>
      <c r="AZ506" s="24"/>
    </row>
    <row r="507">
      <c r="B507" s="24"/>
      <c r="E507" s="113"/>
      <c r="F507" s="266"/>
      <c r="G507" s="113"/>
      <c r="K507" s="36"/>
      <c r="L507" s="117"/>
      <c r="M507" s="128"/>
      <c r="N507" s="117"/>
      <c r="R507" s="117"/>
      <c r="T507" s="117"/>
      <c r="V507" s="117"/>
      <c r="X507" s="117"/>
      <c r="Y507" s="10"/>
      <c r="Z507" s="11"/>
      <c r="AA507" s="36"/>
      <c r="AB507" s="36"/>
      <c r="AC507" s="13"/>
      <c r="AD507" s="13"/>
      <c r="AE507" s="37"/>
      <c r="AF507" s="37"/>
      <c r="AG507" s="14"/>
      <c r="AH507" s="14"/>
      <c r="AI507" s="14"/>
      <c r="AZ507" s="24"/>
    </row>
    <row r="508">
      <c r="B508" s="24"/>
      <c r="E508" s="113"/>
      <c r="F508" s="266"/>
      <c r="G508" s="113"/>
      <c r="K508" s="36"/>
      <c r="L508" s="117"/>
      <c r="M508" s="128"/>
      <c r="N508" s="117"/>
      <c r="R508" s="117"/>
      <c r="T508" s="117"/>
      <c r="V508" s="117"/>
      <c r="X508" s="117"/>
      <c r="Y508" s="10"/>
      <c r="Z508" s="11"/>
      <c r="AA508" s="36"/>
      <c r="AB508" s="36"/>
      <c r="AC508" s="13"/>
      <c r="AD508" s="13"/>
      <c r="AE508" s="37"/>
      <c r="AF508" s="37"/>
      <c r="AG508" s="14"/>
      <c r="AH508" s="14"/>
      <c r="AI508" s="14"/>
      <c r="AZ508" s="24"/>
    </row>
    <row r="509">
      <c r="B509" s="24"/>
      <c r="E509" s="113"/>
      <c r="F509" s="266"/>
      <c r="G509" s="113"/>
      <c r="K509" s="36"/>
      <c r="L509" s="117"/>
      <c r="M509" s="128"/>
      <c r="N509" s="117"/>
      <c r="R509" s="117"/>
      <c r="T509" s="117"/>
      <c r="V509" s="117"/>
      <c r="X509" s="117"/>
      <c r="Y509" s="10"/>
      <c r="Z509" s="11"/>
      <c r="AA509" s="36"/>
      <c r="AB509" s="36"/>
      <c r="AC509" s="13"/>
      <c r="AD509" s="13"/>
      <c r="AE509" s="37"/>
      <c r="AF509" s="37"/>
      <c r="AG509" s="14"/>
      <c r="AH509" s="14"/>
      <c r="AI509" s="14"/>
      <c r="AZ509" s="24"/>
    </row>
    <row r="510">
      <c r="B510" s="24"/>
      <c r="E510" s="113"/>
      <c r="F510" s="266"/>
      <c r="G510" s="113"/>
      <c r="K510" s="36"/>
      <c r="L510" s="117"/>
      <c r="M510" s="128"/>
      <c r="N510" s="117"/>
      <c r="R510" s="117"/>
      <c r="T510" s="117"/>
      <c r="V510" s="117"/>
      <c r="X510" s="117"/>
      <c r="Y510" s="10"/>
      <c r="Z510" s="11"/>
      <c r="AA510" s="36"/>
      <c r="AB510" s="36"/>
      <c r="AC510" s="13"/>
      <c r="AD510" s="13"/>
      <c r="AE510" s="37"/>
      <c r="AF510" s="37"/>
      <c r="AG510" s="14"/>
      <c r="AH510" s="14"/>
      <c r="AI510" s="14"/>
      <c r="AZ510" s="24"/>
    </row>
    <row r="511">
      <c r="B511" s="24"/>
      <c r="E511" s="113"/>
      <c r="F511" s="266"/>
      <c r="G511" s="113"/>
      <c r="K511" s="36"/>
      <c r="L511" s="117"/>
      <c r="M511" s="128"/>
      <c r="N511" s="117"/>
      <c r="R511" s="117"/>
      <c r="T511" s="117"/>
      <c r="V511" s="117"/>
      <c r="X511" s="117"/>
      <c r="Y511" s="10"/>
      <c r="Z511" s="11"/>
      <c r="AA511" s="36"/>
      <c r="AB511" s="36"/>
      <c r="AC511" s="13"/>
      <c r="AD511" s="13"/>
      <c r="AE511" s="37"/>
      <c r="AF511" s="37"/>
      <c r="AG511" s="14"/>
      <c r="AH511" s="14"/>
      <c r="AI511" s="14"/>
      <c r="AZ511" s="24"/>
    </row>
    <row r="512">
      <c r="B512" s="24"/>
      <c r="E512" s="113"/>
      <c r="F512" s="266"/>
      <c r="G512" s="113"/>
      <c r="K512" s="36"/>
      <c r="L512" s="117"/>
      <c r="M512" s="128"/>
      <c r="N512" s="117"/>
      <c r="R512" s="117"/>
      <c r="T512" s="117"/>
      <c r="V512" s="117"/>
      <c r="X512" s="117"/>
      <c r="Y512" s="10"/>
      <c r="Z512" s="11"/>
      <c r="AA512" s="36"/>
      <c r="AB512" s="36"/>
      <c r="AC512" s="13"/>
      <c r="AD512" s="13"/>
      <c r="AE512" s="37"/>
      <c r="AF512" s="37"/>
      <c r="AG512" s="14"/>
      <c r="AH512" s="14"/>
      <c r="AI512" s="14"/>
      <c r="AZ512" s="24"/>
    </row>
    <row r="513">
      <c r="B513" s="24"/>
      <c r="E513" s="113"/>
      <c r="F513" s="266"/>
      <c r="G513" s="113"/>
      <c r="K513" s="36"/>
      <c r="L513" s="117"/>
      <c r="M513" s="128"/>
      <c r="N513" s="117"/>
      <c r="R513" s="117"/>
      <c r="T513" s="117"/>
      <c r="V513" s="117"/>
      <c r="X513" s="117"/>
      <c r="Y513" s="10"/>
      <c r="Z513" s="11"/>
      <c r="AA513" s="36"/>
      <c r="AB513" s="36"/>
      <c r="AC513" s="13"/>
      <c r="AD513" s="13"/>
      <c r="AE513" s="37"/>
      <c r="AF513" s="37"/>
      <c r="AG513" s="14"/>
      <c r="AH513" s="14"/>
      <c r="AI513" s="14"/>
      <c r="AZ513" s="24"/>
    </row>
    <row r="514">
      <c r="B514" s="24"/>
      <c r="E514" s="113"/>
      <c r="F514" s="266"/>
      <c r="G514" s="113"/>
      <c r="K514" s="36"/>
      <c r="L514" s="117"/>
      <c r="M514" s="128"/>
      <c r="N514" s="117"/>
      <c r="R514" s="117"/>
      <c r="T514" s="117"/>
      <c r="V514" s="117"/>
      <c r="X514" s="117"/>
      <c r="Y514" s="10"/>
      <c r="Z514" s="11"/>
      <c r="AA514" s="36"/>
      <c r="AB514" s="36"/>
      <c r="AC514" s="13"/>
      <c r="AD514" s="13"/>
      <c r="AE514" s="37"/>
      <c r="AF514" s="37"/>
      <c r="AG514" s="14"/>
      <c r="AH514" s="14"/>
      <c r="AI514" s="14"/>
      <c r="AZ514" s="24"/>
    </row>
    <row r="515">
      <c r="B515" s="24"/>
      <c r="E515" s="113"/>
      <c r="F515" s="266"/>
      <c r="G515" s="113"/>
      <c r="K515" s="36"/>
      <c r="L515" s="117"/>
      <c r="M515" s="128"/>
      <c r="N515" s="117"/>
      <c r="R515" s="117"/>
      <c r="T515" s="117"/>
      <c r="V515" s="117"/>
      <c r="X515" s="117"/>
      <c r="Y515" s="10"/>
      <c r="Z515" s="11"/>
      <c r="AA515" s="36"/>
      <c r="AB515" s="36"/>
      <c r="AC515" s="13"/>
      <c r="AD515" s="13"/>
      <c r="AE515" s="37"/>
      <c r="AF515" s="37"/>
      <c r="AG515" s="14"/>
      <c r="AH515" s="14"/>
      <c r="AI515" s="14"/>
      <c r="AZ515" s="24"/>
    </row>
    <row r="516">
      <c r="B516" s="24"/>
      <c r="E516" s="113"/>
      <c r="F516" s="266"/>
      <c r="G516" s="113"/>
      <c r="K516" s="36"/>
      <c r="L516" s="117"/>
      <c r="M516" s="128"/>
      <c r="N516" s="117"/>
      <c r="R516" s="117"/>
      <c r="T516" s="117"/>
      <c r="V516" s="117"/>
      <c r="X516" s="117"/>
      <c r="Y516" s="10"/>
      <c r="Z516" s="11"/>
      <c r="AA516" s="36"/>
      <c r="AB516" s="36"/>
      <c r="AC516" s="13"/>
      <c r="AD516" s="13"/>
      <c r="AE516" s="37"/>
      <c r="AF516" s="37"/>
      <c r="AG516" s="14"/>
      <c r="AH516" s="14"/>
      <c r="AI516" s="14"/>
      <c r="AZ516" s="24"/>
    </row>
    <row r="517">
      <c r="B517" s="24"/>
      <c r="E517" s="113"/>
      <c r="F517" s="266"/>
      <c r="G517" s="113"/>
      <c r="K517" s="36"/>
      <c r="L517" s="117"/>
      <c r="M517" s="128"/>
      <c r="N517" s="117"/>
      <c r="R517" s="117"/>
      <c r="T517" s="117"/>
      <c r="V517" s="117"/>
      <c r="X517" s="117"/>
      <c r="Y517" s="10"/>
      <c r="Z517" s="11"/>
      <c r="AA517" s="36"/>
      <c r="AB517" s="36"/>
      <c r="AC517" s="13"/>
      <c r="AD517" s="13"/>
      <c r="AE517" s="37"/>
      <c r="AF517" s="37"/>
      <c r="AG517" s="14"/>
      <c r="AH517" s="14"/>
      <c r="AI517" s="14"/>
      <c r="AZ517" s="24"/>
    </row>
    <row r="518">
      <c r="B518" s="24"/>
      <c r="E518" s="113"/>
      <c r="F518" s="266"/>
      <c r="G518" s="113"/>
      <c r="K518" s="36"/>
      <c r="L518" s="117"/>
      <c r="M518" s="128"/>
      <c r="N518" s="117"/>
      <c r="R518" s="117"/>
      <c r="T518" s="117"/>
      <c r="V518" s="117"/>
      <c r="X518" s="117"/>
      <c r="Y518" s="10"/>
      <c r="Z518" s="11"/>
      <c r="AA518" s="36"/>
      <c r="AB518" s="36"/>
      <c r="AC518" s="13"/>
      <c r="AD518" s="13"/>
      <c r="AE518" s="37"/>
      <c r="AF518" s="37"/>
      <c r="AG518" s="14"/>
      <c r="AH518" s="14"/>
      <c r="AI518" s="14"/>
      <c r="AZ518" s="24"/>
    </row>
    <row r="519">
      <c r="B519" s="24"/>
      <c r="E519" s="113"/>
      <c r="F519" s="266"/>
      <c r="G519" s="113"/>
      <c r="K519" s="36"/>
      <c r="L519" s="117"/>
      <c r="M519" s="128"/>
      <c r="N519" s="117"/>
      <c r="R519" s="117"/>
      <c r="T519" s="117"/>
      <c r="V519" s="117"/>
      <c r="X519" s="117"/>
      <c r="Y519" s="10"/>
      <c r="Z519" s="11"/>
      <c r="AA519" s="36"/>
      <c r="AB519" s="36"/>
      <c r="AC519" s="13"/>
      <c r="AD519" s="13"/>
      <c r="AE519" s="37"/>
      <c r="AF519" s="37"/>
      <c r="AG519" s="14"/>
      <c r="AH519" s="14"/>
      <c r="AI519" s="14"/>
      <c r="AZ519" s="24"/>
    </row>
    <row r="520">
      <c r="B520" s="24"/>
      <c r="E520" s="113"/>
      <c r="F520" s="266"/>
      <c r="G520" s="113"/>
      <c r="K520" s="36"/>
      <c r="L520" s="117"/>
      <c r="M520" s="128"/>
      <c r="N520" s="117"/>
      <c r="R520" s="117"/>
      <c r="T520" s="117"/>
      <c r="V520" s="117"/>
      <c r="X520" s="117"/>
      <c r="Y520" s="10"/>
      <c r="Z520" s="11"/>
      <c r="AA520" s="36"/>
      <c r="AB520" s="36"/>
      <c r="AC520" s="13"/>
      <c r="AD520" s="13"/>
      <c r="AE520" s="37"/>
      <c r="AF520" s="37"/>
      <c r="AG520" s="14"/>
      <c r="AH520" s="14"/>
      <c r="AI520" s="14"/>
      <c r="AZ520" s="24"/>
    </row>
    <row r="521">
      <c r="B521" s="24"/>
      <c r="E521" s="113"/>
      <c r="F521" s="266"/>
      <c r="G521" s="113"/>
      <c r="K521" s="36"/>
      <c r="L521" s="117"/>
      <c r="M521" s="128"/>
      <c r="N521" s="117"/>
      <c r="R521" s="117"/>
      <c r="T521" s="117"/>
      <c r="V521" s="117"/>
      <c r="X521" s="117"/>
      <c r="Y521" s="10"/>
      <c r="Z521" s="11"/>
      <c r="AA521" s="36"/>
      <c r="AB521" s="36"/>
      <c r="AC521" s="13"/>
      <c r="AD521" s="13"/>
      <c r="AE521" s="37"/>
      <c r="AF521" s="37"/>
      <c r="AG521" s="14"/>
      <c r="AH521" s="14"/>
      <c r="AI521" s="14"/>
      <c r="AZ521" s="24"/>
    </row>
    <row r="522">
      <c r="B522" s="24"/>
      <c r="E522" s="113"/>
      <c r="F522" s="266"/>
      <c r="G522" s="113"/>
      <c r="K522" s="36"/>
      <c r="L522" s="117"/>
      <c r="M522" s="128"/>
      <c r="N522" s="117"/>
      <c r="R522" s="117"/>
      <c r="T522" s="117"/>
      <c r="V522" s="117"/>
      <c r="X522" s="117"/>
      <c r="Y522" s="10"/>
      <c r="Z522" s="11"/>
      <c r="AA522" s="36"/>
      <c r="AB522" s="36"/>
      <c r="AC522" s="13"/>
      <c r="AD522" s="13"/>
      <c r="AE522" s="37"/>
      <c r="AF522" s="37"/>
      <c r="AG522" s="14"/>
      <c r="AH522" s="14"/>
      <c r="AI522" s="14"/>
      <c r="AZ522" s="24"/>
    </row>
    <row r="523">
      <c r="B523" s="24"/>
      <c r="E523" s="113"/>
      <c r="F523" s="266"/>
      <c r="G523" s="113"/>
      <c r="K523" s="36"/>
      <c r="L523" s="117"/>
      <c r="M523" s="128"/>
      <c r="N523" s="117"/>
      <c r="R523" s="117"/>
      <c r="T523" s="117"/>
      <c r="V523" s="117"/>
      <c r="X523" s="117"/>
      <c r="Y523" s="10"/>
      <c r="Z523" s="11"/>
      <c r="AA523" s="36"/>
      <c r="AB523" s="36"/>
      <c r="AC523" s="13"/>
      <c r="AD523" s="13"/>
      <c r="AE523" s="37"/>
      <c r="AF523" s="37"/>
      <c r="AG523" s="14"/>
      <c r="AH523" s="14"/>
      <c r="AI523" s="14"/>
      <c r="AZ523" s="24"/>
    </row>
    <row r="524">
      <c r="B524" s="24"/>
      <c r="E524" s="113"/>
      <c r="F524" s="266"/>
      <c r="G524" s="113"/>
      <c r="K524" s="36"/>
      <c r="L524" s="117"/>
      <c r="M524" s="128"/>
      <c r="N524" s="117"/>
      <c r="R524" s="117"/>
      <c r="T524" s="117"/>
      <c r="V524" s="117"/>
      <c r="X524" s="117"/>
      <c r="Y524" s="10"/>
      <c r="Z524" s="11"/>
      <c r="AA524" s="36"/>
      <c r="AB524" s="36"/>
      <c r="AC524" s="13"/>
      <c r="AD524" s="13"/>
      <c r="AE524" s="37"/>
      <c r="AF524" s="37"/>
      <c r="AG524" s="14"/>
      <c r="AH524" s="14"/>
      <c r="AI524" s="14"/>
      <c r="AZ524" s="24"/>
    </row>
    <row r="525">
      <c r="B525" s="24"/>
      <c r="E525" s="113"/>
      <c r="F525" s="266"/>
      <c r="G525" s="113"/>
      <c r="K525" s="36"/>
      <c r="L525" s="117"/>
      <c r="M525" s="128"/>
      <c r="N525" s="117"/>
      <c r="R525" s="117"/>
      <c r="T525" s="117"/>
      <c r="V525" s="117"/>
      <c r="X525" s="117"/>
      <c r="Y525" s="10"/>
      <c r="Z525" s="11"/>
      <c r="AA525" s="36"/>
      <c r="AB525" s="36"/>
      <c r="AC525" s="13"/>
      <c r="AD525" s="13"/>
      <c r="AE525" s="37"/>
      <c r="AF525" s="37"/>
      <c r="AG525" s="14"/>
      <c r="AH525" s="14"/>
      <c r="AI525" s="14"/>
      <c r="AZ525" s="24"/>
    </row>
    <row r="526">
      <c r="B526" s="24"/>
      <c r="E526" s="113"/>
      <c r="F526" s="266"/>
      <c r="G526" s="113"/>
      <c r="K526" s="36"/>
      <c r="L526" s="117"/>
      <c r="M526" s="128"/>
      <c r="N526" s="117"/>
      <c r="R526" s="117"/>
      <c r="T526" s="117"/>
      <c r="V526" s="117"/>
      <c r="X526" s="117"/>
      <c r="Y526" s="10"/>
      <c r="Z526" s="11"/>
      <c r="AA526" s="36"/>
      <c r="AB526" s="36"/>
      <c r="AC526" s="13"/>
      <c r="AD526" s="13"/>
      <c r="AE526" s="37"/>
      <c r="AF526" s="37"/>
      <c r="AG526" s="14"/>
      <c r="AH526" s="14"/>
      <c r="AI526" s="14"/>
      <c r="AZ526" s="24"/>
    </row>
    <row r="527">
      <c r="B527" s="24"/>
      <c r="E527" s="113"/>
      <c r="F527" s="266"/>
      <c r="G527" s="113"/>
      <c r="K527" s="36"/>
      <c r="L527" s="117"/>
      <c r="M527" s="128"/>
      <c r="N527" s="117"/>
      <c r="R527" s="117"/>
      <c r="T527" s="117"/>
      <c r="V527" s="117"/>
      <c r="X527" s="117"/>
      <c r="Y527" s="10"/>
      <c r="Z527" s="11"/>
      <c r="AA527" s="36"/>
      <c r="AB527" s="36"/>
      <c r="AC527" s="13"/>
      <c r="AD527" s="13"/>
      <c r="AE527" s="37"/>
      <c r="AF527" s="37"/>
      <c r="AG527" s="14"/>
      <c r="AH527" s="14"/>
      <c r="AI527" s="14"/>
      <c r="AZ527" s="24"/>
    </row>
    <row r="528">
      <c r="B528" s="24"/>
      <c r="E528" s="113"/>
      <c r="F528" s="266"/>
      <c r="G528" s="113"/>
      <c r="K528" s="36"/>
      <c r="L528" s="117"/>
      <c r="M528" s="128"/>
      <c r="N528" s="117"/>
      <c r="R528" s="117"/>
      <c r="T528" s="117"/>
      <c r="V528" s="117"/>
      <c r="X528" s="117"/>
      <c r="Y528" s="10"/>
      <c r="Z528" s="11"/>
      <c r="AA528" s="36"/>
      <c r="AB528" s="36"/>
      <c r="AC528" s="13"/>
      <c r="AD528" s="13"/>
      <c r="AE528" s="37"/>
      <c r="AF528" s="37"/>
      <c r="AG528" s="14"/>
      <c r="AH528" s="14"/>
      <c r="AI528" s="14"/>
      <c r="AZ528" s="24"/>
    </row>
    <row r="529">
      <c r="B529" s="24"/>
      <c r="E529" s="113"/>
      <c r="F529" s="266"/>
      <c r="G529" s="113"/>
      <c r="K529" s="36"/>
      <c r="L529" s="117"/>
      <c r="M529" s="128"/>
      <c r="N529" s="117"/>
      <c r="R529" s="117"/>
      <c r="T529" s="117"/>
      <c r="V529" s="117"/>
      <c r="X529" s="117"/>
      <c r="Y529" s="10"/>
      <c r="Z529" s="11"/>
      <c r="AA529" s="36"/>
      <c r="AB529" s="36"/>
      <c r="AC529" s="13"/>
      <c r="AD529" s="13"/>
      <c r="AE529" s="37"/>
      <c r="AF529" s="37"/>
      <c r="AG529" s="14"/>
      <c r="AH529" s="14"/>
      <c r="AI529" s="14"/>
      <c r="AZ529" s="24"/>
    </row>
    <row r="530">
      <c r="B530" s="24"/>
      <c r="E530" s="113"/>
      <c r="F530" s="266"/>
      <c r="G530" s="113"/>
      <c r="K530" s="36"/>
      <c r="L530" s="117"/>
      <c r="M530" s="128"/>
      <c r="N530" s="117"/>
      <c r="R530" s="117"/>
      <c r="T530" s="117"/>
      <c r="V530" s="117"/>
      <c r="X530" s="117"/>
      <c r="Y530" s="10"/>
      <c r="Z530" s="11"/>
      <c r="AA530" s="36"/>
      <c r="AB530" s="36"/>
      <c r="AC530" s="13"/>
      <c r="AD530" s="13"/>
      <c r="AE530" s="37"/>
      <c r="AF530" s="37"/>
      <c r="AG530" s="14"/>
      <c r="AH530" s="14"/>
      <c r="AI530" s="14"/>
      <c r="AZ530" s="24"/>
    </row>
    <row r="531">
      <c r="B531" s="24"/>
      <c r="E531" s="113"/>
      <c r="F531" s="266"/>
      <c r="G531" s="113"/>
      <c r="K531" s="36"/>
      <c r="L531" s="117"/>
      <c r="M531" s="128"/>
      <c r="N531" s="117"/>
      <c r="R531" s="117"/>
      <c r="T531" s="117"/>
      <c r="V531" s="117"/>
      <c r="X531" s="117"/>
      <c r="Y531" s="10"/>
      <c r="Z531" s="11"/>
      <c r="AA531" s="36"/>
      <c r="AB531" s="36"/>
      <c r="AC531" s="13"/>
      <c r="AD531" s="13"/>
      <c r="AE531" s="37"/>
      <c r="AF531" s="37"/>
      <c r="AG531" s="14"/>
      <c r="AH531" s="14"/>
      <c r="AI531" s="14"/>
      <c r="AZ531" s="24"/>
    </row>
    <row r="532">
      <c r="B532" s="24"/>
      <c r="E532" s="113"/>
      <c r="F532" s="266"/>
      <c r="G532" s="113"/>
      <c r="K532" s="36"/>
      <c r="L532" s="117"/>
      <c r="M532" s="128"/>
      <c r="N532" s="117"/>
      <c r="R532" s="117"/>
      <c r="T532" s="117"/>
      <c r="V532" s="117"/>
      <c r="X532" s="117"/>
      <c r="Y532" s="10"/>
      <c r="Z532" s="11"/>
      <c r="AA532" s="36"/>
      <c r="AB532" s="36"/>
      <c r="AC532" s="13"/>
      <c r="AD532" s="13"/>
      <c r="AE532" s="37"/>
      <c r="AF532" s="37"/>
      <c r="AG532" s="14"/>
      <c r="AH532" s="14"/>
      <c r="AI532" s="14"/>
      <c r="AZ532" s="24"/>
    </row>
    <row r="533">
      <c r="B533" s="24"/>
      <c r="E533" s="113"/>
      <c r="F533" s="266"/>
      <c r="G533" s="113"/>
      <c r="K533" s="36"/>
      <c r="L533" s="117"/>
      <c r="M533" s="128"/>
      <c r="N533" s="117"/>
      <c r="R533" s="117"/>
      <c r="T533" s="117"/>
      <c r="V533" s="117"/>
      <c r="X533" s="117"/>
      <c r="Y533" s="10"/>
      <c r="Z533" s="11"/>
      <c r="AA533" s="36"/>
      <c r="AB533" s="36"/>
      <c r="AC533" s="13"/>
      <c r="AD533" s="13"/>
      <c r="AE533" s="37"/>
      <c r="AF533" s="37"/>
      <c r="AG533" s="14"/>
      <c r="AH533" s="14"/>
      <c r="AI533" s="14"/>
      <c r="AZ533" s="24"/>
    </row>
    <row r="534">
      <c r="B534" s="24"/>
      <c r="E534" s="113"/>
      <c r="F534" s="266"/>
      <c r="G534" s="113"/>
      <c r="K534" s="36"/>
      <c r="L534" s="117"/>
      <c r="M534" s="128"/>
      <c r="N534" s="117"/>
      <c r="R534" s="117"/>
      <c r="T534" s="117"/>
      <c r="V534" s="117"/>
      <c r="X534" s="117"/>
      <c r="Y534" s="10"/>
      <c r="Z534" s="11"/>
      <c r="AA534" s="36"/>
      <c r="AB534" s="36"/>
      <c r="AC534" s="13"/>
      <c r="AD534" s="13"/>
      <c r="AE534" s="37"/>
      <c r="AF534" s="37"/>
      <c r="AG534" s="14"/>
      <c r="AH534" s="14"/>
      <c r="AI534" s="14"/>
      <c r="AZ534" s="24"/>
    </row>
    <row r="535">
      <c r="B535" s="24"/>
      <c r="E535" s="113"/>
      <c r="F535" s="266"/>
      <c r="G535" s="113"/>
      <c r="K535" s="36"/>
      <c r="L535" s="117"/>
      <c r="M535" s="128"/>
      <c r="N535" s="117"/>
      <c r="R535" s="117"/>
      <c r="T535" s="117"/>
      <c r="V535" s="117"/>
      <c r="X535" s="117"/>
      <c r="Y535" s="10"/>
      <c r="Z535" s="11"/>
      <c r="AA535" s="36"/>
      <c r="AB535" s="36"/>
      <c r="AC535" s="13"/>
      <c r="AD535" s="13"/>
      <c r="AE535" s="37"/>
      <c r="AF535" s="37"/>
      <c r="AG535" s="14"/>
      <c r="AH535" s="14"/>
      <c r="AI535" s="14"/>
      <c r="AZ535" s="24"/>
    </row>
    <row r="536">
      <c r="B536" s="24"/>
      <c r="E536" s="113"/>
      <c r="F536" s="266"/>
      <c r="G536" s="113"/>
      <c r="K536" s="36"/>
      <c r="L536" s="117"/>
      <c r="M536" s="128"/>
      <c r="N536" s="117"/>
      <c r="R536" s="117"/>
      <c r="T536" s="117"/>
      <c r="V536" s="117"/>
      <c r="X536" s="117"/>
      <c r="Y536" s="10"/>
      <c r="Z536" s="11"/>
      <c r="AA536" s="36"/>
      <c r="AB536" s="36"/>
      <c r="AC536" s="13"/>
      <c r="AD536" s="13"/>
      <c r="AE536" s="37"/>
      <c r="AF536" s="37"/>
      <c r="AG536" s="14"/>
      <c r="AH536" s="14"/>
      <c r="AI536" s="14"/>
      <c r="AZ536" s="24"/>
    </row>
    <row r="537">
      <c r="B537" s="24"/>
      <c r="E537" s="113"/>
      <c r="F537" s="266"/>
      <c r="G537" s="113"/>
      <c r="K537" s="36"/>
      <c r="L537" s="117"/>
      <c r="M537" s="128"/>
      <c r="N537" s="117"/>
      <c r="R537" s="117"/>
      <c r="T537" s="117"/>
      <c r="V537" s="117"/>
      <c r="X537" s="117"/>
      <c r="Y537" s="10"/>
      <c r="Z537" s="11"/>
      <c r="AA537" s="36"/>
      <c r="AB537" s="36"/>
      <c r="AC537" s="13"/>
      <c r="AD537" s="13"/>
      <c r="AE537" s="37"/>
      <c r="AF537" s="37"/>
      <c r="AG537" s="14"/>
      <c r="AH537" s="14"/>
      <c r="AI537" s="14"/>
      <c r="AZ537" s="24"/>
    </row>
    <row r="538">
      <c r="B538" s="24"/>
      <c r="E538" s="113"/>
      <c r="F538" s="266"/>
      <c r="G538" s="113"/>
      <c r="K538" s="36"/>
      <c r="L538" s="117"/>
      <c r="M538" s="128"/>
      <c r="N538" s="117"/>
      <c r="R538" s="117"/>
      <c r="T538" s="117"/>
      <c r="V538" s="117"/>
      <c r="X538" s="117"/>
      <c r="Y538" s="10"/>
      <c r="Z538" s="11"/>
      <c r="AA538" s="36"/>
      <c r="AB538" s="36"/>
      <c r="AC538" s="13"/>
      <c r="AD538" s="13"/>
      <c r="AE538" s="37"/>
      <c r="AF538" s="37"/>
      <c r="AG538" s="14"/>
      <c r="AH538" s="14"/>
      <c r="AI538" s="14"/>
      <c r="AZ538" s="24"/>
    </row>
    <row r="539">
      <c r="B539" s="24"/>
      <c r="E539" s="113"/>
      <c r="F539" s="266"/>
      <c r="G539" s="113"/>
      <c r="K539" s="36"/>
      <c r="L539" s="117"/>
      <c r="M539" s="128"/>
      <c r="N539" s="117"/>
      <c r="R539" s="117"/>
      <c r="T539" s="117"/>
      <c r="V539" s="117"/>
      <c r="X539" s="117"/>
      <c r="Y539" s="10"/>
      <c r="Z539" s="11"/>
      <c r="AA539" s="36"/>
      <c r="AB539" s="36"/>
      <c r="AC539" s="13"/>
      <c r="AD539" s="13"/>
      <c r="AE539" s="37"/>
      <c r="AF539" s="37"/>
      <c r="AG539" s="14"/>
      <c r="AH539" s="14"/>
      <c r="AI539" s="14"/>
      <c r="AZ539" s="24"/>
    </row>
    <row r="540">
      <c r="B540" s="24"/>
      <c r="E540" s="113"/>
      <c r="F540" s="266"/>
      <c r="G540" s="113"/>
      <c r="K540" s="36"/>
      <c r="L540" s="117"/>
      <c r="M540" s="128"/>
      <c r="N540" s="117"/>
      <c r="R540" s="117"/>
      <c r="T540" s="117"/>
      <c r="V540" s="117"/>
      <c r="X540" s="117"/>
      <c r="Y540" s="10"/>
      <c r="Z540" s="11"/>
      <c r="AA540" s="36"/>
      <c r="AB540" s="36"/>
      <c r="AC540" s="13"/>
      <c r="AD540" s="13"/>
      <c r="AE540" s="37"/>
      <c r="AF540" s="37"/>
      <c r="AG540" s="14"/>
      <c r="AH540" s="14"/>
      <c r="AI540" s="14"/>
      <c r="AZ540" s="24"/>
    </row>
    <row r="541">
      <c r="B541" s="24"/>
      <c r="E541" s="113"/>
      <c r="F541" s="266"/>
      <c r="G541" s="113"/>
      <c r="K541" s="36"/>
      <c r="L541" s="117"/>
      <c r="M541" s="128"/>
      <c r="N541" s="117"/>
      <c r="R541" s="117"/>
      <c r="T541" s="117"/>
      <c r="V541" s="117"/>
      <c r="X541" s="117"/>
      <c r="Y541" s="10"/>
      <c r="Z541" s="11"/>
      <c r="AA541" s="36"/>
      <c r="AB541" s="36"/>
      <c r="AC541" s="13"/>
      <c r="AD541" s="13"/>
      <c r="AE541" s="37"/>
      <c r="AF541" s="37"/>
      <c r="AG541" s="14"/>
      <c r="AH541" s="14"/>
      <c r="AI541" s="14"/>
      <c r="AZ541" s="24"/>
    </row>
    <row r="542">
      <c r="B542" s="24"/>
      <c r="E542" s="113"/>
      <c r="F542" s="266"/>
      <c r="G542" s="113"/>
      <c r="K542" s="36"/>
      <c r="L542" s="117"/>
      <c r="M542" s="128"/>
      <c r="N542" s="117"/>
      <c r="R542" s="117"/>
      <c r="T542" s="117"/>
      <c r="V542" s="117"/>
      <c r="X542" s="117"/>
      <c r="Y542" s="10"/>
      <c r="Z542" s="11"/>
      <c r="AA542" s="36"/>
      <c r="AB542" s="36"/>
      <c r="AC542" s="13"/>
      <c r="AD542" s="13"/>
      <c r="AE542" s="37"/>
      <c r="AF542" s="37"/>
      <c r="AG542" s="14"/>
      <c r="AH542" s="14"/>
      <c r="AI542" s="14"/>
      <c r="AZ542" s="24"/>
    </row>
    <row r="543">
      <c r="B543" s="24"/>
      <c r="E543" s="113"/>
      <c r="F543" s="266"/>
      <c r="G543" s="113"/>
      <c r="K543" s="36"/>
      <c r="L543" s="117"/>
      <c r="M543" s="128"/>
      <c r="N543" s="117"/>
      <c r="R543" s="117"/>
      <c r="T543" s="117"/>
      <c r="V543" s="117"/>
      <c r="X543" s="117"/>
      <c r="Y543" s="10"/>
      <c r="Z543" s="11"/>
      <c r="AA543" s="36"/>
      <c r="AB543" s="36"/>
      <c r="AC543" s="13"/>
      <c r="AD543" s="13"/>
      <c r="AE543" s="37"/>
      <c r="AF543" s="37"/>
      <c r="AG543" s="14"/>
      <c r="AH543" s="14"/>
      <c r="AI543" s="14"/>
      <c r="AZ543" s="24"/>
    </row>
    <row r="544">
      <c r="B544" s="24"/>
      <c r="E544" s="113"/>
      <c r="F544" s="266"/>
      <c r="G544" s="113"/>
      <c r="K544" s="36"/>
      <c r="L544" s="117"/>
      <c r="M544" s="128"/>
      <c r="N544" s="117"/>
      <c r="R544" s="117"/>
      <c r="T544" s="117"/>
      <c r="V544" s="117"/>
      <c r="X544" s="117"/>
      <c r="Y544" s="10"/>
      <c r="Z544" s="11"/>
      <c r="AA544" s="36"/>
      <c r="AB544" s="36"/>
      <c r="AC544" s="13"/>
      <c r="AD544" s="13"/>
      <c r="AE544" s="37"/>
      <c r="AF544" s="37"/>
      <c r="AG544" s="14"/>
      <c r="AH544" s="14"/>
      <c r="AI544" s="14"/>
      <c r="AZ544" s="24"/>
    </row>
    <row r="545">
      <c r="B545" s="24"/>
      <c r="E545" s="113"/>
      <c r="F545" s="266"/>
      <c r="G545" s="113"/>
      <c r="K545" s="36"/>
      <c r="L545" s="117"/>
      <c r="M545" s="128"/>
      <c r="N545" s="117"/>
      <c r="R545" s="117"/>
      <c r="T545" s="117"/>
      <c r="V545" s="117"/>
      <c r="X545" s="117"/>
      <c r="Y545" s="10"/>
      <c r="Z545" s="11"/>
      <c r="AA545" s="36"/>
      <c r="AB545" s="36"/>
      <c r="AC545" s="13"/>
      <c r="AD545" s="13"/>
      <c r="AE545" s="37"/>
      <c r="AF545" s="37"/>
      <c r="AG545" s="14"/>
      <c r="AH545" s="14"/>
      <c r="AI545" s="14"/>
      <c r="AZ545" s="24"/>
    </row>
    <row r="546">
      <c r="B546" s="24"/>
      <c r="E546" s="113"/>
      <c r="F546" s="266"/>
      <c r="G546" s="113"/>
      <c r="K546" s="36"/>
      <c r="L546" s="117"/>
      <c r="M546" s="128"/>
      <c r="N546" s="117"/>
      <c r="R546" s="117"/>
      <c r="T546" s="117"/>
      <c r="V546" s="117"/>
      <c r="X546" s="117"/>
      <c r="Y546" s="10"/>
      <c r="Z546" s="11"/>
      <c r="AA546" s="36"/>
      <c r="AB546" s="36"/>
      <c r="AC546" s="13"/>
      <c r="AD546" s="13"/>
      <c r="AE546" s="37"/>
      <c r="AF546" s="37"/>
      <c r="AG546" s="14"/>
      <c r="AH546" s="14"/>
      <c r="AI546" s="14"/>
      <c r="AZ546" s="24"/>
    </row>
    <row r="547">
      <c r="B547" s="24"/>
      <c r="E547" s="113"/>
      <c r="F547" s="266"/>
      <c r="G547" s="113"/>
      <c r="K547" s="36"/>
      <c r="L547" s="117"/>
      <c r="M547" s="128"/>
      <c r="N547" s="117"/>
      <c r="R547" s="117"/>
      <c r="T547" s="117"/>
      <c r="V547" s="117"/>
      <c r="X547" s="117"/>
      <c r="Y547" s="10"/>
      <c r="Z547" s="11"/>
      <c r="AA547" s="36"/>
      <c r="AB547" s="36"/>
      <c r="AC547" s="13"/>
      <c r="AD547" s="13"/>
      <c r="AE547" s="37"/>
      <c r="AF547" s="37"/>
      <c r="AG547" s="14"/>
      <c r="AH547" s="14"/>
      <c r="AI547" s="14"/>
      <c r="AZ547" s="24"/>
    </row>
    <row r="548">
      <c r="B548" s="24"/>
      <c r="E548" s="113"/>
      <c r="F548" s="266"/>
      <c r="G548" s="113"/>
      <c r="K548" s="36"/>
      <c r="L548" s="117"/>
      <c r="M548" s="128"/>
      <c r="N548" s="117"/>
      <c r="R548" s="117"/>
      <c r="T548" s="117"/>
      <c r="V548" s="117"/>
      <c r="X548" s="117"/>
      <c r="Y548" s="10"/>
      <c r="Z548" s="11"/>
      <c r="AA548" s="36"/>
      <c r="AB548" s="36"/>
      <c r="AC548" s="13"/>
      <c r="AD548" s="13"/>
      <c r="AE548" s="37"/>
      <c r="AF548" s="37"/>
      <c r="AG548" s="14"/>
      <c r="AH548" s="14"/>
      <c r="AI548" s="14"/>
      <c r="AZ548" s="24"/>
    </row>
    <row r="549">
      <c r="B549" s="24"/>
      <c r="E549" s="113"/>
      <c r="F549" s="266"/>
      <c r="G549" s="113"/>
      <c r="K549" s="36"/>
      <c r="L549" s="117"/>
      <c r="M549" s="128"/>
      <c r="N549" s="117"/>
      <c r="R549" s="117"/>
      <c r="T549" s="117"/>
      <c r="V549" s="117"/>
      <c r="X549" s="117"/>
      <c r="Y549" s="10"/>
      <c r="Z549" s="11"/>
      <c r="AA549" s="36"/>
      <c r="AB549" s="36"/>
      <c r="AC549" s="13"/>
      <c r="AD549" s="13"/>
      <c r="AE549" s="37"/>
      <c r="AF549" s="37"/>
      <c r="AG549" s="14"/>
      <c r="AH549" s="14"/>
      <c r="AI549" s="14"/>
      <c r="AZ549" s="24"/>
    </row>
    <row r="550">
      <c r="B550" s="24"/>
      <c r="E550" s="113"/>
      <c r="F550" s="266"/>
      <c r="G550" s="113"/>
      <c r="K550" s="36"/>
      <c r="L550" s="117"/>
      <c r="M550" s="128"/>
      <c r="N550" s="117"/>
      <c r="R550" s="117"/>
      <c r="T550" s="117"/>
      <c r="V550" s="117"/>
      <c r="X550" s="117"/>
      <c r="Y550" s="10"/>
      <c r="Z550" s="11"/>
      <c r="AA550" s="36"/>
      <c r="AB550" s="36"/>
      <c r="AC550" s="13"/>
      <c r="AD550" s="13"/>
      <c r="AE550" s="37"/>
      <c r="AF550" s="37"/>
      <c r="AG550" s="14"/>
      <c r="AH550" s="14"/>
      <c r="AI550" s="14"/>
      <c r="AZ550" s="24"/>
    </row>
    <row r="551">
      <c r="B551" s="24"/>
      <c r="E551" s="113"/>
      <c r="F551" s="266"/>
      <c r="G551" s="113"/>
      <c r="K551" s="36"/>
      <c r="L551" s="117"/>
      <c r="M551" s="128"/>
      <c r="N551" s="117"/>
      <c r="R551" s="117"/>
      <c r="T551" s="117"/>
      <c r="V551" s="117"/>
      <c r="X551" s="117"/>
      <c r="Y551" s="10"/>
      <c r="Z551" s="11"/>
      <c r="AA551" s="36"/>
      <c r="AB551" s="36"/>
      <c r="AC551" s="13"/>
      <c r="AD551" s="13"/>
      <c r="AE551" s="37"/>
      <c r="AF551" s="37"/>
      <c r="AG551" s="14"/>
      <c r="AH551" s="14"/>
      <c r="AI551" s="14"/>
      <c r="AZ551" s="24"/>
    </row>
    <row r="552">
      <c r="B552" s="24"/>
      <c r="E552" s="113"/>
      <c r="F552" s="266"/>
      <c r="G552" s="113"/>
      <c r="K552" s="36"/>
      <c r="L552" s="117"/>
      <c r="M552" s="128"/>
      <c r="N552" s="117"/>
      <c r="R552" s="117"/>
      <c r="T552" s="117"/>
      <c r="V552" s="117"/>
      <c r="X552" s="117"/>
      <c r="Y552" s="10"/>
      <c r="Z552" s="11"/>
      <c r="AA552" s="36"/>
      <c r="AB552" s="36"/>
      <c r="AC552" s="13"/>
      <c r="AD552" s="13"/>
      <c r="AE552" s="37"/>
      <c r="AF552" s="37"/>
      <c r="AG552" s="14"/>
      <c r="AH552" s="14"/>
      <c r="AI552" s="14"/>
      <c r="AZ552" s="24"/>
    </row>
    <row r="553">
      <c r="B553" s="24"/>
      <c r="E553" s="113"/>
      <c r="F553" s="266"/>
      <c r="G553" s="113"/>
      <c r="K553" s="36"/>
      <c r="L553" s="117"/>
      <c r="M553" s="128"/>
      <c r="N553" s="117"/>
      <c r="R553" s="117"/>
      <c r="T553" s="117"/>
      <c r="V553" s="117"/>
      <c r="X553" s="117"/>
      <c r="Y553" s="10"/>
      <c r="Z553" s="11"/>
      <c r="AA553" s="36"/>
      <c r="AB553" s="36"/>
      <c r="AC553" s="13"/>
      <c r="AD553" s="13"/>
      <c r="AE553" s="37"/>
      <c r="AF553" s="37"/>
      <c r="AG553" s="14"/>
      <c r="AH553" s="14"/>
      <c r="AI553" s="14"/>
      <c r="AZ553" s="24"/>
    </row>
    <row r="554">
      <c r="B554" s="24"/>
      <c r="E554" s="113"/>
      <c r="F554" s="266"/>
      <c r="G554" s="113"/>
      <c r="K554" s="36"/>
      <c r="L554" s="117"/>
      <c r="M554" s="128"/>
      <c r="N554" s="117"/>
      <c r="R554" s="117"/>
      <c r="T554" s="117"/>
      <c r="V554" s="117"/>
      <c r="X554" s="117"/>
      <c r="Y554" s="10"/>
      <c r="Z554" s="11"/>
      <c r="AA554" s="36"/>
      <c r="AB554" s="36"/>
      <c r="AC554" s="13"/>
      <c r="AD554" s="13"/>
      <c r="AE554" s="37"/>
      <c r="AF554" s="37"/>
      <c r="AG554" s="14"/>
      <c r="AH554" s="14"/>
      <c r="AI554" s="14"/>
      <c r="AZ554" s="24"/>
    </row>
    <row r="555">
      <c r="B555" s="24"/>
      <c r="E555" s="113"/>
      <c r="F555" s="266"/>
      <c r="G555" s="113"/>
      <c r="K555" s="36"/>
      <c r="L555" s="117"/>
      <c r="M555" s="128"/>
      <c r="N555" s="117"/>
      <c r="R555" s="117"/>
      <c r="T555" s="117"/>
      <c r="V555" s="117"/>
      <c r="X555" s="117"/>
      <c r="Y555" s="10"/>
      <c r="Z555" s="11"/>
      <c r="AA555" s="36"/>
      <c r="AB555" s="36"/>
      <c r="AC555" s="13"/>
      <c r="AD555" s="13"/>
      <c r="AE555" s="37"/>
      <c r="AF555" s="37"/>
      <c r="AG555" s="14"/>
      <c r="AH555" s="14"/>
      <c r="AI555" s="14"/>
      <c r="AZ555" s="24"/>
    </row>
    <row r="556">
      <c r="B556" s="24"/>
      <c r="E556" s="113"/>
      <c r="F556" s="266"/>
      <c r="G556" s="113"/>
      <c r="K556" s="36"/>
      <c r="L556" s="117"/>
      <c r="M556" s="128"/>
      <c r="N556" s="117"/>
      <c r="R556" s="117"/>
      <c r="T556" s="117"/>
      <c r="V556" s="117"/>
      <c r="X556" s="117"/>
      <c r="Y556" s="10"/>
      <c r="Z556" s="11"/>
      <c r="AA556" s="36"/>
      <c r="AB556" s="36"/>
      <c r="AC556" s="13"/>
      <c r="AD556" s="13"/>
      <c r="AE556" s="37"/>
      <c r="AF556" s="37"/>
      <c r="AG556" s="14"/>
      <c r="AH556" s="14"/>
      <c r="AI556" s="14"/>
      <c r="AZ556" s="24"/>
    </row>
    <row r="557">
      <c r="B557" s="24"/>
      <c r="E557" s="113"/>
      <c r="F557" s="266"/>
      <c r="G557" s="113"/>
      <c r="K557" s="36"/>
      <c r="L557" s="117"/>
      <c r="M557" s="128"/>
      <c r="N557" s="117"/>
      <c r="R557" s="117"/>
      <c r="T557" s="117"/>
      <c r="V557" s="117"/>
      <c r="X557" s="117"/>
      <c r="Y557" s="10"/>
      <c r="Z557" s="11"/>
      <c r="AA557" s="36"/>
      <c r="AB557" s="36"/>
      <c r="AC557" s="13"/>
      <c r="AD557" s="13"/>
      <c r="AE557" s="37"/>
      <c r="AF557" s="37"/>
      <c r="AG557" s="14"/>
      <c r="AH557" s="14"/>
      <c r="AI557" s="14"/>
      <c r="AZ557" s="24"/>
    </row>
    <row r="558">
      <c r="B558" s="24"/>
      <c r="E558" s="113"/>
      <c r="F558" s="266"/>
      <c r="G558" s="113"/>
      <c r="K558" s="36"/>
      <c r="L558" s="117"/>
      <c r="M558" s="128"/>
      <c r="N558" s="117"/>
      <c r="R558" s="117"/>
      <c r="T558" s="117"/>
      <c r="V558" s="117"/>
      <c r="X558" s="117"/>
      <c r="Y558" s="10"/>
      <c r="Z558" s="11"/>
      <c r="AA558" s="36"/>
      <c r="AB558" s="36"/>
      <c r="AC558" s="13"/>
      <c r="AD558" s="13"/>
      <c r="AE558" s="37"/>
      <c r="AF558" s="37"/>
      <c r="AG558" s="14"/>
      <c r="AH558" s="14"/>
      <c r="AI558" s="14"/>
      <c r="AZ558" s="24"/>
    </row>
    <row r="559">
      <c r="B559" s="24"/>
      <c r="E559" s="113"/>
      <c r="F559" s="266"/>
      <c r="G559" s="113"/>
      <c r="K559" s="36"/>
      <c r="L559" s="117"/>
      <c r="M559" s="128"/>
      <c r="N559" s="117"/>
      <c r="R559" s="117"/>
      <c r="T559" s="117"/>
      <c r="V559" s="117"/>
      <c r="X559" s="117"/>
      <c r="Y559" s="10"/>
      <c r="Z559" s="11"/>
      <c r="AA559" s="36"/>
      <c r="AB559" s="36"/>
      <c r="AC559" s="13"/>
      <c r="AD559" s="13"/>
      <c r="AE559" s="37"/>
      <c r="AF559" s="37"/>
      <c r="AG559" s="14"/>
      <c r="AH559" s="14"/>
      <c r="AI559" s="14"/>
      <c r="AZ559" s="24"/>
    </row>
    <row r="560">
      <c r="B560" s="24"/>
      <c r="E560" s="113"/>
      <c r="F560" s="266"/>
      <c r="G560" s="113"/>
      <c r="K560" s="36"/>
      <c r="L560" s="117"/>
      <c r="M560" s="128"/>
      <c r="N560" s="117"/>
      <c r="R560" s="117"/>
      <c r="T560" s="117"/>
      <c r="V560" s="117"/>
      <c r="X560" s="117"/>
      <c r="Y560" s="10"/>
      <c r="Z560" s="11"/>
      <c r="AA560" s="36"/>
      <c r="AB560" s="36"/>
      <c r="AC560" s="13"/>
      <c r="AD560" s="13"/>
      <c r="AE560" s="37"/>
      <c r="AF560" s="37"/>
      <c r="AG560" s="14"/>
      <c r="AH560" s="14"/>
      <c r="AI560" s="14"/>
      <c r="AZ560" s="24"/>
    </row>
    <row r="561">
      <c r="B561" s="24"/>
      <c r="E561" s="113"/>
      <c r="F561" s="266"/>
      <c r="G561" s="113"/>
      <c r="K561" s="36"/>
      <c r="L561" s="117"/>
      <c r="M561" s="128"/>
      <c r="N561" s="117"/>
      <c r="R561" s="117"/>
      <c r="T561" s="117"/>
      <c r="V561" s="117"/>
      <c r="X561" s="117"/>
      <c r="Y561" s="10"/>
      <c r="Z561" s="11"/>
      <c r="AA561" s="36"/>
      <c r="AB561" s="36"/>
      <c r="AC561" s="13"/>
      <c r="AD561" s="13"/>
      <c r="AE561" s="37"/>
      <c r="AF561" s="37"/>
      <c r="AG561" s="14"/>
      <c r="AH561" s="14"/>
      <c r="AI561" s="14"/>
      <c r="AZ561" s="24"/>
    </row>
    <row r="562">
      <c r="B562" s="24"/>
      <c r="E562" s="113"/>
      <c r="F562" s="266"/>
      <c r="G562" s="113"/>
      <c r="K562" s="36"/>
      <c r="L562" s="117"/>
      <c r="M562" s="128"/>
      <c r="N562" s="117"/>
      <c r="R562" s="117"/>
      <c r="T562" s="117"/>
      <c r="V562" s="117"/>
      <c r="X562" s="117"/>
      <c r="Y562" s="10"/>
      <c r="Z562" s="11"/>
      <c r="AA562" s="36"/>
      <c r="AB562" s="36"/>
      <c r="AC562" s="13"/>
      <c r="AD562" s="13"/>
      <c r="AE562" s="37"/>
      <c r="AF562" s="37"/>
      <c r="AG562" s="14"/>
      <c r="AH562" s="14"/>
      <c r="AI562" s="14"/>
      <c r="AZ562" s="24"/>
    </row>
    <row r="563">
      <c r="B563" s="24"/>
      <c r="E563" s="113"/>
      <c r="F563" s="266"/>
      <c r="G563" s="113"/>
      <c r="K563" s="36"/>
      <c r="L563" s="117"/>
      <c r="M563" s="128"/>
      <c r="N563" s="117"/>
      <c r="R563" s="117"/>
      <c r="T563" s="117"/>
      <c r="V563" s="117"/>
      <c r="X563" s="117"/>
      <c r="Y563" s="10"/>
      <c r="Z563" s="11"/>
      <c r="AA563" s="36"/>
      <c r="AB563" s="36"/>
      <c r="AC563" s="13"/>
      <c r="AD563" s="13"/>
      <c r="AE563" s="37"/>
      <c r="AF563" s="37"/>
      <c r="AG563" s="14"/>
      <c r="AH563" s="14"/>
      <c r="AI563" s="14"/>
      <c r="AZ563" s="24"/>
    </row>
    <row r="564">
      <c r="B564" s="24"/>
      <c r="E564" s="113"/>
      <c r="F564" s="266"/>
      <c r="G564" s="113"/>
      <c r="K564" s="36"/>
      <c r="L564" s="117"/>
      <c r="M564" s="128"/>
      <c r="N564" s="117"/>
      <c r="R564" s="117"/>
      <c r="T564" s="117"/>
      <c r="V564" s="117"/>
      <c r="X564" s="117"/>
      <c r="Y564" s="10"/>
      <c r="Z564" s="11"/>
      <c r="AA564" s="36"/>
      <c r="AB564" s="36"/>
      <c r="AC564" s="13"/>
      <c r="AD564" s="13"/>
      <c r="AE564" s="37"/>
      <c r="AF564" s="37"/>
      <c r="AG564" s="14"/>
      <c r="AH564" s="14"/>
      <c r="AI564" s="14"/>
      <c r="AZ564" s="24"/>
    </row>
    <row r="565">
      <c r="B565" s="24"/>
      <c r="E565" s="113"/>
      <c r="F565" s="266"/>
      <c r="G565" s="113"/>
      <c r="K565" s="36"/>
      <c r="L565" s="117"/>
      <c r="M565" s="128"/>
      <c r="N565" s="117"/>
      <c r="R565" s="117"/>
      <c r="T565" s="117"/>
      <c r="V565" s="117"/>
      <c r="X565" s="117"/>
      <c r="Y565" s="10"/>
      <c r="Z565" s="11"/>
      <c r="AA565" s="36"/>
      <c r="AB565" s="36"/>
      <c r="AC565" s="13"/>
      <c r="AD565" s="13"/>
      <c r="AE565" s="37"/>
      <c r="AF565" s="37"/>
      <c r="AG565" s="14"/>
      <c r="AH565" s="14"/>
      <c r="AI565" s="14"/>
      <c r="AZ565" s="24"/>
    </row>
    <row r="566">
      <c r="B566" s="24"/>
      <c r="E566" s="113"/>
      <c r="F566" s="266"/>
      <c r="G566" s="113"/>
      <c r="K566" s="36"/>
      <c r="L566" s="117"/>
      <c r="M566" s="128"/>
      <c r="N566" s="117"/>
      <c r="R566" s="117"/>
      <c r="T566" s="117"/>
      <c r="V566" s="117"/>
      <c r="X566" s="117"/>
      <c r="Y566" s="10"/>
      <c r="Z566" s="11"/>
      <c r="AA566" s="36"/>
      <c r="AB566" s="36"/>
      <c r="AC566" s="13"/>
      <c r="AD566" s="13"/>
      <c r="AE566" s="37"/>
      <c r="AF566" s="37"/>
      <c r="AG566" s="14"/>
      <c r="AH566" s="14"/>
      <c r="AI566" s="14"/>
      <c r="AZ566" s="24"/>
    </row>
    <row r="567">
      <c r="B567" s="24"/>
      <c r="E567" s="113"/>
      <c r="F567" s="266"/>
      <c r="G567" s="113"/>
      <c r="K567" s="36"/>
      <c r="L567" s="117"/>
      <c r="M567" s="128"/>
      <c r="N567" s="117"/>
      <c r="R567" s="117"/>
      <c r="T567" s="117"/>
      <c r="V567" s="117"/>
      <c r="X567" s="117"/>
      <c r="Y567" s="10"/>
      <c r="Z567" s="11"/>
      <c r="AA567" s="36"/>
      <c r="AB567" s="36"/>
      <c r="AC567" s="13"/>
      <c r="AD567" s="13"/>
      <c r="AE567" s="37"/>
      <c r="AF567" s="37"/>
      <c r="AG567" s="14"/>
      <c r="AH567" s="14"/>
      <c r="AI567" s="14"/>
      <c r="AZ567" s="24"/>
    </row>
    <row r="568">
      <c r="B568" s="24"/>
      <c r="E568" s="113"/>
      <c r="F568" s="266"/>
      <c r="G568" s="113"/>
      <c r="K568" s="36"/>
      <c r="L568" s="117"/>
      <c r="M568" s="128"/>
      <c r="N568" s="117"/>
      <c r="R568" s="117"/>
      <c r="T568" s="117"/>
      <c r="V568" s="117"/>
      <c r="X568" s="117"/>
      <c r="Y568" s="10"/>
      <c r="Z568" s="11"/>
      <c r="AA568" s="36"/>
      <c r="AB568" s="36"/>
      <c r="AC568" s="13"/>
      <c r="AD568" s="13"/>
      <c r="AE568" s="37"/>
      <c r="AF568" s="37"/>
      <c r="AG568" s="14"/>
      <c r="AH568" s="14"/>
      <c r="AI568" s="14"/>
      <c r="AZ568" s="24"/>
    </row>
    <row r="569">
      <c r="B569" s="24"/>
      <c r="E569" s="113"/>
      <c r="F569" s="266"/>
      <c r="G569" s="113"/>
      <c r="K569" s="36"/>
      <c r="L569" s="117"/>
      <c r="M569" s="128"/>
      <c r="N569" s="117"/>
      <c r="R569" s="117"/>
      <c r="T569" s="117"/>
      <c r="V569" s="117"/>
      <c r="X569" s="117"/>
      <c r="Y569" s="10"/>
      <c r="Z569" s="11"/>
      <c r="AA569" s="36"/>
      <c r="AB569" s="36"/>
      <c r="AC569" s="13"/>
      <c r="AD569" s="13"/>
      <c r="AE569" s="37"/>
      <c r="AF569" s="37"/>
      <c r="AG569" s="14"/>
      <c r="AH569" s="14"/>
      <c r="AI569" s="14"/>
      <c r="AZ569" s="24"/>
    </row>
    <row r="570">
      <c r="B570" s="24"/>
      <c r="E570" s="113"/>
      <c r="F570" s="266"/>
      <c r="G570" s="113"/>
      <c r="K570" s="36"/>
      <c r="L570" s="117"/>
      <c r="M570" s="128"/>
      <c r="N570" s="117"/>
      <c r="R570" s="117"/>
      <c r="T570" s="117"/>
      <c r="V570" s="117"/>
      <c r="X570" s="117"/>
      <c r="Y570" s="10"/>
      <c r="Z570" s="11"/>
      <c r="AA570" s="36"/>
      <c r="AB570" s="36"/>
      <c r="AC570" s="13"/>
      <c r="AD570" s="13"/>
      <c r="AE570" s="37"/>
      <c r="AF570" s="37"/>
      <c r="AG570" s="14"/>
      <c r="AH570" s="14"/>
      <c r="AI570" s="14"/>
      <c r="AZ570" s="24"/>
    </row>
    <row r="571">
      <c r="B571" s="24"/>
      <c r="E571" s="113"/>
      <c r="F571" s="266"/>
      <c r="G571" s="113"/>
      <c r="K571" s="36"/>
      <c r="L571" s="117"/>
      <c r="M571" s="128"/>
      <c r="N571" s="117"/>
      <c r="R571" s="117"/>
      <c r="T571" s="117"/>
      <c r="V571" s="117"/>
      <c r="X571" s="117"/>
      <c r="Y571" s="10"/>
      <c r="Z571" s="11"/>
      <c r="AA571" s="36"/>
      <c r="AB571" s="36"/>
      <c r="AC571" s="13"/>
      <c r="AD571" s="13"/>
      <c r="AE571" s="37"/>
      <c r="AF571" s="37"/>
      <c r="AG571" s="14"/>
      <c r="AH571" s="14"/>
      <c r="AI571" s="14"/>
      <c r="AZ571" s="24"/>
    </row>
    <row r="572">
      <c r="B572" s="24"/>
      <c r="E572" s="113"/>
      <c r="F572" s="266"/>
      <c r="G572" s="113"/>
      <c r="K572" s="36"/>
      <c r="L572" s="117"/>
      <c r="M572" s="128"/>
      <c r="N572" s="117"/>
      <c r="R572" s="117"/>
      <c r="T572" s="117"/>
      <c r="V572" s="117"/>
      <c r="X572" s="117"/>
      <c r="Y572" s="10"/>
      <c r="Z572" s="11"/>
      <c r="AA572" s="36"/>
      <c r="AB572" s="36"/>
      <c r="AC572" s="13"/>
      <c r="AD572" s="13"/>
      <c r="AE572" s="37"/>
      <c r="AF572" s="37"/>
      <c r="AG572" s="14"/>
      <c r="AH572" s="14"/>
      <c r="AI572" s="14"/>
      <c r="AZ572" s="24"/>
    </row>
    <row r="573">
      <c r="B573" s="24"/>
      <c r="E573" s="113"/>
      <c r="F573" s="266"/>
      <c r="G573" s="113"/>
      <c r="K573" s="36"/>
      <c r="L573" s="117"/>
      <c r="M573" s="128"/>
      <c r="N573" s="117"/>
      <c r="R573" s="117"/>
      <c r="T573" s="117"/>
      <c r="V573" s="117"/>
      <c r="X573" s="117"/>
      <c r="Y573" s="10"/>
      <c r="Z573" s="11"/>
      <c r="AA573" s="36"/>
      <c r="AB573" s="36"/>
      <c r="AC573" s="13"/>
      <c r="AD573" s="13"/>
      <c r="AE573" s="37"/>
      <c r="AF573" s="37"/>
      <c r="AG573" s="14"/>
      <c r="AH573" s="14"/>
      <c r="AI573" s="14"/>
      <c r="AZ573" s="24"/>
    </row>
    <row r="574">
      <c r="B574" s="24"/>
      <c r="E574" s="113"/>
      <c r="F574" s="266"/>
      <c r="G574" s="113"/>
      <c r="K574" s="36"/>
      <c r="L574" s="117"/>
      <c r="M574" s="128"/>
      <c r="N574" s="117"/>
      <c r="R574" s="117"/>
      <c r="T574" s="117"/>
      <c r="V574" s="117"/>
      <c r="X574" s="117"/>
      <c r="Y574" s="10"/>
      <c r="Z574" s="11"/>
      <c r="AA574" s="36"/>
      <c r="AB574" s="36"/>
      <c r="AC574" s="13"/>
      <c r="AD574" s="13"/>
      <c r="AE574" s="37"/>
      <c r="AF574" s="37"/>
      <c r="AG574" s="14"/>
      <c r="AH574" s="14"/>
      <c r="AI574" s="14"/>
      <c r="AZ574" s="24"/>
    </row>
    <row r="575">
      <c r="B575" s="24"/>
      <c r="E575" s="113"/>
      <c r="F575" s="266"/>
      <c r="G575" s="113"/>
      <c r="K575" s="36"/>
      <c r="L575" s="117"/>
      <c r="M575" s="128"/>
      <c r="N575" s="117"/>
      <c r="R575" s="117"/>
      <c r="T575" s="117"/>
      <c r="V575" s="117"/>
      <c r="X575" s="117"/>
      <c r="Y575" s="10"/>
      <c r="Z575" s="11"/>
      <c r="AA575" s="36"/>
      <c r="AB575" s="36"/>
      <c r="AC575" s="13"/>
      <c r="AD575" s="13"/>
      <c r="AE575" s="37"/>
      <c r="AF575" s="37"/>
      <c r="AG575" s="14"/>
      <c r="AH575" s="14"/>
      <c r="AI575" s="14"/>
      <c r="AZ575" s="24"/>
    </row>
    <row r="576">
      <c r="B576" s="24"/>
      <c r="E576" s="113"/>
      <c r="F576" s="266"/>
      <c r="G576" s="113"/>
      <c r="K576" s="36"/>
      <c r="L576" s="117"/>
      <c r="M576" s="128"/>
      <c r="N576" s="117"/>
      <c r="R576" s="117"/>
      <c r="T576" s="117"/>
      <c r="V576" s="117"/>
      <c r="X576" s="117"/>
      <c r="Y576" s="10"/>
      <c r="Z576" s="11"/>
      <c r="AA576" s="36"/>
      <c r="AB576" s="36"/>
      <c r="AC576" s="13"/>
      <c r="AD576" s="13"/>
      <c r="AE576" s="37"/>
      <c r="AF576" s="37"/>
      <c r="AG576" s="14"/>
      <c r="AH576" s="14"/>
      <c r="AI576" s="14"/>
      <c r="AZ576" s="24"/>
    </row>
    <row r="577">
      <c r="B577" s="24"/>
      <c r="E577" s="113"/>
      <c r="F577" s="266"/>
      <c r="G577" s="113"/>
      <c r="K577" s="36"/>
      <c r="L577" s="117"/>
      <c r="M577" s="128"/>
      <c r="N577" s="117"/>
      <c r="R577" s="117"/>
      <c r="T577" s="117"/>
      <c r="V577" s="117"/>
      <c r="X577" s="117"/>
      <c r="Y577" s="10"/>
      <c r="Z577" s="11"/>
      <c r="AA577" s="36"/>
      <c r="AB577" s="36"/>
      <c r="AC577" s="13"/>
      <c r="AD577" s="13"/>
      <c r="AE577" s="37"/>
      <c r="AF577" s="37"/>
      <c r="AG577" s="14"/>
      <c r="AH577" s="14"/>
      <c r="AI577" s="14"/>
      <c r="AZ577" s="24"/>
    </row>
    <row r="578">
      <c r="B578" s="24"/>
      <c r="E578" s="113"/>
      <c r="F578" s="266"/>
      <c r="G578" s="113"/>
      <c r="K578" s="36"/>
      <c r="L578" s="117"/>
      <c r="M578" s="128"/>
      <c r="N578" s="117"/>
      <c r="R578" s="117"/>
      <c r="T578" s="117"/>
      <c r="V578" s="117"/>
      <c r="X578" s="117"/>
      <c r="Y578" s="10"/>
      <c r="Z578" s="11"/>
      <c r="AA578" s="36"/>
      <c r="AB578" s="36"/>
      <c r="AC578" s="13"/>
      <c r="AD578" s="13"/>
      <c r="AE578" s="37"/>
      <c r="AF578" s="37"/>
      <c r="AG578" s="14"/>
      <c r="AH578" s="14"/>
      <c r="AI578" s="14"/>
      <c r="AZ578" s="24"/>
    </row>
    <row r="579">
      <c r="B579" s="24"/>
      <c r="E579" s="113"/>
      <c r="F579" s="266"/>
      <c r="G579" s="113"/>
      <c r="K579" s="36"/>
      <c r="L579" s="117"/>
      <c r="M579" s="128"/>
      <c r="N579" s="117"/>
      <c r="R579" s="117"/>
      <c r="T579" s="117"/>
      <c r="V579" s="117"/>
      <c r="X579" s="117"/>
      <c r="Y579" s="10"/>
      <c r="Z579" s="11"/>
      <c r="AA579" s="36"/>
      <c r="AB579" s="36"/>
      <c r="AC579" s="13"/>
      <c r="AD579" s="13"/>
      <c r="AE579" s="37"/>
      <c r="AF579" s="37"/>
      <c r="AG579" s="14"/>
      <c r="AH579" s="14"/>
      <c r="AI579" s="14"/>
      <c r="AZ579" s="24"/>
    </row>
    <row r="580">
      <c r="B580" s="24"/>
      <c r="E580" s="113"/>
      <c r="F580" s="266"/>
      <c r="G580" s="113"/>
      <c r="K580" s="36"/>
      <c r="L580" s="117"/>
      <c r="M580" s="128"/>
      <c r="N580" s="117"/>
      <c r="R580" s="117"/>
      <c r="T580" s="117"/>
      <c r="V580" s="117"/>
      <c r="X580" s="117"/>
      <c r="Y580" s="10"/>
      <c r="Z580" s="11"/>
      <c r="AA580" s="36"/>
      <c r="AB580" s="36"/>
      <c r="AC580" s="13"/>
      <c r="AD580" s="13"/>
      <c r="AE580" s="37"/>
      <c r="AF580" s="37"/>
      <c r="AG580" s="14"/>
      <c r="AH580" s="14"/>
      <c r="AI580" s="14"/>
      <c r="AZ580" s="24"/>
    </row>
    <row r="581">
      <c r="B581" s="24"/>
      <c r="E581" s="113"/>
      <c r="F581" s="266"/>
      <c r="G581" s="113"/>
      <c r="K581" s="36"/>
      <c r="L581" s="117"/>
      <c r="M581" s="128"/>
      <c r="N581" s="117"/>
      <c r="R581" s="117"/>
      <c r="T581" s="117"/>
      <c r="V581" s="117"/>
      <c r="X581" s="117"/>
      <c r="Y581" s="10"/>
      <c r="Z581" s="11"/>
      <c r="AA581" s="36"/>
      <c r="AB581" s="36"/>
      <c r="AC581" s="13"/>
      <c r="AD581" s="13"/>
      <c r="AE581" s="37"/>
      <c r="AF581" s="37"/>
      <c r="AG581" s="14"/>
      <c r="AH581" s="14"/>
      <c r="AI581" s="14"/>
      <c r="AZ581" s="24"/>
    </row>
    <row r="582">
      <c r="B582" s="24"/>
      <c r="E582" s="113"/>
      <c r="F582" s="266"/>
      <c r="G582" s="113"/>
      <c r="K582" s="36"/>
      <c r="L582" s="117"/>
      <c r="M582" s="128"/>
      <c r="N582" s="117"/>
      <c r="R582" s="117"/>
      <c r="T582" s="117"/>
      <c r="V582" s="117"/>
      <c r="X582" s="117"/>
      <c r="Y582" s="10"/>
      <c r="Z582" s="11"/>
      <c r="AA582" s="36"/>
      <c r="AB582" s="36"/>
      <c r="AC582" s="13"/>
      <c r="AD582" s="13"/>
      <c r="AE582" s="37"/>
      <c r="AF582" s="37"/>
      <c r="AG582" s="14"/>
      <c r="AH582" s="14"/>
      <c r="AI582" s="14"/>
      <c r="AZ582" s="24"/>
    </row>
    <row r="583">
      <c r="B583" s="24"/>
      <c r="E583" s="113"/>
      <c r="F583" s="266"/>
      <c r="G583" s="113"/>
      <c r="K583" s="36"/>
      <c r="L583" s="117"/>
      <c r="M583" s="128"/>
      <c r="N583" s="117"/>
      <c r="R583" s="117"/>
      <c r="T583" s="117"/>
      <c r="V583" s="117"/>
      <c r="X583" s="117"/>
      <c r="Y583" s="10"/>
      <c r="Z583" s="11"/>
      <c r="AA583" s="36"/>
      <c r="AB583" s="36"/>
      <c r="AC583" s="13"/>
      <c r="AD583" s="13"/>
      <c r="AE583" s="37"/>
      <c r="AF583" s="37"/>
      <c r="AG583" s="14"/>
      <c r="AH583" s="14"/>
      <c r="AI583" s="14"/>
      <c r="AZ583" s="24"/>
    </row>
    <row r="584">
      <c r="B584" s="24"/>
      <c r="E584" s="113"/>
      <c r="F584" s="266"/>
      <c r="G584" s="113"/>
      <c r="K584" s="36"/>
      <c r="L584" s="117"/>
      <c r="M584" s="128"/>
      <c r="N584" s="117"/>
      <c r="R584" s="117"/>
      <c r="T584" s="117"/>
      <c r="V584" s="117"/>
      <c r="X584" s="117"/>
      <c r="Y584" s="10"/>
      <c r="Z584" s="11"/>
      <c r="AA584" s="36"/>
      <c r="AB584" s="36"/>
      <c r="AC584" s="13"/>
      <c r="AD584" s="13"/>
      <c r="AE584" s="37"/>
      <c r="AF584" s="37"/>
      <c r="AG584" s="14"/>
      <c r="AH584" s="14"/>
      <c r="AI584" s="14"/>
      <c r="AZ584" s="24"/>
    </row>
    <row r="585">
      <c r="B585" s="24"/>
      <c r="E585" s="113"/>
      <c r="F585" s="266"/>
      <c r="G585" s="113"/>
      <c r="K585" s="36"/>
      <c r="L585" s="117"/>
      <c r="M585" s="128"/>
      <c r="N585" s="117"/>
      <c r="R585" s="117"/>
      <c r="T585" s="117"/>
      <c r="V585" s="117"/>
      <c r="X585" s="117"/>
      <c r="Y585" s="10"/>
      <c r="Z585" s="11"/>
      <c r="AA585" s="36"/>
      <c r="AB585" s="36"/>
      <c r="AC585" s="13"/>
      <c r="AD585" s="13"/>
      <c r="AE585" s="37"/>
      <c r="AF585" s="37"/>
      <c r="AG585" s="14"/>
      <c r="AH585" s="14"/>
      <c r="AI585" s="14"/>
      <c r="AZ585" s="24"/>
    </row>
    <row r="586">
      <c r="B586" s="24"/>
      <c r="E586" s="113"/>
      <c r="F586" s="266"/>
      <c r="G586" s="113"/>
      <c r="K586" s="36"/>
      <c r="L586" s="117"/>
      <c r="M586" s="128"/>
      <c r="N586" s="117"/>
      <c r="R586" s="117"/>
      <c r="T586" s="117"/>
      <c r="V586" s="117"/>
      <c r="X586" s="117"/>
      <c r="Y586" s="10"/>
      <c r="Z586" s="11"/>
      <c r="AA586" s="36"/>
      <c r="AB586" s="36"/>
      <c r="AC586" s="13"/>
      <c r="AD586" s="13"/>
      <c r="AE586" s="37"/>
      <c r="AF586" s="37"/>
      <c r="AG586" s="14"/>
      <c r="AH586" s="14"/>
      <c r="AI586" s="14"/>
      <c r="AZ586" s="24"/>
    </row>
    <row r="587">
      <c r="B587" s="24"/>
      <c r="E587" s="113"/>
      <c r="F587" s="266"/>
      <c r="G587" s="113"/>
      <c r="K587" s="36"/>
      <c r="L587" s="117"/>
      <c r="M587" s="128"/>
      <c r="N587" s="117"/>
      <c r="R587" s="117"/>
      <c r="T587" s="117"/>
      <c r="V587" s="117"/>
      <c r="X587" s="117"/>
      <c r="Y587" s="10"/>
      <c r="Z587" s="11"/>
      <c r="AA587" s="36"/>
      <c r="AB587" s="36"/>
      <c r="AC587" s="13"/>
      <c r="AD587" s="13"/>
      <c r="AE587" s="37"/>
      <c r="AF587" s="37"/>
      <c r="AG587" s="14"/>
      <c r="AH587" s="14"/>
      <c r="AI587" s="14"/>
      <c r="AZ587" s="24"/>
    </row>
    <row r="588">
      <c r="B588" s="24"/>
      <c r="E588" s="113"/>
      <c r="F588" s="266"/>
      <c r="G588" s="113"/>
      <c r="K588" s="36"/>
      <c r="L588" s="117"/>
      <c r="M588" s="128"/>
      <c r="N588" s="117"/>
      <c r="R588" s="117"/>
      <c r="T588" s="117"/>
      <c r="V588" s="117"/>
      <c r="X588" s="117"/>
      <c r="Y588" s="10"/>
      <c r="Z588" s="11"/>
      <c r="AA588" s="36"/>
      <c r="AB588" s="36"/>
      <c r="AC588" s="13"/>
      <c r="AD588" s="13"/>
      <c r="AE588" s="37"/>
      <c r="AF588" s="37"/>
      <c r="AG588" s="14"/>
      <c r="AH588" s="14"/>
      <c r="AI588" s="14"/>
      <c r="AZ588" s="24"/>
    </row>
    <row r="589">
      <c r="B589" s="24"/>
      <c r="E589" s="113"/>
      <c r="F589" s="266"/>
      <c r="G589" s="113"/>
      <c r="K589" s="36"/>
      <c r="L589" s="117"/>
      <c r="M589" s="128"/>
      <c r="N589" s="117"/>
      <c r="R589" s="117"/>
      <c r="T589" s="117"/>
      <c r="V589" s="117"/>
      <c r="X589" s="117"/>
      <c r="Y589" s="10"/>
      <c r="Z589" s="11"/>
      <c r="AA589" s="36"/>
      <c r="AB589" s="36"/>
      <c r="AC589" s="13"/>
      <c r="AD589" s="13"/>
      <c r="AE589" s="37"/>
      <c r="AF589" s="37"/>
      <c r="AG589" s="14"/>
      <c r="AH589" s="14"/>
      <c r="AI589" s="14"/>
      <c r="AZ589" s="24"/>
    </row>
    <row r="590">
      <c r="B590" s="24"/>
      <c r="E590" s="113"/>
      <c r="F590" s="266"/>
      <c r="G590" s="113"/>
      <c r="K590" s="36"/>
      <c r="L590" s="117"/>
      <c r="M590" s="128"/>
      <c r="N590" s="117"/>
      <c r="R590" s="117"/>
      <c r="T590" s="117"/>
      <c r="V590" s="117"/>
      <c r="X590" s="117"/>
      <c r="Y590" s="10"/>
      <c r="Z590" s="11"/>
      <c r="AA590" s="36"/>
      <c r="AB590" s="36"/>
      <c r="AC590" s="13"/>
      <c r="AD590" s="13"/>
      <c r="AE590" s="37"/>
      <c r="AF590" s="37"/>
      <c r="AG590" s="14"/>
      <c r="AH590" s="14"/>
      <c r="AI590" s="14"/>
      <c r="AZ590" s="24"/>
    </row>
    <row r="591">
      <c r="B591" s="24"/>
      <c r="E591" s="113"/>
      <c r="F591" s="266"/>
      <c r="G591" s="113"/>
      <c r="K591" s="36"/>
      <c r="L591" s="117"/>
      <c r="M591" s="128"/>
      <c r="N591" s="117"/>
      <c r="R591" s="117"/>
      <c r="T591" s="117"/>
      <c r="V591" s="117"/>
      <c r="X591" s="117"/>
      <c r="Y591" s="10"/>
      <c r="Z591" s="11"/>
      <c r="AA591" s="36"/>
      <c r="AB591" s="36"/>
      <c r="AC591" s="13"/>
      <c r="AD591" s="13"/>
      <c r="AE591" s="37"/>
      <c r="AF591" s="37"/>
      <c r="AG591" s="14"/>
      <c r="AH591" s="14"/>
      <c r="AI591" s="14"/>
      <c r="AZ591" s="24"/>
    </row>
    <row r="592">
      <c r="B592" s="24"/>
      <c r="E592" s="113"/>
      <c r="F592" s="266"/>
      <c r="G592" s="113"/>
      <c r="K592" s="36"/>
      <c r="L592" s="117"/>
      <c r="M592" s="128"/>
      <c r="N592" s="117"/>
      <c r="R592" s="117"/>
      <c r="T592" s="117"/>
      <c r="V592" s="117"/>
      <c r="X592" s="117"/>
      <c r="Y592" s="10"/>
      <c r="Z592" s="11"/>
      <c r="AA592" s="36"/>
      <c r="AB592" s="36"/>
      <c r="AC592" s="13"/>
      <c r="AD592" s="13"/>
      <c r="AE592" s="37"/>
      <c r="AF592" s="37"/>
      <c r="AG592" s="14"/>
      <c r="AH592" s="14"/>
      <c r="AI592" s="14"/>
      <c r="AZ592" s="24"/>
    </row>
    <row r="593">
      <c r="B593" s="24"/>
      <c r="E593" s="113"/>
      <c r="F593" s="266"/>
      <c r="G593" s="113"/>
      <c r="K593" s="36"/>
      <c r="L593" s="117"/>
      <c r="M593" s="128"/>
      <c r="N593" s="117"/>
      <c r="R593" s="117"/>
      <c r="T593" s="117"/>
      <c r="V593" s="117"/>
      <c r="X593" s="117"/>
      <c r="Y593" s="10"/>
      <c r="Z593" s="11"/>
      <c r="AA593" s="36"/>
      <c r="AB593" s="36"/>
      <c r="AC593" s="13"/>
      <c r="AD593" s="13"/>
      <c r="AE593" s="37"/>
      <c r="AF593" s="37"/>
      <c r="AG593" s="14"/>
      <c r="AH593" s="14"/>
      <c r="AI593" s="14"/>
      <c r="AZ593" s="24"/>
    </row>
    <row r="594">
      <c r="B594" s="24"/>
      <c r="E594" s="113"/>
      <c r="F594" s="266"/>
      <c r="G594" s="113"/>
      <c r="K594" s="36"/>
      <c r="L594" s="117"/>
      <c r="M594" s="128"/>
      <c r="N594" s="117"/>
      <c r="R594" s="117"/>
      <c r="T594" s="117"/>
      <c r="V594" s="117"/>
      <c r="X594" s="117"/>
      <c r="Y594" s="10"/>
      <c r="Z594" s="11"/>
      <c r="AA594" s="36"/>
      <c r="AB594" s="36"/>
      <c r="AC594" s="13"/>
      <c r="AD594" s="13"/>
      <c r="AE594" s="37"/>
      <c r="AF594" s="37"/>
      <c r="AG594" s="14"/>
      <c r="AH594" s="14"/>
      <c r="AI594" s="14"/>
      <c r="AZ594" s="24"/>
    </row>
    <row r="595">
      <c r="B595" s="24"/>
      <c r="E595" s="113"/>
      <c r="F595" s="266"/>
      <c r="G595" s="113"/>
      <c r="K595" s="36"/>
      <c r="L595" s="117"/>
      <c r="M595" s="128"/>
      <c r="N595" s="117"/>
      <c r="R595" s="117"/>
      <c r="T595" s="117"/>
      <c r="V595" s="117"/>
      <c r="X595" s="117"/>
      <c r="Y595" s="10"/>
      <c r="Z595" s="11"/>
      <c r="AA595" s="36"/>
      <c r="AB595" s="36"/>
      <c r="AC595" s="13"/>
      <c r="AD595" s="13"/>
      <c r="AE595" s="37"/>
      <c r="AF595" s="37"/>
      <c r="AG595" s="14"/>
      <c r="AH595" s="14"/>
      <c r="AI595" s="14"/>
      <c r="AZ595" s="24"/>
    </row>
    <row r="596">
      <c r="B596" s="24"/>
      <c r="E596" s="113"/>
      <c r="F596" s="266"/>
      <c r="G596" s="113"/>
      <c r="K596" s="36"/>
      <c r="L596" s="117"/>
      <c r="M596" s="128"/>
      <c r="N596" s="117"/>
      <c r="R596" s="117"/>
      <c r="T596" s="117"/>
      <c r="V596" s="117"/>
      <c r="X596" s="117"/>
      <c r="Y596" s="10"/>
      <c r="Z596" s="11"/>
      <c r="AA596" s="36"/>
      <c r="AB596" s="36"/>
      <c r="AC596" s="13"/>
      <c r="AD596" s="13"/>
      <c r="AE596" s="37"/>
      <c r="AF596" s="37"/>
      <c r="AG596" s="14"/>
      <c r="AH596" s="14"/>
      <c r="AI596" s="14"/>
      <c r="AZ596" s="24"/>
    </row>
    <row r="597">
      <c r="B597" s="24"/>
      <c r="E597" s="113"/>
      <c r="F597" s="266"/>
      <c r="G597" s="113"/>
      <c r="K597" s="36"/>
      <c r="L597" s="117"/>
      <c r="M597" s="128"/>
      <c r="N597" s="117"/>
      <c r="R597" s="117"/>
      <c r="T597" s="117"/>
      <c r="V597" s="117"/>
      <c r="X597" s="117"/>
      <c r="Y597" s="10"/>
      <c r="Z597" s="11"/>
      <c r="AA597" s="36"/>
      <c r="AB597" s="36"/>
      <c r="AC597" s="13"/>
      <c r="AD597" s="13"/>
      <c r="AE597" s="37"/>
      <c r="AF597" s="37"/>
      <c r="AG597" s="14"/>
      <c r="AH597" s="14"/>
      <c r="AI597" s="14"/>
      <c r="AZ597" s="24"/>
    </row>
    <row r="598">
      <c r="B598" s="24"/>
      <c r="E598" s="113"/>
      <c r="F598" s="266"/>
      <c r="G598" s="113"/>
      <c r="K598" s="36"/>
      <c r="L598" s="117"/>
      <c r="M598" s="128"/>
      <c r="N598" s="117"/>
      <c r="R598" s="117"/>
      <c r="T598" s="117"/>
      <c r="V598" s="117"/>
      <c r="X598" s="117"/>
      <c r="Y598" s="10"/>
      <c r="Z598" s="11"/>
      <c r="AA598" s="36"/>
      <c r="AB598" s="36"/>
      <c r="AC598" s="13"/>
      <c r="AD598" s="13"/>
      <c r="AE598" s="37"/>
      <c r="AF598" s="37"/>
      <c r="AG598" s="14"/>
      <c r="AH598" s="14"/>
      <c r="AI598" s="14"/>
      <c r="AZ598" s="24"/>
    </row>
    <row r="599">
      <c r="B599" s="24"/>
      <c r="E599" s="113"/>
      <c r="F599" s="266"/>
      <c r="G599" s="113"/>
      <c r="K599" s="36"/>
      <c r="L599" s="117"/>
      <c r="M599" s="128"/>
      <c r="N599" s="117"/>
      <c r="R599" s="117"/>
      <c r="T599" s="117"/>
      <c r="V599" s="117"/>
      <c r="X599" s="117"/>
      <c r="Y599" s="10"/>
      <c r="Z599" s="11"/>
      <c r="AA599" s="36"/>
      <c r="AB599" s="36"/>
      <c r="AC599" s="13"/>
      <c r="AD599" s="13"/>
      <c r="AE599" s="37"/>
      <c r="AF599" s="37"/>
      <c r="AG599" s="14"/>
      <c r="AH599" s="14"/>
      <c r="AI599" s="14"/>
      <c r="AZ599" s="24"/>
    </row>
    <row r="600">
      <c r="B600" s="24"/>
      <c r="E600" s="113"/>
      <c r="F600" s="266"/>
      <c r="G600" s="113"/>
      <c r="K600" s="36"/>
      <c r="L600" s="117"/>
      <c r="M600" s="128"/>
      <c r="N600" s="117"/>
      <c r="R600" s="117"/>
      <c r="T600" s="117"/>
      <c r="V600" s="117"/>
      <c r="X600" s="117"/>
      <c r="Y600" s="10"/>
      <c r="Z600" s="11"/>
      <c r="AA600" s="36"/>
      <c r="AB600" s="36"/>
      <c r="AC600" s="13"/>
      <c r="AD600" s="13"/>
      <c r="AE600" s="37"/>
      <c r="AF600" s="37"/>
      <c r="AG600" s="14"/>
      <c r="AH600" s="14"/>
      <c r="AI600" s="14"/>
      <c r="AZ600" s="24"/>
    </row>
    <row r="601">
      <c r="B601" s="24"/>
      <c r="E601" s="113"/>
      <c r="F601" s="266"/>
      <c r="G601" s="113"/>
      <c r="K601" s="36"/>
      <c r="L601" s="117"/>
      <c r="M601" s="128"/>
      <c r="N601" s="117"/>
      <c r="R601" s="117"/>
      <c r="T601" s="117"/>
      <c r="V601" s="117"/>
      <c r="X601" s="117"/>
      <c r="Y601" s="10"/>
      <c r="Z601" s="11"/>
      <c r="AA601" s="36"/>
      <c r="AB601" s="36"/>
      <c r="AC601" s="13"/>
      <c r="AD601" s="13"/>
      <c r="AE601" s="37"/>
      <c r="AF601" s="37"/>
      <c r="AG601" s="14"/>
      <c r="AH601" s="14"/>
      <c r="AI601" s="14"/>
      <c r="AZ601" s="24"/>
    </row>
    <row r="602">
      <c r="B602" s="24"/>
      <c r="E602" s="113"/>
      <c r="F602" s="266"/>
      <c r="G602" s="113"/>
      <c r="K602" s="36"/>
      <c r="L602" s="117"/>
      <c r="M602" s="128"/>
      <c r="N602" s="117"/>
      <c r="R602" s="117"/>
      <c r="T602" s="117"/>
      <c r="V602" s="117"/>
      <c r="X602" s="117"/>
      <c r="Y602" s="10"/>
      <c r="Z602" s="11"/>
      <c r="AA602" s="36"/>
      <c r="AB602" s="36"/>
      <c r="AC602" s="13"/>
      <c r="AD602" s="13"/>
      <c r="AE602" s="37"/>
      <c r="AF602" s="37"/>
      <c r="AG602" s="14"/>
      <c r="AH602" s="14"/>
      <c r="AI602" s="14"/>
      <c r="AZ602" s="24"/>
    </row>
    <row r="603">
      <c r="B603" s="24"/>
      <c r="E603" s="113"/>
      <c r="F603" s="266"/>
      <c r="G603" s="113"/>
      <c r="K603" s="36"/>
      <c r="L603" s="117"/>
      <c r="M603" s="128"/>
      <c r="N603" s="117"/>
      <c r="R603" s="117"/>
      <c r="T603" s="117"/>
      <c r="V603" s="117"/>
      <c r="X603" s="117"/>
      <c r="Y603" s="10"/>
      <c r="Z603" s="11"/>
      <c r="AA603" s="36"/>
      <c r="AB603" s="36"/>
      <c r="AC603" s="13"/>
      <c r="AD603" s="13"/>
      <c r="AE603" s="37"/>
      <c r="AF603" s="37"/>
      <c r="AG603" s="14"/>
      <c r="AH603" s="14"/>
      <c r="AI603" s="14"/>
      <c r="AZ603" s="24"/>
    </row>
    <row r="604">
      <c r="B604" s="24"/>
      <c r="E604" s="113"/>
      <c r="F604" s="266"/>
      <c r="G604" s="113"/>
      <c r="K604" s="36"/>
      <c r="L604" s="117"/>
      <c r="M604" s="128"/>
      <c r="N604" s="117"/>
      <c r="R604" s="117"/>
      <c r="T604" s="117"/>
      <c r="V604" s="117"/>
      <c r="X604" s="117"/>
      <c r="Y604" s="10"/>
      <c r="Z604" s="11"/>
      <c r="AA604" s="36"/>
      <c r="AB604" s="36"/>
      <c r="AC604" s="13"/>
      <c r="AD604" s="13"/>
      <c r="AE604" s="37"/>
      <c r="AF604" s="37"/>
      <c r="AG604" s="14"/>
      <c r="AH604" s="14"/>
      <c r="AI604" s="14"/>
      <c r="AZ604" s="24"/>
    </row>
    <row r="605">
      <c r="B605" s="24"/>
      <c r="E605" s="113"/>
      <c r="F605" s="266"/>
      <c r="G605" s="113"/>
      <c r="K605" s="36"/>
      <c r="L605" s="117"/>
      <c r="M605" s="128"/>
      <c r="N605" s="117"/>
      <c r="R605" s="117"/>
      <c r="T605" s="117"/>
      <c r="V605" s="117"/>
      <c r="X605" s="117"/>
      <c r="Y605" s="10"/>
      <c r="Z605" s="11"/>
      <c r="AA605" s="36"/>
      <c r="AB605" s="36"/>
      <c r="AC605" s="13"/>
      <c r="AD605" s="13"/>
      <c r="AE605" s="37"/>
      <c r="AF605" s="37"/>
      <c r="AG605" s="14"/>
      <c r="AH605" s="14"/>
      <c r="AI605" s="14"/>
      <c r="AZ605" s="24"/>
    </row>
    <row r="606">
      <c r="B606" s="24"/>
      <c r="E606" s="113"/>
      <c r="F606" s="266"/>
      <c r="G606" s="113"/>
      <c r="K606" s="36"/>
      <c r="L606" s="117"/>
      <c r="M606" s="128"/>
      <c r="N606" s="117"/>
      <c r="R606" s="117"/>
      <c r="T606" s="117"/>
      <c r="V606" s="117"/>
      <c r="X606" s="117"/>
      <c r="Y606" s="10"/>
      <c r="Z606" s="11"/>
      <c r="AA606" s="36"/>
      <c r="AB606" s="36"/>
      <c r="AC606" s="13"/>
      <c r="AD606" s="13"/>
      <c r="AE606" s="37"/>
      <c r="AF606" s="37"/>
      <c r="AG606" s="14"/>
      <c r="AH606" s="14"/>
      <c r="AI606" s="14"/>
      <c r="AZ606" s="24"/>
    </row>
    <row r="607">
      <c r="B607" s="24"/>
      <c r="E607" s="113"/>
      <c r="F607" s="266"/>
      <c r="G607" s="113"/>
      <c r="K607" s="36"/>
      <c r="L607" s="117"/>
      <c r="M607" s="128"/>
      <c r="N607" s="117"/>
      <c r="R607" s="117"/>
      <c r="T607" s="117"/>
      <c r="V607" s="117"/>
      <c r="X607" s="117"/>
      <c r="Y607" s="10"/>
      <c r="Z607" s="11"/>
      <c r="AA607" s="36"/>
      <c r="AB607" s="36"/>
      <c r="AC607" s="13"/>
      <c r="AD607" s="13"/>
      <c r="AE607" s="37"/>
      <c r="AF607" s="37"/>
      <c r="AG607" s="14"/>
      <c r="AH607" s="14"/>
      <c r="AI607" s="14"/>
      <c r="AZ607" s="24"/>
    </row>
    <row r="608">
      <c r="B608" s="24"/>
      <c r="E608" s="113"/>
      <c r="F608" s="266"/>
      <c r="G608" s="113"/>
      <c r="K608" s="36"/>
      <c r="L608" s="117"/>
      <c r="M608" s="128"/>
      <c r="N608" s="117"/>
      <c r="R608" s="117"/>
      <c r="T608" s="117"/>
      <c r="V608" s="117"/>
      <c r="X608" s="117"/>
      <c r="Y608" s="10"/>
      <c r="Z608" s="11"/>
      <c r="AA608" s="36"/>
      <c r="AB608" s="36"/>
      <c r="AC608" s="13"/>
      <c r="AD608" s="13"/>
      <c r="AE608" s="37"/>
      <c r="AF608" s="37"/>
      <c r="AG608" s="14"/>
      <c r="AH608" s="14"/>
      <c r="AI608" s="14"/>
      <c r="AZ608" s="24"/>
    </row>
    <row r="609">
      <c r="B609" s="24"/>
      <c r="E609" s="113"/>
      <c r="F609" s="266"/>
      <c r="G609" s="113"/>
      <c r="K609" s="36"/>
      <c r="L609" s="117"/>
      <c r="M609" s="128"/>
      <c r="N609" s="117"/>
      <c r="R609" s="117"/>
      <c r="T609" s="117"/>
      <c r="V609" s="117"/>
      <c r="X609" s="117"/>
      <c r="Y609" s="10"/>
      <c r="Z609" s="11"/>
      <c r="AA609" s="36"/>
      <c r="AB609" s="36"/>
      <c r="AC609" s="13"/>
      <c r="AD609" s="13"/>
      <c r="AE609" s="37"/>
      <c r="AF609" s="37"/>
      <c r="AG609" s="14"/>
      <c r="AH609" s="14"/>
      <c r="AI609" s="14"/>
      <c r="AZ609" s="24"/>
    </row>
    <row r="610">
      <c r="B610" s="24"/>
      <c r="E610" s="113"/>
      <c r="F610" s="266"/>
      <c r="G610" s="113"/>
      <c r="K610" s="36"/>
      <c r="L610" s="117"/>
      <c r="M610" s="128"/>
      <c r="N610" s="117"/>
      <c r="R610" s="117"/>
      <c r="T610" s="117"/>
      <c r="V610" s="117"/>
      <c r="X610" s="117"/>
      <c r="Y610" s="10"/>
      <c r="Z610" s="11"/>
      <c r="AA610" s="36"/>
      <c r="AB610" s="36"/>
      <c r="AC610" s="13"/>
      <c r="AD610" s="13"/>
      <c r="AE610" s="37"/>
      <c r="AF610" s="37"/>
      <c r="AG610" s="14"/>
      <c r="AH610" s="14"/>
      <c r="AI610" s="14"/>
      <c r="AZ610" s="24"/>
    </row>
    <row r="611">
      <c r="B611" s="24"/>
      <c r="E611" s="113"/>
      <c r="F611" s="266"/>
      <c r="G611" s="113"/>
      <c r="K611" s="36"/>
      <c r="L611" s="117"/>
      <c r="M611" s="128"/>
      <c r="N611" s="117"/>
      <c r="R611" s="117"/>
      <c r="T611" s="117"/>
      <c r="V611" s="117"/>
      <c r="X611" s="117"/>
      <c r="Y611" s="10"/>
      <c r="Z611" s="11"/>
      <c r="AA611" s="36"/>
      <c r="AB611" s="36"/>
      <c r="AC611" s="13"/>
      <c r="AD611" s="13"/>
      <c r="AE611" s="37"/>
      <c r="AF611" s="37"/>
      <c r="AG611" s="14"/>
      <c r="AH611" s="14"/>
      <c r="AI611" s="14"/>
      <c r="AZ611" s="24"/>
    </row>
    <row r="612">
      <c r="B612" s="24"/>
      <c r="E612" s="113"/>
      <c r="F612" s="266"/>
      <c r="G612" s="113"/>
      <c r="K612" s="36"/>
      <c r="L612" s="117"/>
      <c r="M612" s="128"/>
      <c r="N612" s="117"/>
      <c r="R612" s="117"/>
      <c r="T612" s="117"/>
      <c r="V612" s="117"/>
      <c r="X612" s="117"/>
      <c r="Y612" s="10"/>
      <c r="Z612" s="11"/>
      <c r="AA612" s="36"/>
      <c r="AB612" s="36"/>
      <c r="AC612" s="13"/>
      <c r="AD612" s="13"/>
      <c r="AE612" s="37"/>
      <c r="AF612" s="37"/>
      <c r="AG612" s="14"/>
      <c r="AH612" s="14"/>
      <c r="AI612" s="14"/>
      <c r="AZ612" s="24"/>
    </row>
    <row r="613">
      <c r="B613" s="24"/>
      <c r="E613" s="113"/>
      <c r="F613" s="266"/>
      <c r="G613" s="113"/>
      <c r="K613" s="36"/>
      <c r="L613" s="117"/>
      <c r="M613" s="128"/>
      <c r="N613" s="117"/>
      <c r="R613" s="117"/>
      <c r="T613" s="117"/>
      <c r="V613" s="117"/>
      <c r="X613" s="117"/>
      <c r="Y613" s="10"/>
      <c r="Z613" s="11"/>
      <c r="AA613" s="36"/>
      <c r="AB613" s="36"/>
      <c r="AC613" s="13"/>
      <c r="AD613" s="13"/>
      <c r="AE613" s="37"/>
      <c r="AF613" s="37"/>
      <c r="AG613" s="14"/>
      <c r="AH613" s="14"/>
      <c r="AI613" s="14"/>
      <c r="AZ613" s="24"/>
    </row>
    <row r="614">
      <c r="B614" s="24"/>
      <c r="E614" s="113"/>
      <c r="F614" s="266"/>
      <c r="G614" s="113"/>
      <c r="K614" s="36"/>
      <c r="L614" s="117"/>
      <c r="M614" s="128"/>
      <c r="N614" s="117"/>
      <c r="R614" s="117"/>
      <c r="T614" s="117"/>
      <c r="V614" s="117"/>
      <c r="X614" s="117"/>
      <c r="Y614" s="10"/>
      <c r="Z614" s="11"/>
      <c r="AA614" s="36"/>
      <c r="AB614" s="36"/>
      <c r="AC614" s="13"/>
      <c r="AD614" s="13"/>
      <c r="AE614" s="37"/>
      <c r="AF614" s="37"/>
      <c r="AG614" s="14"/>
      <c r="AH614" s="14"/>
      <c r="AI614" s="14"/>
      <c r="AZ614" s="24"/>
    </row>
    <row r="615">
      <c r="B615" s="24"/>
      <c r="E615" s="113"/>
      <c r="F615" s="266"/>
      <c r="G615" s="113"/>
      <c r="K615" s="36"/>
      <c r="L615" s="117"/>
      <c r="M615" s="128"/>
      <c r="N615" s="117"/>
      <c r="R615" s="117"/>
      <c r="T615" s="117"/>
      <c r="V615" s="117"/>
      <c r="X615" s="117"/>
      <c r="Y615" s="10"/>
      <c r="Z615" s="11"/>
      <c r="AA615" s="36"/>
      <c r="AB615" s="36"/>
      <c r="AC615" s="13"/>
      <c r="AD615" s="13"/>
      <c r="AE615" s="37"/>
      <c r="AF615" s="37"/>
      <c r="AG615" s="14"/>
      <c r="AH615" s="14"/>
      <c r="AI615" s="14"/>
      <c r="AZ615" s="24"/>
    </row>
    <row r="616">
      <c r="B616" s="24"/>
      <c r="E616" s="113"/>
      <c r="F616" s="266"/>
      <c r="G616" s="113"/>
      <c r="K616" s="36"/>
      <c r="L616" s="117"/>
      <c r="M616" s="128"/>
      <c r="N616" s="117"/>
      <c r="R616" s="117"/>
      <c r="T616" s="117"/>
      <c r="V616" s="117"/>
      <c r="X616" s="117"/>
      <c r="Y616" s="10"/>
      <c r="Z616" s="11"/>
      <c r="AA616" s="36"/>
      <c r="AB616" s="36"/>
      <c r="AC616" s="13"/>
      <c r="AD616" s="13"/>
      <c r="AE616" s="37"/>
      <c r="AF616" s="37"/>
      <c r="AG616" s="14"/>
      <c r="AH616" s="14"/>
      <c r="AI616" s="14"/>
      <c r="AZ616" s="24"/>
    </row>
    <row r="617">
      <c r="B617" s="24"/>
      <c r="E617" s="113"/>
      <c r="F617" s="266"/>
      <c r="G617" s="113"/>
      <c r="K617" s="36"/>
      <c r="L617" s="117"/>
      <c r="M617" s="128"/>
      <c r="N617" s="117"/>
      <c r="R617" s="117"/>
      <c r="T617" s="117"/>
      <c r="V617" s="117"/>
      <c r="X617" s="117"/>
      <c r="Y617" s="10"/>
      <c r="Z617" s="11"/>
      <c r="AA617" s="36"/>
      <c r="AB617" s="36"/>
      <c r="AC617" s="13"/>
      <c r="AD617" s="13"/>
      <c r="AE617" s="37"/>
      <c r="AF617" s="37"/>
      <c r="AG617" s="14"/>
      <c r="AH617" s="14"/>
      <c r="AI617" s="14"/>
      <c r="AZ617" s="24"/>
    </row>
    <row r="618">
      <c r="B618" s="24"/>
      <c r="E618" s="113"/>
      <c r="F618" s="266"/>
      <c r="G618" s="113"/>
      <c r="K618" s="36"/>
      <c r="L618" s="117"/>
      <c r="M618" s="128"/>
      <c r="N618" s="117"/>
      <c r="R618" s="117"/>
      <c r="T618" s="117"/>
      <c r="V618" s="117"/>
      <c r="X618" s="117"/>
      <c r="Y618" s="10"/>
      <c r="Z618" s="11"/>
      <c r="AA618" s="36"/>
      <c r="AB618" s="36"/>
      <c r="AC618" s="13"/>
      <c r="AD618" s="13"/>
      <c r="AE618" s="37"/>
      <c r="AF618" s="37"/>
      <c r="AG618" s="14"/>
      <c r="AH618" s="14"/>
      <c r="AI618" s="14"/>
      <c r="AZ618" s="24"/>
    </row>
    <row r="619">
      <c r="B619" s="24"/>
      <c r="E619" s="113"/>
      <c r="F619" s="266"/>
      <c r="G619" s="113"/>
      <c r="K619" s="36"/>
      <c r="L619" s="117"/>
      <c r="M619" s="128"/>
      <c r="N619" s="117"/>
      <c r="R619" s="117"/>
      <c r="T619" s="117"/>
      <c r="V619" s="117"/>
      <c r="X619" s="117"/>
      <c r="Y619" s="10"/>
      <c r="Z619" s="11"/>
      <c r="AA619" s="36"/>
      <c r="AB619" s="36"/>
      <c r="AC619" s="13"/>
      <c r="AD619" s="13"/>
      <c r="AE619" s="37"/>
      <c r="AF619" s="37"/>
      <c r="AG619" s="14"/>
      <c r="AH619" s="14"/>
      <c r="AI619" s="14"/>
      <c r="AZ619" s="24"/>
    </row>
    <row r="620">
      <c r="B620" s="24"/>
      <c r="E620" s="113"/>
      <c r="F620" s="266"/>
      <c r="G620" s="113"/>
      <c r="K620" s="36"/>
      <c r="L620" s="117"/>
      <c r="M620" s="128"/>
      <c r="N620" s="117"/>
      <c r="R620" s="117"/>
      <c r="T620" s="117"/>
      <c r="V620" s="117"/>
      <c r="X620" s="117"/>
      <c r="Y620" s="10"/>
      <c r="Z620" s="11"/>
      <c r="AA620" s="36"/>
      <c r="AB620" s="36"/>
      <c r="AC620" s="13"/>
      <c r="AD620" s="13"/>
      <c r="AE620" s="37"/>
      <c r="AF620" s="37"/>
      <c r="AG620" s="14"/>
      <c r="AH620" s="14"/>
      <c r="AI620" s="14"/>
      <c r="AZ620" s="24"/>
    </row>
    <row r="621">
      <c r="B621" s="24"/>
      <c r="E621" s="113"/>
      <c r="F621" s="266"/>
      <c r="G621" s="113"/>
      <c r="K621" s="36"/>
      <c r="L621" s="117"/>
      <c r="M621" s="128"/>
      <c r="N621" s="117"/>
      <c r="R621" s="117"/>
      <c r="T621" s="117"/>
      <c r="V621" s="117"/>
      <c r="X621" s="117"/>
      <c r="Y621" s="10"/>
      <c r="Z621" s="11"/>
      <c r="AA621" s="36"/>
      <c r="AB621" s="36"/>
      <c r="AC621" s="13"/>
      <c r="AD621" s="13"/>
      <c r="AE621" s="37"/>
      <c r="AF621" s="37"/>
      <c r="AG621" s="14"/>
      <c r="AH621" s="14"/>
      <c r="AI621" s="14"/>
      <c r="AZ621" s="24"/>
    </row>
    <row r="622">
      <c r="B622" s="24"/>
      <c r="E622" s="113"/>
      <c r="F622" s="266"/>
      <c r="G622" s="113"/>
      <c r="K622" s="36"/>
      <c r="L622" s="117"/>
      <c r="M622" s="128"/>
      <c r="N622" s="117"/>
      <c r="R622" s="117"/>
      <c r="T622" s="117"/>
      <c r="V622" s="117"/>
      <c r="X622" s="117"/>
      <c r="Y622" s="10"/>
      <c r="Z622" s="11"/>
      <c r="AA622" s="36"/>
      <c r="AB622" s="36"/>
      <c r="AC622" s="13"/>
      <c r="AD622" s="13"/>
      <c r="AE622" s="37"/>
      <c r="AF622" s="37"/>
      <c r="AG622" s="14"/>
      <c r="AH622" s="14"/>
      <c r="AI622" s="14"/>
      <c r="AZ622" s="24"/>
    </row>
    <row r="623">
      <c r="B623" s="24"/>
      <c r="E623" s="113"/>
      <c r="F623" s="266"/>
      <c r="G623" s="113"/>
      <c r="K623" s="36"/>
      <c r="L623" s="117"/>
      <c r="M623" s="128"/>
      <c r="N623" s="117"/>
      <c r="R623" s="117"/>
      <c r="T623" s="117"/>
      <c r="V623" s="117"/>
      <c r="X623" s="117"/>
      <c r="Y623" s="10"/>
      <c r="Z623" s="11"/>
      <c r="AA623" s="36"/>
      <c r="AB623" s="36"/>
      <c r="AC623" s="13"/>
      <c r="AD623" s="13"/>
      <c r="AE623" s="37"/>
      <c r="AF623" s="37"/>
      <c r="AG623" s="14"/>
      <c r="AH623" s="14"/>
      <c r="AI623" s="14"/>
      <c r="AZ623" s="24"/>
    </row>
    <row r="624">
      <c r="B624" s="24"/>
      <c r="E624" s="113"/>
      <c r="F624" s="266"/>
      <c r="G624" s="113"/>
      <c r="K624" s="36"/>
      <c r="L624" s="117"/>
      <c r="M624" s="128"/>
      <c r="N624" s="117"/>
      <c r="R624" s="117"/>
      <c r="T624" s="117"/>
      <c r="V624" s="117"/>
      <c r="X624" s="117"/>
      <c r="Y624" s="10"/>
      <c r="Z624" s="11"/>
      <c r="AA624" s="36"/>
      <c r="AB624" s="36"/>
      <c r="AC624" s="13"/>
      <c r="AD624" s="13"/>
      <c r="AE624" s="37"/>
      <c r="AF624" s="37"/>
      <c r="AG624" s="14"/>
      <c r="AH624" s="14"/>
      <c r="AI624" s="14"/>
      <c r="AZ624" s="24"/>
    </row>
    <row r="625">
      <c r="B625" s="24"/>
      <c r="E625" s="113"/>
      <c r="F625" s="266"/>
      <c r="G625" s="113"/>
      <c r="K625" s="36"/>
      <c r="L625" s="117"/>
      <c r="M625" s="128"/>
      <c r="N625" s="117"/>
      <c r="R625" s="117"/>
      <c r="T625" s="117"/>
      <c r="V625" s="117"/>
      <c r="X625" s="117"/>
      <c r="Y625" s="10"/>
      <c r="Z625" s="11"/>
      <c r="AA625" s="36"/>
      <c r="AB625" s="36"/>
      <c r="AC625" s="13"/>
      <c r="AD625" s="13"/>
      <c r="AE625" s="37"/>
      <c r="AF625" s="37"/>
      <c r="AG625" s="14"/>
      <c r="AH625" s="14"/>
      <c r="AI625" s="14"/>
      <c r="AZ625" s="24"/>
    </row>
    <row r="626">
      <c r="B626" s="24"/>
      <c r="E626" s="113"/>
      <c r="F626" s="266"/>
      <c r="G626" s="113"/>
      <c r="K626" s="36"/>
      <c r="L626" s="117"/>
      <c r="M626" s="128"/>
      <c r="N626" s="117"/>
      <c r="R626" s="117"/>
      <c r="T626" s="117"/>
      <c r="V626" s="117"/>
      <c r="X626" s="117"/>
      <c r="Y626" s="10"/>
      <c r="Z626" s="11"/>
      <c r="AA626" s="36"/>
      <c r="AB626" s="36"/>
      <c r="AC626" s="13"/>
      <c r="AD626" s="13"/>
      <c r="AE626" s="37"/>
      <c r="AF626" s="37"/>
      <c r="AG626" s="14"/>
      <c r="AH626" s="14"/>
      <c r="AI626" s="14"/>
      <c r="AZ626" s="24"/>
    </row>
    <row r="627">
      <c r="B627" s="24"/>
      <c r="E627" s="113"/>
      <c r="F627" s="266"/>
      <c r="G627" s="113"/>
      <c r="K627" s="36"/>
      <c r="L627" s="117"/>
      <c r="M627" s="128"/>
      <c r="N627" s="117"/>
      <c r="R627" s="117"/>
      <c r="T627" s="117"/>
      <c r="V627" s="117"/>
      <c r="X627" s="117"/>
      <c r="Y627" s="10"/>
      <c r="Z627" s="11"/>
      <c r="AA627" s="36"/>
      <c r="AB627" s="36"/>
      <c r="AC627" s="13"/>
      <c r="AD627" s="13"/>
      <c r="AE627" s="37"/>
      <c r="AF627" s="37"/>
      <c r="AG627" s="14"/>
      <c r="AH627" s="14"/>
      <c r="AI627" s="14"/>
      <c r="AZ627" s="24"/>
    </row>
    <row r="628">
      <c r="B628" s="24"/>
      <c r="E628" s="113"/>
      <c r="F628" s="266"/>
      <c r="G628" s="113"/>
      <c r="K628" s="36"/>
      <c r="L628" s="117"/>
      <c r="M628" s="128"/>
      <c r="N628" s="117"/>
      <c r="R628" s="117"/>
      <c r="T628" s="117"/>
      <c r="V628" s="117"/>
      <c r="X628" s="117"/>
      <c r="Y628" s="10"/>
      <c r="Z628" s="11"/>
      <c r="AA628" s="36"/>
      <c r="AB628" s="36"/>
      <c r="AC628" s="13"/>
      <c r="AD628" s="13"/>
      <c r="AE628" s="37"/>
      <c r="AF628" s="37"/>
      <c r="AG628" s="14"/>
      <c r="AH628" s="14"/>
      <c r="AI628" s="14"/>
      <c r="AZ628" s="24"/>
    </row>
    <row r="629">
      <c r="B629" s="24"/>
      <c r="E629" s="113"/>
      <c r="F629" s="266"/>
      <c r="G629" s="113"/>
      <c r="K629" s="36"/>
      <c r="L629" s="117"/>
      <c r="M629" s="128"/>
      <c r="N629" s="117"/>
      <c r="R629" s="117"/>
      <c r="T629" s="117"/>
      <c r="V629" s="117"/>
      <c r="X629" s="117"/>
      <c r="Y629" s="10"/>
      <c r="Z629" s="11"/>
      <c r="AA629" s="36"/>
      <c r="AB629" s="36"/>
      <c r="AC629" s="13"/>
      <c r="AD629" s="13"/>
      <c r="AE629" s="37"/>
      <c r="AF629" s="37"/>
      <c r="AG629" s="14"/>
      <c r="AH629" s="14"/>
      <c r="AI629" s="14"/>
      <c r="AZ629" s="24"/>
    </row>
    <row r="630">
      <c r="B630" s="24"/>
      <c r="E630" s="113"/>
      <c r="F630" s="266"/>
      <c r="G630" s="113"/>
      <c r="K630" s="36"/>
      <c r="L630" s="117"/>
      <c r="M630" s="128"/>
      <c r="N630" s="117"/>
      <c r="R630" s="117"/>
      <c r="T630" s="117"/>
      <c r="V630" s="117"/>
      <c r="X630" s="117"/>
      <c r="Y630" s="10"/>
      <c r="Z630" s="11"/>
      <c r="AA630" s="36"/>
      <c r="AB630" s="36"/>
      <c r="AC630" s="13"/>
      <c r="AD630" s="13"/>
      <c r="AE630" s="37"/>
      <c r="AF630" s="37"/>
      <c r="AG630" s="14"/>
      <c r="AH630" s="14"/>
      <c r="AI630" s="14"/>
      <c r="AZ630" s="24"/>
    </row>
    <row r="631">
      <c r="B631" s="24"/>
      <c r="E631" s="113"/>
      <c r="F631" s="266"/>
      <c r="G631" s="113"/>
      <c r="K631" s="36"/>
      <c r="L631" s="117"/>
      <c r="M631" s="128"/>
      <c r="N631" s="117"/>
      <c r="R631" s="117"/>
      <c r="T631" s="117"/>
      <c r="V631" s="117"/>
      <c r="X631" s="117"/>
      <c r="Y631" s="10"/>
      <c r="Z631" s="11"/>
      <c r="AA631" s="36"/>
      <c r="AB631" s="36"/>
      <c r="AC631" s="13"/>
      <c r="AD631" s="13"/>
      <c r="AE631" s="37"/>
      <c r="AF631" s="37"/>
      <c r="AG631" s="14"/>
      <c r="AH631" s="14"/>
      <c r="AI631" s="14"/>
      <c r="AZ631" s="24"/>
    </row>
    <row r="632">
      <c r="B632" s="24"/>
      <c r="E632" s="113"/>
      <c r="F632" s="266"/>
      <c r="G632" s="113"/>
      <c r="K632" s="36"/>
      <c r="L632" s="117"/>
      <c r="M632" s="128"/>
      <c r="N632" s="117"/>
      <c r="R632" s="117"/>
      <c r="T632" s="117"/>
      <c r="V632" s="117"/>
      <c r="X632" s="117"/>
      <c r="Y632" s="10"/>
      <c r="Z632" s="11"/>
      <c r="AA632" s="36"/>
      <c r="AB632" s="36"/>
      <c r="AC632" s="13"/>
      <c r="AD632" s="13"/>
      <c r="AE632" s="37"/>
      <c r="AF632" s="37"/>
      <c r="AG632" s="14"/>
      <c r="AH632" s="14"/>
      <c r="AI632" s="14"/>
      <c r="AZ632" s="24"/>
    </row>
    <row r="633">
      <c r="B633" s="24"/>
      <c r="E633" s="113"/>
      <c r="F633" s="266"/>
      <c r="G633" s="113"/>
      <c r="K633" s="36"/>
      <c r="L633" s="117"/>
      <c r="M633" s="128"/>
      <c r="N633" s="117"/>
      <c r="R633" s="117"/>
      <c r="T633" s="117"/>
      <c r="V633" s="117"/>
      <c r="X633" s="117"/>
      <c r="Y633" s="10"/>
      <c r="Z633" s="11"/>
      <c r="AA633" s="36"/>
      <c r="AB633" s="36"/>
      <c r="AC633" s="13"/>
      <c r="AD633" s="13"/>
      <c r="AE633" s="37"/>
      <c r="AF633" s="37"/>
      <c r="AG633" s="14"/>
      <c r="AH633" s="14"/>
      <c r="AI633" s="14"/>
      <c r="AZ633" s="24"/>
    </row>
    <row r="634">
      <c r="B634" s="24"/>
      <c r="E634" s="113"/>
      <c r="F634" s="266"/>
      <c r="G634" s="113"/>
      <c r="K634" s="36"/>
      <c r="L634" s="117"/>
      <c r="M634" s="128"/>
      <c r="N634" s="117"/>
      <c r="R634" s="117"/>
      <c r="T634" s="117"/>
      <c r="V634" s="117"/>
      <c r="X634" s="117"/>
      <c r="Y634" s="10"/>
      <c r="Z634" s="11"/>
      <c r="AA634" s="36"/>
      <c r="AB634" s="36"/>
      <c r="AC634" s="13"/>
      <c r="AD634" s="13"/>
      <c r="AE634" s="37"/>
      <c r="AF634" s="37"/>
      <c r="AG634" s="14"/>
      <c r="AH634" s="14"/>
      <c r="AI634" s="14"/>
      <c r="AZ634" s="24"/>
    </row>
    <row r="635">
      <c r="B635" s="24"/>
      <c r="E635" s="113"/>
      <c r="F635" s="266"/>
      <c r="G635" s="113"/>
      <c r="K635" s="36"/>
      <c r="L635" s="117"/>
      <c r="M635" s="128"/>
      <c r="N635" s="117"/>
      <c r="R635" s="117"/>
      <c r="T635" s="117"/>
      <c r="V635" s="117"/>
      <c r="X635" s="117"/>
      <c r="Y635" s="10"/>
      <c r="Z635" s="11"/>
      <c r="AA635" s="36"/>
      <c r="AB635" s="36"/>
      <c r="AC635" s="13"/>
      <c r="AD635" s="13"/>
      <c r="AE635" s="37"/>
      <c r="AF635" s="37"/>
      <c r="AG635" s="14"/>
      <c r="AH635" s="14"/>
      <c r="AI635" s="14"/>
      <c r="AZ635" s="24"/>
    </row>
    <row r="636">
      <c r="B636" s="24"/>
      <c r="E636" s="113"/>
      <c r="F636" s="266"/>
      <c r="G636" s="113"/>
      <c r="K636" s="36"/>
      <c r="L636" s="117"/>
      <c r="M636" s="128"/>
      <c r="N636" s="117"/>
      <c r="R636" s="117"/>
      <c r="T636" s="117"/>
      <c r="V636" s="117"/>
      <c r="X636" s="117"/>
      <c r="Y636" s="10"/>
      <c r="Z636" s="11"/>
      <c r="AA636" s="36"/>
      <c r="AB636" s="36"/>
      <c r="AC636" s="13"/>
      <c r="AD636" s="13"/>
      <c r="AE636" s="37"/>
      <c r="AF636" s="37"/>
      <c r="AG636" s="14"/>
      <c r="AH636" s="14"/>
      <c r="AI636" s="14"/>
      <c r="AZ636" s="24"/>
    </row>
    <row r="637">
      <c r="B637" s="24"/>
      <c r="E637" s="113"/>
      <c r="F637" s="266"/>
      <c r="G637" s="113"/>
      <c r="K637" s="36"/>
      <c r="L637" s="117"/>
      <c r="M637" s="128"/>
      <c r="N637" s="117"/>
      <c r="R637" s="117"/>
      <c r="T637" s="117"/>
      <c r="V637" s="117"/>
      <c r="X637" s="117"/>
      <c r="Y637" s="10"/>
      <c r="Z637" s="11"/>
      <c r="AA637" s="36"/>
      <c r="AB637" s="36"/>
      <c r="AC637" s="13"/>
      <c r="AD637" s="13"/>
      <c r="AE637" s="37"/>
      <c r="AF637" s="37"/>
      <c r="AG637" s="14"/>
      <c r="AH637" s="14"/>
      <c r="AI637" s="14"/>
      <c r="AZ637" s="24"/>
    </row>
    <row r="638">
      <c r="B638" s="24"/>
      <c r="E638" s="113"/>
      <c r="F638" s="266"/>
      <c r="G638" s="113"/>
      <c r="K638" s="36"/>
      <c r="L638" s="117"/>
      <c r="M638" s="128"/>
      <c r="N638" s="117"/>
      <c r="R638" s="117"/>
      <c r="T638" s="117"/>
      <c r="V638" s="117"/>
      <c r="X638" s="117"/>
      <c r="Y638" s="10"/>
      <c r="Z638" s="11"/>
      <c r="AA638" s="36"/>
      <c r="AB638" s="36"/>
      <c r="AC638" s="13"/>
      <c r="AD638" s="13"/>
      <c r="AE638" s="37"/>
      <c r="AF638" s="37"/>
      <c r="AG638" s="14"/>
      <c r="AH638" s="14"/>
      <c r="AI638" s="14"/>
      <c r="AZ638" s="24"/>
    </row>
    <row r="639">
      <c r="B639" s="24"/>
      <c r="E639" s="113"/>
      <c r="F639" s="266"/>
      <c r="G639" s="113"/>
      <c r="K639" s="36"/>
      <c r="L639" s="117"/>
      <c r="M639" s="128"/>
      <c r="N639" s="117"/>
      <c r="R639" s="117"/>
      <c r="T639" s="117"/>
      <c r="V639" s="117"/>
      <c r="X639" s="117"/>
      <c r="Y639" s="10"/>
      <c r="Z639" s="11"/>
      <c r="AA639" s="36"/>
      <c r="AB639" s="36"/>
      <c r="AC639" s="13"/>
      <c r="AD639" s="13"/>
      <c r="AE639" s="37"/>
      <c r="AF639" s="37"/>
      <c r="AG639" s="14"/>
      <c r="AH639" s="14"/>
      <c r="AI639" s="14"/>
      <c r="AZ639" s="24"/>
    </row>
    <row r="640">
      <c r="B640" s="24"/>
      <c r="E640" s="113"/>
      <c r="F640" s="266"/>
      <c r="G640" s="113"/>
      <c r="K640" s="36"/>
      <c r="L640" s="117"/>
      <c r="M640" s="128"/>
      <c r="N640" s="117"/>
      <c r="R640" s="117"/>
      <c r="T640" s="117"/>
      <c r="V640" s="117"/>
      <c r="X640" s="117"/>
      <c r="Y640" s="10"/>
      <c r="Z640" s="11"/>
      <c r="AA640" s="36"/>
      <c r="AB640" s="36"/>
      <c r="AC640" s="13"/>
      <c r="AD640" s="13"/>
      <c r="AE640" s="37"/>
      <c r="AF640" s="37"/>
      <c r="AG640" s="14"/>
      <c r="AH640" s="14"/>
      <c r="AI640" s="14"/>
      <c r="AZ640" s="24"/>
    </row>
    <row r="641">
      <c r="B641" s="24"/>
      <c r="E641" s="113"/>
      <c r="F641" s="266"/>
      <c r="G641" s="113"/>
      <c r="K641" s="36"/>
      <c r="L641" s="117"/>
      <c r="M641" s="128"/>
      <c r="N641" s="117"/>
      <c r="R641" s="117"/>
      <c r="T641" s="117"/>
      <c r="V641" s="117"/>
      <c r="X641" s="117"/>
      <c r="Y641" s="10"/>
      <c r="Z641" s="11"/>
      <c r="AA641" s="36"/>
      <c r="AB641" s="36"/>
      <c r="AC641" s="13"/>
      <c r="AD641" s="13"/>
      <c r="AE641" s="37"/>
      <c r="AF641" s="37"/>
      <c r="AG641" s="14"/>
      <c r="AH641" s="14"/>
      <c r="AI641" s="14"/>
      <c r="AZ641" s="24"/>
    </row>
    <row r="642">
      <c r="B642" s="24"/>
      <c r="E642" s="113"/>
      <c r="F642" s="266"/>
      <c r="G642" s="113"/>
      <c r="K642" s="36"/>
      <c r="L642" s="117"/>
      <c r="M642" s="128"/>
      <c r="N642" s="117"/>
      <c r="R642" s="117"/>
      <c r="T642" s="117"/>
      <c r="V642" s="117"/>
      <c r="X642" s="117"/>
      <c r="Y642" s="10"/>
      <c r="Z642" s="11"/>
      <c r="AA642" s="36"/>
      <c r="AB642" s="36"/>
      <c r="AC642" s="13"/>
      <c r="AD642" s="13"/>
      <c r="AE642" s="37"/>
      <c r="AF642" s="37"/>
      <c r="AG642" s="14"/>
      <c r="AH642" s="14"/>
      <c r="AI642" s="14"/>
      <c r="AZ642" s="24"/>
    </row>
    <row r="643">
      <c r="B643" s="24"/>
      <c r="E643" s="113"/>
      <c r="F643" s="266"/>
      <c r="G643" s="113"/>
      <c r="K643" s="36"/>
      <c r="L643" s="117"/>
      <c r="M643" s="128"/>
      <c r="N643" s="117"/>
      <c r="R643" s="117"/>
      <c r="T643" s="117"/>
      <c r="V643" s="117"/>
      <c r="X643" s="117"/>
      <c r="Y643" s="10"/>
      <c r="Z643" s="11"/>
      <c r="AA643" s="36"/>
      <c r="AB643" s="36"/>
      <c r="AC643" s="13"/>
      <c r="AD643" s="13"/>
      <c r="AE643" s="37"/>
      <c r="AF643" s="37"/>
      <c r="AG643" s="14"/>
      <c r="AH643" s="14"/>
      <c r="AI643" s="14"/>
      <c r="AZ643" s="24"/>
    </row>
    <row r="644">
      <c r="B644" s="24"/>
      <c r="E644" s="113"/>
      <c r="F644" s="266"/>
      <c r="G644" s="113"/>
      <c r="K644" s="36"/>
      <c r="L644" s="117"/>
      <c r="M644" s="128"/>
      <c r="N644" s="117"/>
      <c r="R644" s="117"/>
      <c r="T644" s="117"/>
      <c r="V644" s="117"/>
      <c r="X644" s="117"/>
      <c r="Y644" s="10"/>
      <c r="Z644" s="11"/>
      <c r="AA644" s="36"/>
      <c r="AB644" s="36"/>
      <c r="AC644" s="13"/>
      <c r="AD644" s="13"/>
      <c r="AE644" s="37"/>
      <c r="AF644" s="37"/>
      <c r="AG644" s="14"/>
      <c r="AH644" s="14"/>
      <c r="AI644" s="14"/>
      <c r="AZ644" s="24"/>
    </row>
    <row r="645">
      <c r="B645" s="24"/>
      <c r="E645" s="113"/>
      <c r="F645" s="266"/>
      <c r="G645" s="113"/>
      <c r="K645" s="36"/>
      <c r="L645" s="117"/>
      <c r="M645" s="128"/>
      <c r="N645" s="117"/>
      <c r="R645" s="117"/>
      <c r="T645" s="117"/>
      <c r="V645" s="117"/>
      <c r="X645" s="117"/>
      <c r="Y645" s="10"/>
      <c r="Z645" s="11"/>
      <c r="AA645" s="36"/>
      <c r="AB645" s="36"/>
      <c r="AC645" s="13"/>
      <c r="AD645" s="13"/>
      <c r="AE645" s="37"/>
      <c r="AF645" s="37"/>
      <c r="AG645" s="14"/>
      <c r="AH645" s="14"/>
      <c r="AI645" s="14"/>
      <c r="AZ645" s="24"/>
    </row>
    <row r="646">
      <c r="B646" s="24"/>
      <c r="E646" s="113"/>
      <c r="F646" s="266"/>
      <c r="G646" s="113"/>
      <c r="K646" s="36"/>
      <c r="L646" s="117"/>
      <c r="M646" s="128"/>
      <c r="N646" s="117"/>
      <c r="R646" s="117"/>
      <c r="T646" s="117"/>
      <c r="V646" s="117"/>
      <c r="X646" s="117"/>
      <c r="Y646" s="10"/>
      <c r="Z646" s="11"/>
      <c r="AA646" s="36"/>
      <c r="AB646" s="36"/>
      <c r="AC646" s="13"/>
      <c r="AD646" s="13"/>
      <c r="AE646" s="37"/>
      <c r="AF646" s="37"/>
      <c r="AG646" s="14"/>
      <c r="AH646" s="14"/>
      <c r="AI646" s="14"/>
      <c r="AZ646" s="24"/>
    </row>
    <row r="647">
      <c r="B647" s="24"/>
      <c r="E647" s="113"/>
      <c r="F647" s="266"/>
      <c r="G647" s="113"/>
      <c r="K647" s="36"/>
      <c r="L647" s="117"/>
      <c r="M647" s="128"/>
      <c r="N647" s="117"/>
      <c r="R647" s="117"/>
      <c r="T647" s="117"/>
      <c r="V647" s="117"/>
      <c r="X647" s="117"/>
      <c r="Y647" s="10"/>
      <c r="Z647" s="11"/>
      <c r="AA647" s="36"/>
      <c r="AB647" s="36"/>
      <c r="AC647" s="13"/>
      <c r="AD647" s="13"/>
      <c r="AE647" s="37"/>
      <c r="AF647" s="37"/>
      <c r="AG647" s="14"/>
      <c r="AH647" s="14"/>
      <c r="AI647" s="14"/>
      <c r="AZ647" s="24"/>
    </row>
    <row r="648">
      <c r="B648" s="24"/>
      <c r="E648" s="113"/>
      <c r="F648" s="266"/>
      <c r="G648" s="113"/>
      <c r="K648" s="36"/>
      <c r="L648" s="117"/>
      <c r="M648" s="128"/>
      <c r="N648" s="117"/>
      <c r="R648" s="117"/>
      <c r="T648" s="117"/>
      <c r="V648" s="117"/>
      <c r="X648" s="117"/>
      <c r="Y648" s="10"/>
      <c r="Z648" s="11"/>
      <c r="AA648" s="36"/>
      <c r="AB648" s="36"/>
      <c r="AC648" s="13"/>
      <c r="AD648" s="13"/>
      <c r="AE648" s="37"/>
      <c r="AF648" s="37"/>
      <c r="AG648" s="14"/>
      <c r="AH648" s="14"/>
      <c r="AI648" s="14"/>
      <c r="AZ648" s="24"/>
    </row>
    <row r="649">
      <c r="B649" s="24"/>
      <c r="E649" s="113"/>
      <c r="F649" s="266"/>
      <c r="G649" s="113"/>
      <c r="K649" s="36"/>
      <c r="L649" s="117"/>
      <c r="M649" s="128"/>
      <c r="N649" s="117"/>
      <c r="R649" s="117"/>
      <c r="T649" s="117"/>
      <c r="V649" s="117"/>
      <c r="X649" s="117"/>
      <c r="Y649" s="10"/>
      <c r="Z649" s="11"/>
      <c r="AA649" s="36"/>
      <c r="AB649" s="36"/>
      <c r="AC649" s="13"/>
      <c r="AD649" s="13"/>
      <c r="AE649" s="37"/>
      <c r="AF649" s="37"/>
      <c r="AG649" s="14"/>
      <c r="AH649" s="14"/>
      <c r="AI649" s="14"/>
      <c r="AZ649" s="24"/>
    </row>
    <row r="650">
      <c r="B650" s="24"/>
      <c r="E650" s="113"/>
      <c r="F650" s="266"/>
      <c r="G650" s="113"/>
      <c r="K650" s="36"/>
      <c r="L650" s="117"/>
      <c r="M650" s="128"/>
      <c r="N650" s="117"/>
      <c r="R650" s="117"/>
      <c r="T650" s="117"/>
      <c r="V650" s="117"/>
      <c r="X650" s="117"/>
      <c r="Y650" s="10"/>
      <c r="Z650" s="11"/>
      <c r="AA650" s="36"/>
      <c r="AB650" s="36"/>
      <c r="AC650" s="13"/>
      <c r="AD650" s="13"/>
      <c r="AE650" s="37"/>
      <c r="AF650" s="37"/>
      <c r="AG650" s="14"/>
      <c r="AH650" s="14"/>
      <c r="AI650" s="14"/>
      <c r="AZ650" s="24"/>
    </row>
    <row r="651">
      <c r="B651" s="24"/>
      <c r="E651" s="113"/>
      <c r="F651" s="266"/>
      <c r="G651" s="113"/>
      <c r="K651" s="36"/>
      <c r="L651" s="117"/>
      <c r="M651" s="128"/>
      <c r="N651" s="117"/>
      <c r="R651" s="117"/>
      <c r="T651" s="117"/>
      <c r="V651" s="117"/>
      <c r="X651" s="117"/>
      <c r="Y651" s="10"/>
      <c r="Z651" s="11"/>
      <c r="AA651" s="36"/>
      <c r="AB651" s="36"/>
      <c r="AC651" s="13"/>
      <c r="AD651" s="13"/>
      <c r="AE651" s="37"/>
      <c r="AF651" s="37"/>
      <c r="AG651" s="14"/>
      <c r="AH651" s="14"/>
      <c r="AI651" s="14"/>
      <c r="AZ651" s="24"/>
    </row>
    <row r="652">
      <c r="B652" s="24"/>
      <c r="E652" s="113"/>
      <c r="F652" s="266"/>
      <c r="G652" s="113"/>
      <c r="K652" s="36"/>
      <c r="L652" s="117"/>
      <c r="M652" s="128"/>
      <c r="N652" s="117"/>
      <c r="R652" s="117"/>
      <c r="T652" s="117"/>
      <c r="V652" s="117"/>
      <c r="X652" s="117"/>
      <c r="Y652" s="10"/>
      <c r="Z652" s="11"/>
      <c r="AA652" s="36"/>
      <c r="AB652" s="36"/>
      <c r="AC652" s="13"/>
      <c r="AD652" s="13"/>
      <c r="AE652" s="37"/>
      <c r="AF652" s="37"/>
      <c r="AG652" s="14"/>
      <c r="AH652" s="14"/>
      <c r="AI652" s="14"/>
      <c r="AZ652" s="24"/>
    </row>
    <row r="653">
      <c r="B653" s="24"/>
      <c r="E653" s="113"/>
      <c r="F653" s="266"/>
      <c r="G653" s="113"/>
      <c r="K653" s="36"/>
      <c r="L653" s="117"/>
      <c r="M653" s="128"/>
      <c r="N653" s="117"/>
      <c r="R653" s="117"/>
      <c r="T653" s="117"/>
      <c r="V653" s="117"/>
      <c r="X653" s="117"/>
      <c r="Y653" s="10"/>
      <c r="Z653" s="11"/>
      <c r="AA653" s="36"/>
      <c r="AB653" s="36"/>
      <c r="AC653" s="13"/>
      <c r="AD653" s="13"/>
      <c r="AE653" s="37"/>
      <c r="AF653" s="37"/>
      <c r="AG653" s="14"/>
      <c r="AH653" s="14"/>
      <c r="AI653" s="14"/>
      <c r="AZ653" s="24"/>
    </row>
    <row r="654">
      <c r="B654" s="24"/>
      <c r="E654" s="113"/>
      <c r="F654" s="266"/>
      <c r="G654" s="113"/>
      <c r="K654" s="36"/>
      <c r="L654" s="117"/>
      <c r="M654" s="128"/>
      <c r="N654" s="117"/>
      <c r="R654" s="117"/>
      <c r="T654" s="117"/>
      <c r="V654" s="117"/>
      <c r="X654" s="117"/>
      <c r="Y654" s="10"/>
      <c r="Z654" s="11"/>
      <c r="AA654" s="36"/>
      <c r="AB654" s="36"/>
      <c r="AC654" s="13"/>
      <c r="AD654" s="13"/>
      <c r="AE654" s="37"/>
      <c r="AF654" s="37"/>
      <c r="AG654" s="14"/>
      <c r="AH654" s="14"/>
      <c r="AI654" s="14"/>
      <c r="AZ654" s="24"/>
    </row>
    <row r="655">
      <c r="B655" s="24"/>
      <c r="E655" s="113"/>
      <c r="F655" s="266"/>
      <c r="G655" s="113"/>
      <c r="K655" s="36"/>
      <c r="L655" s="117"/>
      <c r="M655" s="128"/>
      <c r="N655" s="117"/>
      <c r="R655" s="117"/>
      <c r="T655" s="117"/>
      <c r="V655" s="117"/>
      <c r="X655" s="117"/>
      <c r="Y655" s="10"/>
      <c r="Z655" s="11"/>
      <c r="AA655" s="36"/>
      <c r="AB655" s="36"/>
      <c r="AC655" s="13"/>
      <c r="AD655" s="13"/>
      <c r="AE655" s="37"/>
      <c r="AF655" s="37"/>
      <c r="AG655" s="14"/>
      <c r="AH655" s="14"/>
      <c r="AI655" s="14"/>
      <c r="AZ655" s="24"/>
    </row>
    <row r="656">
      <c r="B656" s="24"/>
      <c r="E656" s="113"/>
      <c r="F656" s="266"/>
      <c r="G656" s="113"/>
      <c r="K656" s="36"/>
      <c r="L656" s="117"/>
      <c r="M656" s="128"/>
      <c r="N656" s="117"/>
      <c r="R656" s="117"/>
      <c r="T656" s="117"/>
      <c r="V656" s="117"/>
      <c r="X656" s="117"/>
      <c r="Y656" s="10"/>
      <c r="Z656" s="11"/>
      <c r="AA656" s="36"/>
      <c r="AB656" s="36"/>
      <c r="AC656" s="13"/>
      <c r="AD656" s="13"/>
      <c r="AE656" s="37"/>
      <c r="AF656" s="37"/>
      <c r="AG656" s="14"/>
      <c r="AH656" s="14"/>
      <c r="AI656" s="14"/>
      <c r="AZ656" s="24"/>
    </row>
    <row r="657">
      <c r="B657" s="24"/>
      <c r="E657" s="113"/>
      <c r="F657" s="266"/>
      <c r="G657" s="113"/>
      <c r="K657" s="36"/>
      <c r="L657" s="117"/>
      <c r="M657" s="128"/>
      <c r="N657" s="117"/>
      <c r="R657" s="117"/>
      <c r="T657" s="117"/>
      <c r="V657" s="117"/>
      <c r="X657" s="117"/>
      <c r="Y657" s="10"/>
      <c r="Z657" s="11"/>
      <c r="AA657" s="36"/>
      <c r="AB657" s="36"/>
      <c r="AC657" s="13"/>
      <c r="AD657" s="13"/>
      <c r="AE657" s="37"/>
      <c r="AF657" s="37"/>
      <c r="AG657" s="14"/>
      <c r="AH657" s="14"/>
      <c r="AI657" s="14"/>
      <c r="AZ657" s="24"/>
    </row>
    <row r="658">
      <c r="B658" s="24"/>
      <c r="E658" s="113"/>
      <c r="F658" s="266"/>
      <c r="G658" s="113"/>
      <c r="K658" s="36"/>
      <c r="L658" s="117"/>
      <c r="M658" s="128"/>
      <c r="N658" s="117"/>
      <c r="R658" s="117"/>
      <c r="T658" s="117"/>
      <c r="V658" s="117"/>
      <c r="X658" s="117"/>
      <c r="Y658" s="10"/>
      <c r="Z658" s="11"/>
      <c r="AA658" s="36"/>
      <c r="AB658" s="36"/>
      <c r="AC658" s="13"/>
      <c r="AD658" s="13"/>
      <c r="AE658" s="37"/>
      <c r="AF658" s="37"/>
      <c r="AG658" s="14"/>
      <c r="AH658" s="14"/>
      <c r="AI658" s="14"/>
      <c r="AZ658" s="24"/>
    </row>
    <row r="659">
      <c r="B659" s="24"/>
      <c r="E659" s="113"/>
      <c r="F659" s="266"/>
      <c r="G659" s="113"/>
      <c r="K659" s="36"/>
      <c r="L659" s="117"/>
      <c r="M659" s="128"/>
      <c r="N659" s="117"/>
      <c r="R659" s="117"/>
      <c r="T659" s="117"/>
      <c r="V659" s="117"/>
      <c r="X659" s="117"/>
      <c r="Y659" s="10"/>
      <c r="Z659" s="11"/>
      <c r="AA659" s="36"/>
      <c r="AB659" s="36"/>
      <c r="AC659" s="13"/>
      <c r="AD659" s="13"/>
      <c r="AE659" s="37"/>
      <c r="AF659" s="37"/>
      <c r="AG659" s="14"/>
      <c r="AH659" s="14"/>
      <c r="AI659" s="14"/>
      <c r="AZ659" s="24"/>
    </row>
    <row r="660">
      <c r="B660" s="24"/>
      <c r="E660" s="113"/>
      <c r="F660" s="266"/>
      <c r="G660" s="113"/>
      <c r="K660" s="36"/>
      <c r="L660" s="117"/>
      <c r="M660" s="128"/>
      <c r="N660" s="117"/>
      <c r="R660" s="117"/>
      <c r="T660" s="117"/>
      <c r="V660" s="117"/>
      <c r="X660" s="117"/>
      <c r="Y660" s="10"/>
      <c r="Z660" s="11"/>
      <c r="AA660" s="36"/>
      <c r="AB660" s="36"/>
      <c r="AC660" s="13"/>
      <c r="AD660" s="13"/>
      <c r="AE660" s="37"/>
      <c r="AF660" s="37"/>
      <c r="AG660" s="14"/>
      <c r="AH660" s="14"/>
      <c r="AI660" s="14"/>
      <c r="AZ660" s="24"/>
    </row>
    <row r="661">
      <c r="B661" s="24"/>
      <c r="E661" s="113"/>
      <c r="F661" s="266"/>
      <c r="G661" s="113"/>
      <c r="K661" s="36"/>
      <c r="L661" s="117"/>
      <c r="M661" s="128"/>
      <c r="N661" s="117"/>
      <c r="R661" s="117"/>
      <c r="T661" s="117"/>
      <c r="V661" s="117"/>
      <c r="X661" s="117"/>
      <c r="Y661" s="10"/>
      <c r="Z661" s="11"/>
      <c r="AA661" s="36"/>
      <c r="AB661" s="36"/>
      <c r="AC661" s="13"/>
      <c r="AD661" s="13"/>
      <c r="AE661" s="37"/>
      <c r="AF661" s="37"/>
      <c r="AG661" s="14"/>
      <c r="AH661" s="14"/>
      <c r="AI661" s="14"/>
      <c r="AZ661" s="24"/>
    </row>
    <row r="662">
      <c r="B662" s="24"/>
      <c r="E662" s="113"/>
      <c r="F662" s="266"/>
      <c r="G662" s="113"/>
      <c r="K662" s="36"/>
      <c r="L662" s="117"/>
      <c r="M662" s="128"/>
      <c r="N662" s="117"/>
      <c r="R662" s="117"/>
      <c r="T662" s="117"/>
      <c r="V662" s="117"/>
      <c r="X662" s="117"/>
      <c r="Y662" s="10"/>
      <c r="Z662" s="11"/>
      <c r="AA662" s="36"/>
      <c r="AB662" s="36"/>
      <c r="AC662" s="13"/>
      <c r="AD662" s="13"/>
      <c r="AE662" s="37"/>
      <c r="AF662" s="37"/>
      <c r="AG662" s="14"/>
      <c r="AH662" s="14"/>
      <c r="AI662" s="14"/>
      <c r="AZ662" s="24"/>
    </row>
    <row r="663">
      <c r="B663" s="24"/>
      <c r="E663" s="113"/>
      <c r="F663" s="266"/>
      <c r="G663" s="113"/>
      <c r="K663" s="36"/>
      <c r="L663" s="117"/>
      <c r="M663" s="128"/>
      <c r="N663" s="117"/>
      <c r="R663" s="117"/>
      <c r="T663" s="117"/>
      <c r="V663" s="117"/>
      <c r="X663" s="117"/>
      <c r="Y663" s="10"/>
      <c r="Z663" s="11"/>
      <c r="AA663" s="36"/>
      <c r="AB663" s="36"/>
      <c r="AC663" s="13"/>
      <c r="AD663" s="13"/>
      <c r="AE663" s="37"/>
      <c r="AF663" s="37"/>
      <c r="AG663" s="14"/>
      <c r="AH663" s="14"/>
      <c r="AI663" s="14"/>
      <c r="AZ663" s="24"/>
    </row>
    <row r="664">
      <c r="B664" s="24"/>
      <c r="E664" s="113"/>
      <c r="F664" s="266"/>
      <c r="G664" s="113"/>
      <c r="K664" s="36"/>
      <c r="L664" s="117"/>
      <c r="M664" s="128"/>
      <c r="N664" s="117"/>
      <c r="R664" s="117"/>
      <c r="T664" s="117"/>
      <c r="V664" s="117"/>
      <c r="X664" s="117"/>
      <c r="Y664" s="10"/>
      <c r="Z664" s="11"/>
      <c r="AA664" s="36"/>
      <c r="AB664" s="36"/>
      <c r="AC664" s="13"/>
      <c r="AD664" s="13"/>
      <c r="AE664" s="37"/>
      <c r="AF664" s="37"/>
      <c r="AG664" s="14"/>
      <c r="AH664" s="14"/>
      <c r="AI664" s="14"/>
      <c r="AZ664" s="24"/>
    </row>
    <row r="665">
      <c r="B665" s="24"/>
      <c r="E665" s="113"/>
      <c r="F665" s="266"/>
      <c r="G665" s="113"/>
      <c r="K665" s="36"/>
      <c r="L665" s="117"/>
      <c r="M665" s="128"/>
      <c r="N665" s="117"/>
      <c r="R665" s="117"/>
      <c r="T665" s="117"/>
      <c r="V665" s="117"/>
      <c r="X665" s="117"/>
      <c r="Y665" s="10"/>
      <c r="Z665" s="11"/>
      <c r="AA665" s="36"/>
      <c r="AB665" s="36"/>
      <c r="AC665" s="13"/>
      <c r="AD665" s="13"/>
      <c r="AE665" s="37"/>
      <c r="AF665" s="37"/>
      <c r="AG665" s="14"/>
      <c r="AH665" s="14"/>
      <c r="AI665" s="14"/>
      <c r="AZ665" s="24"/>
    </row>
    <row r="666">
      <c r="B666" s="24"/>
      <c r="E666" s="113"/>
      <c r="F666" s="266"/>
      <c r="G666" s="113"/>
      <c r="K666" s="36"/>
      <c r="L666" s="117"/>
      <c r="M666" s="128"/>
      <c r="N666" s="117"/>
      <c r="R666" s="117"/>
      <c r="T666" s="117"/>
      <c r="V666" s="117"/>
      <c r="X666" s="117"/>
      <c r="Y666" s="10"/>
      <c r="Z666" s="11"/>
      <c r="AA666" s="36"/>
      <c r="AB666" s="36"/>
      <c r="AC666" s="13"/>
      <c r="AD666" s="13"/>
      <c r="AE666" s="37"/>
      <c r="AF666" s="37"/>
      <c r="AG666" s="14"/>
      <c r="AH666" s="14"/>
      <c r="AI666" s="14"/>
      <c r="AZ666" s="24"/>
    </row>
    <row r="667">
      <c r="B667" s="24"/>
      <c r="E667" s="113"/>
      <c r="F667" s="266"/>
      <c r="G667" s="113"/>
      <c r="K667" s="36"/>
      <c r="L667" s="117"/>
      <c r="M667" s="128"/>
      <c r="N667" s="117"/>
      <c r="R667" s="117"/>
      <c r="T667" s="117"/>
      <c r="V667" s="117"/>
      <c r="X667" s="117"/>
      <c r="Y667" s="10"/>
      <c r="Z667" s="11"/>
      <c r="AA667" s="36"/>
      <c r="AB667" s="36"/>
      <c r="AC667" s="13"/>
      <c r="AD667" s="13"/>
      <c r="AE667" s="37"/>
      <c r="AF667" s="37"/>
      <c r="AG667" s="14"/>
      <c r="AH667" s="14"/>
      <c r="AI667" s="14"/>
      <c r="AZ667" s="24"/>
    </row>
    <row r="668">
      <c r="B668" s="24"/>
      <c r="E668" s="113"/>
      <c r="F668" s="266"/>
      <c r="G668" s="113"/>
      <c r="K668" s="36"/>
      <c r="L668" s="117"/>
      <c r="M668" s="128"/>
      <c r="N668" s="117"/>
      <c r="R668" s="117"/>
      <c r="T668" s="117"/>
      <c r="V668" s="117"/>
      <c r="X668" s="117"/>
      <c r="Y668" s="10"/>
      <c r="Z668" s="11"/>
      <c r="AA668" s="36"/>
      <c r="AB668" s="36"/>
      <c r="AC668" s="13"/>
      <c r="AD668" s="13"/>
      <c r="AE668" s="37"/>
      <c r="AF668" s="37"/>
      <c r="AG668" s="14"/>
      <c r="AH668" s="14"/>
      <c r="AI668" s="14"/>
      <c r="AZ668" s="24"/>
    </row>
    <row r="669">
      <c r="B669" s="24"/>
      <c r="E669" s="113"/>
      <c r="F669" s="266"/>
      <c r="G669" s="113"/>
      <c r="K669" s="36"/>
      <c r="L669" s="117"/>
      <c r="M669" s="128"/>
      <c r="N669" s="117"/>
      <c r="R669" s="117"/>
      <c r="T669" s="117"/>
      <c r="V669" s="117"/>
      <c r="X669" s="117"/>
      <c r="Y669" s="10"/>
      <c r="Z669" s="11"/>
      <c r="AA669" s="36"/>
      <c r="AB669" s="36"/>
      <c r="AC669" s="13"/>
      <c r="AD669" s="13"/>
      <c r="AE669" s="37"/>
      <c r="AF669" s="37"/>
      <c r="AG669" s="14"/>
      <c r="AH669" s="14"/>
      <c r="AI669" s="14"/>
      <c r="AZ669" s="24"/>
    </row>
    <row r="670">
      <c r="B670" s="24"/>
      <c r="E670" s="113"/>
      <c r="F670" s="266"/>
      <c r="G670" s="113"/>
      <c r="K670" s="36"/>
      <c r="L670" s="117"/>
      <c r="M670" s="128"/>
      <c r="N670" s="117"/>
      <c r="R670" s="117"/>
      <c r="T670" s="117"/>
      <c r="V670" s="117"/>
      <c r="X670" s="117"/>
      <c r="Y670" s="10"/>
      <c r="Z670" s="11"/>
      <c r="AA670" s="36"/>
      <c r="AB670" s="36"/>
      <c r="AC670" s="13"/>
      <c r="AD670" s="13"/>
      <c r="AE670" s="37"/>
      <c r="AF670" s="37"/>
      <c r="AG670" s="14"/>
      <c r="AH670" s="14"/>
      <c r="AI670" s="14"/>
      <c r="AZ670" s="24"/>
    </row>
    <row r="671">
      <c r="B671" s="24"/>
      <c r="E671" s="113"/>
      <c r="F671" s="266"/>
      <c r="G671" s="113"/>
      <c r="K671" s="36"/>
      <c r="L671" s="117"/>
      <c r="M671" s="128"/>
      <c r="N671" s="117"/>
      <c r="R671" s="117"/>
      <c r="T671" s="117"/>
      <c r="V671" s="117"/>
      <c r="X671" s="117"/>
      <c r="Y671" s="10"/>
      <c r="Z671" s="11"/>
      <c r="AA671" s="36"/>
      <c r="AB671" s="36"/>
      <c r="AC671" s="13"/>
      <c r="AD671" s="13"/>
      <c r="AE671" s="37"/>
      <c r="AF671" s="37"/>
      <c r="AG671" s="14"/>
      <c r="AH671" s="14"/>
      <c r="AI671" s="14"/>
      <c r="AZ671" s="24"/>
    </row>
    <row r="672">
      <c r="B672" s="24"/>
      <c r="E672" s="113"/>
      <c r="F672" s="266"/>
      <c r="G672" s="113"/>
      <c r="K672" s="36"/>
      <c r="L672" s="117"/>
      <c r="M672" s="128"/>
      <c r="N672" s="117"/>
      <c r="R672" s="117"/>
      <c r="T672" s="117"/>
      <c r="V672" s="117"/>
      <c r="X672" s="117"/>
      <c r="Y672" s="10"/>
      <c r="Z672" s="11"/>
      <c r="AA672" s="36"/>
      <c r="AB672" s="36"/>
      <c r="AC672" s="13"/>
      <c r="AD672" s="13"/>
      <c r="AE672" s="37"/>
      <c r="AF672" s="37"/>
      <c r="AG672" s="14"/>
      <c r="AH672" s="14"/>
      <c r="AI672" s="14"/>
      <c r="AZ672" s="24"/>
    </row>
    <row r="673">
      <c r="B673" s="24"/>
      <c r="E673" s="113"/>
      <c r="F673" s="266"/>
      <c r="G673" s="113"/>
      <c r="K673" s="36"/>
      <c r="L673" s="117"/>
      <c r="M673" s="128"/>
      <c r="N673" s="117"/>
      <c r="R673" s="117"/>
      <c r="T673" s="117"/>
      <c r="V673" s="117"/>
      <c r="X673" s="117"/>
      <c r="Y673" s="10"/>
      <c r="Z673" s="11"/>
      <c r="AA673" s="36"/>
      <c r="AB673" s="36"/>
      <c r="AC673" s="13"/>
      <c r="AD673" s="13"/>
      <c r="AE673" s="37"/>
      <c r="AF673" s="37"/>
      <c r="AG673" s="14"/>
      <c r="AH673" s="14"/>
      <c r="AI673" s="14"/>
      <c r="AZ673" s="24"/>
    </row>
    <row r="674">
      <c r="B674" s="24"/>
      <c r="E674" s="113"/>
      <c r="F674" s="266"/>
      <c r="G674" s="113"/>
      <c r="K674" s="36"/>
      <c r="L674" s="117"/>
      <c r="M674" s="128"/>
      <c r="N674" s="117"/>
      <c r="R674" s="117"/>
      <c r="T674" s="117"/>
      <c r="V674" s="117"/>
      <c r="X674" s="117"/>
      <c r="Y674" s="10"/>
      <c r="Z674" s="11"/>
      <c r="AA674" s="36"/>
      <c r="AB674" s="36"/>
      <c r="AC674" s="13"/>
      <c r="AD674" s="13"/>
      <c r="AE674" s="37"/>
      <c r="AF674" s="37"/>
      <c r="AG674" s="14"/>
      <c r="AH674" s="14"/>
      <c r="AI674" s="14"/>
      <c r="AZ674" s="24"/>
    </row>
    <row r="675">
      <c r="B675" s="24"/>
      <c r="E675" s="113"/>
      <c r="F675" s="266"/>
      <c r="G675" s="113"/>
      <c r="K675" s="36"/>
      <c r="L675" s="117"/>
      <c r="M675" s="128"/>
      <c r="N675" s="117"/>
      <c r="R675" s="117"/>
      <c r="T675" s="117"/>
      <c r="V675" s="117"/>
      <c r="X675" s="117"/>
      <c r="Y675" s="10"/>
      <c r="Z675" s="11"/>
      <c r="AA675" s="36"/>
      <c r="AB675" s="36"/>
      <c r="AC675" s="13"/>
      <c r="AD675" s="13"/>
      <c r="AE675" s="37"/>
      <c r="AF675" s="37"/>
      <c r="AG675" s="14"/>
      <c r="AH675" s="14"/>
      <c r="AI675" s="14"/>
      <c r="AZ675" s="24"/>
    </row>
    <row r="676">
      <c r="B676" s="24"/>
      <c r="E676" s="113"/>
      <c r="F676" s="266"/>
      <c r="G676" s="113"/>
      <c r="K676" s="36"/>
      <c r="L676" s="117"/>
      <c r="M676" s="128"/>
      <c r="N676" s="117"/>
      <c r="R676" s="117"/>
      <c r="T676" s="117"/>
      <c r="V676" s="117"/>
      <c r="X676" s="117"/>
      <c r="Y676" s="10"/>
      <c r="Z676" s="11"/>
      <c r="AA676" s="36"/>
      <c r="AB676" s="36"/>
      <c r="AC676" s="13"/>
      <c r="AD676" s="13"/>
      <c r="AE676" s="37"/>
      <c r="AF676" s="37"/>
      <c r="AG676" s="14"/>
      <c r="AH676" s="14"/>
      <c r="AI676" s="14"/>
      <c r="AZ676" s="24"/>
    </row>
    <row r="677">
      <c r="B677" s="24"/>
      <c r="E677" s="113"/>
      <c r="F677" s="266"/>
      <c r="G677" s="113"/>
      <c r="K677" s="36"/>
      <c r="L677" s="117"/>
      <c r="M677" s="128"/>
      <c r="N677" s="117"/>
      <c r="R677" s="117"/>
      <c r="T677" s="117"/>
      <c r="V677" s="117"/>
      <c r="X677" s="117"/>
      <c r="Y677" s="10"/>
      <c r="Z677" s="11"/>
      <c r="AA677" s="36"/>
      <c r="AB677" s="36"/>
      <c r="AC677" s="13"/>
      <c r="AD677" s="13"/>
      <c r="AE677" s="37"/>
      <c r="AF677" s="37"/>
      <c r="AG677" s="14"/>
      <c r="AH677" s="14"/>
      <c r="AI677" s="14"/>
      <c r="AZ677" s="24"/>
    </row>
    <row r="678">
      <c r="B678" s="24"/>
      <c r="E678" s="113"/>
      <c r="F678" s="266"/>
      <c r="G678" s="113"/>
      <c r="K678" s="36"/>
      <c r="L678" s="117"/>
      <c r="M678" s="128"/>
      <c r="N678" s="117"/>
      <c r="R678" s="117"/>
      <c r="T678" s="117"/>
      <c r="V678" s="117"/>
      <c r="X678" s="117"/>
      <c r="Y678" s="10"/>
      <c r="Z678" s="11"/>
      <c r="AA678" s="36"/>
      <c r="AB678" s="36"/>
      <c r="AC678" s="13"/>
      <c r="AD678" s="13"/>
      <c r="AE678" s="37"/>
      <c r="AF678" s="37"/>
      <c r="AG678" s="14"/>
      <c r="AH678" s="14"/>
      <c r="AI678" s="14"/>
      <c r="AZ678" s="24"/>
    </row>
    <row r="679">
      <c r="B679" s="24"/>
      <c r="E679" s="113"/>
      <c r="F679" s="266"/>
      <c r="G679" s="113"/>
      <c r="K679" s="36"/>
      <c r="L679" s="117"/>
      <c r="M679" s="128"/>
      <c r="N679" s="117"/>
      <c r="R679" s="117"/>
      <c r="T679" s="117"/>
      <c r="V679" s="117"/>
      <c r="X679" s="117"/>
      <c r="Y679" s="10"/>
      <c r="Z679" s="11"/>
      <c r="AA679" s="36"/>
      <c r="AB679" s="36"/>
      <c r="AC679" s="13"/>
      <c r="AD679" s="13"/>
      <c r="AE679" s="37"/>
      <c r="AF679" s="37"/>
      <c r="AG679" s="14"/>
      <c r="AH679" s="14"/>
      <c r="AI679" s="14"/>
      <c r="AZ679" s="24"/>
    </row>
    <row r="680">
      <c r="B680" s="24"/>
      <c r="E680" s="113"/>
      <c r="F680" s="266"/>
      <c r="G680" s="113"/>
      <c r="K680" s="36"/>
      <c r="L680" s="117"/>
      <c r="M680" s="128"/>
      <c r="N680" s="117"/>
      <c r="R680" s="117"/>
      <c r="T680" s="117"/>
      <c r="V680" s="117"/>
      <c r="X680" s="117"/>
      <c r="Y680" s="10"/>
      <c r="Z680" s="11"/>
      <c r="AA680" s="36"/>
      <c r="AB680" s="36"/>
      <c r="AC680" s="13"/>
      <c r="AD680" s="13"/>
      <c r="AE680" s="37"/>
      <c r="AF680" s="37"/>
      <c r="AG680" s="14"/>
      <c r="AH680" s="14"/>
      <c r="AI680" s="14"/>
      <c r="AZ680" s="24"/>
    </row>
    <row r="681">
      <c r="B681" s="24"/>
      <c r="E681" s="113"/>
      <c r="F681" s="266"/>
      <c r="G681" s="113"/>
      <c r="K681" s="36"/>
      <c r="L681" s="117"/>
      <c r="M681" s="128"/>
      <c r="N681" s="117"/>
      <c r="R681" s="117"/>
      <c r="T681" s="117"/>
      <c r="V681" s="117"/>
      <c r="X681" s="117"/>
      <c r="Y681" s="10"/>
      <c r="Z681" s="11"/>
      <c r="AA681" s="36"/>
      <c r="AB681" s="36"/>
      <c r="AC681" s="13"/>
      <c r="AD681" s="13"/>
      <c r="AE681" s="37"/>
      <c r="AF681" s="37"/>
      <c r="AG681" s="14"/>
      <c r="AH681" s="14"/>
      <c r="AI681" s="14"/>
      <c r="AZ681" s="24"/>
    </row>
    <row r="682">
      <c r="B682" s="24"/>
      <c r="E682" s="113"/>
      <c r="F682" s="266"/>
      <c r="G682" s="113"/>
      <c r="K682" s="36"/>
      <c r="L682" s="117"/>
      <c r="M682" s="128"/>
      <c r="N682" s="117"/>
      <c r="R682" s="117"/>
      <c r="T682" s="117"/>
      <c r="V682" s="117"/>
      <c r="X682" s="117"/>
      <c r="Y682" s="10"/>
      <c r="Z682" s="11"/>
      <c r="AA682" s="36"/>
      <c r="AB682" s="36"/>
      <c r="AC682" s="13"/>
      <c r="AD682" s="13"/>
      <c r="AE682" s="37"/>
      <c r="AF682" s="37"/>
      <c r="AG682" s="14"/>
      <c r="AH682" s="14"/>
      <c r="AI682" s="14"/>
      <c r="AZ682" s="24"/>
    </row>
    <row r="683">
      <c r="B683" s="24"/>
      <c r="E683" s="113"/>
      <c r="F683" s="266"/>
      <c r="G683" s="113"/>
      <c r="K683" s="36"/>
      <c r="L683" s="117"/>
      <c r="M683" s="128"/>
      <c r="N683" s="117"/>
      <c r="R683" s="117"/>
      <c r="T683" s="117"/>
      <c r="V683" s="117"/>
      <c r="X683" s="117"/>
      <c r="Y683" s="10"/>
      <c r="Z683" s="11"/>
      <c r="AA683" s="36"/>
      <c r="AB683" s="36"/>
      <c r="AC683" s="13"/>
      <c r="AD683" s="13"/>
      <c r="AE683" s="37"/>
      <c r="AF683" s="37"/>
      <c r="AG683" s="14"/>
      <c r="AH683" s="14"/>
      <c r="AI683" s="14"/>
      <c r="AZ683" s="24"/>
    </row>
    <row r="684">
      <c r="B684" s="24"/>
      <c r="E684" s="113"/>
      <c r="F684" s="266"/>
      <c r="G684" s="113"/>
      <c r="K684" s="36"/>
      <c r="L684" s="117"/>
      <c r="M684" s="128"/>
      <c r="N684" s="117"/>
      <c r="R684" s="117"/>
      <c r="T684" s="117"/>
      <c r="V684" s="117"/>
      <c r="X684" s="117"/>
      <c r="Y684" s="10"/>
      <c r="Z684" s="11"/>
      <c r="AA684" s="36"/>
      <c r="AB684" s="36"/>
      <c r="AC684" s="13"/>
      <c r="AD684" s="13"/>
      <c r="AE684" s="37"/>
      <c r="AF684" s="37"/>
      <c r="AG684" s="14"/>
      <c r="AH684" s="14"/>
      <c r="AI684" s="14"/>
      <c r="AZ684" s="24"/>
    </row>
    <row r="685">
      <c r="B685" s="24"/>
      <c r="E685" s="113"/>
      <c r="F685" s="266"/>
      <c r="G685" s="113"/>
      <c r="K685" s="36"/>
      <c r="L685" s="117"/>
      <c r="M685" s="128"/>
      <c r="N685" s="117"/>
      <c r="R685" s="117"/>
      <c r="T685" s="117"/>
      <c r="V685" s="117"/>
      <c r="X685" s="117"/>
      <c r="Y685" s="10"/>
      <c r="Z685" s="11"/>
      <c r="AA685" s="36"/>
      <c r="AB685" s="36"/>
      <c r="AC685" s="13"/>
      <c r="AD685" s="13"/>
      <c r="AE685" s="37"/>
      <c r="AF685" s="37"/>
      <c r="AG685" s="14"/>
      <c r="AH685" s="14"/>
      <c r="AI685" s="14"/>
      <c r="AZ685" s="24"/>
    </row>
    <row r="686">
      <c r="B686" s="24"/>
      <c r="E686" s="113"/>
      <c r="F686" s="266"/>
      <c r="G686" s="113"/>
      <c r="K686" s="36"/>
      <c r="L686" s="117"/>
      <c r="M686" s="128"/>
      <c r="N686" s="117"/>
      <c r="R686" s="117"/>
      <c r="T686" s="117"/>
      <c r="V686" s="117"/>
      <c r="X686" s="117"/>
      <c r="Y686" s="10"/>
      <c r="Z686" s="11"/>
      <c r="AA686" s="36"/>
      <c r="AB686" s="36"/>
      <c r="AC686" s="13"/>
      <c r="AD686" s="13"/>
      <c r="AE686" s="37"/>
      <c r="AF686" s="37"/>
      <c r="AG686" s="14"/>
      <c r="AH686" s="14"/>
      <c r="AI686" s="14"/>
      <c r="AZ686" s="24"/>
    </row>
    <row r="687">
      <c r="B687" s="24"/>
      <c r="E687" s="113"/>
      <c r="F687" s="266"/>
      <c r="G687" s="113"/>
      <c r="K687" s="36"/>
      <c r="L687" s="117"/>
      <c r="M687" s="128"/>
      <c r="N687" s="117"/>
      <c r="R687" s="117"/>
      <c r="T687" s="117"/>
      <c r="V687" s="117"/>
      <c r="X687" s="117"/>
      <c r="Y687" s="10"/>
      <c r="Z687" s="11"/>
      <c r="AA687" s="36"/>
      <c r="AB687" s="36"/>
      <c r="AC687" s="13"/>
      <c r="AD687" s="13"/>
      <c r="AE687" s="37"/>
      <c r="AF687" s="37"/>
      <c r="AG687" s="14"/>
      <c r="AH687" s="14"/>
      <c r="AI687" s="14"/>
      <c r="AZ687" s="24"/>
    </row>
    <row r="688">
      <c r="B688" s="24"/>
      <c r="E688" s="113"/>
      <c r="F688" s="266"/>
      <c r="G688" s="113"/>
      <c r="K688" s="36"/>
      <c r="L688" s="117"/>
      <c r="M688" s="128"/>
      <c r="N688" s="117"/>
      <c r="R688" s="117"/>
      <c r="T688" s="117"/>
      <c r="V688" s="117"/>
      <c r="X688" s="117"/>
      <c r="Y688" s="10"/>
      <c r="Z688" s="11"/>
      <c r="AA688" s="36"/>
      <c r="AB688" s="36"/>
      <c r="AC688" s="13"/>
      <c r="AD688" s="13"/>
      <c r="AE688" s="37"/>
      <c r="AF688" s="37"/>
      <c r="AG688" s="14"/>
      <c r="AH688" s="14"/>
      <c r="AI688" s="14"/>
      <c r="AZ688" s="24"/>
    </row>
    <row r="689">
      <c r="B689" s="24"/>
      <c r="E689" s="113"/>
      <c r="F689" s="266"/>
      <c r="G689" s="113"/>
      <c r="K689" s="36"/>
      <c r="L689" s="117"/>
      <c r="M689" s="128"/>
      <c r="N689" s="117"/>
      <c r="R689" s="117"/>
      <c r="T689" s="117"/>
      <c r="V689" s="117"/>
      <c r="X689" s="117"/>
      <c r="Y689" s="10"/>
      <c r="Z689" s="11"/>
      <c r="AA689" s="36"/>
      <c r="AB689" s="36"/>
      <c r="AC689" s="13"/>
      <c r="AD689" s="13"/>
      <c r="AE689" s="37"/>
      <c r="AF689" s="37"/>
      <c r="AG689" s="14"/>
      <c r="AH689" s="14"/>
      <c r="AI689" s="14"/>
      <c r="AZ689" s="24"/>
    </row>
    <row r="690">
      <c r="B690" s="24"/>
      <c r="E690" s="113"/>
      <c r="F690" s="266"/>
      <c r="G690" s="113"/>
      <c r="K690" s="36"/>
      <c r="L690" s="117"/>
      <c r="M690" s="128"/>
      <c r="N690" s="117"/>
      <c r="R690" s="117"/>
      <c r="T690" s="117"/>
      <c r="V690" s="117"/>
      <c r="X690" s="117"/>
      <c r="Y690" s="10"/>
      <c r="Z690" s="11"/>
      <c r="AA690" s="36"/>
      <c r="AB690" s="36"/>
      <c r="AC690" s="13"/>
      <c r="AD690" s="13"/>
      <c r="AE690" s="37"/>
      <c r="AF690" s="37"/>
      <c r="AG690" s="14"/>
      <c r="AH690" s="14"/>
      <c r="AI690" s="14"/>
      <c r="AZ690" s="24"/>
    </row>
    <row r="691">
      <c r="B691" s="24"/>
      <c r="E691" s="113"/>
      <c r="F691" s="266"/>
      <c r="G691" s="113"/>
      <c r="K691" s="36"/>
      <c r="L691" s="117"/>
      <c r="M691" s="128"/>
      <c r="N691" s="117"/>
      <c r="R691" s="117"/>
      <c r="T691" s="117"/>
      <c r="V691" s="117"/>
      <c r="X691" s="117"/>
      <c r="Y691" s="10"/>
      <c r="Z691" s="11"/>
      <c r="AA691" s="36"/>
      <c r="AB691" s="36"/>
      <c r="AC691" s="13"/>
      <c r="AD691" s="13"/>
      <c r="AE691" s="37"/>
      <c r="AF691" s="37"/>
      <c r="AG691" s="14"/>
      <c r="AH691" s="14"/>
      <c r="AI691" s="14"/>
      <c r="AZ691" s="24"/>
    </row>
    <row r="692">
      <c r="B692" s="24"/>
      <c r="E692" s="113"/>
      <c r="F692" s="266"/>
      <c r="G692" s="113"/>
      <c r="K692" s="36"/>
      <c r="L692" s="117"/>
      <c r="M692" s="128"/>
      <c r="N692" s="117"/>
      <c r="R692" s="117"/>
      <c r="T692" s="117"/>
      <c r="V692" s="117"/>
      <c r="X692" s="117"/>
      <c r="Y692" s="10"/>
      <c r="Z692" s="11"/>
      <c r="AA692" s="36"/>
      <c r="AB692" s="36"/>
      <c r="AC692" s="13"/>
      <c r="AD692" s="13"/>
      <c r="AE692" s="37"/>
      <c r="AF692" s="37"/>
      <c r="AG692" s="14"/>
      <c r="AH692" s="14"/>
      <c r="AI692" s="14"/>
      <c r="AZ692" s="24"/>
    </row>
    <row r="693">
      <c r="B693" s="24"/>
      <c r="E693" s="113"/>
      <c r="F693" s="266"/>
      <c r="G693" s="113"/>
      <c r="K693" s="36"/>
      <c r="L693" s="117"/>
      <c r="M693" s="128"/>
      <c r="N693" s="117"/>
      <c r="R693" s="117"/>
      <c r="T693" s="117"/>
      <c r="V693" s="117"/>
      <c r="X693" s="117"/>
      <c r="Y693" s="10"/>
      <c r="Z693" s="11"/>
      <c r="AA693" s="36"/>
      <c r="AB693" s="36"/>
      <c r="AC693" s="13"/>
      <c r="AD693" s="13"/>
      <c r="AE693" s="37"/>
      <c r="AF693" s="37"/>
      <c r="AG693" s="14"/>
      <c r="AH693" s="14"/>
      <c r="AI693" s="14"/>
      <c r="AZ693" s="24"/>
    </row>
    <row r="694">
      <c r="B694" s="24"/>
      <c r="E694" s="113"/>
      <c r="F694" s="266"/>
      <c r="G694" s="113"/>
      <c r="K694" s="36"/>
      <c r="L694" s="117"/>
      <c r="M694" s="128"/>
      <c r="N694" s="117"/>
      <c r="R694" s="117"/>
      <c r="T694" s="117"/>
      <c r="V694" s="117"/>
      <c r="X694" s="117"/>
      <c r="Y694" s="10"/>
      <c r="Z694" s="11"/>
      <c r="AA694" s="36"/>
      <c r="AB694" s="36"/>
      <c r="AC694" s="13"/>
      <c r="AD694" s="13"/>
      <c r="AE694" s="37"/>
      <c r="AF694" s="37"/>
      <c r="AG694" s="14"/>
      <c r="AH694" s="14"/>
      <c r="AI694" s="14"/>
      <c r="AZ694" s="24"/>
    </row>
    <row r="695">
      <c r="B695" s="24"/>
      <c r="E695" s="113"/>
      <c r="F695" s="266"/>
      <c r="G695" s="113"/>
      <c r="K695" s="36"/>
      <c r="L695" s="117"/>
      <c r="M695" s="128"/>
      <c r="N695" s="117"/>
      <c r="R695" s="117"/>
      <c r="T695" s="117"/>
      <c r="V695" s="117"/>
      <c r="X695" s="117"/>
      <c r="Y695" s="10"/>
      <c r="Z695" s="11"/>
      <c r="AA695" s="36"/>
      <c r="AB695" s="36"/>
      <c r="AC695" s="13"/>
      <c r="AD695" s="13"/>
      <c r="AE695" s="37"/>
      <c r="AF695" s="37"/>
      <c r="AG695" s="14"/>
      <c r="AH695" s="14"/>
      <c r="AI695" s="14"/>
      <c r="AZ695" s="24"/>
    </row>
    <row r="696">
      <c r="B696" s="24"/>
      <c r="E696" s="113"/>
      <c r="F696" s="266"/>
      <c r="G696" s="113"/>
      <c r="K696" s="36"/>
      <c r="L696" s="117"/>
      <c r="M696" s="128"/>
      <c r="N696" s="117"/>
      <c r="R696" s="117"/>
      <c r="T696" s="117"/>
      <c r="V696" s="117"/>
      <c r="X696" s="117"/>
      <c r="Y696" s="10"/>
      <c r="Z696" s="11"/>
      <c r="AA696" s="36"/>
      <c r="AB696" s="36"/>
      <c r="AC696" s="13"/>
      <c r="AD696" s="13"/>
      <c r="AE696" s="37"/>
      <c r="AF696" s="37"/>
      <c r="AG696" s="14"/>
      <c r="AH696" s="14"/>
      <c r="AI696" s="14"/>
      <c r="AZ696" s="24"/>
    </row>
    <row r="697">
      <c r="B697" s="24"/>
      <c r="E697" s="113"/>
      <c r="F697" s="266"/>
      <c r="G697" s="113"/>
      <c r="K697" s="36"/>
      <c r="L697" s="117"/>
      <c r="M697" s="128"/>
      <c r="N697" s="117"/>
      <c r="R697" s="117"/>
      <c r="T697" s="117"/>
      <c r="V697" s="117"/>
      <c r="X697" s="117"/>
      <c r="Y697" s="10"/>
      <c r="Z697" s="11"/>
      <c r="AA697" s="36"/>
      <c r="AB697" s="36"/>
      <c r="AC697" s="13"/>
      <c r="AD697" s="13"/>
      <c r="AE697" s="37"/>
      <c r="AF697" s="37"/>
      <c r="AG697" s="14"/>
      <c r="AH697" s="14"/>
      <c r="AI697" s="14"/>
      <c r="AZ697" s="24"/>
    </row>
    <row r="698">
      <c r="B698" s="24"/>
      <c r="E698" s="113"/>
      <c r="F698" s="266"/>
      <c r="G698" s="113"/>
      <c r="K698" s="36"/>
      <c r="L698" s="117"/>
      <c r="M698" s="128"/>
      <c r="N698" s="117"/>
      <c r="R698" s="117"/>
      <c r="T698" s="117"/>
      <c r="V698" s="117"/>
      <c r="X698" s="117"/>
      <c r="Y698" s="10"/>
      <c r="Z698" s="11"/>
      <c r="AA698" s="36"/>
      <c r="AB698" s="36"/>
      <c r="AC698" s="13"/>
      <c r="AD698" s="13"/>
      <c r="AE698" s="37"/>
      <c r="AF698" s="37"/>
      <c r="AG698" s="14"/>
      <c r="AH698" s="14"/>
      <c r="AI698" s="14"/>
      <c r="AZ698" s="24"/>
    </row>
    <row r="699">
      <c r="B699" s="24"/>
      <c r="E699" s="113"/>
      <c r="F699" s="266"/>
      <c r="G699" s="113"/>
      <c r="K699" s="36"/>
      <c r="L699" s="117"/>
      <c r="M699" s="128"/>
      <c r="N699" s="117"/>
      <c r="R699" s="117"/>
      <c r="T699" s="117"/>
      <c r="V699" s="117"/>
      <c r="X699" s="117"/>
      <c r="Y699" s="10"/>
      <c r="Z699" s="11"/>
      <c r="AA699" s="36"/>
      <c r="AB699" s="36"/>
      <c r="AC699" s="13"/>
      <c r="AD699" s="13"/>
      <c r="AE699" s="37"/>
      <c r="AF699" s="37"/>
      <c r="AG699" s="14"/>
      <c r="AH699" s="14"/>
      <c r="AI699" s="14"/>
      <c r="AZ699" s="24"/>
    </row>
    <row r="700">
      <c r="B700" s="24"/>
      <c r="E700" s="113"/>
      <c r="F700" s="266"/>
      <c r="G700" s="113"/>
      <c r="K700" s="36"/>
      <c r="L700" s="117"/>
      <c r="M700" s="128"/>
      <c r="N700" s="117"/>
      <c r="R700" s="117"/>
      <c r="T700" s="117"/>
      <c r="V700" s="117"/>
      <c r="X700" s="117"/>
      <c r="Y700" s="10"/>
      <c r="Z700" s="11"/>
      <c r="AA700" s="36"/>
      <c r="AB700" s="36"/>
      <c r="AC700" s="13"/>
      <c r="AD700" s="13"/>
      <c r="AE700" s="37"/>
      <c r="AF700" s="37"/>
      <c r="AG700" s="14"/>
      <c r="AH700" s="14"/>
      <c r="AI700" s="14"/>
      <c r="AZ700" s="24"/>
    </row>
    <row r="701">
      <c r="B701" s="24"/>
      <c r="E701" s="113"/>
      <c r="F701" s="266"/>
      <c r="G701" s="113"/>
      <c r="K701" s="36"/>
      <c r="L701" s="117"/>
      <c r="M701" s="128"/>
      <c r="N701" s="117"/>
      <c r="R701" s="117"/>
      <c r="T701" s="117"/>
      <c r="V701" s="117"/>
      <c r="X701" s="117"/>
      <c r="Y701" s="10"/>
      <c r="Z701" s="11"/>
      <c r="AA701" s="36"/>
      <c r="AB701" s="36"/>
      <c r="AC701" s="13"/>
      <c r="AD701" s="13"/>
      <c r="AE701" s="37"/>
      <c r="AF701" s="37"/>
      <c r="AG701" s="14"/>
      <c r="AH701" s="14"/>
      <c r="AI701" s="14"/>
      <c r="AZ701" s="24"/>
    </row>
    <row r="702">
      <c r="B702" s="24"/>
      <c r="E702" s="113"/>
      <c r="F702" s="266"/>
      <c r="G702" s="113"/>
      <c r="K702" s="36"/>
      <c r="L702" s="117"/>
      <c r="M702" s="128"/>
      <c r="N702" s="117"/>
      <c r="R702" s="117"/>
      <c r="T702" s="117"/>
      <c r="V702" s="117"/>
      <c r="X702" s="117"/>
      <c r="Y702" s="10"/>
      <c r="Z702" s="11"/>
      <c r="AA702" s="36"/>
      <c r="AB702" s="36"/>
      <c r="AC702" s="13"/>
      <c r="AD702" s="13"/>
      <c r="AE702" s="37"/>
      <c r="AF702" s="37"/>
      <c r="AG702" s="14"/>
      <c r="AH702" s="14"/>
      <c r="AI702" s="14"/>
      <c r="AZ702" s="24"/>
    </row>
    <row r="703">
      <c r="B703" s="24"/>
      <c r="E703" s="113"/>
      <c r="F703" s="266"/>
      <c r="G703" s="113"/>
      <c r="K703" s="36"/>
      <c r="L703" s="117"/>
      <c r="M703" s="128"/>
      <c r="N703" s="117"/>
      <c r="R703" s="117"/>
      <c r="T703" s="117"/>
      <c r="V703" s="117"/>
      <c r="X703" s="117"/>
      <c r="Y703" s="10"/>
      <c r="Z703" s="11"/>
      <c r="AA703" s="36"/>
      <c r="AB703" s="36"/>
      <c r="AC703" s="13"/>
      <c r="AD703" s="13"/>
      <c r="AE703" s="37"/>
      <c r="AF703" s="37"/>
      <c r="AG703" s="14"/>
      <c r="AH703" s="14"/>
      <c r="AI703" s="14"/>
      <c r="AZ703" s="24"/>
    </row>
    <row r="704">
      <c r="B704" s="24"/>
      <c r="E704" s="113"/>
      <c r="F704" s="266"/>
      <c r="G704" s="113"/>
      <c r="K704" s="36"/>
      <c r="L704" s="117"/>
      <c r="M704" s="128"/>
      <c r="N704" s="117"/>
      <c r="R704" s="117"/>
      <c r="T704" s="117"/>
      <c r="V704" s="117"/>
      <c r="X704" s="117"/>
      <c r="Y704" s="10"/>
      <c r="Z704" s="11"/>
      <c r="AA704" s="36"/>
      <c r="AB704" s="36"/>
      <c r="AC704" s="13"/>
      <c r="AD704" s="13"/>
      <c r="AE704" s="37"/>
      <c r="AF704" s="37"/>
      <c r="AG704" s="14"/>
      <c r="AH704" s="14"/>
      <c r="AI704" s="14"/>
      <c r="AZ704" s="24"/>
    </row>
    <row r="705">
      <c r="B705" s="24"/>
      <c r="E705" s="113"/>
      <c r="F705" s="266"/>
      <c r="G705" s="113"/>
      <c r="K705" s="36"/>
      <c r="L705" s="117"/>
      <c r="M705" s="128"/>
      <c r="N705" s="117"/>
      <c r="R705" s="117"/>
      <c r="T705" s="117"/>
      <c r="V705" s="117"/>
      <c r="X705" s="117"/>
      <c r="Y705" s="10"/>
      <c r="Z705" s="11"/>
      <c r="AA705" s="36"/>
      <c r="AB705" s="36"/>
      <c r="AC705" s="13"/>
      <c r="AD705" s="13"/>
      <c r="AE705" s="37"/>
      <c r="AF705" s="37"/>
      <c r="AG705" s="14"/>
      <c r="AH705" s="14"/>
      <c r="AI705" s="14"/>
      <c r="AZ705" s="24"/>
    </row>
    <row r="706">
      <c r="B706" s="24"/>
      <c r="E706" s="113"/>
      <c r="F706" s="266"/>
      <c r="G706" s="113"/>
      <c r="K706" s="36"/>
      <c r="L706" s="117"/>
      <c r="M706" s="128"/>
      <c r="N706" s="117"/>
      <c r="R706" s="117"/>
      <c r="T706" s="117"/>
      <c r="V706" s="117"/>
      <c r="X706" s="117"/>
      <c r="Y706" s="10"/>
      <c r="Z706" s="11"/>
      <c r="AA706" s="36"/>
      <c r="AB706" s="36"/>
      <c r="AC706" s="13"/>
      <c r="AD706" s="13"/>
      <c r="AE706" s="37"/>
      <c r="AF706" s="37"/>
      <c r="AG706" s="14"/>
      <c r="AH706" s="14"/>
      <c r="AI706" s="14"/>
      <c r="AZ706" s="24"/>
    </row>
    <row r="707">
      <c r="B707" s="24"/>
      <c r="E707" s="113"/>
      <c r="F707" s="266"/>
      <c r="G707" s="113"/>
      <c r="K707" s="36"/>
      <c r="L707" s="117"/>
      <c r="M707" s="128"/>
      <c r="N707" s="117"/>
      <c r="R707" s="117"/>
      <c r="T707" s="117"/>
      <c r="V707" s="117"/>
      <c r="X707" s="117"/>
      <c r="Y707" s="10"/>
      <c r="Z707" s="11"/>
      <c r="AA707" s="36"/>
      <c r="AB707" s="36"/>
      <c r="AC707" s="13"/>
      <c r="AD707" s="13"/>
      <c r="AE707" s="37"/>
      <c r="AF707" s="37"/>
      <c r="AG707" s="14"/>
      <c r="AH707" s="14"/>
      <c r="AI707" s="14"/>
      <c r="AZ707" s="24"/>
    </row>
    <row r="708">
      <c r="B708" s="24"/>
      <c r="E708" s="113"/>
      <c r="F708" s="266"/>
      <c r="G708" s="113"/>
      <c r="K708" s="36"/>
      <c r="L708" s="117"/>
      <c r="M708" s="128"/>
      <c r="N708" s="117"/>
      <c r="R708" s="117"/>
      <c r="T708" s="117"/>
      <c r="V708" s="117"/>
      <c r="X708" s="117"/>
      <c r="Y708" s="10"/>
      <c r="Z708" s="11"/>
      <c r="AA708" s="36"/>
      <c r="AB708" s="36"/>
      <c r="AC708" s="13"/>
      <c r="AD708" s="13"/>
      <c r="AE708" s="37"/>
      <c r="AF708" s="37"/>
      <c r="AG708" s="14"/>
      <c r="AH708" s="14"/>
      <c r="AI708" s="14"/>
      <c r="AZ708" s="24"/>
    </row>
    <row r="709">
      <c r="B709" s="24"/>
      <c r="E709" s="113"/>
      <c r="F709" s="266"/>
      <c r="G709" s="113"/>
      <c r="K709" s="36"/>
      <c r="L709" s="117"/>
      <c r="M709" s="128"/>
      <c r="N709" s="117"/>
      <c r="R709" s="117"/>
      <c r="T709" s="117"/>
      <c r="V709" s="117"/>
      <c r="X709" s="117"/>
      <c r="Y709" s="10"/>
      <c r="Z709" s="11"/>
      <c r="AA709" s="36"/>
      <c r="AB709" s="36"/>
      <c r="AC709" s="13"/>
      <c r="AD709" s="13"/>
      <c r="AE709" s="37"/>
      <c r="AF709" s="37"/>
      <c r="AG709" s="14"/>
      <c r="AH709" s="14"/>
      <c r="AI709" s="14"/>
      <c r="AZ709" s="24"/>
    </row>
    <row r="710">
      <c r="B710" s="24"/>
      <c r="E710" s="113"/>
      <c r="F710" s="266"/>
      <c r="G710" s="113"/>
      <c r="K710" s="36"/>
      <c r="L710" s="117"/>
      <c r="M710" s="128"/>
      <c r="N710" s="117"/>
      <c r="R710" s="117"/>
      <c r="T710" s="117"/>
      <c r="V710" s="117"/>
      <c r="X710" s="117"/>
      <c r="Y710" s="10"/>
      <c r="Z710" s="11"/>
      <c r="AA710" s="36"/>
      <c r="AB710" s="36"/>
      <c r="AC710" s="13"/>
      <c r="AD710" s="13"/>
      <c r="AE710" s="37"/>
      <c r="AF710" s="37"/>
      <c r="AG710" s="14"/>
      <c r="AH710" s="14"/>
      <c r="AI710" s="14"/>
      <c r="AZ710" s="24"/>
    </row>
    <row r="711">
      <c r="B711" s="24"/>
      <c r="E711" s="113"/>
      <c r="F711" s="266"/>
      <c r="G711" s="113"/>
      <c r="K711" s="36"/>
      <c r="L711" s="117"/>
      <c r="M711" s="128"/>
      <c r="N711" s="117"/>
      <c r="R711" s="117"/>
      <c r="T711" s="117"/>
      <c r="V711" s="117"/>
      <c r="X711" s="117"/>
      <c r="Y711" s="10"/>
      <c r="Z711" s="11"/>
      <c r="AA711" s="36"/>
      <c r="AB711" s="36"/>
      <c r="AC711" s="13"/>
      <c r="AD711" s="13"/>
      <c r="AE711" s="37"/>
      <c r="AF711" s="37"/>
      <c r="AG711" s="14"/>
      <c r="AH711" s="14"/>
      <c r="AI711" s="14"/>
      <c r="AZ711" s="24"/>
    </row>
    <row r="712">
      <c r="B712" s="24"/>
      <c r="E712" s="113"/>
      <c r="F712" s="266"/>
      <c r="G712" s="113"/>
      <c r="K712" s="36"/>
      <c r="L712" s="117"/>
      <c r="M712" s="128"/>
      <c r="N712" s="117"/>
      <c r="R712" s="117"/>
      <c r="T712" s="117"/>
      <c r="V712" s="117"/>
      <c r="X712" s="117"/>
      <c r="Y712" s="10"/>
      <c r="Z712" s="11"/>
      <c r="AA712" s="36"/>
      <c r="AB712" s="36"/>
      <c r="AC712" s="13"/>
      <c r="AD712" s="13"/>
      <c r="AE712" s="37"/>
      <c r="AF712" s="37"/>
      <c r="AG712" s="14"/>
      <c r="AH712" s="14"/>
      <c r="AI712" s="14"/>
      <c r="AZ712" s="24"/>
    </row>
    <row r="713">
      <c r="B713" s="24"/>
      <c r="E713" s="113"/>
      <c r="F713" s="266"/>
      <c r="G713" s="113"/>
      <c r="K713" s="36"/>
      <c r="L713" s="117"/>
      <c r="M713" s="128"/>
      <c r="N713" s="117"/>
      <c r="R713" s="117"/>
      <c r="T713" s="117"/>
      <c r="V713" s="117"/>
      <c r="X713" s="117"/>
      <c r="Y713" s="10"/>
      <c r="Z713" s="11"/>
      <c r="AA713" s="36"/>
      <c r="AB713" s="36"/>
      <c r="AC713" s="13"/>
      <c r="AD713" s="13"/>
      <c r="AE713" s="37"/>
      <c r="AF713" s="37"/>
      <c r="AG713" s="14"/>
      <c r="AH713" s="14"/>
      <c r="AI713" s="14"/>
      <c r="AZ713" s="24"/>
    </row>
    <row r="714">
      <c r="B714" s="24"/>
      <c r="E714" s="113"/>
      <c r="F714" s="266"/>
      <c r="G714" s="113"/>
      <c r="K714" s="36"/>
      <c r="L714" s="117"/>
      <c r="M714" s="128"/>
      <c r="N714" s="117"/>
      <c r="R714" s="117"/>
      <c r="T714" s="117"/>
      <c r="V714" s="117"/>
      <c r="X714" s="117"/>
      <c r="Y714" s="10"/>
      <c r="Z714" s="11"/>
      <c r="AA714" s="36"/>
      <c r="AB714" s="36"/>
      <c r="AC714" s="13"/>
      <c r="AD714" s="13"/>
      <c r="AE714" s="37"/>
      <c r="AF714" s="37"/>
      <c r="AG714" s="14"/>
      <c r="AH714" s="14"/>
      <c r="AI714" s="14"/>
      <c r="AZ714" s="24"/>
    </row>
    <row r="715">
      <c r="B715" s="24"/>
      <c r="E715" s="113"/>
      <c r="F715" s="266"/>
      <c r="G715" s="113"/>
      <c r="K715" s="36"/>
      <c r="L715" s="117"/>
      <c r="M715" s="128"/>
      <c r="N715" s="117"/>
      <c r="R715" s="117"/>
      <c r="T715" s="117"/>
      <c r="V715" s="117"/>
      <c r="X715" s="117"/>
      <c r="Y715" s="10"/>
      <c r="Z715" s="11"/>
      <c r="AA715" s="36"/>
      <c r="AB715" s="36"/>
      <c r="AC715" s="13"/>
      <c r="AD715" s="13"/>
      <c r="AE715" s="37"/>
      <c r="AF715" s="37"/>
      <c r="AG715" s="14"/>
      <c r="AH715" s="14"/>
      <c r="AI715" s="14"/>
      <c r="AZ715" s="24"/>
    </row>
    <row r="716">
      <c r="B716" s="24"/>
      <c r="E716" s="113"/>
      <c r="F716" s="266"/>
      <c r="G716" s="113"/>
      <c r="K716" s="36"/>
      <c r="L716" s="117"/>
      <c r="M716" s="128"/>
      <c r="N716" s="117"/>
      <c r="R716" s="117"/>
      <c r="T716" s="117"/>
      <c r="V716" s="117"/>
      <c r="X716" s="117"/>
      <c r="Y716" s="10"/>
      <c r="Z716" s="11"/>
      <c r="AA716" s="36"/>
      <c r="AB716" s="36"/>
      <c r="AC716" s="13"/>
      <c r="AD716" s="13"/>
      <c r="AE716" s="37"/>
      <c r="AF716" s="37"/>
      <c r="AG716" s="14"/>
      <c r="AH716" s="14"/>
      <c r="AI716" s="14"/>
      <c r="AZ716" s="24"/>
    </row>
    <row r="717">
      <c r="B717" s="24"/>
      <c r="E717" s="113"/>
      <c r="F717" s="266"/>
      <c r="G717" s="113"/>
      <c r="K717" s="36"/>
      <c r="L717" s="117"/>
      <c r="M717" s="128"/>
      <c r="N717" s="117"/>
      <c r="R717" s="117"/>
      <c r="T717" s="117"/>
      <c r="V717" s="117"/>
      <c r="X717" s="117"/>
      <c r="Y717" s="10"/>
      <c r="Z717" s="11"/>
      <c r="AA717" s="36"/>
      <c r="AB717" s="36"/>
      <c r="AC717" s="13"/>
      <c r="AD717" s="13"/>
      <c r="AE717" s="37"/>
      <c r="AF717" s="37"/>
      <c r="AG717" s="14"/>
      <c r="AH717" s="14"/>
      <c r="AI717" s="14"/>
      <c r="AZ717" s="24"/>
    </row>
    <row r="718">
      <c r="B718" s="24"/>
      <c r="E718" s="113"/>
      <c r="F718" s="266"/>
      <c r="G718" s="113"/>
      <c r="K718" s="36"/>
      <c r="L718" s="117"/>
      <c r="M718" s="128"/>
      <c r="N718" s="117"/>
      <c r="R718" s="117"/>
      <c r="T718" s="117"/>
      <c r="V718" s="117"/>
      <c r="X718" s="117"/>
      <c r="Y718" s="10"/>
      <c r="Z718" s="11"/>
      <c r="AA718" s="36"/>
      <c r="AB718" s="36"/>
      <c r="AC718" s="13"/>
      <c r="AD718" s="13"/>
      <c r="AE718" s="37"/>
      <c r="AF718" s="37"/>
      <c r="AG718" s="14"/>
      <c r="AH718" s="14"/>
      <c r="AI718" s="14"/>
      <c r="AZ718" s="24"/>
    </row>
    <row r="719">
      <c r="B719" s="24"/>
      <c r="E719" s="113"/>
      <c r="F719" s="266"/>
      <c r="G719" s="113"/>
      <c r="K719" s="36"/>
      <c r="L719" s="117"/>
      <c r="M719" s="128"/>
      <c r="N719" s="117"/>
      <c r="R719" s="117"/>
      <c r="T719" s="117"/>
      <c r="V719" s="117"/>
      <c r="X719" s="117"/>
      <c r="Y719" s="10"/>
      <c r="Z719" s="11"/>
      <c r="AA719" s="36"/>
      <c r="AB719" s="36"/>
      <c r="AC719" s="13"/>
      <c r="AD719" s="13"/>
      <c r="AE719" s="37"/>
      <c r="AF719" s="37"/>
      <c r="AG719" s="14"/>
      <c r="AH719" s="14"/>
      <c r="AI719" s="14"/>
      <c r="AZ719" s="24"/>
    </row>
    <row r="720">
      <c r="B720" s="24"/>
      <c r="E720" s="113"/>
      <c r="F720" s="266"/>
      <c r="G720" s="113"/>
      <c r="K720" s="36"/>
      <c r="L720" s="117"/>
      <c r="M720" s="128"/>
      <c r="N720" s="117"/>
      <c r="R720" s="117"/>
      <c r="T720" s="117"/>
      <c r="V720" s="117"/>
      <c r="X720" s="117"/>
      <c r="Y720" s="10"/>
      <c r="Z720" s="11"/>
      <c r="AA720" s="36"/>
      <c r="AB720" s="36"/>
      <c r="AC720" s="13"/>
      <c r="AD720" s="13"/>
      <c r="AE720" s="37"/>
      <c r="AF720" s="37"/>
      <c r="AG720" s="14"/>
      <c r="AH720" s="14"/>
      <c r="AI720" s="14"/>
      <c r="AZ720" s="24"/>
    </row>
    <row r="721">
      <c r="B721" s="24"/>
      <c r="E721" s="113"/>
      <c r="F721" s="266"/>
      <c r="G721" s="113"/>
      <c r="K721" s="36"/>
      <c r="L721" s="117"/>
      <c r="M721" s="128"/>
      <c r="N721" s="117"/>
      <c r="R721" s="117"/>
      <c r="T721" s="117"/>
      <c r="V721" s="117"/>
      <c r="X721" s="117"/>
      <c r="Y721" s="10"/>
      <c r="Z721" s="11"/>
      <c r="AA721" s="36"/>
      <c r="AB721" s="36"/>
      <c r="AC721" s="13"/>
      <c r="AD721" s="13"/>
      <c r="AE721" s="37"/>
      <c r="AF721" s="37"/>
      <c r="AG721" s="14"/>
      <c r="AH721" s="14"/>
      <c r="AI721" s="14"/>
      <c r="AZ721" s="24"/>
    </row>
    <row r="722">
      <c r="B722" s="24"/>
      <c r="E722" s="113"/>
      <c r="F722" s="266"/>
      <c r="G722" s="113"/>
      <c r="K722" s="36"/>
      <c r="L722" s="117"/>
      <c r="M722" s="128"/>
      <c r="N722" s="117"/>
      <c r="R722" s="117"/>
      <c r="T722" s="117"/>
      <c r="V722" s="117"/>
      <c r="X722" s="117"/>
      <c r="Y722" s="10"/>
      <c r="Z722" s="11"/>
      <c r="AA722" s="36"/>
      <c r="AB722" s="36"/>
      <c r="AC722" s="13"/>
      <c r="AD722" s="13"/>
      <c r="AE722" s="37"/>
      <c r="AF722" s="37"/>
      <c r="AG722" s="14"/>
      <c r="AH722" s="14"/>
      <c r="AI722" s="14"/>
      <c r="AZ722" s="24"/>
    </row>
    <row r="723">
      <c r="B723" s="24"/>
      <c r="E723" s="113"/>
      <c r="F723" s="266"/>
      <c r="G723" s="113"/>
      <c r="K723" s="36"/>
      <c r="L723" s="117"/>
      <c r="M723" s="128"/>
      <c r="N723" s="117"/>
      <c r="R723" s="117"/>
      <c r="T723" s="117"/>
      <c r="V723" s="117"/>
      <c r="X723" s="117"/>
      <c r="Y723" s="10"/>
      <c r="Z723" s="11"/>
      <c r="AA723" s="36"/>
      <c r="AB723" s="36"/>
      <c r="AC723" s="13"/>
      <c r="AD723" s="13"/>
      <c r="AE723" s="37"/>
      <c r="AF723" s="37"/>
      <c r="AG723" s="14"/>
      <c r="AH723" s="14"/>
      <c r="AI723" s="14"/>
      <c r="AZ723" s="24"/>
    </row>
    <row r="724">
      <c r="B724" s="24"/>
      <c r="E724" s="113"/>
      <c r="F724" s="266"/>
      <c r="G724" s="113"/>
      <c r="K724" s="36"/>
      <c r="L724" s="117"/>
      <c r="M724" s="128"/>
      <c r="N724" s="117"/>
      <c r="R724" s="117"/>
      <c r="T724" s="117"/>
      <c r="V724" s="117"/>
      <c r="X724" s="117"/>
      <c r="Y724" s="10"/>
      <c r="Z724" s="11"/>
      <c r="AA724" s="36"/>
      <c r="AB724" s="36"/>
      <c r="AC724" s="13"/>
      <c r="AD724" s="13"/>
      <c r="AE724" s="37"/>
      <c r="AF724" s="37"/>
      <c r="AG724" s="14"/>
      <c r="AH724" s="14"/>
      <c r="AI724" s="14"/>
      <c r="AZ724" s="24"/>
    </row>
    <row r="725">
      <c r="B725" s="24"/>
      <c r="E725" s="113"/>
      <c r="F725" s="266"/>
      <c r="G725" s="113"/>
      <c r="K725" s="36"/>
      <c r="L725" s="117"/>
      <c r="M725" s="128"/>
      <c r="N725" s="117"/>
      <c r="R725" s="117"/>
      <c r="T725" s="117"/>
      <c r="V725" s="117"/>
      <c r="X725" s="117"/>
      <c r="Y725" s="10"/>
      <c r="Z725" s="11"/>
      <c r="AA725" s="36"/>
      <c r="AB725" s="36"/>
      <c r="AC725" s="13"/>
      <c r="AD725" s="13"/>
      <c r="AE725" s="37"/>
      <c r="AF725" s="37"/>
      <c r="AG725" s="14"/>
      <c r="AH725" s="14"/>
      <c r="AI725" s="14"/>
      <c r="AZ725" s="24"/>
    </row>
    <row r="726">
      <c r="B726" s="24"/>
      <c r="E726" s="113"/>
      <c r="F726" s="266"/>
      <c r="G726" s="113"/>
      <c r="K726" s="36"/>
      <c r="L726" s="117"/>
      <c r="M726" s="128"/>
      <c r="N726" s="117"/>
      <c r="R726" s="117"/>
      <c r="T726" s="117"/>
      <c r="V726" s="117"/>
      <c r="X726" s="117"/>
      <c r="Y726" s="10"/>
      <c r="Z726" s="11"/>
      <c r="AA726" s="36"/>
      <c r="AB726" s="36"/>
      <c r="AC726" s="13"/>
      <c r="AD726" s="13"/>
      <c r="AE726" s="37"/>
      <c r="AF726" s="37"/>
      <c r="AG726" s="14"/>
      <c r="AH726" s="14"/>
      <c r="AI726" s="14"/>
      <c r="AZ726" s="24"/>
    </row>
    <row r="727">
      <c r="B727" s="24"/>
      <c r="E727" s="113"/>
      <c r="F727" s="266"/>
      <c r="G727" s="113"/>
      <c r="K727" s="36"/>
      <c r="L727" s="117"/>
      <c r="M727" s="128"/>
      <c r="N727" s="117"/>
      <c r="R727" s="117"/>
      <c r="T727" s="117"/>
      <c r="V727" s="117"/>
      <c r="X727" s="117"/>
      <c r="Y727" s="10"/>
      <c r="Z727" s="11"/>
      <c r="AA727" s="36"/>
      <c r="AB727" s="36"/>
      <c r="AC727" s="13"/>
      <c r="AD727" s="13"/>
      <c r="AE727" s="37"/>
      <c r="AF727" s="37"/>
      <c r="AG727" s="14"/>
      <c r="AH727" s="14"/>
      <c r="AI727" s="14"/>
      <c r="AZ727" s="24"/>
    </row>
    <row r="728">
      <c r="B728" s="24"/>
      <c r="E728" s="113"/>
      <c r="F728" s="266"/>
      <c r="G728" s="113"/>
      <c r="K728" s="36"/>
      <c r="L728" s="117"/>
      <c r="M728" s="128"/>
      <c r="N728" s="117"/>
      <c r="R728" s="117"/>
      <c r="T728" s="117"/>
      <c r="V728" s="117"/>
      <c r="X728" s="117"/>
      <c r="Y728" s="10"/>
      <c r="Z728" s="11"/>
      <c r="AA728" s="36"/>
      <c r="AB728" s="36"/>
      <c r="AC728" s="13"/>
      <c r="AD728" s="13"/>
      <c r="AE728" s="37"/>
      <c r="AF728" s="37"/>
      <c r="AG728" s="14"/>
      <c r="AH728" s="14"/>
      <c r="AI728" s="14"/>
      <c r="AZ728" s="24"/>
    </row>
    <row r="729">
      <c r="B729" s="24"/>
      <c r="E729" s="113"/>
      <c r="F729" s="266"/>
      <c r="G729" s="113"/>
      <c r="K729" s="36"/>
      <c r="L729" s="117"/>
      <c r="M729" s="128"/>
      <c r="N729" s="117"/>
      <c r="R729" s="117"/>
      <c r="T729" s="117"/>
      <c r="V729" s="117"/>
      <c r="X729" s="117"/>
      <c r="Y729" s="10"/>
      <c r="Z729" s="11"/>
      <c r="AA729" s="36"/>
      <c r="AB729" s="36"/>
      <c r="AC729" s="13"/>
      <c r="AD729" s="13"/>
      <c r="AE729" s="37"/>
      <c r="AF729" s="37"/>
      <c r="AG729" s="14"/>
      <c r="AH729" s="14"/>
      <c r="AI729" s="14"/>
      <c r="AZ729" s="24"/>
    </row>
    <row r="730">
      <c r="B730" s="24"/>
      <c r="E730" s="113"/>
      <c r="F730" s="266"/>
      <c r="G730" s="113"/>
      <c r="K730" s="36"/>
      <c r="L730" s="117"/>
      <c r="M730" s="128"/>
      <c r="N730" s="117"/>
      <c r="R730" s="117"/>
      <c r="T730" s="117"/>
      <c r="V730" s="117"/>
      <c r="X730" s="117"/>
      <c r="Y730" s="10"/>
      <c r="Z730" s="11"/>
      <c r="AA730" s="36"/>
      <c r="AB730" s="36"/>
      <c r="AC730" s="13"/>
      <c r="AD730" s="13"/>
      <c r="AE730" s="37"/>
      <c r="AF730" s="37"/>
      <c r="AG730" s="14"/>
      <c r="AH730" s="14"/>
      <c r="AI730" s="14"/>
      <c r="AZ730" s="24"/>
    </row>
    <row r="731">
      <c r="B731" s="24"/>
      <c r="E731" s="113"/>
      <c r="F731" s="266"/>
      <c r="G731" s="113"/>
      <c r="K731" s="36"/>
      <c r="L731" s="117"/>
      <c r="M731" s="128"/>
      <c r="N731" s="117"/>
      <c r="R731" s="117"/>
      <c r="T731" s="117"/>
      <c r="V731" s="117"/>
      <c r="X731" s="117"/>
      <c r="Y731" s="10"/>
      <c r="Z731" s="11"/>
      <c r="AA731" s="36"/>
      <c r="AB731" s="36"/>
      <c r="AC731" s="13"/>
      <c r="AD731" s="13"/>
      <c r="AE731" s="37"/>
      <c r="AF731" s="37"/>
      <c r="AG731" s="14"/>
      <c r="AH731" s="14"/>
      <c r="AI731" s="14"/>
      <c r="AZ731" s="24"/>
    </row>
    <row r="732">
      <c r="B732" s="24"/>
      <c r="E732" s="113"/>
      <c r="F732" s="266"/>
      <c r="G732" s="113"/>
      <c r="K732" s="36"/>
      <c r="L732" s="117"/>
      <c r="M732" s="128"/>
      <c r="N732" s="117"/>
      <c r="R732" s="117"/>
      <c r="T732" s="117"/>
      <c r="V732" s="117"/>
      <c r="X732" s="117"/>
      <c r="Y732" s="10"/>
      <c r="Z732" s="11"/>
      <c r="AA732" s="36"/>
      <c r="AB732" s="36"/>
      <c r="AC732" s="13"/>
      <c r="AD732" s="13"/>
      <c r="AE732" s="37"/>
      <c r="AF732" s="37"/>
      <c r="AG732" s="14"/>
      <c r="AH732" s="14"/>
      <c r="AI732" s="14"/>
      <c r="AZ732" s="24"/>
    </row>
    <row r="733">
      <c r="B733" s="24"/>
      <c r="E733" s="113"/>
      <c r="F733" s="266"/>
      <c r="G733" s="113"/>
      <c r="K733" s="36"/>
      <c r="L733" s="117"/>
      <c r="M733" s="128"/>
      <c r="N733" s="117"/>
      <c r="R733" s="117"/>
      <c r="T733" s="117"/>
      <c r="V733" s="117"/>
      <c r="X733" s="117"/>
      <c r="Y733" s="10"/>
      <c r="Z733" s="11"/>
      <c r="AA733" s="36"/>
      <c r="AB733" s="36"/>
      <c r="AC733" s="13"/>
      <c r="AD733" s="13"/>
      <c r="AE733" s="37"/>
      <c r="AF733" s="37"/>
      <c r="AG733" s="14"/>
      <c r="AH733" s="14"/>
      <c r="AI733" s="14"/>
      <c r="AZ733" s="24"/>
    </row>
    <row r="734">
      <c r="B734" s="24"/>
      <c r="E734" s="113"/>
      <c r="F734" s="266"/>
      <c r="G734" s="113"/>
      <c r="K734" s="36"/>
      <c r="L734" s="117"/>
      <c r="M734" s="128"/>
      <c r="N734" s="117"/>
      <c r="R734" s="117"/>
      <c r="T734" s="117"/>
      <c r="V734" s="117"/>
      <c r="X734" s="117"/>
      <c r="Y734" s="10"/>
      <c r="Z734" s="11"/>
      <c r="AA734" s="36"/>
      <c r="AB734" s="36"/>
      <c r="AC734" s="13"/>
      <c r="AD734" s="13"/>
      <c r="AE734" s="37"/>
      <c r="AF734" s="37"/>
      <c r="AG734" s="14"/>
      <c r="AH734" s="14"/>
      <c r="AI734" s="14"/>
      <c r="AZ734" s="24"/>
    </row>
    <row r="735">
      <c r="B735" s="24"/>
      <c r="E735" s="113"/>
      <c r="F735" s="266"/>
      <c r="G735" s="113"/>
      <c r="K735" s="36"/>
      <c r="L735" s="117"/>
      <c r="M735" s="128"/>
      <c r="N735" s="117"/>
      <c r="R735" s="117"/>
      <c r="T735" s="117"/>
      <c r="V735" s="117"/>
      <c r="X735" s="117"/>
      <c r="Y735" s="10"/>
      <c r="Z735" s="11"/>
      <c r="AA735" s="36"/>
      <c r="AB735" s="36"/>
      <c r="AC735" s="13"/>
      <c r="AD735" s="13"/>
      <c r="AE735" s="37"/>
      <c r="AF735" s="37"/>
      <c r="AG735" s="14"/>
      <c r="AH735" s="14"/>
      <c r="AI735" s="14"/>
      <c r="AZ735" s="24"/>
    </row>
    <row r="736">
      <c r="B736" s="24"/>
      <c r="E736" s="113"/>
      <c r="F736" s="266"/>
      <c r="G736" s="113"/>
      <c r="K736" s="36"/>
      <c r="L736" s="117"/>
      <c r="M736" s="128"/>
      <c r="N736" s="117"/>
      <c r="R736" s="117"/>
      <c r="T736" s="117"/>
      <c r="V736" s="117"/>
      <c r="X736" s="117"/>
      <c r="Y736" s="10"/>
      <c r="Z736" s="11"/>
      <c r="AA736" s="36"/>
      <c r="AB736" s="36"/>
      <c r="AC736" s="13"/>
      <c r="AD736" s="13"/>
      <c r="AE736" s="37"/>
      <c r="AF736" s="37"/>
      <c r="AG736" s="14"/>
      <c r="AH736" s="14"/>
      <c r="AI736" s="14"/>
      <c r="AZ736" s="24"/>
    </row>
    <row r="737">
      <c r="B737" s="24"/>
      <c r="E737" s="113"/>
      <c r="F737" s="266"/>
      <c r="G737" s="113"/>
      <c r="K737" s="36"/>
      <c r="L737" s="117"/>
      <c r="M737" s="128"/>
      <c r="N737" s="117"/>
      <c r="R737" s="117"/>
      <c r="T737" s="117"/>
      <c r="V737" s="117"/>
      <c r="X737" s="117"/>
      <c r="Y737" s="10"/>
      <c r="Z737" s="11"/>
      <c r="AA737" s="36"/>
      <c r="AB737" s="36"/>
      <c r="AC737" s="13"/>
      <c r="AD737" s="13"/>
      <c r="AE737" s="37"/>
      <c r="AF737" s="37"/>
      <c r="AG737" s="14"/>
      <c r="AH737" s="14"/>
      <c r="AI737" s="14"/>
      <c r="AZ737" s="24"/>
    </row>
    <row r="738">
      <c r="B738" s="24"/>
      <c r="E738" s="113"/>
      <c r="F738" s="266"/>
      <c r="G738" s="113"/>
      <c r="K738" s="36"/>
      <c r="L738" s="117"/>
      <c r="M738" s="128"/>
      <c r="N738" s="117"/>
      <c r="R738" s="117"/>
      <c r="T738" s="117"/>
      <c r="V738" s="117"/>
      <c r="X738" s="117"/>
      <c r="Y738" s="10"/>
      <c r="Z738" s="11"/>
      <c r="AA738" s="36"/>
      <c r="AB738" s="36"/>
      <c r="AC738" s="13"/>
      <c r="AD738" s="13"/>
      <c r="AE738" s="37"/>
      <c r="AF738" s="37"/>
      <c r="AG738" s="14"/>
      <c r="AH738" s="14"/>
      <c r="AI738" s="14"/>
      <c r="AZ738" s="24"/>
    </row>
    <row r="739">
      <c r="B739" s="24"/>
      <c r="E739" s="113"/>
      <c r="F739" s="266"/>
      <c r="G739" s="113"/>
      <c r="K739" s="36"/>
      <c r="L739" s="117"/>
      <c r="M739" s="128"/>
      <c r="N739" s="117"/>
      <c r="R739" s="117"/>
      <c r="T739" s="117"/>
      <c r="V739" s="117"/>
      <c r="X739" s="117"/>
      <c r="Y739" s="10"/>
      <c r="Z739" s="11"/>
      <c r="AA739" s="36"/>
      <c r="AB739" s="36"/>
      <c r="AC739" s="13"/>
      <c r="AD739" s="13"/>
      <c r="AE739" s="37"/>
      <c r="AF739" s="37"/>
      <c r="AG739" s="14"/>
      <c r="AH739" s="14"/>
      <c r="AI739" s="14"/>
      <c r="AZ739" s="24"/>
    </row>
    <row r="740">
      <c r="B740" s="24"/>
      <c r="E740" s="113"/>
      <c r="F740" s="266"/>
      <c r="G740" s="113"/>
      <c r="K740" s="36"/>
      <c r="L740" s="117"/>
      <c r="M740" s="128"/>
      <c r="N740" s="117"/>
      <c r="R740" s="117"/>
      <c r="T740" s="117"/>
      <c r="V740" s="117"/>
      <c r="X740" s="117"/>
      <c r="Y740" s="10"/>
      <c r="Z740" s="11"/>
      <c r="AA740" s="36"/>
      <c r="AB740" s="36"/>
      <c r="AC740" s="13"/>
      <c r="AD740" s="13"/>
      <c r="AE740" s="37"/>
      <c r="AF740" s="37"/>
      <c r="AG740" s="14"/>
      <c r="AH740" s="14"/>
      <c r="AI740" s="14"/>
      <c r="AZ740" s="24"/>
    </row>
    <row r="741">
      <c r="B741" s="24"/>
      <c r="E741" s="113"/>
      <c r="F741" s="266"/>
      <c r="G741" s="113"/>
      <c r="K741" s="36"/>
      <c r="L741" s="117"/>
      <c r="M741" s="128"/>
      <c r="N741" s="117"/>
      <c r="R741" s="117"/>
      <c r="T741" s="117"/>
      <c r="V741" s="117"/>
      <c r="X741" s="117"/>
      <c r="Y741" s="10"/>
      <c r="Z741" s="11"/>
      <c r="AA741" s="36"/>
      <c r="AB741" s="36"/>
      <c r="AC741" s="13"/>
      <c r="AD741" s="13"/>
      <c r="AE741" s="37"/>
      <c r="AF741" s="37"/>
      <c r="AG741" s="14"/>
      <c r="AH741" s="14"/>
      <c r="AI741" s="14"/>
      <c r="AZ741" s="24"/>
    </row>
    <row r="742">
      <c r="B742" s="24"/>
      <c r="E742" s="113"/>
      <c r="F742" s="266"/>
      <c r="G742" s="113"/>
      <c r="K742" s="36"/>
      <c r="L742" s="117"/>
      <c r="M742" s="128"/>
      <c r="N742" s="117"/>
      <c r="R742" s="117"/>
      <c r="T742" s="117"/>
      <c r="V742" s="117"/>
      <c r="X742" s="117"/>
      <c r="Y742" s="10"/>
      <c r="Z742" s="11"/>
      <c r="AA742" s="36"/>
      <c r="AB742" s="36"/>
      <c r="AC742" s="13"/>
      <c r="AD742" s="13"/>
      <c r="AE742" s="37"/>
      <c r="AF742" s="37"/>
      <c r="AG742" s="14"/>
      <c r="AH742" s="14"/>
      <c r="AI742" s="14"/>
      <c r="AZ742" s="24"/>
    </row>
    <row r="743">
      <c r="B743" s="24"/>
      <c r="E743" s="113"/>
      <c r="F743" s="266"/>
      <c r="G743" s="113"/>
      <c r="K743" s="36"/>
      <c r="L743" s="117"/>
      <c r="M743" s="128"/>
      <c r="N743" s="117"/>
      <c r="R743" s="117"/>
      <c r="T743" s="117"/>
      <c r="V743" s="117"/>
      <c r="X743" s="117"/>
      <c r="Y743" s="10"/>
      <c r="Z743" s="11"/>
      <c r="AA743" s="36"/>
      <c r="AB743" s="36"/>
      <c r="AC743" s="13"/>
      <c r="AD743" s="13"/>
      <c r="AE743" s="37"/>
      <c r="AF743" s="37"/>
      <c r="AG743" s="14"/>
      <c r="AH743" s="14"/>
      <c r="AI743" s="14"/>
      <c r="AZ743" s="24"/>
    </row>
    <row r="744">
      <c r="B744" s="24"/>
      <c r="E744" s="113"/>
      <c r="F744" s="266"/>
      <c r="G744" s="113"/>
      <c r="K744" s="36"/>
      <c r="L744" s="117"/>
      <c r="M744" s="128"/>
      <c r="N744" s="117"/>
      <c r="R744" s="117"/>
      <c r="T744" s="117"/>
      <c r="V744" s="117"/>
      <c r="X744" s="117"/>
      <c r="Y744" s="10"/>
      <c r="Z744" s="11"/>
      <c r="AA744" s="36"/>
      <c r="AB744" s="36"/>
      <c r="AC744" s="13"/>
      <c r="AD744" s="13"/>
      <c r="AE744" s="37"/>
      <c r="AF744" s="37"/>
      <c r="AG744" s="14"/>
      <c r="AH744" s="14"/>
      <c r="AI744" s="14"/>
      <c r="AZ744" s="24"/>
    </row>
    <row r="745">
      <c r="B745" s="24"/>
      <c r="E745" s="113"/>
      <c r="F745" s="266"/>
      <c r="G745" s="113"/>
      <c r="K745" s="36"/>
      <c r="L745" s="117"/>
      <c r="M745" s="128"/>
      <c r="N745" s="117"/>
      <c r="R745" s="117"/>
      <c r="T745" s="117"/>
      <c r="V745" s="117"/>
      <c r="X745" s="117"/>
      <c r="Y745" s="10"/>
      <c r="Z745" s="11"/>
      <c r="AA745" s="36"/>
      <c r="AB745" s="36"/>
      <c r="AC745" s="13"/>
      <c r="AD745" s="13"/>
      <c r="AE745" s="37"/>
      <c r="AF745" s="37"/>
      <c r="AG745" s="14"/>
      <c r="AH745" s="14"/>
      <c r="AI745" s="14"/>
      <c r="AZ745" s="24"/>
    </row>
    <row r="746">
      <c r="B746" s="24"/>
      <c r="E746" s="113"/>
      <c r="F746" s="266"/>
      <c r="G746" s="113"/>
      <c r="K746" s="36"/>
      <c r="L746" s="117"/>
      <c r="M746" s="128"/>
      <c r="N746" s="117"/>
      <c r="R746" s="117"/>
      <c r="T746" s="117"/>
      <c r="V746" s="117"/>
      <c r="X746" s="117"/>
      <c r="Y746" s="10"/>
      <c r="Z746" s="11"/>
      <c r="AA746" s="36"/>
      <c r="AB746" s="36"/>
      <c r="AC746" s="13"/>
      <c r="AD746" s="13"/>
      <c r="AE746" s="37"/>
      <c r="AF746" s="37"/>
      <c r="AG746" s="14"/>
      <c r="AH746" s="14"/>
      <c r="AI746" s="14"/>
      <c r="AZ746" s="24"/>
    </row>
    <row r="747">
      <c r="B747" s="24"/>
      <c r="E747" s="113"/>
      <c r="F747" s="266"/>
      <c r="G747" s="113"/>
      <c r="K747" s="36"/>
      <c r="L747" s="117"/>
      <c r="M747" s="128"/>
      <c r="N747" s="117"/>
      <c r="R747" s="117"/>
      <c r="T747" s="117"/>
      <c r="V747" s="117"/>
      <c r="X747" s="117"/>
      <c r="Y747" s="10"/>
      <c r="Z747" s="11"/>
      <c r="AA747" s="36"/>
      <c r="AB747" s="36"/>
      <c r="AC747" s="13"/>
      <c r="AD747" s="13"/>
      <c r="AE747" s="37"/>
      <c r="AF747" s="37"/>
      <c r="AG747" s="14"/>
      <c r="AH747" s="14"/>
      <c r="AI747" s="14"/>
      <c r="AZ747" s="24"/>
    </row>
    <row r="748">
      <c r="B748" s="24"/>
      <c r="E748" s="113"/>
      <c r="F748" s="266"/>
      <c r="G748" s="113"/>
      <c r="K748" s="36"/>
      <c r="L748" s="117"/>
      <c r="M748" s="128"/>
      <c r="N748" s="117"/>
      <c r="R748" s="117"/>
      <c r="T748" s="117"/>
      <c r="V748" s="117"/>
      <c r="X748" s="117"/>
      <c r="Y748" s="10"/>
      <c r="Z748" s="11"/>
      <c r="AA748" s="36"/>
      <c r="AB748" s="36"/>
      <c r="AC748" s="13"/>
      <c r="AD748" s="13"/>
      <c r="AE748" s="37"/>
      <c r="AF748" s="37"/>
      <c r="AG748" s="14"/>
      <c r="AH748" s="14"/>
      <c r="AI748" s="14"/>
      <c r="AZ748" s="24"/>
    </row>
    <row r="749">
      <c r="B749" s="24"/>
      <c r="E749" s="113"/>
      <c r="F749" s="266"/>
      <c r="G749" s="113"/>
      <c r="K749" s="36"/>
      <c r="L749" s="117"/>
      <c r="M749" s="128"/>
      <c r="N749" s="117"/>
      <c r="R749" s="117"/>
      <c r="T749" s="117"/>
      <c r="V749" s="117"/>
      <c r="X749" s="117"/>
      <c r="Y749" s="10"/>
      <c r="Z749" s="11"/>
      <c r="AA749" s="36"/>
      <c r="AB749" s="36"/>
      <c r="AC749" s="13"/>
      <c r="AD749" s="13"/>
      <c r="AE749" s="37"/>
      <c r="AF749" s="37"/>
      <c r="AG749" s="14"/>
      <c r="AH749" s="14"/>
      <c r="AI749" s="14"/>
      <c r="AZ749" s="24"/>
    </row>
    <row r="750">
      <c r="B750" s="24"/>
      <c r="E750" s="113"/>
      <c r="F750" s="266"/>
      <c r="G750" s="113"/>
      <c r="K750" s="36"/>
      <c r="L750" s="117"/>
      <c r="M750" s="128"/>
      <c r="N750" s="117"/>
      <c r="R750" s="117"/>
      <c r="T750" s="117"/>
      <c r="V750" s="117"/>
      <c r="X750" s="117"/>
      <c r="Y750" s="10"/>
      <c r="Z750" s="11"/>
      <c r="AA750" s="36"/>
      <c r="AB750" s="36"/>
      <c r="AC750" s="13"/>
      <c r="AD750" s="13"/>
      <c r="AE750" s="37"/>
      <c r="AF750" s="37"/>
      <c r="AG750" s="14"/>
      <c r="AH750" s="14"/>
      <c r="AI750" s="14"/>
      <c r="AZ750" s="24"/>
    </row>
    <row r="751">
      <c r="B751" s="24"/>
      <c r="E751" s="113"/>
      <c r="F751" s="266"/>
      <c r="G751" s="113"/>
      <c r="K751" s="36"/>
      <c r="L751" s="117"/>
      <c r="M751" s="128"/>
      <c r="N751" s="117"/>
      <c r="R751" s="117"/>
      <c r="T751" s="117"/>
      <c r="V751" s="117"/>
      <c r="X751" s="117"/>
      <c r="Y751" s="10"/>
      <c r="Z751" s="11"/>
      <c r="AA751" s="36"/>
      <c r="AB751" s="36"/>
      <c r="AC751" s="13"/>
      <c r="AD751" s="13"/>
      <c r="AE751" s="37"/>
      <c r="AF751" s="37"/>
      <c r="AG751" s="14"/>
      <c r="AH751" s="14"/>
      <c r="AI751" s="14"/>
      <c r="AZ751" s="24"/>
    </row>
    <row r="752">
      <c r="B752" s="24"/>
      <c r="E752" s="113"/>
      <c r="F752" s="266"/>
      <c r="G752" s="113"/>
      <c r="K752" s="36"/>
      <c r="L752" s="117"/>
      <c r="M752" s="128"/>
      <c r="N752" s="117"/>
      <c r="R752" s="117"/>
      <c r="T752" s="117"/>
      <c r="V752" s="117"/>
      <c r="X752" s="117"/>
      <c r="Y752" s="10"/>
      <c r="Z752" s="11"/>
      <c r="AA752" s="36"/>
      <c r="AB752" s="36"/>
      <c r="AC752" s="13"/>
      <c r="AD752" s="13"/>
      <c r="AE752" s="37"/>
      <c r="AF752" s="37"/>
      <c r="AG752" s="14"/>
      <c r="AH752" s="14"/>
      <c r="AI752" s="14"/>
      <c r="AZ752" s="24"/>
    </row>
    <row r="753">
      <c r="B753" s="24"/>
      <c r="E753" s="113"/>
      <c r="F753" s="266"/>
      <c r="G753" s="113"/>
      <c r="K753" s="36"/>
      <c r="L753" s="117"/>
      <c r="M753" s="128"/>
      <c r="N753" s="117"/>
      <c r="R753" s="117"/>
      <c r="T753" s="117"/>
      <c r="V753" s="117"/>
      <c r="X753" s="117"/>
      <c r="Y753" s="10"/>
      <c r="Z753" s="11"/>
      <c r="AA753" s="36"/>
      <c r="AB753" s="36"/>
      <c r="AC753" s="13"/>
      <c r="AD753" s="13"/>
      <c r="AE753" s="37"/>
      <c r="AF753" s="37"/>
      <c r="AG753" s="14"/>
      <c r="AH753" s="14"/>
      <c r="AI753" s="14"/>
      <c r="AZ753" s="24"/>
    </row>
    <row r="754">
      <c r="B754" s="24"/>
      <c r="E754" s="113"/>
      <c r="F754" s="266"/>
      <c r="G754" s="113"/>
      <c r="K754" s="36"/>
      <c r="L754" s="117"/>
      <c r="M754" s="128"/>
      <c r="N754" s="117"/>
      <c r="R754" s="117"/>
      <c r="T754" s="117"/>
      <c r="V754" s="117"/>
      <c r="X754" s="117"/>
      <c r="Y754" s="10"/>
      <c r="Z754" s="11"/>
      <c r="AA754" s="36"/>
      <c r="AB754" s="36"/>
      <c r="AC754" s="13"/>
      <c r="AD754" s="13"/>
      <c r="AE754" s="37"/>
      <c r="AF754" s="37"/>
      <c r="AG754" s="14"/>
      <c r="AH754" s="14"/>
      <c r="AI754" s="14"/>
      <c r="AZ754" s="24"/>
    </row>
    <row r="755">
      <c r="B755" s="24"/>
      <c r="E755" s="113"/>
      <c r="F755" s="266"/>
      <c r="G755" s="113"/>
      <c r="K755" s="36"/>
      <c r="L755" s="117"/>
      <c r="M755" s="128"/>
      <c r="N755" s="117"/>
      <c r="R755" s="117"/>
      <c r="T755" s="117"/>
      <c r="V755" s="117"/>
      <c r="X755" s="117"/>
      <c r="Y755" s="10"/>
      <c r="Z755" s="11"/>
      <c r="AA755" s="36"/>
      <c r="AB755" s="36"/>
      <c r="AC755" s="13"/>
      <c r="AD755" s="13"/>
      <c r="AE755" s="37"/>
      <c r="AF755" s="37"/>
      <c r="AG755" s="14"/>
      <c r="AH755" s="14"/>
      <c r="AI755" s="14"/>
      <c r="AZ755" s="24"/>
    </row>
    <row r="756">
      <c r="B756" s="24"/>
      <c r="E756" s="113"/>
      <c r="F756" s="266"/>
      <c r="G756" s="113"/>
      <c r="K756" s="36"/>
      <c r="L756" s="117"/>
      <c r="M756" s="128"/>
      <c r="N756" s="117"/>
      <c r="R756" s="117"/>
      <c r="T756" s="117"/>
      <c r="V756" s="117"/>
      <c r="X756" s="117"/>
      <c r="Y756" s="10"/>
      <c r="Z756" s="11"/>
      <c r="AA756" s="36"/>
      <c r="AB756" s="36"/>
      <c r="AC756" s="13"/>
      <c r="AD756" s="13"/>
      <c r="AE756" s="37"/>
      <c r="AF756" s="37"/>
      <c r="AG756" s="14"/>
      <c r="AH756" s="14"/>
      <c r="AI756" s="14"/>
      <c r="AZ756" s="24"/>
    </row>
    <row r="757">
      <c r="B757" s="24"/>
      <c r="E757" s="113"/>
      <c r="F757" s="266"/>
      <c r="G757" s="113"/>
      <c r="K757" s="36"/>
      <c r="L757" s="117"/>
      <c r="M757" s="128"/>
      <c r="N757" s="117"/>
      <c r="R757" s="117"/>
      <c r="T757" s="117"/>
      <c r="V757" s="117"/>
      <c r="X757" s="117"/>
      <c r="Y757" s="10"/>
      <c r="Z757" s="11"/>
      <c r="AA757" s="36"/>
      <c r="AB757" s="36"/>
      <c r="AC757" s="13"/>
      <c r="AD757" s="13"/>
      <c r="AE757" s="37"/>
      <c r="AF757" s="37"/>
      <c r="AG757" s="14"/>
      <c r="AH757" s="14"/>
      <c r="AI757" s="14"/>
      <c r="AZ757" s="24"/>
    </row>
    <row r="758">
      <c r="B758" s="24"/>
      <c r="E758" s="113"/>
      <c r="F758" s="266"/>
      <c r="G758" s="113"/>
      <c r="K758" s="36"/>
      <c r="L758" s="117"/>
      <c r="M758" s="128"/>
      <c r="N758" s="117"/>
      <c r="R758" s="117"/>
      <c r="T758" s="117"/>
      <c r="V758" s="117"/>
      <c r="X758" s="117"/>
      <c r="Y758" s="10"/>
      <c r="Z758" s="11"/>
      <c r="AA758" s="36"/>
      <c r="AB758" s="36"/>
      <c r="AC758" s="13"/>
      <c r="AD758" s="13"/>
      <c r="AE758" s="37"/>
      <c r="AF758" s="37"/>
      <c r="AG758" s="14"/>
      <c r="AH758" s="14"/>
      <c r="AI758" s="14"/>
      <c r="AZ758" s="24"/>
    </row>
    <row r="759">
      <c r="B759" s="24"/>
      <c r="E759" s="113"/>
      <c r="F759" s="266"/>
      <c r="G759" s="113"/>
      <c r="K759" s="36"/>
      <c r="L759" s="117"/>
      <c r="M759" s="128"/>
      <c r="N759" s="117"/>
      <c r="R759" s="117"/>
      <c r="T759" s="117"/>
      <c r="V759" s="117"/>
      <c r="X759" s="117"/>
      <c r="Y759" s="10"/>
      <c r="Z759" s="11"/>
      <c r="AA759" s="36"/>
      <c r="AB759" s="36"/>
      <c r="AC759" s="13"/>
      <c r="AD759" s="13"/>
      <c r="AE759" s="37"/>
      <c r="AF759" s="37"/>
      <c r="AG759" s="14"/>
      <c r="AH759" s="14"/>
      <c r="AI759" s="14"/>
      <c r="AZ759" s="24"/>
    </row>
    <row r="760">
      <c r="B760" s="24"/>
      <c r="E760" s="113"/>
      <c r="F760" s="266"/>
      <c r="G760" s="113"/>
      <c r="K760" s="36"/>
      <c r="L760" s="117"/>
      <c r="M760" s="128"/>
      <c r="N760" s="117"/>
      <c r="R760" s="117"/>
      <c r="T760" s="117"/>
      <c r="V760" s="117"/>
      <c r="X760" s="117"/>
      <c r="Y760" s="10"/>
      <c r="Z760" s="11"/>
      <c r="AA760" s="36"/>
      <c r="AB760" s="36"/>
      <c r="AC760" s="13"/>
      <c r="AD760" s="13"/>
      <c r="AE760" s="37"/>
      <c r="AF760" s="37"/>
      <c r="AG760" s="14"/>
      <c r="AH760" s="14"/>
      <c r="AI760" s="14"/>
      <c r="AZ760" s="24"/>
    </row>
    <row r="761">
      <c r="B761" s="24"/>
      <c r="E761" s="113"/>
      <c r="F761" s="266"/>
      <c r="G761" s="113"/>
      <c r="K761" s="36"/>
      <c r="L761" s="117"/>
      <c r="M761" s="128"/>
      <c r="N761" s="117"/>
      <c r="R761" s="117"/>
      <c r="T761" s="117"/>
      <c r="V761" s="117"/>
      <c r="X761" s="117"/>
      <c r="Y761" s="10"/>
      <c r="Z761" s="11"/>
      <c r="AA761" s="36"/>
      <c r="AB761" s="36"/>
      <c r="AC761" s="13"/>
      <c r="AD761" s="13"/>
      <c r="AE761" s="37"/>
      <c r="AF761" s="37"/>
      <c r="AG761" s="14"/>
      <c r="AH761" s="14"/>
      <c r="AI761" s="14"/>
      <c r="AZ761" s="24"/>
    </row>
    <row r="762">
      <c r="B762" s="24"/>
      <c r="E762" s="113"/>
      <c r="F762" s="266"/>
      <c r="G762" s="113"/>
      <c r="K762" s="36"/>
      <c r="L762" s="117"/>
      <c r="M762" s="128"/>
      <c r="N762" s="117"/>
      <c r="R762" s="117"/>
      <c r="T762" s="117"/>
      <c r="V762" s="117"/>
      <c r="X762" s="117"/>
      <c r="Y762" s="10"/>
      <c r="Z762" s="11"/>
      <c r="AA762" s="36"/>
      <c r="AB762" s="36"/>
      <c r="AC762" s="13"/>
      <c r="AD762" s="13"/>
      <c r="AE762" s="37"/>
      <c r="AF762" s="37"/>
      <c r="AG762" s="14"/>
      <c r="AH762" s="14"/>
      <c r="AI762" s="14"/>
      <c r="AZ762" s="24"/>
    </row>
    <row r="763">
      <c r="B763" s="24"/>
      <c r="E763" s="113"/>
      <c r="F763" s="266"/>
      <c r="G763" s="113"/>
      <c r="K763" s="36"/>
      <c r="L763" s="117"/>
      <c r="M763" s="128"/>
      <c r="N763" s="117"/>
      <c r="R763" s="117"/>
      <c r="T763" s="117"/>
      <c r="V763" s="117"/>
      <c r="X763" s="117"/>
      <c r="Y763" s="10"/>
      <c r="Z763" s="11"/>
      <c r="AA763" s="36"/>
      <c r="AB763" s="36"/>
      <c r="AC763" s="13"/>
      <c r="AD763" s="13"/>
      <c r="AE763" s="37"/>
      <c r="AF763" s="37"/>
      <c r="AG763" s="14"/>
      <c r="AH763" s="14"/>
      <c r="AI763" s="14"/>
      <c r="AZ763" s="24"/>
    </row>
    <row r="764">
      <c r="B764" s="24"/>
      <c r="E764" s="113"/>
      <c r="F764" s="266"/>
      <c r="G764" s="113"/>
      <c r="K764" s="36"/>
      <c r="L764" s="117"/>
      <c r="M764" s="128"/>
      <c r="N764" s="117"/>
      <c r="R764" s="117"/>
      <c r="T764" s="117"/>
      <c r="V764" s="117"/>
      <c r="X764" s="117"/>
      <c r="Y764" s="10"/>
      <c r="Z764" s="11"/>
      <c r="AA764" s="36"/>
      <c r="AB764" s="36"/>
      <c r="AC764" s="13"/>
      <c r="AD764" s="13"/>
      <c r="AE764" s="37"/>
      <c r="AF764" s="37"/>
      <c r="AG764" s="14"/>
      <c r="AH764" s="14"/>
      <c r="AI764" s="14"/>
      <c r="AZ764" s="24"/>
    </row>
    <row r="765">
      <c r="B765" s="24"/>
      <c r="E765" s="113"/>
      <c r="F765" s="266"/>
      <c r="G765" s="113"/>
      <c r="K765" s="36"/>
      <c r="L765" s="117"/>
      <c r="M765" s="128"/>
      <c r="N765" s="117"/>
      <c r="R765" s="117"/>
      <c r="T765" s="117"/>
      <c r="V765" s="117"/>
      <c r="X765" s="117"/>
      <c r="Y765" s="10"/>
      <c r="Z765" s="11"/>
      <c r="AA765" s="36"/>
      <c r="AB765" s="36"/>
      <c r="AC765" s="13"/>
      <c r="AD765" s="13"/>
      <c r="AE765" s="37"/>
      <c r="AF765" s="37"/>
      <c r="AG765" s="14"/>
      <c r="AH765" s="14"/>
      <c r="AI765" s="14"/>
      <c r="AZ765" s="24"/>
    </row>
    <row r="766">
      <c r="B766" s="24"/>
      <c r="E766" s="113"/>
      <c r="F766" s="266"/>
      <c r="G766" s="113"/>
      <c r="K766" s="36"/>
      <c r="L766" s="117"/>
      <c r="M766" s="128"/>
      <c r="N766" s="117"/>
      <c r="R766" s="117"/>
      <c r="T766" s="117"/>
      <c r="V766" s="117"/>
      <c r="X766" s="117"/>
      <c r="Y766" s="10"/>
      <c r="Z766" s="11"/>
      <c r="AA766" s="36"/>
      <c r="AB766" s="36"/>
      <c r="AC766" s="13"/>
      <c r="AD766" s="13"/>
      <c r="AE766" s="37"/>
      <c r="AF766" s="37"/>
      <c r="AG766" s="14"/>
      <c r="AH766" s="14"/>
      <c r="AI766" s="14"/>
      <c r="AZ766" s="24"/>
    </row>
    <row r="767">
      <c r="B767" s="24"/>
      <c r="E767" s="113"/>
      <c r="F767" s="266"/>
      <c r="G767" s="113"/>
      <c r="K767" s="36"/>
      <c r="L767" s="117"/>
      <c r="M767" s="128"/>
      <c r="N767" s="117"/>
      <c r="R767" s="117"/>
      <c r="T767" s="117"/>
      <c r="V767" s="117"/>
      <c r="X767" s="117"/>
      <c r="Y767" s="10"/>
      <c r="Z767" s="11"/>
      <c r="AA767" s="36"/>
      <c r="AB767" s="36"/>
      <c r="AC767" s="13"/>
      <c r="AD767" s="13"/>
      <c r="AE767" s="37"/>
      <c r="AF767" s="37"/>
      <c r="AG767" s="14"/>
      <c r="AH767" s="14"/>
      <c r="AI767" s="14"/>
      <c r="AZ767" s="24"/>
    </row>
    <row r="768">
      <c r="B768" s="24"/>
      <c r="E768" s="113"/>
      <c r="F768" s="266"/>
      <c r="G768" s="113"/>
      <c r="K768" s="36"/>
      <c r="L768" s="117"/>
      <c r="M768" s="128"/>
      <c r="N768" s="117"/>
      <c r="R768" s="117"/>
      <c r="T768" s="117"/>
      <c r="V768" s="117"/>
      <c r="X768" s="117"/>
      <c r="Y768" s="10"/>
      <c r="Z768" s="11"/>
      <c r="AA768" s="36"/>
      <c r="AB768" s="36"/>
      <c r="AC768" s="13"/>
      <c r="AD768" s="13"/>
      <c r="AE768" s="37"/>
      <c r="AF768" s="37"/>
      <c r="AG768" s="14"/>
      <c r="AH768" s="14"/>
      <c r="AI768" s="14"/>
      <c r="AZ768" s="24"/>
    </row>
    <row r="769">
      <c r="B769" s="24"/>
      <c r="E769" s="113"/>
      <c r="F769" s="266"/>
      <c r="G769" s="113"/>
      <c r="K769" s="36"/>
      <c r="L769" s="117"/>
      <c r="M769" s="128"/>
      <c r="N769" s="117"/>
      <c r="R769" s="117"/>
      <c r="T769" s="117"/>
      <c r="V769" s="117"/>
      <c r="X769" s="117"/>
      <c r="Y769" s="10"/>
      <c r="Z769" s="11"/>
      <c r="AA769" s="36"/>
      <c r="AB769" s="36"/>
      <c r="AC769" s="13"/>
      <c r="AD769" s="13"/>
      <c r="AE769" s="37"/>
      <c r="AF769" s="37"/>
      <c r="AG769" s="14"/>
      <c r="AH769" s="14"/>
      <c r="AI769" s="14"/>
      <c r="AZ769" s="24"/>
    </row>
    <row r="770">
      <c r="B770" s="24"/>
      <c r="E770" s="113"/>
      <c r="F770" s="266"/>
      <c r="G770" s="113"/>
      <c r="K770" s="36"/>
      <c r="L770" s="117"/>
      <c r="M770" s="128"/>
      <c r="N770" s="117"/>
      <c r="R770" s="117"/>
      <c r="T770" s="117"/>
      <c r="V770" s="117"/>
      <c r="X770" s="117"/>
      <c r="Y770" s="10"/>
      <c r="Z770" s="11"/>
      <c r="AA770" s="36"/>
      <c r="AB770" s="36"/>
      <c r="AC770" s="13"/>
      <c r="AD770" s="13"/>
      <c r="AE770" s="37"/>
      <c r="AF770" s="37"/>
      <c r="AG770" s="14"/>
      <c r="AH770" s="14"/>
      <c r="AI770" s="14"/>
      <c r="AZ770" s="24"/>
    </row>
    <row r="771">
      <c r="B771" s="24"/>
      <c r="E771" s="113"/>
      <c r="F771" s="266"/>
      <c r="G771" s="113"/>
      <c r="K771" s="36"/>
      <c r="L771" s="117"/>
      <c r="M771" s="128"/>
      <c r="N771" s="117"/>
      <c r="R771" s="117"/>
      <c r="T771" s="117"/>
      <c r="V771" s="117"/>
      <c r="X771" s="117"/>
      <c r="Y771" s="10"/>
      <c r="Z771" s="11"/>
      <c r="AA771" s="36"/>
      <c r="AB771" s="36"/>
      <c r="AC771" s="13"/>
      <c r="AD771" s="13"/>
      <c r="AE771" s="37"/>
      <c r="AF771" s="37"/>
      <c r="AG771" s="14"/>
      <c r="AH771" s="14"/>
      <c r="AI771" s="14"/>
      <c r="AZ771" s="24"/>
    </row>
    <row r="772">
      <c r="B772" s="24"/>
      <c r="E772" s="113"/>
      <c r="F772" s="266"/>
      <c r="G772" s="113"/>
      <c r="K772" s="36"/>
      <c r="L772" s="117"/>
      <c r="M772" s="128"/>
      <c r="N772" s="117"/>
      <c r="R772" s="117"/>
      <c r="T772" s="117"/>
      <c r="V772" s="117"/>
      <c r="X772" s="117"/>
      <c r="Y772" s="10"/>
      <c r="Z772" s="11"/>
      <c r="AA772" s="36"/>
      <c r="AB772" s="36"/>
      <c r="AC772" s="13"/>
      <c r="AD772" s="13"/>
      <c r="AE772" s="37"/>
      <c r="AF772" s="37"/>
      <c r="AG772" s="14"/>
      <c r="AH772" s="14"/>
      <c r="AI772" s="14"/>
      <c r="AZ772" s="24"/>
    </row>
    <row r="773">
      <c r="B773" s="24"/>
      <c r="E773" s="113"/>
      <c r="F773" s="266"/>
      <c r="G773" s="113"/>
      <c r="K773" s="36"/>
      <c r="L773" s="117"/>
      <c r="M773" s="128"/>
      <c r="N773" s="117"/>
      <c r="R773" s="117"/>
      <c r="T773" s="117"/>
      <c r="V773" s="117"/>
      <c r="X773" s="117"/>
      <c r="Y773" s="10"/>
      <c r="Z773" s="11"/>
      <c r="AA773" s="36"/>
      <c r="AB773" s="36"/>
      <c r="AC773" s="13"/>
      <c r="AD773" s="13"/>
      <c r="AE773" s="37"/>
      <c r="AF773" s="37"/>
      <c r="AG773" s="14"/>
      <c r="AH773" s="14"/>
      <c r="AI773" s="14"/>
      <c r="AZ773" s="24"/>
    </row>
    <row r="774">
      <c r="B774" s="24"/>
      <c r="E774" s="113"/>
      <c r="F774" s="266"/>
      <c r="G774" s="113"/>
      <c r="K774" s="36"/>
      <c r="L774" s="117"/>
      <c r="M774" s="128"/>
      <c r="N774" s="117"/>
      <c r="R774" s="117"/>
      <c r="T774" s="117"/>
      <c r="V774" s="117"/>
      <c r="X774" s="117"/>
      <c r="Y774" s="10"/>
      <c r="Z774" s="11"/>
      <c r="AA774" s="36"/>
      <c r="AB774" s="36"/>
      <c r="AC774" s="13"/>
      <c r="AD774" s="13"/>
      <c r="AE774" s="37"/>
      <c r="AF774" s="37"/>
      <c r="AG774" s="14"/>
      <c r="AH774" s="14"/>
      <c r="AI774" s="14"/>
      <c r="AZ774" s="24"/>
    </row>
    <row r="775">
      <c r="B775" s="24"/>
      <c r="E775" s="113"/>
      <c r="F775" s="266"/>
      <c r="G775" s="113"/>
      <c r="K775" s="36"/>
      <c r="L775" s="117"/>
      <c r="M775" s="128"/>
      <c r="N775" s="117"/>
      <c r="R775" s="117"/>
      <c r="T775" s="117"/>
      <c r="V775" s="117"/>
      <c r="X775" s="117"/>
      <c r="Y775" s="10"/>
      <c r="Z775" s="11"/>
      <c r="AA775" s="36"/>
      <c r="AB775" s="36"/>
      <c r="AC775" s="13"/>
      <c r="AD775" s="13"/>
      <c r="AE775" s="37"/>
      <c r="AF775" s="37"/>
      <c r="AG775" s="14"/>
      <c r="AH775" s="14"/>
      <c r="AI775" s="14"/>
      <c r="AZ775" s="24"/>
    </row>
    <row r="776">
      <c r="B776" s="24"/>
      <c r="E776" s="113"/>
      <c r="F776" s="266"/>
      <c r="G776" s="113"/>
      <c r="K776" s="36"/>
      <c r="L776" s="117"/>
      <c r="M776" s="128"/>
      <c r="N776" s="117"/>
      <c r="R776" s="117"/>
      <c r="T776" s="117"/>
      <c r="V776" s="117"/>
      <c r="X776" s="117"/>
      <c r="Y776" s="10"/>
      <c r="Z776" s="11"/>
      <c r="AA776" s="36"/>
      <c r="AB776" s="36"/>
      <c r="AC776" s="13"/>
      <c r="AD776" s="13"/>
      <c r="AE776" s="37"/>
      <c r="AF776" s="37"/>
      <c r="AG776" s="14"/>
      <c r="AH776" s="14"/>
      <c r="AI776" s="14"/>
      <c r="AZ776" s="24"/>
    </row>
    <row r="777">
      <c r="B777" s="24"/>
      <c r="E777" s="113"/>
      <c r="F777" s="266"/>
      <c r="G777" s="113"/>
      <c r="K777" s="36"/>
      <c r="L777" s="117"/>
      <c r="M777" s="128"/>
      <c r="N777" s="117"/>
      <c r="R777" s="117"/>
      <c r="T777" s="117"/>
      <c r="V777" s="117"/>
      <c r="X777" s="117"/>
      <c r="Y777" s="10"/>
      <c r="Z777" s="11"/>
      <c r="AA777" s="36"/>
      <c r="AB777" s="36"/>
      <c r="AC777" s="13"/>
      <c r="AD777" s="13"/>
      <c r="AE777" s="37"/>
      <c r="AF777" s="37"/>
      <c r="AG777" s="14"/>
      <c r="AH777" s="14"/>
      <c r="AI777" s="14"/>
      <c r="AZ777" s="24"/>
    </row>
    <row r="778">
      <c r="B778" s="24"/>
      <c r="E778" s="113"/>
      <c r="F778" s="266"/>
      <c r="G778" s="113"/>
      <c r="K778" s="36"/>
      <c r="L778" s="117"/>
      <c r="M778" s="128"/>
      <c r="N778" s="117"/>
      <c r="R778" s="117"/>
      <c r="T778" s="117"/>
      <c r="V778" s="117"/>
      <c r="X778" s="117"/>
      <c r="Y778" s="10"/>
      <c r="Z778" s="11"/>
      <c r="AA778" s="36"/>
      <c r="AB778" s="36"/>
      <c r="AC778" s="13"/>
      <c r="AD778" s="13"/>
      <c r="AE778" s="37"/>
      <c r="AF778" s="37"/>
      <c r="AG778" s="14"/>
      <c r="AH778" s="14"/>
      <c r="AI778" s="14"/>
      <c r="AZ778" s="24"/>
    </row>
    <row r="779">
      <c r="B779" s="24"/>
      <c r="E779" s="113"/>
      <c r="F779" s="266"/>
      <c r="G779" s="113"/>
      <c r="K779" s="36"/>
      <c r="L779" s="117"/>
      <c r="M779" s="128"/>
      <c r="N779" s="117"/>
      <c r="R779" s="117"/>
      <c r="T779" s="117"/>
      <c r="V779" s="117"/>
      <c r="X779" s="117"/>
      <c r="Y779" s="10"/>
      <c r="Z779" s="11"/>
      <c r="AA779" s="36"/>
      <c r="AB779" s="36"/>
      <c r="AC779" s="13"/>
      <c r="AD779" s="13"/>
      <c r="AE779" s="37"/>
      <c r="AF779" s="37"/>
      <c r="AG779" s="14"/>
      <c r="AH779" s="14"/>
      <c r="AI779" s="14"/>
      <c r="AZ779" s="24"/>
    </row>
    <row r="780">
      <c r="B780" s="24"/>
      <c r="E780" s="113"/>
      <c r="F780" s="266"/>
      <c r="G780" s="113"/>
      <c r="K780" s="36"/>
      <c r="L780" s="117"/>
      <c r="M780" s="128"/>
      <c r="N780" s="117"/>
      <c r="R780" s="117"/>
      <c r="T780" s="117"/>
      <c r="V780" s="117"/>
      <c r="X780" s="117"/>
      <c r="Y780" s="10"/>
      <c r="Z780" s="11"/>
      <c r="AA780" s="36"/>
      <c r="AB780" s="36"/>
      <c r="AC780" s="13"/>
      <c r="AD780" s="13"/>
      <c r="AE780" s="37"/>
      <c r="AF780" s="37"/>
      <c r="AG780" s="14"/>
      <c r="AH780" s="14"/>
      <c r="AI780" s="14"/>
      <c r="AZ780" s="24"/>
    </row>
    <row r="781">
      <c r="B781" s="24"/>
      <c r="E781" s="113"/>
      <c r="F781" s="266"/>
      <c r="G781" s="113"/>
      <c r="K781" s="36"/>
      <c r="L781" s="117"/>
      <c r="M781" s="128"/>
      <c r="N781" s="117"/>
      <c r="R781" s="117"/>
      <c r="T781" s="117"/>
      <c r="V781" s="117"/>
      <c r="X781" s="117"/>
      <c r="Y781" s="10"/>
      <c r="Z781" s="11"/>
      <c r="AA781" s="36"/>
      <c r="AB781" s="36"/>
      <c r="AC781" s="13"/>
      <c r="AD781" s="13"/>
      <c r="AE781" s="37"/>
      <c r="AF781" s="37"/>
      <c r="AG781" s="14"/>
      <c r="AH781" s="14"/>
      <c r="AI781" s="14"/>
      <c r="AZ781" s="24"/>
    </row>
    <row r="782">
      <c r="B782" s="24"/>
      <c r="E782" s="113"/>
      <c r="F782" s="266"/>
      <c r="G782" s="113"/>
      <c r="K782" s="36"/>
      <c r="L782" s="117"/>
      <c r="M782" s="128"/>
      <c r="N782" s="117"/>
      <c r="R782" s="117"/>
      <c r="T782" s="117"/>
      <c r="V782" s="117"/>
      <c r="X782" s="117"/>
      <c r="Y782" s="10"/>
      <c r="Z782" s="11"/>
      <c r="AA782" s="36"/>
      <c r="AB782" s="36"/>
      <c r="AC782" s="13"/>
      <c r="AD782" s="13"/>
      <c r="AE782" s="37"/>
      <c r="AF782" s="37"/>
      <c r="AG782" s="14"/>
      <c r="AH782" s="14"/>
      <c r="AI782" s="14"/>
      <c r="AZ782" s="24"/>
    </row>
    <row r="783">
      <c r="B783" s="24"/>
      <c r="E783" s="113"/>
      <c r="F783" s="266"/>
      <c r="G783" s="113"/>
      <c r="K783" s="36"/>
      <c r="L783" s="117"/>
      <c r="M783" s="128"/>
      <c r="N783" s="117"/>
      <c r="R783" s="117"/>
      <c r="T783" s="117"/>
      <c r="V783" s="117"/>
      <c r="X783" s="117"/>
      <c r="Y783" s="10"/>
      <c r="Z783" s="11"/>
      <c r="AA783" s="36"/>
      <c r="AB783" s="36"/>
      <c r="AC783" s="13"/>
      <c r="AD783" s="13"/>
      <c r="AE783" s="37"/>
      <c r="AF783" s="37"/>
      <c r="AG783" s="14"/>
      <c r="AH783" s="14"/>
      <c r="AI783" s="14"/>
      <c r="AZ783" s="24"/>
    </row>
    <row r="784">
      <c r="B784" s="24"/>
      <c r="E784" s="113"/>
      <c r="F784" s="266"/>
      <c r="G784" s="113"/>
      <c r="K784" s="36"/>
      <c r="L784" s="117"/>
      <c r="M784" s="128"/>
      <c r="N784" s="117"/>
      <c r="R784" s="117"/>
      <c r="T784" s="117"/>
      <c r="V784" s="117"/>
      <c r="X784" s="117"/>
      <c r="Y784" s="10"/>
      <c r="Z784" s="11"/>
      <c r="AA784" s="36"/>
      <c r="AB784" s="36"/>
      <c r="AC784" s="13"/>
      <c r="AD784" s="13"/>
      <c r="AE784" s="37"/>
      <c r="AF784" s="37"/>
      <c r="AG784" s="14"/>
      <c r="AH784" s="14"/>
      <c r="AI784" s="14"/>
      <c r="AZ784" s="24"/>
    </row>
    <row r="785">
      <c r="B785" s="24"/>
      <c r="E785" s="113"/>
      <c r="F785" s="266"/>
      <c r="G785" s="113"/>
      <c r="K785" s="36"/>
      <c r="L785" s="117"/>
      <c r="M785" s="128"/>
      <c r="N785" s="117"/>
      <c r="R785" s="117"/>
      <c r="T785" s="117"/>
      <c r="V785" s="117"/>
      <c r="X785" s="117"/>
      <c r="Y785" s="10"/>
      <c r="Z785" s="11"/>
      <c r="AA785" s="36"/>
      <c r="AB785" s="36"/>
      <c r="AC785" s="13"/>
      <c r="AD785" s="13"/>
      <c r="AE785" s="37"/>
      <c r="AF785" s="37"/>
      <c r="AG785" s="14"/>
      <c r="AH785" s="14"/>
      <c r="AI785" s="14"/>
      <c r="AZ785" s="24"/>
    </row>
    <row r="786">
      <c r="B786" s="24"/>
      <c r="E786" s="113"/>
      <c r="F786" s="266"/>
      <c r="G786" s="113"/>
      <c r="K786" s="36"/>
      <c r="L786" s="117"/>
      <c r="M786" s="128"/>
      <c r="N786" s="117"/>
      <c r="R786" s="117"/>
      <c r="T786" s="117"/>
      <c r="V786" s="117"/>
      <c r="X786" s="117"/>
      <c r="Y786" s="10"/>
      <c r="Z786" s="11"/>
      <c r="AA786" s="36"/>
      <c r="AB786" s="36"/>
      <c r="AC786" s="13"/>
      <c r="AD786" s="13"/>
      <c r="AE786" s="37"/>
      <c r="AF786" s="37"/>
      <c r="AG786" s="14"/>
      <c r="AH786" s="14"/>
      <c r="AI786" s="14"/>
      <c r="AZ786" s="24"/>
    </row>
    <row r="787">
      <c r="B787" s="24"/>
      <c r="E787" s="113"/>
      <c r="F787" s="266"/>
      <c r="G787" s="113"/>
      <c r="K787" s="36"/>
      <c r="L787" s="117"/>
      <c r="M787" s="128"/>
      <c r="N787" s="117"/>
      <c r="R787" s="117"/>
      <c r="T787" s="117"/>
      <c r="V787" s="117"/>
      <c r="X787" s="117"/>
      <c r="Y787" s="10"/>
      <c r="Z787" s="11"/>
      <c r="AA787" s="36"/>
      <c r="AB787" s="36"/>
      <c r="AC787" s="13"/>
      <c r="AD787" s="13"/>
      <c r="AE787" s="37"/>
      <c r="AF787" s="37"/>
      <c r="AG787" s="14"/>
      <c r="AH787" s="14"/>
      <c r="AI787" s="14"/>
      <c r="AZ787" s="24"/>
    </row>
    <row r="788">
      <c r="B788" s="24"/>
      <c r="E788" s="113"/>
      <c r="F788" s="266"/>
      <c r="G788" s="113"/>
      <c r="K788" s="36"/>
      <c r="L788" s="117"/>
      <c r="M788" s="128"/>
      <c r="N788" s="117"/>
      <c r="R788" s="117"/>
      <c r="T788" s="117"/>
      <c r="V788" s="117"/>
      <c r="X788" s="117"/>
      <c r="Y788" s="10"/>
      <c r="Z788" s="11"/>
      <c r="AA788" s="36"/>
      <c r="AB788" s="36"/>
      <c r="AC788" s="13"/>
      <c r="AD788" s="13"/>
      <c r="AE788" s="37"/>
      <c r="AF788" s="37"/>
      <c r="AG788" s="14"/>
      <c r="AH788" s="14"/>
      <c r="AI788" s="14"/>
      <c r="AZ788" s="24"/>
    </row>
    <row r="789">
      <c r="B789" s="24"/>
      <c r="E789" s="113"/>
      <c r="F789" s="266"/>
      <c r="G789" s="113"/>
      <c r="K789" s="36"/>
      <c r="L789" s="117"/>
      <c r="M789" s="128"/>
      <c r="N789" s="117"/>
      <c r="R789" s="117"/>
      <c r="T789" s="117"/>
      <c r="V789" s="117"/>
      <c r="X789" s="117"/>
      <c r="Y789" s="10"/>
      <c r="Z789" s="11"/>
      <c r="AA789" s="36"/>
      <c r="AB789" s="36"/>
      <c r="AC789" s="13"/>
      <c r="AD789" s="13"/>
      <c r="AE789" s="37"/>
      <c r="AF789" s="37"/>
      <c r="AG789" s="14"/>
      <c r="AH789" s="14"/>
      <c r="AI789" s="14"/>
      <c r="AZ789" s="24"/>
    </row>
    <row r="790">
      <c r="B790" s="24"/>
      <c r="E790" s="113"/>
      <c r="F790" s="266"/>
      <c r="G790" s="113"/>
      <c r="K790" s="36"/>
      <c r="L790" s="117"/>
      <c r="M790" s="128"/>
      <c r="N790" s="117"/>
      <c r="R790" s="117"/>
      <c r="T790" s="117"/>
      <c r="V790" s="117"/>
      <c r="X790" s="117"/>
      <c r="Y790" s="10"/>
      <c r="Z790" s="11"/>
      <c r="AA790" s="36"/>
      <c r="AB790" s="36"/>
      <c r="AC790" s="13"/>
      <c r="AD790" s="13"/>
      <c r="AE790" s="37"/>
      <c r="AF790" s="37"/>
      <c r="AG790" s="14"/>
      <c r="AH790" s="14"/>
      <c r="AI790" s="14"/>
      <c r="AZ790" s="24"/>
    </row>
    <row r="791">
      <c r="B791" s="24"/>
      <c r="E791" s="113"/>
      <c r="F791" s="266"/>
      <c r="G791" s="113"/>
      <c r="K791" s="36"/>
      <c r="L791" s="117"/>
      <c r="M791" s="128"/>
      <c r="N791" s="117"/>
      <c r="R791" s="117"/>
      <c r="T791" s="117"/>
      <c r="V791" s="117"/>
      <c r="X791" s="117"/>
      <c r="Y791" s="10"/>
      <c r="Z791" s="11"/>
      <c r="AA791" s="36"/>
      <c r="AB791" s="36"/>
      <c r="AC791" s="13"/>
      <c r="AD791" s="13"/>
      <c r="AE791" s="37"/>
      <c r="AF791" s="37"/>
      <c r="AG791" s="14"/>
      <c r="AH791" s="14"/>
      <c r="AI791" s="14"/>
      <c r="AZ791" s="24"/>
    </row>
    <row r="792">
      <c r="B792" s="24"/>
      <c r="E792" s="113"/>
      <c r="F792" s="266"/>
      <c r="G792" s="113"/>
      <c r="K792" s="36"/>
      <c r="L792" s="117"/>
      <c r="M792" s="128"/>
      <c r="N792" s="117"/>
      <c r="R792" s="117"/>
      <c r="T792" s="117"/>
      <c r="V792" s="117"/>
      <c r="X792" s="117"/>
      <c r="Y792" s="10"/>
      <c r="Z792" s="11"/>
      <c r="AA792" s="36"/>
      <c r="AB792" s="36"/>
      <c r="AC792" s="13"/>
      <c r="AD792" s="13"/>
      <c r="AE792" s="37"/>
      <c r="AF792" s="37"/>
      <c r="AG792" s="14"/>
      <c r="AH792" s="14"/>
      <c r="AI792" s="14"/>
      <c r="AZ792" s="24"/>
    </row>
    <row r="793">
      <c r="B793" s="24"/>
      <c r="E793" s="113"/>
      <c r="F793" s="266"/>
      <c r="G793" s="113"/>
      <c r="K793" s="36"/>
      <c r="L793" s="117"/>
      <c r="M793" s="128"/>
      <c r="N793" s="117"/>
      <c r="R793" s="117"/>
      <c r="T793" s="117"/>
      <c r="V793" s="117"/>
      <c r="X793" s="117"/>
      <c r="Y793" s="10"/>
      <c r="Z793" s="11"/>
      <c r="AA793" s="36"/>
      <c r="AB793" s="36"/>
      <c r="AC793" s="13"/>
      <c r="AD793" s="13"/>
      <c r="AE793" s="37"/>
      <c r="AF793" s="37"/>
      <c r="AG793" s="14"/>
      <c r="AH793" s="14"/>
      <c r="AI793" s="14"/>
      <c r="AZ793" s="24"/>
    </row>
    <row r="794">
      <c r="B794" s="24"/>
      <c r="E794" s="113"/>
      <c r="F794" s="266"/>
      <c r="G794" s="113"/>
      <c r="K794" s="36"/>
      <c r="L794" s="117"/>
      <c r="M794" s="128"/>
      <c r="N794" s="117"/>
      <c r="R794" s="117"/>
      <c r="T794" s="117"/>
      <c r="V794" s="117"/>
      <c r="X794" s="117"/>
      <c r="Y794" s="10"/>
      <c r="Z794" s="11"/>
      <c r="AA794" s="36"/>
      <c r="AB794" s="36"/>
      <c r="AC794" s="13"/>
      <c r="AD794" s="13"/>
      <c r="AE794" s="37"/>
      <c r="AF794" s="37"/>
      <c r="AG794" s="14"/>
      <c r="AH794" s="14"/>
      <c r="AI794" s="14"/>
      <c r="AZ794" s="24"/>
    </row>
    <row r="795">
      <c r="B795" s="24"/>
      <c r="E795" s="113"/>
      <c r="F795" s="266"/>
      <c r="G795" s="113"/>
      <c r="K795" s="36"/>
      <c r="L795" s="117"/>
      <c r="M795" s="128"/>
      <c r="N795" s="117"/>
      <c r="R795" s="117"/>
      <c r="T795" s="117"/>
      <c r="V795" s="117"/>
      <c r="X795" s="117"/>
      <c r="Y795" s="10"/>
      <c r="Z795" s="11"/>
      <c r="AA795" s="36"/>
      <c r="AB795" s="36"/>
      <c r="AC795" s="13"/>
      <c r="AD795" s="13"/>
      <c r="AE795" s="37"/>
      <c r="AF795" s="37"/>
      <c r="AG795" s="14"/>
      <c r="AH795" s="14"/>
      <c r="AI795" s="14"/>
      <c r="AZ795" s="24"/>
    </row>
    <row r="796">
      <c r="B796" s="24"/>
      <c r="E796" s="113"/>
      <c r="F796" s="266"/>
      <c r="G796" s="113"/>
      <c r="K796" s="36"/>
      <c r="L796" s="117"/>
      <c r="M796" s="128"/>
      <c r="N796" s="117"/>
      <c r="R796" s="117"/>
      <c r="T796" s="117"/>
      <c r="V796" s="117"/>
      <c r="X796" s="117"/>
      <c r="Y796" s="10"/>
      <c r="Z796" s="11"/>
      <c r="AA796" s="36"/>
      <c r="AB796" s="36"/>
      <c r="AC796" s="13"/>
      <c r="AD796" s="13"/>
      <c r="AE796" s="37"/>
      <c r="AF796" s="37"/>
      <c r="AG796" s="14"/>
      <c r="AH796" s="14"/>
      <c r="AI796" s="14"/>
      <c r="AZ796" s="24"/>
    </row>
    <row r="797">
      <c r="B797" s="24"/>
      <c r="E797" s="113"/>
      <c r="F797" s="266"/>
      <c r="G797" s="113"/>
      <c r="K797" s="36"/>
      <c r="L797" s="117"/>
      <c r="M797" s="128"/>
      <c r="N797" s="117"/>
      <c r="R797" s="117"/>
      <c r="T797" s="117"/>
      <c r="V797" s="117"/>
      <c r="X797" s="117"/>
      <c r="Y797" s="10"/>
      <c r="Z797" s="11"/>
      <c r="AA797" s="36"/>
      <c r="AB797" s="36"/>
      <c r="AC797" s="13"/>
      <c r="AD797" s="13"/>
      <c r="AE797" s="37"/>
      <c r="AF797" s="37"/>
      <c r="AG797" s="14"/>
      <c r="AH797" s="14"/>
      <c r="AI797" s="14"/>
      <c r="AZ797" s="24"/>
    </row>
    <row r="798">
      <c r="B798" s="24"/>
      <c r="E798" s="113"/>
      <c r="F798" s="266"/>
      <c r="G798" s="113"/>
      <c r="K798" s="36"/>
      <c r="L798" s="117"/>
      <c r="M798" s="128"/>
      <c r="N798" s="117"/>
      <c r="R798" s="117"/>
      <c r="T798" s="117"/>
      <c r="V798" s="117"/>
      <c r="X798" s="117"/>
      <c r="Y798" s="10"/>
      <c r="Z798" s="11"/>
      <c r="AA798" s="36"/>
      <c r="AB798" s="36"/>
      <c r="AC798" s="13"/>
      <c r="AD798" s="13"/>
      <c r="AE798" s="37"/>
      <c r="AF798" s="37"/>
      <c r="AG798" s="14"/>
      <c r="AH798" s="14"/>
      <c r="AI798" s="14"/>
      <c r="AZ798" s="24"/>
    </row>
    <row r="799">
      <c r="B799" s="24"/>
      <c r="E799" s="113"/>
      <c r="F799" s="266"/>
      <c r="G799" s="113"/>
      <c r="K799" s="36"/>
      <c r="L799" s="117"/>
      <c r="M799" s="128"/>
      <c r="N799" s="117"/>
      <c r="R799" s="117"/>
      <c r="T799" s="117"/>
      <c r="V799" s="117"/>
      <c r="X799" s="117"/>
      <c r="Y799" s="10"/>
      <c r="Z799" s="11"/>
      <c r="AA799" s="36"/>
      <c r="AB799" s="36"/>
      <c r="AC799" s="13"/>
      <c r="AD799" s="13"/>
      <c r="AE799" s="37"/>
      <c r="AF799" s="37"/>
      <c r="AG799" s="14"/>
      <c r="AH799" s="14"/>
      <c r="AI799" s="14"/>
      <c r="AZ799" s="24"/>
    </row>
    <row r="800">
      <c r="B800" s="24"/>
      <c r="E800" s="113"/>
      <c r="F800" s="266"/>
      <c r="G800" s="113"/>
      <c r="K800" s="36"/>
      <c r="L800" s="117"/>
      <c r="M800" s="128"/>
      <c r="N800" s="117"/>
      <c r="R800" s="117"/>
      <c r="T800" s="117"/>
      <c r="V800" s="117"/>
      <c r="X800" s="117"/>
      <c r="Y800" s="10"/>
      <c r="Z800" s="11"/>
      <c r="AA800" s="36"/>
      <c r="AB800" s="36"/>
      <c r="AC800" s="13"/>
      <c r="AD800" s="13"/>
      <c r="AE800" s="37"/>
      <c r="AF800" s="37"/>
      <c r="AG800" s="14"/>
      <c r="AH800" s="14"/>
      <c r="AI800" s="14"/>
      <c r="AZ800" s="24"/>
    </row>
    <row r="801">
      <c r="B801" s="24"/>
      <c r="E801" s="113"/>
      <c r="F801" s="266"/>
      <c r="G801" s="113"/>
      <c r="K801" s="36"/>
      <c r="L801" s="117"/>
      <c r="M801" s="128"/>
      <c r="N801" s="117"/>
      <c r="R801" s="117"/>
      <c r="T801" s="117"/>
      <c r="V801" s="117"/>
      <c r="X801" s="117"/>
      <c r="Y801" s="10"/>
      <c r="Z801" s="11"/>
      <c r="AA801" s="36"/>
      <c r="AB801" s="36"/>
      <c r="AC801" s="13"/>
      <c r="AD801" s="13"/>
      <c r="AE801" s="37"/>
      <c r="AF801" s="37"/>
      <c r="AG801" s="14"/>
      <c r="AH801" s="14"/>
      <c r="AI801" s="14"/>
      <c r="AZ801" s="24"/>
    </row>
    <row r="802">
      <c r="B802" s="24"/>
      <c r="E802" s="113"/>
      <c r="F802" s="266"/>
      <c r="G802" s="113"/>
      <c r="K802" s="36"/>
      <c r="L802" s="117"/>
      <c r="M802" s="128"/>
      <c r="N802" s="117"/>
      <c r="R802" s="117"/>
      <c r="T802" s="117"/>
      <c r="V802" s="117"/>
      <c r="X802" s="117"/>
      <c r="Y802" s="10"/>
      <c r="Z802" s="11"/>
      <c r="AA802" s="36"/>
      <c r="AB802" s="36"/>
      <c r="AC802" s="13"/>
      <c r="AD802" s="13"/>
      <c r="AE802" s="37"/>
      <c r="AF802" s="37"/>
      <c r="AG802" s="14"/>
      <c r="AH802" s="14"/>
      <c r="AI802" s="14"/>
      <c r="AZ802" s="24"/>
    </row>
    <row r="803">
      <c r="B803" s="24"/>
      <c r="E803" s="113"/>
      <c r="F803" s="266"/>
      <c r="G803" s="113"/>
      <c r="K803" s="36"/>
      <c r="L803" s="117"/>
      <c r="M803" s="128"/>
      <c r="N803" s="117"/>
      <c r="R803" s="117"/>
      <c r="T803" s="117"/>
      <c r="V803" s="117"/>
      <c r="X803" s="117"/>
      <c r="Y803" s="10"/>
      <c r="Z803" s="11"/>
      <c r="AA803" s="36"/>
      <c r="AB803" s="36"/>
      <c r="AC803" s="13"/>
      <c r="AD803" s="13"/>
      <c r="AE803" s="37"/>
      <c r="AF803" s="37"/>
      <c r="AG803" s="14"/>
      <c r="AH803" s="14"/>
      <c r="AI803" s="14"/>
      <c r="AZ803" s="24"/>
    </row>
    <row r="804">
      <c r="B804" s="24"/>
      <c r="E804" s="113"/>
      <c r="F804" s="266"/>
      <c r="G804" s="113"/>
      <c r="K804" s="36"/>
      <c r="L804" s="117"/>
      <c r="M804" s="128"/>
      <c r="N804" s="117"/>
      <c r="R804" s="117"/>
      <c r="T804" s="117"/>
      <c r="V804" s="117"/>
      <c r="X804" s="117"/>
      <c r="Y804" s="10"/>
      <c r="Z804" s="11"/>
      <c r="AA804" s="36"/>
      <c r="AB804" s="36"/>
      <c r="AC804" s="13"/>
      <c r="AD804" s="13"/>
      <c r="AE804" s="37"/>
      <c r="AF804" s="37"/>
      <c r="AG804" s="14"/>
      <c r="AH804" s="14"/>
      <c r="AI804" s="14"/>
      <c r="AZ804" s="24"/>
    </row>
    <row r="805">
      <c r="B805" s="24"/>
      <c r="E805" s="113"/>
      <c r="F805" s="266"/>
      <c r="G805" s="113"/>
      <c r="K805" s="36"/>
      <c r="L805" s="117"/>
      <c r="M805" s="128"/>
      <c r="N805" s="117"/>
      <c r="R805" s="117"/>
      <c r="T805" s="117"/>
      <c r="V805" s="117"/>
      <c r="X805" s="117"/>
      <c r="Y805" s="10"/>
      <c r="Z805" s="11"/>
      <c r="AA805" s="36"/>
      <c r="AB805" s="36"/>
      <c r="AC805" s="13"/>
      <c r="AD805" s="13"/>
      <c r="AE805" s="37"/>
      <c r="AF805" s="37"/>
      <c r="AG805" s="14"/>
      <c r="AH805" s="14"/>
      <c r="AI805" s="14"/>
      <c r="AZ805" s="24"/>
    </row>
    <row r="806">
      <c r="B806" s="24"/>
      <c r="E806" s="113"/>
      <c r="F806" s="266"/>
      <c r="G806" s="113"/>
      <c r="K806" s="36"/>
      <c r="L806" s="117"/>
      <c r="M806" s="128"/>
      <c r="N806" s="117"/>
      <c r="R806" s="117"/>
      <c r="T806" s="117"/>
      <c r="V806" s="117"/>
      <c r="X806" s="117"/>
      <c r="Y806" s="10"/>
      <c r="Z806" s="11"/>
      <c r="AA806" s="36"/>
      <c r="AB806" s="36"/>
      <c r="AC806" s="13"/>
      <c r="AD806" s="13"/>
      <c r="AE806" s="37"/>
      <c r="AF806" s="37"/>
      <c r="AG806" s="14"/>
      <c r="AH806" s="14"/>
      <c r="AI806" s="14"/>
      <c r="AZ806" s="24"/>
    </row>
    <row r="807">
      <c r="B807" s="24"/>
      <c r="E807" s="113"/>
      <c r="F807" s="266"/>
      <c r="G807" s="113"/>
      <c r="K807" s="36"/>
      <c r="L807" s="117"/>
      <c r="M807" s="128"/>
      <c r="N807" s="117"/>
      <c r="R807" s="117"/>
      <c r="T807" s="117"/>
      <c r="V807" s="117"/>
      <c r="X807" s="117"/>
      <c r="Y807" s="10"/>
      <c r="Z807" s="11"/>
      <c r="AA807" s="36"/>
      <c r="AB807" s="36"/>
      <c r="AC807" s="13"/>
      <c r="AD807" s="13"/>
      <c r="AE807" s="37"/>
      <c r="AF807" s="37"/>
      <c r="AG807" s="14"/>
      <c r="AH807" s="14"/>
      <c r="AI807" s="14"/>
      <c r="AZ807" s="24"/>
    </row>
    <row r="808">
      <c r="B808" s="24"/>
      <c r="E808" s="113"/>
      <c r="F808" s="266"/>
      <c r="G808" s="113"/>
      <c r="K808" s="36"/>
      <c r="L808" s="117"/>
      <c r="M808" s="128"/>
      <c r="N808" s="117"/>
      <c r="R808" s="117"/>
      <c r="T808" s="117"/>
      <c r="V808" s="117"/>
      <c r="X808" s="117"/>
      <c r="Y808" s="10"/>
      <c r="Z808" s="11"/>
      <c r="AA808" s="36"/>
      <c r="AB808" s="36"/>
      <c r="AC808" s="13"/>
      <c r="AD808" s="13"/>
      <c r="AE808" s="37"/>
      <c r="AF808" s="37"/>
      <c r="AG808" s="14"/>
      <c r="AH808" s="14"/>
      <c r="AI808" s="14"/>
      <c r="AZ808" s="24"/>
    </row>
    <row r="809">
      <c r="B809" s="24"/>
      <c r="E809" s="113"/>
      <c r="F809" s="266"/>
      <c r="G809" s="113"/>
      <c r="K809" s="36"/>
      <c r="L809" s="117"/>
      <c r="M809" s="128"/>
      <c r="N809" s="117"/>
      <c r="R809" s="117"/>
      <c r="T809" s="117"/>
      <c r="V809" s="117"/>
      <c r="X809" s="117"/>
      <c r="Y809" s="10"/>
      <c r="Z809" s="11"/>
      <c r="AA809" s="36"/>
      <c r="AB809" s="36"/>
      <c r="AC809" s="13"/>
      <c r="AD809" s="13"/>
      <c r="AE809" s="37"/>
      <c r="AF809" s="37"/>
      <c r="AG809" s="14"/>
      <c r="AH809" s="14"/>
      <c r="AI809" s="14"/>
      <c r="AZ809" s="24"/>
    </row>
    <row r="810">
      <c r="B810" s="24"/>
      <c r="E810" s="113"/>
      <c r="F810" s="266"/>
      <c r="G810" s="113"/>
      <c r="K810" s="36"/>
      <c r="L810" s="117"/>
      <c r="M810" s="128"/>
      <c r="N810" s="117"/>
      <c r="R810" s="117"/>
      <c r="T810" s="117"/>
      <c r="V810" s="117"/>
      <c r="X810" s="117"/>
      <c r="Y810" s="10"/>
      <c r="Z810" s="11"/>
      <c r="AA810" s="36"/>
      <c r="AB810" s="36"/>
      <c r="AC810" s="13"/>
      <c r="AD810" s="13"/>
      <c r="AE810" s="37"/>
      <c r="AF810" s="37"/>
      <c r="AG810" s="14"/>
      <c r="AH810" s="14"/>
      <c r="AI810" s="14"/>
      <c r="AZ810" s="24"/>
    </row>
    <row r="811">
      <c r="B811" s="24"/>
      <c r="E811" s="113"/>
      <c r="F811" s="266"/>
      <c r="G811" s="113"/>
      <c r="K811" s="36"/>
      <c r="L811" s="117"/>
      <c r="M811" s="128"/>
      <c r="N811" s="117"/>
      <c r="R811" s="117"/>
      <c r="T811" s="117"/>
      <c r="V811" s="117"/>
      <c r="X811" s="117"/>
      <c r="Y811" s="10"/>
      <c r="Z811" s="11"/>
      <c r="AA811" s="36"/>
      <c r="AB811" s="36"/>
      <c r="AC811" s="13"/>
      <c r="AD811" s="13"/>
      <c r="AE811" s="37"/>
      <c r="AF811" s="37"/>
      <c r="AG811" s="14"/>
      <c r="AH811" s="14"/>
      <c r="AI811" s="14"/>
      <c r="AZ811" s="24"/>
    </row>
    <row r="812">
      <c r="B812" s="24"/>
      <c r="E812" s="113"/>
      <c r="F812" s="266"/>
      <c r="G812" s="113"/>
      <c r="K812" s="36"/>
      <c r="L812" s="117"/>
      <c r="M812" s="128"/>
      <c r="N812" s="117"/>
      <c r="R812" s="117"/>
      <c r="T812" s="117"/>
      <c r="V812" s="117"/>
      <c r="X812" s="117"/>
      <c r="Y812" s="10"/>
      <c r="Z812" s="11"/>
      <c r="AA812" s="36"/>
      <c r="AB812" s="36"/>
      <c r="AC812" s="13"/>
      <c r="AD812" s="13"/>
      <c r="AE812" s="37"/>
      <c r="AF812" s="37"/>
      <c r="AG812" s="14"/>
      <c r="AH812" s="14"/>
      <c r="AI812" s="14"/>
      <c r="AZ812" s="24"/>
    </row>
    <row r="813">
      <c r="B813" s="24"/>
      <c r="E813" s="113"/>
      <c r="F813" s="266"/>
      <c r="G813" s="113"/>
      <c r="K813" s="36"/>
      <c r="L813" s="117"/>
      <c r="M813" s="128"/>
      <c r="N813" s="117"/>
      <c r="R813" s="117"/>
      <c r="T813" s="117"/>
      <c r="V813" s="117"/>
      <c r="X813" s="117"/>
      <c r="Y813" s="10"/>
      <c r="Z813" s="11"/>
      <c r="AA813" s="36"/>
      <c r="AB813" s="36"/>
      <c r="AC813" s="13"/>
      <c r="AD813" s="13"/>
      <c r="AE813" s="37"/>
      <c r="AF813" s="37"/>
      <c r="AG813" s="14"/>
      <c r="AH813" s="14"/>
      <c r="AI813" s="14"/>
      <c r="AZ813" s="24"/>
    </row>
    <row r="814">
      <c r="B814" s="24"/>
      <c r="E814" s="113"/>
      <c r="F814" s="266"/>
      <c r="G814" s="113"/>
      <c r="K814" s="36"/>
      <c r="L814" s="117"/>
      <c r="M814" s="128"/>
      <c r="N814" s="117"/>
      <c r="R814" s="117"/>
      <c r="T814" s="117"/>
      <c r="V814" s="117"/>
      <c r="X814" s="117"/>
      <c r="Y814" s="10"/>
      <c r="Z814" s="11"/>
      <c r="AA814" s="36"/>
      <c r="AB814" s="36"/>
      <c r="AC814" s="13"/>
      <c r="AD814" s="13"/>
      <c r="AE814" s="37"/>
      <c r="AF814" s="37"/>
      <c r="AG814" s="14"/>
      <c r="AH814" s="14"/>
      <c r="AI814" s="14"/>
      <c r="AZ814" s="24"/>
    </row>
    <row r="815">
      <c r="B815" s="24"/>
      <c r="E815" s="113"/>
      <c r="F815" s="266"/>
      <c r="G815" s="113"/>
      <c r="K815" s="36"/>
      <c r="L815" s="117"/>
      <c r="M815" s="128"/>
      <c r="N815" s="117"/>
      <c r="R815" s="117"/>
      <c r="T815" s="117"/>
      <c r="V815" s="117"/>
      <c r="X815" s="117"/>
      <c r="Y815" s="10"/>
      <c r="Z815" s="11"/>
      <c r="AA815" s="36"/>
      <c r="AB815" s="36"/>
      <c r="AC815" s="13"/>
      <c r="AD815" s="13"/>
      <c r="AE815" s="37"/>
      <c r="AF815" s="37"/>
      <c r="AG815" s="14"/>
      <c r="AH815" s="14"/>
      <c r="AI815" s="14"/>
      <c r="AZ815" s="24"/>
    </row>
    <row r="816">
      <c r="B816" s="24"/>
      <c r="E816" s="113"/>
      <c r="F816" s="266"/>
      <c r="G816" s="113"/>
      <c r="K816" s="36"/>
      <c r="L816" s="117"/>
      <c r="M816" s="128"/>
      <c r="N816" s="117"/>
      <c r="R816" s="117"/>
      <c r="T816" s="117"/>
      <c r="V816" s="117"/>
      <c r="X816" s="117"/>
      <c r="Y816" s="10"/>
      <c r="Z816" s="11"/>
      <c r="AA816" s="36"/>
      <c r="AB816" s="36"/>
      <c r="AC816" s="13"/>
      <c r="AD816" s="13"/>
      <c r="AE816" s="37"/>
      <c r="AF816" s="37"/>
      <c r="AG816" s="14"/>
      <c r="AH816" s="14"/>
      <c r="AI816" s="14"/>
      <c r="AZ816" s="24"/>
    </row>
    <row r="817">
      <c r="B817" s="24"/>
      <c r="E817" s="113"/>
      <c r="F817" s="266"/>
      <c r="G817" s="113"/>
      <c r="K817" s="36"/>
      <c r="L817" s="117"/>
      <c r="M817" s="128"/>
      <c r="N817" s="117"/>
      <c r="R817" s="117"/>
      <c r="T817" s="117"/>
      <c r="V817" s="117"/>
      <c r="X817" s="117"/>
      <c r="Y817" s="10"/>
      <c r="Z817" s="11"/>
      <c r="AA817" s="36"/>
      <c r="AB817" s="36"/>
      <c r="AC817" s="13"/>
      <c r="AD817" s="13"/>
      <c r="AE817" s="37"/>
      <c r="AF817" s="37"/>
      <c r="AG817" s="14"/>
      <c r="AH817" s="14"/>
      <c r="AI817" s="14"/>
      <c r="AZ817" s="24"/>
    </row>
    <row r="818">
      <c r="B818" s="24"/>
      <c r="E818" s="113"/>
      <c r="F818" s="266"/>
      <c r="G818" s="113"/>
      <c r="K818" s="36"/>
      <c r="L818" s="117"/>
      <c r="M818" s="128"/>
      <c r="N818" s="117"/>
      <c r="R818" s="117"/>
      <c r="T818" s="117"/>
      <c r="V818" s="117"/>
      <c r="X818" s="117"/>
      <c r="Y818" s="10"/>
      <c r="Z818" s="11"/>
      <c r="AA818" s="36"/>
      <c r="AB818" s="36"/>
      <c r="AC818" s="13"/>
      <c r="AD818" s="13"/>
      <c r="AE818" s="37"/>
      <c r="AF818" s="37"/>
      <c r="AG818" s="14"/>
      <c r="AH818" s="14"/>
      <c r="AI818" s="14"/>
      <c r="AZ818" s="24"/>
    </row>
    <row r="819">
      <c r="B819" s="24"/>
      <c r="E819" s="113"/>
      <c r="F819" s="266"/>
      <c r="G819" s="113"/>
      <c r="K819" s="36"/>
      <c r="L819" s="117"/>
      <c r="M819" s="128"/>
      <c r="N819" s="117"/>
      <c r="R819" s="117"/>
      <c r="T819" s="117"/>
      <c r="V819" s="117"/>
      <c r="X819" s="117"/>
      <c r="Y819" s="10"/>
      <c r="Z819" s="11"/>
      <c r="AA819" s="36"/>
      <c r="AB819" s="36"/>
      <c r="AC819" s="13"/>
      <c r="AD819" s="13"/>
      <c r="AE819" s="37"/>
      <c r="AF819" s="37"/>
      <c r="AG819" s="14"/>
      <c r="AH819" s="14"/>
      <c r="AI819" s="14"/>
      <c r="AZ819" s="24"/>
    </row>
    <row r="820">
      <c r="B820" s="24"/>
      <c r="E820" s="113"/>
      <c r="F820" s="266"/>
      <c r="G820" s="113"/>
      <c r="K820" s="36"/>
      <c r="L820" s="117"/>
      <c r="M820" s="128"/>
      <c r="N820" s="117"/>
      <c r="R820" s="117"/>
      <c r="T820" s="117"/>
      <c r="V820" s="117"/>
      <c r="X820" s="117"/>
      <c r="Y820" s="10"/>
      <c r="Z820" s="11"/>
      <c r="AA820" s="36"/>
      <c r="AB820" s="36"/>
      <c r="AC820" s="13"/>
      <c r="AD820" s="13"/>
      <c r="AE820" s="37"/>
      <c r="AF820" s="37"/>
      <c r="AG820" s="14"/>
      <c r="AH820" s="14"/>
      <c r="AI820" s="14"/>
      <c r="AZ820" s="24"/>
    </row>
    <row r="821">
      <c r="B821" s="24"/>
      <c r="E821" s="113"/>
      <c r="F821" s="266"/>
      <c r="G821" s="113"/>
      <c r="K821" s="36"/>
      <c r="L821" s="117"/>
      <c r="M821" s="128"/>
      <c r="N821" s="117"/>
      <c r="R821" s="117"/>
      <c r="T821" s="117"/>
      <c r="V821" s="117"/>
      <c r="X821" s="117"/>
      <c r="Y821" s="10"/>
      <c r="Z821" s="11"/>
      <c r="AA821" s="36"/>
      <c r="AB821" s="36"/>
      <c r="AC821" s="13"/>
      <c r="AD821" s="13"/>
      <c r="AE821" s="37"/>
      <c r="AF821" s="37"/>
      <c r="AG821" s="14"/>
      <c r="AH821" s="14"/>
      <c r="AI821" s="14"/>
      <c r="AZ821" s="24"/>
    </row>
    <row r="822">
      <c r="B822" s="24"/>
      <c r="E822" s="113"/>
      <c r="F822" s="266"/>
      <c r="G822" s="113"/>
      <c r="K822" s="36"/>
      <c r="L822" s="117"/>
      <c r="M822" s="128"/>
      <c r="N822" s="117"/>
      <c r="R822" s="117"/>
      <c r="T822" s="117"/>
      <c r="V822" s="117"/>
      <c r="X822" s="117"/>
      <c r="Y822" s="10"/>
      <c r="Z822" s="11"/>
      <c r="AA822" s="36"/>
      <c r="AB822" s="36"/>
      <c r="AC822" s="13"/>
      <c r="AD822" s="13"/>
      <c r="AE822" s="37"/>
      <c r="AF822" s="37"/>
      <c r="AG822" s="14"/>
      <c r="AH822" s="14"/>
      <c r="AI822" s="14"/>
      <c r="AZ822" s="24"/>
    </row>
    <row r="823">
      <c r="B823" s="24"/>
      <c r="E823" s="113"/>
      <c r="F823" s="266"/>
      <c r="G823" s="113"/>
      <c r="K823" s="36"/>
      <c r="L823" s="117"/>
      <c r="M823" s="128"/>
      <c r="N823" s="117"/>
      <c r="R823" s="117"/>
      <c r="T823" s="117"/>
      <c r="V823" s="117"/>
      <c r="X823" s="117"/>
      <c r="Y823" s="10"/>
      <c r="Z823" s="11"/>
      <c r="AA823" s="36"/>
      <c r="AB823" s="36"/>
      <c r="AC823" s="13"/>
      <c r="AD823" s="13"/>
      <c r="AE823" s="37"/>
      <c r="AF823" s="37"/>
      <c r="AG823" s="14"/>
      <c r="AH823" s="14"/>
      <c r="AI823" s="14"/>
      <c r="AZ823" s="24"/>
    </row>
    <row r="824">
      <c r="B824" s="24"/>
      <c r="E824" s="113"/>
      <c r="F824" s="266"/>
      <c r="G824" s="113"/>
      <c r="K824" s="36"/>
      <c r="L824" s="117"/>
      <c r="M824" s="128"/>
      <c r="N824" s="117"/>
      <c r="R824" s="117"/>
      <c r="T824" s="117"/>
      <c r="V824" s="117"/>
      <c r="X824" s="117"/>
      <c r="Y824" s="10"/>
      <c r="Z824" s="11"/>
      <c r="AA824" s="36"/>
      <c r="AB824" s="36"/>
      <c r="AC824" s="13"/>
      <c r="AD824" s="13"/>
      <c r="AE824" s="37"/>
      <c r="AF824" s="37"/>
      <c r="AG824" s="14"/>
      <c r="AH824" s="14"/>
      <c r="AI824" s="14"/>
      <c r="AZ824" s="24"/>
    </row>
    <row r="825">
      <c r="B825" s="24"/>
      <c r="E825" s="113"/>
      <c r="F825" s="266"/>
      <c r="G825" s="113"/>
      <c r="K825" s="36"/>
      <c r="L825" s="117"/>
      <c r="M825" s="128"/>
      <c r="N825" s="117"/>
      <c r="R825" s="117"/>
      <c r="T825" s="117"/>
      <c r="V825" s="117"/>
      <c r="X825" s="117"/>
      <c r="Y825" s="10"/>
      <c r="Z825" s="11"/>
      <c r="AA825" s="36"/>
      <c r="AB825" s="36"/>
      <c r="AC825" s="13"/>
      <c r="AD825" s="13"/>
      <c r="AE825" s="37"/>
      <c r="AF825" s="37"/>
      <c r="AG825" s="14"/>
      <c r="AH825" s="14"/>
      <c r="AI825" s="14"/>
      <c r="AZ825" s="24"/>
    </row>
    <row r="826">
      <c r="B826" s="24"/>
      <c r="E826" s="113"/>
      <c r="F826" s="266"/>
      <c r="G826" s="113"/>
      <c r="K826" s="36"/>
      <c r="L826" s="117"/>
      <c r="M826" s="128"/>
      <c r="N826" s="117"/>
      <c r="R826" s="117"/>
      <c r="T826" s="117"/>
      <c r="V826" s="117"/>
      <c r="X826" s="117"/>
      <c r="Y826" s="10"/>
      <c r="Z826" s="11"/>
      <c r="AA826" s="36"/>
      <c r="AB826" s="36"/>
      <c r="AC826" s="13"/>
      <c r="AD826" s="13"/>
      <c r="AE826" s="37"/>
      <c r="AF826" s="37"/>
      <c r="AG826" s="14"/>
      <c r="AH826" s="14"/>
      <c r="AI826" s="14"/>
      <c r="AZ826" s="24"/>
    </row>
    <row r="827">
      <c r="B827" s="24"/>
      <c r="E827" s="113"/>
      <c r="F827" s="266"/>
      <c r="G827" s="113"/>
      <c r="K827" s="36"/>
      <c r="L827" s="117"/>
      <c r="M827" s="128"/>
      <c r="N827" s="117"/>
      <c r="R827" s="117"/>
      <c r="T827" s="117"/>
      <c r="V827" s="117"/>
      <c r="X827" s="117"/>
      <c r="Y827" s="10"/>
      <c r="Z827" s="11"/>
      <c r="AA827" s="36"/>
      <c r="AB827" s="36"/>
      <c r="AC827" s="13"/>
      <c r="AD827" s="13"/>
      <c r="AE827" s="37"/>
      <c r="AF827" s="37"/>
      <c r="AG827" s="14"/>
      <c r="AH827" s="14"/>
      <c r="AI827" s="14"/>
      <c r="AZ827" s="24"/>
    </row>
    <row r="828">
      <c r="B828" s="24"/>
      <c r="E828" s="113"/>
      <c r="F828" s="266"/>
      <c r="G828" s="113"/>
      <c r="K828" s="36"/>
      <c r="L828" s="117"/>
      <c r="M828" s="128"/>
      <c r="N828" s="117"/>
      <c r="R828" s="117"/>
      <c r="T828" s="117"/>
      <c r="V828" s="117"/>
      <c r="X828" s="117"/>
      <c r="Y828" s="10"/>
      <c r="Z828" s="11"/>
      <c r="AA828" s="36"/>
      <c r="AB828" s="36"/>
      <c r="AC828" s="13"/>
      <c r="AD828" s="13"/>
      <c r="AE828" s="37"/>
      <c r="AF828" s="37"/>
      <c r="AG828" s="14"/>
      <c r="AH828" s="14"/>
      <c r="AI828" s="14"/>
      <c r="AZ828" s="24"/>
    </row>
    <row r="829">
      <c r="B829" s="24"/>
      <c r="E829" s="113"/>
      <c r="F829" s="266"/>
      <c r="G829" s="113"/>
      <c r="K829" s="36"/>
      <c r="L829" s="117"/>
      <c r="M829" s="128"/>
      <c r="N829" s="117"/>
      <c r="R829" s="117"/>
      <c r="T829" s="117"/>
      <c r="V829" s="117"/>
      <c r="X829" s="117"/>
      <c r="Y829" s="10"/>
      <c r="Z829" s="11"/>
      <c r="AA829" s="36"/>
      <c r="AB829" s="36"/>
      <c r="AC829" s="13"/>
      <c r="AD829" s="13"/>
      <c r="AE829" s="37"/>
      <c r="AF829" s="37"/>
      <c r="AG829" s="14"/>
      <c r="AH829" s="14"/>
      <c r="AI829" s="14"/>
      <c r="AZ829" s="24"/>
    </row>
    <row r="830">
      <c r="B830" s="24"/>
      <c r="E830" s="113"/>
      <c r="F830" s="266"/>
      <c r="G830" s="113"/>
      <c r="K830" s="36"/>
      <c r="L830" s="117"/>
      <c r="M830" s="128"/>
      <c r="N830" s="117"/>
      <c r="R830" s="117"/>
      <c r="T830" s="117"/>
      <c r="V830" s="117"/>
      <c r="X830" s="117"/>
      <c r="Y830" s="10"/>
      <c r="Z830" s="11"/>
      <c r="AA830" s="36"/>
      <c r="AB830" s="36"/>
      <c r="AC830" s="13"/>
      <c r="AD830" s="13"/>
      <c r="AE830" s="37"/>
      <c r="AF830" s="37"/>
      <c r="AG830" s="14"/>
      <c r="AH830" s="14"/>
      <c r="AI830" s="14"/>
      <c r="AZ830" s="24"/>
    </row>
    <row r="831">
      <c r="B831" s="24"/>
      <c r="E831" s="113"/>
      <c r="F831" s="266"/>
      <c r="G831" s="113"/>
      <c r="K831" s="36"/>
      <c r="L831" s="117"/>
      <c r="M831" s="128"/>
      <c r="N831" s="117"/>
      <c r="R831" s="117"/>
      <c r="T831" s="117"/>
      <c r="V831" s="117"/>
      <c r="X831" s="117"/>
      <c r="Y831" s="10"/>
      <c r="Z831" s="11"/>
      <c r="AA831" s="36"/>
      <c r="AB831" s="36"/>
      <c r="AC831" s="13"/>
      <c r="AD831" s="13"/>
      <c r="AE831" s="37"/>
      <c r="AF831" s="37"/>
      <c r="AG831" s="14"/>
      <c r="AH831" s="14"/>
      <c r="AI831" s="14"/>
      <c r="AZ831" s="24"/>
    </row>
    <row r="832">
      <c r="B832" s="24"/>
      <c r="E832" s="113"/>
      <c r="F832" s="266"/>
      <c r="G832" s="113"/>
      <c r="K832" s="36"/>
      <c r="L832" s="117"/>
      <c r="M832" s="128"/>
      <c r="N832" s="117"/>
      <c r="R832" s="117"/>
      <c r="T832" s="117"/>
      <c r="V832" s="117"/>
      <c r="X832" s="117"/>
      <c r="Y832" s="10"/>
      <c r="Z832" s="11"/>
      <c r="AA832" s="36"/>
      <c r="AB832" s="36"/>
      <c r="AC832" s="13"/>
      <c r="AD832" s="13"/>
      <c r="AE832" s="37"/>
      <c r="AF832" s="37"/>
      <c r="AG832" s="14"/>
      <c r="AH832" s="14"/>
      <c r="AI832" s="14"/>
      <c r="AZ832" s="24"/>
    </row>
    <row r="833">
      <c r="B833" s="24"/>
      <c r="E833" s="113"/>
      <c r="F833" s="266"/>
      <c r="G833" s="113"/>
      <c r="K833" s="36"/>
      <c r="L833" s="117"/>
      <c r="M833" s="128"/>
      <c r="N833" s="117"/>
      <c r="R833" s="117"/>
      <c r="T833" s="117"/>
      <c r="V833" s="117"/>
      <c r="X833" s="117"/>
      <c r="Y833" s="10"/>
      <c r="Z833" s="11"/>
      <c r="AA833" s="36"/>
      <c r="AB833" s="36"/>
      <c r="AC833" s="13"/>
      <c r="AD833" s="13"/>
      <c r="AE833" s="37"/>
      <c r="AF833" s="37"/>
      <c r="AG833" s="14"/>
      <c r="AH833" s="14"/>
      <c r="AI833" s="14"/>
      <c r="AZ833" s="24"/>
    </row>
    <row r="834">
      <c r="B834" s="24"/>
      <c r="E834" s="113"/>
      <c r="F834" s="266"/>
      <c r="G834" s="113"/>
      <c r="K834" s="36"/>
      <c r="L834" s="117"/>
      <c r="M834" s="128"/>
      <c r="N834" s="117"/>
      <c r="R834" s="117"/>
      <c r="T834" s="117"/>
      <c r="V834" s="117"/>
      <c r="X834" s="117"/>
      <c r="Y834" s="10"/>
      <c r="Z834" s="11"/>
      <c r="AA834" s="36"/>
      <c r="AB834" s="36"/>
      <c r="AC834" s="13"/>
      <c r="AD834" s="13"/>
      <c r="AE834" s="37"/>
      <c r="AF834" s="37"/>
      <c r="AG834" s="14"/>
      <c r="AH834" s="14"/>
      <c r="AI834" s="14"/>
      <c r="AZ834" s="24"/>
    </row>
    <row r="835">
      <c r="B835" s="24"/>
      <c r="E835" s="113"/>
      <c r="F835" s="266"/>
      <c r="G835" s="113"/>
      <c r="K835" s="36"/>
      <c r="L835" s="117"/>
      <c r="M835" s="128"/>
      <c r="N835" s="117"/>
      <c r="R835" s="117"/>
      <c r="T835" s="117"/>
      <c r="V835" s="117"/>
      <c r="X835" s="117"/>
      <c r="Y835" s="10"/>
      <c r="Z835" s="11"/>
      <c r="AA835" s="36"/>
      <c r="AB835" s="36"/>
      <c r="AC835" s="13"/>
      <c r="AD835" s="13"/>
      <c r="AE835" s="37"/>
      <c r="AF835" s="37"/>
      <c r="AG835" s="14"/>
      <c r="AH835" s="14"/>
      <c r="AI835" s="14"/>
      <c r="AZ835" s="24"/>
    </row>
    <row r="836">
      <c r="B836" s="24"/>
      <c r="E836" s="113"/>
      <c r="F836" s="266"/>
      <c r="G836" s="113"/>
      <c r="K836" s="36"/>
      <c r="L836" s="117"/>
      <c r="M836" s="128"/>
      <c r="N836" s="117"/>
      <c r="R836" s="117"/>
      <c r="T836" s="117"/>
      <c r="V836" s="117"/>
      <c r="X836" s="117"/>
      <c r="Y836" s="10"/>
      <c r="Z836" s="11"/>
      <c r="AA836" s="36"/>
      <c r="AB836" s="36"/>
      <c r="AC836" s="13"/>
      <c r="AD836" s="13"/>
      <c r="AE836" s="37"/>
      <c r="AF836" s="37"/>
      <c r="AG836" s="14"/>
      <c r="AH836" s="14"/>
      <c r="AI836" s="14"/>
      <c r="AZ836" s="24"/>
    </row>
    <row r="837">
      <c r="B837" s="24"/>
      <c r="E837" s="113"/>
      <c r="F837" s="266"/>
      <c r="G837" s="113"/>
      <c r="K837" s="36"/>
      <c r="L837" s="117"/>
      <c r="M837" s="128"/>
      <c r="N837" s="117"/>
      <c r="R837" s="117"/>
      <c r="T837" s="117"/>
      <c r="V837" s="117"/>
      <c r="X837" s="117"/>
      <c r="Y837" s="10"/>
      <c r="Z837" s="11"/>
      <c r="AA837" s="36"/>
      <c r="AB837" s="36"/>
      <c r="AC837" s="13"/>
      <c r="AD837" s="13"/>
      <c r="AE837" s="37"/>
      <c r="AF837" s="37"/>
      <c r="AG837" s="14"/>
      <c r="AH837" s="14"/>
      <c r="AI837" s="14"/>
      <c r="AZ837" s="24"/>
    </row>
    <row r="838">
      <c r="B838" s="24"/>
      <c r="E838" s="113"/>
      <c r="F838" s="266"/>
      <c r="G838" s="113"/>
      <c r="K838" s="36"/>
      <c r="L838" s="117"/>
      <c r="M838" s="128"/>
      <c r="N838" s="117"/>
      <c r="R838" s="117"/>
      <c r="T838" s="117"/>
      <c r="V838" s="117"/>
      <c r="X838" s="117"/>
      <c r="Y838" s="10"/>
      <c r="Z838" s="11"/>
      <c r="AA838" s="36"/>
      <c r="AB838" s="36"/>
      <c r="AC838" s="13"/>
      <c r="AD838" s="13"/>
      <c r="AE838" s="37"/>
      <c r="AF838" s="37"/>
      <c r="AG838" s="14"/>
      <c r="AH838" s="14"/>
      <c r="AI838" s="14"/>
      <c r="AZ838" s="24"/>
    </row>
    <row r="839">
      <c r="B839" s="24"/>
      <c r="E839" s="113"/>
      <c r="F839" s="266"/>
      <c r="G839" s="113"/>
      <c r="K839" s="36"/>
      <c r="L839" s="117"/>
      <c r="M839" s="128"/>
      <c r="N839" s="117"/>
      <c r="R839" s="117"/>
      <c r="T839" s="117"/>
      <c r="V839" s="117"/>
      <c r="X839" s="117"/>
      <c r="Y839" s="10"/>
      <c r="Z839" s="11"/>
      <c r="AA839" s="36"/>
      <c r="AB839" s="36"/>
      <c r="AC839" s="13"/>
      <c r="AD839" s="13"/>
      <c r="AE839" s="37"/>
      <c r="AF839" s="37"/>
      <c r="AG839" s="14"/>
      <c r="AH839" s="14"/>
      <c r="AI839" s="14"/>
      <c r="AZ839" s="24"/>
    </row>
    <row r="840">
      <c r="B840" s="24"/>
      <c r="E840" s="113"/>
      <c r="F840" s="266"/>
      <c r="G840" s="113"/>
      <c r="K840" s="36"/>
      <c r="L840" s="117"/>
      <c r="M840" s="128"/>
      <c r="N840" s="117"/>
      <c r="R840" s="117"/>
      <c r="T840" s="117"/>
      <c r="V840" s="117"/>
      <c r="X840" s="117"/>
      <c r="Y840" s="10"/>
      <c r="Z840" s="11"/>
      <c r="AA840" s="36"/>
      <c r="AB840" s="36"/>
      <c r="AC840" s="13"/>
      <c r="AD840" s="13"/>
      <c r="AE840" s="37"/>
      <c r="AF840" s="37"/>
      <c r="AG840" s="14"/>
      <c r="AH840" s="14"/>
      <c r="AI840" s="14"/>
      <c r="AZ840" s="24"/>
    </row>
    <row r="841">
      <c r="B841" s="24"/>
      <c r="E841" s="113"/>
      <c r="F841" s="266"/>
      <c r="G841" s="113"/>
      <c r="K841" s="36"/>
      <c r="L841" s="117"/>
      <c r="M841" s="128"/>
      <c r="N841" s="117"/>
      <c r="R841" s="117"/>
      <c r="T841" s="117"/>
      <c r="V841" s="117"/>
      <c r="X841" s="117"/>
      <c r="Y841" s="10"/>
      <c r="Z841" s="11"/>
      <c r="AA841" s="36"/>
      <c r="AB841" s="36"/>
      <c r="AC841" s="13"/>
      <c r="AD841" s="13"/>
      <c r="AE841" s="37"/>
      <c r="AF841" s="37"/>
      <c r="AG841" s="14"/>
      <c r="AH841" s="14"/>
      <c r="AI841" s="14"/>
      <c r="AZ841" s="24"/>
    </row>
    <row r="842">
      <c r="B842" s="24"/>
      <c r="E842" s="113"/>
      <c r="F842" s="266"/>
      <c r="G842" s="113"/>
      <c r="K842" s="36"/>
      <c r="L842" s="117"/>
      <c r="M842" s="128"/>
      <c r="N842" s="117"/>
      <c r="R842" s="117"/>
      <c r="T842" s="117"/>
      <c r="V842" s="117"/>
      <c r="X842" s="117"/>
      <c r="Y842" s="10"/>
      <c r="Z842" s="11"/>
      <c r="AA842" s="36"/>
      <c r="AB842" s="36"/>
      <c r="AC842" s="13"/>
      <c r="AD842" s="13"/>
      <c r="AE842" s="37"/>
      <c r="AF842" s="37"/>
      <c r="AG842" s="14"/>
      <c r="AH842" s="14"/>
      <c r="AI842" s="14"/>
      <c r="AZ842" s="24"/>
    </row>
    <row r="843">
      <c r="B843" s="24"/>
      <c r="E843" s="113"/>
      <c r="F843" s="266"/>
      <c r="G843" s="113"/>
      <c r="K843" s="36"/>
      <c r="L843" s="117"/>
      <c r="M843" s="128"/>
      <c r="N843" s="117"/>
      <c r="R843" s="117"/>
      <c r="T843" s="117"/>
      <c r="V843" s="117"/>
      <c r="X843" s="117"/>
      <c r="Y843" s="10"/>
      <c r="Z843" s="11"/>
      <c r="AA843" s="36"/>
      <c r="AB843" s="36"/>
      <c r="AC843" s="13"/>
      <c r="AD843" s="13"/>
      <c r="AE843" s="37"/>
      <c r="AF843" s="37"/>
      <c r="AG843" s="14"/>
      <c r="AH843" s="14"/>
      <c r="AI843" s="14"/>
      <c r="AZ843" s="24"/>
    </row>
    <row r="844">
      <c r="B844" s="24"/>
      <c r="E844" s="113"/>
      <c r="F844" s="266"/>
      <c r="G844" s="113"/>
      <c r="K844" s="36"/>
      <c r="L844" s="117"/>
      <c r="M844" s="128"/>
      <c r="N844" s="117"/>
      <c r="R844" s="117"/>
      <c r="T844" s="117"/>
      <c r="V844" s="117"/>
      <c r="X844" s="117"/>
      <c r="Y844" s="10"/>
      <c r="Z844" s="11"/>
      <c r="AA844" s="36"/>
      <c r="AB844" s="36"/>
      <c r="AC844" s="13"/>
      <c r="AD844" s="13"/>
      <c r="AE844" s="37"/>
      <c r="AF844" s="37"/>
      <c r="AG844" s="14"/>
      <c r="AH844" s="14"/>
      <c r="AI844" s="14"/>
      <c r="AZ844" s="24"/>
    </row>
    <row r="845">
      <c r="B845" s="24"/>
      <c r="E845" s="113"/>
      <c r="F845" s="266"/>
      <c r="G845" s="113"/>
      <c r="K845" s="36"/>
      <c r="L845" s="117"/>
      <c r="M845" s="128"/>
      <c r="N845" s="117"/>
      <c r="R845" s="117"/>
      <c r="T845" s="117"/>
      <c r="V845" s="117"/>
      <c r="X845" s="117"/>
      <c r="Y845" s="10"/>
      <c r="Z845" s="11"/>
      <c r="AA845" s="36"/>
      <c r="AB845" s="36"/>
      <c r="AC845" s="13"/>
      <c r="AD845" s="13"/>
      <c r="AE845" s="37"/>
      <c r="AF845" s="37"/>
      <c r="AG845" s="14"/>
      <c r="AH845" s="14"/>
      <c r="AI845" s="14"/>
      <c r="AZ845" s="24"/>
    </row>
    <row r="846">
      <c r="B846" s="24"/>
      <c r="E846" s="113"/>
      <c r="F846" s="266"/>
      <c r="G846" s="113"/>
      <c r="K846" s="36"/>
      <c r="L846" s="117"/>
      <c r="M846" s="128"/>
      <c r="N846" s="117"/>
      <c r="R846" s="117"/>
      <c r="T846" s="117"/>
      <c r="V846" s="117"/>
      <c r="X846" s="117"/>
      <c r="Y846" s="10"/>
      <c r="Z846" s="11"/>
      <c r="AA846" s="36"/>
      <c r="AB846" s="36"/>
      <c r="AC846" s="13"/>
      <c r="AD846" s="13"/>
      <c r="AE846" s="37"/>
      <c r="AF846" s="37"/>
      <c r="AG846" s="14"/>
      <c r="AH846" s="14"/>
      <c r="AI846" s="14"/>
      <c r="AZ846" s="24"/>
    </row>
    <row r="847">
      <c r="B847" s="24"/>
      <c r="E847" s="113"/>
      <c r="F847" s="266"/>
      <c r="G847" s="113"/>
      <c r="K847" s="36"/>
      <c r="L847" s="117"/>
      <c r="M847" s="128"/>
      <c r="N847" s="117"/>
      <c r="R847" s="117"/>
      <c r="T847" s="117"/>
      <c r="V847" s="117"/>
      <c r="X847" s="117"/>
      <c r="Y847" s="10"/>
      <c r="Z847" s="11"/>
      <c r="AA847" s="36"/>
      <c r="AB847" s="36"/>
      <c r="AC847" s="13"/>
      <c r="AD847" s="13"/>
      <c r="AE847" s="37"/>
      <c r="AF847" s="37"/>
      <c r="AG847" s="14"/>
      <c r="AH847" s="14"/>
      <c r="AI847" s="14"/>
      <c r="AZ847" s="24"/>
    </row>
    <row r="848">
      <c r="B848" s="24"/>
      <c r="E848" s="113"/>
      <c r="F848" s="266"/>
      <c r="G848" s="113"/>
      <c r="K848" s="36"/>
      <c r="L848" s="117"/>
      <c r="M848" s="128"/>
      <c r="N848" s="117"/>
      <c r="R848" s="117"/>
      <c r="T848" s="117"/>
      <c r="V848" s="117"/>
      <c r="X848" s="117"/>
      <c r="Y848" s="10"/>
      <c r="Z848" s="11"/>
      <c r="AA848" s="36"/>
      <c r="AB848" s="36"/>
      <c r="AC848" s="13"/>
      <c r="AD848" s="13"/>
      <c r="AE848" s="37"/>
      <c r="AF848" s="37"/>
      <c r="AG848" s="14"/>
      <c r="AH848" s="14"/>
      <c r="AI848" s="14"/>
      <c r="AZ848" s="24"/>
    </row>
    <row r="849">
      <c r="B849" s="24"/>
      <c r="E849" s="113"/>
      <c r="F849" s="266"/>
      <c r="G849" s="113"/>
      <c r="K849" s="36"/>
      <c r="L849" s="117"/>
      <c r="M849" s="128"/>
      <c r="N849" s="117"/>
      <c r="R849" s="117"/>
      <c r="T849" s="117"/>
      <c r="V849" s="117"/>
      <c r="X849" s="117"/>
      <c r="Y849" s="10"/>
      <c r="Z849" s="11"/>
      <c r="AA849" s="36"/>
      <c r="AB849" s="36"/>
      <c r="AC849" s="13"/>
      <c r="AD849" s="13"/>
      <c r="AE849" s="37"/>
      <c r="AF849" s="37"/>
      <c r="AG849" s="14"/>
      <c r="AH849" s="14"/>
      <c r="AI849" s="14"/>
      <c r="AZ849" s="24"/>
    </row>
    <row r="850">
      <c r="B850" s="24"/>
      <c r="E850" s="113"/>
      <c r="F850" s="266"/>
      <c r="G850" s="113"/>
      <c r="K850" s="36"/>
      <c r="L850" s="117"/>
      <c r="M850" s="128"/>
      <c r="N850" s="117"/>
      <c r="R850" s="117"/>
      <c r="T850" s="117"/>
      <c r="V850" s="117"/>
      <c r="X850" s="117"/>
      <c r="Y850" s="10"/>
      <c r="Z850" s="11"/>
      <c r="AA850" s="36"/>
      <c r="AB850" s="36"/>
      <c r="AC850" s="13"/>
      <c r="AD850" s="13"/>
      <c r="AE850" s="37"/>
      <c r="AF850" s="37"/>
      <c r="AG850" s="14"/>
      <c r="AH850" s="14"/>
      <c r="AI850" s="14"/>
      <c r="AZ850" s="24"/>
    </row>
    <row r="851">
      <c r="B851" s="24"/>
      <c r="E851" s="113"/>
      <c r="F851" s="266"/>
      <c r="G851" s="113"/>
      <c r="K851" s="36"/>
      <c r="L851" s="117"/>
      <c r="M851" s="128"/>
      <c r="N851" s="117"/>
      <c r="R851" s="117"/>
      <c r="T851" s="117"/>
      <c r="V851" s="117"/>
      <c r="X851" s="117"/>
      <c r="Y851" s="10"/>
      <c r="Z851" s="11"/>
      <c r="AA851" s="36"/>
      <c r="AB851" s="36"/>
      <c r="AC851" s="13"/>
      <c r="AD851" s="13"/>
      <c r="AE851" s="37"/>
      <c r="AF851" s="37"/>
      <c r="AG851" s="14"/>
      <c r="AH851" s="14"/>
      <c r="AI851" s="14"/>
      <c r="AZ851" s="24"/>
    </row>
    <row r="852">
      <c r="B852" s="24"/>
      <c r="E852" s="113"/>
      <c r="F852" s="266"/>
      <c r="G852" s="113"/>
      <c r="K852" s="36"/>
      <c r="L852" s="117"/>
      <c r="M852" s="128"/>
      <c r="N852" s="117"/>
      <c r="R852" s="117"/>
      <c r="T852" s="117"/>
      <c r="V852" s="117"/>
      <c r="X852" s="117"/>
      <c r="Y852" s="10"/>
      <c r="Z852" s="11"/>
      <c r="AA852" s="36"/>
      <c r="AB852" s="36"/>
      <c r="AC852" s="13"/>
      <c r="AD852" s="13"/>
      <c r="AE852" s="37"/>
      <c r="AF852" s="37"/>
      <c r="AG852" s="14"/>
      <c r="AH852" s="14"/>
      <c r="AI852" s="14"/>
      <c r="AZ852" s="24"/>
    </row>
    <row r="853">
      <c r="B853" s="24"/>
      <c r="E853" s="113"/>
      <c r="F853" s="266"/>
      <c r="G853" s="113"/>
      <c r="K853" s="36"/>
      <c r="L853" s="117"/>
      <c r="M853" s="128"/>
      <c r="N853" s="117"/>
      <c r="R853" s="117"/>
      <c r="T853" s="117"/>
      <c r="V853" s="117"/>
      <c r="X853" s="117"/>
      <c r="Y853" s="10"/>
      <c r="Z853" s="11"/>
      <c r="AA853" s="36"/>
      <c r="AB853" s="36"/>
      <c r="AC853" s="13"/>
      <c r="AD853" s="13"/>
      <c r="AE853" s="37"/>
      <c r="AF853" s="37"/>
      <c r="AG853" s="14"/>
      <c r="AH853" s="14"/>
      <c r="AI853" s="14"/>
      <c r="AZ853" s="24"/>
    </row>
    <row r="854">
      <c r="B854" s="24"/>
      <c r="E854" s="113"/>
      <c r="F854" s="266"/>
      <c r="G854" s="113"/>
      <c r="K854" s="36"/>
      <c r="L854" s="117"/>
      <c r="M854" s="128"/>
      <c r="N854" s="117"/>
      <c r="R854" s="117"/>
      <c r="T854" s="117"/>
      <c r="V854" s="117"/>
      <c r="X854" s="117"/>
      <c r="Y854" s="10"/>
      <c r="Z854" s="11"/>
      <c r="AA854" s="36"/>
      <c r="AB854" s="36"/>
      <c r="AC854" s="13"/>
      <c r="AD854" s="13"/>
      <c r="AE854" s="37"/>
      <c r="AF854" s="37"/>
      <c r="AG854" s="14"/>
      <c r="AH854" s="14"/>
      <c r="AI854" s="14"/>
      <c r="AZ854" s="24"/>
    </row>
    <row r="855">
      <c r="B855" s="24"/>
      <c r="E855" s="113"/>
      <c r="F855" s="266"/>
      <c r="G855" s="113"/>
      <c r="K855" s="36"/>
      <c r="L855" s="117"/>
      <c r="M855" s="128"/>
      <c r="N855" s="117"/>
      <c r="R855" s="117"/>
      <c r="T855" s="117"/>
      <c r="V855" s="117"/>
      <c r="X855" s="117"/>
      <c r="Y855" s="10"/>
      <c r="Z855" s="11"/>
      <c r="AA855" s="36"/>
      <c r="AB855" s="36"/>
      <c r="AC855" s="13"/>
      <c r="AD855" s="13"/>
      <c r="AE855" s="37"/>
      <c r="AF855" s="37"/>
      <c r="AG855" s="14"/>
      <c r="AH855" s="14"/>
      <c r="AI855" s="14"/>
      <c r="AZ855" s="24"/>
    </row>
    <row r="856">
      <c r="B856" s="24"/>
      <c r="E856" s="113"/>
      <c r="F856" s="266"/>
      <c r="G856" s="113"/>
      <c r="K856" s="36"/>
      <c r="L856" s="117"/>
      <c r="M856" s="128"/>
      <c r="N856" s="117"/>
      <c r="R856" s="117"/>
      <c r="T856" s="117"/>
      <c r="V856" s="117"/>
      <c r="X856" s="117"/>
      <c r="Y856" s="10"/>
      <c r="Z856" s="11"/>
      <c r="AA856" s="36"/>
      <c r="AB856" s="36"/>
      <c r="AC856" s="13"/>
      <c r="AD856" s="13"/>
      <c r="AE856" s="37"/>
      <c r="AF856" s="37"/>
      <c r="AG856" s="14"/>
      <c r="AH856" s="14"/>
      <c r="AI856" s="14"/>
      <c r="AZ856" s="24"/>
    </row>
    <row r="857">
      <c r="B857" s="24"/>
      <c r="E857" s="113"/>
      <c r="F857" s="266"/>
      <c r="G857" s="113"/>
      <c r="K857" s="36"/>
      <c r="L857" s="117"/>
      <c r="M857" s="128"/>
      <c r="N857" s="117"/>
      <c r="R857" s="117"/>
      <c r="T857" s="117"/>
      <c r="V857" s="117"/>
      <c r="X857" s="117"/>
      <c r="Y857" s="10"/>
      <c r="Z857" s="11"/>
      <c r="AA857" s="36"/>
      <c r="AB857" s="36"/>
      <c r="AC857" s="13"/>
      <c r="AD857" s="13"/>
      <c r="AE857" s="37"/>
      <c r="AF857" s="37"/>
      <c r="AG857" s="14"/>
      <c r="AH857" s="14"/>
      <c r="AI857" s="14"/>
      <c r="AZ857" s="24"/>
    </row>
    <row r="858">
      <c r="B858" s="24"/>
      <c r="E858" s="113"/>
      <c r="F858" s="266"/>
      <c r="G858" s="113"/>
      <c r="K858" s="36"/>
      <c r="L858" s="117"/>
      <c r="M858" s="128"/>
      <c r="N858" s="117"/>
      <c r="R858" s="117"/>
      <c r="T858" s="117"/>
      <c r="V858" s="117"/>
      <c r="X858" s="117"/>
      <c r="Y858" s="10"/>
      <c r="Z858" s="11"/>
      <c r="AA858" s="36"/>
      <c r="AB858" s="36"/>
      <c r="AC858" s="13"/>
      <c r="AD858" s="13"/>
      <c r="AE858" s="37"/>
      <c r="AF858" s="37"/>
      <c r="AG858" s="14"/>
      <c r="AH858" s="14"/>
      <c r="AI858" s="14"/>
      <c r="AZ858" s="24"/>
    </row>
    <row r="859">
      <c r="B859" s="24"/>
      <c r="E859" s="113"/>
      <c r="F859" s="266"/>
      <c r="G859" s="113"/>
      <c r="K859" s="36"/>
      <c r="L859" s="117"/>
      <c r="M859" s="128"/>
      <c r="N859" s="117"/>
      <c r="R859" s="117"/>
      <c r="T859" s="117"/>
      <c r="V859" s="117"/>
      <c r="X859" s="117"/>
      <c r="Y859" s="10"/>
      <c r="Z859" s="11"/>
      <c r="AA859" s="36"/>
      <c r="AB859" s="36"/>
      <c r="AC859" s="13"/>
      <c r="AD859" s="13"/>
      <c r="AE859" s="37"/>
      <c r="AF859" s="37"/>
      <c r="AG859" s="14"/>
      <c r="AH859" s="14"/>
      <c r="AI859" s="14"/>
      <c r="AZ859" s="24"/>
    </row>
    <row r="860">
      <c r="B860" s="24"/>
      <c r="E860" s="113"/>
      <c r="F860" s="266"/>
      <c r="G860" s="113"/>
      <c r="K860" s="36"/>
      <c r="L860" s="117"/>
      <c r="M860" s="128"/>
      <c r="N860" s="117"/>
      <c r="R860" s="117"/>
      <c r="T860" s="117"/>
      <c r="V860" s="117"/>
      <c r="X860" s="117"/>
      <c r="Y860" s="10"/>
      <c r="Z860" s="11"/>
      <c r="AA860" s="36"/>
      <c r="AB860" s="36"/>
      <c r="AC860" s="13"/>
      <c r="AD860" s="13"/>
      <c r="AE860" s="37"/>
      <c r="AF860" s="37"/>
      <c r="AG860" s="14"/>
      <c r="AH860" s="14"/>
      <c r="AI860" s="14"/>
      <c r="AZ860" s="24"/>
    </row>
    <row r="861">
      <c r="B861" s="24"/>
      <c r="E861" s="113"/>
      <c r="F861" s="266"/>
      <c r="G861" s="113"/>
      <c r="K861" s="36"/>
      <c r="L861" s="117"/>
      <c r="M861" s="128"/>
      <c r="N861" s="117"/>
      <c r="R861" s="117"/>
      <c r="T861" s="117"/>
      <c r="V861" s="117"/>
      <c r="X861" s="117"/>
      <c r="Y861" s="10"/>
      <c r="Z861" s="11"/>
      <c r="AA861" s="36"/>
      <c r="AB861" s="36"/>
      <c r="AC861" s="13"/>
      <c r="AD861" s="13"/>
      <c r="AE861" s="37"/>
      <c r="AF861" s="37"/>
      <c r="AG861" s="14"/>
      <c r="AH861" s="14"/>
      <c r="AI861" s="14"/>
      <c r="AZ861" s="24"/>
    </row>
    <row r="862">
      <c r="B862" s="24"/>
      <c r="E862" s="113"/>
      <c r="F862" s="266"/>
      <c r="G862" s="113"/>
      <c r="K862" s="36"/>
      <c r="L862" s="117"/>
      <c r="M862" s="128"/>
      <c r="N862" s="117"/>
      <c r="R862" s="117"/>
      <c r="T862" s="117"/>
      <c r="V862" s="117"/>
      <c r="X862" s="117"/>
      <c r="Y862" s="10"/>
      <c r="Z862" s="11"/>
      <c r="AA862" s="36"/>
      <c r="AB862" s="36"/>
      <c r="AC862" s="13"/>
      <c r="AD862" s="13"/>
      <c r="AE862" s="37"/>
      <c r="AF862" s="37"/>
      <c r="AG862" s="14"/>
      <c r="AH862" s="14"/>
      <c r="AI862" s="14"/>
      <c r="AZ862" s="24"/>
    </row>
    <row r="863">
      <c r="B863" s="24"/>
      <c r="E863" s="113"/>
      <c r="F863" s="266"/>
      <c r="G863" s="113"/>
      <c r="K863" s="36"/>
      <c r="L863" s="117"/>
      <c r="M863" s="128"/>
      <c r="N863" s="117"/>
      <c r="R863" s="117"/>
      <c r="T863" s="117"/>
      <c r="V863" s="117"/>
      <c r="X863" s="117"/>
      <c r="Y863" s="10"/>
      <c r="Z863" s="11"/>
      <c r="AA863" s="36"/>
      <c r="AB863" s="36"/>
      <c r="AC863" s="13"/>
      <c r="AD863" s="13"/>
      <c r="AE863" s="37"/>
      <c r="AF863" s="37"/>
      <c r="AG863" s="14"/>
      <c r="AH863" s="14"/>
      <c r="AI863" s="14"/>
      <c r="AZ863" s="24"/>
    </row>
    <row r="864">
      <c r="B864" s="24"/>
      <c r="E864" s="113"/>
      <c r="F864" s="266"/>
      <c r="G864" s="113"/>
      <c r="K864" s="36"/>
      <c r="L864" s="117"/>
      <c r="M864" s="128"/>
      <c r="N864" s="117"/>
      <c r="R864" s="117"/>
      <c r="T864" s="117"/>
      <c r="V864" s="117"/>
      <c r="X864" s="117"/>
      <c r="Y864" s="10"/>
      <c r="Z864" s="11"/>
      <c r="AA864" s="36"/>
      <c r="AB864" s="36"/>
      <c r="AC864" s="13"/>
      <c r="AD864" s="13"/>
      <c r="AE864" s="37"/>
      <c r="AF864" s="37"/>
      <c r="AG864" s="14"/>
      <c r="AH864" s="14"/>
      <c r="AI864" s="14"/>
      <c r="AZ864" s="24"/>
    </row>
    <row r="865">
      <c r="B865" s="24"/>
      <c r="E865" s="113"/>
      <c r="F865" s="266"/>
      <c r="G865" s="113"/>
      <c r="K865" s="36"/>
      <c r="L865" s="117"/>
      <c r="M865" s="128"/>
      <c r="N865" s="117"/>
      <c r="R865" s="117"/>
      <c r="T865" s="117"/>
      <c r="V865" s="117"/>
      <c r="X865" s="117"/>
      <c r="Y865" s="10"/>
      <c r="Z865" s="11"/>
      <c r="AA865" s="36"/>
      <c r="AB865" s="36"/>
      <c r="AC865" s="13"/>
      <c r="AD865" s="13"/>
      <c r="AE865" s="37"/>
      <c r="AF865" s="37"/>
      <c r="AG865" s="14"/>
      <c r="AH865" s="14"/>
      <c r="AI865" s="14"/>
      <c r="AZ865" s="24"/>
    </row>
    <row r="866">
      <c r="B866" s="24"/>
      <c r="E866" s="113"/>
      <c r="F866" s="266"/>
      <c r="G866" s="113"/>
      <c r="K866" s="36"/>
      <c r="L866" s="117"/>
      <c r="M866" s="128"/>
      <c r="N866" s="117"/>
      <c r="R866" s="117"/>
      <c r="T866" s="117"/>
      <c r="V866" s="117"/>
      <c r="X866" s="117"/>
      <c r="Y866" s="10"/>
      <c r="Z866" s="11"/>
      <c r="AA866" s="36"/>
      <c r="AB866" s="36"/>
      <c r="AC866" s="13"/>
      <c r="AD866" s="13"/>
      <c r="AE866" s="37"/>
      <c r="AF866" s="37"/>
      <c r="AG866" s="14"/>
      <c r="AH866" s="14"/>
      <c r="AI866" s="14"/>
      <c r="AZ866" s="24"/>
    </row>
    <row r="867">
      <c r="B867" s="24"/>
      <c r="E867" s="113"/>
      <c r="F867" s="266"/>
      <c r="G867" s="113"/>
      <c r="K867" s="36"/>
      <c r="L867" s="117"/>
      <c r="M867" s="128"/>
      <c r="N867" s="117"/>
      <c r="R867" s="117"/>
      <c r="T867" s="117"/>
      <c r="V867" s="117"/>
      <c r="X867" s="117"/>
      <c r="Y867" s="10"/>
      <c r="Z867" s="11"/>
      <c r="AA867" s="36"/>
      <c r="AB867" s="36"/>
      <c r="AC867" s="13"/>
      <c r="AD867" s="13"/>
      <c r="AE867" s="37"/>
      <c r="AF867" s="37"/>
      <c r="AG867" s="14"/>
      <c r="AH867" s="14"/>
      <c r="AI867" s="14"/>
      <c r="AZ867" s="24"/>
    </row>
    <row r="868">
      <c r="B868" s="24"/>
      <c r="E868" s="113"/>
      <c r="F868" s="266"/>
      <c r="G868" s="113"/>
      <c r="K868" s="36"/>
      <c r="L868" s="117"/>
      <c r="M868" s="128"/>
      <c r="N868" s="117"/>
      <c r="R868" s="117"/>
      <c r="T868" s="117"/>
      <c r="V868" s="117"/>
      <c r="X868" s="117"/>
      <c r="Y868" s="10"/>
      <c r="Z868" s="11"/>
      <c r="AA868" s="36"/>
      <c r="AB868" s="36"/>
      <c r="AC868" s="13"/>
      <c r="AD868" s="13"/>
      <c r="AE868" s="37"/>
      <c r="AF868" s="37"/>
      <c r="AG868" s="14"/>
      <c r="AH868" s="14"/>
      <c r="AI868" s="14"/>
      <c r="AZ868" s="24"/>
    </row>
    <row r="869">
      <c r="B869" s="24"/>
      <c r="E869" s="113"/>
      <c r="F869" s="266"/>
      <c r="G869" s="113"/>
      <c r="K869" s="36"/>
      <c r="L869" s="117"/>
      <c r="M869" s="128"/>
      <c r="N869" s="117"/>
      <c r="R869" s="117"/>
      <c r="T869" s="117"/>
      <c r="V869" s="117"/>
      <c r="X869" s="117"/>
      <c r="Y869" s="10"/>
      <c r="Z869" s="11"/>
      <c r="AA869" s="36"/>
      <c r="AB869" s="36"/>
      <c r="AC869" s="13"/>
      <c r="AD869" s="13"/>
      <c r="AE869" s="37"/>
      <c r="AF869" s="37"/>
      <c r="AG869" s="14"/>
      <c r="AH869" s="14"/>
      <c r="AI869" s="14"/>
      <c r="AZ869" s="24"/>
    </row>
    <row r="870">
      <c r="B870" s="24"/>
      <c r="E870" s="113"/>
      <c r="F870" s="266"/>
      <c r="G870" s="113"/>
      <c r="K870" s="36"/>
      <c r="L870" s="117"/>
      <c r="M870" s="128"/>
      <c r="N870" s="117"/>
      <c r="R870" s="117"/>
      <c r="T870" s="117"/>
      <c r="V870" s="117"/>
      <c r="X870" s="117"/>
      <c r="Y870" s="10"/>
      <c r="Z870" s="11"/>
      <c r="AA870" s="36"/>
      <c r="AB870" s="36"/>
      <c r="AC870" s="13"/>
      <c r="AD870" s="13"/>
      <c r="AE870" s="37"/>
      <c r="AF870" s="37"/>
      <c r="AG870" s="14"/>
      <c r="AH870" s="14"/>
      <c r="AI870" s="14"/>
      <c r="AZ870" s="24"/>
    </row>
    <row r="871">
      <c r="B871" s="24"/>
      <c r="E871" s="113"/>
      <c r="F871" s="266"/>
      <c r="G871" s="113"/>
      <c r="K871" s="36"/>
      <c r="L871" s="117"/>
      <c r="M871" s="128"/>
      <c r="N871" s="117"/>
      <c r="R871" s="117"/>
      <c r="T871" s="117"/>
      <c r="V871" s="117"/>
      <c r="X871" s="117"/>
      <c r="Y871" s="10"/>
      <c r="Z871" s="11"/>
      <c r="AA871" s="36"/>
      <c r="AB871" s="36"/>
      <c r="AC871" s="13"/>
      <c r="AD871" s="13"/>
      <c r="AE871" s="37"/>
      <c r="AF871" s="37"/>
      <c r="AG871" s="14"/>
      <c r="AH871" s="14"/>
      <c r="AI871" s="14"/>
      <c r="AZ871" s="24"/>
    </row>
    <row r="872">
      <c r="B872" s="24"/>
      <c r="E872" s="113"/>
      <c r="F872" s="266"/>
      <c r="G872" s="113"/>
      <c r="K872" s="36"/>
      <c r="L872" s="117"/>
      <c r="M872" s="128"/>
      <c r="N872" s="117"/>
      <c r="R872" s="117"/>
      <c r="T872" s="117"/>
      <c r="V872" s="117"/>
      <c r="X872" s="117"/>
      <c r="Y872" s="10"/>
      <c r="Z872" s="11"/>
      <c r="AA872" s="36"/>
      <c r="AB872" s="36"/>
      <c r="AC872" s="13"/>
      <c r="AD872" s="13"/>
      <c r="AE872" s="37"/>
      <c r="AF872" s="37"/>
      <c r="AG872" s="14"/>
      <c r="AH872" s="14"/>
      <c r="AI872" s="14"/>
      <c r="AZ872" s="24"/>
    </row>
    <row r="873">
      <c r="B873" s="24"/>
      <c r="E873" s="113"/>
      <c r="F873" s="266"/>
      <c r="G873" s="113"/>
      <c r="K873" s="36"/>
      <c r="L873" s="117"/>
      <c r="M873" s="128"/>
      <c r="N873" s="117"/>
      <c r="R873" s="117"/>
      <c r="T873" s="117"/>
      <c r="V873" s="117"/>
      <c r="X873" s="117"/>
      <c r="Y873" s="10"/>
      <c r="Z873" s="11"/>
      <c r="AA873" s="36"/>
      <c r="AB873" s="36"/>
      <c r="AC873" s="13"/>
      <c r="AD873" s="13"/>
      <c r="AE873" s="37"/>
      <c r="AF873" s="37"/>
      <c r="AG873" s="14"/>
      <c r="AH873" s="14"/>
      <c r="AI873" s="14"/>
      <c r="AZ873" s="24"/>
    </row>
    <row r="874">
      <c r="B874" s="24"/>
      <c r="E874" s="113"/>
      <c r="F874" s="266"/>
      <c r="G874" s="113"/>
      <c r="K874" s="36"/>
      <c r="L874" s="117"/>
      <c r="M874" s="128"/>
      <c r="N874" s="117"/>
      <c r="R874" s="117"/>
      <c r="T874" s="117"/>
      <c r="V874" s="117"/>
      <c r="X874" s="117"/>
      <c r="Y874" s="10"/>
      <c r="Z874" s="11"/>
      <c r="AA874" s="36"/>
      <c r="AB874" s="36"/>
      <c r="AC874" s="13"/>
      <c r="AD874" s="13"/>
      <c r="AE874" s="37"/>
      <c r="AF874" s="37"/>
      <c r="AG874" s="14"/>
      <c r="AH874" s="14"/>
      <c r="AI874" s="14"/>
      <c r="AZ874" s="24"/>
    </row>
    <row r="875">
      <c r="B875" s="24"/>
      <c r="E875" s="113"/>
      <c r="F875" s="266"/>
      <c r="G875" s="113"/>
      <c r="K875" s="36"/>
      <c r="L875" s="117"/>
      <c r="M875" s="128"/>
      <c r="N875" s="117"/>
      <c r="R875" s="117"/>
      <c r="T875" s="117"/>
      <c r="V875" s="117"/>
      <c r="X875" s="117"/>
      <c r="Y875" s="10"/>
      <c r="Z875" s="11"/>
      <c r="AA875" s="36"/>
      <c r="AB875" s="36"/>
      <c r="AC875" s="13"/>
      <c r="AD875" s="13"/>
      <c r="AE875" s="37"/>
      <c r="AF875" s="37"/>
      <c r="AG875" s="14"/>
      <c r="AH875" s="14"/>
      <c r="AI875" s="14"/>
      <c r="AZ875" s="24"/>
    </row>
    <row r="876">
      <c r="B876" s="24"/>
      <c r="E876" s="113"/>
      <c r="F876" s="266"/>
      <c r="G876" s="113"/>
      <c r="K876" s="36"/>
      <c r="L876" s="117"/>
      <c r="M876" s="128"/>
      <c r="N876" s="117"/>
      <c r="R876" s="117"/>
      <c r="T876" s="117"/>
      <c r="V876" s="117"/>
      <c r="X876" s="117"/>
      <c r="Y876" s="10"/>
      <c r="Z876" s="11"/>
      <c r="AA876" s="36"/>
      <c r="AB876" s="36"/>
      <c r="AC876" s="13"/>
      <c r="AD876" s="13"/>
      <c r="AE876" s="37"/>
      <c r="AF876" s="37"/>
      <c r="AG876" s="14"/>
      <c r="AH876" s="14"/>
      <c r="AI876" s="14"/>
      <c r="AZ876" s="24"/>
    </row>
    <row r="877">
      <c r="B877" s="24"/>
      <c r="E877" s="113"/>
      <c r="F877" s="266"/>
      <c r="G877" s="113"/>
      <c r="K877" s="36"/>
      <c r="L877" s="117"/>
      <c r="M877" s="128"/>
      <c r="N877" s="117"/>
      <c r="R877" s="117"/>
      <c r="T877" s="117"/>
      <c r="V877" s="117"/>
      <c r="X877" s="117"/>
      <c r="Y877" s="10"/>
      <c r="Z877" s="11"/>
      <c r="AA877" s="36"/>
      <c r="AB877" s="36"/>
      <c r="AC877" s="13"/>
      <c r="AD877" s="13"/>
      <c r="AE877" s="37"/>
      <c r="AF877" s="37"/>
      <c r="AG877" s="14"/>
      <c r="AH877" s="14"/>
      <c r="AI877" s="14"/>
      <c r="AZ877" s="24"/>
    </row>
    <row r="878">
      <c r="B878" s="24"/>
      <c r="E878" s="113"/>
      <c r="F878" s="266"/>
      <c r="G878" s="113"/>
      <c r="K878" s="36"/>
      <c r="L878" s="117"/>
      <c r="M878" s="128"/>
      <c r="N878" s="117"/>
      <c r="R878" s="117"/>
      <c r="T878" s="117"/>
      <c r="V878" s="117"/>
      <c r="X878" s="117"/>
      <c r="Y878" s="10"/>
      <c r="Z878" s="11"/>
      <c r="AA878" s="36"/>
      <c r="AB878" s="36"/>
      <c r="AC878" s="13"/>
      <c r="AD878" s="13"/>
      <c r="AE878" s="37"/>
      <c r="AF878" s="37"/>
      <c r="AG878" s="14"/>
      <c r="AH878" s="14"/>
      <c r="AI878" s="14"/>
      <c r="AZ878" s="24"/>
    </row>
    <row r="879">
      <c r="B879" s="24"/>
      <c r="E879" s="113"/>
      <c r="F879" s="266"/>
      <c r="G879" s="113"/>
      <c r="K879" s="36"/>
      <c r="L879" s="117"/>
      <c r="M879" s="128"/>
      <c r="N879" s="117"/>
      <c r="R879" s="117"/>
      <c r="T879" s="117"/>
      <c r="V879" s="117"/>
      <c r="X879" s="117"/>
      <c r="Y879" s="10"/>
      <c r="Z879" s="11"/>
      <c r="AA879" s="36"/>
      <c r="AB879" s="36"/>
      <c r="AC879" s="13"/>
      <c r="AD879" s="13"/>
      <c r="AE879" s="37"/>
      <c r="AF879" s="37"/>
      <c r="AG879" s="14"/>
      <c r="AH879" s="14"/>
      <c r="AI879" s="14"/>
      <c r="AZ879" s="24"/>
    </row>
    <row r="880">
      <c r="B880" s="24"/>
      <c r="E880" s="113"/>
      <c r="F880" s="266"/>
      <c r="G880" s="113"/>
      <c r="K880" s="36"/>
      <c r="L880" s="117"/>
      <c r="M880" s="128"/>
      <c r="N880" s="117"/>
      <c r="R880" s="117"/>
      <c r="T880" s="117"/>
      <c r="V880" s="117"/>
      <c r="X880" s="117"/>
      <c r="Y880" s="10"/>
      <c r="Z880" s="11"/>
      <c r="AA880" s="36"/>
      <c r="AB880" s="36"/>
      <c r="AC880" s="13"/>
      <c r="AD880" s="13"/>
      <c r="AE880" s="37"/>
      <c r="AF880" s="37"/>
      <c r="AG880" s="14"/>
      <c r="AH880" s="14"/>
      <c r="AI880" s="14"/>
      <c r="AZ880" s="24"/>
    </row>
    <row r="881">
      <c r="B881" s="24"/>
      <c r="E881" s="113"/>
      <c r="F881" s="266"/>
      <c r="G881" s="113"/>
      <c r="K881" s="36"/>
      <c r="L881" s="117"/>
      <c r="M881" s="128"/>
      <c r="N881" s="117"/>
      <c r="R881" s="117"/>
      <c r="T881" s="117"/>
      <c r="V881" s="117"/>
      <c r="X881" s="117"/>
      <c r="Y881" s="10"/>
      <c r="Z881" s="11"/>
      <c r="AA881" s="36"/>
      <c r="AB881" s="36"/>
      <c r="AC881" s="13"/>
      <c r="AD881" s="13"/>
      <c r="AE881" s="37"/>
      <c r="AF881" s="37"/>
      <c r="AG881" s="14"/>
      <c r="AH881" s="14"/>
      <c r="AI881" s="14"/>
      <c r="AZ881" s="24"/>
    </row>
    <row r="882">
      <c r="B882" s="24"/>
      <c r="E882" s="113"/>
      <c r="F882" s="266"/>
      <c r="G882" s="113"/>
      <c r="K882" s="36"/>
      <c r="L882" s="117"/>
      <c r="M882" s="128"/>
      <c r="N882" s="117"/>
      <c r="R882" s="117"/>
      <c r="T882" s="117"/>
      <c r="V882" s="117"/>
      <c r="X882" s="117"/>
      <c r="Y882" s="10"/>
      <c r="Z882" s="11"/>
      <c r="AA882" s="36"/>
      <c r="AB882" s="36"/>
      <c r="AC882" s="13"/>
      <c r="AD882" s="13"/>
      <c r="AE882" s="37"/>
      <c r="AF882" s="37"/>
      <c r="AG882" s="14"/>
      <c r="AH882" s="14"/>
      <c r="AI882" s="14"/>
      <c r="AZ882" s="24"/>
    </row>
    <row r="883">
      <c r="B883" s="24"/>
      <c r="E883" s="113"/>
      <c r="F883" s="266"/>
      <c r="G883" s="113"/>
      <c r="K883" s="36"/>
      <c r="L883" s="117"/>
      <c r="M883" s="128"/>
      <c r="N883" s="117"/>
      <c r="R883" s="117"/>
      <c r="T883" s="117"/>
      <c r="V883" s="117"/>
      <c r="X883" s="117"/>
      <c r="Y883" s="10"/>
      <c r="Z883" s="11"/>
      <c r="AA883" s="36"/>
      <c r="AB883" s="36"/>
      <c r="AC883" s="13"/>
      <c r="AD883" s="13"/>
      <c r="AE883" s="37"/>
      <c r="AF883" s="37"/>
      <c r="AG883" s="14"/>
      <c r="AH883" s="14"/>
      <c r="AI883" s="14"/>
      <c r="AZ883" s="24"/>
    </row>
    <row r="884">
      <c r="B884" s="24"/>
      <c r="E884" s="113"/>
      <c r="F884" s="266"/>
      <c r="G884" s="113"/>
      <c r="K884" s="36"/>
      <c r="L884" s="117"/>
      <c r="M884" s="128"/>
      <c r="N884" s="117"/>
      <c r="R884" s="117"/>
      <c r="T884" s="117"/>
      <c r="V884" s="117"/>
      <c r="X884" s="117"/>
      <c r="Y884" s="10"/>
      <c r="Z884" s="11"/>
      <c r="AA884" s="36"/>
      <c r="AB884" s="36"/>
      <c r="AC884" s="13"/>
      <c r="AD884" s="13"/>
      <c r="AE884" s="37"/>
      <c r="AF884" s="37"/>
      <c r="AG884" s="14"/>
      <c r="AH884" s="14"/>
      <c r="AI884" s="14"/>
      <c r="AZ884" s="24"/>
    </row>
    <row r="885">
      <c r="B885" s="24"/>
      <c r="E885" s="113"/>
      <c r="F885" s="266"/>
      <c r="G885" s="113"/>
      <c r="K885" s="36"/>
      <c r="L885" s="117"/>
      <c r="M885" s="128"/>
      <c r="N885" s="117"/>
      <c r="R885" s="117"/>
      <c r="T885" s="117"/>
      <c r="V885" s="117"/>
      <c r="X885" s="117"/>
      <c r="Y885" s="10"/>
      <c r="Z885" s="11"/>
      <c r="AA885" s="36"/>
      <c r="AB885" s="36"/>
      <c r="AC885" s="13"/>
      <c r="AD885" s="13"/>
      <c r="AE885" s="37"/>
      <c r="AF885" s="37"/>
      <c r="AG885" s="14"/>
      <c r="AH885" s="14"/>
      <c r="AI885" s="14"/>
      <c r="AZ885" s="24"/>
    </row>
    <row r="886">
      <c r="B886" s="24"/>
      <c r="E886" s="113"/>
      <c r="F886" s="266"/>
      <c r="G886" s="113"/>
      <c r="K886" s="36"/>
      <c r="L886" s="117"/>
      <c r="M886" s="128"/>
      <c r="N886" s="117"/>
      <c r="R886" s="117"/>
      <c r="T886" s="117"/>
      <c r="V886" s="117"/>
      <c r="X886" s="117"/>
      <c r="Y886" s="10"/>
      <c r="Z886" s="11"/>
      <c r="AA886" s="36"/>
      <c r="AB886" s="36"/>
      <c r="AC886" s="13"/>
      <c r="AD886" s="13"/>
      <c r="AE886" s="37"/>
      <c r="AF886" s="37"/>
      <c r="AG886" s="14"/>
      <c r="AH886" s="14"/>
      <c r="AI886" s="14"/>
      <c r="AZ886" s="24"/>
    </row>
    <row r="887">
      <c r="B887" s="24"/>
      <c r="E887" s="113"/>
      <c r="F887" s="266"/>
      <c r="G887" s="113"/>
      <c r="K887" s="36"/>
      <c r="L887" s="117"/>
      <c r="M887" s="128"/>
      <c r="N887" s="117"/>
      <c r="R887" s="117"/>
      <c r="T887" s="117"/>
      <c r="V887" s="117"/>
      <c r="X887" s="117"/>
      <c r="Y887" s="10"/>
      <c r="Z887" s="11"/>
      <c r="AA887" s="36"/>
      <c r="AB887" s="36"/>
      <c r="AC887" s="13"/>
      <c r="AD887" s="13"/>
      <c r="AE887" s="37"/>
      <c r="AF887" s="37"/>
      <c r="AG887" s="14"/>
      <c r="AH887" s="14"/>
      <c r="AI887" s="14"/>
      <c r="AZ887" s="24"/>
    </row>
    <row r="888">
      <c r="B888" s="24"/>
      <c r="E888" s="113"/>
      <c r="F888" s="266"/>
      <c r="G888" s="113"/>
      <c r="K888" s="36"/>
      <c r="L888" s="117"/>
      <c r="M888" s="128"/>
      <c r="N888" s="117"/>
      <c r="R888" s="117"/>
      <c r="T888" s="117"/>
      <c r="V888" s="117"/>
      <c r="X888" s="117"/>
      <c r="Y888" s="10"/>
      <c r="Z888" s="11"/>
      <c r="AA888" s="36"/>
      <c r="AB888" s="36"/>
      <c r="AC888" s="13"/>
      <c r="AD888" s="13"/>
      <c r="AE888" s="37"/>
      <c r="AF888" s="37"/>
      <c r="AG888" s="14"/>
      <c r="AH888" s="14"/>
      <c r="AI888" s="14"/>
      <c r="AZ888" s="24"/>
    </row>
    <row r="889">
      <c r="B889" s="24"/>
      <c r="E889" s="113"/>
      <c r="F889" s="266"/>
      <c r="G889" s="113"/>
      <c r="K889" s="36"/>
      <c r="L889" s="117"/>
      <c r="M889" s="128"/>
      <c r="N889" s="117"/>
      <c r="R889" s="117"/>
      <c r="T889" s="117"/>
      <c r="V889" s="117"/>
      <c r="X889" s="117"/>
      <c r="Y889" s="10"/>
      <c r="Z889" s="11"/>
      <c r="AA889" s="36"/>
      <c r="AB889" s="36"/>
      <c r="AC889" s="13"/>
      <c r="AD889" s="13"/>
      <c r="AE889" s="37"/>
      <c r="AF889" s="37"/>
      <c r="AG889" s="14"/>
      <c r="AH889" s="14"/>
      <c r="AI889" s="14"/>
      <c r="AZ889" s="24"/>
    </row>
    <row r="890">
      <c r="B890" s="24"/>
      <c r="E890" s="113"/>
      <c r="F890" s="266"/>
      <c r="G890" s="113"/>
      <c r="K890" s="36"/>
      <c r="L890" s="117"/>
      <c r="M890" s="128"/>
      <c r="N890" s="117"/>
      <c r="R890" s="117"/>
      <c r="T890" s="117"/>
      <c r="V890" s="117"/>
      <c r="X890" s="117"/>
      <c r="Y890" s="10"/>
      <c r="Z890" s="11"/>
      <c r="AA890" s="36"/>
      <c r="AB890" s="36"/>
      <c r="AC890" s="13"/>
      <c r="AD890" s="13"/>
      <c r="AE890" s="37"/>
      <c r="AF890" s="37"/>
      <c r="AG890" s="14"/>
      <c r="AH890" s="14"/>
      <c r="AI890" s="14"/>
      <c r="AZ890" s="24"/>
    </row>
    <row r="891">
      <c r="B891" s="24"/>
      <c r="E891" s="113"/>
      <c r="F891" s="266"/>
      <c r="G891" s="113"/>
      <c r="K891" s="36"/>
      <c r="L891" s="117"/>
      <c r="M891" s="128"/>
      <c r="N891" s="117"/>
      <c r="R891" s="117"/>
      <c r="T891" s="117"/>
      <c r="V891" s="117"/>
      <c r="X891" s="117"/>
      <c r="Y891" s="10"/>
      <c r="Z891" s="11"/>
      <c r="AA891" s="36"/>
      <c r="AB891" s="36"/>
      <c r="AC891" s="13"/>
      <c r="AD891" s="13"/>
      <c r="AE891" s="37"/>
      <c r="AF891" s="37"/>
      <c r="AG891" s="14"/>
      <c r="AH891" s="14"/>
      <c r="AI891" s="14"/>
      <c r="AZ891" s="24"/>
    </row>
    <row r="892">
      <c r="B892" s="24"/>
      <c r="E892" s="113"/>
      <c r="F892" s="266"/>
      <c r="G892" s="113"/>
      <c r="K892" s="36"/>
      <c r="L892" s="117"/>
      <c r="M892" s="128"/>
      <c r="N892" s="117"/>
      <c r="R892" s="117"/>
      <c r="T892" s="117"/>
      <c r="V892" s="117"/>
      <c r="X892" s="117"/>
      <c r="Y892" s="10"/>
      <c r="Z892" s="11"/>
      <c r="AA892" s="36"/>
      <c r="AB892" s="36"/>
      <c r="AC892" s="13"/>
      <c r="AD892" s="13"/>
      <c r="AE892" s="37"/>
      <c r="AF892" s="37"/>
      <c r="AG892" s="14"/>
      <c r="AH892" s="14"/>
      <c r="AI892" s="14"/>
      <c r="AZ892" s="24"/>
    </row>
    <row r="893">
      <c r="B893" s="24"/>
      <c r="E893" s="113"/>
      <c r="F893" s="266"/>
      <c r="G893" s="113"/>
      <c r="K893" s="36"/>
      <c r="L893" s="117"/>
      <c r="M893" s="128"/>
      <c r="N893" s="117"/>
      <c r="R893" s="117"/>
      <c r="T893" s="117"/>
      <c r="V893" s="117"/>
      <c r="X893" s="117"/>
      <c r="Y893" s="10"/>
      <c r="Z893" s="11"/>
      <c r="AA893" s="36"/>
      <c r="AB893" s="36"/>
      <c r="AC893" s="13"/>
      <c r="AD893" s="13"/>
      <c r="AE893" s="37"/>
      <c r="AF893" s="37"/>
      <c r="AG893" s="14"/>
      <c r="AH893" s="14"/>
      <c r="AI893" s="14"/>
      <c r="AZ893" s="24"/>
    </row>
    <row r="894">
      <c r="B894" s="24"/>
      <c r="E894" s="113"/>
      <c r="F894" s="266"/>
      <c r="G894" s="113"/>
      <c r="K894" s="36"/>
      <c r="L894" s="117"/>
      <c r="M894" s="128"/>
      <c r="N894" s="117"/>
      <c r="R894" s="117"/>
      <c r="T894" s="117"/>
      <c r="V894" s="117"/>
      <c r="X894" s="117"/>
      <c r="Y894" s="10"/>
      <c r="Z894" s="11"/>
      <c r="AA894" s="36"/>
      <c r="AB894" s="36"/>
      <c r="AC894" s="13"/>
      <c r="AD894" s="13"/>
      <c r="AE894" s="37"/>
      <c r="AF894" s="37"/>
      <c r="AG894" s="14"/>
      <c r="AH894" s="14"/>
      <c r="AI894" s="14"/>
      <c r="AZ894" s="24"/>
    </row>
    <row r="895">
      <c r="B895" s="24"/>
      <c r="E895" s="113"/>
      <c r="F895" s="266"/>
      <c r="G895" s="113"/>
      <c r="K895" s="36"/>
      <c r="L895" s="117"/>
      <c r="M895" s="128"/>
      <c r="N895" s="117"/>
      <c r="R895" s="117"/>
      <c r="T895" s="117"/>
      <c r="V895" s="117"/>
      <c r="X895" s="117"/>
      <c r="Y895" s="10"/>
      <c r="Z895" s="11"/>
      <c r="AA895" s="36"/>
      <c r="AB895" s="36"/>
      <c r="AC895" s="13"/>
      <c r="AD895" s="13"/>
      <c r="AE895" s="37"/>
      <c r="AF895" s="37"/>
      <c r="AG895" s="14"/>
      <c r="AH895" s="14"/>
      <c r="AI895" s="14"/>
      <c r="AZ895" s="24"/>
    </row>
    <row r="896">
      <c r="B896" s="24"/>
      <c r="E896" s="113"/>
      <c r="F896" s="266"/>
      <c r="G896" s="113"/>
      <c r="K896" s="36"/>
      <c r="L896" s="117"/>
      <c r="M896" s="128"/>
      <c r="N896" s="117"/>
      <c r="R896" s="117"/>
      <c r="T896" s="117"/>
      <c r="V896" s="117"/>
      <c r="X896" s="117"/>
      <c r="Y896" s="10"/>
      <c r="Z896" s="11"/>
      <c r="AA896" s="36"/>
      <c r="AB896" s="36"/>
      <c r="AC896" s="13"/>
      <c r="AD896" s="13"/>
      <c r="AE896" s="37"/>
      <c r="AF896" s="37"/>
      <c r="AG896" s="14"/>
      <c r="AH896" s="14"/>
      <c r="AI896" s="14"/>
      <c r="AZ896" s="24"/>
    </row>
    <row r="897">
      <c r="B897" s="24"/>
      <c r="E897" s="113"/>
      <c r="F897" s="266"/>
      <c r="G897" s="113"/>
      <c r="K897" s="36"/>
      <c r="L897" s="117"/>
      <c r="M897" s="128"/>
      <c r="N897" s="117"/>
      <c r="R897" s="117"/>
      <c r="T897" s="117"/>
      <c r="V897" s="117"/>
      <c r="X897" s="117"/>
      <c r="Y897" s="10"/>
      <c r="Z897" s="11"/>
      <c r="AA897" s="36"/>
      <c r="AB897" s="36"/>
      <c r="AC897" s="13"/>
      <c r="AD897" s="13"/>
      <c r="AE897" s="37"/>
      <c r="AF897" s="37"/>
      <c r="AG897" s="14"/>
      <c r="AH897" s="14"/>
      <c r="AI897" s="14"/>
      <c r="AZ897" s="24"/>
    </row>
    <row r="898">
      <c r="B898" s="24"/>
      <c r="E898" s="113"/>
      <c r="F898" s="266"/>
      <c r="G898" s="113"/>
      <c r="K898" s="36"/>
      <c r="L898" s="117"/>
      <c r="M898" s="128"/>
      <c r="N898" s="117"/>
      <c r="R898" s="117"/>
      <c r="T898" s="117"/>
      <c r="V898" s="117"/>
      <c r="X898" s="117"/>
      <c r="Y898" s="10"/>
      <c r="Z898" s="11"/>
      <c r="AA898" s="36"/>
      <c r="AB898" s="36"/>
      <c r="AC898" s="13"/>
      <c r="AD898" s="13"/>
      <c r="AE898" s="37"/>
      <c r="AF898" s="37"/>
      <c r="AG898" s="14"/>
      <c r="AH898" s="14"/>
      <c r="AI898" s="14"/>
      <c r="AZ898" s="24"/>
    </row>
    <row r="899">
      <c r="B899" s="24"/>
      <c r="E899" s="113"/>
      <c r="F899" s="266"/>
      <c r="G899" s="113"/>
      <c r="K899" s="36"/>
      <c r="L899" s="117"/>
      <c r="M899" s="128"/>
      <c r="N899" s="117"/>
      <c r="R899" s="117"/>
      <c r="T899" s="117"/>
      <c r="V899" s="117"/>
      <c r="X899" s="117"/>
      <c r="Y899" s="10"/>
      <c r="Z899" s="11"/>
      <c r="AA899" s="36"/>
      <c r="AB899" s="36"/>
      <c r="AC899" s="13"/>
      <c r="AD899" s="13"/>
      <c r="AE899" s="37"/>
      <c r="AF899" s="37"/>
      <c r="AG899" s="14"/>
      <c r="AH899" s="14"/>
      <c r="AI899" s="14"/>
      <c r="AZ899" s="24"/>
    </row>
    <row r="900">
      <c r="B900" s="24"/>
      <c r="E900" s="113"/>
      <c r="F900" s="266"/>
      <c r="G900" s="113"/>
      <c r="K900" s="36"/>
      <c r="L900" s="117"/>
      <c r="M900" s="128"/>
      <c r="N900" s="117"/>
      <c r="R900" s="117"/>
      <c r="T900" s="117"/>
      <c r="V900" s="117"/>
      <c r="X900" s="117"/>
      <c r="Y900" s="10"/>
      <c r="Z900" s="11"/>
      <c r="AA900" s="36"/>
      <c r="AB900" s="36"/>
      <c r="AC900" s="13"/>
      <c r="AD900" s="13"/>
      <c r="AE900" s="37"/>
      <c r="AF900" s="37"/>
      <c r="AG900" s="14"/>
      <c r="AH900" s="14"/>
      <c r="AI900" s="14"/>
      <c r="AZ900" s="24"/>
    </row>
    <row r="901">
      <c r="B901" s="24"/>
      <c r="E901" s="113"/>
      <c r="F901" s="266"/>
      <c r="G901" s="113"/>
      <c r="K901" s="36"/>
      <c r="L901" s="117"/>
      <c r="M901" s="128"/>
      <c r="N901" s="117"/>
      <c r="R901" s="117"/>
      <c r="T901" s="117"/>
      <c r="V901" s="117"/>
      <c r="X901" s="117"/>
      <c r="Y901" s="10"/>
      <c r="Z901" s="11"/>
      <c r="AA901" s="36"/>
      <c r="AB901" s="36"/>
      <c r="AC901" s="13"/>
      <c r="AD901" s="13"/>
      <c r="AE901" s="37"/>
      <c r="AF901" s="37"/>
      <c r="AG901" s="14"/>
      <c r="AH901" s="14"/>
      <c r="AI901" s="14"/>
      <c r="AZ901" s="24"/>
    </row>
    <row r="902">
      <c r="B902" s="24"/>
      <c r="E902" s="113"/>
      <c r="F902" s="266"/>
      <c r="G902" s="113"/>
      <c r="K902" s="36"/>
      <c r="L902" s="117"/>
      <c r="M902" s="128"/>
      <c r="N902" s="117"/>
      <c r="R902" s="117"/>
      <c r="T902" s="117"/>
      <c r="V902" s="117"/>
      <c r="X902" s="117"/>
      <c r="Y902" s="10"/>
      <c r="Z902" s="11"/>
      <c r="AA902" s="36"/>
      <c r="AB902" s="36"/>
      <c r="AC902" s="13"/>
      <c r="AD902" s="13"/>
      <c r="AE902" s="37"/>
      <c r="AF902" s="37"/>
      <c r="AG902" s="14"/>
      <c r="AH902" s="14"/>
      <c r="AI902" s="14"/>
      <c r="AZ902" s="24"/>
    </row>
    <row r="903">
      <c r="B903" s="24"/>
      <c r="E903" s="113"/>
      <c r="F903" s="266"/>
      <c r="G903" s="113"/>
      <c r="K903" s="36"/>
      <c r="L903" s="117"/>
      <c r="M903" s="128"/>
      <c r="N903" s="117"/>
      <c r="R903" s="117"/>
      <c r="T903" s="117"/>
      <c r="V903" s="117"/>
      <c r="X903" s="117"/>
      <c r="Y903" s="10"/>
      <c r="Z903" s="11"/>
      <c r="AA903" s="36"/>
      <c r="AB903" s="36"/>
      <c r="AC903" s="13"/>
      <c r="AD903" s="13"/>
      <c r="AE903" s="37"/>
      <c r="AF903" s="37"/>
      <c r="AG903" s="14"/>
      <c r="AH903" s="14"/>
      <c r="AI903" s="14"/>
      <c r="AZ903" s="24"/>
    </row>
    <row r="904">
      <c r="B904" s="24"/>
      <c r="E904" s="113"/>
      <c r="F904" s="266"/>
      <c r="G904" s="113"/>
      <c r="K904" s="36"/>
      <c r="L904" s="117"/>
      <c r="M904" s="128"/>
      <c r="N904" s="117"/>
      <c r="R904" s="117"/>
      <c r="T904" s="117"/>
      <c r="V904" s="117"/>
      <c r="X904" s="117"/>
      <c r="Y904" s="10"/>
      <c r="Z904" s="11"/>
      <c r="AA904" s="36"/>
      <c r="AB904" s="36"/>
      <c r="AC904" s="13"/>
      <c r="AD904" s="13"/>
      <c r="AE904" s="37"/>
      <c r="AF904" s="37"/>
      <c r="AG904" s="14"/>
      <c r="AH904" s="14"/>
      <c r="AI904" s="14"/>
      <c r="AZ904" s="24"/>
    </row>
    <row r="905">
      <c r="B905" s="24"/>
      <c r="E905" s="113"/>
      <c r="F905" s="266"/>
      <c r="G905" s="113"/>
      <c r="K905" s="36"/>
      <c r="L905" s="117"/>
      <c r="M905" s="128"/>
      <c r="N905" s="117"/>
      <c r="R905" s="117"/>
      <c r="T905" s="117"/>
      <c r="V905" s="117"/>
      <c r="X905" s="117"/>
      <c r="Y905" s="10"/>
      <c r="Z905" s="11"/>
      <c r="AA905" s="36"/>
      <c r="AB905" s="36"/>
      <c r="AC905" s="13"/>
      <c r="AD905" s="13"/>
      <c r="AE905" s="37"/>
      <c r="AF905" s="37"/>
      <c r="AG905" s="14"/>
      <c r="AH905" s="14"/>
      <c r="AI905" s="14"/>
      <c r="AZ905" s="24"/>
    </row>
    <row r="906">
      <c r="B906" s="24"/>
      <c r="E906" s="113"/>
      <c r="F906" s="266"/>
      <c r="G906" s="113"/>
      <c r="K906" s="36"/>
      <c r="L906" s="117"/>
      <c r="M906" s="128"/>
      <c r="N906" s="117"/>
      <c r="R906" s="117"/>
      <c r="T906" s="117"/>
      <c r="V906" s="117"/>
      <c r="X906" s="117"/>
      <c r="Y906" s="10"/>
      <c r="Z906" s="11"/>
      <c r="AA906" s="36"/>
      <c r="AB906" s="36"/>
      <c r="AC906" s="13"/>
      <c r="AD906" s="13"/>
      <c r="AE906" s="37"/>
      <c r="AF906" s="37"/>
      <c r="AG906" s="14"/>
      <c r="AH906" s="14"/>
      <c r="AI906" s="14"/>
      <c r="AZ906" s="24"/>
    </row>
    <row r="907">
      <c r="B907" s="24"/>
      <c r="E907" s="113"/>
      <c r="F907" s="266"/>
      <c r="G907" s="113"/>
      <c r="K907" s="36"/>
      <c r="L907" s="117"/>
      <c r="M907" s="128"/>
      <c r="N907" s="117"/>
      <c r="R907" s="117"/>
      <c r="T907" s="117"/>
      <c r="V907" s="117"/>
      <c r="X907" s="117"/>
      <c r="Y907" s="10"/>
      <c r="Z907" s="11"/>
      <c r="AA907" s="36"/>
      <c r="AB907" s="36"/>
      <c r="AC907" s="13"/>
      <c r="AD907" s="13"/>
      <c r="AE907" s="37"/>
      <c r="AF907" s="37"/>
      <c r="AG907" s="14"/>
      <c r="AH907" s="14"/>
      <c r="AI907" s="14"/>
      <c r="AZ907" s="24"/>
    </row>
    <row r="908">
      <c r="B908" s="24"/>
      <c r="E908" s="113"/>
      <c r="F908" s="266"/>
      <c r="G908" s="113"/>
      <c r="K908" s="36"/>
      <c r="L908" s="117"/>
      <c r="M908" s="128"/>
      <c r="N908" s="117"/>
      <c r="R908" s="117"/>
      <c r="T908" s="117"/>
      <c r="V908" s="117"/>
      <c r="X908" s="117"/>
      <c r="Y908" s="10"/>
      <c r="Z908" s="11"/>
      <c r="AA908" s="36"/>
      <c r="AB908" s="36"/>
      <c r="AC908" s="13"/>
      <c r="AD908" s="13"/>
      <c r="AE908" s="37"/>
      <c r="AF908" s="37"/>
      <c r="AG908" s="14"/>
      <c r="AH908" s="14"/>
      <c r="AI908" s="14"/>
      <c r="AZ908" s="24"/>
    </row>
    <row r="909">
      <c r="B909" s="24"/>
      <c r="E909" s="113"/>
      <c r="F909" s="266"/>
      <c r="G909" s="113"/>
      <c r="K909" s="36"/>
      <c r="L909" s="117"/>
      <c r="M909" s="128"/>
      <c r="N909" s="117"/>
      <c r="R909" s="117"/>
      <c r="T909" s="117"/>
      <c r="V909" s="117"/>
      <c r="X909" s="117"/>
      <c r="Y909" s="10"/>
      <c r="Z909" s="11"/>
      <c r="AA909" s="36"/>
      <c r="AB909" s="36"/>
      <c r="AC909" s="13"/>
      <c r="AD909" s="13"/>
      <c r="AE909" s="37"/>
      <c r="AF909" s="37"/>
      <c r="AG909" s="14"/>
      <c r="AH909" s="14"/>
      <c r="AI909" s="14"/>
      <c r="AZ909" s="24"/>
    </row>
    <row r="910">
      <c r="B910" s="24"/>
      <c r="E910" s="113"/>
      <c r="F910" s="266"/>
      <c r="G910" s="113"/>
      <c r="K910" s="36"/>
      <c r="L910" s="117"/>
      <c r="M910" s="128"/>
      <c r="N910" s="117"/>
      <c r="R910" s="117"/>
      <c r="T910" s="117"/>
      <c r="V910" s="117"/>
      <c r="X910" s="117"/>
      <c r="Y910" s="10"/>
      <c r="Z910" s="11"/>
      <c r="AA910" s="36"/>
      <c r="AB910" s="36"/>
      <c r="AC910" s="13"/>
      <c r="AD910" s="13"/>
      <c r="AE910" s="37"/>
      <c r="AF910" s="37"/>
      <c r="AG910" s="14"/>
      <c r="AH910" s="14"/>
      <c r="AI910" s="14"/>
      <c r="AZ910" s="24"/>
    </row>
    <row r="911">
      <c r="B911" s="24"/>
      <c r="E911" s="113"/>
      <c r="F911" s="266"/>
      <c r="G911" s="113"/>
      <c r="K911" s="36"/>
      <c r="L911" s="117"/>
      <c r="M911" s="128"/>
      <c r="N911" s="117"/>
      <c r="R911" s="117"/>
      <c r="T911" s="117"/>
      <c r="V911" s="117"/>
      <c r="X911" s="117"/>
      <c r="Y911" s="10"/>
      <c r="Z911" s="11"/>
      <c r="AA911" s="36"/>
      <c r="AB911" s="36"/>
      <c r="AC911" s="13"/>
      <c r="AD911" s="13"/>
      <c r="AE911" s="37"/>
      <c r="AF911" s="37"/>
      <c r="AG911" s="14"/>
      <c r="AH911" s="14"/>
      <c r="AI911" s="14"/>
      <c r="AZ911" s="24"/>
    </row>
    <row r="912">
      <c r="B912" s="24"/>
      <c r="E912" s="113"/>
      <c r="F912" s="266"/>
      <c r="G912" s="113"/>
      <c r="K912" s="36"/>
      <c r="L912" s="117"/>
      <c r="M912" s="128"/>
      <c r="N912" s="117"/>
      <c r="R912" s="117"/>
      <c r="T912" s="117"/>
      <c r="V912" s="117"/>
      <c r="X912" s="117"/>
      <c r="Y912" s="10"/>
      <c r="Z912" s="11"/>
      <c r="AA912" s="36"/>
      <c r="AB912" s="36"/>
      <c r="AC912" s="13"/>
      <c r="AD912" s="13"/>
      <c r="AE912" s="37"/>
      <c r="AF912" s="37"/>
      <c r="AG912" s="14"/>
      <c r="AH912" s="14"/>
      <c r="AI912" s="14"/>
      <c r="AZ912" s="24"/>
    </row>
    <row r="913">
      <c r="B913" s="24"/>
      <c r="E913" s="113"/>
      <c r="F913" s="266"/>
      <c r="G913" s="113"/>
      <c r="K913" s="36"/>
      <c r="L913" s="117"/>
      <c r="M913" s="128"/>
      <c r="N913" s="117"/>
      <c r="R913" s="117"/>
      <c r="T913" s="117"/>
      <c r="V913" s="117"/>
      <c r="X913" s="117"/>
      <c r="Y913" s="10"/>
      <c r="Z913" s="11"/>
      <c r="AA913" s="36"/>
      <c r="AB913" s="36"/>
      <c r="AC913" s="13"/>
      <c r="AD913" s="13"/>
      <c r="AE913" s="37"/>
      <c r="AF913" s="37"/>
      <c r="AG913" s="14"/>
      <c r="AH913" s="14"/>
      <c r="AI913" s="14"/>
      <c r="AZ913" s="24"/>
    </row>
    <row r="914">
      <c r="B914" s="24"/>
      <c r="E914" s="113"/>
      <c r="F914" s="266"/>
      <c r="G914" s="113"/>
      <c r="K914" s="36"/>
      <c r="L914" s="117"/>
      <c r="M914" s="128"/>
      <c r="N914" s="117"/>
      <c r="R914" s="117"/>
      <c r="T914" s="117"/>
      <c r="V914" s="117"/>
      <c r="X914" s="117"/>
      <c r="Y914" s="10"/>
      <c r="Z914" s="11"/>
      <c r="AA914" s="36"/>
      <c r="AB914" s="36"/>
      <c r="AC914" s="13"/>
      <c r="AD914" s="13"/>
      <c r="AE914" s="37"/>
      <c r="AF914" s="37"/>
      <c r="AG914" s="14"/>
      <c r="AH914" s="14"/>
      <c r="AI914" s="14"/>
      <c r="AZ914" s="24"/>
    </row>
    <row r="915">
      <c r="B915" s="24"/>
      <c r="E915" s="113"/>
      <c r="F915" s="266"/>
      <c r="G915" s="113"/>
      <c r="K915" s="36"/>
      <c r="L915" s="117"/>
      <c r="M915" s="128"/>
      <c r="N915" s="117"/>
      <c r="R915" s="117"/>
      <c r="T915" s="117"/>
      <c r="V915" s="117"/>
      <c r="X915" s="117"/>
      <c r="Y915" s="10"/>
      <c r="Z915" s="11"/>
      <c r="AA915" s="36"/>
      <c r="AB915" s="36"/>
      <c r="AC915" s="13"/>
      <c r="AD915" s="13"/>
      <c r="AE915" s="37"/>
      <c r="AF915" s="37"/>
      <c r="AG915" s="14"/>
      <c r="AH915" s="14"/>
      <c r="AI915" s="14"/>
      <c r="AZ915" s="24"/>
    </row>
    <row r="916">
      <c r="B916" s="24"/>
      <c r="E916" s="113"/>
      <c r="F916" s="266"/>
      <c r="G916" s="113"/>
      <c r="K916" s="36"/>
      <c r="L916" s="117"/>
      <c r="M916" s="128"/>
      <c r="N916" s="117"/>
      <c r="R916" s="117"/>
      <c r="T916" s="117"/>
      <c r="V916" s="117"/>
      <c r="X916" s="117"/>
      <c r="Y916" s="10"/>
      <c r="Z916" s="11"/>
      <c r="AA916" s="36"/>
      <c r="AB916" s="36"/>
      <c r="AC916" s="13"/>
      <c r="AD916" s="13"/>
      <c r="AE916" s="37"/>
      <c r="AF916" s="37"/>
      <c r="AG916" s="14"/>
      <c r="AH916" s="14"/>
      <c r="AI916" s="14"/>
      <c r="AZ916" s="24"/>
    </row>
    <row r="917">
      <c r="B917" s="24"/>
      <c r="E917" s="113"/>
      <c r="F917" s="266"/>
      <c r="G917" s="113"/>
      <c r="K917" s="36"/>
      <c r="L917" s="117"/>
      <c r="M917" s="128"/>
      <c r="N917" s="117"/>
      <c r="R917" s="117"/>
      <c r="T917" s="117"/>
      <c r="V917" s="117"/>
      <c r="X917" s="117"/>
      <c r="Y917" s="10"/>
      <c r="Z917" s="11"/>
      <c r="AA917" s="36"/>
      <c r="AB917" s="36"/>
      <c r="AC917" s="13"/>
      <c r="AD917" s="13"/>
      <c r="AE917" s="37"/>
      <c r="AF917" s="37"/>
      <c r="AG917" s="14"/>
      <c r="AH917" s="14"/>
      <c r="AI917" s="14"/>
      <c r="AZ917" s="24"/>
    </row>
    <row r="918">
      <c r="B918" s="24"/>
      <c r="E918" s="113"/>
      <c r="F918" s="266"/>
      <c r="G918" s="113"/>
      <c r="K918" s="36"/>
      <c r="L918" s="117"/>
      <c r="M918" s="128"/>
      <c r="N918" s="117"/>
      <c r="R918" s="117"/>
      <c r="T918" s="117"/>
      <c r="V918" s="117"/>
      <c r="X918" s="117"/>
      <c r="Y918" s="10"/>
      <c r="Z918" s="11"/>
      <c r="AA918" s="36"/>
      <c r="AB918" s="36"/>
      <c r="AC918" s="13"/>
      <c r="AD918" s="13"/>
      <c r="AE918" s="37"/>
      <c r="AF918" s="37"/>
      <c r="AG918" s="14"/>
      <c r="AH918" s="14"/>
      <c r="AI918" s="14"/>
      <c r="AZ918" s="24"/>
    </row>
    <row r="919">
      <c r="B919" s="24"/>
      <c r="E919" s="113"/>
      <c r="F919" s="266"/>
      <c r="G919" s="113"/>
      <c r="K919" s="36"/>
      <c r="L919" s="117"/>
      <c r="M919" s="128"/>
      <c r="N919" s="117"/>
      <c r="R919" s="117"/>
      <c r="T919" s="117"/>
      <c r="V919" s="117"/>
      <c r="X919" s="117"/>
      <c r="Y919" s="10"/>
      <c r="Z919" s="11"/>
      <c r="AA919" s="36"/>
      <c r="AB919" s="36"/>
      <c r="AC919" s="13"/>
      <c r="AD919" s="13"/>
      <c r="AE919" s="37"/>
      <c r="AF919" s="37"/>
      <c r="AG919" s="14"/>
      <c r="AH919" s="14"/>
      <c r="AI919" s="14"/>
      <c r="AZ919" s="24"/>
    </row>
    <row r="920">
      <c r="B920" s="24"/>
      <c r="E920" s="113"/>
      <c r="F920" s="266"/>
      <c r="G920" s="113"/>
      <c r="K920" s="36"/>
      <c r="L920" s="117"/>
      <c r="M920" s="128"/>
      <c r="N920" s="117"/>
      <c r="R920" s="117"/>
      <c r="T920" s="117"/>
      <c r="V920" s="117"/>
      <c r="X920" s="117"/>
      <c r="Y920" s="10"/>
      <c r="Z920" s="11"/>
      <c r="AA920" s="36"/>
      <c r="AB920" s="36"/>
      <c r="AC920" s="13"/>
      <c r="AD920" s="13"/>
      <c r="AE920" s="37"/>
      <c r="AF920" s="37"/>
      <c r="AG920" s="14"/>
      <c r="AH920" s="14"/>
      <c r="AI920" s="14"/>
      <c r="AZ920" s="24"/>
    </row>
    <row r="921">
      <c r="B921" s="24"/>
      <c r="E921" s="113"/>
      <c r="F921" s="266"/>
      <c r="G921" s="113"/>
      <c r="K921" s="36"/>
      <c r="L921" s="117"/>
      <c r="M921" s="128"/>
      <c r="N921" s="117"/>
      <c r="R921" s="117"/>
      <c r="T921" s="117"/>
      <c r="V921" s="117"/>
      <c r="X921" s="117"/>
      <c r="Y921" s="10"/>
      <c r="Z921" s="11"/>
      <c r="AA921" s="36"/>
      <c r="AB921" s="36"/>
      <c r="AC921" s="13"/>
      <c r="AD921" s="13"/>
      <c r="AE921" s="37"/>
      <c r="AF921" s="37"/>
      <c r="AG921" s="14"/>
      <c r="AH921" s="14"/>
      <c r="AI921" s="14"/>
      <c r="AZ921" s="24"/>
    </row>
    <row r="922">
      <c r="B922" s="24"/>
      <c r="E922" s="113"/>
      <c r="F922" s="266"/>
      <c r="G922" s="113"/>
      <c r="K922" s="36"/>
      <c r="L922" s="117"/>
      <c r="M922" s="128"/>
      <c r="N922" s="117"/>
      <c r="R922" s="117"/>
      <c r="T922" s="117"/>
      <c r="V922" s="117"/>
      <c r="X922" s="117"/>
      <c r="Y922" s="10"/>
      <c r="Z922" s="11"/>
      <c r="AA922" s="36"/>
      <c r="AB922" s="36"/>
      <c r="AC922" s="13"/>
      <c r="AD922" s="13"/>
      <c r="AE922" s="37"/>
      <c r="AF922" s="37"/>
      <c r="AG922" s="14"/>
      <c r="AH922" s="14"/>
      <c r="AI922" s="14"/>
      <c r="AZ922" s="24"/>
    </row>
    <row r="923">
      <c r="B923" s="24"/>
      <c r="E923" s="113"/>
      <c r="F923" s="266"/>
      <c r="G923" s="113"/>
      <c r="K923" s="36"/>
      <c r="L923" s="117"/>
      <c r="M923" s="128"/>
      <c r="N923" s="117"/>
      <c r="R923" s="117"/>
      <c r="T923" s="117"/>
      <c r="V923" s="117"/>
      <c r="X923" s="117"/>
      <c r="Y923" s="10"/>
      <c r="Z923" s="11"/>
      <c r="AA923" s="36"/>
      <c r="AB923" s="36"/>
      <c r="AC923" s="13"/>
      <c r="AD923" s="13"/>
      <c r="AE923" s="37"/>
      <c r="AF923" s="37"/>
      <c r="AG923" s="14"/>
      <c r="AH923" s="14"/>
      <c r="AI923" s="14"/>
      <c r="AZ923" s="24"/>
    </row>
    <row r="924">
      <c r="B924" s="24"/>
      <c r="E924" s="113"/>
      <c r="F924" s="266"/>
      <c r="G924" s="113"/>
      <c r="K924" s="36"/>
      <c r="L924" s="117"/>
      <c r="M924" s="128"/>
      <c r="N924" s="117"/>
      <c r="R924" s="117"/>
      <c r="T924" s="117"/>
      <c r="V924" s="117"/>
      <c r="X924" s="117"/>
      <c r="Y924" s="10"/>
      <c r="Z924" s="11"/>
      <c r="AA924" s="36"/>
      <c r="AB924" s="36"/>
      <c r="AC924" s="13"/>
      <c r="AD924" s="13"/>
      <c r="AE924" s="37"/>
      <c r="AF924" s="37"/>
      <c r="AG924" s="14"/>
      <c r="AH924" s="14"/>
      <c r="AI924" s="14"/>
      <c r="AZ924" s="24"/>
    </row>
    <row r="925">
      <c r="B925" s="24"/>
      <c r="E925" s="113"/>
      <c r="F925" s="266"/>
      <c r="G925" s="113"/>
      <c r="K925" s="36"/>
      <c r="L925" s="117"/>
      <c r="M925" s="128"/>
      <c r="N925" s="117"/>
      <c r="R925" s="117"/>
      <c r="T925" s="117"/>
      <c r="V925" s="117"/>
      <c r="X925" s="117"/>
      <c r="Y925" s="10"/>
      <c r="Z925" s="11"/>
      <c r="AA925" s="36"/>
      <c r="AB925" s="36"/>
      <c r="AC925" s="13"/>
      <c r="AD925" s="13"/>
      <c r="AE925" s="37"/>
      <c r="AF925" s="37"/>
      <c r="AG925" s="14"/>
      <c r="AH925" s="14"/>
      <c r="AI925" s="14"/>
      <c r="AZ925" s="24"/>
    </row>
    <row r="926">
      <c r="B926" s="24"/>
      <c r="E926" s="113"/>
      <c r="F926" s="266"/>
      <c r="G926" s="113"/>
      <c r="K926" s="36"/>
      <c r="L926" s="117"/>
      <c r="M926" s="128"/>
      <c r="N926" s="117"/>
      <c r="R926" s="117"/>
      <c r="T926" s="117"/>
      <c r="V926" s="117"/>
      <c r="X926" s="117"/>
      <c r="Y926" s="10"/>
      <c r="Z926" s="11"/>
      <c r="AA926" s="36"/>
      <c r="AB926" s="36"/>
      <c r="AC926" s="13"/>
      <c r="AD926" s="13"/>
      <c r="AE926" s="37"/>
      <c r="AF926" s="37"/>
      <c r="AG926" s="14"/>
      <c r="AH926" s="14"/>
      <c r="AI926" s="14"/>
      <c r="AZ926" s="24"/>
    </row>
    <row r="927">
      <c r="B927" s="24"/>
      <c r="E927" s="113"/>
      <c r="F927" s="266"/>
      <c r="G927" s="113"/>
      <c r="K927" s="36"/>
      <c r="L927" s="117"/>
      <c r="M927" s="128"/>
      <c r="N927" s="117"/>
      <c r="R927" s="117"/>
      <c r="T927" s="117"/>
      <c r="V927" s="117"/>
      <c r="X927" s="117"/>
      <c r="Y927" s="10"/>
      <c r="Z927" s="11"/>
      <c r="AA927" s="36"/>
      <c r="AB927" s="36"/>
      <c r="AC927" s="13"/>
      <c r="AD927" s="13"/>
      <c r="AE927" s="37"/>
      <c r="AF927" s="37"/>
      <c r="AG927" s="14"/>
      <c r="AH927" s="14"/>
      <c r="AI927" s="14"/>
      <c r="AZ927" s="24"/>
    </row>
    <row r="928">
      <c r="B928" s="24"/>
      <c r="E928" s="113"/>
      <c r="F928" s="266"/>
      <c r="G928" s="113"/>
      <c r="K928" s="36"/>
      <c r="L928" s="117"/>
      <c r="M928" s="128"/>
      <c r="N928" s="117"/>
      <c r="R928" s="117"/>
      <c r="T928" s="117"/>
      <c r="V928" s="117"/>
      <c r="X928" s="117"/>
      <c r="Y928" s="10"/>
      <c r="Z928" s="11"/>
      <c r="AA928" s="36"/>
      <c r="AB928" s="36"/>
      <c r="AC928" s="13"/>
      <c r="AD928" s="13"/>
      <c r="AE928" s="37"/>
      <c r="AF928" s="37"/>
      <c r="AG928" s="14"/>
      <c r="AH928" s="14"/>
      <c r="AI928" s="14"/>
      <c r="AZ928" s="24"/>
    </row>
    <row r="929">
      <c r="B929" s="24"/>
      <c r="E929" s="113"/>
      <c r="F929" s="266"/>
      <c r="G929" s="113"/>
      <c r="K929" s="36"/>
      <c r="L929" s="117"/>
      <c r="M929" s="128"/>
      <c r="N929" s="117"/>
      <c r="R929" s="117"/>
      <c r="T929" s="117"/>
      <c r="V929" s="117"/>
      <c r="X929" s="117"/>
      <c r="Y929" s="10"/>
      <c r="Z929" s="11"/>
      <c r="AA929" s="36"/>
      <c r="AB929" s="36"/>
      <c r="AC929" s="13"/>
      <c r="AD929" s="13"/>
      <c r="AE929" s="37"/>
      <c r="AF929" s="37"/>
      <c r="AG929" s="14"/>
      <c r="AH929" s="14"/>
      <c r="AI929" s="14"/>
      <c r="AZ929" s="24"/>
    </row>
    <row r="930">
      <c r="B930" s="24"/>
      <c r="E930" s="113"/>
      <c r="F930" s="266"/>
      <c r="G930" s="113"/>
      <c r="K930" s="36"/>
      <c r="L930" s="117"/>
      <c r="M930" s="128"/>
      <c r="N930" s="117"/>
      <c r="R930" s="117"/>
      <c r="T930" s="117"/>
      <c r="V930" s="117"/>
      <c r="X930" s="117"/>
      <c r="Y930" s="10"/>
      <c r="Z930" s="11"/>
      <c r="AA930" s="36"/>
      <c r="AB930" s="36"/>
      <c r="AC930" s="13"/>
      <c r="AD930" s="13"/>
      <c r="AE930" s="37"/>
      <c r="AF930" s="37"/>
      <c r="AG930" s="14"/>
      <c r="AH930" s="14"/>
      <c r="AI930" s="14"/>
      <c r="AZ930" s="24"/>
    </row>
    <row r="931">
      <c r="B931" s="24"/>
      <c r="E931" s="113"/>
      <c r="F931" s="266"/>
      <c r="G931" s="113"/>
      <c r="K931" s="36"/>
      <c r="L931" s="117"/>
      <c r="M931" s="128"/>
      <c r="N931" s="117"/>
      <c r="R931" s="117"/>
      <c r="T931" s="117"/>
      <c r="V931" s="117"/>
      <c r="X931" s="117"/>
      <c r="Y931" s="10"/>
      <c r="Z931" s="11"/>
      <c r="AA931" s="36"/>
      <c r="AB931" s="36"/>
      <c r="AC931" s="13"/>
      <c r="AD931" s="13"/>
      <c r="AE931" s="37"/>
      <c r="AF931" s="37"/>
      <c r="AG931" s="14"/>
      <c r="AH931" s="14"/>
      <c r="AI931" s="14"/>
      <c r="AZ931" s="24"/>
    </row>
    <row r="932">
      <c r="B932" s="24"/>
      <c r="E932" s="113"/>
      <c r="F932" s="266"/>
      <c r="G932" s="113"/>
      <c r="K932" s="36"/>
      <c r="L932" s="117"/>
      <c r="M932" s="128"/>
      <c r="N932" s="117"/>
      <c r="R932" s="117"/>
      <c r="T932" s="117"/>
      <c r="V932" s="117"/>
      <c r="X932" s="117"/>
      <c r="Y932" s="10"/>
      <c r="Z932" s="11"/>
      <c r="AA932" s="36"/>
      <c r="AB932" s="36"/>
      <c r="AC932" s="13"/>
      <c r="AD932" s="13"/>
      <c r="AE932" s="37"/>
      <c r="AF932" s="37"/>
      <c r="AG932" s="14"/>
      <c r="AH932" s="14"/>
      <c r="AI932" s="14"/>
      <c r="AZ932" s="24"/>
    </row>
    <row r="933">
      <c r="B933" s="24"/>
      <c r="E933" s="113"/>
      <c r="F933" s="266"/>
      <c r="G933" s="113"/>
      <c r="K933" s="36"/>
      <c r="L933" s="117"/>
      <c r="M933" s="128"/>
      <c r="N933" s="117"/>
      <c r="R933" s="117"/>
      <c r="T933" s="117"/>
      <c r="V933" s="117"/>
      <c r="X933" s="117"/>
      <c r="Y933" s="10"/>
      <c r="Z933" s="11"/>
      <c r="AA933" s="36"/>
      <c r="AB933" s="36"/>
      <c r="AC933" s="13"/>
      <c r="AD933" s="13"/>
      <c r="AE933" s="37"/>
      <c r="AF933" s="37"/>
      <c r="AG933" s="14"/>
      <c r="AH933" s="14"/>
      <c r="AI933" s="14"/>
      <c r="AZ933" s="24"/>
    </row>
    <row r="934">
      <c r="B934" s="24"/>
      <c r="E934" s="113"/>
      <c r="F934" s="266"/>
      <c r="G934" s="113"/>
      <c r="K934" s="36"/>
      <c r="L934" s="117"/>
      <c r="M934" s="128"/>
      <c r="N934" s="117"/>
      <c r="R934" s="117"/>
      <c r="T934" s="117"/>
      <c r="V934" s="117"/>
      <c r="X934" s="117"/>
      <c r="Y934" s="10"/>
      <c r="Z934" s="11"/>
      <c r="AA934" s="36"/>
      <c r="AB934" s="36"/>
      <c r="AC934" s="13"/>
      <c r="AD934" s="13"/>
      <c r="AE934" s="37"/>
      <c r="AF934" s="37"/>
      <c r="AG934" s="14"/>
      <c r="AH934" s="14"/>
      <c r="AI934" s="14"/>
      <c r="AZ934" s="24"/>
    </row>
    <row r="935">
      <c r="B935" s="24"/>
      <c r="E935" s="113"/>
      <c r="F935" s="266"/>
      <c r="G935" s="113"/>
      <c r="K935" s="36"/>
      <c r="L935" s="117"/>
      <c r="M935" s="128"/>
      <c r="N935" s="117"/>
      <c r="R935" s="117"/>
      <c r="T935" s="117"/>
      <c r="V935" s="117"/>
      <c r="X935" s="117"/>
      <c r="Y935" s="10"/>
      <c r="Z935" s="11"/>
      <c r="AA935" s="36"/>
      <c r="AB935" s="36"/>
      <c r="AC935" s="13"/>
      <c r="AD935" s="13"/>
      <c r="AE935" s="37"/>
      <c r="AF935" s="37"/>
      <c r="AG935" s="14"/>
      <c r="AH935" s="14"/>
      <c r="AI935" s="14"/>
      <c r="AZ935" s="24"/>
    </row>
    <row r="936">
      <c r="B936" s="24"/>
      <c r="E936" s="113"/>
      <c r="F936" s="266"/>
      <c r="G936" s="113"/>
      <c r="K936" s="36"/>
      <c r="L936" s="117"/>
      <c r="M936" s="128"/>
      <c r="N936" s="117"/>
      <c r="R936" s="117"/>
      <c r="T936" s="117"/>
      <c r="V936" s="117"/>
      <c r="X936" s="117"/>
      <c r="Y936" s="10"/>
      <c r="Z936" s="11"/>
      <c r="AA936" s="36"/>
      <c r="AB936" s="36"/>
      <c r="AC936" s="13"/>
      <c r="AD936" s="13"/>
      <c r="AE936" s="37"/>
      <c r="AF936" s="37"/>
      <c r="AG936" s="14"/>
      <c r="AH936" s="14"/>
      <c r="AI936" s="14"/>
      <c r="AZ936" s="24"/>
    </row>
    <row r="937">
      <c r="B937" s="24"/>
      <c r="E937" s="113"/>
      <c r="F937" s="266"/>
      <c r="G937" s="113"/>
      <c r="K937" s="36"/>
      <c r="L937" s="117"/>
      <c r="M937" s="128"/>
      <c r="N937" s="117"/>
      <c r="R937" s="117"/>
      <c r="T937" s="117"/>
      <c r="V937" s="117"/>
      <c r="X937" s="117"/>
      <c r="Y937" s="10"/>
      <c r="Z937" s="11"/>
      <c r="AA937" s="36"/>
      <c r="AB937" s="36"/>
      <c r="AC937" s="13"/>
      <c r="AD937" s="13"/>
      <c r="AE937" s="37"/>
      <c r="AF937" s="37"/>
      <c r="AG937" s="14"/>
      <c r="AH937" s="14"/>
      <c r="AI937" s="14"/>
      <c r="AZ937" s="24"/>
    </row>
    <row r="938">
      <c r="B938" s="24"/>
      <c r="E938" s="113"/>
      <c r="F938" s="266"/>
      <c r="G938" s="113"/>
      <c r="K938" s="36"/>
      <c r="L938" s="117"/>
      <c r="M938" s="128"/>
      <c r="N938" s="117"/>
      <c r="R938" s="117"/>
      <c r="T938" s="117"/>
      <c r="V938" s="117"/>
      <c r="X938" s="117"/>
      <c r="Y938" s="10"/>
      <c r="Z938" s="11"/>
      <c r="AA938" s="36"/>
      <c r="AB938" s="36"/>
      <c r="AC938" s="13"/>
      <c r="AD938" s="13"/>
      <c r="AE938" s="37"/>
      <c r="AF938" s="37"/>
      <c r="AG938" s="14"/>
      <c r="AH938" s="14"/>
      <c r="AI938" s="14"/>
      <c r="AZ938" s="24"/>
    </row>
    <row r="939">
      <c r="B939" s="24"/>
      <c r="E939" s="113"/>
      <c r="F939" s="266"/>
      <c r="G939" s="113"/>
      <c r="K939" s="36"/>
      <c r="L939" s="117"/>
      <c r="M939" s="128"/>
      <c r="N939" s="117"/>
      <c r="R939" s="117"/>
      <c r="T939" s="117"/>
      <c r="V939" s="117"/>
      <c r="X939" s="117"/>
      <c r="Y939" s="10"/>
      <c r="Z939" s="11"/>
      <c r="AA939" s="36"/>
      <c r="AB939" s="36"/>
      <c r="AC939" s="13"/>
      <c r="AD939" s="13"/>
      <c r="AE939" s="37"/>
      <c r="AF939" s="37"/>
      <c r="AG939" s="14"/>
      <c r="AH939" s="14"/>
      <c r="AI939" s="14"/>
      <c r="AZ939" s="24"/>
    </row>
    <row r="940">
      <c r="B940" s="24"/>
      <c r="E940" s="113"/>
      <c r="F940" s="266"/>
      <c r="G940" s="113"/>
      <c r="K940" s="36"/>
      <c r="L940" s="117"/>
      <c r="M940" s="128"/>
      <c r="N940" s="117"/>
      <c r="R940" s="117"/>
      <c r="T940" s="117"/>
      <c r="V940" s="117"/>
      <c r="X940" s="117"/>
      <c r="Y940" s="10"/>
      <c r="Z940" s="11"/>
      <c r="AA940" s="36"/>
      <c r="AB940" s="36"/>
      <c r="AC940" s="13"/>
      <c r="AD940" s="13"/>
      <c r="AE940" s="37"/>
      <c r="AF940" s="37"/>
      <c r="AG940" s="14"/>
      <c r="AH940" s="14"/>
      <c r="AI940" s="14"/>
      <c r="AZ940" s="24"/>
    </row>
    <row r="941">
      <c r="B941" s="24"/>
      <c r="E941" s="113"/>
      <c r="F941" s="266"/>
      <c r="G941" s="113"/>
      <c r="K941" s="36"/>
      <c r="L941" s="117"/>
      <c r="M941" s="128"/>
      <c r="N941" s="117"/>
      <c r="R941" s="117"/>
      <c r="T941" s="117"/>
      <c r="V941" s="117"/>
      <c r="X941" s="117"/>
      <c r="Y941" s="10"/>
      <c r="Z941" s="11"/>
      <c r="AA941" s="36"/>
      <c r="AB941" s="36"/>
      <c r="AC941" s="13"/>
      <c r="AD941" s="13"/>
      <c r="AE941" s="37"/>
      <c r="AF941" s="37"/>
      <c r="AG941" s="14"/>
      <c r="AH941" s="14"/>
      <c r="AI941" s="14"/>
      <c r="AZ941" s="24"/>
    </row>
    <row r="942">
      <c r="B942" s="24"/>
      <c r="E942" s="113"/>
      <c r="F942" s="266"/>
      <c r="G942" s="113"/>
      <c r="K942" s="36"/>
      <c r="L942" s="117"/>
      <c r="M942" s="128"/>
      <c r="N942" s="117"/>
      <c r="R942" s="117"/>
      <c r="T942" s="117"/>
      <c r="V942" s="117"/>
      <c r="X942" s="117"/>
      <c r="Y942" s="10"/>
      <c r="Z942" s="11"/>
      <c r="AA942" s="36"/>
      <c r="AB942" s="36"/>
      <c r="AC942" s="13"/>
      <c r="AD942" s="13"/>
      <c r="AE942" s="37"/>
      <c r="AF942" s="37"/>
      <c r="AG942" s="14"/>
      <c r="AH942" s="14"/>
      <c r="AI942" s="14"/>
      <c r="AZ942" s="24"/>
    </row>
    <row r="943">
      <c r="B943" s="24"/>
      <c r="E943" s="113"/>
      <c r="F943" s="266"/>
      <c r="G943" s="113"/>
      <c r="K943" s="36"/>
      <c r="L943" s="117"/>
      <c r="M943" s="128"/>
      <c r="N943" s="117"/>
      <c r="R943" s="117"/>
      <c r="T943" s="117"/>
      <c r="V943" s="117"/>
      <c r="X943" s="117"/>
      <c r="Y943" s="10"/>
      <c r="Z943" s="11"/>
      <c r="AA943" s="36"/>
      <c r="AB943" s="36"/>
      <c r="AC943" s="13"/>
      <c r="AD943" s="13"/>
      <c r="AE943" s="37"/>
      <c r="AF943" s="37"/>
      <c r="AG943" s="14"/>
      <c r="AH943" s="14"/>
      <c r="AI943" s="14"/>
      <c r="AZ943" s="24"/>
    </row>
    <row r="944">
      <c r="B944" s="24"/>
      <c r="E944" s="113"/>
      <c r="F944" s="266"/>
      <c r="G944" s="113"/>
      <c r="K944" s="36"/>
      <c r="L944" s="117"/>
      <c r="M944" s="128"/>
      <c r="N944" s="117"/>
      <c r="R944" s="117"/>
      <c r="T944" s="117"/>
      <c r="V944" s="117"/>
      <c r="X944" s="117"/>
      <c r="Y944" s="10"/>
      <c r="Z944" s="11"/>
      <c r="AA944" s="36"/>
      <c r="AB944" s="36"/>
      <c r="AC944" s="13"/>
      <c r="AD944" s="13"/>
      <c r="AE944" s="37"/>
      <c r="AF944" s="37"/>
      <c r="AG944" s="14"/>
      <c r="AH944" s="14"/>
      <c r="AI944" s="14"/>
      <c r="AZ944" s="24"/>
    </row>
    <row r="945">
      <c r="B945" s="24"/>
      <c r="E945" s="113"/>
      <c r="F945" s="266"/>
      <c r="G945" s="113"/>
      <c r="K945" s="36"/>
      <c r="L945" s="117"/>
      <c r="M945" s="128"/>
      <c r="N945" s="117"/>
      <c r="R945" s="117"/>
      <c r="T945" s="117"/>
      <c r="V945" s="117"/>
      <c r="X945" s="117"/>
      <c r="Y945" s="10"/>
      <c r="Z945" s="11"/>
      <c r="AA945" s="36"/>
      <c r="AB945" s="36"/>
      <c r="AC945" s="13"/>
      <c r="AD945" s="13"/>
      <c r="AE945" s="37"/>
      <c r="AF945" s="37"/>
      <c r="AG945" s="14"/>
      <c r="AH945" s="14"/>
      <c r="AI945" s="14"/>
      <c r="AZ945" s="24"/>
    </row>
    <row r="946">
      <c r="B946" s="24"/>
      <c r="E946" s="113"/>
      <c r="F946" s="266"/>
      <c r="G946" s="113"/>
      <c r="K946" s="36"/>
      <c r="L946" s="117"/>
      <c r="M946" s="128"/>
      <c r="N946" s="117"/>
      <c r="R946" s="117"/>
      <c r="T946" s="117"/>
      <c r="V946" s="117"/>
      <c r="X946" s="117"/>
      <c r="Y946" s="10"/>
      <c r="Z946" s="11"/>
      <c r="AA946" s="36"/>
      <c r="AB946" s="36"/>
      <c r="AC946" s="13"/>
      <c r="AD946" s="13"/>
      <c r="AE946" s="37"/>
      <c r="AF946" s="37"/>
      <c r="AG946" s="14"/>
      <c r="AH946" s="14"/>
      <c r="AI946" s="14"/>
      <c r="AZ946" s="24"/>
    </row>
    <row r="947">
      <c r="B947" s="24"/>
      <c r="E947" s="113"/>
      <c r="F947" s="266"/>
      <c r="G947" s="113"/>
      <c r="K947" s="36"/>
      <c r="L947" s="117"/>
      <c r="M947" s="128"/>
      <c r="N947" s="117"/>
      <c r="R947" s="117"/>
      <c r="T947" s="117"/>
      <c r="V947" s="117"/>
      <c r="X947" s="117"/>
      <c r="Y947" s="10"/>
      <c r="Z947" s="11"/>
      <c r="AA947" s="36"/>
      <c r="AB947" s="36"/>
      <c r="AC947" s="13"/>
      <c r="AD947" s="13"/>
      <c r="AE947" s="37"/>
      <c r="AF947" s="37"/>
      <c r="AG947" s="14"/>
      <c r="AH947" s="14"/>
      <c r="AI947" s="14"/>
      <c r="AZ947" s="24"/>
    </row>
    <row r="948">
      <c r="B948" s="24"/>
      <c r="E948" s="113"/>
      <c r="F948" s="266"/>
      <c r="G948" s="113"/>
      <c r="K948" s="36"/>
      <c r="L948" s="117"/>
      <c r="M948" s="128"/>
      <c r="N948" s="117"/>
      <c r="R948" s="117"/>
      <c r="T948" s="117"/>
      <c r="V948" s="117"/>
      <c r="X948" s="117"/>
      <c r="Y948" s="10"/>
      <c r="Z948" s="11"/>
      <c r="AA948" s="36"/>
      <c r="AB948" s="36"/>
      <c r="AC948" s="13"/>
      <c r="AD948" s="13"/>
      <c r="AE948" s="37"/>
      <c r="AF948" s="37"/>
      <c r="AG948" s="14"/>
      <c r="AH948" s="14"/>
      <c r="AI948" s="14"/>
      <c r="AZ948" s="24"/>
    </row>
    <row r="949">
      <c r="B949" s="24"/>
      <c r="E949" s="113"/>
      <c r="F949" s="266"/>
      <c r="G949" s="113"/>
      <c r="K949" s="36"/>
      <c r="L949" s="117"/>
      <c r="M949" s="128"/>
      <c r="N949" s="117"/>
      <c r="R949" s="117"/>
      <c r="T949" s="117"/>
      <c r="V949" s="117"/>
      <c r="X949" s="117"/>
      <c r="Y949" s="10"/>
      <c r="Z949" s="11"/>
      <c r="AA949" s="36"/>
      <c r="AB949" s="36"/>
      <c r="AC949" s="13"/>
      <c r="AD949" s="13"/>
      <c r="AE949" s="37"/>
      <c r="AF949" s="37"/>
      <c r="AG949" s="14"/>
      <c r="AH949" s="14"/>
      <c r="AI949" s="14"/>
      <c r="AZ949" s="24"/>
    </row>
    <row r="950">
      <c r="B950" s="24"/>
      <c r="E950" s="113"/>
      <c r="F950" s="266"/>
      <c r="G950" s="113"/>
      <c r="K950" s="36"/>
      <c r="L950" s="117"/>
      <c r="M950" s="128"/>
      <c r="N950" s="117"/>
      <c r="R950" s="117"/>
      <c r="T950" s="117"/>
      <c r="V950" s="117"/>
      <c r="X950" s="117"/>
      <c r="Y950" s="10"/>
      <c r="Z950" s="11"/>
      <c r="AA950" s="36"/>
      <c r="AB950" s="36"/>
      <c r="AC950" s="13"/>
      <c r="AD950" s="13"/>
      <c r="AE950" s="37"/>
      <c r="AF950" s="37"/>
      <c r="AG950" s="14"/>
      <c r="AH950" s="14"/>
      <c r="AI950" s="14"/>
      <c r="AZ950" s="24"/>
    </row>
    <row r="951">
      <c r="B951" s="24"/>
      <c r="E951" s="113"/>
      <c r="F951" s="266"/>
      <c r="G951" s="113"/>
      <c r="K951" s="36"/>
      <c r="L951" s="117"/>
      <c r="M951" s="128"/>
      <c r="N951" s="117"/>
      <c r="R951" s="117"/>
      <c r="T951" s="117"/>
      <c r="V951" s="117"/>
      <c r="X951" s="117"/>
      <c r="Y951" s="10"/>
      <c r="Z951" s="11"/>
      <c r="AA951" s="36"/>
      <c r="AB951" s="36"/>
      <c r="AC951" s="13"/>
      <c r="AD951" s="13"/>
      <c r="AE951" s="37"/>
      <c r="AF951" s="37"/>
      <c r="AG951" s="14"/>
      <c r="AH951" s="14"/>
      <c r="AI951" s="14"/>
      <c r="AZ951" s="24"/>
    </row>
    <row r="952">
      <c r="B952" s="24"/>
      <c r="E952" s="113"/>
      <c r="F952" s="266"/>
      <c r="G952" s="113"/>
      <c r="K952" s="36"/>
      <c r="L952" s="117"/>
      <c r="M952" s="128"/>
      <c r="N952" s="117"/>
      <c r="R952" s="117"/>
      <c r="T952" s="117"/>
      <c r="V952" s="117"/>
      <c r="X952" s="117"/>
      <c r="Y952" s="10"/>
      <c r="Z952" s="11"/>
      <c r="AA952" s="36"/>
      <c r="AB952" s="36"/>
      <c r="AC952" s="13"/>
      <c r="AD952" s="13"/>
      <c r="AE952" s="37"/>
      <c r="AF952" s="37"/>
      <c r="AG952" s="14"/>
      <c r="AH952" s="14"/>
      <c r="AI952" s="14"/>
      <c r="AZ952" s="24"/>
    </row>
    <row r="953">
      <c r="B953" s="24"/>
      <c r="E953" s="113"/>
      <c r="F953" s="266"/>
      <c r="G953" s="113"/>
      <c r="K953" s="36"/>
      <c r="L953" s="117"/>
      <c r="M953" s="128"/>
      <c r="N953" s="117"/>
      <c r="R953" s="117"/>
      <c r="T953" s="117"/>
      <c r="V953" s="117"/>
      <c r="X953" s="117"/>
      <c r="Y953" s="10"/>
      <c r="Z953" s="11"/>
      <c r="AA953" s="36"/>
      <c r="AB953" s="36"/>
      <c r="AC953" s="13"/>
      <c r="AD953" s="13"/>
      <c r="AE953" s="37"/>
      <c r="AF953" s="37"/>
      <c r="AG953" s="14"/>
      <c r="AH953" s="14"/>
      <c r="AI953" s="14"/>
      <c r="AZ953" s="24"/>
    </row>
    <row r="954">
      <c r="B954" s="24"/>
      <c r="E954" s="113"/>
      <c r="F954" s="266"/>
      <c r="G954" s="113"/>
      <c r="K954" s="36"/>
      <c r="L954" s="117"/>
      <c r="M954" s="128"/>
      <c r="N954" s="117"/>
      <c r="R954" s="117"/>
      <c r="T954" s="117"/>
      <c r="V954" s="117"/>
      <c r="X954" s="117"/>
      <c r="Y954" s="10"/>
      <c r="Z954" s="11"/>
      <c r="AA954" s="36"/>
      <c r="AB954" s="36"/>
      <c r="AC954" s="13"/>
      <c r="AD954" s="13"/>
      <c r="AE954" s="37"/>
      <c r="AF954" s="37"/>
      <c r="AG954" s="14"/>
      <c r="AH954" s="14"/>
      <c r="AI954" s="14"/>
      <c r="AZ954" s="24"/>
    </row>
    <row r="955">
      <c r="B955" s="24"/>
      <c r="E955" s="113"/>
      <c r="F955" s="266"/>
      <c r="G955" s="113"/>
      <c r="K955" s="36"/>
      <c r="L955" s="117"/>
      <c r="M955" s="128"/>
      <c r="N955" s="117"/>
      <c r="R955" s="117"/>
      <c r="T955" s="117"/>
      <c r="V955" s="117"/>
      <c r="X955" s="117"/>
      <c r="Y955" s="10"/>
      <c r="Z955" s="11"/>
      <c r="AA955" s="36"/>
      <c r="AB955" s="36"/>
      <c r="AC955" s="13"/>
      <c r="AD955" s="13"/>
      <c r="AE955" s="37"/>
      <c r="AF955" s="37"/>
      <c r="AG955" s="14"/>
      <c r="AH955" s="14"/>
      <c r="AI955" s="14"/>
      <c r="AZ955" s="24"/>
    </row>
    <row r="956">
      <c r="B956" s="24"/>
      <c r="E956" s="113"/>
      <c r="F956" s="266"/>
      <c r="G956" s="113"/>
      <c r="K956" s="36"/>
      <c r="L956" s="117"/>
      <c r="M956" s="128"/>
      <c r="N956" s="117"/>
      <c r="R956" s="117"/>
      <c r="T956" s="117"/>
      <c r="V956" s="117"/>
      <c r="X956" s="117"/>
      <c r="Y956" s="10"/>
      <c r="Z956" s="11"/>
      <c r="AA956" s="36"/>
      <c r="AB956" s="36"/>
      <c r="AC956" s="13"/>
      <c r="AD956" s="13"/>
      <c r="AE956" s="37"/>
      <c r="AF956" s="37"/>
      <c r="AG956" s="14"/>
      <c r="AH956" s="14"/>
      <c r="AI956" s="14"/>
      <c r="AZ956" s="24"/>
    </row>
    <row r="957">
      <c r="B957" s="24"/>
      <c r="E957" s="113"/>
      <c r="F957" s="266"/>
      <c r="G957" s="113"/>
      <c r="K957" s="36"/>
      <c r="L957" s="117"/>
      <c r="M957" s="128"/>
      <c r="N957" s="117"/>
      <c r="R957" s="117"/>
      <c r="T957" s="117"/>
      <c r="V957" s="117"/>
      <c r="X957" s="117"/>
      <c r="Y957" s="10"/>
      <c r="Z957" s="11"/>
      <c r="AA957" s="36"/>
      <c r="AB957" s="36"/>
      <c r="AC957" s="13"/>
      <c r="AD957" s="13"/>
      <c r="AE957" s="37"/>
      <c r="AF957" s="37"/>
      <c r="AG957" s="14"/>
      <c r="AH957" s="14"/>
      <c r="AI957" s="14"/>
      <c r="AZ957" s="24"/>
    </row>
    <row r="958">
      <c r="B958" s="24"/>
      <c r="E958" s="113"/>
      <c r="F958" s="266"/>
      <c r="G958" s="113"/>
      <c r="K958" s="36"/>
      <c r="L958" s="117"/>
      <c r="M958" s="128"/>
      <c r="N958" s="117"/>
      <c r="R958" s="117"/>
      <c r="T958" s="117"/>
      <c r="V958" s="117"/>
      <c r="X958" s="117"/>
      <c r="Y958" s="10"/>
      <c r="Z958" s="11"/>
      <c r="AA958" s="36"/>
      <c r="AB958" s="36"/>
      <c r="AC958" s="13"/>
      <c r="AD958" s="13"/>
      <c r="AE958" s="37"/>
      <c r="AF958" s="37"/>
      <c r="AG958" s="14"/>
      <c r="AH958" s="14"/>
      <c r="AI958" s="14"/>
      <c r="AZ958" s="24"/>
    </row>
    <row r="959">
      <c r="B959" s="24"/>
      <c r="E959" s="113"/>
      <c r="F959" s="266"/>
      <c r="G959" s="113"/>
      <c r="K959" s="36"/>
      <c r="L959" s="117"/>
      <c r="M959" s="128"/>
      <c r="N959" s="117"/>
      <c r="R959" s="117"/>
      <c r="T959" s="117"/>
      <c r="V959" s="117"/>
      <c r="X959" s="117"/>
      <c r="Y959" s="10"/>
      <c r="Z959" s="11"/>
      <c r="AA959" s="36"/>
      <c r="AB959" s="36"/>
      <c r="AC959" s="13"/>
      <c r="AD959" s="13"/>
      <c r="AE959" s="37"/>
      <c r="AF959" s="37"/>
      <c r="AG959" s="14"/>
      <c r="AH959" s="14"/>
      <c r="AI959" s="14"/>
      <c r="AZ959" s="24"/>
    </row>
    <row r="960">
      <c r="B960" s="24"/>
      <c r="E960" s="113"/>
      <c r="F960" s="266"/>
      <c r="G960" s="113"/>
      <c r="K960" s="36"/>
      <c r="L960" s="117"/>
      <c r="M960" s="128"/>
      <c r="N960" s="117"/>
      <c r="R960" s="117"/>
      <c r="T960" s="117"/>
      <c r="V960" s="117"/>
      <c r="X960" s="117"/>
      <c r="Y960" s="10"/>
      <c r="Z960" s="11"/>
      <c r="AA960" s="36"/>
      <c r="AB960" s="36"/>
      <c r="AC960" s="13"/>
      <c r="AD960" s="13"/>
      <c r="AE960" s="37"/>
      <c r="AF960" s="37"/>
      <c r="AG960" s="14"/>
      <c r="AH960" s="14"/>
      <c r="AI960" s="14"/>
      <c r="AZ960" s="24"/>
    </row>
    <row r="961">
      <c r="B961" s="24"/>
      <c r="E961" s="113"/>
      <c r="F961" s="266"/>
      <c r="G961" s="113"/>
      <c r="K961" s="36"/>
      <c r="L961" s="117"/>
      <c r="M961" s="128"/>
      <c r="N961" s="117"/>
      <c r="R961" s="117"/>
      <c r="T961" s="117"/>
      <c r="V961" s="117"/>
      <c r="X961" s="117"/>
      <c r="Y961" s="10"/>
      <c r="Z961" s="11"/>
      <c r="AA961" s="36"/>
      <c r="AB961" s="36"/>
      <c r="AC961" s="13"/>
      <c r="AD961" s="13"/>
      <c r="AE961" s="37"/>
      <c r="AF961" s="37"/>
      <c r="AG961" s="14"/>
      <c r="AH961" s="14"/>
      <c r="AI961" s="14"/>
      <c r="AZ961" s="24"/>
    </row>
    <row r="962">
      <c r="B962" s="24"/>
      <c r="E962" s="113"/>
      <c r="F962" s="266"/>
      <c r="G962" s="113"/>
      <c r="K962" s="36"/>
      <c r="L962" s="117"/>
      <c r="M962" s="128"/>
      <c r="N962" s="117"/>
      <c r="R962" s="117"/>
      <c r="T962" s="117"/>
      <c r="V962" s="117"/>
      <c r="X962" s="117"/>
      <c r="Y962" s="10"/>
      <c r="Z962" s="11"/>
      <c r="AA962" s="36"/>
      <c r="AB962" s="36"/>
      <c r="AC962" s="13"/>
      <c r="AD962" s="13"/>
      <c r="AE962" s="37"/>
      <c r="AF962" s="37"/>
      <c r="AG962" s="14"/>
      <c r="AH962" s="14"/>
      <c r="AI962" s="14"/>
      <c r="AZ962" s="24"/>
    </row>
    <row r="963">
      <c r="B963" s="24"/>
      <c r="E963" s="113"/>
      <c r="F963" s="266"/>
      <c r="G963" s="113"/>
      <c r="K963" s="36"/>
      <c r="L963" s="117"/>
      <c r="M963" s="128"/>
      <c r="N963" s="117"/>
      <c r="R963" s="117"/>
      <c r="T963" s="117"/>
      <c r="V963" s="117"/>
      <c r="X963" s="117"/>
      <c r="Y963" s="10"/>
      <c r="Z963" s="11"/>
      <c r="AA963" s="36"/>
      <c r="AB963" s="36"/>
      <c r="AC963" s="13"/>
      <c r="AD963" s="13"/>
      <c r="AE963" s="37"/>
      <c r="AF963" s="37"/>
      <c r="AG963" s="14"/>
      <c r="AH963" s="14"/>
      <c r="AI963" s="14"/>
      <c r="AZ963" s="24"/>
    </row>
    <row r="964">
      <c r="B964" s="24"/>
      <c r="E964" s="113"/>
      <c r="F964" s="266"/>
      <c r="G964" s="113"/>
      <c r="K964" s="36"/>
      <c r="L964" s="117"/>
      <c r="M964" s="128"/>
      <c r="N964" s="117"/>
      <c r="R964" s="117"/>
      <c r="T964" s="117"/>
      <c r="V964" s="117"/>
      <c r="X964" s="117"/>
      <c r="Y964" s="10"/>
      <c r="Z964" s="11"/>
      <c r="AA964" s="36"/>
      <c r="AB964" s="36"/>
      <c r="AC964" s="13"/>
      <c r="AD964" s="13"/>
      <c r="AE964" s="37"/>
      <c r="AF964" s="37"/>
      <c r="AG964" s="14"/>
      <c r="AH964" s="14"/>
      <c r="AI964" s="14"/>
      <c r="AZ964" s="24"/>
    </row>
    <row r="965">
      <c r="B965" s="24"/>
      <c r="E965" s="113"/>
      <c r="F965" s="266"/>
      <c r="G965" s="113"/>
      <c r="K965" s="36"/>
      <c r="L965" s="117"/>
      <c r="M965" s="128"/>
      <c r="N965" s="117"/>
      <c r="R965" s="117"/>
      <c r="T965" s="117"/>
      <c r="V965" s="117"/>
      <c r="X965" s="117"/>
      <c r="Y965" s="10"/>
      <c r="Z965" s="11"/>
      <c r="AA965" s="36"/>
      <c r="AB965" s="36"/>
      <c r="AC965" s="13"/>
      <c r="AD965" s="13"/>
      <c r="AE965" s="37"/>
      <c r="AF965" s="37"/>
      <c r="AG965" s="14"/>
      <c r="AH965" s="14"/>
      <c r="AI965" s="14"/>
      <c r="AZ965" s="24"/>
    </row>
    <row r="966">
      <c r="B966" s="24"/>
      <c r="E966" s="113"/>
      <c r="F966" s="266"/>
      <c r="G966" s="113"/>
      <c r="K966" s="36"/>
      <c r="L966" s="117"/>
      <c r="M966" s="128"/>
      <c r="N966" s="117"/>
      <c r="R966" s="117"/>
      <c r="T966" s="117"/>
      <c r="V966" s="117"/>
      <c r="X966" s="117"/>
      <c r="Y966" s="10"/>
      <c r="Z966" s="11"/>
      <c r="AA966" s="36"/>
      <c r="AB966" s="36"/>
      <c r="AC966" s="13"/>
      <c r="AD966" s="13"/>
      <c r="AE966" s="37"/>
      <c r="AF966" s="37"/>
      <c r="AG966" s="14"/>
      <c r="AH966" s="14"/>
      <c r="AI966" s="14"/>
      <c r="AZ966" s="24"/>
    </row>
    <row r="967">
      <c r="B967" s="24"/>
      <c r="E967" s="113"/>
      <c r="F967" s="266"/>
      <c r="G967" s="113"/>
      <c r="K967" s="36"/>
      <c r="L967" s="117"/>
      <c r="M967" s="128"/>
      <c r="N967" s="117"/>
      <c r="R967" s="117"/>
      <c r="T967" s="117"/>
      <c r="V967" s="117"/>
      <c r="X967" s="117"/>
      <c r="Y967" s="10"/>
      <c r="Z967" s="11"/>
      <c r="AA967" s="36"/>
      <c r="AB967" s="36"/>
      <c r="AC967" s="13"/>
      <c r="AD967" s="13"/>
      <c r="AE967" s="37"/>
      <c r="AF967" s="37"/>
      <c r="AG967" s="14"/>
      <c r="AH967" s="14"/>
      <c r="AI967" s="14"/>
      <c r="AZ967" s="24"/>
    </row>
    <row r="968">
      <c r="B968" s="24"/>
      <c r="E968" s="113"/>
      <c r="F968" s="266"/>
      <c r="G968" s="113"/>
      <c r="K968" s="36"/>
      <c r="L968" s="117"/>
      <c r="M968" s="128"/>
      <c r="N968" s="117"/>
      <c r="R968" s="117"/>
      <c r="T968" s="117"/>
      <c r="V968" s="117"/>
      <c r="X968" s="117"/>
      <c r="Y968" s="10"/>
      <c r="Z968" s="11"/>
      <c r="AA968" s="36"/>
      <c r="AB968" s="36"/>
      <c r="AC968" s="13"/>
      <c r="AD968" s="13"/>
      <c r="AE968" s="37"/>
      <c r="AF968" s="37"/>
      <c r="AG968" s="14"/>
      <c r="AH968" s="14"/>
      <c r="AI968" s="14"/>
      <c r="AZ968" s="24"/>
    </row>
    <row r="969">
      <c r="B969" s="24"/>
      <c r="E969" s="113"/>
      <c r="F969" s="266"/>
      <c r="G969" s="113"/>
      <c r="K969" s="36"/>
      <c r="L969" s="117"/>
      <c r="M969" s="128"/>
      <c r="N969" s="117"/>
      <c r="R969" s="117"/>
      <c r="T969" s="117"/>
      <c r="V969" s="117"/>
      <c r="X969" s="117"/>
      <c r="Y969" s="10"/>
      <c r="Z969" s="11"/>
      <c r="AA969" s="36"/>
      <c r="AB969" s="36"/>
      <c r="AC969" s="13"/>
      <c r="AD969" s="13"/>
      <c r="AE969" s="37"/>
      <c r="AF969" s="37"/>
      <c r="AG969" s="14"/>
      <c r="AH969" s="14"/>
      <c r="AI969" s="14"/>
      <c r="AZ969" s="24"/>
    </row>
    <row r="970">
      <c r="B970" s="24"/>
      <c r="E970" s="113"/>
      <c r="F970" s="266"/>
      <c r="G970" s="113"/>
      <c r="K970" s="36"/>
      <c r="L970" s="117"/>
      <c r="M970" s="128"/>
      <c r="N970" s="117"/>
      <c r="R970" s="117"/>
      <c r="T970" s="117"/>
      <c r="V970" s="117"/>
      <c r="X970" s="117"/>
      <c r="Y970" s="10"/>
      <c r="Z970" s="11"/>
      <c r="AA970" s="36"/>
      <c r="AB970" s="36"/>
      <c r="AC970" s="13"/>
      <c r="AD970" s="13"/>
      <c r="AE970" s="37"/>
      <c r="AF970" s="37"/>
      <c r="AG970" s="14"/>
      <c r="AH970" s="14"/>
      <c r="AI970" s="14"/>
      <c r="AZ970" s="24"/>
    </row>
    <row r="971">
      <c r="B971" s="24"/>
      <c r="E971" s="113"/>
      <c r="F971" s="266"/>
      <c r="G971" s="113"/>
      <c r="K971" s="36"/>
      <c r="L971" s="117"/>
      <c r="M971" s="128"/>
      <c r="N971" s="117"/>
      <c r="R971" s="117"/>
      <c r="T971" s="117"/>
      <c r="V971" s="117"/>
      <c r="X971" s="117"/>
      <c r="Y971" s="10"/>
      <c r="Z971" s="11"/>
      <c r="AA971" s="36"/>
      <c r="AB971" s="36"/>
      <c r="AC971" s="13"/>
      <c r="AD971" s="13"/>
      <c r="AE971" s="37"/>
      <c r="AF971" s="37"/>
      <c r="AG971" s="14"/>
      <c r="AH971" s="14"/>
      <c r="AI971" s="14"/>
      <c r="AZ971" s="24"/>
    </row>
    <row r="972">
      <c r="B972" s="24"/>
      <c r="E972" s="113"/>
      <c r="F972" s="266"/>
      <c r="G972" s="113"/>
      <c r="K972" s="36"/>
      <c r="L972" s="117"/>
      <c r="M972" s="128"/>
      <c r="N972" s="117"/>
      <c r="R972" s="117"/>
      <c r="T972" s="117"/>
      <c r="V972" s="117"/>
      <c r="X972" s="117"/>
      <c r="Y972" s="10"/>
      <c r="Z972" s="11"/>
      <c r="AA972" s="36"/>
      <c r="AB972" s="36"/>
      <c r="AC972" s="13"/>
      <c r="AD972" s="13"/>
      <c r="AE972" s="37"/>
      <c r="AF972" s="37"/>
      <c r="AG972" s="14"/>
      <c r="AH972" s="14"/>
      <c r="AI972" s="14"/>
      <c r="AZ972" s="24"/>
    </row>
    <row r="973">
      <c r="B973" s="24"/>
      <c r="E973" s="113"/>
      <c r="F973" s="266"/>
      <c r="G973" s="113"/>
      <c r="K973" s="36"/>
      <c r="L973" s="117"/>
      <c r="M973" s="128"/>
      <c r="N973" s="117"/>
      <c r="R973" s="117"/>
      <c r="T973" s="117"/>
      <c r="V973" s="117"/>
      <c r="X973" s="117"/>
      <c r="Y973" s="10"/>
      <c r="Z973" s="11"/>
      <c r="AA973" s="36"/>
      <c r="AB973" s="36"/>
      <c r="AC973" s="13"/>
      <c r="AD973" s="13"/>
      <c r="AE973" s="37"/>
      <c r="AF973" s="37"/>
      <c r="AG973" s="14"/>
      <c r="AH973" s="14"/>
      <c r="AI973" s="14"/>
      <c r="AZ973" s="24"/>
    </row>
    <row r="974">
      <c r="B974" s="24"/>
      <c r="E974" s="113"/>
      <c r="F974" s="266"/>
      <c r="G974" s="113"/>
      <c r="K974" s="36"/>
      <c r="L974" s="117"/>
      <c r="M974" s="128"/>
      <c r="N974" s="117"/>
      <c r="R974" s="117"/>
      <c r="T974" s="117"/>
      <c r="V974" s="117"/>
      <c r="X974" s="117"/>
      <c r="Y974" s="10"/>
      <c r="Z974" s="11"/>
      <c r="AA974" s="36"/>
      <c r="AB974" s="36"/>
      <c r="AC974" s="13"/>
      <c r="AD974" s="13"/>
      <c r="AE974" s="37"/>
      <c r="AF974" s="37"/>
      <c r="AG974" s="14"/>
      <c r="AH974" s="14"/>
      <c r="AI974" s="14"/>
      <c r="AZ974" s="24"/>
    </row>
    <row r="975">
      <c r="B975" s="24"/>
      <c r="E975" s="113"/>
      <c r="F975" s="266"/>
      <c r="G975" s="113"/>
      <c r="K975" s="36"/>
      <c r="L975" s="117"/>
      <c r="M975" s="128"/>
      <c r="N975" s="117"/>
      <c r="R975" s="117"/>
      <c r="T975" s="117"/>
      <c r="V975" s="117"/>
      <c r="X975" s="117"/>
      <c r="Y975" s="10"/>
      <c r="Z975" s="11"/>
      <c r="AA975" s="36"/>
      <c r="AB975" s="36"/>
      <c r="AC975" s="13"/>
      <c r="AD975" s="13"/>
      <c r="AE975" s="37"/>
      <c r="AF975" s="37"/>
      <c r="AG975" s="14"/>
      <c r="AH975" s="14"/>
      <c r="AI975" s="14"/>
      <c r="AZ975" s="24"/>
    </row>
    <row r="976">
      <c r="B976" s="24"/>
      <c r="E976" s="113"/>
      <c r="F976" s="266"/>
      <c r="G976" s="113"/>
      <c r="K976" s="36"/>
      <c r="L976" s="117"/>
      <c r="M976" s="128"/>
      <c r="N976" s="117"/>
      <c r="R976" s="117"/>
      <c r="T976" s="117"/>
      <c r="V976" s="117"/>
      <c r="X976" s="117"/>
      <c r="Y976" s="10"/>
      <c r="Z976" s="11"/>
      <c r="AA976" s="36"/>
      <c r="AB976" s="36"/>
      <c r="AC976" s="13"/>
      <c r="AD976" s="13"/>
      <c r="AE976" s="37"/>
      <c r="AF976" s="37"/>
      <c r="AG976" s="14"/>
      <c r="AH976" s="14"/>
      <c r="AI976" s="14"/>
      <c r="AZ976" s="24"/>
    </row>
    <row r="977">
      <c r="B977" s="24"/>
      <c r="E977" s="113"/>
      <c r="F977" s="266"/>
      <c r="G977" s="113"/>
      <c r="K977" s="36"/>
      <c r="L977" s="117"/>
      <c r="M977" s="128"/>
      <c r="N977" s="117"/>
      <c r="R977" s="117"/>
      <c r="T977" s="117"/>
      <c r="V977" s="117"/>
      <c r="X977" s="117"/>
      <c r="Y977" s="10"/>
      <c r="Z977" s="11"/>
      <c r="AA977" s="36"/>
      <c r="AB977" s="36"/>
      <c r="AC977" s="13"/>
      <c r="AD977" s="13"/>
      <c r="AE977" s="37"/>
      <c r="AF977" s="37"/>
      <c r="AG977" s="14"/>
      <c r="AH977" s="14"/>
      <c r="AI977" s="14"/>
      <c r="AZ977" s="24"/>
    </row>
    <row r="978">
      <c r="B978" s="24"/>
      <c r="E978" s="113"/>
      <c r="F978" s="266"/>
      <c r="G978" s="113"/>
      <c r="K978" s="36"/>
      <c r="L978" s="117"/>
      <c r="M978" s="128"/>
      <c r="N978" s="117"/>
      <c r="R978" s="117"/>
      <c r="T978" s="117"/>
      <c r="V978" s="117"/>
      <c r="X978" s="117"/>
      <c r="Y978" s="10"/>
      <c r="Z978" s="11"/>
      <c r="AA978" s="36"/>
      <c r="AB978" s="36"/>
      <c r="AC978" s="13"/>
      <c r="AD978" s="13"/>
      <c r="AE978" s="37"/>
      <c r="AF978" s="37"/>
      <c r="AG978" s="14"/>
      <c r="AH978" s="14"/>
      <c r="AI978" s="14"/>
      <c r="AZ978" s="24"/>
    </row>
    <row r="979">
      <c r="B979" s="24"/>
      <c r="E979" s="113"/>
      <c r="F979" s="266"/>
      <c r="G979" s="113"/>
      <c r="K979" s="36"/>
      <c r="L979" s="117"/>
      <c r="M979" s="128"/>
      <c r="N979" s="117"/>
      <c r="R979" s="117"/>
      <c r="T979" s="117"/>
      <c r="V979" s="117"/>
      <c r="X979" s="117"/>
      <c r="Y979" s="10"/>
      <c r="Z979" s="11"/>
      <c r="AA979" s="36"/>
      <c r="AB979" s="36"/>
      <c r="AC979" s="13"/>
      <c r="AD979" s="13"/>
      <c r="AE979" s="37"/>
      <c r="AF979" s="37"/>
      <c r="AG979" s="14"/>
      <c r="AH979" s="14"/>
      <c r="AI979" s="14"/>
      <c r="AZ979" s="24"/>
    </row>
    <row r="980">
      <c r="B980" s="24"/>
      <c r="E980" s="113"/>
      <c r="F980" s="266"/>
      <c r="G980" s="113"/>
      <c r="K980" s="36"/>
      <c r="L980" s="117"/>
      <c r="M980" s="128"/>
      <c r="N980" s="117"/>
      <c r="R980" s="117"/>
      <c r="T980" s="117"/>
      <c r="V980" s="117"/>
      <c r="X980" s="117"/>
      <c r="Y980" s="10"/>
      <c r="Z980" s="11"/>
      <c r="AA980" s="36"/>
      <c r="AB980" s="36"/>
      <c r="AC980" s="13"/>
      <c r="AD980" s="13"/>
      <c r="AE980" s="37"/>
      <c r="AF980" s="37"/>
      <c r="AG980" s="14"/>
      <c r="AH980" s="14"/>
      <c r="AI980" s="14"/>
      <c r="AZ980" s="24"/>
    </row>
    <row r="981">
      <c r="B981" s="24"/>
      <c r="E981" s="113"/>
      <c r="F981" s="266"/>
      <c r="G981" s="113"/>
      <c r="K981" s="36"/>
      <c r="L981" s="117"/>
      <c r="M981" s="128"/>
      <c r="N981" s="117"/>
      <c r="R981" s="117"/>
      <c r="T981" s="117"/>
      <c r="V981" s="117"/>
      <c r="X981" s="117"/>
      <c r="Y981" s="10"/>
      <c r="Z981" s="11"/>
      <c r="AA981" s="36"/>
      <c r="AB981" s="36"/>
      <c r="AC981" s="13"/>
      <c r="AD981" s="13"/>
      <c r="AE981" s="37"/>
      <c r="AF981" s="37"/>
      <c r="AG981" s="14"/>
      <c r="AH981" s="14"/>
      <c r="AI981" s="14"/>
      <c r="AZ981" s="24"/>
    </row>
    <row r="982">
      <c r="B982" s="24"/>
      <c r="E982" s="113"/>
      <c r="F982" s="266"/>
      <c r="G982" s="113"/>
      <c r="K982" s="36"/>
      <c r="L982" s="117"/>
      <c r="M982" s="128"/>
      <c r="N982" s="117"/>
      <c r="R982" s="117"/>
      <c r="T982" s="117"/>
      <c r="V982" s="117"/>
      <c r="X982" s="117"/>
      <c r="Y982" s="10"/>
      <c r="Z982" s="11"/>
      <c r="AA982" s="36"/>
      <c r="AB982" s="36"/>
      <c r="AC982" s="13"/>
      <c r="AD982" s="13"/>
      <c r="AE982" s="37"/>
      <c r="AF982" s="37"/>
      <c r="AG982" s="14"/>
      <c r="AH982" s="14"/>
      <c r="AI982" s="14"/>
      <c r="AZ982" s="24"/>
    </row>
    <row r="983">
      <c r="B983" s="24"/>
      <c r="E983" s="113"/>
      <c r="F983" s="266"/>
      <c r="G983" s="113"/>
      <c r="K983" s="36"/>
      <c r="L983" s="117"/>
      <c r="M983" s="128"/>
      <c r="N983" s="117"/>
      <c r="R983" s="117"/>
      <c r="T983" s="117"/>
      <c r="V983" s="117"/>
      <c r="X983" s="117"/>
      <c r="Y983" s="10"/>
      <c r="Z983" s="11"/>
      <c r="AA983" s="36"/>
      <c r="AB983" s="36"/>
      <c r="AC983" s="13"/>
      <c r="AD983" s="13"/>
      <c r="AE983" s="37"/>
      <c r="AF983" s="37"/>
      <c r="AG983" s="14"/>
      <c r="AH983" s="14"/>
      <c r="AI983" s="14"/>
      <c r="AZ983" s="24"/>
    </row>
    <row r="984">
      <c r="B984" s="24"/>
      <c r="E984" s="113"/>
      <c r="F984" s="266"/>
      <c r="G984" s="113"/>
      <c r="K984" s="36"/>
      <c r="L984" s="117"/>
      <c r="M984" s="128"/>
      <c r="N984" s="117"/>
      <c r="R984" s="117"/>
      <c r="T984" s="117"/>
      <c r="V984" s="117"/>
      <c r="X984" s="117"/>
      <c r="Y984" s="10"/>
      <c r="Z984" s="11"/>
      <c r="AA984" s="36"/>
      <c r="AB984" s="36"/>
      <c r="AC984" s="13"/>
      <c r="AD984" s="13"/>
      <c r="AE984" s="37"/>
      <c r="AF984" s="37"/>
      <c r="AG984" s="14"/>
      <c r="AH984" s="14"/>
      <c r="AI984" s="14"/>
      <c r="AZ984" s="24"/>
    </row>
    <row r="985">
      <c r="B985" s="24"/>
      <c r="E985" s="113"/>
      <c r="F985" s="266"/>
      <c r="G985" s="113"/>
      <c r="K985" s="36"/>
      <c r="L985" s="117"/>
      <c r="M985" s="128"/>
      <c r="N985" s="117"/>
      <c r="R985" s="117"/>
      <c r="T985" s="117"/>
      <c r="V985" s="117"/>
      <c r="X985" s="117"/>
      <c r="Y985" s="10"/>
      <c r="Z985" s="11"/>
      <c r="AA985" s="36"/>
      <c r="AB985" s="36"/>
      <c r="AC985" s="13"/>
      <c r="AD985" s="13"/>
      <c r="AE985" s="37"/>
      <c r="AF985" s="37"/>
      <c r="AG985" s="14"/>
      <c r="AH985" s="14"/>
      <c r="AI985" s="14"/>
      <c r="AZ985" s="24"/>
    </row>
    <row r="986">
      <c r="B986" s="24"/>
      <c r="E986" s="113"/>
      <c r="F986" s="266"/>
      <c r="G986" s="113"/>
      <c r="K986" s="36"/>
      <c r="L986" s="117"/>
      <c r="M986" s="128"/>
      <c r="N986" s="117"/>
      <c r="R986" s="117"/>
      <c r="T986" s="117"/>
      <c r="V986" s="117"/>
      <c r="X986" s="117"/>
      <c r="Y986" s="10"/>
      <c r="Z986" s="11"/>
      <c r="AA986" s="36"/>
      <c r="AB986" s="36"/>
      <c r="AC986" s="13"/>
      <c r="AD986" s="13"/>
      <c r="AE986" s="37"/>
      <c r="AF986" s="37"/>
      <c r="AG986" s="14"/>
      <c r="AH986" s="14"/>
      <c r="AI986" s="14"/>
      <c r="AZ986" s="24"/>
    </row>
    <row r="987">
      <c r="B987" s="24"/>
      <c r="E987" s="113"/>
      <c r="F987" s="266"/>
      <c r="G987" s="113"/>
      <c r="K987" s="36"/>
      <c r="L987" s="117"/>
      <c r="M987" s="128"/>
      <c r="N987" s="117"/>
      <c r="R987" s="117"/>
      <c r="T987" s="117"/>
      <c r="V987" s="117"/>
      <c r="X987" s="117"/>
      <c r="Y987" s="10"/>
      <c r="Z987" s="11"/>
      <c r="AA987" s="36"/>
      <c r="AB987" s="36"/>
      <c r="AC987" s="13"/>
      <c r="AD987" s="13"/>
      <c r="AE987" s="37"/>
      <c r="AF987" s="37"/>
      <c r="AG987" s="14"/>
      <c r="AH987" s="14"/>
      <c r="AI987" s="14"/>
      <c r="AZ987" s="24"/>
    </row>
    <row r="988">
      <c r="B988" s="24"/>
      <c r="E988" s="113"/>
      <c r="F988" s="266"/>
      <c r="G988" s="113"/>
      <c r="K988" s="36"/>
      <c r="L988" s="117"/>
      <c r="M988" s="128"/>
      <c r="N988" s="117"/>
      <c r="R988" s="117"/>
      <c r="T988" s="117"/>
      <c r="V988" s="117"/>
      <c r="X988" s="117"/>
      <c r="Y988" s="10"/>
      <c r="Z988" s="11"/>
      <c r="AA988" s="36"/>
      <c r="AB988" s="36"/>
      <c r="AC988" s="13"/>
      <c r="AD988" s="13"/>
      <c r="AE988" s="37"/>
      <c r="AF988" s="37"/>
      <c r="AG988" s="14"/>
      <c r="AH988" s="14"/>
      <c r="AI988" s="14"/>
      <c r="AZ988" s="24"/>
    </row>
    <row r="989">
      <c r="B989" s="24"/>
      <c r="E989" s="113"/>
      <c r="F989" s="266"/>
      <c r="G989" s="113"/>
      <c r="K989" s="36"/>
      <c r="L989" s="117"/>
      <c r="M989" s="128"/>
      <c r="N989" s="117"/>
      <c r="R989" s="117"/>
      <c r="T989" s="117"/>
      <c r="V989" s="117"/>
      <c r="X989" s="117"/>
      <c r="Y989" s="10"/>
      <c r="Z989" s="11"/>
      <c r="AA989" s="36"/>
      <c r="AB989" s="36"/>
      <c r="AC989" s="13"/>
      <c r="AD989" s="13"/>
      <c r="AE989" s="37"/>
      <c r="AF989" s="37"/>
      <c r="AG989" s="14"/>
      <c r="AH989" s="14"/>
      <c r="AI989" s="14"/>
      <c r="AZ989" s="24"/>
    </row>
    <row r="990">
      <c r="B990" s="24"/>
      <c r="E990" s="113"/>
      <c r="F990" s="266"/>
      <c r="G990" s="113"/>
      <c r="K990" s="36"/>
      <c r="L990" s="117"/>
      <c r="M990" s="128"/>
      <c r="N990" s="117"/>
      <c r="R990" s="117"/>
      <c r="T990" s="117"/>
      <c r="V990" s="117"/>
      <c r="X990" s="117"/>
      <c r="Y990" s="10"/>
      <c r="Z990" s="11"/>
      <c r="AA990" s="36"/>
      <c r="AB990" s="36"/>
      <c r="AC990" s="13"/>
      <c r="AD990" s="13"/>
      <c r="AE990" s="37"/>
      <c r="AF990" s="37"/>
      <c r="AG990" s="14"/>
      <c r="AH990" s="14"/>
      <c r="AI990" s="14"/>
      <c r="AZ990" s="24"/>
    </row>
    <row r="991">
      <c r="B991" s="24"/>
      <c r="E991" s="113"/>
      <c r="F991" s="266"/>
      <c r="G991" s="113"/>
      <c r="K991" s="36"/>
      <c r="L991" s="117"/>
      <c r="M991" s="128"/>
      <c r="N991" s="117"/>
      <c r="R991" s="117"/>
      <c r="T991" s="117"/>
      <c r="V991" s="117"/>
      <c r="X991" s="117"/>
      <c r="Y991" s="10"/>
      <c r="Z991" s="11"/>
      <c r="AA991" s="36"/>
      <c r="AB991" s="36"/>
      <c r="AC991" s="13"/>
      <c r="AD991" s="13"/>
      <c r="AE991" s="37"/>
      <c r="AF991" s="37"/>
      <c r="AG991" s="14"/>
      <c r="AH991" s="14"/>
      <c r="AI991" s="14"/>
      <c r="AZ991" s="24"/>
    </row>
    <row r="992">
      <c r="B992" s="24"/>
      <c r="E992" s="113"/>
      <c r="F992" s="266"/>
      <c r="G992" s="113"/>
      <c r="K992" s="36"/>
      <c r="L992" s="117"/>
      <c r="M992" s="128"/>
      <c r="N992" s="117"/>
      <c r="R992" s="117"/>
      <c r="T992" s="117"/>
      <c r="V992" s="117"/>
      <c r="X992" s="117"/>
      <c r="Y992" s="10"/>
      <c r="Z992" s="11"/>
      <c r="AA992" s="36"/>
      <c r="AB992" s="36"/>
      <c r="AC992" s="13"/>
      <c r="AD992" s="13"/>
      <c r="AE992" s="37"/>
      <c r="AF992" s="37"/>
      <c r="AG992" s="14"/>
      <c r="AH992" s="14"/>
      <c r="AI992" s="14"/>
      <c r="AZ992" s="24"/>
    </row>
    <row r="993">
      <c r="B993" s="24"/>
      <c r="E993" s="113"/>
      <c r="F993" s="266"/>
      <c r="G993" s="113"/>
      <c r="K993" s="36"/>
      <c r="L993" s="117"/>
      <c r="M993" s="128"/>
      <c r="N993" s="117"/>
      <c r="R993" s="117"/>
      <c r="T993" s="117"/>
      <c r="V993" s="117"/>
      <c r="X993" s="117"/>
      <c r="Y993" s="10"/>
      <c r="Z993" s="11"/>
      <c r="AA993" s="36"/>
      <c r="AB993" s="36"/>
      <c r="AC993" s="13"/>
      <c r="AD993" s="13"/>
      <c r="AE993" s="37"/>
      <c r="AF993" s="37"/>
      <c r="AG993" s="14"/>
      <c r="AH993" s="14"/>
      <c r="AI993" s="14"/>
      <c r="AZ993" s="24"/>
    </row>
    <row r="994">
      <c r="B994" s="24"/>
      <c r="E994" s="113"/>
      <c r="F994" s="266"/>
      <c r="G994" s="113"/>
      <c r="K994" s="36"/>
      <c r="L994" s="117"/>
      <c r="M994" s="128"/>
      <c r="N994" s="117"/>
      <c r="R994" s="117"/>
      <c r="T994" s="117"/>
      <c r="V994" s="117"/>
      <c r="X994" s="117"/>
      <c r="Y994" s="10"/>
      <c r="Z994" s="11"/>
      <c r="AA994" s="36"/>
      <c r="AB994" s="36"/>
      <c r="AC994" s="13"/>
      <c r="AD994" s="13"/>
      <c r="AE994" s="37"/>
      <c r="AF994" s="37"/>
      <c r="AG994" s="14"/>
      <c r="AH994" s="14"/>
      <c r="AI994" s="14"/>
      <c r="AZ994" s="24"/>
    </row>
    <row r="995">
      <c r="B995" s="24"/>
      <c r="E995" s="113"/>
      <c r="F995" s="266"/>
      <c r="G995" s="113"/>
      <c r="K995" s="36"/>
      <c r="L995" s="117"/>
      <c r="M995" s="128"/>
      <c r="N995" s="117"/>
      <c r="R995" s="117"/>
      <c r="T995" s="117"/>
      <c r="V995" s="117"/>
      <c r="X995" s="117"/>
      <c r="Y995" s="10"/>
      <c r="Z995" s="11"/>
      <c r="AA995" s="36"/>
      <c r="AB995" s="36"/>
      <c r="AC995" s="13"/>
      <c r="AD995" s="13"/>
      <c r="AE995" s="37"/>
      <c r="AF995" s="37"/>
      <c r="AG995" s="14"/>
      <c r="AH995" s="14"/>
      <c r="AI995" s="14"/>
      <c r="AZ995" s="24"/>
    </row>
    <row r="996">
      <c r="B996" s="24"/>
      <c r="E996" s="113"/>
      <c r="F996" s="266"/>
      <c r="G996" s="113"/>
      <c r="K996" s="36"/>
      <c r="L996" s="117"/>
      <c r="M996" s="128"/>
      <c r="N996" s="117"/>
      <c r="R996" s="117"/>
      <c r="T996" s="117"/>
      <c r="V996" s="117"/>
      <c r="X996" s="117"/>
      <c r="Y996" s="10"/>
      <c r="Z996" s="11"/>
      <c r="AA996" s="36"/>
      <c r="AB996" s="36"/>
      <c r="AC996" s="13"/>
      <c r="AD996" s="13"/>
      <c r="AE996" s="37"/>
      <c r="AF996" s="37"/>
      <c r="AG996" s="14"/>
      <c r="AH996" s="14"/>
      <c r="AI996" s="14"/>
      <c r="AZ996" s="24"/>
    </row>
    <row r="997">
      <c r="B997" s="24"/>
      <c r="E997" s="113"/>
      <c r="F997" s="266"/>
      <c r="G997" s="113"/>
      <c r="K997" s="36"/>
      <c r="L997" s="117"/>
      <c r="M997" s="128"/>
      <c r="N997" s="117"/>
      <c r="R997" s="117"/>
      <c r="T997" s="117"/>
      <c r="V997" s="117"/>
      <c r="X997" s="117"/>
      <c r="Y997" s="10"/>
      <c r="Z997" s="11"/>
      <c r="AA997" s="36"/>
      <c r="AB997" s="36"/>
      <c r="AC997" s="13"/>
      <c r="AD997" s="13"/>
      <c r="AE997" s="37"/>
      <c r="AF997" s="37"/>
      <c r="AG997" s="14"/>
      <c r="AH997" s="14"/>
      <c r="AI997" s="14"/>
      <c r="AZ997" s="24"/>
    </row>
    <row r="998">
      <c r="B998" s="24"/>
      <c r="E998" s="113"/>
      <c r="F998" s="266"/>
      <c r="G998" s="113"/>
      <c r="K998" s="36"/>
      <c r="L998" s="117"/>
      <c r="M998" s="128"/>
      <c r="N998" s="117"/>
      <c r="R998" s="117"/>
      <c r="T998" s="117"/>
      <c r="V998" s="117"/>
      <c r="X998" s="117"/>
      <c r="Y998" s="10"/>
      <c r="Z998" s="11"/>
      <c r="AA998" s="36"/>
      <c r="AB998" s="36"/>
      <c r="AC998" s="13"/>
      <c r="AD998" s="13"/>
      <c r="AE998" s="37"/>
      <c r="AF998" s="37"/>
      <c r="AG998" s="14"/>
      <c r="AH998" s="14"/>
      <c r="AI998" s="14"/>
      <c r="AZ998" s="24"/>
    </row>
    <row r="999">
      <c r="B999" s="24"/>
      <c r="E999" s="113"/>
      <c r="F999" s="266"/>
      <c r="G999" s="113"/>
      <c r="K999" s="36"/>
      <c r="L999" s="117"/>
      <c r="M999" s="128"/>
      <c r="N999" s="117"/>
      <c r="R999" s="117"/>
      <c r="T999" s="117"/>
      <c r="V999" s="117"/>
      <c r="X999" s="117"/>
      <c r="Y999" s="10"/>
      <c r="Z999" s="11"/>
      <c r="AA999" s="36"/>
      <c r="AB999" s="36"/>
      <c r="AC999" s="13"/>
      <c r="AD999" s="13"/>
      <c r="AE999" s="37"/>
      <c r="AF999" s="37"/>
      <c r="AG999" s="14"/>
      <c r="AH999" s="14"/>
      <c r="AI999" s="14"/>
      <c r="AZ999" s="24"/>
    </row>
    <row r="1000">
      <c r="B1000" s="24"/>
      <c r="E1000" s="113"/>
      <c r="F1000" s="266"/>
      <c r="G1000" s="113"/>
      <c r="K1000" s="36"/>
      <c r="L1000" s="117"/>
      <c r="M1000" s="128"/>
      <c r="N1000" s="117"/>
      <c r="R1000" s="117"/>
      <c r="T1000" s="117"/>
      <c r="V1000" s="117"/>
      <c r="X1000" s="117"/>
      <c r="Y1000" s="10"/>
      <c r="Z1000" s="11"/>
      <c r="AA1000" s="36"/>
      <c r="AB1000" s="36"/>
      <c r="AC1000" s="13"/>
      <c r="AD1000" s="13"/>
      <c r="AE1000" s="37"/>
      <c r="AF1000" s="37"/>
      <c r="AG1000" s="14"/>
      <c r="AH1000" s="14"/>
      <c r="AI1000" s="14"/>
      <c r="AZ1000" s="24"/>
    </row>
    <row r="1001">
      <c r="B1001" s="24"/>
      <c r="E1001" s="113"/>
      <c r="F1001" s="266"/>
      <c r="G1001" s="113"/>
      <c r="K1001" s="36"/>
      <c r="L1001" s="117"/>
      <c r="M1001" s="128"/>
      <c r="N1001" s="117"/>
      <c r="R1001" s="117"/>
      <c r="T1001" s="117"/>
      <c r="V1001" s="117"/>
      <c r="X1001" s="117"/>
      <c r="Y1001" s="10"/>
      <c r="Z1001" s="11"/>
      <c r="AA1001" s="36"/>
      <c r="AB1001" s="36"/>
      <c r="AC1001" s="13"/>
      <c r="AD1001" s="13"/>
      <c r="AE1001" s="37"/>
      <c r="AF1001" s="37"/>
      <c r="AG1001" s="14"/>
      <c r="AH1001" s="14"/>
      <c r="AI1001" s="14"/>
      <c r="AZ1001" s="24"/>
    </row>
    <row r="1002">
      <c r="B1002" s="24"/>
      <c r="E1002" s="113"/>
      <c r="F1002" s="266"/>
      <c r="G1002" s="113"/>
      <c r="K1002" s="36"/>
      <c r="L1002" s="117"/>
      <c r="M1002" s="128"/>
      <c r="N1002" s="117"/>
      <c r="R1002" s="117"/>
      <c r="T1002" s="117"/>
      <c r="V1002" s="117"/>
      <c r="X1002" s="117"/>
      <c r="Y1002" s="10"/>
      <c r="Z1002" s="11"/>
      <c r="AA1002" s="36"/>
      <c r="AB1002" s="36"/>
      <c r="AC1002" s="13"/>
      <c r="AD1002" s="13"/>
      <c r="AE1002" s="37"/>
      <c r="AF1002" s="37"/>
      <c r="AG1002" s="14"/>
      <c r="AH1002" s="14"/>
      <c r="AI1002" s="14"/>
      <c r="AZ1002" s="24"/>
    </row>
    <row r="1003">
      <c r="B1003" s="24"/>
      <c r="E1003" s="113"/>
      <c r="F1003" s="266"/>
      <c r="G1003" s="113"/>
      <c r="K1003" s="36"/>
      <c r="L1003" s="117"/>
      <c r="M1003" s="128"/>
      <c r="N1003" s="117"/>
      <c r="R1003" s="117"/>
      <c r="T1003" s="117"/>
      <c r="V1003" s="117"/>
      <c r="X1003" s="117"/>
      <c r="Y1003" s="10"/>
      <c r="Z1003" s="11"/>
      <c r="AA1003" s="36"/>
      <c r="AB1003" s="36"/>
      <c r="AC1003" s="13"/>
      <c r="AD1003" s="13"/>
      <c r="AE1003" s="37"/>
      <c r="AF1003" s="37"/>
      <c r="AG1003" s="14"/>
      <c r="AH1003" s="14"/>
      <c r="AI1003" s="14"/>
      <c r="AZ1003" s="24"/>
    </row>
    <row r="1004">
      <c r="B1004" s="24"/>
      <c r="E1004" s="113"/>
      <c r="F1004" s="266"/>
      <c r="G1004" s="113"/>
      <c r="K1004" s="36"/>
      <c r="L1004" s="117"/>
      <c r="M1004" s="128"/>
      <c r="N1004" s="117"/>
      <c r="R1004" s="117"/>
      <c r="T1004" s="117"/>
      <c r="V1004" s="117"/>
      <c r="X1004" s="117"/>
      <c r="Y1004" s="10"/>
      <c r="Z1004" s="11"/>
      <c r="AA1004" s="36"/>
      <c r="AB1004" s="36"/>
      <c r="AC1004" s="13"/>
      <c r="AD1004" s="13"/>
      <c r="AE1004" s="37"/>
      <c r="AF1004" s="37"/>
      <c r="AG1004" s="14"/>
      <c r="AH1004" s="14"/>
      <c r="AI1004" s="14"/>
      <c r="AZ1004" s="24"/>
    </row>
    <row r="1005">
      <c r="B1005" s="24"/>
      <c r="E1005" s="113"/>
      <c r="F1005" s="266"/>
      <c r="G1005" s="113"/>
      <c r="K1005" s="36"/>
      <c r="L1005" s="117"/>
      <c r="M1005" s="128"/>
      <c r="N1005" s="117"/>
      <c r="R1005" s="117"/>
      <c r="T1005" s="117"/>
      <c r="V1005" s="117"/>
      <c r="X1005" s="117"/>
      <c r="Y1005" s="10"/>
      <c r="Z1005" s="11"/>
      <c r="AA1005" s="36"/>
      <c r="AB1005" s="36"/>
      <c r="AC1005" s="13"/>
      <c r="AD1005" s="13"/>
      <c r="AE1005" s="37"/>
      <c r="AF1005" s="37"/>
      <c r="AG1005" s="14"/>
      <c r="AH1005" s="14"/>
      <c r="AI1005" s="14"/>
      <c r="AZ1005" s="24"/>
    </row>
    <row r="1006">
      <c r="B1006" s="24"/>
      <c r="E1006" s="113"/>
      <c r="F1006" s="266"/>
      <c r="G1006" s="113"/>
      <c r="K1006" s="36"/>
      <c r="L1006" s="117"/>
      <c r="M1006" s="128"/>
      <c r="N1006" s="117"/>
      <c r="R1006" s="117"/>
      <c r="T1006" s="117"/>
      <c r="V1006" s="117"/>
      <c r="X1006" s="117"/>
      <c r="Y1006" s="10"/>
      <c r="Z1006" s="11"/>
      <c r="AA1006" s="36"/>
      <c r="AB1006" s="36"/>
      <c r="AC1006" s="13"/>
      <c r="AD1006" s="13"/>
      <c r="AE1006" s="37"/>
      <c r="AF1006" s="37"/>
      <c r="AG1006" s="14"/>
      <c r="AH1006" s="14"/>
      <c r="AI1006" s="14"/>
      <c r="AZ1006" s="24"/>
    </row>
    <row r="1007">
      <c r="B1007" s="24"/>
      <c r="E1007" s="113"/>
      <c r="F1007" s="266"/>
      <c r="G1007" s="113"/>
      <c r="K1007" s="36"/>
      <c r="L1007" s="117"/>
      <c r="M1007" s="128"/>
      <c r="N1007" s="117"/>
      <c r="R1007" s="117"/>
      <c r="T1007" s="117"/>
      <c r="V1007" s="117"/>
      <c r="X1007" s="117"/>
      <c r="Y1007" s="10"/>
      <c r="Z1007" s="11"/>
      <c r="AA1007" s="36"/>
      <c r="AB1007" s="36"/>
      <c r="AC1007" s="13"/>
      <c r="AD1007" s="13"/>
      <c r="AE1007" s="37"/>
      <c r="AF1007" s="37"/>
      <c r="AG1007" s="14"/>
      <c r="AH1007" s="14"/>
      <c r="AI1007" s="14"/>
      <c r="AZ1007" s="24"/>
    </row>
    <row r="1008">
      <c r="B1008" s="24"/>
      <c r="E1008" s="113"/>
      <c r="F1008" s="266"/>
      <c r="G1008" s="113"/>
      <c r="K1008" s="36"/>
      <c r="L1008" s="117"/>
      <c r="M1008" s="128"/>
      <c r="N1008" s="117"/>
      <c r="R1008" s="117"/>
      <c r="T1008" s="117"/>
      <c r="V1008" s="117"/>
      <c r="X1008" s="117"/>
      <c r="Y1008" s="10"/>
      <c r="Z1008" s="11"/>
      <c r="AA1008" s="36"/>
      <c r="AB1008" s="36"/>
      <c r="AC1008" s="13"/>
      <c r="AD1008" s="13"/>
      <c r="AE1008" s="37"/>
      <c r="AF1008" s="37"/>
      <c r="AG1008" s="14"/>
      <c r="AH1008" s="14"/>
      <c r="AI1008" s="14"/>
      <c r="AZ1008" s="24"/>
    </row>
    <row r="1009">
      <c r="B1009" s="24"/>
      <c r="E1009" s="113"/>
      <c r="F1009" s="266"/>
      <c r="G1009" s="113"/>
      <c r="K1009" s="36"/>
      <c r="L1009" s="117"/>
      <c r="M1009" s="128"/>
      <c r="N1009" s="117"/>
      <c r="R1009" s="117"/>
      <c r="T1009" s="117"/>
      <c r="V1009" s="117"/>
      <c r="X1009" s="117"/>
      <c r="Y1009" s="10"/>
      <c r="Z1009" s="11"/>
      <c r="AA1009" s="36"/>
      <c r="AB1009" s="36"/>
      <c r="AC1009" s="13"/>
      <c r="AD1009" s="13"/>
      <c r="AE1009" s="37"/>
      <c r="AF1009" s="37"/>
      <c r="AG1009" s="14"/>
      <c r="AH1009" s="14"/>
      <c r="AI1009" s="14"/>
      <c r="AZ1009" s="24"/>
    </row>
    <row r="1010">
      <c r="B1010" s="24"/>
      <c r="E1010" s="113"/>
      <c r="F1010" s="266"/>
      <c r="G1010" s="113"/>
      <c r="K1010" s="36"/>
      <c r="L1010" s="117"/>
      <c r="M1010" s="128"/>
      <c r="N1010" s="117"/>
      <c r="R1010" s="117"/>
      <c r="T1010" s="117"/>
      <c r="V1010" s="117"/>
      <c r="X1010" s="117"/>
      <c r="Y1010" s="10"/>
      <c r="Z1010" s="11"/>
      <c r="AA1010" s="36"/>
      <c r="AB1010" s="36"/>
      <c r="AC1010" s="13"/>
      <c r="AD1010" s="13"/>
      <c r="AE1010" s="37"/>
      <c r="AF1010" s="37"/>
      <c r="AG1010" s="14"/>
      <c r="AH1010" s="14"/>
      <c r="AI1010" s="14"/>
      <c r="AZ1010" s="24"/>
    </row>
    <row r="1011">
      <c r="B1011" s="24"/>
      <c r="E1011" s="113"/>
      <c r="F1011" s="266"/>
      <c r="G1011" s="113"/>
      <c r="K1011" s="36"/>
      <c r="L1011" s="117"/>
      <c r="M1011" s="128"/>
      <c r="N1011" s="117"/>
      <c r="R1011" s="117"/>
      <c r="T1011" s="117"/>
      <c r="V1011" s="117"/>
      <c r="X1011" s="117"/>
      <c r="Y1011" s="10"/>
      <c r="Z1011" s="11"/>
      <c r="AA1011" s="36"/>
      <c r="AB1011" s="36"/>
      <c r="AC1011" s="13"/>
      <c r="AD1011" s="13"/>
      <c r="AE1011" s="37"/>
      <c r="AF1011" s="37"/>
      <c r="AG1011" s="14"/>
      <c r="AH1011" s="14"/>
      <c r="AI1011" s="14"/>
      <c r="AZ1011" s="24"/>
    </row>
    <row r="1012">
      <c r="B1012" s="24"/>
      <c r="E1012" s="113"/>
      <c r="F1012" s="266"/>
      <c r="G1012" s="113"/>
      <c r="K1012" s="36"/>
      <c r="L1012" s="117"/>
      <c r="M1012" s="128"/>
      <c r="N1012" s="117"/>
      <c r="R1012" s="117"/>
      <c r="T1012" s="117"/>
      <c r="V1012" s="117"/>
      <c r="X1012" s="117"/>
      <c r="Y1012" s="10"/>
      <c r="Z1012" s="11"/>
      <c r="AA1012" s="36"/>
      <c r="AB1012" s="36"/>
      <c r="AC1012" s="13"/>
      <c r="AD1012" s="13"/>
      <c r="AE1012" s="37"/>
      <c r="AF1012" s="37"/>
      <c r="AG1012" s="14"/>
      <c r="AH1012" s="14"/>
      <c r="AI1012" s="14"/>
      <c r="AZ1012" s="24"/>
    </row>
    <row r="1013">
      <c r="B1013" s="24"/>
      <c r="E1013" s="113"/>
      <c r="F1013" s="266"/>
      <c r="G1013" s="113"/>
      <c r="K1013" s="36"/>
      <c r="L1013" s="117"/>
      <c r="M1013" s="128"/>
      <c r="N1013" s="117"/>
      <c r="R1013" s="117"/>
      <c r="T1013" s="117"/>
      <c r="V1013" s="117"/>
      <c r="X1013" s="117"/>
      <c r="Y1013" s="10"/>
      <c r="Z1013" s="11"/>
      <c r="AA1013" s="36"/>
      <c r="AB1013" s="36"/>
      <c r="AC1013" s="13"/>
      <c r="AD1013" s="13"/>
      <c r="AE1013" s="37"/>
      <c r="AF1013" s="37"/>
      <c r="AG1013" s="14"/>
      <c r="AH1013" s="14"/>
      <c r="AI1013" s="14"/>
      <c r="AZ1013" s="24"/>
    </row>
    <row r="1014">
      <c r="B1014" s="24"/>
      <c r="E1014" s="113"/>
      <c r="F1014" s="266"/>
      <c r="G1014" s="113"/>
      <c r="K1014" s="36"/>
      <c r="L1014" s="117"/>
      <c r="M1014" s="128"/>
      <c r="N1014" s="117"/>
      <c r="R1014" s="117"/>
      <c r="T1014" s="117"/>
      <c r="V1014" s="117"/>
      <c r="X1014" s="117"/>
      <c r="Y1014" s="10"/>
      <c r="Z1014" s="11"/>
      <c r="AA1014" s="36"/>
      <c r="AB1014" s="36"/>
      <c r="AC1014" s="13"/>
      <c r="AD1014" s="13"/>
      <c r="AE1014" s="37"/>
      <c r="AF1014" s="37"/>
      <c r="AG1014" s="14"/>
      <c r="AH1014" s="14"/>
      <c r="AI1014" s="14"/>
      <c r="AZ1014" s="24"/>
    </row>
    <row r="1015">
      <c r="B1015" s="24"/>
      <c r="E1015" s="113"/>
      <c r="F1015" s="266"/>
      <c r="G1015" s="113"/>
      <c r="K1015" s="36"/>
      <c r="L1015" s="117"/>
      <c r="M1015" s="128"/>
      <c r="N1015" s="117"/>
      <c r="R1015" s="117"/>
      <c r="T1015" s="117"/>
      <c r="V1015" s="117"/>
      <c r="X1015" s="117"/>
      <c r="Y1015" s="10"/>
      <c r="Z1015" s="11"/>
      <c r="AA1015" s="36"/>
      <c r="AB1015" s="36"/>
      <c r="AC1015" s="13"/>
      <c r="AD1015" s="13"/>
      <c r="AE1015" s="37"/>
      <c r="AF1015" s="37"/>
      <c r="AG1015" s="14"/>
      <c r="AH1015" s="14"/>
      <c r="AI1015" s="14"/>
      <c r="AZ1015" s="24"/>
    </row>
    <row r="1016">
      <c r="B1016" s="24"/>
      <c r="E1016" s="113"/>
      <c r="F1016" s="266"/>
      <c r="G1016" s="113"/>
      <c r="K1016" s="36"/>
      <c r="L1016" s="117"/>
      <c r="M1016" s="128"/>
      <c r="N1016" s="117"/>
      <c r="R1016" s="117"/>
      <c r="T1016" s="117"/>
      <c r="V1016" s="117"/>
      <c r="X1016" s="117"/>
      <c r="Y1016" s="10"/>
      <c r="Z1016" s="11"/>
      <c r="AA1016" s="36"/>
      <c r="AB1016" s="36"/>
      <c r="AC1016" s="13"/>
      <c r="AD1016" s="13"/>
      <c r="AE1016" s="37"/>
      <c r="AF1016" s="37"/>
      <c r="AG1016" s="14"/>
      <c r="AH1016" s="14"/>
      <c r="AI1016" s="14"/>
      <c r="AZ1016" s="24"/>
    </row>
    <row r="1017">
      <c r="B1017" s="24"/>
      <c r="E1017" s="113"/>
      <c r="F1017" s="266"/>
      <c r="G1017" s="113"/>
      <c r="K1017" s="36"/>
      <c r="L1017" s="117"/>
      <c r="M1017" s="128"/>
      <c r="N1017" s="117"/>
      <c r="R1017" s="117"/>
      <c r="T1017" s="117"/>
      <c r="V1017" s="117"/>
      <c r="X1017" s="117"/>
      <c r="Y1017" s="10"/>
      <c r="Z1017" s="11"/>
      <c r="AA1017" s="36"/>
      <c r="AB1017" s="36"/>
      <c r="AC1017" s="13"/>
      <c r="AD1017" s="13"/>
      <c r="AE1017" s="37"/>
      <c r="AF1017" s="37"/>
      <c r="AG1017" s="14"/>
      <c r="AH1017" s="14"/>
      <c r="AI1017" s="14"/>
      <c r="AZ1017" s="24"/>
    </row>
    <row r="1018">
      <c r="B1018" s="24"/>
      <c r="E1018" s="113"/>
      <c r="F1018" s="266"/>
      <c r="G1018" s="113"/>
      <c r="K1018" s="36"/>
      <c r="L1018" s="117"/>
      <c r="M1018" s="128"/>
      <c r="N1018" s="117"/>
      <c r="R1018" s="117"/>
      <c r="T1018" s="117"/>
      <c r="V1018" s="117"/>
      <c r="X1018" s="117"/>
      <c r="Y1018" s="10"/>
      <c r="Z1018" s="11"/>
      <c r="AA1018" s="36"/>
      <c r="AB1018" s="36"/>
      <c r="AC1018" s="13"/>
      <c r="AD1018" s="13"/>
      <c r="AE1018" s="37"/>
      <c r="AF1018" s="37"/>
      <c r="AG1018" s="14"/>
      <c r="AH1018" s="14"/>
      <c r="AI1018" s="14"/>
      <c r="AZ1018" s="24"/>
    </row>
    <row r="1019">
      <c r="B1019" s="24"/>
      <c r="E1019" s="113"/>
      <c r="F1019" s="266"/>
      <c r="G1019" s="113"/>
      <c r="K1019" s="36"/>
      <c r="L1019" s="117"/>
      <c r="M1019" s="128"/>
      <c r="N1019" s="117"/>
      <c r="R1019" s="117"/>
      <c r="T1019" s="117"/>
      <c r="V1019" s="117"/>
      <c r="X1019" s="117"/>
      <c r="Y1019" s="10"/>
      <c r="Z1019" s="11"/>
      <c r="AA1019" s="36"/>
      <c r="AB1019" s="36"/>
      <c r="AC1019" s="13"/>
      <c r="AD1019" s="13"/>
      <c r="AE1019" s="37"/>
      <c r="AF1019" s="37"/>
      <c r="AG1019" s="14"/>
      <c r="AH1019" s="14"/>
      <c r="AI1019" s="14"/>
      <c r="AZ1019" s="24"/>
    </row>
    <row r="1020">
      <c r="B1020" s="24"/>
      <c r="E1020" s="113"/>
      <c r="F1020" s="266"/>
      <c r="G1020" s="113"/>
      <c r="K1020" s="36"/>
      <c r="L1020" s="117"/>
      <c r="M1020" s="128"/>
      <c r="N1020" s="117"/>
      <c r="R1020" s="117"/>
      <c r="T1020" s="117"/>
      <c r="V1020" s="117"/>
      <c r="X1020" s="117"/>
      <c r="Y1020" s="10"/>
      <c r="Z1020" s="11"/>
      <c r="AA1020" s="36"/>
      <c r="AB1020" s="36"/>
      <c r="AC1020" s="13"/>
      <c r="AD1020" s="13"/>
      <c r="AE1020" s="37"/>
      <c r="AF1020" s="37"/>
      <c r="AG1020" s="14"/>
      <c r="AH1020" s="14"/>
      <c r="AI1020" s="14"/>
      <c r="AZ1020" s="24"/>
    </row>
    <row r="1021">
      <c r="B1021" s="24"/>
      <c r="E1021" s="113"/>
      <c r="F1021" s="266"/>
      <c r="G1021" s="113"/>
      <c r="K1021" s="36"/>
      <c r="L1021" s="117"/>
      <c r="M1021" s="128"/>
      <c r="N1021" s="117"/>
      <c r="R1021" s="117"/>
      <c r="T1021" s="117"/>
      <c r="V1021" s="117"/>
      <c r="X1021" s="117"/>
      <c r="Y1021" s="10"/>
      <c r="Z1021" s="11"/>
      <c r="AA1021" s="36"/>
      <c r="AB1021" s="36"/>
      <c r="AC1021" s="13"/>
      <c r="AD1021" s="13"/>
      <c r="AE1021" s="37"/>
      <c r="AF1021" s="37"/>
      <c r="AG1021" s="14"/>
      <c r="AH1021" s="14"/>
      <c r="AI1021" s="14"/>
      <c r="AZ1021" s="24"/>
    </row>
    <row r="1022">
      <c r="B1022" s="24"/>
      <c r="E1022" s="113"/>
      <c r="F1022" s="266"/>
      <c r="G1022" s="113"/>
      <c r="K1022" s="36"/>
      <c r="L1022" s="117"/>
      <c r="M1022" s="128"/>
      <c r="N1022" s="117"/>
      <c r="R1022" s="117"/>
      <c r="T1022" s="117"/>
      <c r="V1022" s="117"/>
      <c r="X1022" s="117"/>
      <c r="Y1022" s="10"/>
      <c r="Z1022" s="11"/>
      <c r="AA1022" s="36"/>
      <c r="AB1022" s="36"/>
      <c r="AC1022" s="13"/>
      <c r="AD1022" s="13"/>
      <c r="AE1022" s="37"/>
      <c r="AF1022" s="37"/>
      <c r="AG1022" s="14"/>
      <c r="AH1022" s="14"/>
      <c r="AI1022" s="14"/>
      <c r="AZ1022" s="24"/>
    </row>
    <row r="1023">
      <c r="B1023" s="24"/>
      <c r="E1023" s="113"/>
      <c r="F1023" s="266"/>
      <c r="G1023" s="113"/>
      <c r="K1023" s="36"/>
      <c r="L1023" s="117"/>
      <c r="M1023" s="128"/>
      <c r="N1023" s="117"/>
      <c r="R1023" s="117"/>
      <c r="T1023" s="117"/>
      <c r="V1023" s="117"/>
      <c r="X1023" s="117"/>
      <c r="Y1023" s="10"/>
      <c r="Z1023" s="11"/>
      <c r="AA1023" s="36"/>
      <c r="AB1023" s="36"/>
      <c r="AC1023" s="13"/>
      <c r="AD1023" s="13"/>
      <c r="AE1023" s="37"/>
      <c r="AF1023" s="37"/>
      <c r="AG1023" s="14"/>
      <c r="AH1023" s="14"/>
      <c r="AI1023" s="14"/>
      <c r="AZ1023" s="24"/>
    </row>
    <row r="1024">
      <c r="B1024" s="24"/>
      <c r="E1024" s="113"/>
      <c r="F1024" s="266"/>
      <c r="G1024" s="113"/>
      <c r="K1024" s="36"/>
      <c r="L1024" s="117"/>
      <c r="M1024" s="128"/>
      <c r="N1024" s="117"/>
      <c r="R1024" s="117"/>
      <c r="T1024" s="117"/>
      <c r="V1024" s="117"/>
      <c r="X1024" s="117"/>
      <c r="Y1024" s="10"/>
      <c r="Z1024" s="11"/>
      <c r="AA1024" s="36"/>
      <c r="AB1024" s="36"/>
      <c r="AC1024" s="13"/>
      <c r="AD1024" s="13"/>
      <c r="AE1024" s="37"/>
      <c r="AF1024" s="37"/>
      <c r="AG1024" s="14"/>
      <c r="AH1024" s="14"/>
      <c r="AI1024" s="14"/>
      <c r="AZ1024" s="24"/>
    </row>
    <row r="1025">
      <c r="B1025" s="24"/>
      <c r="E1025" s="113"/>
      <c r="F1025" s="266"/>
      <c r="G1025" s="113"/>
      <c r="K1025" s="36"/>
      <c r="L1025" s="117"/>
      <c r="M1025" s="128"/>
      <c r="N1025" s="117"/>
      <c r="R1025" s="117"/>
      <c r="T1025" s="117"/>
      <c r="V1025" s="117"/>
      <c r="X1025" s="117"/>
      <c r="Y1025" s="10"/>
      <c r="Z1025" s="11"/>
      <c r="AA1025" s="36"/>
      <c r="AB1025" s="36"/>
      <c r="AC1025" s="13"/>
      <c r="AD1025" s="13"/>
      <c r="AE1025" s="37"/>
      <c r="AF1025" s="37"/>
      <c r="AG1025" s="14"/>
      <c r="AH1025" s="14"/>
      <c r="AI1025" s="14"/>
      <c r="AZ1025" s="24"/>
    </row>
    <row r="1026">
      <c r="B1026" s="24"/>
      <c r="E1026" s="113"/>
      <c r="F1026" s="266"/>
      <c r="G1026" s="113"/>
      <c r="K1026" s="36"/>
      <c r="L1026" s="117"/>
      <c r="M1026" s="128"/>
      <c r="N1026" s="117"/>
      <c r="R1026" s="117"/>
      <c r="T1026" s="117"/>
      <c r="V1026" s="117"/>
      <c r="X1026" s="117"/>
      <c r="Y1026" s="10"/>
      <c r="Z1026" s="11"/>
      <c r="AA1026" s="36"/>
      <c r="AB1026" s="36"/>
      <c r="AC1026" s="13"/>
      <c r="AD1026" s="13"/>
      <c r="AE1026" s="37"/>
      <c r="AF1026" s="37"/>
      <c r="AG1026" s="14"/>
      <c r="AH1026" s="14"/>
      <c r="AI1026" s="14"/>
      <c r="AZ1026" s="24"/>
    </row>
    <row r="1027">
      <c r="B1027" s="24"/>
      <c r="E1027" s="113"/>
      <c r="F1027" s="266"/>
      <c r="G1027" s="113"/>
      <c r="K1027" s="36"/>
      <c r="L1027" s="117"/>
      <c r="M1027" s="128"/>
      <c r="N1027" s="117"/>
      <c r="R1027" s="117"/>
      <c r="T1027" s="117"/>
      <c r="V1027" s="117"/>
      <c r="X1027" s="117"/>
      <c r="Y1027" s="10"/>
      <c r="Z1027" s="11"/>
      <c r="AA1027" s="36"/>
      <c r="AB1027" s="36"/>
      <c r="AC1027" s="13"/>
      <c r="AD1027" s="13"/>
      <c r="AE1027" s="37"/>
      <c r="AF1027" s="37"/>
      <c r="AG1027" s="14"/>
      <c r="AH1027" s="14"/>
      <c r="AI1027" s="14"/>
      <c r="AZ1027" s="24"/>
    </row>
    <row r="1028">
      <c r="B1028" s="24"/>
      <c r="E1028" s="113"/>
      <c r="F1028" s="266"/>
      <c r="G1028" s="113"/>
      <c r="K1028" s="36"/>
      <c r="L1028" s="117"/>
      <c r="M1028" s="128"/>
      <c r="N1028" s="117"/>
      <c r="R1028" s="117"/>
      <c r="T1028" s="117"/>
      <c r="V1028" s="117"/>
      <c r="X1028" s="117"/>
      <c r="Y1028" s="10"/>
      <c r="Z1028" s="11"/>
      <c r="AA1028" s="36"/>
      <c r="AB1028" s="36"/>
      <c r="AC1028" s="13"/>
      <c r="AD1028" s="13"/>
      <c r="AE1028" s="37"/>
      <c r="AF1028" s="37"/>
      <c r="AG1028" s="14"/>
      <c r="AH1028" s="14"/>
      <c r="AI1028" s="14"/>
      <c r="AZ1028" s="24"/>
    </row>
    <row r="1029">
      <c r="B1029" s="24"/>
      <c r="E1029" s="113"/>
      <c r="F1029" s="266"/>
      <c r="G1029" s="113"/>
      <c r="K1029" s="36"/>
      <c r="L1029" s="117"/>
      <c r="M1029" s="128"/>
      <c r="N1029" s="117"/>
      <c r="R1029" s="117"/>
      <c r="T1029" s="117"/>
      <c r="V1029" s="117"/>
      <c r="X1029" s="117"/>
      <c r="Y1029" s="10"/>
      <c r="Z1029" s="11"/>
      <c r="AA1029" s="36"/>
      <c r="AB1029" s="36"/>
      <c r="AC1029" s="13"/>
      <c r="AD1029" s="13"/>
      <c r="AE1029" s="37"/>
      <c r="AF1029" s="37"/>
      <c r="AG1029" s="14"/>
      <c r="AH1029" s="14"/>
      <c r="AI1029" s="14"/>
      <c r="AZ1029" s="24"/>
    </row>
    <row r="1030">
      <c r="B1030" s="24"/>
      <c r="E1030" s="113"/>
      <c r="F1030" s="266"/>
      <c r="G1030" s="113"/>
      <c r="K1030" s="36"/>
      <c r="L1030" s="117"/>
      <c r="M1030" s="128"/>
      <c r="N1030" s="117"/>
      <c r="R1030" s="117"/>
      <c r="T1030" s="117"/>
      <c r="V1030" s="117"/>
      <c r="X1030" s="117"/>
      <c r="Y1030" s="10"/>
      <c r="Z1030" s="11"/>
      <c r="AA1030" s="36"/>
      <c r="AB1030" s="36"/>
      <c r="AC1030" s="13"/>
      <c r="AD1030" s="13"/>
      <c r="AE1030" s="37"/>
      <c r="AF1030" s="37"/>
      <c r="AG1030" s="14"/>
      <c r="AH1030" s="14"/>
      <c r="AI1030" s="14"/>
      <c r="AZ1030" s="24"/>
    </row>
    <row r="1031">
      <c r="B1031" s="24"/>
      <c r="E1031" s="113"/>
      <c r="F1031" s="266"/>
      <c r="G1031" s="113"/>
      <c r="K1031" s="36"/>
      <c r="L1031" s="117"/>
      <c r="M1031" s="128"/>
      <c r="N1031" s="117"/>
      <c r="R1031" s="117"/>
      <c r="T1031" s="117"/>
      <c r="V1031" s="117"/>
      <c r="X1031" s="117"/>
      <c r="Y1031" s="10"/>
      <c r="Z1031" s="11"/>
      <c r="AA1031" s="36"/>
      <c r="AB1031" s="36"/>
      <c r="AC1031" s="13"/>
      <c r="AD1031" s="13"/>
      <c r="AE1031" s="37"/>
      <c r="AF1031" s="37"/>
      <c r="AG1031" s="14"/>
      <c r="AH1031" s="14"/>
      <c r="AI1031" s="14"/>
      <c r="AZ1031" s="24"/>
    </row>
    <row r="1032">
      <c r="B1032" s="24"/>
      <c r="E1032" s="113"/>
      <c r="F1032" s="266"/>
      <c r="G1032" s="113"/>
      <c r="K1032" s="36"/>
      <c r="L1032" s="117"/>
      <c r="M1032" s="128"/>
      <c r="N1032" s="117"/>
      <c r="R1032" s="117"/>
      <c r="T1032" s="117"/>
      <c r="V1032" s="117"/>
      <c r="X1032" s="117"/>
      <c r="Y1032" s="10"/>
      <c r="Z1032" s="11"/>
      <c r="AA1032" s="36"/>
      <c r="AB1032" s="36"/>
      <c r="AC1032" s="13"/>
      <c r="AD1032" s="13"/>
      <c r="AE1032" s="37"/>
      <c r="AF1032" s="37"/>
      <c r="AG1032" s="14"/>
      <c r="AH1032" s="14"/>
      <c r="AI1032" s="14"/>
      <c r="AZ1032" s="24"/>
    </row>
    <row r="1033">
      <c r="B1033" s="24"/>
      <c r="E1033" s="113"/>
      <c r="F1033" s="266"/>
      <c r="G1033" s="113"/>
      <c r="K1033" s="36"/>
      <c r="L1033" s="117"/>
      <c r="M1033" s="128"/>
      <c r="N1033" s="117"/>
      <c r="R1033" s="117"/>
      <c r="T1033" s="117"/>
      <c r="V1033" s="117"/>
      <c r="X1033" s="117"/>
      <c r="Y1033" s="10"/>
      <c r="Z1033" s="11"/>
      <c r="AA1033" s="36"/>
      <c r="AB1033" s="36"/>
      <c r="AC1033" s="13"/>
      <c r="AD1033" s="13"/>
      <c r="AE1033" s="37"/>
      <c r="AF1033" s="37"/>
      <c r="AG1033" s="14"/>
      <c r="AH1033" s="14"/>
      <c r="AI1033" s="14"/>
      <c r="AZ1033" s="24"/>
    </row>
    <row r="1034">
      <c r="B1034" s="24"/>
      <c r="E1034" s="113"/>
      <c r="F1034" s="266"/>
      <c r="G1034" s="113"/>
      <c r="K1034" s="36"/>
      <c r="L1034" s="117"/>
      <c r="M1034" s="128"/>
      <c r="N1034" s="117"/>
      <c r="R1034" s="117"/>
      <c r="T1034" s="117"/>
      <c r="V1034" s="117"/>
      <c r="X1034" s="117"/>
      <c r="Y1034" s="10"/>
      <c r="Z1034" s="11"/>
      <c r="AA1034" s="36"/>
      <c r="AB1034" s="36"/>
      <c r="AC1034" s="13"/>
      <c r="AD1034" s="13"/>
      <c r="AE1034" s="37"/>
      <c r="AF1034" s="37"/>
      <c r="AG1034" s="14"/>
      <c r="AH1034" s="14"/>
      <c r="AI1034" s="14"/>
      <c r="AZ1034" s="24"/>
    </row>
    <row r="1035">
      <c r="B1035" s="24"/>
      <c r="E1035" s="113"/>
      <c r="F1035" s="266"/>
      <c r="G1035" s="113"/>
      <c r="K1035" s="36"/>
      <c r="L1035" s="117"/>
      <c r="M1035" s="128"/>
      <c r="N1035" s="117"/>
      <c r="R1035" s="117"/>
      <c r="T1035" s="117"/>
      <c r="V1035" s="117"/>
      <c r="X1035" s="117"/>
      <c r="Y1035" s="10"/>
      <c r="Z1035" s="11"/>
      <c r="AA1035" s="36"/>
      <c r="AB1035" s="36"/>
      <c r="AC1035" s="13"/>
      <c r="AD1035" s="13"/>
      <c r="AE1035" s="37"/>
      <c r="AF1035" s="37"/>
      <c r="AG1035" s="14"/>
      <c r="AH1035" s="14"/>
      <c r="AI1035" s="14"/>
      <c r="AZ1035" s="24"/>
    </row>
    <row r="1036">
      <c r="B1036" s="24"/>
      <c r="E1036" s="113"/>
      <c r="F1036" s="266"/>
      <c r="G1036" s="113"/>
      <c r="K1036" s="36"/>
      <c r="L1036" s="117"/>
      <c r="M1036" s="128"/>
      <c r="N1036" s="117"/>
      <c r="R1036" s="117"/>
      <c r="T1036" s="117"/>
      <c r="V1036" s="117"/>
      <c r="X1036" s="117"/>
      <c r="Y1036" s="10"/>
      <c r="Z1036" s="11"/>
      <c r="AA1036" s="36"/>
      <c r="AB1036" s="36"/>
      <c r="AC1036" s="13"/>
      <c r="AD1036" s="13"/>
      <c r="AE1036" s="37"/>
      <c r="AF1036" s="37"/>
      <c r="AG1036" s="14"/>
      <c r="AH1036" s="14"/>
      <c r="AI1036" s="14"/>
      <c r="AZ1036" s="24"/>
    </row>
    <row r="1037">
      <c r="B1037" s="24"/>
      <c r="E1037" s="113"/>
      <c r="F1037" s="266"/>
      <c r="G1037" s="113"/>
      <c r="K1037" s="36"/>
      <c r="L1037" s="117"/>
      <c r="M1037" s="128"/>
      <c r="N1037" s="117"/>
      <c r="R1037" s="117"/>
      <c r="T1037" s="117"/>
      <c r="V1037" s="117"/>
      <c r="X1037" s="117"/>
      <c r="Y1037" s="10"/>
      <c r="Z1037" s="11"/>
      <c r="AA1037" s="36"/>
      <c r="AB1037" s="36"/>
      <c r="AC1037" s="13"/>
      <c r="AD1037" s="13"/>
      <c r="AE1037" s="37"/>
      <c r="AF1037" s="37"/>
      <c r="AG1037" s="14"/>
      <c r="AH1037" s="14"/>
      <c r="AI1037" s="14"/>
      <c r="AZ1037" s="24"/>
    </row>
    <row r="1038">
      <c r="B1038" s="24"/>
      <c r="E1038" s="113"/>
      <c r="F1038" s="266"/>
      <c r="G1038" s="113"/>
      <c r="K1038" s="36"/>
      <c r="L1038" s="117"/>
      <c r="M1038" s="128"/>
      <c r="N1038" s="117"/>
      <c r="R1038" s="117"/>
      <c r="T1038" s="117"/>
      <c r="V1038" s="117"/>
      <c r="X1038" s="117"/>
      <c r="Y1038" s="10"/>
      <c r="Z1038" s="11"/>
      <c r="AA1038" s="36"/>
      <c r="AB1038" s="36"/>
      <c r="AC1038" s="13"/>
      <c r="AD1038" s="13"/>
      <c r="AE1038" s="37"/>
      <c r="AF1038" s="37"/>
      <c r="AG1038" s="14"/>
      <c r="AH1038" s="14"/>
      <c r="AI1038" s="14"/>
      <c r="AZ1038" s="24"/>
    </row>
    <row r="1039">
      <c r="B1039" s="24"/>
      <c r="E1039" s="113"/>
      <c r="F1039" s="266"/>
      <c r="G1039" s="113"/>
      <c r="K1039" s="36"/>
      <c r="L1039" s="117"/>
      <c r="M1039" s="128"/>
      <c r="N1039" s="117"/>
      <c r="R1039" s="117"/>
      <c r="T1039" s="117"/>
      <c r="V1039" s="117"/>
      <c r="X1039" s="117"/>
      <c r="Y1039" s="10"/>
      <c r="Z1039" s="11"/>
      <c r="AA1039" s="36"/>
      <c r="AB1039" s="36"/>
      <c r="AC1039" s="13"/>
      <c r="AD1039" s="13"/>
      <c r="AE1039" s="37"/>
      <c r="AF1039" s="37"/>
      <c r="AG1039" s="14"/>
      <c r="AH1039" s="14"/>
      <c r="AI1039" s="14"/>
      <c r="AZ1039" s="24"/>
    </row>
    <row r="1040">
      <c r="B1040" s="24"/>
      <c r="E1040" s="113"/>
      <c r="F1040" s="266"/>
      <c r="G1040" s="113"/>
      <c r="K1040" s="36"/>
      <c r="L1040" s="117"/>
      <c r="M1040" s="128"/>
      <c r="N1040" s="117"/>
      <c r="R1040" s="117"/>
      <c r="T1040" s="117"/>
      <c r="V1040" s="117"/>
      <c r="X1040" s="117"/>
      <c r="Y1040" s="10"/>
      <c r="Z1040" s="11"/>
      <c r="AA1040" s="36"/>
      <c r="AB1040" s="36"/>
      <c r="AC1040" s="13"/>
      <c r="AD1040" s="13"/>
      <c r="AE1040" s="37"/>
      <c r="AF1040" s="37"/>
      <c r="AG1040" s="14"/>
      <c r="AH1040" s="14"/>
      <c r="AI1040" s="14"/>
      <c r="AZ1040" s="24"/>
    </row>
    <row r="1041">
      <c r="B1041" s="24"/>
      <c r="E1041" s="113"/>
      <c r="F1041" s="266"/>
      <c r="G1041" s="113"/>
      <c r="K1041" s="36"/>
      <c r="L1041" s="117"/>
      <c r="M1041" s="128"/>
      <c r="N1041" s="117"/>
      <c r="R1041" s="117"/>
      <c r="T1041" s="117"/>
      <c r="V1041" s="117"/>
      <c r="X1041" s="117"/>
      <c r="Y1041" s="10"/>
      <c r="Z1041" s="11"/>
      <c r="AA1041" s="36"/>
      <c r="AB1041" s="36"/>
      <c r="AC1041" s="13"/>
      <c r="AD1041" s="13"/>
      <c r="AE1041" s="37"/>
      <c r="AF1041" s="37"/>
      <c r="AG1041" s="14"/>
      <c r="AH1041" s="14"/>
      <c r="AI1041" s="14"/>
      <c r="AZ1041" s="24"/>
    </row>
    <row r="1042">
      <c r="B1042" s="24"/>
      <c r="E1042" s="113"/>
      <c r="F1042" s="266"/>
      <c r="G1042" s="113"/>
      <c r="K1042" s="36"/>
      <c r="L1042" s="117"/>
      <c r="M1042" s="128"/>
      <c r="N1042" s="117"/>
      <c r="R1042" s="117"/>
      <c r="T1042" s="117"/>
      <c r="V1042" s="117"/>
      <c r="X1042" s="117"/>
      <c r="Y1042" s="10"/>
      <c r="Z1042" s="11"/>
      <c r="AA1042" s="36"/>
      <c r="AB1042" s="36"/>
      <c r="AC1042" s="13"/>
      <c r="AD1042" s="13"/>
      <c r="AE1042" s="37"/>
      <c r="AF1042" s="37"/>
      <c r="AG1042" s="14"/>
      <c r="AH1042" s="14"/>
      <c r="AI1042" s="14"/>
      <c r="AZ1042" s="24"/>
    </row>
    <row r="1043">
      <c r="B1043" s="24"/>
      <c r="E1043" s="113"/>
      <c r="F1043" s="266"/>
      <c r="G1043" s="113"/>
      <c r="K1043" s="36"/>
      <c r="L1043" s="117"/>
      <c r="M1043" s="128"/>
      <c r="N1043" s="117"/>
      <c r="R1043" s="117"/>
      <c r="T1043" s="117"/>
      <c r="V1043" s="117"/>
      <c r="X1043" s="117"/>
      <c r="Y1043" s="10"/>
      <c r="Z1043" s="11"/>
      <c r="AA1043" s="36"/>
      <c r="AB1043" s="36"/>
      <c r="AC1043" s="13"/>
      <c r="AD1043" s="13"/>
      <c r="AE1043" s="37"/>
      <c r="AF1043" s="37"/>
      <c r="AG1043" s="14"/>
      <c r="AH1043" s="14"/>
      <c r="AI1043" s="14"/>
      <c r="AZ1043" s="24"/>
    </row>
    <row r="1044">
      <c r="B1044" s="24"/>
      <c r="E1044" s="113"/>
      <c r="F1044" s="266"/>
      <c r="G1044" s="113"/>
      <c r="K1044" s="36"/>
      <c r="L1044" s="117"/>
      <c r="M1044" s="128"/>
      <c r="N1044" s="117"/>
      <c r="R1044" s="117"/>
      <c r="T1044" s="117"/>
      <c r="V1044" s="117"/>
      <c r="X1044" s="117"/>
      <c r="Y1044" s="10"/>
      <c r="Z1044" s="11"/>
      <c r="AA1044" s="36"/>
      <c r="AB1044" s="36"/>
      <c r="AC1044" s="13"/>
      <c r="AD1044" s="13"/>
      <c r="AE1044" s="37"/>
      <c r="AF1044" s="37"/>
      <c r="AG1044" s="14"/>
      <c r="AH1044" s="14"/>
      <c r="AI1044" s="14"/>
      <c r="AZ1044" s="24"/>
    </row>
    <row r="1045">
      <c r="B1045" s="24"/>
      <c r="E1045" s="113"/>
      <c r="F1045" s="266"/>
      <c r="G1045" s="113"/>
      <c r="K1045" s="36"/>
      <c r="L1045" s="117"/>
      <c r="M1045" s="128"/>
      <c r="N1045" s="117"/>
      <c r="R1045" s="117"/>
      <c r="T1045" s="117"/>
      <c r="V1045" s="117"/>
      <c r="X1045" s="117"/>
      <c r="Y1045" s="10"/>
      <c r="Z1045" s="11"/>
      <c r="AA1045" s="36"/>
      <c r="AB1045" s="36"/>
      <c r="AC1045" s="13"/>
      <c r="AD1045" s="13"/>
      <c r="AE1045" s="37"/>
      <c r="AF1045" s="37"/>
      <c r="AG1045" s="14"/>
      <c r="AH1045" s="14"/>
      <c r="AI1045" s="14"/>
      <c r="AZ1045" s="24"/>
    </row>
    <row r="1046">
      <c r="B1046" s="24"/>
      <c r="E1046" s="113"/>
      <c r="F1046" s="266"/>
      <c r="G1046" s="113"/>
      <c r="K1046" s="36"/>
      <c r="L1046" s="117"/>
      <c r="M1046" s="128"/>
      <c r="N1046" s="117"/>
      <c r="R1046" s="117"/>
      <c r="T1046" s="117"/>
      <c r="V1046" s="117"/>
      <c r="X1046" s="117"/>
      <c r="Y1046" s="10"/>
      <c r="Z1046" s="11"/>
      <c r="AA1046" s="36"/>
      <c r="AB1046" s="36"/>
      <c r="AC1046" s="13"/>
      <c r="AD1046" s="13"/>
      <c r="AE1046" s="37"/>
      <c r="AF1046" s="37"/>
      <c r="AG1046" s="14"/>
      <c r="AH1046" s="14"/>
      <c r="AI1046" s="14"/>
      <c r="AZ1046" s="24"/>
    </row>
    <row r="1047">
      <c r="B1047" s="24"/>
      <c r="E1047" s="113"/>
      <c r="F1047" s="266"/>
      <c r="G1047" s="113"/>
      <c r="K1047" s="36"/>
      <c r="L1047" s="117"/>
      <c r="M1047" s="128"/>
      <c r="N1047" s="117"/>
      <c r="R1047" s="117"/>
      <c r="T1047" s="117"/>
      <c r="V1047" s="117"/>
      <c r="X1047" s="117"/>
      <c r="Y1047" s="10"/>
      <c r="Z1047" s="11"/>
      <c r="AA1047" s="36"/>
      <c r="AB1047" s="36"/>
      <c r="AC1047" s="13"/>
      <c r="AD1047" s="13"/>
      <c r="AE1047" s="37"/>
      <c r="AF1047" s="37"/>
      <c r="AG1047" s="14"/>
      <c r="AH1047" s="14"/>
      <c r="AI1047" s="14"/>
      <c r="AZ1047" s="24"/>
    </row>
    <row r="1048">
      <c r="B1048" s="24"/>
      <c r="E1048" s="113"/>
      <c r="F1048" s="266"/>
      <c r="G1048" s="113"/>
      <c r="K1048" s="36"/>
      <c r="L1048" s="117"/>
      <c r="M1048" s="128"/>
      <c r="N1048" s="117"/>
      <c r="R1048" s="117"/>
      <c r="T1048" s="117"/>
      <c r="V1048" s="117"/>
      <c r="X1048" s="117"/>
      <c r="Y1048" s="10"/>
      <c r="Z1048" s="11"/>
      <c r="AA1048" s="36"/>
      <c r="AB1048" s="36"/>
      <c r="AC1048" s="13"/>
      <c r="AD1048" s="13"/>
      <c r="AE1048" s="37"/>
      <c r="AF1048" s="37"/>
      <c r="AG1048" s="14"/>
      <c r="AH1048" s="14"/>
      <c r="AI1048" s="14"/>
      <c r="AZ1048" s="24"/>
    </row>
    <row r="1049">
      <c r="B1049" s="24"/>
      <c r="E1049" s="113"/>
      <c r="F1049" s="266"/>
      <c r="G1049" s="113"/>
      <c r="K1049" s="36"/>
      <c r="L1049" s="117"/>
      <c r="M1049" s="128"/>
      <c r="N1049" s="117"/>
      <c r="R1049" s="117"/>
      <c r="T1049" s="117"/>
      <c r="V1049" s="117"/>
      <c r="X1049" s="117"/>
      <c r="Y1049" s="10"/>
      <c r="Z1049" s="11"/>
      <c r="AA1049" s="36"/>
      <c r="AB1049" s="36"/>
      <c r="AC1049" s="13"/>
      <c r="AD1049" s="13"/>
      <c r="AE1049" s="37"/>
      <c r="AF1049" s="37"/>
      <c r="AG1049" s="14"/>
      <c r="AH1049" s="14"/>
      <c r="AI1049" s="14"/>
      <c r="AZ1049" s="24"/>
    </row>
    <row r="1050">
      <c r="B1050" s="24"/>
      <c r="E1050" s="113"/>
      <c r="F1050" s="266"/>
      <c r="G1050" s="113"/>
      <c r="K1050" s="36"/>
      <c r="L1050" s="117"/>
      <c r="M1050" s="128"/>
      <c r="N1050" s="117"/>
      <c r="R1050" s="117"/>
      <c r="T1050" s="117"/>
      <c r="V1050" s="117"/>
      <c r="X1050" s="117"/>
      <c r="Y1050" s="10"/>
      <c r="Z1050" s="11"/>
      <c r="AA1050" s="36"/>
      <c r="AB1050" s="36"/>
      <c r="AC1050" s="13"/>
      <c r="AD1050" s="13"/>
      <c r="AE1050" s="37"/>
      <c r="AF1050" s="37"/>
      <c r="AG1050" s="14"/>
      <c r="AH1050" s="14"/>
      <c r="AI1050" s="14"/>
      <c r="AZ1050" s="24"/>
    </row>
    <row r="1051">
      <c r="B1051" s="24"/>
      <c r="E1051" s="113"/>
      <c r="F1051" s="266"/>
      <c r="G1051" s="113"/>
      <c r="K1051" s="36"/>
      <c r="L1051" s="117"/>
      <c r="M1051" s="128"/>
      <c r="N1051" s="117"/>
      <c r="R1051" s="117"/>
      <c r="T1051" s="117"/>
      <c r="V1051" s="117"/>
      <c r="X1051" s="117"/>
      <c r="Y1051" s="10"/>
      <c r="Z1051" s="11"/>
      <c r="AA1051" s="36"/>
      <c r="AB1051" s="36"/>
      <c r="AC1051" s="13"/>
      <c r="AD1051" s="13"/>
      <c r="AE1051" s="37"/>
      <c r="AF1051" s="37"/>
      <c r="AG1051" s="14"/>
      <c r="AH1051" s="14"/>
      <c r="AI1051" s="14"/>
      <c r="AZ1051" s="24"/>
    </row>
    <row r="1052">
      <c r="B1052" s="24"/>
      <c r="E1052" s="113"/>
      <c r="F1052" s="266"/>
      <c r="G1052" s="113"/>
      <c r="K1052" s="36"/>
      <c r="L1052" s="117"/>
      <c r="M1052" s="128"/>
      <c r="N1052" s="117"/>
      <c r="R1052" s="117"/>
      <c r="T1052" s="117"/>
      <c r="V1052" s="117"/>
      <c r="X1052" s="117"/>
      <c r="Y1052" s="10"/>
      <c r="Z1052" s="11"/>
      <c r="AA1052" s="36"/>
      <c r="AB1052" s="36"/>
      <c r="AC1052" s="13"/>
      <c r="AD1052" s="13"/>
      <c r="AE1052" s="37"/>
      <c r="AF1052" s="37"/>
      <c r="AG1052" s="14"/>
      <c r="AH1052" s="14"/>
      <c r="AI1052" s="14"/>
      <c r="AZ1052" s="24"/>
    </row>
    <row r="1053">
      <c r="B1053" s="24"/>
      <c r="E1053" s="113"/>
      <c r="F1053" s="266"/>
      <c r="G1053" s="113"/>
      <c r="K1053" s="36"/>
      <c r="L1053" s="117"/>
      <c r="M1053" s="128"/>
      <c r="N1053" s="117"/>
      <c r="R1053" s="117"/>
      <c r="T1053" s="117"/>
      <c r="V1053" s="117"/>
      <c r="X1053" s="117"/>
      <c r="Y1053" s="10"/>
      <c r="Z1053" s="11"/>
      <c r="AA1053" s="36"/>
      <c r="AB1053" s="36"/>
      <c r="AC1053" s="13"/>
      <c r="AD1053" s="13"/>
      <c r="AE1053" s="37"/>
      <c r="AF1053" s="37"/>
      <c r="AG1053" s="14"/>
      <c r="AH1053" s="14"/>
      <c r="AI1053" s="14"/>
      <c r="AZ1053" s="24"/>
    </row>
    <row r="1054">
      <c r="B1054" s="24"/>
      <c r="E1054" s="113"/>
      <c r="F1054" s="266"/>
      <c r="G1054" s="113"/>
      <c r="K1054" s="36"/>
      <c r="L1054" s="117"/>
      <c r="M1054" s="128"/>
      <c r="N1054" s="117"/>
      <c r="R1054" s="117"/>
      <c r="T1054" s="117"/>
      <c r="V1054" s="117"/>
      <c r="X1054" s="117"/>
      <c r="Y1054" s="10"/>
      <c r="Z1054" s="11"/>
      <c r="AA1054" s="36"/>
      <c r="AB1054" s="36"/>
      <c r="AC1054" s="13"/>
      <c r="AD1054" s="13"/>
      <c r="AE1054" s="37"/>
      <c r="AF1054" s="37"/>
      <c r="AG1054" s="14"/>
      <c r="AH1054" s="14"/>
      <c r="AI1054" s="14"/>
      <c r="AZ1054" s="24"/>
    </row>
    <row r="1055">
      <c r="B1055" s="24"/>
      <c r="E1055" s="113"/>
      <c r="F1055" s="266"/>
      <c r="G1055" s="113"/>
      <c r="K1055" s="36"/>
      <c r="L1055" s="117"/>
      <c r="M1055" s="128"/>
      <c r="N1055" s="117"/>
      <c r="R1055" s="117"/>
      <c r="T1055" s="117"/>
      <c r="V1055" s="117"/>
      <c r="X1055" s="117"/>
      <c r="Y1055" s="10"/>
      <c r="Z1055" s="11"/>
      <c r="AA1055" s="36"/>
      <c r="AB1055" s="36"/>
      <c r="AC1055" s="13"/>
      <c r="AD1055" s="13"/>
      <c r="AE1055" s="37"/>
      <c r="AF1055" s="37"/>
      <c r="AG1055" s="14"/>
      <c r="AH1055" s="14"/>
      <c r="AI1055" s="14"/>
      <c r="AZ1055" s="24"/>
    </row>
    <row r="1056">
      <c r="B1056" s="24"/>
      <c r="E1056" s="113"/>
      <c r="F1056" s="266"/>
      <c r="G1056" s="113"/>
      <c r="K1056" s="36"/>
      <c r="L1056" s="117"/>
      <c r="M1056" s="128"/>
      <c r="N1056" s="117"/>
      <c r="R1056" s="117"/>
      <c r="T1056" s="117"/>
      <c r="V1056" s="117"/>
      <c r="X1056" s="117"/>
      <c r="Y1056" s="10"/>
      <c r="Z1056" s="11"/>
      <c r="AA1056" s="36"/>
      <c r="AB1056" s="36"/>
      <c r="AC1056" s="13"/>
      <c r="AD1056" s="13"/>
      <c r="AE1056" s="37"/>
      <c r="AF1056" s="37"/>
      <c r="AG1056" s="14"/>
      <c r="AH1056" s="14"/>
      <c r="AI1056" s="14"/>
      <c r="AZ1056" s="24"/>
    </row>
    <row r="1057">
      <c r="B1057" s="24"/>
      <c r="E1057" s="113"/>
      <c r="F1057" s="266"/>
      <c r="G1057" s="113"/>
      <c r="K1057" s="36"/>
      <c r="L1057" s="117"/>
      <c r="M1057" s="128"/>
      <c r="N1057" s="117"/>
      <c r="R1057" s="117"/>
      <c r="T1057" s="117"/>
      <c r="V1057" s="117"/>
      <c r="X1057" s="117"/>
      <c r="Y1057" s="10"/>
      <c r="Z1057" s="11"/>
      <c r="AA1057" s="36"/>
      <c r="AB1057" s="36"/>
      <c r="AC1057" s="13"/>
      <c r="AD1057" s="13"/>
      <c r="AE1057" s="37"/>
      <c r="AF1057" s="37"/>
      <c r="AG1057" s="14"/>
      <c r="AH1057" s="14"/>
      <c r="AI1057" s="14"/>
      <c r="AZ1057" s="24"/>
    </row>
    <row r="1058">
      <c r="B1058" s="24"/>
      <c r="E1058" s="113"/>
      <c r="F1058" s="266"/>
      <c r="G1058" s="113"/>
      <c r="K1058" s="36"/>
      <c r="L1058" s="117"/>
      <c r="M1058" s="128"/>
      <c r="N1058" s="117"/>
      <c r="R1058" s="117"/>
      <c r="T1058" s="117"/>
      <c r="V1058" s="117"/>
      <c r="X1058" s="117"/>
      <c r="Y1058" s="10"/>
      <c r="Z1058" s="11"/>
      <c r="AA1058" s="36"/>
      <c r="AB1058" s="36"/>
      <c r="AC1058" s="13"/>
      <c r="AD1058" s="13"/>
      <c r="AE1058" s="37"/>
      <c r="AF1058" s="37"/>
      <c r="AG1058" s="14"/>
      <c r="AH1058" s="14"/>
      <c r="AI1058" s="14"/>
      <c r="AZ1058" s="24"/>
    </row>
    <row r="1059">
      <c r="B1059" s="24"/>
      <c r="E1059" s="113"/>
      <c r="F1059" s="266"/>
      <c r="G1059" s="113"/>
      <c r="K1059" s="36"/>
      <c r="L1059" s="117"/>
      <c r="M1059" s="128"/>
      <c r="N1059" s="117"/>
      <c r="R1059" s="117"/>
      <c r="T1059" s="117"/>
      <c r="V1059" s="117"/>
      <c r="X1059" s="117"/>
      <c r="Y1059" s="10"/>
      <c r="Z1059" s="11"/>
      <c r="AA1059" s="36"/>
      <c r="AB1059" s="36"/>
      <c r="AC1059" s="13"/>
      <c r="AD1059" s="13"/>
      <c r="AE1059" s="37"/>
      <c r="AF1059" s="37"/>
      <c r="AG1059" s="14"/>
      <c r="AH1059" s="14"/>
      <c r="AI1059" s="14"/>
      <c r="AZ1059" s="24"/>
    </row>
    <row r="1060">
      <c r="B1060" s="24"/>
      <c r="E1060" s="113"/>
      <c r="F1060" s="266"/>
      <c r="G1060" s="113"/>
      <c r="K1060" s="36"/>
      <c r="L1060" s="117"/>
      <c r="M1060" s="128"/>
      <c r="N1060" s="117"/>
      <c r="R1060" s="117"/>
      <c r="T1060" s="117"/>
      <c r="V1060" s="117"/>
      <c r="X1060" s="117"/>
      <c r="Y1060" s="10"/>
      <c r="Z1060" s="11"/>
      <c r="AA1060" s="36"/>
      <c r="AB1060" s="36"/>
      <c r="AC1060" s="13"/>
      <c r="AD1060" s="13"/>
      <c r="AE1060" s="37"/>
      <c r="AF1060" s="37"/>
      <c r="AG1060" s="14"/>
      <c r="AH1060" s="14"/>
      <c r="AI1060" s="14"/>
      <c r="AZ1060" s="24"/>
    </row>
    <row r="1061">
      <c r="B1061" s="24"/>
      <c r="E1061" s="113"/>
      <c r="F1061" s="266"/>
      <c r="G1061" s="113"/>
      <c r="K1061" s="36"/>
      <c r="L1061" s="117"/>
      <c r="M1061" s="128"/>
      <c r="N1061" s="117"/>
      <c r="R1061" s="117"/>
      <c r="T1061" s="117"/>
      <c r="V1061" s="117"/>
      <c r="X1061" s="117"/>
      <c r="Y1061" s="10"/>
      <c r="Z1061" s="11"/>
      <c r="AA1061" s="36"/>
      <c r="AB1061" s="36"/>
      <c r="AC1061" s="13"/>
      <c r="AD1061" s="13"/>
      <c r="AE1061" s="37"/>
      <c r="AF1061" s="37"/>
      <c r="AG1061" s="14"/>
      <c r="AH1061" s="14"/>
      <c r="AI1061" s="14"/>
      <c r="AZ1061" s="24"/>
    </row>
    <row r="1062">
      <c r="B1062" s="24"/>
      <c r="E1062" s="113"/>
      <c r="F1062" s="266"/>
      <c r="G1062" s="113"/>
      <c r="K1062" s="36"/>
      <c r="L1062" s="117"/>
      <c r="M1062" s="128"/>
      <c r="N1062" s="117"/>
      <c r="R1062" s="117"/>
      <c r="T1062" s="117"/>
      <c r="V1062" s="117"/>
      <c r="X1062" s="117"/>
      <c r="Y1062" s="10"/>
      <c r="Z1062" s="11"/>
      <c r="AA1062" s="36"/>
      <c r="AB1062" s="36"/>
      <c r="AC1062" s="13"/>
      <c r="AD1062" s="13"/>
      <c r="AE1062" s="37"/>
      <c r="AF1062" s="37"/>
      <c r="AG1062" s="14"/>
      <c r="AH1062" s="14"/>
      <c r="AI1062" s="14"/>
      <c r="AZ1062" s="24"/>
    </row>
    <row r="1063">
      <c r="B1063" s="24"/>
      <c r="E1063" s="113"/>
      <c r="F1063" s="266"/>
      <c r="G1063" s="113"/>
      <c r="K1063" s="36"/>
      <c r="L1063" s="117"/>
      <c r="M1063" s="128"/>
      <c r="N1063" s="117"/>
      <c r="R1063" s="117"/>
      <c r="T1063" s="117"/>
      <c r="V1063" s="117"/>
      <c r="X1063" s="117"/>
      <c r="Y1063" s="10"/>
      <c r="Z1063" s="11"/>
      <c r="AA1063" s="36"/>
      <c r="AB1063" s="36"/>
      <c r="AC1063" s="13"/>
      <c r="AD1063" s="13"/>
      <c r="AE1063" s="37"/>
      <c r="AF1063" s="37"/>
      <c r="AG1063" s="14"/>
      <c r="AH1063" s="14"/>
      <c r="AI1063" s="14"/>
      <c r="AZ1063" s="24"/>
    </row>
    <row r="1064">
      <c r="B1064" s="24"/>
      <c r="E1064" s="113"/>
      <c r="F1064" s="266"/>
      <c r="G1064" s="113"/>
      <c r="K1064" s="36"/>
      <c r="L1064" s="117"/>
      <c r="M1064" s="128"/>
      <c r="N1064" s="117"/>
      <c r="R1064" s="117"/>
      <c r="T1064" s="117"/>
      <c r="V1064" s="117"/>
      <c r="X1064" s="117"/>
      <c r="Y1064" s="10"/>
      <c r="Z1064" s="11"/>
      <c r="AA1064" s="36"/>
      <c r="AB1064" s="36"/>
      <c r="AC1064" s="13"/>
      <c r="AD1064" s="13"/>
      <c r="AE1064" s="37"/>
      <c r="AF1064" s="37"/>
      <c r="AG1064" s="14"/>
      <c r="AH1064" s="14"/>
      <c r="AI1064" s="14"/>
      <c r="AZ1064" s="24"/>
    </row>
    <row r="1065">
      <c r="B1065" s="24"/>
      <c r="E1065" s="113"/>
      <c r="F1065" s="266"/>
      <c r="G1065" s="113"/>
      <c r="K1065" s="36"/>
      <c r="L1065" s="117"/>
      <c r="M1065" s="128"/>
      <c r="N1065" s="117"/>
      <c r="R1065" s="117"/>
      <c r="T1065" s="117"/>
      <c r="V1065" s="117"/>
      <c r="X1065" s="117"/>
      <c r="Y1065" s="10"/>
      <c r="Z1065" s="11"/>
      <c r="AA1065" s="36"/>
      <c r="AB1065" s="36"/>
      <c r="AC1065" s="13"/>
      <c r="AD1065" s="13"/>
      <c r="AE1065" s="37"/>
      <c r="AF1065" s="37"/>
      <c r="AG1065" s="14"/>
      <c r="AH1065" s="14"/>
      <c r="AI1065" s="14"/>
      <c r="AZ1065" s="24"/>
    </row>
    <row r="1066">
      <c r="B1066" s="24"/>
      <c r="E1066" s="113"/>
      <c r="F1066" s="266"/>
      <c r="G1066" s="113"/>
      <c r="K1066" s="36"/>
      <c r="L1066" s="117"/>
      <c r="M1066" s="128"/>
      <c r="N1066" s="117"/>
      <c r="R1066" s="117"/>
      <c r="T1066" s="117"/>
      <c r="V1066" s="117"/>
      <c r="X1066" s="117"/>
      <c r="Y1066" s="10"/>
      <c r="Z1066" s="11"/>
      <c r="AA1066" s="36"/>
      <c r="AB1066" s="36"/>
      <c r="AC1066" s="13"/>
      <c r="AD1066" s="13"/>
      <c r="AE1066" s="37"/>
      <c r="AF1066" s="37"/>
      <c r="AG1066" s="14"/>
      <c r="AH1066" s="14"/>
      <c r="AI1066" s="14"/>
      <c r="AZ1066" s="24"/>
    </row>
    <row r="1067">
      <c r="B1067" s="24"/>
      <c r="E1067" s="113"/>
      <c r="F1067" s="266"/>
      <c r="G1067" s="113"/>
      <c r="K1067" s="36"/>
      <c r="L1067" s="117"/>
      <c r="M1067" s="128"/>
      <c r="N1067" s="117"/>
      <c r="R1067" s="117"/>
      <c r="T1067" s="117"/>
      <c r="V1067" s="117"/>
      <c r="X1067" s="117"/>
      <c r="Y1067" s="10"/>
      <c r="Z1067" s="11"/>
      <c r="AA1067" s="36"/>
      <c r="AB1067" s="36"/>
      <c r="AC1067" s="13"/>
      <c r="AD1067" s="13"/>
      <c r="AE1067" s="37"/>
      <c r="AF1067" s="37"/>
      <c r="AG1067" s="14"/>
      <c r="AH1067" s="14"/>
      <c r="AI1067" s="14"/>
      <c r="AZ1067" s="24"/>
    </row>
    <row r="1068">
      <c r="B1068" s="24"/>
      <c r="E1068" s="113"/>
      <c r="F1068" s="266"/>
      <c r="G1068" s="113"/>
      <c r="K1068" s="36"/>
      <c r="L1068" s="117"/>
      <c r="M1068" s="128"/>
      <c r="N1068" s="117"/>
      <c r="R1068" s="117"/>
      <c r="T1068" s="117"/>
      <c r="V1068" s="117"/>
      <c r="X1068" s="117"/>
      <c r="Y1068" s="10"/>
      <c r="Z1068" s="11"/>
      <c r="AA1068" s="36"/>
      <c r="AB1068" s="36"/>
      <c r="AC1068" s="13"/>
      <c r="AD1068" s="13"/>
      <c r="AE1068" s="37"/>
      <c r="AF1068" s="37"/>
      <c r="AG1068" s="14"/>
      <c r="AH1068" s="14"/>
      <c r="AI1068" s="14"/>
      <c r="AZ1068" s="24"/>
    </row>
    <row r="1069">
      <c r="B1069" s="24"/>
      <c r="E1069" s="113"/>
      <c r="F1069" s="266"/>
      <c r="G1069" s="113"/>
      <c r="K1069" s="36"/>
      <c r="L1069" s="117"/>
      <c r="M1069" s="128"/>
      <c r="N1069" s="117"/>
      <c r="R1069" s="117"/>
      <c r="T1069" s="117"/>
      <c r="V1069" s="117"/>
      <c r="X1069" s="117"/>
      <c r="Y1069" s="10"/>
      <c r="Z1069" s="11"/>
      <c r="AA1069" s="36"/>
      <c r="AB1069" s="36"/>
      <c r="AC1069" s="13"/>
      <c r="AD1069" s="13"/>
      <c r="AE1069" s="37"/>
      <c r="AF1069" s="37"/>
      <c r="AG1069" s="14"/>
      <c r="AH1069" s="14"/>
      <c r="AI1069" s="14"/>
      <c r="AZ1069" s="24"/>
    </row>
    <row r="1070">
      <c r="B1070" s="24"/>
      <c r="E1070" s="113"/>
      <c r="F1070" s="266"/>
      <c r="G1070" s="113"/>
      <c r="K1070" s="36"/>
      <c r="L1070" s="117"/>
      <c r="M1070" s="128"/>
      <c r="N1070" s="117"/>
      <c r="R1070" s="117"/>
      <c r="T1070" s="117"/>
      <c r="V1070" s="117"/>
      <c r="X1070" s="117"/>
      <c r="Y1070" s="10"/>
      <c r="Z1070" s="11"/>
      <c r="AA1070" s="36"/>
      <c r="AB1070" s="36"/>
      <c r="AC1070" s="13"/>
      <c r="AD1070" s="13"/>
      <c r="AE1070" s="37"/>
      <c r="AF1070" s="37"/>
      <c r="AG1070" s="14"/>
      <c r="AH1070" s="14"/>
      <c r="AI1070" s="14"/>
      <c r="AZ1070" s="24"/>
    </row>
    <row r="1071">
      <c r="B1071" s="24"/>
      <c r="E1071" s="113"/>
      <c r="F1071" s="266"/>
      <c r="G1071" s="113"/>
      <c r="K1071" s="36"/>
      <c r="L1071" s="117"/>
      <c r="M1071" s="128"/>
      <c r="N1071" s="117"/>
      <c r="R1071" s="117"/>
      <c r="T1071" s="117"/>
      <c r="V1071" s="117"/>
      <c r="X1071" s="117"/>
      <c r="Y1071" s="10"/>
      <c r="Z1071" s="11"/>
      <c r="AA1071" s="36"/>
      <c r="AB1071" s="36"/>
      <c r="AC1071" s="13"/>
      <c r="AD1071" s="13"/>
      <c r="AE1071" s="37"/>
      <c r="AF1071" s="37"/>
      <c r="AG1071" s="14"/>
      <c r="AH1071" s="14"/>
      <c r="AI1071" s="14"/>
      <c r="AZ1071" s="24"/>
    </row>
    <row r="1072">
      <c r="B1072" s="24"/>
      <c r="E1072" s="113"/>
      <c r="F1072" s="266"/>
      <c r="G1072" s="113"/>
      <c r="K1072" s="36"/>
      <c r="L1072" s="117"/>
      <c r="M1072" s="128"/>
      <c r="N1072" s="117"/>
      <c r="R1072" s="117"/>
      <c r="T1072" s="117"/>
      <c r="V1072" s="117"/>
      <c r="X1072" s="117"/>
      <c r="Y1072" s="10"/>
      <c r="Z1072" s="11"/>
      <c r="AA1072" s="36"/>
      <c r="AB1072" s="36"/>
      <c r="AC1072" s="13"/>
      <c r="AD1072" s="13"/>
      <c r="AE1072" s="37"/>
      <c r="AF1072" s="37"/>
      <c r="AG1072" s="14"/>
      <c r="AH1072" s="14"/>
      <c r="AI1072" s="14"/>
      <c r="AZ1072" s="24"/>
    </row>
    <row r="1073">
      <c r="B1073" s="24"/>
      <c r="E1073" s="113"/>
      <c r="F1073" s="266"/>
      <c r="G1073" s="113"/>
      <c r="K1073" s="36"/>
      <c r="L1073" s="117"/>
      <c r="M1073" s="128"/>
      <c r="N1073" s="117"/>
      <c r="R1073" s="117"/>
      <c r="T1073" s="117"/>
      <c r="V1073" s="117"/>
      <c r="X1073" s="117"/>
      <c r="Y1073" s="10"/>
      <c r="Z1073" s="11"/>
      <c r="AA1073" s="36"/>
      <c r="AB1073" s="36"/>
      <c r="AC1073" s="13"/>
      <c r="AD1073" s="13"/>
      <c r="AE1073" s="37"/>
      <c r="AF1073" s="37"/>
      <c r="AG1073" s="14"/>
      <c r="AH1073" s="14"/>
      <c r="AI1073" s="14"/>
      <c r="AZ1073" s="24"/>
    </row>
    <row r="1074">
      <c r="B1074" s="24"/>
      <c r="E1074" s="113"/>
      <c r="F1074" s="266"/>
      <c r="G1074" s="113"/>
      <c r="K1074" s="36"/>
      <c r="L1074" s="117"/>
      <c r="M1074" s="128"/>
      <c r="N1074" s="117"/>
      <c r="R1074" s="117"/>
      <c r="T1074" s="117"/>
      <c r="V1074" s="117"/>
      <c r="X1074" s="117"/>
      <c r="Y1074" s="10"/>
      <c r="Z1074" s="11"/>
      <c r="AA1074" s="36"/>
      <c r="AB1074" s="36"/>
      <c r="AC1074" s="13"/>
      <c r="AD1074" s="13"/>
      <c r="AE1074" s="37"/>
      <c r="AF1074" s="37"/>
      <c r="AG1074" s="14"/>
      <c r="AH1074" s="14"/>
      <c r="AI1074" s="14"/>
      <c r="AZ1074" s="24"/>
    </row>
    <row r="1075">
      <c r="B1075" s="24"/>
      <c r="E1075" s="113"/>
      <c r="F1075" s="266"/>
      <c r="G1075" s="113"/>
      <c r="K1075" s="36"/>
      <c r="L1075" s="117"/>
      <c r="M1075" s="128"/>
      <c r="N1075" s="117"/>
      <c r="R1075" s="117"/>
      <c r="T1075" s="117"/>
      <c r="V1075" s="117"/>
      <c r="X1075" s="117"/>
      <c r="Y1075" s="10"/>
      <c r="Z1075" s="11"/>
      <c r="AA1075" s="36"/>
      <c r="AB1075" s="36"/>
      <c r="AC1075" s="13"/>
      <c r="AD1075" s="13"/>
      <c r="AE1075" s="37"/>
      <c r="AF1075" s="37"/>
      <c r="AG1075" s="14"/>
      <c r="AH1075" s="14"/>
      <c r="AI1075" s="14"/>
      <c r="AZ1075" s="24"/>
    </row>
    <row r="1076">
      <c r="B1076" s="24"/>
      <c r="E1076" s="113"/>
      <c r="F1076" s="266"/>
      <c r="G1076" s="113"/>
      <c r="K1076" s="36"/>
      <c r="L1076" s="117"/>
      <c r="M1076" s="128"/>
      <c r="N1076" s="117"/>
      <c r="R1076" s="117"/>
      <c r="T1076" s="117"/>
      <c r="V1076" s="117"/>
      <c r="X1076" s="117"/>
      <c r="Y1076" s="10"/>
      <c r="Z1076" s="11"/>
      <c r="AA1076" s="36"/>
      <c r="AB1076" s="36"/>
      <c r="AC1076" s="13"/>
      <c r="AD1076" s="13"/>
      <c r="AE1076" s="37"/>
      <c r="AF1076" s="37"/>
      <c r="AG1076" s="14"/>
      <c r="AH1076" s="14"/>
      <c r="AI1076" s="14"/>
      <c r="AZ1076" s="24"/>
    </row>
    <row r="1077">
      <c r="B1077" s="24"/>
      <c r="E1077" s="113"/>
      <c r="F1077" s="266"/>
      <c r="G1077" s="113"/>
      <c r="K1077" s="36"/>
      <c r="L1077" s="117"/>
      <c r="M1077" s="128"/>
      <c r="N1077" s="117"/>
      <c r="R1077" s="117"/>
      <c r="T1077" s="117"/>
      <c r="V1077" s="117"/>
      <c r="X1077" s="117"/>
      <c r="Y1077" s="10"/>
      <c r="Z1077" s="11"/>
      <c r="AA1077" s="36"/>
      <c r="AB1077" s="36"/>
      <c r="AC1077" s="13"/>
      <c r="AD1077" s="13"/>
      <c r="AE1077" s="37"/>
      <c r="AF1077" s="37"/>
      <c r="AG1077" s="14"/>
      <c r="AH1077" s="14"/>
      <c r="AI1077" s="14"/>
      <c r="AZ1077" s="24"/>
    </row>
    <row r="1078">
      <c r="B1078" s="24"/>
      <c r="E1078" s="113"/>
      <c r="F1078" s="266"/>
      <c r="G1078" s="113"/>
      <c r="K1078" s="36"/>
      <c r="L1078" s="117"/>
      <c r="M1078" s="128"/>
      <c r="N1078" s="117"/>
      <c r="R1078" s="117"/>
      <c r="T1078" s="117"/>
      <c r="V1078" s="117"/>
      <c r="X1078" s="117"/>
      <c r="Y1078" s="10"/>
      <c r="Z1078" s="11"/>
      <c r="AA1078" s="36"/>
      <c r="AB1078" s="36"/>
      <c r="AC1078" s="13"/>
      <c r="AD1078" s="13"/>
      <c r="AE1078" s="37"/>
      <c r="AF1078" s="37"/>
      <c r="AG1078" s="14"/>
      <c r="AH1078" s="14"/>
      <c r="AI1078" s="14"/>
      <c r="AZ1078" s="24"/>
    </row>
    <row r="1079">
      <c r="B1079" s="24"/>
      <c r="E1079" s="113"/>
      <c r="F1079" s="266"/>
      <c r="G1079" s="113"/>
      <c r="K1079" s="36"/>
      <c r="L1079" s="117"/>
      <c r="M1079" s="128"/>
      <c r="N1079" s="117"/>
      <c r="R1079" s="117"/>
      <c r="T1079" s="117"/>
      <c r="V1079" s="117"/>
      <c r="X1079" s="117"/>
      <c r="Y1079" s="10"/>
      <c r="Z1079" s="11"/>
      <c r="AA1079" s="36"/>
      <c r="AB1079" s="36"/>
      <c r="AC1079" s="13"/>
      <c r="AD1079" s="13"/>
      <c r="AE1079" s="37"/>
      <c r="AF1079" s="37"/>
      <c r="AG1079" s="14"/>
      <c r="AH1079" s="14"/>
      <c r="AI1079" s="14"/>
      <c r="AZ1079" s="24"/>
    </row>
    <row r="1080">
      <c r="B1080" s="24"/>
      <c r="E1080" s="113"/>
      <c r="F1080" s="266"/>
      <c r="G1080" s="113"/>
      <c r="K1080" s="36"/>
      <c r="L1080" s="117"/>
      <c r="M1080" s="128"/>
      <c r="N1080" s="117"/>
      <c r="R1080" s="117"/>
      <c r="T1080" s="117"/>
      <c r="V1080" s="117"/>
      <c r="X1080" s="117"/>
      <c r="Y1080" s="10"/>
      <c r="Z1080" s="11"/>
      <c r="AA1080" s="36"/>
      <c r="AB1080" s="36"/>
      <c r="AC1080" s="13"/>
      <c r="AD1080" s="13"/>
      <c r="AE1080" s="37"/>
      <c r="AF1080" s="37"/>
      <c r="AG1080" s="14"/>
      <c r="AH1080" s="14"/>
      <c r="AI1080" s="14"/>
      <c r="AZ1080" s="24"/>
    </row>
    <row r="1081">
      <c r="B1081" s="24"/>
      <c r="E1081" s="113"/>
      <c r="F1081" s="266"/>
      <c r="G1081" s="113"/>
      <c r="K1081" s="36"/>
      <c r="L1081" s="117"/>
      <c r="M1081" s="128"/>
      <c r="N1081" s="117"/>
      <c r="R1081" s="117"/>
      <c r="T1081" s="117"/>
      <c r="V1081" s="117"/>
      <c r="X1081" s="117"/>
      <c r="Y1081" s="10"/>
      <c r="Z1081" s="11"/>
      <c r="AA1081" s="36"/>
      <c r="AB1081" s="36"/>
      <c r="AC1081" s="13"/>
      <c r="AD1081" s="13"/>
      <c r="AE1081" s="37"/>
      <c r="AF1081" s="37"/>
      <c r="AG1081" s="14"/>
      <c r="AH1081" s="14"/>
      <c r="AI1081" s="14"/>
      <c r="AZ1081" s="24"/>
    </row>
    <row r="1082">
      <c r="B1082" s="24"/>
      <c r="E1082" s="113"/>
      <c r="F1082" s="266"/>
      <c r="G1082" s="113"/>
      <c r="K1082" s="36"/>
      <c r="L1082" s="117"/>
      <c r="M1082" s="128"/>
      <c r="N1082" s="117"/>
      <c r="R1082" s="117"/>
      <c r="T1082" s="117"/>
      <c r="V1082" s="117"/>
      <c r="X1082" s="117"/>
      <c r="Y1082" s="10"/>
      <c r="Z1082" s="11"/>
      <c r="AA1082" s="36"/>
      <c r="AB1082" s="36"/>
      <c r="AC1082" s="13"/>
      <c r="AD1082" s="13"/>
      <c r="AE1082" s="37"/>
      <c r="AF1082" s="37"/>
      <c r="AG1082" s="14"/>
      <c r="AH1082" s="14"/>
      <c r="AI1082" s="14"/>
      <c r="AZ1082" s="24"/>
    </row>
    <row r="1083">
      <c r="B1083" s="24"/>
      <c r="E1083" s="113"/>
      <c r="F1083" s="266"/>
      <c r="G1083" s="113"/>
      <c r="K1083" s="36"/>
      <c r="L1083" s="117"/>
      <c r="M1083" s="128"/>
      <c r="N1083" s="117"/>
      <c r="R1083" s="117"/>
      <c r="T1083" s="117"/>
      <c r="V1083" s="117"/>
      <c r="X1083" s="117"/>
      <c r="Y1083" s="10"/>
      <c r="Z1083" s="11"/>
      <c r="AA1083" s="36"/>
      <c r="AB1083" s="36"/>
      <c r="AC1083" s="13"/>
      <c r="AD1083" s="13"/>
      <c r="AE1083" s="37"/>
      <c r="AF1083" s="37"/>
      <c r="AG1083" s="14"/>
      <c r="AH1083" s="14"/>
      <c r="AI1083" s="14"/>
      <c r="AZ1083" s="24"/>
    </row>
    <row r="1084">
      <c r="B1084" s="24"/>
      <c r="E1084" s="113"/>
      <c r="F1084" s="266"/>
      <c r="G1084" s="113"/>
      <c r="K1084" s="36"/>
      <c r="L1084" s="117"/>
      <c r="M1084" s="128"/>
      <c r="N1084" s="117"/>
      <c r="R1084" s="117"/>
      <c r="T1084" s="117"/>
      <c r="V1084" s="117"/>
      <c r="X1084" s="117"/>
      <c r="Y1084" s="10"/>
      <c r="Z1084" s="11"/>
      <c r="AA1084" s="36"/>
      <c r="AB1084" s="36"/>
      <c r="AC1084" s="13"/>
      <c r="AD1084" s="13"/>
      <c r="AE1084" s="37"/>
      <c r="AF1084" s="37"/>
      <c r="AG1084" s="14"/>
      <c r="AH1084" s="14"/>
      <c r="AI1084" s="14"/>
      <c r="AZ1084" s="24"/>
    </row>
    <row r="1085">
      <c r="B1085" s="24"/>
      <c r="E1085" s="113"/>
      <c r="F1085" s="266"/>
      <c r="G1085" s="113"/>
      <c r="K1085" s="36"/>
      <c r="L1085" s="117"/>
      <c r="M1085" s="128"/>
      <c r="N1085" s="117"/>
      <c r="R1085" s="117"/>
      <c r="T1085" s="117"/>
      <c r="V1085" s="117"/>
      <c r="X1085" s="117"/>
      <c r="Y1085" s="10"/>
      <c r="Z1085" s="11"/>
      <c r="AA1085" s="36"/>
      <c r="AB1085" s="36"/>
      <c r="AC1085" s="13"/>
      <c r="AD1085" s="13"/>
      <c r="AE1085" s="37"/>
      <c r="AF1085" s="37"/>
      <c r="AG1085" s="14"/>
      <c r="AH1085" s="14"/>
      <c r="AI1085" s="14"/>
      <c r="AZ1085" s="24"/>
    </row>
    <row r="1086">
      <c r="B1086" s="24"/>
      <c r="E1086" s="113"/>
      <c r="F1086" s="266"/>
      <c r="G1086" s="113"/>
      <c r="K1086" s="36"/>
      <c r="L1086" s="117"/>
      <c r="M1086" s="128"/>
      <c r="N1086" s="117"/>
      <c r="R1086" s="117"/>
      <c r="T1086" s="117"/>
      <c r="V1086" s="117"/>
      <c r="X1086" s="117"/>
      <c r="Y1086" s="10"/>
      <c r="Z1086" s="11"/>
      <c r="AA1086" s="36"/>
      <c r="AB1086" s="36"/>
      <c r="AC1086" s="13"/>
      <c r="AD1086" s="13"/>
      <c r="AE1086" s="37"/>
      <c r="AF1086" s="37"/>
      <c r="AG1086" s="14"/>
      <c r="AH1086" s="14"/>
      <c r="AI1086" s="14"/>
      <c r="AZ1086" s="24"/>
    </row>
    <row r="1087">
      <c r="B1087" s="24"/>
      <c r="E1087" s="113"/>
      <c r="F1087" s="266"/>
      <c r="G1087" s="113"/>
      <c r="K1087" s="36"/>
      <c r="L1087" s="117"/>
      <c r="M1087" s="128"/>
      <c r="N1087" s="117"/>
      <c r="R1087" s="117"/>
      <c r="T1087" s="117"/>
      <c r="V1087" s="117"/>
      <c r="X1087" s="117"/>
      <c r="Y1087" s="10"/>
      <c r="Z1087" s="11"/>
      <c r="AA1087" s="36"/>
      <c r="AB1087" s="36"/>
      <c r="AC1087" s="13"/>
      <c r="AD1087" s="13"/>
      <c r="AE1087" s="37"/>
      <c r="AF1087" s="37"/>
      <c r="AG1087" s="14"/>
      <c r="AH1087" s="14"/>
      <c r="AI1087" s="14"/>
      <c r="AZ1087" s="24"/>
    </row>
    <row r="1088">
      <c r="B1088" s="24"/>
      <c r="E1088" s="113"/>
      <c r="F1088" s="266"/>
      <c r="G1088" s="113"/>
      <c r="K1088" s="36"/>
      <c r="L1088" s="117"/>
      <c r="M1088" s="128"/>
      <c r="N1088" s="117"/>
      <c r="R1088" s="117"/>
      <c r="T1088" s="117"/>
      <c r="V1088" s="117"/>
      <c r="X1088" s="117"/>
      <c r="Y1088" s="10"/>
      <c r="Z1088" s="11"/>
      <c r="AA1088" s="36"/>
      <c r="AB1088" s="36"/>
      <c r="AC1088" s="13"/>
      <c r="AD1088" s="13"/>
      <c r="AE1088" s="37"/>
      <c r="AF1088" s="37"/>
      <c r="AG1088" s="14"/>
      <c r="AH1088" s="14"/>
      <c r="AI1088" s="14"/>
      <c r="AZ1088" s="24"/>
    </row>
    <row r="1089">
      <c r="B1089" s="24"/>
      <c r="E1089" s="113"/>
      <c r="F1089" s="266"/>
      <c r="G1089" s="113"/>
      <c r="K1089" s="36"/>
      <c r="L1089" s="117"/>
      <c r="M1089" s="128"/>
      <c r="N1089" s="117"/>
      <c r="R1089" s="117"/>
      <c r="T1089" s="117"/>
      <c r="V1089" s="117"/>
      <c r="X1089" s="117"/>
      <c r="Y1089" s="10"/>
      <c r="Z1089" s="11"/>
      <c r="AA1089" s="36"/>
      <c r="AB1089" s="36"/>
      <c r="AC1089" s="13"/>
      <c r="AD1089" s="13"/>
      <c r="AE1089" s="37"/>
      <c r="AF1089" s="37"/>
      <c r="AG1089" s="14"/>
      <c r="AH1089" s="14"/>
      <c r="AI1089" s="14"/>
      <c r="AZ1089" s="24"/>
    </row>
    <row r="1090">
      <c r="B1090" s="24"/>
      <c r="E1090" s="113"/>
      <c r="F1090" s="266"/>
      <c r="G1090" s="113"/>
      <c r="K1090" s="36"/>
      <c r="L1090" s="117"/>
      <c r="M1090" s="128"/>
      <c r="N1090" s="117"/>
      <c r="R1090" s="117"/>
      <c r="T1090" s="117"/>
      <c r="V1090" s="117"/>
      <c r="X1090" s="117"/>
      <c r="Y1090" s="10"/>
      <c r="Z1090" s="11"/>
      <c r="AA1090" s="36"/>
      <c r="AB1090" s="36"/>
      <c r="AC1090" s="13"/>
      <c r="AD1090" s="13"/>
      <c r="AE1090" s="37"/>
      <c r="AF1090" s="37"/>
      <c r="AG1090" s="14"/>
      <c r="AH1090" s="14"/>
      <c r="AI1090" s="14"/>
      <c r="AZ1090" s="24"/>
    </row>
    <row r="1091">
      <c r="B1091" s="24"/>
      <c r="E1091" s="113"/>
      <c r="F1091" s="266"/>
      <c r="G1091" s="113"/>
      <c r="K1091" s="36"/>
      <c r="L1091" s="117"/>
      <c r="M1091" s="128"/>
      <c r="N1091" s="117"/>
      <c r="R1091" s="117"/>
      <c r="T1091" s="117"/>
      <c r="V1091" s="117"/>
      <c r="X1091" s="117"/>
      <c r="Y1091" s="10"/>
      <c r="Z1091" s="11"/>
      <c r="AA1091" s="36"/>
      <c r="AB1091" s="36"/>
      <c r="AC1091" s="13"/>
      <c r="AD1091" s="13"/>
      <c r="AE1091" s="37"/>
      <c r="AF1091" s="37"/>
      <c r="AG1091" s="14"/>
      <c r="AH1091" s="14"/>
      <c r="AI1091" s="14"/>
      <c r="AZ1091" s="24"/>
    </row>
    <row r="1092">
      <c r="B1092" s="24"/>
      <c r="E1092" s="113"/>
      <c r="F1092" s="266"/>
      <c r="G1092" s="113"/>
      <c r="K1092" s="36"/>
      <c r="L1092" s="117"/>
      <c r="M1092" s="128"/>
      <c r="N1092" s="117"/>
      <c r="R1092" s="117"/>
      <c r="T1092" s="117"/>
      <c r="V1092" s="117"/>
      <c r="X1092" s="117"/>
      <c r="Y1092" s="10"/>
      <c r="Z1092" s="11"/>
      <c r="AA1092" s="36"/>
      <c r="AB1092" s="36"/>
      <c r="AC1092" s="13"/>
      <c r="AD1092" s="13"/>
      <c r="AE1092" s="37"/>
      <c r="AF1092" s="37"/>
      <c r="AG1092" s="14"/>
      <c r="AH1092" s="14"/>
      <c r="AI1092" s="14"/>
      <c r="AZ1092" s="24"/>
    </row>
    <row r="1093">
      <c r="B1093" s="24"/>
      <c r="E1093" s="113"/>
      <c r="F1093" s="266"/>
      <c r="G1093" s="113"/>
      <c r="K1093" s="36"/>
      <c r="L1093" s="117"/>
      <c r="M1093" s="128"/>
      <c r="N1093" s="117"/>
      <c r="R1093" s="117"/>
      <c r="T1093" s="117"/>
      <c r="V1093" s="117"/>
      <c r="X1093" s="117"/>
      <c r="Y1093" s="10"/>
      <c r="Z1093" s="11"/>
      <c r="AA1093" s="36"/>
      <c r="AB1093" s="36"/>
      <c r="AC1093" s="13"/>
      <c r="AD1093" s="13"/>
      <c r="AE1093" s="37"/>
      <c r="AF1093" s="37"/>
      <c r="AG1093" s="14"/>
      <c r="AH1093" s="14"/>
      <c r="AI1093" s="14"/>
      <c r="AZ1093" s="24"/>
    </row>
    <row r="1094">
      <c r="B1094" s="24"/>
      <c r="E1094" s="113"/>
      <c r="F1094" s="266"/>
      <c r="G1094" s="113"/>
      <c r="K1094" s="36"/>
      <c r="L1094" s="117"/>
      <c r="M1094" s="128"/>
      <c r="N1094" s="117"/>
      <c r="R1094" s="117"/>
      <c r="T1094" s="117"/>
      <c r="V1094" s="117"/>
      <c r="X1094" s="117"/>
      <c r="Y1094" s="10"/>
      <c r="Z1094" s="11"/>
      <c r="AA1094" s="36"/>
      <c r="AB1094" s="36"/>
      <c r="AC1094" s="13"/>
      <c r="AD1094" s="13"/>
      <c r="AE1094" s="37"/>
      <c r="AF1094" s="37"/>
      <c r="AG1094" s="14"/>
      <c r="AH1094" s="14"/>
      <c r="AI1094" s="14"/>
      <c r="AZ1094" s="24"/>
    </row>
    <row r="1095">
      <c r="B1095" s="24"/>
      <c r="E1095" s="113"/>
      <c r="F1095" s="266"/>
      <c r="G1095" s="113"/>
      <c r="K1095" s="36"/>
      <c r="L1095" s="117"/>
      <c r="M1095" s="128"/>
      <c r="N1095" s="117"/>
      <c r="R1095" s="117"/>
      <c r="T1095" s="117"/>
      <c r="V1095" s="117"/>
      <c r="X1095" s="117"/>
      <c r="Y1095" s="10"/>
      <c r="Z1095" s="11"/>
      <c r="AA1095" s="36"/>
      <c r="AB1095" s="36"/>
      <c r="AC1095" s="13"/>
      <c r="AD1095" s="13"/>
      <c r="AE1095" s="37"/>
      <c r="AF1095" s="37"/>
      <c r="AG1095" s="14"/>
      <c r="AH1095" s="14"/>
      <c r="AI1095" s="14"/>
      <c r="AZ1095" s="24"/>
    </row>
    <row r="1096">
      <c r="B1096" s="24"/>
      <c r="E1096" s="113"/>
      <c r="F1096" s="266"/>
      <c r="G1096" s="113"/>
      <c r="K1096" s="36"/>
      <c r="L1096" s="117"/>
      <c r="M1096" s="128"/>
      <c r="N1096" s="117"/>
      <c r="R1096" s="117"/>
      <c r="T1096" s="117"/>
      <c r="V1096" s="117"/>
      <c r="X1096" s="117"/>
      <c r="Y1096" s="10"/>
      <c r="Z1096" s="11"/>
      <c r="AA1096" s="36"/>
      <c r="AB1096" s="36"/>
      <c r="AC1096" s="13"/>
      <c r="AD1096" s="13"/>
      <c r="AE1096" s="37"/>
      <c r="AF1096" s="37"/>
      <c r="AG1096" s="14"/>
      <c r="AH1096" s="14"/>
      <c r="AI1096" s="14"/>
      <c r="AZ1096" s="24"/>
    </row>
    <row r="1097">
      <c r="B1097" s="24"/>
      <c r="E1097" s="113"/>
      <c r="F1097" s="266"/>
      <c r="G1097" s="113"/>
      <c r="K1097" s="36"/>
      <c r="L1097" s="117"/>
      <c r="M1097" s="128"/>
      <c r="N1097" s="117"/>
      <c r="R1097" s="117"/>
      <c r="T1097" s="117"/>
      <c r="V1097" s="117"/>
      <c r="X1097" s="117"/>
      <c r="Y1097" s="10"/>
      <c r="Z1097" s="11"/>
      <c r="AA1097" s="36"/>
      <c r="AB1097" s="36"/>
      <c r="AC1097" s="13"/>
      <c r="AD1097" s="13"/>
      <c r="AE1097" s="37"/>
      <c r="AF1097" s="37"/>
      <c r="AG1097" s="14"/>
      <c r="AH1097" s="14"/>
      <c r="AI1097" s="14"/>
      <c r="AZ1097" s="24"/>
    </row>
    <row r="1098">
      <c r="B1098" s="24"/>
      <c r="E1098" s="113"/>
      <c r="F1098" s="266"/>
      <c r="G1098" s="113"/>
      <c r="K1098" s="36"/>
      <c r="L1098" s="117"/>
      <c r="M1098" s="128"/>
      <c r="N1098" s="117"/>
      <c r="R1098" s="117"/>
      <c r="T1098" s="117"/>
      <c r="V1098" s="117"/>
      <c r="X1098" s="117"/>
      <c r="Y1098" s="10"/>
      <c r="Z1098" s="11"/>
      <c r="AA1098" s="36"/>
      <c r="AB1098" s="36"/>
      <c r="AC1098" s="13"/>
      <c r="AD1098" s="13"/>
      <c r="AE1098" s="37"/>
      <c r="AF1098" s="37"/>
      <c r="AG1098" s="14"/>
      <c r="AH1098" s="14"/>
      <c r="AI1098" s="14"/>
      <c r="AZ1098" s="24"/>
    </row>
    <row r="1099">
      <c r="B1099" s="24"/>
      <c r="E1099" s="113"/>
      <c r="F1099" s="266"/>
      <c r="G1099" s="113"/>
      <c r="K1099" s="36"/>
      <c r="L1099" s="117"/>
      <c r="M1099" s="128"/>
      <c r="N1099" s="117"/>
      <c r="R1099" s="117"/>
      <c r="T1099" s="117"/>
      <c r="V1099" s="117"/>
      <c r="X1099" s="117"/>
      <c r="Y1099" s="10"/>
      <c r="Z1099" s="11"/>
      <c r="AA1099" s="36"/>
      <c r="AB1099" s="36"/>
      <c r="AC1099" s="13"/>
      <c r="AD1099" s="13"/>
      <c r="AE1099" s="37"/>
      <c r="AF1099" s="37"/>
      <c r="AG1099" s="14"/>
      <c r="AH1099" s="14"/>
      <c r="AI1099" s="14"/>
      <c r="AZ1099" s="24"/>
    </row>
    <row r="1100">
      <c r="B1100" s="24"/>
      <c r="E1100" s="113"/>
      <c r="F1100" s="266"/>
      <c r="G1100" s="113"/>
      <c r="K1100" s="36"/>
      <c r="L1100" s="117"/>
      <c r="M1100" s="128"/>
      <c r="N1100" s="117"/>
      <c r="R1100" s="117"/>
      <c r="T1100" s="117"/>
      <c r="V1100" s="117"/>
      <c r="X1100" s="117"/>
      <c r="Y1100" s="10"/>
      <c r="Z1100" s="11"/>
      <c r="AA1100" s="36"/>
      <c r="AB1100" s="36"/>
      <c r="AC1100" s="13"/>
      <c r="AD1100" s="13"/>
      <c r="AE1100" s="37"/>
      <c r="AF1100" s="37"/>
      <c r="AG1100" s="14"/>
      <c r="AH1100" s="14"/>
      <c r="AI1100" s="14"/>
      <c r="AZ1100" s="24"/>
    </row>
    <row r="1101">
      <c r="B1101" s="24"/>
      <c r="E1101" s="113"/>
      <c r="F1101" s="266"/>
      <c r="G1101" s="113"/>
      <c r="K1101" s="36"/>
      <c r="L1101" s="117"/>
      <c r="M1101" s="128"/>
      <c r="N1101" s="117"/>
      <c r="R1101" s="117"/>
      <c r="T1101" s="117"/>
      <c r="V1101" s="117"/>
      <c r="X1101" s="117"/>
      <c r="Y1101" s="10"/>
      <c r="Z1101" s="11"/>
      <c r="AA1101" s="36"/>
      <c r="AB1101" s="36"/>
      <c r="AC1101" s="13"/>
      <c r="AD1101" s="13"/>
      <c r="AE1101" s="37"/>
      <c r="AF1101" s="37"/>
      <c r="AG1101" s="14"/>
      <c r="AH1101" s="14"/>
      <c r="AI1101" s="14"/>
      <c r="AZ1101" s="24"/>
    </row>
    <row r="1102">
      <c r="B1102" s="24"/>
      <c r="E1102" s="113"/>
      <c r="F1102" s="266"/>
      <c r="G1102" s="113"/>
      <c r="K1102" s="36"/>
      <c r="L1102" s="117"/>
      <c r="M1102" s="128"/>
      <c r="N1102" s="117"/>
      <c r="R1102" s="117"/>
      <c r="T1102" s="117"/>
      <c r="V1102" s="117"/>
      <c r="X1102" s="117"/>
      <c r="Y1102" s="10"/>
      <c r="Z1102" s="11"/>
      <c r="AA1102" s="36"/>
      <c r="AB1102" s="36"/>
      <c r="AC1102" s="13"/>
      <c r="AD1102" s="13"/>
      <c r="AE1102" s="37"/>
      <c r="AF1102" s="37"/>
      <c r="AG1102" s="14"/>
      <c r="AH1102" s="14"/>
      <c r="AI1102" s="14"/>
      <c r="AZ1102" s="24"/>
    </row>
    <row r="1103">
      <c r="B1103" s="24"/>
      <c r="E1103" s="113"/>
      <c r="F1103" s="266"/>
      <c r="G1103" s="113"/>
      <c r="K1103" s="36"/>
      <c r="L1103" s="117"/>
      <c r="M1103" s="128"/>
      <c r="N1103" s="117"/>
      <c r="R1103" s="117"/>
      <c r="T1103" s="117"/>
      <c r="V1103" s="117"/>
      <c r="X1103" s="117"/>
      <c r="Y1103" s="10"/>
      <c r="Z1103" s="11"/>
      <c r="AA1103" s="36"/>
      <c r="AB1103" s="36"/>
      <c r="AC1103" s="13"/>
      <c r="AD1103" s="13"/>
      <c r="AE1103" s="37"/>
      <c r="AF1103" s="37"/>
      <c r="AG1103" s="14"/>
      <c r="AH1103" s="14"/>
      <c r="AI1103" s="14"/>
      <c r="AZ1103" s="24"/>
    </row>
    <row r="1104">
      <c r="B1104" s="24"/>
      <c r="E1104" s="113"/>
      <c r="F1104" s="266"/>
      <c r="G1104" s="113"/>
      <c r="K1104" s="36"/>
      <c r="L1104" s="117"/>
      <c r="M1104" s="128"/>
      <c r="N1104" s="117"/>
      <c r="R1104" s="117"/>
      <c r="T1104" s="117"/>
      <c r="V1104" s="117"/>
      <c r="X1104" s="117"/>
      <c r="Y1104" s="10"/>
      <c r="Z1104" s="11"/>
      <c r="AA1104" s="36"/>
      <c r="AB1104" s="36"/>
      <c r="AC1104" s="13"/>
      <c r="AD1104" s="13"/>
      <c r="AE1104" s="37"/>
      <c r="AF1104" s="37"/>
      <c r="AG1104" s="14"/>
      <c r="AH1104" s="14"/>
      <c r="AI1104" s="14"/>
      <c r="AZ1104" s="24"/>
    </row>
    <row r="1105">
      <c r="B1105" s="24"/>
      <c r="E1105" s="113"/>
      <c r="F1105" s="266"/>
      <c r="G1105" s="113"/>
      <c r="K1105" s="36"/>
      <c r="L1105" s="117"/>
      <c r="M1105" s="128"/>
      <c r="N1105" s="117"/>
      <c r="R1105" s="117"/>
      <c r="T1105" s="117"/>
      <c r="V1105" s="117"/>
      <c r="X1105" s="117"/>
      <c r="Y1105" s="10"/>
      <c r="Z1105" s="11"/>
      <c r="AA1105" s="36"/>
      <c r="AB1105" s="36"/>
      <c r="AC1105" s="13"/>
      <c r="AD1105" s="13"/>
      <c r="AE1105" s="37"/>
      <c r="AF1105" s="37"/>
      <c r="AG1105" s="14"/>
      <c r="AH1105" s="14"/>
      <c r="AI1105" s="14"/>
      <c r="AZ1105" s="24"/>
    </row>
    <row r="1106">
      <c r="B1106" s="24"/>
      <c r="E1106" s="113"/>
      <c r="F1106" s="266"/>
      <c r="G1106" s="113"/>
      <c r="K1106" s="36"/>
      <c r="L1106" s="117"/>
      <c r="M1106" s="128"/>
      <c r="N1106" s="117"/>
      <c r="R1106" s="117"/>
      <c r="T1106" s="117"/>
      <c r="V1106" s="117"/>
      <c r="X1106" s="117"/>
      <c r="Y1106" s="10"/>
      <c r="Z1106" s="11"/>
      <c r="AA1106" s="36"/>
      <c r="AB1106" s="36"/>
      <c r="AC1106" s="13"/>
      <c r="AD1106" s="13"/>
      <c r="AE1106" s="37"/>
      <c r="AF1106" s="37"/>
      <c r="AG1106" s="14"/>
      <c r="AH1106" s="14"/>
      <c r="AI1106" s="14"/>
      <c r="AZ1106" s="24"/>
    </row>
    <row r="1107">
      <c r="B1107" s="24"/>
      <c r="E1107" s="113"/>
      <c r="F1107" s="266"/>
      <c r="G1107" s="113"/>
      <c r="K1107" s="36"/>
      <c r="L1107" s="117"/>
      <c r="M1107" s="128"/>
      <c r="N1107" s="117"/>
      <c r="R1107" s="117"/>
      <c r="T1107" s="117"/>
      <c r="V1107" s="117"/>
      <c r="X1107" s="117"/>
      <c r="Y1107" s="10"/>
      <c r="Z1107" s="11"/>
      <c r="AA1107" s="36"/>
      <c r="AB1107" s="36"/>
      <c r="AC1107" s="13"/>
      <c r="AD1107" s="13"/>
      <c r="AE1107" s="37"/>
      <c r="AF1107" s="37"/>
      <c r="AG1107" s="14"/>
      <c r="AH1107" s="14"/>
      <c r="AI1107" s="14"/>
      <c r="AZ1107" s="24"/>
    </row>
    <row r="1108">
      <c r="B1108" s="24"/>
      <c r="E1108" s="113"/>
      <c r="F1108" s="266"/>
      <c r="G1108" s="113"/>
      <c r="K1108" s="36"/>
      <c r="L1108" s="117"/>
      <c r="M1108" s="128"/>
      <c r="N1108" s="117"/>
      <c r="R1108" s="117"/>
      <c r="T1108" s="117"/>
      <c r="V1108" s="117"/>
      <c r="X1108" s="117"/>
      <c r="Y1108" s="10"/>
      <c r="Z1108" s="11"/>
      <c r="AA1108" s="36"/>
      <c r="AB1108" s="36"/>
      <c r="AC1108" s="13"/>
      <c r="AD1108" s="13"/>
      <c r="AE1108" s="37"/>
      <c r="AF1108" s="37"/>
      <c r="AG1108" s="14"/>
      <c r="AH1108" s="14"/>
      <c r="AI1108" s="14"/>
      <c r="AZ1108" s="24"/>
    </row>
    <row r="1109">
      <c r="B1109" s="24"/>
      <c r="E1109" s="113"/>
      <c r="F1109" s="266"/>
      <c r="G1109" s="113"/>
      <c r="K1109" s="36"/>
      <c r="L1109" s="117"/>
      <c r="M1109" s="128"/>
      <c r="N1109" s="117"/>
      <c r="R1109" s="117"/>
      <c r="T1109" s="117"/>
      <c r="V1109" s="117"/>
      <c r="X1109" s="117"/>
      <c r="Y1109" s="10"/>
      <c r="Z1109" s="11"/>
      <c r="AA1109" s="36"/>
      <c r="AB1109" s="36"/>
      <c r="AC1109" s="13"/>
      <c r="AD1109" s="13"/>
      <c r="AE1109" s="37"/>
      <c r="AF1109" s="37"/>
      <c r="AG1109" s="14"/>
      <c r="AH1109" s="14"/>
      <c r="AI1109" s="14"/>
      <c r="AZ1109" s="24"/>
    </row>
    <row r="1110">
      <c r="B1110" s="24"/>
      <c r="E1110" s="113"/>
      <c r="F1110" s="266"/>
      <c r="G1110" s="113"/>
      <c r="K1110" s="36"/>
      <c r="L1110" s="117"/>
      <c r="M1110" s="128"/>
      <c r="N1110" s="117"/>
      <c r="R1110" s="117"/>
      <c r="T1110" s="117"/>
      <c r="V1110" s="117"/>
      <c r="X1110" s="117"/>
      <c r="Y1110" s="10"/>
      <c r="Z1110" s="11"/>
      <c r="AA1110" s="36"/>
      <c r="AB1110" s="36"/>
      <c r="AC1110" s="13"/>
      <c r="AD1110" s="13"/>
      <c r="AE1110" s="37"/>
      <c r="AF1110" s="37"/>
      <c r="AG1110" s="14"/>
      <c r="AH1110" s="14"/>
      <c r="AI1110" s="14"/>
      <c r="AZ1110" s="24"/>
    </row>
    <row r="1111">
      <c r="B1111" s="24"/>
      <c r="E1111" s="113"/>
      <c r="F1111" s="266"/>
      <c r="G1111" s="113"/>
      <c r="K1111" s="36"/>
      <c r="L1111" s="117"/>
      <c r="M1111" s="128"/>
      <c r="N1111" s="117"/>
      <c r="R1111" s="117"/>
      <c r="T1111" s="117"/>
      <c r="V1111" s="117"/>
      <c r="X1111" s="117"/>
      <c r="Y1111" s="10"/>
      <c r="Z1111" s="11"/>
      <c r="AA1111" s="36"/>
      <c r="AB1111" s="36"/>
      <c r="AC1111" s="13"/>
      <c r="AD1111" s="13"/>
      <c r="AE1111" s="37"/>
      <c r="AF1111" s="37"/>
      <c r="AG1111" s="14"/>
      <c r="AH1111" s="14"/>
      <c r="AI1111" s="14"/>
      <c r="AZ1111" s="24"/>
    </row>
    <row r="1112">
      <c r="B1112" s="24"/>
      <c r="E1112" s="113"/>
      <c r="F1112" s="266"/>
      <c r="G1112" s="113"/>
      <c r="K1112" s="36"/>
      <c r="L1112" s="117"/>
      <c r="M1112" s="128"/>
      <c r="N1112" s="117"/>
      <c r="R1112" s="117"/>
      <c r="T1112" s="117"/>
      <c r="V1112" s="117"/>
      <c r="X1112" s="117"/>
      <c r="Y1112" s="10"/>
      <c r="Z1112" s="11"/>
      <c r="AA1112" s="36"/>
      <c r="AB1112" s="36"/>
      <c r="AC1112" s="13"/>
      <c r="AD1112" s="13"/>
      <c r="AE1112" s="37"/>
      <c r="AF1112" s="37"/>
      <c r="AG1112" s="14"/>
      <c r="AH1112" s="14"/>
      <c r="AI1112" s="14"/>
      <c r="AZ1112" s="24"/>
    </row>
    <row r="1113">
      <c r="B1113" s="24"/>
      <c r="E1113" s="113"/>
      <c r="F1113" s="266"/>
      <c r="G1113" s="113"/>
      <c r="K1113" s="36"/>
      <c r="L1113" s="117"/>
      <c r="M1113" s="128"/>
      <c r="N1113" s="117"/>
      <c r="R1113" s="117"/>
      <c r="T1113" s="117"/>
      <c r="V1113" s="117"/>
      <c r="X1113" s="117"/>
      <c r="Y1113" s="10"/>
      <c r="Z1113" s="11"/>
      <c r="AA1113" s="36"/>
      <c r="AB1113" s="36"/>
      <c r="AC1113" s="13"/>
      <c r="AD1113" s="13"/>
      <c r="AE1113" s="37"/>
      <c r="AF1113" s="37"/>
      <c r="AG1113" s="14"/>
      <c r="AH1113" s="14"/>
      <c r="AI1113" s="14"/>
      <c r="AZ1113" s="24"/>
    </row>
    <row r="1114">
      <c r="B1114" s="24"/>
      <c r="E1114" s="113"/>
      <c r="F1114" s="266"/>
      <c r="G1114" s="113"/>
      <c r="K1114" s="36"/>
      <c r="L1114" s="117"/>
      <c r="M1114" s="128"/>
      <c r="N1114" s="117"/>
      <c r="R1114" s="117"/>
      <c r="T1114" s="117"/>
      <c r="V1114" s="117"/>
      <c r="X1114" s="117"/>
      <c r="Y1114" s="10"/>
      <c r="Z1114" s="11"/>
      <c r="AA1114" s="36"/>
      <c r="AB1114" s="36"/>
      <c r="AC1114" s="13"/>
      <c r="AD1114" s="13"/>
      <c r="AE1114" s="37"/>
      <c r="AF1114" s="37"/>
      <c r="AG1114" s="14"/>
      <c r="AH1114" s="14"/>
      <c r="AI1114" s="14"/>
      <c r="AZ1114" s="24"/>
    </row>
    <row r="1115">
      <c r="B1115" s="24"/>
      <c r="E1115" s="113"/>
      <c r="F1115" s="266"/>
      <c r="G1115" s="113"/>
      <c r="K1115" s="36"/>
      <c r="L1115" s="117"/>
      <c r="M1115" s="128"/>
      <c r="N1115" s="117"/>
      <c r="R1115" s="117"/>
      <c r="T1115" s="117"/>
      <c r="V1115" s="117"/>
      <c r="X1115" s="117"/>
      <c r="Y1115" s="10"/>
      <c r="Z1115" s="11"/>
      <c r="AA1115" s="36"/>
      <c r="AB1115" s="36"/>
      <c r="AC1115" s="13"/>
      <c r="AD1115" s="13"/>
      <c r="AE1115" s="37"/>
      <c r="AF1115" s="37"/>
      <c r="AG1115" s="14"/>
      <c r="AH1115" s="14"/>
      <c r="AI1115" s="14"/>
      <c r="AZ1115" s="24"/>
    </row>
    <row r="1116">
      <c r="B1116" s="24"/>
      <c r="E1116" s="113"/>
      <c r="F1116" s="266"/>
      <c r="G1116" s="113"/>
      <c r="K1116" s="36"/>
      <c r="L1116" s="117"/>
      <c r="M1116" s="128"/>
      <c r="N1116" s="117"/>
      <c r="R1116" s="117"/>
      <c r="T1116" s="117"/>
      <c r="V1116" s="117"/>
      <c r="X1116" s="117"/>
      <c r="Y1116" s="10"/>
      <c r="Z1116" s="11"/>
      <c r="AA1116" s="36"/>
      <c r="AB1116" s="36"/>
      <c r="AC1116" s="13"/>
      <c r="AD1116" s="13"/>
      <c r="AE1116" s="37"/>
      <c r="AF1116" s="37"/>
      <c r="AG1116" s="14"/>
      <c r="AH1116" s="14"/>
      <c r="AI1116" s="14"/>
      <c r="AZ1116" s="24"/>
    </row>
    <row r="1117">
      <c r="B1117" s="24"/>
      <c r="E1117" s="113"/>
      <c r="F1117" s="266"/>
      <c r="G1117" s="113"/>
      <c r="K1117" s="36"/>
      <c r="L1117" s="117"/>
      <c r="M1117" s="128"/>
      <c r="N1117" s="117"/>
      <c r="R1117" s="117"/>
      <c r="T1117" s="117"/>
      <c r="V1117" s="117"/>
      <c r="X1117" s="117"/>
      <c r="Y1117" s="10"/>
      <c r="Z1117" s="11"/>
      <c r="AA1117" s="36"/>
      <c r="AB1117" s="36"/>
      <c r="AC1117" s="13"/>
      <c r="AD1117" s="13"/>
      <c r="AE1117" s="37"/>
      <c r="AF1117" s="37"/>
      <c r="AG1117" s="14"/>
      <c r="AH1117" s="14"/>
      <c r="AI1117" s="14"/>
      <c r="AZ1117" s="24"/>
    </row>
    <row r="1118">
      <c r="B1118" s="24"/>
      <c r="E1118" s="113"/>
      <c r="F1118" s="266"/>
      <c r="G1118" s="113"/>
      <c r="K1118" s="36"/>
      <c r="L1118" s="117"/>
      <c r="M1118" s="128"/>
      <c r="N1118" s="117"/>
      <c r="R1118" s="117"/>
      <c r="T1118" s="117"/>
      <c r="V1118" s="117"/>
      <c r="X1118" s="117"/>
      <c r="Y1118" s="10"/>
      <c r="Z1118" s="11"/>
      <c r="AA1118" s="36"/>
      <c r="AB1118" s="36"/>
      <c r="AC1118" s="13"/>
      <c r="AD1118" s="13"/>
      <c r="AE1118" s="37"/>
      <c r="AF1118" s="37"/>
      <c r="AG1118" s="14"/>
      <c r="AH1118" s="14"/>
      <c r="AI1118" s="14"/>
      <c r="AZ1118" s="24"/>
    </row>
    <row r="1119">
      <c r="B1119" s="24"/>
      <c r="E1119" s="113"/>
      <c r="F1119" s="266"/>
      <c r="G1119" s="113"/>
      <c r="K1119" s="36"/>
      <c r="L1119" s="117"/>
      <c r="M1119" s="128"/>
      <c r="N1119" s="117"/>
      <c r="R1119" s="117"/>
      <c r="T1119" s="117"/>
      <c r="V1119" s="117"/>
      <c r="X1119" s="117"/>
      <c r="Y1119" s="10"/>
      <c r="Z1119" s="11"/>
      <c r="AA1119" s="36"/>
      <c r="AB1119" s="36"/>
      <c r="AC1119" s="13"/>
      <c r="AD1119" s="13"/>
      <c r="AE1119" s="37"/>
      <c r="AF1119" s="37"/>
      <c r="AG1119" s="14"/>
      <c r="AH1119" s="14"/>
      <c r="AI1119" s="14"/>
      <c r="AZ1119" s="24"/>
    </row>
    <row r="1120">
      <c r="B1120" s="24"/>
      <c r="E1120" s="113"/>
      <c r="F1120" s="266"/>
      <c r="G1120" s="113"/>
      <c r="K1120" s="36"/>
      <c r="L1120" s="117"/>
      <c r="M1120" s="128"/>
      <c r="N1120" s="117"/>
      <c r="R1120" s="117"/>
      <c r="T1120" s="117"/>
      <c r="V1120" s="117"/>
      <c r="X1120" s="117"/>
      <c r="Y1120" s="10"/>
      <c r="Z1120" s="11"/>
      <c r="AA1120" s="36"/>
      <c r="AB1120" s="36"/>
      <c r="AC1120" s="13"/>
      <c r="AD1120" s="13"/>
      <c r="AE1120" s="37"/>
      <c r="AF1120" s="37"/>
      <c r="AG1120" s="14"/>
      <c r="AH1120" s="14"/>
      <c r="AI1120" s="14"/>
      <c r="AZ1120" s="24"/>
    </row>
    <row r="1121">
      <c r="B1121" s="24"/>
      <c r="E1121" s="113"/>
      <c r="F1121" s="266"/>
      <c r="G1121" s="113"/>
      <c r="K1121" s="36"/>
      <c r="L1121" s="117"/>
      <c r="M1121" s="128"/>
      <c r="N1121" s="117"/>
      <c r="R1121" s="117"/>
      <c r="T1121" s="117"/>
      <c r="V1121" s="117"/>
      <c r="X1121" s="117"/>
      <c r="Y1121" s="10"/>
      <c r="Z1121" s="11"/>
      <c r="AA1121" s="36"/>
      <c r="AB1121" s="36"/>
      <c r="AC1121" s="13"/>
      <c r="AD1121" s="13"/>
      <c r="AE1121" s="37"/>
      <c r="AF1121" s="37"/>
      <c r="AG1121" s="14"/>
      <c r="AH1121" s="14"/>
      <c r="AI1121" s="14"/>
      <c r="AZ1121" s="24"/>
    </row>
    <row r="1122">
      <c r="B1122" s="24"/>
      <c r="E1122" s="113"/>
      <c r="F1122" s="266"/>
      <c r="G1122" s="113"/>
      <c r="K1122" s="36"/>
      <c r="L1122" s="117"/>
      <c r="M1122" s="128"/>
      <c r="N1122" s="117"/>
      <c r="R1122" s="117"/>
      <c r="T1122" s="117"/>
      <c r="V1122" s="117"/>
      <c r="X1122" s="117"/>
      <c r="Y1122" s="10"/>
      <c r="Z1122" s="11"/>
      <c r="AA1122" s="36"/>
      <c r="AB1122" s="36"/>
      <c r="AC1122" s="13"/>
      <c r="AD1122" s="13"/>
      <c r="AE1122" s="37"/>
      <c r="AF1122" s="37"/>
      <c r="AG1122" s="14"/>
      <c r="AH1122" s="14"/>
      <c r="AI1122" s="14"/>
      <c r="AZ1122" s="24"/>
    </row>
    <row r="1123">
      <c r="B1123" s="24"/>
      <c r="K1123" s="36"/>
      <c r="M1123" s="128"/>
      <c r="Y1123" s="10"/>
      <c r="Z1123" s="11"/>
      <c r="AA1123" s="36"/>
      <c r="AB1123" s="36"/>
      <c r="AC1123" s="13"/>
      <c r="AD1123" s="13"/>
      <c r="AE1123" s="37"/>
      <c r="AF1123" s="37"/>
      <c r="AG1123" s="14"/>
      <c r="AH1123" s="14"/>
      <c r="AI1123" s="14"/>
      <c r="AZ1123" s="24"/>
    </row>
    <row r="1124">
      <c r="B1124" s="24"/>
      <c r="K1124" s="36"/>
      <c r="M1124" s="128"/>
      <c r="Y1124" s="10"/>
      <c r="Z1124" s="11"/>
      <c r="AE1124" s="37"/>
      <c r="AF1124" s="37"/>
      <c r="AG1124" s="14"/>
      <c r="AH1124" s="14"/>
      <c r="AI1124" s="14"/>
      <c r="AZ1124" s="24"/>
    </row>
    <row r="1125">
      <c r="B1125" s="24"/>
      <c r="K1125" s="36"/>
      <c r="M1125" s="128"/>
      <c r="Y1125" s="10"/>
      <c r="Z1125" s="11"/>
      <c r="AE1125" s="37"/>
      <c r="AF1125" s="37"/>
      <c r="AG1125" s="14"/>
      <c r="AH1125" s="14"/>
      <c r="AI1125" s="14"/>
      <c r="AZ1125" s="24"/>
    </row>
    <row r="1126">
      <c r="B1126" s="24"/>
      <c r="K1126" s="36"/>
      <c r="M1126" s="128"/>
      <c r="Y1126" s="10"/>
      <c r="Z1126" s="11"/>
      <c r="AG1126" s="14"/>
      <c r="AH1126" s="14"/>
      <c r="AI1126" s="14"/>
      <c r="AZ1126" s="24"/>
    </row>
    <row r="1127">
      <c r="B1127" s="24"/>
      <c r="K1127" s="36"/>
      <c r="M1127" s="128"/>
      <c r="Y1127" s="10"/>
      <c r="Z1127" s="11"/>
      <c r="AG1127" s="14"/>
      <c r="AH1127" s="14"/>
      <c r="AI1127" s="14"/>
      <c r="AZ1127" s="24"/>
    </row>
    <row r="1128">
      <c r="B1128" s="24"/>
      <c r="K1128" s="36"/>
      <c r="M1128" s="128"/>
      <c r="Y1128" s="10"/>
      <c r="Z1128" s="11"/>
      <c r="AZ1128" s="24"/>
    </row>
    <row r="1129">
      <c r="B1129" s="24"/>
      <c r="K1129" s="36"/>
      <c r="M1129" s="128"/>
      <c r="Y1129" s="10"/>
      <c r="Z1129" s="11"/>
      <c r="AZ1129" s="24"/>
    </row>
    <row r="1130">
      <c r="B1130" s="24"/>
      <c r="K1130" s="36"/>
      <c r="M1130" s="128"/>
      <c r="AZ1130" s="24"/>
    </row>
    <row r="1131">
      <c r="B1131" s="24"/>
      <c r="K1131" s="36"/>
      <c r="M1131" s="128"/>
      <c r="AZ1131" s="24"/>
    </row>
  </sheetData>
  <mergeCells count="621">
    <mergeCell ref="AL1:AL2"/>
    <mergeCell ref="AN1:AN2"/>
    <mergeCell ref="AP1:AP2"/>
    <mergeCell ref="AR1:AR2"/>
    <mergeCell ref="AT1:AT2"/>
    <mergeCell ref="AV1:AV2"/>
    <mergeCell ref="AX1:AX2"/>
    <mergeCell ref="Y5:Z5"/>
    <mergeCell ref="AA5:AB5"/>
    <mergeCell ref="AC5:AD5"/>
    <mergeCell ref="AG5:AI5"/>
    <mergeCell ref="AJ1:AJ2"/>
    <mergeCell ref="E2:F2"/>
    <mergeCell ref="I2:J2"/>
    <mergeCell ref="AA2:AB2"/>
    <mergeCell ref="G3:H3"/>
    <mergeCell ref="I3:J3"/>
    <mergeCell ref="I4:J4"/>
    <mergeCell ref="U7:V7"/>
    <mergeCell ref="W7:X7"/>
    <mergeCell ref="G4:H4"/>
    <mergeCell ref="G5:H5"/>
    <mergeCell ref="I5:J5"/>
    <mergeCell ref="E7:F7"/>
    <mergeCell ref="M7:N7"/>
    <mergeCell ref="O7:R7"/>
    <mergeCell ref="S7:T7"/>
    <mergeCell ref="O13:R13"/>
    <mergeCell ref="S13:T13"/>
    <mergeCell ref="U13:V13"/>
    <mergeCell ref="W13:X13"/>
    <mergeCell ref="C14:D14"/>
    <mergeCell ref="E14:F14"/>
    <mergeCell ref="G14:H14"/>
    <mergeCell ref="I14:J14"/>
    <mergeCell ref="C22:D23"/>
    <mergeCell ref="C24:D24"/>
    <mergeCell ref="C25:D25"/>
    <mergeCell ref="E25:F25"/>
    <mergeCell ref="G25:H25"/>
    <mergeCell ref="I25:J25"/>
    <mergeCell ref="E26:F26"/>
    <mergeCell ref="C27:D27"/>
    <mergeCell ref="E27:F27"/>
    <mergeCell ref="G27:H27"/>
    <mergeCell ref="I27:J27"/>
    <mergeCell ref="E28:F28"/>
    <mergeCell ref="G28:H28"/>
    <mergeCell ref="I28:J28"/>
    <mergeCell ref="C8:D8"/>
    <mergeCell ref="E8:F8"/>
    <mergeCell ref="G8:H8"/>
    <mergeCell ref="I8:J8"/>
    <mergeCell ref="E9:F9"/>
    <mergeCell ref="G9:H9"/>
    <mergeCell ref="I9:J9"/>
    <mergeCell ref="C9:D10"/>
    <mergeCell ref="C11:D11"/>
    <mergeCell ref="E12:F12"/>
    <mergeCell ref="G12:H12"/>
    <mergeCell ref="I12:J12"/>
    <mergeCell ref="E13:F13"/>
    <mergeCell ref="M13:N13"/>
    <mergeCell ref="E19:F19"/>
    <mergeCell ref="E20:F20"/>
    <mergeCell ref="M20:N20"/>
    <mergeCell ref="O20:R20"/>
    <mergeCell ref="S20:T20"/>
    <mergeCell ref="U20:V20"/>
    <mergeCell ref="W20:X20"/>
    <mergeCell ref="C15:D16"/>
    <mergeCell ref="E15:F15"/>
    <mergeCell ref="G15:H15"/>
    <mergeCell ref="I15:J15"/>
    <mergeCell ref="C17:D17"/>
    <mergeCell ref="G19:H19"/>
    <mergeCell ref="I19:J19"/>
    <mergeCell ref="C21:D21"/>
    <mergeCell ref="E21:F21"/>
    <mergeCell ref="G21:H21"/>
    <mergeCell ref="I21:J21"/>
    <mergeCell ref="E22:F22"/>
    <mergeCell ref="G22:H22"/>
    <mergeCell ref="I22:J22"/>
    <mergeCell ref="M26:N26"/>
    <mergeCell ref="O26:R26"/>
    <mergeCell ref="S26:T26"/>
    <mergeCell ref="U26:V26"/>
    <mergeCell ref="W26:X26"/>
    <mergeCell ref="O32:R32"/>
    <mergeCell ref="S32:T32"/>
    <mergeCell ref="U32:V32"/>
    <mergeCell ref="W32:X32"/>
    <mergeCell ref="C28:D29"/>
    <mergeCell ref="C30:D30"/>
    <mergeCell ref="E31:F31"/>
    <mergeCell ref="G31:H31"/>
    <mergeCell ref="I31:J31"/>
    <mergeCell ref="E32:F32"/>
    <mergeCell ref="M32:N32"/>
    <mergeCell ref="C33:D33"/>
    <mergeCell ref="E33:F33"/>
    <mergeCell ref="G33:H33"/>
    <mergeCell ref="I33:J33"/>
    <mergeCell ref="E34:F34"/>
    <mergeCell ref="G34:H34"/>
    <mergeCell ref="I34:J34"/>
    <mergeCell ref="O38:R38"/>
    <mergeCell ref="S38:T38"/>
    <mergeCell ref="U38:V38"/>
    <mergeCell ref="W38:X38"/>
    <mergeCell ref="C34:D35"/>
    <mergeCell ref="C36:D36"/>
    <mergeCell ref="E37:F37"/>
    <mergeCell ref="G37:H37"/>
    <mergeCell ref="I37:J37"/>
    <mergeCell ref="E38:F38"/>
    <mergeCell ref="M38:N38"/>
    <mergeCell ref="C39:D39"/>
    <mergeCell ref="E39:F39"/>
    <mergeCell ref="G39:H39"/>
    <mergeCell ref="I39:J39"/>
    <mergeCell ref="C40:D41"/>
    <mergeCell ref="G40:H40"/>
    <mergeCell ref="I40:J40"/>
    <mergeCell ref="O44:R44"/>
    <mergeCell ref="S44:T44"/>
    <mergeCell ref="U44:V44"/>
    <mergeCell ref="W44:X44"/>
    <mergeCell ref="E40:F40"/>
    <mergeCell ref="E43:F43"/>
    <mergeCell ref="G43:H43"/>
    <mergeCell ref="I43:J43"/>
    <mergeCell ref="C44:D44"/>
    <mergeCell ref="E44:F44"/>
    <mergeCell ref="M44:N44"/>
    <mergeCell ref="C45:D45"/>
    <mergeCell ref="E45:F45"/>
    <mergeCell ref="G45:H45"/>
    <mergeCell ref="I45:J45"/>
    <mergeCell ref="C46:D47"/>
    <mergeCell ref="G46:H46"/>
    <mergeCell ref="I46:J46"/>
    <mergeCell ref="S50:T50"/>
    <mergeCell ref="U50:V50"/>
    <mergeCell ref="W50:X50"/>
    <mergeCell ref="E46:F46"/>
    <mergeCell ref="E49:F49"/>
    <mergeCell ref="G49:H49"/>
    <mergeCell ref="I49:J49"/>
    <mergeCell ref="E50:F50"/>
    <mergeCell ref="M50:N50"/>
    <mergeCell ref="O50:R50"/>
    <mergeCell ref="C51:D51"/>
    <mergeCell ref="E51:F51"/>
    <mergeCell ref="G51:H51"/>
    <mergeCell ref="I51:J51"/>
    <mergeCell ref="C52:D53"/>
    <mergeCell ref="G52:H52"/>
    <mergeCell ref="I52:J52"/>
    <mergeCell ref="M56:N56"/>
    <mergeCell ref="O56:R56"/>
    <mergeCell ref="S56:T56"/>
    <mergeCell ref="U56:V56"/>
    <mergeCell ref="W56:X56"/>
    <mergeCell ref="E52:F52"/>
    <mergeCell ref="E55:F55"/>
    <mergeCell ref="G55:H55"/>
    <mergeCell ref="I55:J55"/>
    <mergeCell ref="E56:F56"/>
    <mergeCell ref="G56:H56"/>
    <mergeCell ref="I56:J56"/>
    <mergeCell ref="M62:N62"/>
    <mergeCell ref="O62:R62"/>
    <mergeCell ref="S62:T62"/>
    <mergeCell ref="U62:V62"/>
    <mergeCell ref="W62:X62"/>
    <mergeCell ref="C57:D57"/>
    <mergeCell ref="E57:F57"/>
    <mergeCell ref="G57:H57"/>
    <mergeCell ref="I57:J57"/>
    <mergeCell ref="C58:D59"/>
    <mergeCell ref="G58:H58"/>
    <mergeCell ref="I58:J58"/>
    <mergeCell ref="E58:F58"/>
    <mergeCell ref="E61:F61"/>
    <mergeCell ref="G61:H61"/>
    <mergeCell ref="I61:J61"/>
    <mergeCell ref="E62:F62"/>
    <mergeCell ref="G62:H62"/>
    <mergeCell ref="I62:J62"/>
    <mergeCell ref="C63:D63"/>
    <mergeCell ref="E63:F63"/>
    <mergeCell ref="G63:H63"/>
    <mergeCell ref="I63:J63"/>
    <mergeCell ref="C64:D65"/>
    <mergeCell ref="G64:H64"/>
    <mergeCell ref="I64:J64"/>
    <mergeCell ref="G69:H69"/>
    <mergeCell ref="I69:J69"/>
    <mergeCell ref="M69:N69"/>
    <mergeCell ref="O69:R69"/>
    <mergeCell ref="S69:T69"/>
    <mergeCell ref="U69:V69"/>
    <mergeCell ref="W69:X69"/>
    <mergeCell ref="E64:F64"/>
    <mergeCell ref="E67:F67"/>
    <mergeCell ref="G67:H67"/>
    <mergeCell ref="I67:J67"/>
    <mergeCell ref="E68:F68"/>
    <mergeCell ref="G68:H68"/>
    <mergeCell ref="E69:F69"/>
    <mergeCell ref="I75:J75"/>
    <mergeCell ref="M75:N75"/>
    <mergeCell ref="O75:R75"/>
    <mergeCell ref="S75:T75"/>
    <mergeCell ref="U75:V75"/>
    <mergeCell ref="W75:X75"/>
    <mergeCell ref="C76:D76"/>
    <mergeCell ref="E76:F76"/>
    <mergeCell ref="G76:H76"/>
    <mergeCell ref="I76:J76"/>
    <mergeCell ref="C94:D94"/>
    <mergeCell ref="E94:F94"/>
    <mergeCell ref="G94:H94"/>
    <mergeCell ref="I94:J94"/>
    <mergeCell ref="E95:F95"/>
    <mergeCell ref="G95:H95"/>
    <mergeCell ref="I95:J95"/>
    <mergeCell ref="C95:D96"/>
    <mergeCell ref="C97:D97"/>
    <mergeCell ref="E98:F98"/>
    <mergeCell ref="G98:H98"/>
    <mergeCell ref="I98:J98"/>
    <mergeCell ref="E99:F99"/>
    <mergeCell ref="G99:H99"/>
    <mergeCell ref="C149:D149"/>
    <mergeCell ref="E149:F149"/>
    <mergeCell ref="G149:H149"/>
    <mergeCell ref="I149:J149"/>
    <mergeCell ref="E150:F150"/>
    <mergeCell ref="G150:H150"/>
    <mergeCell ref="I150:J150"/>
    <mergeCell ref="C150:D151"/>
    <mergeCell ref="C152:D152"/>
    <mergeCell ref="E153:F153"/>
    <mergeCell ref="G153:H153"/>
    <mergeCell ref="I153:J153"/>
    <mergeCell ref="E154:F154"/>
    <mergeCell ref="G154:H154"/>
    <mergeCell ref="U160:V160"/>
    <mergeCell ref="W160:X160"/>
    <mergeCell ref="E159:F159"/>
    <mergeCell ref="E160:F160"/>
    <mergeCell ref="G160:H160"/>
    <mergeCell ref="I160:J160"/>
    <mergeCell ref="M160:N160"/>
    <mergeCell ref="O160:R160"/>
    <mergeCell ref="S160:T160"/>
    <mergeCell ref="C156:D157"/>
    <mergeCell ref="E156:F156"/>
    <mergeCell ref="G156:H156"/>
    <mergeCell ref="I156:J156"/>
    <mergeCell ref="C158:D158"/>
    <mergeCell ref="G159:H159"/>
    <mergeCell ref="I159:J159"/>
    <mergeCell ref="I166:J166"/>
    <mergeCell ref="M166:N166"/>
    <mergeCell ref="O166:R166"/>
    <mergeCell ref="S166:T166"/>
    <mergeCell ref="U166:V166"/>
    <mergeCell ref="W166:X166"/>
    <mergeCell ref="C167:D167"/>
    <mergeCell ref="E167:F167"/>
    <mergeCell ref="G167:H167"/>
    <mergeCell ref="I167:J167"/>
    <mergeCell ref="C179:D179"/>
    <mergeCell ref="E179:F179"/>
    <mergeCell ref="G179:H179"/>
    <mergeCell ref="I179:J179"/>
    <mergeCell ref="E180:F180"/>
    <mergeCell ref="G180:H180"/>
    <mergeCell ref="I180:J180"/>
    <mergeCell ref="C180:D181"/>
    <mergeCell ref="C182:D182"/>
    <mergeCell ref="E184:F184"/>
    <mergeCell ref="G184:H184"/>
    <mergeCell ref="I184:J184"/>
    <mergeCell ref="E185:F185"/>
    <mergeCell ref="M185:N185"/>
    <mergeCell ref="C186:D186"/>
    <mergeCell ref="E186:F186"/>
    <mergeCell ref="G186:H186"/>
    <mergeCell ref="I186:J186"/>
    <mergeCell ref="E187:F187"/>
    <mergeCell ref="G187:H187"/>
    <mergeCell ref="I187:J187"/>
    <mergeCell ref="O191:R191"/>
    <mergeCell ref="S191:T191"/>
    <mergeCell ref="U191:V191"/>
    <mergeCell ref="W191:X191"/>
    <mergeCell ref="C187:D188"/>
    <mergeCell ref="C189:D189"/>
    <mergeCell ref="E190:F190"/>
    <mergeCell ref="G190:H190"/>
    <mergeCell ref="I190:J190"/>
    <mergeCell ref="E191:F191"/>
    <mergeCell ref="M191:N191"/>
    <mergeCell ref="C193:D194"/>
    <mergeCell ref="C195:D195"/>
    <mergeCell ref="E196:F196"/>
    <mergeCell ref="G196:H196"/>
    <mergeCell ref="I196:J196"/>
    <mergeCell ref="E197:F197"/>
    <mergeCell ref="E198:F198"/>
    <mergeCell ref="C192:D192"/>
    <mergeCell ref="E192:F192"/>
    <mergeCell ref="G192:H192"/>
    <mergeCell ref="I192:J192"/>
    <mergeCell ref="E193:F193"/>
    <mergeCell ref="G193:H193"/>
    <mergeCell ref="I193:J193"/>
    <mergeCell ref="C161:D161"/>
    <mergeCell ref="E161:F161"/>
    <mergeCell ref="G161:H161"/>
    <mergeCell ref="I161:J161"/>
    <mergeCell ref="E162:F162"/>
    <mergeCell ref="G162:H162"/>
    <mergeCell ref="I162:J162"/>
    <mergeCell ref="C162:D163"/>
    <mergeCell ref="C164:D164"/>
    <mergeCell ref="E165:F165"/>
    <mergeCell ref="G165:H165"/>
    <mergeCell ref="I165:J165"/>
    <mergeCell ref="E166:F166"/>
    <mergeCell ref="G166:H166"/>
    <mergeCell ref="U172:V172"/>
    <mergeCell ref="W172:X172"/>
    <mergeCell ref="E171:F171"/>
    <mergeCell ref="E172:F172"/>
    <mergeCell ref="G172:H172"/>
    <mergeCell ref="I172:J172"/>
    <mergeCell ref="M172:N172"/>
    <mergeCell ref="O172:R172"/>
    <mergeCell ref="S172:T172"/>
    <mergeCell ref="C168:D169"/>
    <mergeCell ref="E168:F168"/>
    <mergeCell ref="G168:H168"/>
    <mergeCell ref="I168:J168"/>
    <mergeCell ref="C170:D170"/>
    <mergeCell ref="G171:H171"/>
    <mergeCell ref="I171:J171"/>
    <mergeCell ref="I178:J178"/>
    <mergeCell ref="M178:N178"/>
    <mergeCell ref="O178:R178"/>
    <mergeCell ref="S178:T178"/>
    <mergeCell ref="U178:V178"/>
    <mergeCell ref="W178:X178"/>
    <mergeCell ref="O185:R185"/>
    <mergeCell ref="S185:T185"/>
    <mergeCell ref="U185:V185"/>
    <mergeCell ref="W185:X185"/>
    <mergeCell ref="C70:D70"/>
    <mergeCell ref="E70:F70"/>
    <mergeCell ref="G70:H70"/>
    <mergeCell ref="I70:J70"/>
    <mergeCell ref="E71:F71"/>
    <mergeCell ref="G71:H71"/>
    <mergeCell ref="I71:J71"/>
    <mergeCell ref="C71:D72"/>
    <mergeCell ref="C73:D73"/>
    <mergeCell ref="E74:F74"/>
    <mergeCell ref="G74:H74"/>
    <mergeCell ref="I74:J74"/>
    <mergeCell ref="E75:F75"/>
    <mergeCell ref="G75:H75"/>
    <mergeCell ref="U81:V81"/>
    <mergeCell ref="W81:X81"/>
    <mergeCell ref="E80:F80"/>
    <mergeCell ref="E81:F81"/>
    <mergeCell ref="G81:H81"/>
    <mergeCell ref="I81:J81"/>
    <mergeCell ref="M81:N81"/>
    <mergeCell ref="O81:R81"/>
    <mergeCell ref="S81:T81"/>
    <mergeCell ref="C77:D78"/>
    <mergeCell ref="E77:F77"/>
    <mergeCell ref="G77:H77"/>
    <mergeCell ref="I77:J77"/>
    <mergeCell ref="C79:D79"/>
    <mergeCell ref="G80:H80"/>
    <mergeCell ref="I80:J80"/>
    <mergeCell ref="I87:J87"/>
    <mergeCell ref="M87:N87"/>
    <mergeCell ref="O87:R87"/>
    <mergeCell ref="S87:T87"/>
    <mergeCell ref="U87:V87"/>
    <mergeCell ref="W87:X87"/>
    <mergeCell ref="C88:D88"/>
    <mergeCell ref="E88:F88"/>
    <mergeCell ref="G88:H88"/>
    <mergeCell ref="I88:J88"/>
    <mergeCell ref="C82:D82"/>
    <mergeCell ref="E82:F82"/>
    <mergeCell ref="G82:H82"/>
    <mergeCell ref="I82:J82"/>
    <mergeCell ref="E83:F83"/>
    <mergeCell ref="G83:H83"/>
    <mergeCell ref="I83:J83"/>
    <mergeCell ref="C83:D84"/>
    <mergeCell ref="C85:D85"/>
    <mergeCell ref="E86:F86"/>
    <mergeCell ref="G86:H86"/>
    <mergeCell ref="I86:J86"/>
    <mergeCell ref="E87:F87"/>
    <mergeCell ref="G87:H87"/>
    <mergeCell ref="U93:V93"/>
    <mergeCell ref="W93:X93"/>
    <mergeCell ref="E92:F92"/>
    <mergeCell ref="E93:F93"/>
    <mergeCell ref="G93:H93"/>
    <mergeCell ref="I93:J93"/>
    <mergeCell ref="M93:N93"/>
    <mergeCell ref="O93:R93"/>
    <mergeCell ref="S93:T93"/>
    <mergeCell ref="C89:D90"/>
    <mergeCell ref="E89:F89"/>
    <mergeCell ref="G89:H89"/>
    <mergeCell ref="I89:J89"/>
    <mergeCell ref="C91:D91"/>
    <mergeCell ref="G92:H92"/>
    <mergeCell ref="I92:J92"/>
    <mergeCell ref="I99:J99"/>
    <mergeCell ref="M99:N99"/>
    <mergeCell ref="O99:R99"/>
    <mergeCell ref="S99:T99"/>
    <mergeCell ref="U99:V99"/>
    <mergeCell ref="W99:X99"/>
    <mergeCell ref="M105:N105"/>
    <mergeCell ref="O105:R105"/>
    <mergeCell ref="S105:T105"/>
    <mergeCell ref="U105:V105"/>
    <mergeCell ref="W105:X105"/>
    <mergeCell ref="C100:D100"/>
    <mergeCell ref="E100:F100"/>
    <mergeCell ref="G100:H100"/>
    <mergeCell ref="I100:J100"/>
    <mergeCell ref="C101:D102"/>
    <mergeCell ref="G101:H101"/>
    <mergeCell ref="I101:J101"/>
    <mergeCell ref="E101:F101"/>
    <mergeCell ref="E104:F104"/>
    <mergeCell ref="G104:H104"/>
    <mergeCell ref="I104:J104"/>
    <mergeCell ref="E105:F105"/>
    <mergeCell ref="G105:H105"/>
    <mergeCell ref="I105:J105"/>
    <mergeCell ref="C106:D106"/>
    <mergeCell ref="E106:F106"/>
    <mergeCell ref="G106:H106"/>
    <mergeCell ref="I106:J106"/>
    <mergeCell ref="E107:F107"/>
    <mergeCell ref="G107:H107"/>
    <mergeCell ref="I107:J107"/>
    <mergeCell ref="I112:J112"/>
    <mergeCell ref="M112:N112"/>
    <mergeCell ref="O112:R112"/>
    <mergeCell ref="S112:T112"/>
    <mergeCell ref="U112:V112"/>
    <mergeCell ref="W112:X112"/>
    <mergeCell ref="C107:D108"/>
    <mergeCell ref="C109:D109"/>
    <mergeCell ref="E111:F111"/>
    <mergeCell ref="G111:H111"/>
    <mergeCell ref="I111:J111"/>
    <mergeCell ref="E112:F112"/>
    <mergeCell ref="G112:H112"/>
    <mergeCell ref="I118:J118"/>
    <mergeCell ref="M118:N118"/>
    <mergeCell ref="O118:R118"/>
    <mergeCell ref="S118:T118"/>
    <mergeCell ref="U118:V118"/>
    <mergeCell ref="W118:X118"/>
    <mergeCell ref="C119:D119"/>
    <mergeCell ref="E119:F119"/>
    <mergeCell ref="G119:H119"/>
    <mergeCell ref="I119:J119"/>
    <mergeCell ref="C113:D113"/>
    <mergeCell ref="E113:F113"/>
    <mergeCell ref="G113:H113"/>
    <mergeCell ref="I113:J113"/>
    <mergeCell ref="E114:F114"/>
    <mergeCell ref="G114:H114"/>
    <mergeCell ref="I114:J114"/>
    <mergeCell ref="C114:D115"/>
    <mergeCell ref="C116:D116"/>
    <mergeCell ref="E117:F117"/>
    <mergeCell ref="G117:H117"/>
    <mergeCell ref="I117:J117"/>
    <mergeCell ref="E118:F118"/>
    <mergeCell ref="G118:H118"/>
    <mergeCell ref="U124:V124"/>
    <mergeCell ref="W124:X124"/>
    <mergeCell ref="E123:F123"/>
    <mergeCell ref="E124:F124"/>
    <mergeCell ref="G124:H124"/>
    <mergeCell ref="I124:J124"/>
    <mergeCell ref="M124:N124"/>
    <mergeCell ref="O124:R124"/>
    <mergeCell ref="S124:T124"/>
    <mergeCell ref="C120:D121"/>
    <mergeCell ref="E120:F120"/>
    <mergeCell ref="G120:H120"/>
    <mergeCell ref="I120:J120"/>
    <mergeCell ref="C122:D122"/>
    <mergeCell ref="G123:H123"/>
    <mergeCell ref="I123:J123"/>
    <mergeCell ref="I130:J130"/>
    <mergeCell ref="M130:N130"/>
    <mergeCell ref="O130:R130"/>
    <mergeCell ref="S130:T130"/>
    <mergeCell ref="U130:V130"/>
    <mergeCell ref="W130:X130"/>
    <mergeCell ref="C131:D131"/>
    <mergeCell ref="E131:F131"/>
    <mergeCell ref="G131:H131"/>
    <mergeCell ref="I131:J131"/>
    <mergeCell ref="C125:D125"/>
    <mergeCell ref="E125:F125"/>
    <mergeCell ref="G125:H125"/>
    <mergeCell ref="I125:J125"/>
    <mergeCell ref="E126:F126"/>
    <mergeCell ref="G126:H126"/>
    <mergeCell ref="I126:J126"/>
    <mergeCell ref="C126:D127"/>
    <mergeCell ref="C128:D128"/>
    <mergeCell ref="E129:F129"/>
    <mergeCell ref="G129:H129"/>
    <mergeCell ref="I129:J129"/>
    <mergeCell ref="E130:F130"/>
    <mergeCell ref="G130:H130"/>
    <mergeCell ref="U136:V136"/>
    <mergeCell ref="W136:X136"/>
    <mergeCell ref="E135:F135"/>
    <mergeCell ref="E136:F136"/>
    <mergeCell ref="G136:H136"/>
    <mergeCell ref="I136:J136"/>
    <mergeCell ref="M136:N136"/>
    <mergeCell ref="O136:R136"/>
    <mergeCell ref="S136:T136"/>
    <mergeCell ref="C132:D133"/>
    <mergeCell ref="E132:F132"/>
    <mergeCell ref="G132:H132"/>
    <mergeCell ref="I132:J132"/>
    <mergeCell ref="C134:D134"/>
    <mergeCell ref="G135:H135"/>
    <mergeCell ref="I135:J135"/>
    <mergeCell ref="I142:J142"/>
    <mergeCell ref="M142:N142"/>
    <mergeCell ref="O142:R142"/>
    <mergeCell ref="S142:T142"/>
    <mergeCell ref="U142:V142"/>
    <mergeCell ref="W142:X142"/>
    <mergeCell ref="C143:D143"/>
    <mergeCell ref="E143:F143"/>
    <mergeCell ref="G143:H143"/>
    <mergeCell ref="I143:J143"/>
    <mergeCell ref="C137:D137"/>
    <mergeCell ref="E137:F137"/>
    <mergeCell ref="G137:H137"/>
    <mergeCell ref="I137:J137"/>
    <mergeCell ref="E138:F138"/>
    <mergeCell ref="G138:H138"/>
    <mergeCell ref="I138:J138"/>
    <mergeCell ref="C138:D139"/>
    <mergeCell ref="C140:D140"/>
    <mergeCell ref="E141:F141"/>
    <mergeCell ref="G141:H141"/>
    <mergeCell ref="I141:J141"/>
    <mergeCell ref="E142:F142"/>
    <mergeCell ref="G142:H142"/>
    <mergeCell ref="U148:V148"/>
    <mergeCell ref="W148:X148"/>
    <mergeCell ref="E147:F147"/>
    <mergeCell ref="E148:F148"/>
    <mergeCell ref="G148:H148"/>
    <mergeCell ref="I148:J148"/>
    <mergeCell ref="M148:N148"/>
    <mergeCell ref="O148:R148"/>
    <mergeCell ref="S148:T148"/>
    <mergeCell ref="C144:D145"/>
    <mergeCell ref="E144:F144"/>
    <mergeCell ref="G144:H144"/>
    <mergeCell ref="I144:J144"/>
    <mergeCell ref="C146:D146"/>
    <mergeCell ref="G147:H147"/>
    <mergeCell ref="I147:J147"/>
    <mergeCell ref="I154:J154"/>
    <mergeCell ref="M154:N154"/>
    <mergeCell ref="O154:R154"/>
    <mergeCell ref="S154:T154"/>
    <mergeCell ref="U154:V154"/>
    <mergeCell ref="W154:X154"/>
    <mergeCell ref="C155:D155"/>
    <mergeCell ref="E155:F155"/>
    <mergeCell ref="G155:H155"/>
    <mergeCell ref="I155:J155"/>
    <mergeCell ref="C173:D173"/>
    <mergeCell ref="E173:F173"/>
    <mergeCell ref="G173:H173"/>
    <mergeCell ref="I173:J173"/>
    <mergeCell ref="E174:F174"/>
    <mergeCell ref="G174:H174"/>
    <mergeCell ref="I174:J174"/>
    <mergeCell ref="C174:D175"/>
    <mergeCell ref="C176:D176"/>
    <mergeCell ref="E177:F177"/>
    <mergeCell ref="G177:H177"/>
    <mergeCell ref="I177:J177"/>
    <mergeCell ref="E178:F178"/>
    <mergeCell ref="G178:H17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topLeftCell="G1" activePane="topRight" state="frozen"/>
      <selection activeCell="H2" sqref="H2" pane="topRight"/>
    </sheetView>
  </sheetViews>
  <sheetFormatPr customHeight="1" defaultColWidth="12.63" defaultRowHeight="15.75"/>
  <cols>
    <col customWidth="1" min="1" max="1" width="18.88"/>
    <col customWidth="1" min="2" max="2" width="0.88"/>
    <col customWidth="1" min="3" max="3" width="6.25"/>
    <col customWidth="1" min="4" max="4" width="5.5"/>
    <col customWidth="1" min="5" max="5" width="5.0"/>
    <col customWidth="1" min="6" max="6" width="4.88"/>
    <col customWidth="1" min="7" max="7" width="5.38"/>
    <col customWidth="1" min="8" max="8" width="5.13"/>
    <col customWidth="1" min="9" max="9" width="4.13"/>
    <col customWidth="1" min="10" max="10" width="3.75"/>
    <col customWidth="1" min="11" max="11" width="9.38"/>
    <col customWidth="1" min="12" max="12" width="6.75"/>
    <col customWidth="1" min="13" max="15" width="3.63"/>
    <col customWidth="1" min="16" max="16" width="3.75"/>
    <col customWidth="1" min="17" max="17" width="3.63"/>
    <col customWidth="1" min="18" max="20" width="4.5"/>
    <col customWidth="1" min="21" max="21" width="3.25"/>
    <col customWidth="1" min="22" max="22" width="4.25"/>
    <col customWidth="1" min="23" max="23" width="3.88"/>
    <col customWidth="1" min="24" max="24" width="3.75"/>
    <col customWidth="1" min="25" max="25" width="5.13"/>
    <col customWidth="1" min="26" max="26" width="16.38"/>
    <col customWidth="1" min="27" max="27" width="4.38"/>
    <col customWidth="1" min="28" max="28" width="23.0"/>
    <col customWidth="1" min="29" max="29" width="5.63"/>
    <col customWidth="1" min="30" max="30" width="20.38"/>
    <col customWidth="1" min="33" max="33" width="6.38"/>
    <col customWidth="1" min="34" max="34" width="5.13"/>
    <col customWidth="1" min="35" max="35" width="16.13"/>
    <col customWidth="1" min="36" max="36" width="6.88"/>
    <col customWidth="1" min="38" max="38" width="5.88"/>
    <col customWidth="1" min="40" max="40" width="5.38"/>
    <col customWidth="1" min="42" max="42" width="5.63"/>
    <col customWidth="1" min="44" max="44" width="6.63"/>
    <col customWidth="1" min="46" max="46" width="5.13"/>
    <col customWidth="1" min="48" max="48" width="4.63"/>
    <col customWidth="1" min="50" max="50" width="4.75"/>
    <col customWidth="1" min="52" max="52" width="1.25"/>
  </cols>
  <sheetData>
    <row r="1">
      <c r="A1" s="1"/>
      <c r="B1" s="2"/>
      <c r="C1" s="1"/>
      <c r="D1" s="1"/>
      <c r="E1" s="3"/>
      <c r="F1" s="3"/>
      <c r="G1" s="4"/>
      <c r="H1" s="4"/>
      <c r="I1" s="5"/>
      <c r="J1" s="5"/>
      <c r="K1" s="6"/>
      <c r="L1" s="7"/>
      <c r="M1" s="114"/>
      <c r="N1" s="8"/>
      <c r="O1" s="8"/>
      <c r="P1" s="8"/>
      <c r="Q1" s="8"/>
      <c r="R1" s="8"/>
      <c r="S1" s="8"/>
      <c r="T1" s="8"/>
      <c r="U1" s="9"/>
      <c r="V1" s="9"/>
      <c r="W1" s="9"/>
      <c r="X1" s="9"/>
      <c r="Y1" s="10"/>
      <c r="Z1" s="11"/>
      <c r="AA1" s="12"/>
      <c r="AB1" s="12"/>
      <c r="AC1" s="13"/>
      <c r="AD1" s="13"/>
      <c r="AE1" s="1"/>
      <c r="AF1" s="1"/>
      <c r="AG1" s="14"/>
      <c r="AH1" s="14"/>
      <c r="AI1" s="14"/>
      <c r="AJ1" s="15" t="s">
        <v>0</v>
      </c>
      <c r="AK1" s="16" t="s">
        <v>1</v>
      </c>
      <c r="AL1" s="17" t="s">
        <v>2</v>
      </c>
      <c r="AM1" s="16" t="s">
        <v>3</v>
      </c>
      <c r="AN1" s="18" t="s">
        <v>4</v>
      </c>
      <c r="AO1" s="16" t="s">
        <v>5</v>
      </c>
      <c r="AP1" s="19" t="s">
        <v>6</v>
      </c>
      <c r="AQ1" s="16" t="s">
        <v>7</v>
      </c>
      <c r="AR1" s="20" t="s">
        <v>8</v>
      </c>
      <c r="AS1" s="16" t="s">
        <v>9</v>
      </c>
      <c r="AT1" s="21" t="s">
        <v>10</v>
      </c>
      <c r="AU1" s="16" t="s">
        <v>11</v>
      </c>
      <c r="AV1" s="22" t="s">
        <v>12</v>
      </c>
      <c r="AW1" s="16" t="s">
        <v>13</v>
      </c>
      <c r="AX1" s="23" t="s">
        <v>14</v>
      </c>
      <c r="AY1" s="16" t="s">
        <v>15</v>
      </c>
      <c r="AZ1" s="24"/>
    </row>
    <row r="2">
      <c r="A2" s="1"/>
      <c r="B2" s="2"/>
      <c r="C2" s="1"/>
      <c r="D2" s="1"/>
      <c r="E2" s="3"/>
      <c r="G2" s="341" t="s">
        <v>333</v>
      </c>
      <c r="H2" s="4"/>
      <c r="I2" s="342" t="s">
        <v>17</v>
      </c>
      <c r="K2" s="6"/>
      <c r="L2" s="7"/>
      <c r="M2" s="114"/>
      <c r="N2" s="8"/>
      <c r="O2" s="8"/>
      <c r="P2" s="8"/>
      <c r="Q2" s="8"/>
      <c r="R2" s="8"/>
      <c r="S2" s="8"/>
      <c r="T2" s="8"/>
      <c r="U2" s="9"/>
      <c r="V2" s="9"/>
      <c r="W2" s="9"/>
      <c r="X2" s="9"/>
      <c r="Y2" s="10"/>
      <c r="Z2" s="11"/>
      <c r="AA2" s="12" t="s">
        <v>18</v>
      </c>
      <c r="AC2" s="13"/>
      <c r="AD2" s="25" t="s">
        <v>19</v>
      </c>
      <c r="AE2" s="343" t="s">
        <v>20</v>
      </c>
      <c r="AF2" s="343" t="s">
        <v>21</v>
      </c>
      <c r="AG2" s="14"/>
      <c r="AH2" s="14"/>
      <c r="AI2" s="14"/>
      <c r="AK2" s="16" t="s">
        <v>22</v>
      </c>
      <c r="AM2" s="16" t="s">
        <v>23</v>
      </c>
      <c r="AO2" s="16" t="s">
        <v>24</v>
      </c>
      <c r="AQ2" s="16" t="s">
        <v>25</v>
      </c>
      <c r="AS2" s="16" t="s">
        <v>26</v>
      </c>
      <c r="AU2" s="16" t="s">
        <v>27</v>
      </c>
      <c r="AW2" s="16" t="s">
        <v>28</v>
      </c>
      <c r="AY2" s="16" t="s">
        <v>29</v>
      </c>
      <c r="AZ2" s="24"/>
    </row>
    <row r="3">
      <c r="A3" s="1"/>
      <c r="B3" s="2"/>
      <c r="C3" s="1"/>
      <c r="D3" s="1"/>
      <c r="E3" s="26"/>
      <c r="F3" s="26"/>
      <c r="G3" s="316" t="s">
        <v>171</v>
      </c>
      <c r="I3" s="291" t="s">
        <v>147</v>
      </c>
      <c r="K3" s="6"/>
      <c r="L3" s="7"/>
      <c r="M3" s="114"/>
      <c r="N3" s="8"/>
      <c r="O3" s="8"/>
      <c r="P3" s="8"/>
      <c r="Q3" s="8"/>
      <c r="R3" s="8"/>
      <c r="S3" s="8"/>
      <c r="T3" s="8"/>
      <c r="U3" s="9"/>
      <c r="V3" s="9"/>
      <c r="W3" s="9"/>
      <c r="X3" s="9"/>
      <c r="Y3" s="10"/>
      <c r="Z3" s="11"/>
      <c r="AA3" s="29" t="s">
        <v>32</v>
      </c>
      <c r="AB3" s="29" t="s">
        <v>33</v>
      </c>
      <c r="AC3" s="13"/>
      <c r="AD3" s="1" t="s">
        <v>144</v>
      </c>
      <c r="AE3" s="1" t="s">
        <v>334</v>
      </c>
      <c r="AF3" s="1" t="s">
        <v>36</v>
      </c>
      <c r="AG3" s="14"/>
      <c r="AH3" s="14"/>
      <c r="AI3" s="14"/>
      <c r="AJ3" s="30" t="s">
        <v>43</v>
      </c>
      <c r="AK3" s="16" t="s">
        <v>46</v>
      </c>
      <c r="AL3" s="22" t="s">
        <v>45</v>
      </c>
      <c r="AM3" s="16" t="s">
        <v>48</v>
      </c>
      <c r="AN3" s="32" t="s">
        <v>47</v>
      </c>
      <c r="AO3" s="16" t="s">
        <v>50</v>
      </c>
      <c r="AP3" s="30" t="s">
        <v>49</v>
      </c>
      <c r="AQ3" s="16" t="s">
        <v>52</v>
      </c>
      <c r="AR3" s="33" t="s">
        <v>51</v>
      </c>
      <c r="AS3" s="16" t="s">
        <v>38</v>
      </c>
      <c r="AT3" s="30" t="s">
        <v>37</v>
      </c>
      <c r="AU3" s="16" t="s">
        <v>40</v>
      </c>
      <c r="AV3" s="31" t="s">
        <v>39</v>
      </c>
      <c r="AW3" s="16" t="s">
        <v>42</v>
      </c>
      <c r="AX3" s="22" t="s">
        <v>41</v>
      </c>
      <c r="AY3" s="16" t="s">
        <v>44</v>
      </c>
      <c r="AZ3" s="24"/>
    </row>
    <row r="4">
      <c r="A4" s="1"/>
      <c r="B4" s="2"/>
      <c r="C4" s="1"/>
      <c r="D4" s="1"/>
      <c r="E4" s="26"/>
      <c r="F4" s="26"/>
      <c r="G4" s="293" t="s">
        <v>54</v>
      </c>
      <c r="I4" s="293" t="s">
        <v>202</v>
      </c>
      <c r="K4" s="6"/>
      <c r="L4" s="7"/>
      <c r="M4" s="114"/>
      <c r="N4" s="8"/>
      <c r="O4" s="8"/>
      <c r="P4" s="8"/>
      <c r="Q4" s="8"/>
      <c r="R4" s="8"/>
      <c r="S4" s="8"/>
      <c r="T4" s="8"/>
      <c r="U4" s="9"/>
      <c r="V4" s="9"/>
      <c r="W4" s="9"/>
      <c r="X4" s="9"/>
      <c r="Y4" s="10"/>
      <c r="Z4" s="11"/>
      <c r="AA4" s="36"/>
      <c r="AB4" s="36"/>
      <c r="AC4" s="13"/>
      <c r="AD4" s="13"/>
      <c r="AE4" s="37"/>
      <c r="AF4" s="37"/>
      <c r="AG4" s="14"/>
      <c r="AH4" s="14"/>
      <c r="AI4" s="14"/>
      <c r="AJ4" s="33" t="s">
        <v>51</v>
      </c>
      <c r="AK4" s="16" t="s">
        <v>40</v>
      </c>
      <c r="AL4" s="30" t="s">
        <v>37</v>
      </c>
      <c r="AM4" s="16" t="s">
        <v>42</v>
      </c>
      <c r="AN4" s="31" t="s">
        <v>39</v>
      </c>
      <c r="AO4" s="16" t="s">
        <v>44</v>
      </c>
      <c r="AP4" s="22" t="s">
        <v>41</v>
      </c>
      <c r="AQ4" s="16" t="s">
        <v>46</v>
      </c>
      <c r="AR4" s="30" t="s">
        <v>43</v>
      </c>
      <c r="AS4" s="16" t="s">
        <v>48</v>
      </c>
      <c r="AT4" s="22" t="s">
        <v>45</v>
      </c>
      <c r="AU4" s="16" t="s">
        <v>50</v>
      </c>
      <c r="AV4" s="32" t="s">
        <v>47</v>
      </c>
      <c r="AW4" s="16" t="s">
        <v>52</v>
      </c>
      <c r="AX4" s="30" t="s">
        <v>49</v>
      </c>
      <c r="AY4" s="16" t="s">
        <v>38</v>
      </c>
      <c r="AZ4" s="24"/>
    </row>
    <row r="5">
      <c r="A5" s="1"/>
      <c r="B5" s="2"/>
      <c r="C5" s="1"/>
      <c r="D5" s="1"/>
      <c r="E5" s="26"/>
      <c r="F5" s="26"/>
      <c r="G5" s="38" t="s">
        <v>55</v>
      </c>
      <c r="I5" s="39" t="s">
        <v>305</v>
      </c>
      <c r="K5" s="6"/>
      <c r="L5" s="7"/>
      <c r="M5" s="114"/>
      <c r="N5" s="8"/>
      <c r="O5" s="8"/>
      <c r="P5" s="8"/>
      <c r="Q5" s="8"/>
      <c r="R5" s="8"/>
      <c r="S5" s="8"/>
      <c r="T5" s="8"/>
      <c r="U5" s="9"/>
      <c r="V5" s="9"/>
      <c r="W5" s="9"/>
      <c r="X5" s="9"/>
      <c r="Y5" s="40" t="s">
        <v>57</v>
      </c>
      <c r="Z5" s="41"/>
      <c r="AA5" s="42" t="s">
        <v>58</v>
      </c>
      <c r="AB5" s="41"/>
      <c r="AC5" s="40" t="s">
        <v>59</v>
      </c>
      <c r="AD5" s="41"/>
      <c r="AE5" s="43" t="s">
        <v>60</v>
      </c>
      <c r="AF5" s="43" t="s">
        <v>61</v>
      </c>
      <c r="AG5" s="42" t="s">
        <v>306</v>
      </c>
      <c r="AH5" s="44"/>
      <c r="AI5" s="41"/>
      <c r="AJ5" s="45"/>
      <c r="AK5" s="16"/>
      <c r="AL5" s="45"/>
      <c r="AM5" s="16"/>
      <c r="AN5" s="45"/>
      <c r="AO5" s="16"/>
      <c r="AP5" s="45"/>
      <c r="AQ5" s="16"/>
      <c r="AR5" s="46"/>
      <c r="AS5" s="16"/>
      <c r="AT5" s="46"/>
      <c r="AU5" s="16"/>
      <c r="AV5" s="47"/>
      <c r="AW5" s="16"/>
      <c r="AX5" s="47"/>
      <c r="AY5" s="16"/>
      <c r="AZ5" s="48"/>
      <c r="BA5" s="16"/>
      <c r="BB5" s="16"/>
    </row>
    <row r="6" ht="3.75" customHeight="1">
      <c r="A6" s="2"/>
      <c r="B6" s="2"/>
      <c r="C6" s="2"/>
      <c r="D6" s="2"/>
      <c r="E6" s="49"/>
      <c r="F6" s="49"/>
      <c r="G6" s="49"/>
      <c r="H6" s="49"/>
      <c r="I6" s="49"/>
      <c r="J6" s="49"/>
      <c r="K6" s="50"/>
      <c r="L6" s="51"/>
      <c r="M6" s="294"/>
      <c r="N6" s="52"/>
      <c r="O6" s="52"/>
      <c r="P6" s="52"/>
      <c r="Q6" s="52"/>
      <c r="R6" s="52"/>
      <c r="S6" s="52"/>
      <c r="T6" s="52"/>
      <c r="U6" s="53"/>
      <c r="V6" s="53"/>
      <c r="W6" s="53"/>
      <c r="X6" s="53"/>
      <c r="Y6" s="54"/>
      <c r="Z6" s="55"/>
      <c r="AA6" s="56"/>
      <c r="AB6" s="56"/>
      <c r="AC6" s="57"/>
      <c r="AD6" s="57"/>
      <c r="AE6" s="58"/>
      <c r="AF6" s="58"/>
      <c r="AG6" s="59"/>
      <c r="AH6" s="59"/>
      <c r="AI6" s="59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60"/>
      <c r="AY6" s="24"/>
      <c r="AZ6" s="24"/>
      <c r="BA6" s="24"/>
      <c r="BB6" s="24"/>
      <c r="BC6" s="24"/>
      <c r="BD6" s="24"/>
      <c r="BE6" s="24"/>
    </row>
    <row r="7">
      <c r="A7" s="188" t="s">
        <v>139</v>
      </c>
      <c r="B7" s="62"/>
      <c r="C7" s="63"/>
      <c r="D7" s="63"/>
      <c r="E7" s="64">
        <f>(O8+P8+Q8+R8)/(O9+P9+Q9+R9)</f>
        <v>0.525</v>
      </c>
      <c r="F7" s="65"/>
      <c r="G7" s="66"/>
      <c r="H7" s="66"/>
      <c r="I7" s="67"/>
      <c r="J7" s="67"/>
      <c r="K7" s="68"/>
      <c r="L7" s="69"/>
      <c r="M7" s="63" t="s">
        <v>64</v>
      </c>
      <c r="N7" s="70"/>
      <c r="O7" s="71" t="s">
        <v>65</v>
      </c>
      <c r="P7" s="72"/>
      <c r="Q7" s="72"/>
      <c r="R7" s="70"/>
      <c r="S7" s="71" t="s">
        <v>66</v>
      </c>
      <c r="T7" s="70"/>
      <c r="U7" s="71" t="s">
        <v>67</v>
      </c>
      <c r="V7" s="70"/>
      <c r="W7" s="71" t="s">
        <v>68</v>
      </c>
      <c r="X7" s="70"/>
      <c r="Y7" s="134" t="s">
        <v>69</v>
      </c>
      <c r="Z7" s="74" t="s">
        <v>70</v>
      </c>
      <c r="AA7" s="75" t="s">
        <v>71</v>
      </c>
      <c r="AB7" s="75" t="s">
        <v>72</v>
      </c>
      <c r="AC7" s="76" t="s">
        <v>73</v>
      </c>
      <c r="AD7" s="77" t="s">
        <v>74</v>
      </c>
      <c r="AE7" s="63" t="s">
        <v>35</v>
      </c>
      <c r="AF7" s="78" t="s">
        <v>75</v>
      </c>
      <c r="AG7" s="79" t="s">
        <v>76</v>
      </c>
      <c r="AH7" s="79">
        <v>240.0</v>
      </c>
      <c r="AI7" s="79" t="s">
        <v>77</v>
      </c>
      <c r="AJ7" s="80" t="str">
        <f>AJ1</f>
        <v>開</v>
      </c>
      <c r="AK7" s="81" t="s">
        <v>38</v>
      </c>
      <c r="AL7" s="82" t="str">
        <f>AL1</f>
        <v>休</v>
      </c>
      <c r="AM7" s="81" t="s">
        <v>40</v>
      </c>
      <c r="AN7" s="82" t="s">
        <v>4</v>
      </c>
      <c r="AO7" s="81" t="s">
        <v>42</v>
      </c>
      <c r="AP7" s="82" t="str">
        <f>AP1</f>
        <v>傷</v>
      </c>
      <c r="AQ7" s="81" t="s">
        <v>44</v>
      </c>
      <c r="AR7" s="82" t="s">
        <v>8</v>
      </c>
      <c r="AS7" s="81" t="s">
        <v>46</v>
      </c>
      <c r="AT7" s="82" t="str">
        <f>AT1</f>
        <v>景</v>
      </c>
      <c r="AU7" s="81" t="s">
        <v>48</v>
      </c>
      <c r="AV7" s="82" t="str">
        <f>AV1</f>
        <v>死</v>
      </c>
      <c r="AW7" s="81" t="s">
        <v>50</v>
      </c>
      <c r="AX7" s="82" t="str">
        <f>AX1</f>
        <v>驚</v>
      </c>
      <c r="AY7" s="81" t="s">
        <v>52</v>
      </c>
      <c r="AZ7" s="83"/>
      <c r="BA7" s="84"/>
      <c r="BB7" s="84"/>
      <c r="BC7" s="84"/>
    </row>
    <row r="8">
      <c r="A8" s="85">
        <v>1.0</v>
      </c>
      <c r="B8" s="86"/>
      <c r="C8" s="12" t="s">
        <v>78</v>
      </c>
      <c r="E8" s="87" t="s">
        <v>31</v>
      </c>
      <c r="F8" s="88"/>
      <c r="G8" s="316" t="s">
        <v>209</v>
      </c>
      <c r="I8" s="268" t="str">
        <f t="shared" ref="I8:I9" si="1">I3:J3</f>
        <v>丙</v>
      </c>
      <c r="K8" s="90">
        <f>L8/L9</f>
        <v>0.67</v>
      </c>
      <c r="L8" s="91">
        <f t="shared" ref="L8:L9" si="2">O8+P8+Q8+U8+V8+W8+X8+R8+M8+N8+S8+T8</f>
        <v>670</v>
      </c>
      <c r="M8" s="92">
        <v>0.0</v>
      </c>
      <c r="N8" s="93">
        <v>0.0</v>
      </c>
      <c r="O8" s="92">
        <v>10.0</v>
      </c>
      <c r="P8" s="92">
        <v>90.0</v>
      </c>
      <c r="Q8" s="92">
        <v>90.0</v>
      </c>
      <c r="R8" s="93">
        <v>20.0</v>
      </c>
      <c r="S8" s="92">
        <v>100.0</v>
      </c>
      <c r="T8" s="93">
        <v>95.0</v>
      </c>
      <c r="U8" s="92">
        <v>45.0</v>
      </c>
      <c r="V8" s="93">
        <v>50.0</v>
      </c>
      <c r="W8" s="92">
        <v>110.0</v>
      </c>
      <c r="X8" s="93">
        <v>60.0</v>
      </c>
      <c r="Y8" s="73" t="s">
        <v>80</v>
      </c>
      <c r="Z8" s="94" t="s">
        <v>81</v>
      </c>
      <c r="AA8" s="36"/>
      <c r="AB8" s="29"/>
      <c r="AC8" s="95" t="s">
        <v>82</v>
      </c>
      <c r="AD8" s="96" t="s">
        <v>83</v>
      </c>
      <c r="AE8" s="37"/>
      <c r="AF8" s="97"/>
      <c r="AG8" s="12" t="s">
        <v>84</v>
      </c>
      <c r="AH8" s="12">
        <v>0.0</v>
      </c>
      <c r="AI8" s="12" t="s">
        <v>85</v>
      </c>
      <c r="AJ8" s="98" t="s">
        <v>51</v>
      </c>
      <c r="AK8" s="101" t="s">
        <v>95</v>
      </c>
      <c r="AL8" s="100" t="s">
        <v>86</v>
      </c>
      <c r="AM8" s="99" t="s">
        <v>87</v>
      </c>
      <c r="AN8" s="100" t="s">
        <v>88</v>
      </c>
      <c r="AO8" s="101" t="s">
        <v>89</v>
      </c>
      <c r="AP8" s="100" t="s">
        <v>45</v>
      </c>
      <c r="AQ8" s="102" t="s">
        <v>90</v>
      </c>
      <c r="AR8" s="100" t="s">
        <v>43</v>
      </c>
      <c r="AS8" s="101" t="s">
        <v>91</v>
      </c>
      <c r="AT8" s="100" t="s">
        <v>41</v>
      </c>
      <c r="AU8" s="103" t="s">
        <v>92</v>
      </c>
      <c r="AV8" s="100" t="s">
        <v>39</v>
      </c>
      <c r="AW8" s="99" t="s">
        <v>93</v>
      </c>
      <c r="AX8" s="100" t="s">
        <v>37</v>
      </c>
      <c r="AY8" s="99" t="s">
        <v>94</v>
      </c>
      <c r="AZ8" s="24"/>
      <c r="BA8" s="47" t="s">
        <v>86</v>
      </c>
      <c r="BB8" s="104" t="s">
        <v>87</v>
      </c>
      <c r="BC8" s="47" t="s">
        <v>88</v>
      </c>
      <c r="BD8" s="105" t="s">
        <v>89</v>
      </c>
      <c r="BE8" s="47"/>
    </row>
    <row r="9">
      <c r="A9" s="344" t="str">
        <f>G2</f>
        <v>พฤษภาคม</v>
      </c>
      <c r="B9" s="86"/>
      <c r="C9" s="175" t="s">
        <v>188</v>
      </c>
      <c r="E9" s="107" t="s">
        <v>97</v>
      </c>
      <c r="F9" s="88"/>
      <c r="G9" s="317" t="s">
        <v>197</v>
      </c>
      <c r="I9" s="35" t="str">
        <f t="shared" si="1"/>
        <v>午</v>
      </c>
      <c r="K9" s="36"/>
      <c r="L9" s="109">
        <f t="shared" si="2"/>
        <v>1000</v>
      </c>
      <c r="M9" s="9">
        <v>0.0</v>
      </c>
      <c r="N9" s="110">
        <v>0.0</v>
      </c>
      <c r="O9" s="9">
        <v>100.0</v>
      </c>
      <c r="P9" s="9">
        <v>100.0</v>
      </c>
      <c r="Q9" s="9">
        <v>100.0</v>
      </c>
      <c r="R9" s="110">
        <v>100.0</v>
      </c>
      <c r="S9" s="9">
        <v>100.0</v>
      </c>
      <c r="T9" s="110">
        <v>100.0</v>
      </c>
      <c r="U9" s="9">
        <v>100.0</v>
      </c>
      <c r="V9" s="110">
        <v>100.0</v>
      </c>
      <c r="W9" s="9">
        <v>100.0</v>
      </c>
      <c r="X9" s="110">
        <v>100.0</v>
      </c>
      <c r="Y9" s="73" t="s">
        <v>98</v>
      </c>
      <c r="Z9" s="94" t="s">
        <v>99</v>
      </c>
      <c r="AA9" s="36"/>
      <c r="AB9" s="36"/>
      <c r="AC9" s="111"/>
      <c r="AD9" s="112"/>
      <c r="AE9" s="37"/>
      <c r="AF9" s="97"/>
      <c r="AG9" s="14"/>
      <c r="AH9" s="14"/>
      <c r="AI9" s="14"/>
      <c r="AJ9" s="113"/>
      <c r="AK9" s="105" t="s">
        <v>107</v>
      </c>
      <c r="AM9" s="104" t="s">
        <v>100</v>
      </c>
      <c r="AO9" s="114" t="s">
        <v>101</v>
      </c>
      <c r="AQ9" s="105" t="s">
        <v>102</v>
      </c>
      <c r="AS9" s="105" t="s">
        <v>103</v>
      </c>
      <c r="AU9" s="104" t="s">
        <v>104</v>
      </c>
      <c r="AW9" s="104" t="s">
        <v>105</v>
      </c>
      <c r="AY9" s="104" t="s">
        <v>106</v>
      </c>
      <c r="AZ9" s="24"/>
      <c r="BB9" s="104" t="s">
        <v>100</v>
      </c>
      <c r="BD9" s="114" t="s">
        <v>101</v>
      </c>
    </row>
    <row r="10">
      <c r="A10" s="85">
        <v>2569.0</v>
      </c>
      <c r="B10" s="86"/>
      <c r="E10" s="345" t="s">
        <v>108</v>
      </c>
      <c r="F10" s="346" t="s">
        <v>69</v>
      </c>
      <c r="G10" s="9" t="s">
        <v>114</v>
      </c>
      <c r="H10" s="9" t="s">
        <v>69</v>
      </c>
      <c r="I10" s="9" t="s">
        <v>204</v>
      </c>
      <c r="J10" s="9" t="s">
        <v>214</v>
      </c>
      <c r="K10" s="36"/>
      <c r="L10" s="117"/>
      <c r="M10" s="118" t="str">
        <f t="shared" ref="M10:P10" si="3">C10</f>
        <v/>
      </c>
      <c r="N10" s="119" t="str">
        <f t="shared" si="3"/>
        <v/>
      </c>
      <c r="O10" s="118" t="str">
        <f t="shared" si="3"/>
        <v>A8</v>
      </c>
      <c r="P10" s="118" t="str">
        <f t="shared" si="3"/>
        <v>B8</v>
      </c>
      <c r="Q10" s="118" t="str">
        <f t="shared" ref="Q10:R10" si="4">E11</f>
        <v>B6</v>
      </c>
      <c r="R10" s="119" t="str">
        <f t="shared" si="4"/>
        <v>C8</v>
      </c>
      <c r="S10" s="9" t="s">
        <v>213</v>
      </c>
      <c r="T10" s="110" t="s">
        <v>219</v>
      </c>
      <c r="U10" s="9" t="s">
        <v>164</v>
      </c>
      <c r="V10" s="110" t="s">
        <v>212</v>
      </c>
      <c r="W10" s="118" t="str">
        <f t="shared" ref="W10:X10" si="5">I10</f>
        <v>A5</v>
      </c>
      <c r="X10" s="120" t="str">
        <f t="shared" si="5"/>
        <v>B11</v>
      </c>
      <c r="Y10" s="73" t="s">
        <v>116</v>
      </c>
      <c r="Z10" s="94" t="s">
        <v>117</v>
      </c>
      <c r="AA10" s="36"/>
      <c r="AB10" s="36"/>
      <c r="AC10" s="111"/>
      <c r="AD10" s="112"/>
      <c r="AE10" s="37"/>
      <c r="AF10" s="97"/>
      <c r="AG10" s="14"/>
      <c r="AH10" s="14"/>
      <c r="AI10" s="14"/>
      <c r="AJ10" s="113"/>
      <c r="AK10" s="105" t="s">
        <v>125</v>
      </c>
      <c r="AM10" s="104" t="s">
        <v>118</v>
      </c>
      <c r="AO10" s="114" t="s">
        <v>119</v>
      </c>
      <c r="AQ10" s="105" t="s">
        <v>120</v>
      </c>
      <c r="AS10" s="105" t="s">
        <v>121</v>
      </c>
      <c r="AU10" s="104" t="s">
        <v>122</v>
      </c>
      <c r="AW10" s="104" t="s">
        <v>123</v>
      </c>
      <c r="AY10" s="104" t="s">
        <v>124</v>
      </c>
      <c r="AZ10" s="24"/>
      <c r="BB10" s="104" t="s">
        <v>118</v>
      </c>
      <c r="BD10" s="114" t="s">
        <v>119</v>
      </c>
    </row>
    <row r="11">
      <c r="A11" s="85">
        <f>A10-543</f>
        <v>2026</v>
      </c>
      <c r="B11" s="86"/>
      <c r="C11" s="347" t="s">
        <v>335</v>
      </c>
      <c r="E11" s="115" t="s">
        <v>126</v>
      </c>
      <c r="F11" s="348" t="s">
        <v>225</v>
      </c>
      <c r="G11" s="9"/>
      <c r="H11" s="118"/>
      <c r="I11" s="118"/>
      <c r="J11" s="118"/>
      <c r="K11" s="36"/>
      <c r="L11" s="117"/>
      <c r="M11" s="8"/>
      <c r="N11" s="121"/>
      <c r="O11" s="8"/>
      <c r="P11" s="8"/>
      <c r="Q11" s="8"/>
      <c r="R11" s="121"/>
      <c r="S11" s="8"/>
      <c r="T11" s="121"/>
      <c r="U11" s="9"/>
      <c r="V11" s="110"/>
      <c r="W11" s="9"/>
      <c r="X11" s="110"/>
      <c r="Y11" s="73" t="s">
        <v>126</v>
      </c>
      <c r="Z11" s="94" t="s">
        <v>128</v>
      </c>
      <c r="AA11" s="36"/>
      <c r="AB11" s="36"/>
      <c r="AC11" s="111"/>
      <c r="AD11" s="112"/>
      <c r="AE11" s="37"/>
      <c r="AF11" s="97"/>
      <c r="AG11" s="14"/>
      <c r="AH11" s="14"/>
      <c r="AI11" s="14"/>
      <c r="AJ11" s="113"/>
      <c r="AK11" s="105" t="s">
        <v>136</v>
      </c>
      <c r="AM11" s="104" t="s">
        <v>129</v>
      </c>
      <c r="AO11" s="114" t="s">
        <v>130</v>
      </c>
      <c r="AQ11" s="105" t="s">
        <v>131</v>
      </c>
      <c r="AS11" s="105" t="s">
        <v>132</v>
      </c>
      <c r="AU11" s="104" t="s">
        <v>133</v>
      </c>
      <c r="AW11" s="104" t="s">
        <v>134</v>
      </c>
      <c r="AY11" s="104" t="s">
        <v>135</v>
      </c>
      <c r="AZ11" s="24"/>
      <c r="BB11" s="104" t="s">
        <v>129</v>
      </c>
      <c r="BD11" s="114" t="s">
        <v>130</v>
      </c>
    </row>
    <row r="12">
      <c r="A12" s="325" t="s">
        <v>328</v>
      </c>
      <c r="B12" s="2"/>
      <c r="C12" s="1" t="s">
        <v>336</v>
      </c>
      <c r="E12" s="176" t="s">
        <v>137</v>
      </c>
      <c r="F12" s="88"/>
      <c r="G12" s="39" t="s">
        <v>138</v>
      </c>
      <c r="I12" s="39" t="str">
        <f>I5</f>
        <v>อสูรปี N</v>
      </c>
      <c r="K12" s="90"/>
      <c r="L12" s="126"/>
      <c r="M12" s="8"/>
      <c r="N12" s="121"/>
      <c r="O12" s="8"/>
      <c r="P12" s="8"/>
      <c r="Q12" s="8"/>
      <c r="R12" s="121"/>
      <c r="S12" s="8"/>
      <c r="T12" s="121"/>
      <c r="U12" s="9"/>
      <c r="V12" s="110"/>
      <c r="W12" s="9"/>
      <c r="X12" s="110"/>
      <c r="Y12" s="127"/>
      <c r="Z12" s="155"/>
      <c r="AA12" s="36"/>
      <c r="AB12" s="36"/>
      <c r="AC12" s="235"/>
      <c r="AD12" s="236"/>
      <c r="AE12" s="237"/>
      <c r="AF12" s="238"/>
      <c r="AG12" s="239"/>
      <c r="AH12" s="239"/>
      <c r="AI12" s="239"/>
      <c r="AJ12" s="113"/>
      <c r="AY12" s="128"/>
      <c r="AZ12" s="24"/>
      <c r="BB12" s="129"/>
      <c r="BD12" s="128"/>
    </row>
    <row r="13">
      <c r="A13" s="188" t="s">
        <v>158</v>
      </c>
      <c r="B13" s="62"/>
      <c r="C13" s="63"/>
      <c r="D13" s="63"/>
      <c r="E13" s="64">
        <f>(O14+P14+Q14+R14)/(O15+P15+Q15+R15)</f>
        <v>0.7625</v>
      </c>
      <c r="F13" s="65"/>
      <c r="G13" s="133"/>
      <c r="H13" s="66"/>
      <c r="I13" s="67"/>
      <c r="J13" s="67"/>
      <c r="K13" s="68"/>
      <c r="L13" s="69"/>
      <c r="M13" s="63" t="s">
        <v>64</v>
      </c>
      <c r="N13" s="70"/>
      <c r="O13" s="71" t="s">
        <v>65</v>
      </c>
      <c r="P13" s="72"/>
      <c r="Q13" s="72"/>
      <c r="R13" s="70"/>
      <c r="S13" s="71" t="s">
        <v>66</v>
      </c>
      <c r="T13" s="70"/>
      <c r="U13" s="71" t="s">
        <v>67</v>
      </c>
      <c r="V13" s="70"/>
      <c r="W13" s="71" t="s">
        <v>68</v>
      </c>
      <c r="X13" s="70"/>
      <c r="Y13" s="134" t="s">
        <v>116</v>
      </c>
      <c r="Z13" s="74" t="s">
        <v>140</v>
      </c>
      <c r="AA13" s="75" t="s">
        <v>31</v>
      </c>
      <c r="AB13" s="75" t="s">
        <v>141</v>
      </c>
      <c r="AC13" s="135" t="s">
        <v>142</v>
      </c>
      <c r="AD13" s="74" t="s">
        <v>143</v>
      </c>
      <c r="AE13" s="63" t="s">
        <v>75</v>
      </c>
      <c r="AF13" s="78" t="s">
        <v>144</v>
      </c>
      <c r="AG13" s="79" t="s">
        <v>32</v>
      </c>
      <c r="AH13" s="79">
        <v>270.0</v>
      </c>
      <c r="AI13" s="79" t="s">
        <v>145</v>
      </c>
      <c r="AJ13" s="80" t="str">
        <f>AJ7</f>
        <v>開</v>
      </c>
      <c r="AK13" s="81" t="s">
        <v>48</v>
      </c>
      <c r="AL13" s="82" t="str">
        <f>AL7</f>
        <v>休</v>
      </c>
      <c r="AM13" s="81" t="s">
        <v>50</v>
      </c>
      <c r="AN13" s="82" t="s">
        <v>4</v>
      </c>
      <c r="AO13" s="81" t="s">
        <v>52</v>
      </c>
      <c r="AP13" s="82" t="str">
        <f>AP7</f>
        <v>傷</v>
      </c>
      <c r="AQ13" s="81" t="s">
        <v>38</v>
      </c>
      <c r="AR13" s="82" t="s">
        <v>8</v>
      </c>
      <c r="AS13" s="81" t="s">
        <v>40</v>
      </c>
      <c r="AT13" s="82" t="str">
        <f>AT7</f>
        <v>景</v>
      </c>
      <c r="AU13" s="81" t="s">
        <v>42</v>
      </c>
      <c r="AV13" s="82" t="str">
        <f>AV7</f>
        <v>死</v>
      </c>
      <c r="AW13" s="81" t="s">
        <v>44</v>
      </c>
      <c r="AX13" s="82" t="str">
        <f>AX7</f>
        <v>驚</v>
      </c>
      <c r="AY13" s="81" t="s">
        <v>46</v>
      </c>
      <c r="AZ13" s="83"/>
      <c r="BA13" s="84"/>
      <c r="BB13" s="84"/>
      <c r="BC13" s="84"/>
    </row>
    <row r="14">
      <c r="A14" s="85">
        <f>A8+1</f>
        <v>2</v>
      </c>
      <c r="B14" s="86"/>
      <c r="C14" s="12" t="s">
        <v>146</v>
      </c>
      <c r="E14" s="136" t="s">
        <v>147</v>
      </c>
      <c r="G14" s="324" t="str">
        <f t="shared" ref="G14:G15" si="7">G8:H8</f>
        <v>壬</v>
      </c>
      <c r="I14" s="275" t="str">
        <f t="shared" ref="I14:I15" si="8">I8:J8</f>
        <v>丙</v>
      </c>
      <c r="K14" s="90">
        <f>L14/L15</f>
        <v>0.77</v>
      </c>
      <c r="L14" s="126">
        <f t="shared" ref="L14:L15" si="9">O14+P14+Q14+U14+V14+W14+X14+R14+M14+N14+S14+T14</f>
        <v>770</v>
      </c>
      <c r="M14" s="92">
        <v>0.0</v>
      </c>
      <c r="N14" s="93">
        <v>0.0</v>
      </c>
      <c r="O14" s="92">
        <v>55.0</v>
      </c>
      <c r="P14" s="92">
        <v>50.0</v>
      </c>
      <c r="Q14" s="92">
        <v>100.0</v>
      </c>
      <c r="R14" s="93">
        <v>100.0</v>
      </c>
      <c r="S14" s="92">
        <v>110.0</v>
      </c>
      <c r="T14" s="93">
        <v>90.0</v>
      </c>
      <c r="U14" s="92">
        <f t="shared" ref="U14:X14" si="6">U8</f>
        <v>45</v>
      </c>
      <c r="V14" s="93">
        <f t="shared" si="6"/>
        <v>50</v>
      </c>
      <c r="W14" s="92">
        <f t="shared" si="6"/>
        <v>110</v>
      </c>
      <c r="X14" s="93">
        <f t="shared" si="6"/>
        <v>60</v>
      </c>
      <c r="Y14" s="73" t="s">
        <v>126</v>
      </c>
      <c r="Z14" s="94" t="s">
        <v>70</v>
      </c>
      <c r="AA14" s="29"/>
      <c r="AB14" s="29"/>
      <c r="AC14" s="139" t="s">
        <v>148</v>
      </c>
      <c r="AD14" s="96" t="s">
        <v>149</v>
      </c>
      <c r="AE14" s="37"/>
      <c r="AF14" s="97"/>
      <c r="AG14" s="12" t="s">
        <v>97</v>
      </c>
      <c r="AH14" s="12">
        <v>330.0</v>
      </c>
      <c r="AI14" s="12" t="s">
        <v>150</v>
      </c>
      <c r="AJ14" s="98" t="s">
        <v>51</v>
      </c>
      <c r="AK14" s="101" t="s">
        <v>95</v>
      </c>
      <c r="AL14" s="100" t="s">
        <v>86</v>
      </c>
      <c r="AM14" s="99" t="s">
        <v>87</v>
      </c>
      <c r="AN14" s="100" t="s">
        <v>88</v>
      </c>
      <c r="AO14" s="101" t="s">
        <v>89</v>
      </c>
      <c r="AP14" s="100" t="s">
        <v>45</v>
      </c>
      <c r="AQ14" s="102" t="s">
        <v>90</v>
      </c>
      <c r="AR14" s="100" t="s">
        <v>43</v>
      </c>
      <c r="AS14" s="101" t="s">
        <v>91</v>
      </c>
      <c r="AT14" s="100" t="s">
        <v>41</v>
      </c>
      <c r="AU14" s="103" t="s">
        <v>92</v>
      </c>
      <c r="AV14" s="100" t="s">
        <v>39</v>
      </c>
      <c r="AW14" s="99" t="s">
        <v>93</v>
      </c>
      <c r="AX14" s="100" t="s">
        <v>37</v>
      </c>
      <c r="AY14" s="99" t="s">
        <v>94</v>
      </c>
      <c r="AZ14" s="24"/>
    </row>
    <row r="15">
      <c r="A15" s="344" t="str">
        <f t="shared" ref="A15:A17" si="10">A9</f>
        <v>พฤษภาคม</v>
      </c>
      <c r="B15" s="86"/>
      <c r="C15" s="175" t="s">
        <v>211</v>
      </c>
      <c r="E15" s="107" t="s">
        <v>84</v>
      </c>
      <c r="G15" s="180" t="str">
        <f t="shared" si="7"/>
        <v>辰</v>
      </c>
      <c r="I15" s="142" t="str">
        <f t="shared" si="8"/>
        <v>午</v>
      </c>
      <c r="K15" s="36"/>
      <c r="L15" s="109">
        <f t="shared" si="9"/>
        <v>1000</v>
      </c>
      <c r="M15" s="9">
        <v>0.0</v>
      </c>
      <c r="N15" s="110">
        <v>0.0</v>
      </c>
      <c r="O15" s="9">
        <v>100.0</v>
      </c>
      <c r="P15" s="9">
        <v>100.0</v>
      </c>
      <c r="Q15" s="9">
        <v>100.0</v>
      </c>
      <c r="R15" s="110">
        <v>100.0</v>
      </c>
      <c r="S15" s="9">
        <v>100.0</v>
      </c>
      <c r="T15" s="110">
        <v>100.0</v>
      </c>
      <c r="U15" s="9">
        <v>100.0</v>
      </c>
      <c r="V15" s="110">
        <v>100.0</v>
      </c>
      <c r="W15" s="9">
        <v>100.0</v>
      </c>
      <c r="X15" s="110">
        <v>100.0</v>
      </c>
      <c r="Y15" s="73" t="s">
        <v>69</v>
      </c>
      <c r="Z15" s="94" t="s">
        <v>152</v>
      </c>
      <c r="AA15" s="36"/>
      <c r="AB15" s="36"/>
      <c r="AC15" s="111"/>
      <c r="AD15" s="112"/>
      <c r="AE15" s="37"/>
      <c r="AF15" s="97"/>
      <c r="AG15" s="14"/>
      <c r="AH15" s="14"/>
      <c r="AI15" s="14"/>
      <c r="AJ15" s="113"/>
      <c r="AK15" s="105" t="s">
        <v>107</v>
      </c>
      <c r="AM15" s="104" t="s">
        <v>100</v>
      </c>
      <c r="AO15" s="114" t="s">
        <v>101</v>
      </c>
      <c r="AQ15" s="105" t="s">
        <v>102</v>
      </c>
      <c r="AS15" s="105" t="s">
        <v>103</v>
      </c>
      <c r="AU15" s="104" t="s">
        <v>104</v>
      </c>
      <c r="AW15" s="104" t="s">
        <v>105</v>
      </c>
      <c r="AY15" s="104" t="s">
        <v>106</v>
      </c>
      <c r="AZ15" s="24"/>
    </row>
    <row r="16">
      <c r="A16" s="85">
        <f t="shared" si="10"/>
        <v>2569</v>
      </c>
      <c r="B16" s="86"/>
      <c r="E16" s="345" t="s">
        <v>110</v>
      </c>
      <c r="F16" s="349" t="s">
        <v>212</v>
      </c>
      <c r="G16" s="115" t="str">
        <f t="shared" ref="G16:H16" si="11">G10</f>
        <v>A10</v>
      </c>
      <c r="H16" s="9" t="str">
        <f t="shared" si="11"/>
        <v>B8</v>
      </c>
      <c r="I16" s="9" t="s">
        <v>204</v>
      </c>
      <c r="J16" s="9" t="s">
        <v>214</v>
      </c>
      <c r="K16" s="36"/>
      <c r="L16" s="117"/>
      <c r="M16" s="118" t="str">
        <f t="shared" ref="M16:P16" si="12">C16</f>
        <v/>
      </c>
      <c r="N16" s="119" t="str">
        <f t="shared" si="12"/>
        <v/>
      </c>
      <c r="O16" s="118" t="str">
        <f t="shared" si="12"/>
        <v>A11</v>
      </c>
      <c r="P16" s="118" t="str">
        <f t="shared" si="12"/>
        <v>B9</v>
      </c>
      <c r="Q16" s="118" t="str">
        <f t="shared" ref="Q16:R16" si="13">E17</f>
        <v>B5</v>
      </c>
      <c r="R16" s="119" t="str">
        <f t="shared" si="13"/>
        <v>C9</v>
      </c>
      <c r="S16" s="9" t="s">
        <v>204</v>
      </c>
      <c r="T16" s="110" t="s">
        <v>219</v>
      </c>
      <c r="U16" s="9" t="str">
        <f t="shared" ref="U16:V16" si="14">U10</f>
        <v>A9</v>
      </c>
      <c r="V16" s="119" t="str">
        <f t="shared" si="14"/>
        <v>B9</v>
      </c>
      <c r="W16" s="118" t="str">
        <f>I16</f>
        <v>A5</v>
      </c>
      <c r="X16" s="120" t="str">
        <f>X10</f>
        <v>B11</v>
      </c>
      <c r="Y16" s="73" t="s">
        <v>80</v>
      </c>
      <c r="Z16" s="94" t="s">
        <v>153</v>
      </c>
      <c r="AA16" s="36"/>
      <c r="AB16" s="36"/>
      <c r="AC16" s="111"/>
      <c r="AD16" s="112"/>
      <c r="AE16" s="37"/>
      <c r="AF16" s="97"/>
      <c r="AG16" s="14"/>
      <c r="AH16" s="14"/>
      <c r="AI16" s="14"/>
      <c r="AJ16" s="113"/>
      <c r="AK16" s="105" t="s">
        <v>125</v>
      </c>
      <c r="AM16" s="104" t="s">
        <v>118</v>
      </c>
      <c r="AO16" s="114" t="s">
        <v>119</v>
      </c>
      <c r="AQ16" s="105" t="s">
        <v>120</v>
      </c>
      <c r="AS16" s="105" t="s">
        <v>121</v>
      </c>
      <c r="AU16" s="104" t="s">
        <v>122</v>
      </c>
      <c r="AW16" s="104" t="s">
        <v>123</v>
      </c>
      <c r="AY16" s="104" t="s">
        <v>124</v>
      </c>
      <c r="AZ16" s="24"/>
    </row>
    <row r="17">
      <c r="A17" s="85">
        <f t="shared" si="10"/>
        <v>2026</v>
      </c>
      <c r="B17" s="86"/>
      <c r="C17" s="304"/>
      <c r="E17" s="115" t="s">
        <v>116</v>
      </c>
      <c r="F17" s="348" t="s">
        <v>229</v>
      </c>
      <c r="G17" s="115"/>
      <c r="H17" s="118"/>
      <c r="I17" s="118"/>
      <c r="J17" s="118"/>
      <c r="K17" s="36"/>
      <c r="L17" s="117"/>
      <c r="M17" s="8"/>
      <c r="N17" s="121"/>
      <c r="O17" s="8"/>
      <c r="P17" s="8"/>
      <c r="Q17" s="8"/>
      <c r="R17" s="121"/>
      <c r="S17" s="8"/>
      <c r="T17" s="121"/>
      <c r="U17" s="9"/>
      <c r="V17" s="110"/>
      <c r="W17" s="9"/>
      <c r="X17" s="110"/>
      <c r="Y17" s="73" t="s">
        <v>98</v>
      </c>
      <c r="Z17" s="94" t="s">
        <v>155</v>
      </c>
      <c r="AA17" s="36"/>
      <c r="AB17" s="36"/>
      <c r="AC17" s="111"/>
      <c r="AD17" s="112"/>
      <c r="AE17" s="37"/>
      <c r="AF17" s="97"/>
      <c r="AG17" s="14"/>
      <c r="AH17" s="14"/>
      <c r="AI17" s="14"/>
      <c r="AJ17" s="113"/>
      <c r="AK17" s="105" t="s">
        <v>136</v>
      </c>
      <c r="AM17" s="104" t="s">
        <v>129</v>
      </c>
      <c r="AO17" s="114" t="s">
        <v>130</v>
      </c>
      <c r="AQ17" s="105" t="s">
        <v>131</v>
      </c>
      <c r="AS17" s="105" t="s">
        <v>132</v>
      </c>
      <c r="AU17" s="104" t="s">
        <v>133</v>
      </c>
      <c r="AW17" s="104" t="s">
        <v>134</v>
      </c>
      <c r="AY17" s="104" t="s">
        <v>135</v>
      </c>
      <c r="AZ17" s="24"/>
    </row>
    <row r="18">
      <c r="A18" s="350" t="s">
        <v>331</v>
      </c>
      <c r="B18" s="144"/>
      <c r="C18" s="1"/>
      <c r="D18" s="123"/>
      <c r="E18" s="145" t="s">
        <v>157</v>
      </c>
      <c r="F18" s="88"/>
      <c r="G18" s="146" t="str">
        <f>G12</f>
        <v>อสูรเดือน S</v>
      </c>
      <c r="H18" s="147"/>
      <c r="I18" s="148" t="str">
        <f>I12:J12</f>
        <v>อสูรปี N</v>
      </c>
      <c r="J18" s="147"/>
      <c r="K18" s="149"/>
      <c r="L18" s="150"/>
      <c r="M18" s="151"/>
      <c r="N18" s="152"/>
      <c r="O18" s="151"/>
      <c r="P18" s="151"/>
      <c r="Q18" s="151"/>
      <c r="R18" s="152"/>
      <c r="S18" s="8"/>
      <c r="T18" s="121"/>
      <c r="U18" s="153"/>
      <c r="V18" s="154"/>
      <c r="W18" s="153"/>
      <c r="X18" s="154"/>
      <c r="Y18" s="127"/>
      <c r="Z18" s="155"/>
      <c r="AA18" s="36"/>
      <c r="AB18" s="36"/>
      <c r="AC18" s="111"/>
      <c r="AD18" s="112"/>
      <c r="AE18" s="37"/>
      <c r="AF18" s="97"/>
      <c r="AG18" s="14"/>
      <c r="AH18" s="14"/>
      <c r="AI18" s="14"/>
      <c r="AJ18" s="113"/>
      <c r="AY18" s="128"/>
      <c r="AZ18" s="159"/>
      <c r="BA18" s="158"/>
      <c r="BB18" s="158"/>
      <c r="BC18" s="158"/>
    </row>
    <row r="19">
      <c r="A19" s="188" t="s">
        <v>169</v>
      </c>
      <c r="B19" s="62"/>
      <c r="C19" s="63"/>
      <c r="D19" s="63"/>
      <c r="E19" s="64">
        <f>(O20+P20+Q20+R20)/(O21+P21+Q21+R21)</f>
        <v>0.375</v>
      </c>
      <c r="F19" s="65"/>
      <c r="G19" s="133"/>
      <c r="H19" s="66"/>
      <c r="I19" s="67"/>
      <c r="J19" s="67"/>
      <c r="K19" s="68"/>
      <c r="L19" s="69"/>
      <c r="M19" s="63" t="s">
        <v>64</v>
      </c>
      <c r="N19" s="70"/>
      <c r="O19" s="71" t="s">
        <v>65</v>
      </c>
      <c r="P19" s="72"/>
      <c r="Q19" s="72"/>
      <c r="R19" s="70"/>
      <c r="S19" s="71" t="s">
        <v>66</v>
      </c>
      <c r="T19" s="70"/>
      <c r="U19" s="71" t="s">
        <v>67</v>
      </c>
      <c r="V19" s="70"/>
      <c r="W19" s="71" t="s">
        <v>68</v>
      </c>
      <c r="X19" s="70"/>
      <c r="Y19" s="134" t="s">
        <v>116</v>
      </c>
      <c r="Z19" s="74" t="s">
        <v>159</v>
      </c>
      <c r="AA19" s="75" t="s">
        <v>32</v>
      </c>
      <c r="AB19" s="75" t="s">
        <v>33</v>
      </c>
      <c r="AC19" s="135" t="s">
        <v>142</v>
      </c>
      <c r="AD19" s="74" t="s">
        <v>143</v>
      </c>
      <c r="AE19" s="63" t="s">
        <v>75</v>
      </c>
      <c r="AF19" s="78" t="s">
        <v>36</v>
      </c>
      <c r="AG19" s="79" t="s">
        <v>97</v>
      </c>
      <c r="AH19" s="79">
        <v>330.0</v>
      </c>
      <c r="AI19" s="79" t="s">
        <v>150</v>
      </c>
      <c r="AJ19" s="80" t="str">
        <f>AJ13</f>
        <v>開</v>
      </c>
      <c r="AK19" s="81" t="s">
        <v>50</v>
      </c>
      <c r="AL19" s="82" t="str">
        <f>AL13</f>
        <v>休</v>
      </c>
      <c r="AM19" s="81" t="s">
        <v>52</v>
      </c>
      <c r="AN19" s="82" t="s">
        <v>4</v>
      </c>
      <c r="AO19" s="81" t="s">
        <v>38</v>
      </c>
      <c r="AP19" s="82" t="str">
        <f>AP13</f>
        <v>傷</v>
      </c>
      <c r="AQ19" s="81" t="s">
        <v>40</v>
      </c>
      <c r="AR19" s="82" t="s">
        <v>8</v>
      </c>
      <c r="AS19" s="81" t="s">
        <v>42</v>
      </c>
      <c r="AT19" s="82" t="str">
        <f>AT13</f>
        <v>景</v>
      </c>
      <c r="AU19" s="81" t="s">
        <v>44</v>
      </c>
      <c r="AV19" s="82" t="str">
        <f>AV13</f>
        <v>死</v>
      </c>
      <c r="AW19" s="81" t="s">
        <v>46</v>
      </c>
      <c r="AX19" s="82" t="str">
        <f>AX13</f>
        <v>驚</v>
      </c>
      <c r="AY19" s="81" t="s">
        <v>48</v>
      </c>
      <c r="AZ19" s="83"/>
      <c r="BA19" s="84"/>
      <c r="BB19" s="84"/>
      <c r="BC19" s="84"/>
    </row>
    <row r="20">
      <c r="A20" s="85">
        <f>A14+1</f>
        <v>3</v>
      </c>
      <c r="B20" s="86"/>
      <c r="C20" s="12" t="s">
        <v>160</v>
      </c>
      <c r="E20" s="160" t="s">
        <v>161</v>
      </c>
      <c r="F20" s="88"/>
      <c r="G20" s="324" t="str">
        <f t="shared" ref="G20:G21" si="16">G8:H8</f>
        <v>壬</v>
      </c>
      <c r="I20" s="275" t="str">
        <f t="shared" ref="I20:I21" si="17">I8:J8</f>
        <v>丙</v>
      </c>
      <c r="K20" s="90">
        <f>L20/L21</f>
        <v>0.47</v>
      </c>
      <c r="L20" s="126">
        <f t="shared" ref="L20:L21" si="18">O20+P20+Q20+U20+V20+W20+X20+R20+M20+N20+S20+T20</f>
        <v>470</v>
      </c>
      <c r="M20" s="92">
        <v>0.0</v>
      </c>
      <c r="N20" s="93">
        <v>0.0</v>
      </c>
      <c r="O20" s="92">
        <v>50.0</v>
      </c>
      <c r="P20" s="92">
        <v>40.0</v>
      </c>
      <c r="Q20" s="92">
        <v>30.0</v>
      </c>
      <c r="R20" s="93">
        <v>30.0</v>
      </c>
      <c r="S20" s="92">
        <v>25.0</v>
      </c>
      <c r="T20" s="93">
        <v>30.0</v>
      </c>
      <c r="U20" s="92">
        <f t="shared" ref="U20:X20" si="15">U8</f>
        <v>45</v>
      </c>
      <c r="V20" s="93">
        <f t="shared" si="15"/>
        <v>50</v>
      </c>
      <c r="W20" s="92">
        <f t="shared" si="15"/>
        <v>110</v>
      </c>
      <c r="X20" s="92">
        <f t="shared" si="15"/>
        <v>60</v>
      </c>
      <c r="Y20" s="73" t="s">
        <v>126</v>
      </c>
      <c r="Z20" s="94" t="s">
        <v>152</v>
      </c>
      <c r="AA20" s="36"/>
      <c r="AB20" s="36"/>
      <c r="AC20" s="139" t="s">
        <v>148</v>
      </c>
      <c r="AD20" s="96" t="s">
        <v>149</v>
      </c>
      <c r="AE20" s="37"/>
      <c r="AF20" s="97"/>
      <c r="AG20" s="12" t="s">
        <v>32</v>
      </c>
      <c r="AH20" s="12">
        <v>270.0</v>
      </c>
      <c r="AI20" s="12" t="s">
        <v>145</v>
      </c>
      <c r="AJ20" s="98" t="s">
        <v>86</v>
      </c>
      <c r="AK20" s="99" t="s">
        <v>87</v>
      </c>
      <c r="AL20" s="100" t="s">
        <v>88</v>
      </c>
      <c r="AM20" s="101" t="s">
        <v>89</v>
      </c>
      <c r="AN20" s="100" t="s">
        <v>45</v>
      </c>
      <c r="AO20" s="102" t="s">
        <v>90</v>
      </c>
      <c r="AP20" s="100" t="s">
        <v>43</v>
      </c>
      <c r="AQ20" s="101" t="s">
        <v>91</v>
      </c>
      <c r="AR20" s="100" t="s">
        <v>41</v>
      </c>
      <c r="AS20" s="103" t="s">
        <v>92</v>
      </c>
      <c r="AT20" s="100" t="s">
        <v>39</v>
      </c>
      <c r="AU20" s="99" t="s">
        <v>93</v>
      </c>
      <c r="AV20" s="100" t="s">
        <v>37</v>
      </c>
      <c r="AW20" s="99" t="s">
        <v>94</v>
      </c>
      <c r="AX20" s="100" t="s">
        <v>51</v>
      </c>
      <c r="AY20" s="101" t="s">
        <v>95</v>
      </c>
      <c r="AZ20" s="24"/>
    </row>
    <row r="21">
      <c r="A21" s="344" t="str">
        <f>A15</f>
        <v>พฤษภาคม</v>
      </c>
      <c r="B21" s="86"/>
      <c r="C21" s="161" t="s">
        <v>217</v>
      </c>
      <c r="E21" s="162" t="s">
        <v>53</v>
      </c>
      <c r="F21" s="88"/>
      <c r="G21" s="180" t="str">
        <f t="shared" si="16"/>
        <v>辰</v>
      </c>
      <c r="I21" s="142" t="str">
        <f t="shared" si="17"/>
        <v>午</v>
      </c>
      <c r="K21" s="36"/>
      <c r="L21" s="109">
        <f t="shared" si="18"/>
        <v>1000</v>
      </c>
      <c r="M21" s="9">
        <v>0.0</v>
      </c>
      <c r="N21" s="110">
        <v>0.0</v>
      </c>
      <c r="O21" s="9">
        <v>100.0</v>
      </c>
      <c r="P21" s="9">
        <v>100.0</v>
      </c>
      <c r="Q21" s="9">
        <v>100.0</v>
      </c>
      <c r="R21" s="110">
        <v>100.0</v>
      </c>
      <c r="S21" s="9">
        <v>100.0</v>
      </c>
      <c r="T21" s="110">
        <v>100.0</v>
      </c>
      <c r="U21" s="9">
        <v>100.0</v>
      </c>
      <c r="V21" s="110">
        <v>100.0</v>
      </c>
      <c r="W21" s="9">
        <v>100.0</v>
      </c>
      <c r="X21" s="110">
        <v>100.0</v>
      </c>
      <c r="Y21" s="73" t="s">
        <v>69</v>
      </c>
      <c r="Z21" s="94" t="s">
        <v>163</v>
      </c>
      <c r="AA21" s="36"/>
      <c r="AB21" s="36"/>
      <c r="AC21" s="111"/>
      <c r="AD21" s="112"/>
      <c r="AE21" s="37"/>
      <c r="AF21" s="97"/>
      <c r="AG21" s="14"/>
      <c r="AH21" s="14"/>
      <c r="AI21" s="14"/>
      <c r="AJ21" s="113"/>
      <c r="AK21" s="104" t="s">
        <v>100</v>
      </c>
      <c r="AM21" s="114" t="s">
        <v>101</v>
      </c>
      <c r="AO21" s="105" t="s">
        <v>102</v>
      </c>
      <c r="AQ21" s="105" t="s">
        <v>103</v>
      </c>
      <c r="AS21" s="104" t="s">
        <v>104</v>
      </c>
      <c r="AU21" s="104" t="s">
        <v>105</v>
      </c>
      <c r="AW21" s="104" t="s">
        <v>106</v>
      </c>
      <c r="AY21" s="105" t="s">
        <v>107</v>
      </c>
      <c r="AZ21" s="24"/>
    </row>
    <row r="22">
      <c r="A22" s="85">
        <f>A10</f>
        <v>2569</v>
      </c>
      <c r="B22" s="86"/>
      <c r="E22" s="345" t="s">
        <v>164</v>
      </c>
      <c r="F22" s="349" t="s">
        <v>218</v>
      </c>
      <c r="G22" s="115" t="str">
        <f t="shared" ref="G22:J22" si="19">G10</f>
        <v>A10</v>
      </c>
      <c r="H22" s="9" t="str">
        <f t="shared" si="19"/>
        <v>B8</v>
      </c>
      <c r="I22" s="9" t="str">
        <f t="shared" si="19"/>
        <v>A5</v>
      </c>
      <c r="J22" s="9" t="str">
        <f t="shared" si="19"/>
        <v>B11</v>
      </c>
      <c r="K22" s="36"/>
      <c r="L22" s="117"/>
      <c r="M22" s="118" t="str">
        <f t="shared" ref="M22:P22" si="20">C22</f>
        <v/>
      </c>
      <c r="N22" s="119" t="str">
        <f t="shared" si="20"/>
        <v/>
      </c>
      <c r="O22" s="118" t="str">
        <f t="shared" si="20"/>
        <v>A9</v>
      </c>
      <c r="P22" s="118" t="str">
        <f t="shared" si="20"/>
        <v>B10</v>
      </c>
      <c r="Q22" s="118" t="str">
        <f t="shared" ref="Q22:R22" si="21">E23</f>
        <v>B4</v>
      </c>
      <c r="R22" s="119" t="str">
        <f t="shared" si="21"/>
        <v>C10</v>
      </c>
      <c r="S22" s="9" t="s">
        <v>198</v>
      </c>
      <c r="T22" s="110" t="s">
        <v>198</v>
      </c>
      <c r="U22" s="9" t="str">
        <f t="shared" ref="U22:V22" si="22">U10</f>
        <v>A9</v>
      </c>
      <c r="V22" s="119" t="str">
        <f t="shared" si="22"/>
        <v>B9</v>
      </c>
      <c r="W22" s="118" t="str">
        <f t="shared" ref="W22:X22" si="23">I22</f>
        <v>A5</v>
      </c>
      <c r="X22" s="120" t="str">
        <f t="shared" si="23"/>
        <v>B11</v>
      </c>
      <c r="Y22" s="73" t="s">
        <v>80</v>
      </c>
      <c r="Z22" s="94" t="s">
        <v>117</v>
      </c>
      <c r="AA22" s="36"/>
      <c r="AB22" s="36"/>
      <c r="AC22" s="111"/>
      <c r="AD22" s="112"/>
      <c r="AE22" s="37"/>
      <c r="AF22" s="97"/>
      <c r="AG22" s="14"/>
      <c r="AH22" s="14"/>
      <c r="AI22" s="14"/>
      <c r="AJ22" s="113"/>
      <c r="AK22" s="104" t="s">
        <v>118</v>
      </c>
      <c r="AM22" s="114" t="s">
        <v>119</v>
      </c>
      <c r="AO22" s="105" t="s">
        <v>120</v>
      </c>
      <c r="AQ22" s="105" t="s">
        <v>121</v>
      </c>
      <c r="AS22" s="104" t="s">
        <v>122</v>
      </c>
      <c r="AU22" s="104" t="s">
        <v>123</v>
      </c>
      <c r="AW22" s="104" t="s">
        <v>124</v>
      </c>
      <c r="AY22" s="105" t="s">
        <v>125</v>
      </c>
      <c r="AZ22" s="24"/>
    </row>
    <row r="23">
      <c r="A23" s="85">
        <f>A22-543</f>
        <v>2026</v>
      </c>
      <c r="B23" s="86"/>
      <c r="C23" s="163"/>
      <c r="E23" s="115" t="s">
        <v>109</v>
      </c>
      <c r="F23" s="348" t="s">
        <v>232</v>
      </c>
      <c r="G23" s="115"/>
      <c r="H23" s="118"/>
      <c r="I23" s="118"/>
      <c r="J23" s="118"/>
      <c r="K23" s="36"/>
      <c r="L23" s="117"/>
      <c r="M23" s="8"/>
      <c r="N23" s="121"/>
      <c r="O23" s="8"/>
      <c r="P23" s="8"/>
      <c r="Q23" s="8"/>
      <c r="R23" s="121"/>
      <c r="S23" s="8"/>
      <c r="T23" s="121"/>
      <c r="U23" s="9"/>
      <c r="V23" s="110"/>
      <c r="W23" s="9"/>
      <c r="X23" s="110"/>
      <c r="Y23" s="73" t="s">
        <v>98</v>
      </c>
      <c r="Z23" s="94" t="s">
        <v>128</v>
      </c>
      <c r="AA23" s="36"/>
      <c r="AB23" s="36"/>
      <c r="AC23" s="111"/>
      <c r="AD23" s="112"/>
      <c r="AE23" s="37"/>
      <c r="AF23" s="97"/>
      <c r="AG23" s="14"/>
      <c r="AH23" s="14"/>
      <c r="AI23" s="14"/>
      <c r="AJ23" s="113"/>
      <c r="AK23" s="104" t="s">
        <v>129</v>
      </c>
      <c r="AM23" s="114" t="s">
        <v>130</v>
      </c>
      <c r="AO23" s="105" t="s">
        <v>131</v>
      </c>
      <c r="AQ23" s="105" t="s">
        <v>132</v>
      </c>
      <c r="AS23" s="104" t="s">
        <v>133</v>
      </c>
      <c r="AU23" s="104" t="s">
        <v>134</v>
      </c>
      <c r="AW23" s="104" t="s">
        <v>135</v>
      </c>
      <c r="AY23" s="105" t="s">
        <v>136</v>
      </c>
      <c r="AZ23" s="24"/>
    </row>
    <row r="24">
      <c r="A24" s="351"/>
      <c r="B24" s="2"/>
      <c r="C24" s="304"/>
      <c r="E24" s="164" t="s">
        <v>168</v>
      </c>
      <c r="F24" s="88"/>
      <c r="G24" s="165" t="str">
        <f>G12:H12</f>
        <v>อสูรเดือน S</v>
      </c>
      <c r="I24" s="166" t="str">
        <f>I12:J12</f>
        <v>อสูรปี N</v>
      </c>
      <c r="K24" s="90"/>
      <c r="L24" s="126"/>
      <c r="M24" s="8"/>
      <c r="N24" s="121"/>
      <c r="O24" s="8"/>
      <c r="P24" s="8"/>
      <c r="Q24" s="8"/>
      <c r="R24" s="121"/>
      <c r="S24" s="8"/>
      <c r="T24" s="121"/>
      <c r="U24" s="9"/>
      <c r="V24" s="110"/>
      <c r="W24" s="9"/>
      <c r="X24" s="110"/>
      <c r="Y24" s="127"/>
      <c r="Z24" s="155"/>
      <c r="AA24" s="156"/>
      <c r="AB24" s="156"/>
      <c r="AC24" s="111"/>
      <c r="AD24" s="112"/>
      <c r="AE24" s="37"/>
      <c r="AF24" s="97"/>
      <c r="AG24" s="14"/>
      <c r="AH24" s="14"/>
      <c r="AI24" s="14"/>
      <c r="AJ24" s="113"/>
      <c r="AK24" s="128"/>
      <c r="AM24" s="128"/>
      <c r="AO24" s="128"/>
      <c r="AQ24" s="129"/>
      <c r="AS24" s="130"/>
      <c r="AU24" s="131"/>
      <c r="AW24" s="131"/>
      <c r="AY24" s="131"/>
      <c r="AZ24" s="24"/>
    </row>
    <row r="25">
      <c r="A25" s="188" t="s">
        <v>186</v>
      </c>
      <c r="B25" s="62"/>
      <c r="C25" s="63"/>
      <c r="D25" s="63"/>
      <c r="E25" s="64">
        <f>(O26+P26+Q26+R26)/(O27+P27+Q27+R27)</f>
        <v>0.5875</v>
      </c>
      <c r="F25" s="65"/>
      <c r="G25" s="133"/>
      <c r="H25" s="66"/>
      <c r="I25" s="67"/>
      <c r="J25" s="67"/>
      <c r="K25" s="68"/>
      <c r="L25" s="69"/>
      <c r="M25" s="63" t="s">
        <v>64</v>
      </c>
      <c r="N25" s="70"/>
      <c r="O25" s="71" t="s">
        <v>65</v>
      </c>
      <c r="P25" s="72"/>
      <c r="Q25" s="72"/>
      <c r="R25" s="70"/>
      <c r="S25" s="71" t="s">
        <v>66</v>
      </c>
      <c r="T25" s="70"/>
      <c r="U25" s="71" t="s">
        <v>67</v>
      </c>
      <c r="V25" s="70"/>
      <c r="W25" s="71" t="s">
        <v>68</v>
      </c>
      <c r="X25" s="70"/>
      <c r="Y25" s="134" t="s">
        <v>80</v>
      </c>
      <c r="Z25" s="74" t="s">
        <v>170</v>
      </c>
      <c r="AA25" s="75" t="s">
        <v>171</v>
      </c>
      <c r="AB25" s="75" t="s">
        <v>172</v>
      </c>
      <c r="AC25" s="167" t="s">
        <v>173</v>
      </c>
      <c r="AD25" s="74" t="s">
        <v>174</v>
      </c>
      <c r="AE25" s="63" t="s">
        <v>34</v>
      </c>
      <c r="AF25" s="78" t="s">
        <v>36</v>
      </c>
      <c r="AG25" s="79" t="s">
        <v>71</v>
      </c>
      <c r="AH25" s="79">
        <v>210.0</v>
      </c>
      <c r="AI25" s="79" t="s">
        <v>175</v>
      </c>
      <c r="AJ25" s="80" t="str">
        <f>AJ19</f>
        <v>開</v>
      </c>
      <c r="AK25" s="81" t="s">
        <v>48</v>
      </c>
      <c r="AL25" s="82" t="str">
        <f>AL19</f>
        <v>休</v>
      </c>
      <c r="AM25" s="81" t="s">
        <v>50</v>
      </c>
      <c r="AN25" s="82" t="s">
        <v>4</v>
      </c>
      <c r="AO25" s="81" t="s">
        <v>52</v>
      </c>
      <c r="AP25" s="82" t="str">
        <f>AP19</f>
        <v>傷</v>
      </c>
      <c r="AQ25" s="81" t="s">
        <v>38</v>
      </c>
      <c r="AR25" s="82" t="s">
        <v>8</v>
      </c>
      <c r="AS25" s="81" t="s">
        <v>40</v>
      </c>
      <c r="AT25" s="82" t="str">
        <f>AT19</f>
        <v>景</v>
      </c>
      <c r="AU25" s="81" t="s">
        <v>42</v>
      </c>
      <c r="AV25" s="82" t="str">
        <f>AV19</f>
        <v>死</v>
      </c>
      <c r="AW25" s="81" t="s">
        <v>44</v>
      </c>
      <c r="AX25" s="82" t="str">
        <f>AX19</f>
        <v>驚</v>
      </c>
      <c r="AY25" s="81" t="s">
        <v>46</v>
      </c>
      <c r="AZ25" s="83"/>
      <c r="BA25" s="84"/>
      <c r="BB25" s="84"/>
      <c r="BC25" s="84"/>
    </row>
    <row r="26">
      <c r="A26" s="85">
        <f>A20+1</f>
        <v>4</v>
      </c>
      <c r="B26" s="86"/>
      <c r="C26" s="12" t="s">
        <v>176</v>
      </c>
      <c r="E26" s="168" t="s">
        <v>79</v>
      </c>
      <c r="G26" s="324" t="str">
        <f t="shared" ref="G26:G27" si="25">G8:H8</f>
        <v>壬</v>
      </c>
      <c r="I26" s="275" t="str">
        <f t="shared" ref="I26:I27" si="26">I8:J8</f>
        <v>丙</v>
      </c>
      <c r="K26" s="90">
        <f>L26/L27</f>
        <v>0.61</v>
      </c>
      <c r="L26" s="126">
        <f t="shared" ref="L26:L27" si="27">O26+P26+Q26+U26+V26+W26+X26+R26+M26+N26+S26+T26</f>
        <v>610</v>
      </c>
      <c r="M26" s="92">
        <v>0.0</v>
      </c>
      <c r="N26" s="93">
        <v>0.0</v>
      </c>
      <c r="O26" s="92">
        <v>75.0</v>
      </c>
      <c r="P26" s="92">
        <v>60.0</v>
      </c>
      <c r="Q26" s="92">
        <v>20.0</v>
      </c>
      <c r="R26" s="93">
        <v>80.0</v>
      </c>
      <c r="S26" s="92">
        <v>20.0</v>
      </c>
      <c r="T26" s="93">
        <v>90.0</v>
      </c>
      <c r="U26" s="92">
        <f t="shared" ref="U26:X26" si="24">U8</f>
        <v>45</v>
      </c>
      <c r="V26" s="93">
        <f t="shared" si="24"/>
        <v>50</v>
      </c>
      <c r="W26" s="92">
        <f t="shared" si="24"/>
        <v>110</v>
      </c>
      <c r="X26" s="93">
        <f t="shared" si="24"/>
        <v>60</v>
      </c>
      <c r="Y26" s="73" t="s">
        <v>98</v>
      </c>
      <c r="Z26" s="94" t="s">
        <v>70</v>
      </c>
      <c r="AA26" s="36"/>
      <c r="AB26" s="169" t="s">
        <v>177</v>
      </c>
      <c r="AC26" s="170" t="s">
        <v>73</v>
      </c>
      <c r="AD26" s="94" t="s">
        <v>74</v>
      </c>
      <c r="AE26" s="37"/>
      <c r="AF26" s="97"/>
      <c r="AG26" s="12" t="s">
        <v>53</v>
      </c>
      <c r="AH26" s="12">
        <v>30.0</v>
      </c>
      <c r="AI26" s="12" t="s">
        <v>178</v>
      </c>
      <c r="AJ26" s="98" t="s">
        <v>51</v>
      </c>
      <c r="AK26" s="101" t="s">
        <v>95</v>
      </c>
      <c r="AL26" s="100" t="s">
        <v>86</v>
      </c>
      <c r="AM26" s="99" t="s">
        <v>87</v>
      </c>
      <c r="AN26" s="100" t="s">
        <v>88</v>
      </c>
      <c r="AO26" s="101" t="s">
        <v>89</v>
      </c>
      <c r="AP26" s="100" t="s">
        <v>45</v>
      </c>
      <c r="AQ26" s="102" t="s">
        <v>90</v>
      </c>
      <c r="AR26" s="100" t="s">
        <v>43</v>
      </c>
      <c r="AS26" s="101" t="s">
        <v>91</v>
      </c>
      <c r="AT26" s="100" t="s">
        <v>41</v>
      </c>
      <c r="AU26" s="103" t="s">
        <v>92</v>
      </c>
      <c r="AV26" s="100" t="s">
        <v>39</v>
      </c>
      <c r="AW26" s="99" t="s">
        <v>93</v>
      </c>
      <c r="AX26" s="100" t="s">
        <v>37</v>
      </c>
      <c r="AY26" s="99" t="s">
        <v>94</v>
      </c>
      <c r="AZ26" s="24"/>
    </row>
    <row r="27">
      <c r="A27" s="344" t="str">
        <f>A15</f>
        <v>พฤษภาคม</v>
      </c>
      <c r="B27" s="86"/>
      <c r="C27" s="175" t="s">
        <v>223</v>
      </c>
      <c r="E27" s="171" t="s">
        <v>180</v>
      </c>
      <c r="G27" s="180" t="str">
        <f t="shared" si="25"/>
        <v>辰</v>
      </c>
      <c r="I27" s="142" t="str">
        <f t="shared" si="26"/>
        <v>午</v>
      </c>
      <c r="K27" s="36"/>
      <c r="L27" s="109">
        <f t="shared" si="27"/>
        <v>1000</v>
      </c>
      <c r="M27" s="9">
        <v>0.0</v>
      </c>
      <c r="N27" s="110">
        <v>0.0</v>
      </c>
      <c r="O27" s="9">
        <v>100.0</v>
      </c>
      <c r="P27" s="9">
        <v>100.0</v>
      </c>
      <c r="Q27" s="9">
        <v>100.0</v>
      </c>
      <c r="R27" s="110">
        <v>100.0</v>
      </c>
      <c r="S27" s="9">
        <v>100.0</v>
      </c>
      <c r="T27" s="110">
        <v>100.0</v>
      </c>
      <c r="U27" s="9">
        <v>100.0</v>
      </c>
      <c r="V27" s="110">
        <v>100.0</v>
      </c>
      <c r="W27" s="9">
        <v>100.0</v>
      </c>
      <c r="X27" s="110">
        <v>100.0</v>
      </c>
      <c r="Y27" s="73" t="s">
        <v>116</v>
      </c>
      <c r="Z27" s="94" t="s">
        <v>181</v>
      </c>
      <c r="AA27" s="36"/>
      <c r="AB27" s="36"/>
      <c r="AC27" s="111"/>
      <c r="AD27" s="112"/>
      <c r="AE27" s="37"/>
      <c r="AF27" s="97"/>
      <c r="AG27" s="14"/>
      <c r="AH27" s="14"/>
      <c r="AI27" s="14"/>
      <c r="AJ27" s="113"/>
      <c r="AK27" s="105" t="s">
        <v>107</v>
      </c>
      <c r="AM27" s="104" t="s">
        <v>100</v>
      </c>
      <c r="AO27" s="114" t="s">
        <v>101</v>
      </c>
      <c r="AQ27" s="105" t="s">
        <v>102</v>
      </c>
      <c r="AS27" s="105" t="s">
        <v>103</v>
      </c>
      <c r="AU27" s="104" t="s">
        <v>104</v>
      </c>
      <c r="AW27" s="104" t="s">
        <v>105</v>
      </c>
      <c r="AY27" s="104" t="s">
        <v>106</v>
      </c>
      <c r="AZ27" s="24"/>
    </row>
    <row r="28">
      <c r="A28" s="85">
        <f>A10</f>
        <v>2569</v>
      </c>
      <c r="B28" s="86"/>
      <c r="E28" s="345" t="s">
        <v>182</v>
      </c>
      <c r="F28" s="349" t="s">
        <v>214</v>
      </c>
      <c r="G28" s="115" t="str">
        <f t="shared" ref="G28:J28" si="28">G10</f>
        <v>A10</v>
      </c>
      <c r="H28" s="9" t="str">
        <f t="shared" si="28"/>
        <v>B8</v>
      </c>
      <c r="I28" s="9" t="str">
        <f t="shared" si="28"/>
        <v>A5</v>
      </c>
      <c r="J28" s="9" t="str">
        <f t="shared" si="28"/>
        <v>B11</v>
      </c>
      <c r="K28" s="36"/>
      <c r="L28" s="117"/>
      <c r="M28" s="118" t="str">
        <f t="shared" ref="M28:P28" si="29">C28</f>
        <v/>
      </c>
      <c r="N28" s="119" t="str">
        <f t="shared" si="29"/>
        <v/>
      </c>
      <c r="O28" s="118" t="str">
        <f t="shared" si="29"/>
        <v>A1</v>
      </c>
      <c r="P28" s="118" t="str">
        <f t="shared" si="29"/>
        <v>B11</v>
      </c>
      <c r="Q28" s="118" t="str">
        <f t="shared" ref="Q28:R28" si="30">E29</f>
        <v>B3</v>
      </c>
      <c r="R28" s="119" t="str">
        <f t="shared" si="30"/>
        <v>C11</v>
      </c>
      <c r="S28" s="9" t="s">
        <v>115</v>
      </c>
      <c r="T28" s="110" t="s">
        <v>219</v>
      </c>
      <c r="U28" s="9" t="str">
        <f t="shared" ref="U28:V28" si="31">U10</f>
        <v>A9</v>
      </c>
      <c r="V28" s="119" t="str">
        <f t="shared" si="31"/>
        <v>B9</v>
      </c>
      <c r="W28" s="118" t="str">
        <f t="shared" ref="W28:X28" si="32">I28</f>
        <v>A5</v>
      </c>
      <c r="X28" s="120" t="str">
        <f t="shared" si="32"/>
        <v>B11</v>
      </c>
      <c r="Y28" s="73" t="s">
        <v>126</v>
      </c>
      <c r="Z28" s="94" t="s">
        <v>163</v>
      </c>
      <c r="AA28" s="36"/>
      <c r="AB28" s="36"/>
      <c r="AC28" s="111"/>
      <c r="AD28" s="112"/>
      <c r="AE28" s="37"/>
      <c r="AF28" s="97"/>
      <c r="AG28" s="14"/>
      <c r="AH28" s="14"/>
      <c r="AI28" s="14"/>
      <c r="AJ28" s="113"/>
      <c r="AK28" s="105" t="s">
        <v>125</v>
      </c>
      <c r="AM28" s="104" t="s">
        <v>118</v>
      </c>
      <c r="AO28" s="114" t="s">
        <v>119</v>
      </c>
      <c r="AQ28" s="105" t="s">
        <v>120</v>
      </c>
      <c r="AS28" s="105" t="s">
        <v>121</v>
      </c>
      <c r="AU28" s="104" t="s">
        <v>122</v>
      </c>
      <c r="AW28" s="104" t="s">
        <v>123</v>
      </c>
      <c r="AY28" s="104" t="s">
        <v>124</v>
      </c>
      <c r="AZ28" s="24"/>
    </row>
    <row r="29">
      <c r="A29" s="85">
        <f>A28-543</f>
        <v>2026</v>
      </c>
      <c r="B29" s="86"/>
      <c r="E29" s="115" t="s">
        <v>183</v>
      </c>
      <c r="F29" s="348" t="s">
        <v>236</v>
      </c>
      <c r="G29" s="115"/>
      <c r="H29" s="118"/>
      <c r="I29" s="118"/>
      <c r="J29" s="118"/>
      <c r="K29" s="36"/>
      <c r="L29" s="117"/>
      <c r="M29" s="8"/>
      <c r="N29" s="121"/>
      <c r="O29" s="8"/>
      <c r="P29" s="8"/>
      <c r="Q29" s="8"/>
      <c r="R29" s="121"/>
      <c r="S29" s="8"/>
      <c r="T29" s="121"/>
      <c r="U29" s="9"/>
      <c r="V29" s="110"/>
      <c r="W29" s="9"/>
      <c r="X29" s="110"/>
      <c r="Y29" s="73" t="s">
        <v>69</v>
      </c>
      <c r="Z29" s="94" t="s">
        <v>99</v>
      </c>
      <c r="AA29" s="36"/>
      <c r="AB29" s="36"/>
      <c r="AC29" s="111"/>
      <c r="AD29" s="112"/>
      <c r="AE29" s="37"/>
      <c r="AF29" s="97"/>
      <c r="AG29" s="14"/>
      <c r="AH29" s="14"/>
      <c r="AI29" s="14"/>
      <c r="AJ29" s="113"/>
      <c r="AK29" s="105" t="s">
        <v>136</v>
      </c>
      <c r="AM29" s="104" t="s">
        <v>129</v>
      </c>
      <c r="AO29" s="114" t="s">
        <v>130</v>
      </c>
      <c r="AQ29" s="105" t="s">
        <v>131</v>
      </c>
      <c r="AS29" s="105" t="s">
        <v>132</v>
      </c>
      <c r="AU29" s="104" t="s">
        <v>133</v>
      </c>
      <c r="AW29" s="104" t="s">
        <v>134</v>
      </c>
      <c r="AY29" s="104" t="s">
        <v>135</v>
      </c>
      <c r="AZ29" s="24"/>
    </row>
    <row r="30">
      <c r="A30" s="352" t="s">
        <v>337</v>
      </c>
      <c r="B30" s="2"/>
      <c r="C30" s="1"/>
      <c r="D30" s="123"/>
      <c r="E30" s="164"/>
      <c r="F30" s="282"/>
      <c r="G30" s="353"/>
      <c r="H30" s="354"/>
      <c r="I30" s="355"/>
      <c r="J30" s="355"/>
      <c r="K30" s="90"/>
      <c r="L30" s="126"/>
      <c r="M30" s="8"/>
      <c r="N30" s="121"/>
      <c r="O30" s="8"/>
      <c r="P30" s="8"/>
      <c r="Q30" s="8"/>
      <c r="R30" s="121"/>
      <c r="S30" s="8"/>
      <c r="T30" s="121"/>
      <c r="U30" s="9"/>
      <c r="V30" s="110"/>
      <c r="W30" s="9"/>
      <c r="X30" s="110"/>
      <c r="Y30" s="127"/>
      <c r="Z30" s="155"/>
      <c r="AA30" s="36"/>
      <c r="AB30" s="36"/>
      <c r="AC30" s="111"/>
      <c r="AD30" s="112"/>
      <c r="AE30" s="37"/>
      <c r="AF30" s="97"/>
      <c r="AG30" s="14"/>
      <c r="AH30" s="14"/>
      <c r="AI30" s="14"/>
      <c r="AJ30" s="113"/>
      <c r="AY30" s="128"/>
      <c r="AZ30" s="24"/>
    </row>
    <row r="31">
      <c r="A31" s="356" t="s">
        <v>324</v>
      </c>
      <c r="B31" s="144"/>
      <c r="C31" s="1"/>
      <c r="D31" s="123"/>
      <c r="E31" s="164" t="s">
        <v>185</v>
      </c>
      <c r="F31" s="88"/>
      <c r="G31" s="173" t="str">
        <f>G12:H12</f>
        <v>อสูรเดือน S</v>
      </c>
      <c r="H31" s="147"/>
      <c r="I31" s="174" t="str">
        <f>I12:J12</f>
        <v>อสูรปี N</v>
      </c>
      <c r="J31" s="147"/>
      <c r="K31" s="149"/>
      <c r="L31" s="150"/>
      <c r="M31" s="151"/>
      <c r="N31" s="152"/>
      <c r="O31" s="151"/>
      <c r="P31" s="151"/>
      <c r="Q31" s="151"/>
      <c r="R31" s="152"/>
      <c r="S31" s="151"/>
      <c r="T31" s="152"/>
      <c r="U31" s="153"/>
      <c r="V31" s="154"/>
      <c r="W31" s="153"/>
      <c r="X31" s="154"/>
      <c r="Y31" s="127"/>
      <c r="Z31" s="155"/>
      <c r="AA31" s="36"/>
      <c r="AB31" s="36"/>
      <c r="AC31" s="111"/>
      <c r="AD31" s="112"/>
      <c r="AE31" s="37"/>
      <c r="AF31" s="97"/>
      <c r="AG31" s="14"/>
      <c r="AH31" s="14"/>
      <c r="AI31" s="14"/>
      <c r="AJ31" s="113"/>
      <c r="AY31" s="128"/>
      <c r="AZ31" s="24"/>
    </row>
    <row r="32">
      <c r="A32" s="188" t="s">
        <v>191</v>
      </c>
      <c r="B32" s="83"/>
      <c r="C32" s="63"/>
      <c r="D32" s="63"/>
      <c r="E32" s="64">
        <f>(O33+P33+Q33+R33)/(O34+P34+Q34+R34)</f>
        <v>0.3375</v>
      </c>
      <c r="F32" s="65"/>
      <c r="G32" s="66"/>
      <c r="H32" s="66"/>
      <c r="I32" s="67"/>
      <c r="J32" s="67"/>
      <c r="K32" s="177"/>
      <c r="L32" s="178"/>
      <c r="M32" s="63" t="s">
        <v>64</v>
      </c>
      <c r="N32" s="70"/>
      <c r="O32" s="71" t="s">
        <v>65</v>
      </c>
      <c r="P32" s="72"/>
      <c r="Q32" s="72"/>
      <c r="R32" s="70"/>
      <c r="S32" s="71" t="s">
        <v>66</v>
      </c>
      <c r="T32" s="70"/>
      <c r="U32" s="71" t="s">
        <v>67</v>
      </c>
      <c r="V32" s="70"/>
      <c r="W32" s="71" t="s">
        <v>68</v>
      </c>
      <c r="X32" s="70"/>
      <c r="Y32" s="134" t="s">
        <v>80</v>
      </c>
      <c r="Z32" s="74" t="s">
        <v>159</v>
      </c>
      <c r="AA32" s="75" t="s">
        <v>171</v>
      </c>
      <c r="AB32" s="75" t="s">
        <v>172</v>
      </c>
      <c r="AC32" s="167" t="s">
        <v>173</v>
      </c>
      <c r="AD32" s="74" t="s">
        <v>174</v>
      </c>
      <c r="AE32" s="63" t="s">
        <v>34</v>
      </c>
      <c r="AF32" s="78" t="s">
        <v>75</v>
      </c>
      <c r="AG32" s="79" t="s">
        <v>84</v>
      </c>
      <c r="AH32" s="79">
        <v>0.0</v>
      </c>
      <c r="AI32" s="79" t="s">
        <v>85</v>
      </c>
      <c r="AJ32" s="80" t="str">
        <f>AJ25</f>
        <v>開</v>
      </c>
      <c r="AK32" s="81" t="s">
        <v>50</v>
      </c>
      <c r="AL32" s="82" t="str">
        <f>AL25</f>
        <v>休</v>
      </c>
      <c r="AM32" s="81" t="s">
        <v>52</v>
      </c>
      <c r="AN32" s="82" t="s">
        <v>4</v>
      </c>
      <c r="AO32" s="81" t="s">
        <v>38</v>
      </c>
      <c r="AP32" s="82" t="str">
        <f>AP25</f>
        <v>傷</v>
      </c>
      <c r="AQ32" s="81" t="s">
        <v>40</v>
      </c>
      <c r="AR32" s="82" t="s">
        <v>8</v>
      </c>
      <c r="AS32" s="81" t="s">
        <v>42</v>
      </c>
      <c r="AT32" s="82" t="str">
        <f>AT25</f>
        <v>景</v>
      </c>
      <c r="AU32" s="81" t="s">
        <v>44</v>
      </c>
      <c r="AV32" s="82" t="str">
        <f>AV25</f>
        <v>死</v>
      </c>
      <c r="AW32" s="81" t="s">
        <v>46</v>
      </c>
      <c r="AX32" s="82" t="str">
        <f>AX25</f>
        <v>驚</v>
      </c>
      <c r="AY32" s="81" t="s">
        <v>48</v>
      </c>
      <c r="AZ32" s="83"/>
      <c r="BA32" s="84"/>
      <c r="BB32" s="84"/>
      <c r="BC32" s="84"/>
    </row>
    <row r="33">
      <c r="A33" s="179">
        <f>A26+1</f>
        <v>5</v>
      </c>
      <c r="B33" s="86"/>
      <c r="C33" s="12" t="s">
        <v>187</v>
      </c>
      <c r="E33" s="168" t="s">
        <v>30</v>
      </c>
      <c r="F33" s="88"/>
      <c r="G33" s="324" t="str">
        <f t="shared" ref="G33:G34" si="34">G8:H8</f>
        <v>壬</v>
      </c>
      <c r="I33" s="268" t="str">
        <f t="shared" ref="I33:I34" si="35">I8:J8</f>
        <v>丙</v>
      </c>
      <c r="K33" s="90">
        <f>L33/L34</f>
        <v>0.44</v>
      </c>
      <c r="L33" s="126">
        <f t="shared" ref="L33:L34" si="36">O33+P33+Q33+U33+V33+W33+X33+R33+M33+N33+S33+T33</f>
        <v>440</v>
      </c>
      <c r="M33" s="92">
        <v>0.0</v>
      </c>
      <c r="N33" s="93">
        <v>0.0</v>
      </c>
      <c r="O33" s="92">
        <v>15.0</v>
      </c>
      <c r="P33" s="92">
        <v>10.0</v>
      </c>
      <c r="Q33" s="92">
        <v>80.0</v>
      </c>
      <c r="R33" s="93">
        <v>30.0</v>
      </c>
      <c r="S33" s="92">
        <v>10.0</v>
      </c>
      <c r="T33" s="93">
        <v>30.0</v>
      </c>
      <c r="U33" s="92">
        <f t="shared" ref="U33:V33" si="33">U8</f>
        <v>45</v>
      </c>
      <c r="V33" s="93">
        <f t="shared" si="33"/>
        <v>50</v>
      </c>
      <c r="W33" s="92">
        <v>110.0</v>
      </c>
      <c r="X33" s="93">
        <v>60.0</v>
      </c>
      <c r="Y33" s="73" t="s">
        <v>98</v>
      </c>
      <c r="Z33" s="94" t="s">
        <v>152</v>
      </c>
      <c r="AA33" s="36"/>
      <c r="AB33" s="169" t="s">
        <v>177</v>
      </c>
      <c r="AC33" s="170" t="s">
        <v>73</v>
      </c>
      <c r="AD33" s="94" t="s">
        <v>74</v>
      </c>
      <c r="AE33" s="37"/>
      <c r="AF33" s="97"/>
      <c r="AG33" s="12" t="s">
        <v>76</v>
      </c>
      <c r="AH33" s="12">
        <v>240.0</v>
      </c>
      <c r="AI33" s="12" t="s">
        <v>77</v>
      </c>
      <c r="AJ33" s="98" t="s">
        <v>51</v>
      </c>
      <c r="AK33" s="101" t="s">
        <v>95</v>
      </c>
      <c r="AL33" s="100" t="s">
        <v>86</v>
      </c>
      <c r="AM33" s="99" t="s">
        <v>87</v>
      </c>
      <c r="AN33" s="100" t="s">
        <v>88</v>
      </c>
      <c r="AO33" s="101" t="s">
        <v>89</v>
      </c>
      <c r="AP33" s="100" t="s">
        <v>45</v>
      </c>
      <c r="AQ33" s="102" t="s">
        <v>90</v>
      </c>
      <c r="AR33" s="100" t="s">
        <v>43</v>
      </c>
      <c r="AS33" s="101" t="s">
        <v>91</v>
      </c>
      <c r="AT33" s="100" t="s">
        <v>41</v>
      </c>
      <c r="AU33" s="103" t="s">
        <v>92</v>
      </c>
      <c r="AV33" s="100" t="s">
        <v>39</v>
      </c>
      <c r="AW33" s="99" t="s">
        <v>93</v>
      </c>
      <c r="AX33" s="100" t="s">
        <v>37</v>
      </c>
      <c r="AY33" s="99" t="s">
        <v>94</v>
      </c>
      <c r="AZ33" s="24"/>
    </row>
    <row r="34">
      <c r="A34" s="344" t="str">
        <f>A27</f>
        <v>พฤษภาคม</v>
      </c>
      <c r="B34" s="86"/>
      <c r="C34" s="212" t="s">
        <v>228</v>
      </c>
      <c r="E34" s="171" t="s">
        <v>189</v>
      </c>
      <c r="F34" s="88"/>
      <c r="G34" s="180" t="str">
        <f t="shared" si="34"/>
        <v>辰</v>
      </c>
      <c r="I34" s="35" t="str">
        <f t="shared" si="35"/>
        <v>午</v>
      </c>
      <c r="K34" s="36"/>
      <c r="L34" s="109">
        <f t="shared" si="36"/>
        <v>1000</v>
      </c>
      <c r="M34" s="9">
        <v>0.0</v>
      </c>
      <c r="N34" s="110">
        <v>0.0</v>
      </c>
      <c r="O34" s="9">
        <v>100.0</v>
      </c>
      <c r="P34" s="9">
        <v>100.0</v>
      </c>
      <c r="Q34" s="9">
        <v>100.0</v>
      </c>
      <c r="R34" s="110">
        <v>100.0</v>
      </c>
      <c r="S34" s="9">
        <v>100.0</v>
      </c>
      <c r="T34" s="110">
        <v>100.0</v>
      </c>
      <c r="U34" s="9">
        <v>100.0</v>
      </c>
      <c r="V34" s="110">
        <v>100.0</v>
      </c>
      <c r="W34" s="9">
        <v>100.0</v>
      </c>
      <c r="X34" s="110">
        <v>100.0</v>
      </c>
      <c r="Y34" s="73" t="s">
        <v>116</v>
      </c>
      <c r="Z34" s="94" t="s">
        <v>81</v>
      </c>
      <c r="AA34" s="36"/>
      <c r="AB34" s="36"/>
      <c r="AC34" s="111"/>
      <c r="AD34" s="112"/>
      <c r="AE34" s="37"/>
      <c r="AF34" s="97"/>
      <c r="AG34" s="14"/>
      <c r="AH34" s="14"/>
      <c r="AI34" s="14"/>
      <c r="AJ34" s="113"/>
      <c r="AK34" s="105" t="s">
        <v>107</v>
      </c>
      <c r="AM34" s="104" t="s">
        <v>100</v>
      </c>
      <c r="AO34" s="114" t="s">
        <v>101</v>
      </c>
      <c r="AQ34" s="105" t="s">
        <v>102</v>
      </c>
      <c r="AS34" s="105" t="s">
        <v>103</v>
      </c>
      <c r="AU34" s="104" t="s">
        <v>104</v>
      </c>
      <c r="AW34" s="104" t="s">
        <v>105</v>
      </c>
      <c r="AY34" s="104" t="s">
        <v>106</v>
      </c>
      <c r="AZ34" s="24"/>
    </row>
    <row r="35">
      <c r="A35" s="85">
        <f>A10</f>
        <v>2569</v>
      </c>
      <c r="B35" s="86"/>
      <c r="E35" s="345" t="s">
        <v>115</v>
      </c>
      <c r="F35" s="349" t="s">
        <v>113</v>
      </c>
      <c r="G35" s="9" t="str">
        <f t="shared" ref="G35:H35" si="37">G10</f>
        <v>A10</v>
      </c>
      <c r="H35" s="9" t="str">
        <f t="shared" si="37"/>
        <v>B8</v>
      </c>
      <c r="I35" s="9" t="s">
        <v>204</v>
      </c>
      <c r="J35" s="9" t="s">
        <v>214</v>
      </c>
      <c r="K35" s="36"/>
      <c r="L35" s="117"/>
      <c r="M35" s="118" t="str">
        <f t="shared" ref="M35:P35" si="38">C35</f>
        <v/>
      </c>
      <c r="N35" s="119" t="str">
        <f t="shared" si="38"/>
        <v/>
      </c>
      <c r="O35" s="118" t="str">
        <f t="shared" si="38"/>
        <v>A7</v>
      </c>
      <c r="P35" s="118" t="str">
        <f t="shared" si="38"/>
        <v>B12</v>
      </c>
      <c r="Q35" s="118" t="str">
        <f t="shared" ref="Q35:R35" si="39">E36</f>
        <v>B2</v>
      </c>
      <c r="R35" s="119" t="str">
        <f t="shared" si="39"/>
        <v>C12</v>
      </c>
      <c r="S35" s="9" t="s">
        <v>108</v>
      </c>
      <c r="T35" s="110" t="s">
        <v>198</v>
      </c>
      <c r="U35" s="9" t="str">
        <f t="shared" ref="U35:V35" si="40">U10</f>
        <v>A9</v>
      </c>
      <c r="V35" s="110" t="str">
        <f t="shared" si="40"/>
        <v>B9</v>
      </c>
      <c r="W35" s="118" t="str">
        <f t="shared" ref="W35:X35" si="41">I35</f>
        <v>A5</v>
      </c>
      <c r="X35" s="120" t="str">
        <f t="shared" si="41"/>
        <v>B11</v>
      </c>
      <c r="Y35" s="73" t="s">
        <v>126</v>
      </c>
      <c r="Z35" s="94" t="s">
        <v>99</v>
      </c>
      <c r="AA35" s="36"/>
      <c r="AB35" s="36"/>
      <c r="AC35" s="111"/>
      <c r="AD35" s="112"/>
      <c r="AE35" s="37"/>
      <c r="AF35" s="97"/>
      <c r="AG35" s="14"/>
      <c r="AH35" s="14"/>
      <c r="AI35" s="14"/>
      <c r="AJ35" s="113"/>
      <c r="AK35" s="105" t="s">
        <v>125</v>
      </c>
      <c r="AM35" s="104" t="s">
        <v>118</v>
      </c>
      <c r="AO35" s="114" t="s">
        <v>119</v>
      </c>
      <c r="AQ35" s="105" t="s">
        <v>120</v>
      </c>
      <c r="AS35" s="105" t="s">
        <v>121</v>
      </c>
      <c r="AU35" s="104" t="s">
        <v>122</v>
      </c>
      <c r="AW35" s="104" t="s">
        <v>123</v>
      </c>
      <c r="AY35" s="104" t="s">
        <v>124</v>
      </c>
      <c r="AZ35" s="24"/>
    </row>
    <row r="36">
      <c r="A36" s="85">
        <f>A35-543</f>
        <v>2026</v>
      </c>
      <c r="B36" s="86"/>
      <c r="C36" s="181"/>
      <c r="E36" s="115" t="s">
        <v>98</v>
      </c>
      <c r="F36" s="348" t="s">
        <v>127</v>
      </c>
      <c r="G36" s="9"/>
      <c r="H36" s="118"/>
      <c r="I36" s="118"/>
      <c r="J36" s="118"/>
      <c r="K36" s="182"/>
      <c r="L36" s="183"/>
      <c r="M36" s="8"/>
      <c r="N36" s="121"/>
      <c r="O36" s="8"/>
      <c r="P36" s="8"/>
      <c r="Q36" s="8"/>
      <c r="R36" s="121"/>
      <c r="S36" s="8"/>
      <c r="T36" s="121"/>
      <c r="U36" s="9"/>
      <c r="V36" s="110"/>
      <c r="W36" s="9"/>
      <c r="X36" s="110"/>
      <c r="Y36" s="73" t="s">
        <v>69</v>
      </c>
      <c r="Z36" s="94" t="s">
        <v>155</v>
      </c>
      <c r="AA36" s="36"/>
      <c r="AB36" s="36"/>
      <c r="AC36" s="111"/>
      <c r="AD36" s="112"/>
      <c r="AE36" s="37"/>
      <c r="AF36" s="97"/>
      <c r="AG36" s="14"/>
      <c r="AH36" s="14"/>
      <c r="AI36" s="14"/>
      <c r="AJ36" s="113"/>
      <c r="AK36" s="105" t="s">
        <v>136</v>
      </c>
      <c r="AM36" s="104" t="s">
        <v>129</v>
      </c>
      <c r="AO36" s="114" t="s">
        <v>130</v>
      </c>
      <c r="AQ36" s="105" t="s">
        <v>131</v>
      </c>
      <c r="AS36" s="105" t="s">
        <v>132</v>
      </c>
      <c r="AU36" s="104" t="s">
        <v>133</v>
      </c>
      <c r="AW36" s="104" t="s">
        <v>134</v>
      </c>
      <c r="AY36" s="104" t="s">
        <v>135</v>
      </c>
      <c r="AZ36" s="24"/>
    </row>
    <row r="37">
      <c r="A37" s="357"/>
      <c r="B37" s="2"/>
      <c r="C37" s="185"/>
      <c r="D37" s="186"/>
      <c r="E37" s="176" t="s">
        <v>137</v>
      </c>
      <c r="F37" s="88"/>
      <c r="G37" s="39" t="str">
        <f>G24</f>
        <v>อสูรเดือน S</v>
      </c>
      <c r="I37" s="166" t="str">
        <f>I12:J12</f>
        <v>อสูรปี N</v>
      </c>
      <c r="K37" s="90"/>
      <c r="L37" s="126"/>
      <c r="M37" s="8"/>
      <c r="N37" s="121"/>
      <c r="O37" s="8"/>
      <c r="P37" s="8"/>
      <c r="Q37" s="8"/>
      <c r="R37" s="121"/>
      <c r="S37" s="8"/>
      <c r="T37" s="121"/>
      <c r="U37" s="9"/>
      <c r="V37" s="110"/>
      <c r="W37" s="9"/>
      <c r="X37" s="110"/>
      <c r="Y37" s="127"/>
      <c r="Z37" s="155"/>
      <c r="AA37" s="36"/>
      <c r="AB37" s="36"/>
      <c r="AC37" s="111"/>
      <c r="AD37" s="112"/>
      <c r="AE37" s="37"/>
      <c r="AF37" s="97"/>
      <c r="AG37" s="14"/>
      <c r="AH37" s="14"/>
      <c r="AI37" s="14"/>
      <c r="AJ37" s="113"/>
      <c r="AY37" s="128"/>
      <c r="AZ37" s="24"/>
    </row>
    <row r="38">
      <c r="A38" s="188" t="s">
        <v>191</v>
      </c>
      <c r="B38" s="83"/>
      <c r="C38" s="63"/>
      <c r="D38" s="63"/>
      <c r="E38" s="64">
        <f>(O39+P39+Q39+R39)/(O40+P40+Q40+R40)</f>
        <v>0.5375</v>
      </c>
      <c r="F38" s="65"/>
      <c r="G38" s="66"/>
      <c r="H38" s="66"/>
      <c r="I38" s="67"/>
      <c r="J38" s="67"/>
      <c r="K38" s="177"/>
      <c r="L38" s="178"/>
      <c r="M38" s="63" t="s">
        <v>64</v>
      </c>
      <c r="N38" s="70"/>
      <c r="O38" s="71" t="s">
        <v>65</v>
      </c>
      <c r="P38" s="72"/>
      <c r="Q38" s="72"/>
      <c r="R38" s="70"/>
      <c r="S38" s="71" t="s">
        <v>66</v>
      </c>
      <c r="T38" s="70"/>
      <c r="U38" s="71" t="s">
        <v>67</v>
      </c>
      <c r="V38" s="70"/>
      <c r="W38" s="71" t="s">
        <v>68</v>
      </c>
      <c r="X38" s="70"/>
      <c r="Y38" s="134" t="s">
        <v>80</v>
      </c>
      <c r="Z38" s="74" t="s">
        <v>159</v>
      </c>
      <c r="AA38" s="75" t="s">
        <v>171</v>
      </c>
      <c r="AB38" s="75" t="s">
        <v>172</v>
      </c>
      <c r="AC38" s="167" t="s">
        <v>173</v>
      </c>
      <c r="AD38" s="74" t="s">
        <v>174</v>
      </c>
      <c r="AE38" s="63" t="s">
        <v>34</v>
      </c>
      <c r="AF38" s="78" t="s">
        <v>75</v>
      </c>
      <c r="AG38" s="79" t="s">
        <v>84</v>
      </c>
      <c r="AH38" s="79">
        <v>0.0</v>
      </c>
      <c r="AI38" s="79" t="s">
        <v>85</v>
      </c>
      <c r="AJ38" s="80" t="str">
        <f>AJ32</f>
        <v>開</v>
      </c>
      <c r="AK38" s="81" t="s">
        <v>50</v>
      </c>
      <c r="AL38" s="82" t="str">
        <f>AL32</f>
        <v>休</v>
      </c>
      <c r="AM38" s="81" t="s">
        <v>52</v>
      </c>
      <c r="AN38" s="82" t="s">
        <v>4</v>
      </c>
      <c r="AO38" s="81" t="s">
        <v>38</v>
      </c>
      <c r="AP38" s="82" t="str">
        <f>AP32</f>
        <v>傷</v>
      </c>
      <c r="AQ38" s="81" t="s">
        <v>40</v>
      </c>
      <c r="AR38" s="82" t="s">
        <v>8</v>
      </c>
      <c r="AS38" s="81" t="s">
        <v>42</v>
      </c>
      <c r="AT38" s="82" t="str">
        <f>AT32</f>
        <v>景</v>
      </c>
      <c r="AU38" s="81" t="s">
        <v>44</v>
      </c>
      <c r="AV38" s="82" t="str">
        <f>AV32</f>
        <v>死</v>
      </c>
      <c r="AW38" s="81" t="s">
        <v>46</v>
      </c>
      <c r="AX38" s="82" t="str">
        <f>AX32</f>
        <v>驚</v>
      </c>
      <c r="AY38" s="81" t="s">
        <v>48</v>
      </c>
      <c r="AZ38" s="83"/>
      <c r="BA38" s="84"/>
      <c r="BB38" s="84"/>
      <c r="BC38" s="84"/>
    </row>
    <row r="39">
      <c r="A39" s="179">
        <f t="shared" ref="A39:A40" si="42">A33</f>
        <v>5</v>
      </c>
      <c r="B39" s="86"/>
      <c r="C39" s="12" t="s">
        <v>187</v>
      </c>
      <c r="E39" s="168" t="s">
        <v>30</v>
      </c>
      <c r="F39" s="88"/>
      <c r="G39" s="324" t="str">
        <f t="shared" ref="G39:G40" si="43">G3:H3</f>
        <v>癸</v>
      </c>
      <c r="I39" s="268" t="str">
        <f t="shared" ref="I39:I40" si="44">I3:J3</f>
        <v>丙</v>
      </c>
      <c r="K39" s="90">
        <f>L39/L40</f>
        <v>0.68</v>
      </c>
      <c r="L39" s="126">
        <f t="shared" ref="L39:L40" si="45">O39+P39+Q39+U39+V39+W39+X39+R39+M39+N39+S39+T39</f>
        <v>680</v>
      </c>
      <c r="M39" s="92">
        <v>0.0</v>
      </c>
      <c r="N39" s="93">
        <v>0.0</v>
      </c>
      <c r="O39" s="92">
        <v>15.0</v>
      </c>
      <c r="P39" s="92">
        <v>40.0</v>
      </c>
      <c r="Q39" s="92">
        <v>80.0</v>
      </c>
      <c r="R39" s="93">
        <v>80.0</v>
      </c>
      <c r="S39" s="92">
        <v>80.0</v>
      </c>
      <c r="T39" s="93">
        <v>110.0</v>
      </c>
      <c r="U39" s="92">
        <v>65.0</v>
      </c>
      <c r="V39" s="93">
        <v>40.0</v>
      </c>
      <c r="W39" s="92">
        <v>110.0</v>
      </c>
      <c r="X39" s="93">
        <v>60.0</v>
      </c>
      <c r="Y39" s="73" t="s">
        <v>98</v>
      </c>
      <c r="Z39" s="94" t="s">
        <v>152</v>
      </c>
      <c r="AA39" s="36"/>
      <c r="AB39" s="169" t="s">
        <v>177</v>
      </c>
      <c r="AC39" s="170" t="s">
        <v>73</v>
      </c>
      <c r="AD39" s="94" t="s">
        <v>74</v>
      </c>
      <c r="AE39" s="37"/>
      <c r="AF39" s="97"/>
      <c r="AG39" s="12" t="s">
        <v>76</v>
      </c>
      <c r="AH39" s="12">
        <v>240.0</v>
      </c>
      <c r="AI39" s="12" t="s">
        <v>77</v>
      </c>
      <c r="AJ39" s="98" t="s">
        <v>51</v>
      </c>
      <c r="AK39" s="101" t="s">
        <v>95</v>
      </c>
      <c r="AL39" s="100" t="s">
        <v>86</v>
      </c>
      <c r="AM39" s="99" t="s">
        <v>87</v>
      </c>
      <c r="AN39" s="100" t="s">
        <v>88</v>
      </c>
      <c r="AO39" s="101" t="s">
        <v>89</v>
      </c>
      <c r="AP39" s="100" t="s">
        <v>45</v>
      </c>
      <c r="AQ39" s="102" t="s">
        <v>90</v>
      </c>
      <c r="AR39" s="100" t="s">
        <v>43</v>
      </c>
      <c r="AS39" s="101" t="s">
        <v>91</v>
      </c>
      <c r="AT39" s="100" t="s">
        <v>41</v>
      </c>
      <c r="AU39" s="103" t="s">
        <v>92</v>
      </c>
      <c r="AV39" s="100" t="s">
        <v>39</v>
      </c>
      <c r="AW39" s="99" t="s">
        <v>93</v>
      </c>
      <c r="AX39" s="100" t="s">
        <v>37</v>
      </c>
      <c r="AY39" s="99" t="s">
        <v>94</v>
      </c>
      <c r="AZ39" s="24"/>
    </row>
    <row r="40">
      <c r="A40" s="344" t="str">
        <f t="shared" si="42"/>
        <v>พฤษภาคม</v>
      </c>
      <c r="B40" s="86"/>
      <c r="C40" s="161" t="s">
        <v>217</v>
      </c>
      <c r="E40" s="171" t="s">
        <v>189</v>
      </c>
      <c r="F40" s="88"/>
      <c r="G40" s="223" t="str">
        <f t="shared" si="43"/>
        <v>巳</v>
      </c>
      <c r="I40" s="35" t="str">
        <f t="shared" si="44"/>
        <v>午</v>
      </c>
      <c r="K40" s="36"/>
      <c r="L40" s="109">
        <f t="shared" si="45"/>
        <v>1000</v>
      </c>
      <c r="M40" s="9">
        <v>0.0</v>
      </c>
      <c r="N40" s="110">
        <v>0.0</v>
      </c>
      <c r="O40" s="9">
        <v>100.0</v>
      </c>
      <c r="P40" s="9">
        <v>100.0</v>
      </c>
      <c r="Q40" s="9">
        <v>100.0</v>
      </c>
      <c r="R40" s="110">
        <v>100.0</v>
      </c>
      <c r="S40" s="9">
        <v>100.0</v>
      </c>
      <c r="T40" s="110">
        <v>100.0</v>
      </c>
      <c r="U40" s="9">
        <v>100.0</v>
      </c>
      <c r="V40" s="110">
        <v>100.0</v>
      </c>
      <c r="W40" s="9">
        <v>100.0</v>
      </c>
      <c r="X40" s="110">
        <v>100.0</v>
      </c>
      <c r="Y40" s="73" t="s">
        <v>116</v>
      </c>
      <c r="Z40" s="94" t="s">
        <v>81</v>
      </c>
      <c r="AA40" s="36"/>
      <c r="AB40" s="36"/>
      <c r="AC40" s="111"/>
      <c r="AD40" s="112"/>
      <c r="AE40" s="37"/>
      <c r="AF40" s="97"/>
      <c r="AG40" s="14"/>
      <c r="AH40" s="14"/>
      <c r="AI40" s="14"/>
      <c r="AJ40" s="113"/>
      <c r="AK40" s="105" t="s">
        <v>107</v>
      </c>
      <c r="AM40" s="104" t="s">
        <v>100</v>
      </c>
      <c r="AO40" s="114" t="s">
        <v>101</v>
      </c>
      <c r="AQ40" s="105" t="s">
        <v>102</v>
      </c>
      <c r="AS40" s="105" t="s">
        <v>103</v>
      </c>
      <c r="AU40" s="104" t="s">
        <v>104</v>
      </c>
      <c r="AW40" s="104" t="s">
        <v>105</v>
      </c>
      <c r="AY40" s="104" t="s">
        <v>106</v>
      </c>
      <c r="AZ40" s="24"/>
    </row>
    <row r="41">
      <c r="A41" s="85">
        <f>A16</f>
        <v>2569</v>
      </c>
      <c r="B41" s="86"/>
      <c r="E41" s="345" t="s">
        <v>115</v>
      </c>
      <c r="F41" s="349" t="s">
        <v>218</v>
      </c>
      <c r="G41" s="9" t="s">
        <v>110</v>
      </c>
      <c r="H41" s="9" t="s">
        <v>218</v>
      </c>
      <c r="I41" s="9" t="s">
        <v>204</v>
      </c>
      <c r="J41" s="9" t="s">
        <v>214</v>
      </c>
      <c r="K41" s="36"/>
      <c r="L41" s="117"/>
      <c r="M41" s="118" t="str">
        <f t="shared" ref="M41:P41" si="46">C41</f>
        <v/>
      </c>
      <c r="N41" s="119" t="str">
        <f t="shared" si="46"/>
        <v/>
      </c>
      <c r="O41" s="118" t="str">
        <f t="shared" si="46"/>
        <v>A7</v>
      </c>
      <c r="P41" s="118" t="str">
        <f t="shared" si="46"/>
        <v>B10</v>
      </c>
      <c r="Q41" s="118" t="str">
        <f t="shared" ref="Q41:R41" si="47">E42</f>
        <v>B2</v>
      </c>
      <c r="R41" s="119" t="str">
        <f t="shared" si="47"/>
        <v>C11</v>
      </c>
      <c r="S41" s="9" t="s">
        <v>182</v>
      </c>
      <c r="T41" s="110" t="s">
        <v>204</v>
      </c>
      <c r="U41" s="9" t="s">
        <v>110</v>
      </c>
      <c r="V41" s="110" t="str">
        <f t="shared" ref="V41:X41" si="48">H41</f>
        <v>B10</v>
      </c>
      <c r="W41" s="118" t="str">
        <f t="shared" si="48"/>
        <v>A5</v>
      </c>
      <c r="X41" s="120" t="str">
        <f t="shared" si="48"/>
        <v>B11</v>
      </c>
      <c r="Y41" s="73" t="s">
        <v>126</v>
      </c>
      <c r="Z41" s="94" t="s">
        <v>99</v>
      </c>
      <c r="AA41" s="36"/>
      <c r="AB41" s="36"/>
      <c r="AC41" s="111"/>
      <c r="AD41" s="112"/>
      <c r="AE41" s="37"/>
      <c r="AF41" s="97"/>
      <c r="AG41" s="14"/>
      <c r="AH41" s="14"/>
      <c r="AI41" s="14"/>
      <c r="AJ41" s="113"/>
      <c r="AK41" s="105" t="s">
        <v>125</v>
      </c>
      <c r="AM41" s="104" t="s">
        <v>118</v>
      </c>
      <c r="AO41" s="114" t="s">
        <v>119</v>
      </c>
      <c r="AQ41" s="105" t="s">
        <v>120</v>
      </c>
      <c r="AS41" s="105" t="s">
        <v>121</v>
      </c>
      <c r="AU41" s="104" t="s">
        <v>122</v>
      </c>
      <c r="AW41" s="104" t="s">
        <v>123</v>
      </c>
      <c r="AY41" s="104" t="s">
        <v>124</v>
      </c>
      <c r="AZ41" s="24"/>
    </row>
    <row r="42">
      <c r="A42" s="85">
        <f>A41-543</f>
        <v>2026</v>
      </c>
      <c r="B42" s="86"/>
      <c r="C42" s="140"/>
      <c r="D42" s="140"/>
      <c r="E42" s="115" t="s">
        <v>98</v>
      </c>
      <c r="F42" s="348" t="s">
        <v>236</v>
      </c>
      <c r="G42" s="9"/>
      <c r="H42" s="118"/>
      <c r="I42" s="118"/>
      <c r="J42" s="118"/>
      <c r="K42" s="182"/>
      <c r="L42" s="183"/>
      <c r="M42" s="8"/>
      <c r="N42" s="121"/>
      <c r="O42" s="8"/>
      <c r="P42" s="8"/>
      <c r="Q42" s="8"/>
      <c r="R42" s="121"/>
      <c r="S42" s="8"/>
      <c r="T42" s="121"/>
      <c r="U42" s="9"/>
      <c r="V42" s="110"/>
      <c r="W42" s="9"/>
      <c r="X42" s="110"/>
      <c r="Y42" s="73" t="s">
        <v>69</v>
      </c>
      <c r="Z42" s="94" t="s">
        <v>155</v>
      </c>
      <c r="AA42" s="36"/>
      <c r="AB42" s="36"/>
      <c r="AC42" s="111"/>
      <c r="AD42" s="112"/>
      <c r="AE42" s="37"/>
      <c r="AF42" s="97"/>
      <c r="AG42" s="14"/>
      <c r="AH42" s="14"/>
      <c r="AI42" s="14"/>
      <c r="AJ42" s="113"/>
      <c r="AK42" s="105" t="s">
        <v>136</v>
      </c>
      <c r="AM42" s="104" t="s">
        <v>129</v>
      </c>
      <c r="AO42" s="114" t="s">
        <v>130</v>
      </c>
      <c r="AQ42" s="105" t="s">
        <v>131</v>
      </c>
      <c r="AS42" s="105" t="s">
        <v>132</v>
      </c>
      <c r="AU42" s="104" t="s">
        <v>133</v>
      </c>
      <c r="AW42" s="104" t="s">
        <v>134</v>
      </c>
      <c r="AY42" s="104" t="s">
        <v>135</v>
      </c>
      <c r="AZ42" s="24"/>
    </row>
    <row r="43">
      <c r="A43" s="184">
        <v>0.36666666666666664</v>
      </c>
      <c r="B43" s="2"/>
      <c r="C43" s="185"/>
      <c r="D43" s="186"/>
      <c r="E43" s="176" t="s">
        <v>137</v>
      </c>
      <c r="F43" s="88"/>
      <c r="G43" s="39" t="str">
        <f>G5</f>
        <v>อสูรเดือน E</v>
      </c>
      <c r="I43" s="166" t="str">
        <f>I18:J18</f>
        <v>อสูรปี N</v>
      </c>
      <c r="K43" s="90"/>
      <c r="L43" s="126"/>
      <c r="M43" s="8"/>
      <c r="N43" s="121"/>
      <c r="O43" s="8"/>
      <c r="P43" s="8"/>
      <c r="Q43" s="8"/>
      <c r="R43" s="121"/>
      <c r="S43" s="8"/>
      <c r="T43" s="121"/>
      <c r="U43" s="9"/>
      <c r="V43" s="110"/>
      <c r="W43" s="9"/>
      <c r="X43" s="110"/>
      <c r="Y43" s="127"/>
      <c r="Z43" s="155"/>
      <c r="AA43" s="36"/>
      <c r="AB43" s="36"/>
      <c r="AC43" s="111"/>
      <c r="AD43" s="112"/>
      <c r="AE43" s="37"/>
      <c r="AF43" s="97"/>
      <c r="AG43" s="14"/>
      <c r="AH43" s="14"/>
      <c r="AI43" s="14"/>
      <c r="AJ43" s="113"/>
      <c r="AY43" s="128"/>
      <c r="AZ43" s="24"/>
    </row>
    <row r="44">
      <c r="A44" s="188" t="s">
        <v>199</v>
      </c>
      <c r="B44" s="189"/>
      <c r="C44" s="63"/>
      <c r="D44" s="72"/>
      <c r="E44" s="358">
        <f>(O45+P45+Q45+R45)/(O46+P46+Q46+R46)</f>
        <v>0.575</v>
      </c>
      <c r="F44" s="65"/>
      <c r="G44" s="133"/>
      <c r="H44" s="66"/>
      <c r="I44" s="67"/>
      <c r="J44" s="67"/>
      <c r="K44" s="68"/>
      <c r="L44" s="69"/>
      <c r="M44" s="63" t="s">
        <v>64</v>
      </c>
      <c r="N44" s="70"/>
      <c r="O44" s="71" t="s">
        <v>65</v>
      </c>
      <c r="P44" s="72"/>
      <c r="Q44" s="72"/>
      <c r="R44" s="70"/>
      <c r="S44" s="71" t="s">
        <v>66</v>
      </c>
      <c r="T44" s="70"/>
      <c r="U44" s="71" t="s">
        <v>67</v>
      </c>
      <c r="V44" s="70"/>
      <c r="W44" s="71" t="s">
        <v>68</v>
      </c>
      <c r="X44" s="70"/>
      <c r="Y44" s="134" t="s">
        <v>80</v>
      </c>
      <c r="Z44" s="74" t="s">
        <v>181</v>
      </c>
      <c r="AA44" s="75" t="s">
        <v>31</v>
      </c>
      <c r="AB44" s="75" t="s">
        <v>141</v>
      </c>
      <c r="AC44" s="190" t="s">
        <v>173</v>
      </c>
      <c r="AD44" s="77" t="s">
        <v>193</v>
      </c>
      <c r="AE44" s="63" t="s">
        <v>36</v>
      </c>
      <c r="AF44" s="78" t="s">
        <v>144</v>
      </c>
      <c r="AG44" s="79" t="s">
        <v>53</v>
      </c>
      <c r="AH44" s="79">
        <v>30.0</v>
      </c>
      <c r="AI44" s="79" t="s">
        <v>178</v>
      </c>
      <c r="AJ44" s="80" t="str">
        <f>AJ32</f>
        <v>開</v>
      </c>
      <c r="AK44" s="81" t="s">
        <v>44</v>
      </c>
      <c r="AL44" s="82" t="str">
        <f>AL32</f>
        <v>休</v>
      </c>
      <c r="AM44" s="81" t="s">
        <v>46</v>
      </c>
      <c r="AN44" s="82" t="s">
        <v>4</v>
      </c>
      <c r="AO44" s="81" t="s">
        <v>48</v>
      </c>
      <c r="AP44" s="82" t="str">
        <f>AP32</f>
        <v>傷</v>
      </c>
      <c r="AQ44" s="81" t="s">
        <v>50</v>
      </c>
      <c r="AR44" s="82" t="s">
        <v>8</v>
      </c>
      <c r="AS44" s="81" t="s">
        <v>52</v>
      </c>
      <c r="AT44" s="82" t="str">
        <f>AT32</f>
        <v>景</v>
      </c>
      <c r="AU44" s="81" t="s">
        <v>38</v>
      </c>
      <c r="AV44" s="82" t="str">
        <f>AV32</f>
        <v>死</v>
      </c>
      <c r="AW44" s="81" t="s">
        <v>40</v>
      </c>
      <c r="AX44" s="82" t="str">
        <f>AX32</f>
        <v>驚</v>
      </c>
      <c r="AY44" s="81" t="s">
        <v>42</v>
      </c>
      <c r="AZ44" s="191"/>
      <c r="BA44" s="84"/>
      <c r="BB44" s="84"/>
      <c r="BC44" s="84"/>
    </row>
    <row r="45">
      <c r="A45" s="192">
        <f>A33+1</f>
        <v>6</v>
      </c>
      <c r="B45" s="193"/>
      <c r="C45" s="359" t="s">
        <v>298</v>
      </c>
      <c r="E45" s="194" t="s">
        <v>195</v>
      </c>
      <c r="G45" s="324" t="str">
        <f t="shared" ref="G45:G46" si="51">G3:H3</f>
        <v>癸</v>
      </c>
      <c r="I45" s="275" t="str">
        <f t="shared" ref="I45:I46" si="52">I33:J33</f>
        <v>丙</v>
      </c>
      <c r="K45" s="90">
        <f>L45/L46</f>
        <v>0.645</v>
      </c>
      <c r="L45" s="126">
        <f t="shared" ref="L45:L46" si="53">O45+P45+Q45+U45+V45+W45+X45+R45+M45+N45+S45+T45</f>
        <v>645</v>
      </c>
      <c r="M45" s="92">
        <v>0.0</v>
      </c>
      <c r="N45" s="93">
        <v>0.0</v>
      </c>
      <c r="O45" s="92">
        <v>70.0</v>
      </c>
      <c r="P45" s="92">
        <v>60.0</v>
      </c>
      <c r="Q45" s="92">
        <v>70.0</v>
      </c>
      <c r="R45" s="93">
        <v>30.0</v>
      </c>
      <c r="S45" s="92">
        <v>65.0</v>
      </c>
      <c r="T45" s="93">
        <v>75.0</v>
      </c>
      <c r="U45" s="92">
        <f t="shared" ref="U45:V45" si="49">U39</f>
        <v>65</v>
      </c>
      <c r="V45" s="93">
        <f t="shared" si="49"/>
        <v>40</v>
      </c>
      <c r="W45" s="92">
        <f t="shared" ref="W45:X45" si="50">W33</f>
        <v>110</v>
      </c>
      <c r="X45" s="93">
        <f t="shared" si="50"/>
        <v>60</v>
      </c>
      <c r="Y45" s="73" t="s">
        <v>98</v>
      </c>
      <c r="Z45" s="94" t="s">
        <v>163</v>
      </c>
      <c r="AA45" s="36"/>
      <c r="AB45" s="36"/>
      <c r="AC45" s="195" t="s">
        <v>196</v>
      </c>
      <c r="AD45" s="96" t="s">
        <v>149</v>
      </c>
      <c r="AE45" s="37"/>
      <c r="AF45" s="97"/>
      <c r="AG45" s="12" t="s">
        <v>71</v>
      </c>
      <c r="AH45" s="12">
        <v>210.0</v>
      </c>
      <c r="AI45" s="12" t="s">
        <v>175</v>
      </c>
      <c r="AJ45" s="98" t="s">
        <v>88</v>
      </c>
      <c r="AK45" s="101" t="s">
        <v>89</v>
      </c>
      <c r="AL45" s="100" t="s">
        <v>45</v>
      </c>
      <c r="AM45" s="102" t="s">
        <v>90</v>
      </c>
      <c r="AN45" s="100" t="s">
        <v>43</v>
      </c>
      <c r="AO45" s="101" t="s">
        <v>91</v>
      </c>
      <c r="AP45" s="100" t="s">
        <v>41</v>
      </c>
      <c r="AQ45" s="103" t="s">
        <v>92</v>
      </c>
      <c r="AR45" s="100" t="s">
        <v>39</v>
      </c>
      <c r="AS45" s="99" t="s">
        <v>93</v>
      </c>
      <c r="AT45" s="100" t="s">
        <v>37</v>
      </c>
      <c r="AU45" s="99" t="s">
        <v>94</v>
      </c>
      <c r="AV45" s="100" t="s">
        <v>51</v>
      </c>
      <c r="AW45" s="101" t="s">
        <v>95</v>
      </c>
      <c r="AX45" s="100" t="s">
        <v>86</v>
      </c>
      <c r="AY45" s="99" t="s">
        <v>87</v>
      </c>
      <c r="AZ45" s="24"/>
    </row>
    <row r="46">
      <c r="A46" s="200" t="str">
        <f>A34</f>
        <v>พฤษภาคม</v>
      </c>
      <c r="B46" s="193"/>
      <c r="C46" s="175" t="s">
        <v>223</v>
      </c>
      <c r="E46" s="162" t="s">
        <v>197</v>
      </c>
      <c r="G46" s="223" t="str">
        <f t="shared" si="51"/>
        <v>巳</v>
      </c>
      <c r="I46" s="142" t="str">
        <f t="shared" si="52"/>
        <v>午</v>
      </c>
      <c r="K46" s="36"/>
      <c r="L46" s="109">
        <f t="shared" si="53"/>
        <v>1000</v>
      </c>
      <c r="M46" s="9">
        <v>0.0</v>
      </c>
      <c r="N46" s="110">
        <v>0.0</v>
      </c>
      <c r="O46" s="9">
        <v>100.0</v>
      </c>
      <c r="P46" s="9">
        <v>100.0</v>
      </c>
      <c r="Q46" s="9">
        <v>100.0</v>
      </c>
      <c r="R46" s="110">
        <v>100.0</v>
      </c>
      <c r="S46" s="9">
        <v>100.0</v>
      </c>
      <c r="T46" s="110">
        <v>100.0</v>
      </c>
      <c r="U46" s="9">
        <v>100.0</v>
      </c>
      <c r="V46" s="110">
        <v>100.0</v>
      </c>
      <c r="W46" s="9">
        <v>100.0</v>
      </c>
      <c r="X46" s="110">
        <v>100.0</v>
      </c>
      <c r="Y46" s="73" t="s">
        <v>116</v>
      </c>
      <c r="Z46" s="94" t="s">
        <v>153</v>
      </c>
      <c r="AA46" s="36"/>
      <c r="AB46" s="36"/>
      <c r="AC46" s="111"/>
      <c r="AD46" s="112"/>
      <c r="AE46" s="37"/>
      <c r="AF46" s="97"/>
      <c r="AG46" s="14"/>
      <c r="AH46" s="14"/>
      <c r="AI46" s="14"/>
      <c r="AJ46" s="113"/>
      <c r="AK46" s="114" t="s">
        <v>101</v>
      </c>
      <c r="AM46" s="105" t="s">
        <v>102</v>
      </c>
      <c r="AO46" s="105" t="s">
        <v>103</v>
      </c>
      <c r="AQ46" s="104" t="s">
        <v>104</v>
      </c>
      <c r="AS46" s="104" t="s">
        <v>105</v>
      </c>
      <c r="AU46" s="104" t="s">
        <v>106</v>
      </c>
      <c r="AW46" s="105" t="s">
        <v>107</v>
      </c>
      <c r="AY46" s="104" t="s">
        <v>100</v>
      </c>
      <c r="AZ46" s="24"/>
    </row>
    <row r="47">
      <c r="A47" s="192">
        <f>A10</f>
        <v>2569</v>
      </c>
      <c r="B47" s="193"/>
      <c r="E47" s="115" t="s">
        <v>165</v>
      </c>
      <c r="F47" s="116" t="s">
        <v>214</v>
      </c>
      <c r="G47" s="115" t="str">
        <f t="shared" ref="G47:H47" si="54">G41</f>
        <v>A11</v>
      </c>
      <c r="H47" s="9" t="str">
        <f t="shared" si="54"/>
        <v>B10</v>
      </c>
      <c r="I47" s="9" t="str">
        <f t="shared" ref="I47:J47" si="55">I35</f>
        <v>A5</v>
      </c>
      <c r="J47" s="9" t="str">
        <f t="shared" si="55"/>
        <v>B11</v>
      </c>
      <c r="K47" s="36"/>
      <c r="L47" s="117"/>
      <c r="M47" s="118" t="str">
        <f t="shared" ref="M47:P47" si="56">C47</f>
        <v/>
      </c>
      <c r="N47" s="119" t="str">
        <f t="shared" si="56"/>
        <v/>
      </c>
      <c r="O47" s="118" t="str">
        <f t="shared" si="56"/>
        <v>A12</v>
      </c>
      <c r="P47" s="118" t="str">
        <f t="shared" si="56"/>
        <v>B11</v>
      </c>
      <c r="Q47" s="118" t="str">
        <f t="shared" ref="Q47:R47" si="57">E48</f>
        <v>B1</v>
      </c>
      <c r="R47" s="119" t="str">
        <f t="shared" si="57"/>
        <v>C12</v>
      </c>
      <c r="S47" s="9" t="s">
        <v>165</v>
      </c>
      <c r="T47" s="110" t="s">
        <v>182</v>
      </c>
      <c r="U47" s="9" t="str">
        <f t="shared" ref="U47:X47" si="58">G47</f>
        <v>A11</v>
      </c>
      <c r="V47" s="119" t="str">
        <f t="shared" si="58"/>
        <v>B10</v>
      </c>
      <c r="W47" s="118" t="str">
        <f t="shared" si="58"/>
        <v>A5</v>
      </c>
      <c r="X47" s="120" t="str">
        <f t="shared" si="58"/>
        <v>B11</v>
      </c>
      <c r="Y47" s="73" t="s">
        <v>126</v>
      </c>
      <c r="Z47" s="94" t="s">
        <v>155</v>
      </c>
      <c r="AA47" s="36"/>
      <c r="AB47" s="36"/>
      <c r="AC47" s="111"/>
      <c r="AD47" s="112"/>
      <c r="AE47" s="37"/>
      <c r="AF47" s="97"/>
      <c r="AG47" s="14"/>
      <c r="AH47" s="14"/>
      <c r="AI47" s="14"/>
      <c r="AJ47" s="113"/>
      <c r="AK47" s="114" t="s">
        <v>119</v>
      </c>
      <c r="AM47" s="105" t="s">
        <v>120</v>
      </c>
      <c r="AO47" s="105" t="s">
        <v>121</v>
      </c>
      <c r="AQ47" s="104" t="s">
        <v>122</v>
      </c>
      <c r="AS47" s="104" t="s">
        <v>123</v>
      </c>
      <c r="AU47" s="104" t="s">
        <v>124</v>
      </c>
      <c r="AW47" s="105" t="s">
        <v>125</v>
      </c>
      <c r="AY47" s="104" t="s">
        <v>118</v>
      </c>
      <c r="AZ47" s="24"/>
    </row>
    <row r="48">
      <c r="A48" s="192">
        <f>A47-543</f>
        <v>2026</v>
      </c>
      <c r="B48" s="193"/>
      <c r="C48" s="140"/>
      <c r="D48" s="140"/>
      <c r="E48" s="115" t="s">
        <v>80</v>
      </c>
      <c r="F48" s="116" t="s">
        <v>127</v>
      </c>
      <c r="G48" s="115"/>
      <c r="H48" s="118"/>
      <c r="I48" s="118"/>
      <c r="J48" s="118"/>
      <c r="K48" s="36"/>
      <c r="L48" s="117"/>
      <c r="M48" s="8"/>
      <c r="N48" s="121"/>
      <c r="O48" s="8"/>
      <c r="P48" s="8"/>
      <c r="Q48" s="8"/>
      <c r="R48" s="121"/>
      <c r="S48" s="8"/>
      <c r="T48" s="121"/>
      <c r="U48" s="9"/>
      <c r="V48" s="110"/>
      <c r="W48" s="9"/>
      <c r="X48" s="110"/>
      <c r="Y48" s="73" t="s">
        <v>69</v>
      </c>
      <c r="Z48" s="94" t="s">
        <v>128</v>
      </c>
      <c r="AA48" s="36"/>
      <c r="AB48" s="36"/>
      <c r="AC48" s="111"/>
      <c r="AD48" s="112"/>
      <c r="AE48" s="37"/>
      <c r="AF48" s="97"/>
      <c r="AG48" s="14"/>
      <c r="AH48" s="14"/>
      <c r="AI48" s="14"/>
      <c r="AJ48" s="113"/>
      <c r="AK48" s="114" t="s">
        <v>130</v>
      </c>
      <c r="AM48" s="105" t="s">
        <v>131</v>
      </c>
      <c r="AO48" s="105" t="s">
        <v>132</v>
      </c>
      <c r="AQ48" s="104" t="s">
        <v>133</v>
      </c>
      <c r="AS48" s="104" t="s">
        <v>134</v>
      </c>
      <c r="AU48" s="104" t="s">
        <v>135</v>
      </c>
      <c r="AW48" s="105" t="s">
        <v>136</v>
      </c>
      <c r="AY48" s="104" t="s">
        <v>129</v>
      </c>
      <c r="AZ48" s="24"/>
    </row>
    <row r="49">
      <c r="A49" s="318"/>
      <c r="B49" s="197"/>
      <c r="C49" s="123"/>
      <c r="D49" s="123"/>
      <c r="E49" s="198" t="s">
        <v>157</v>
      </c>
      <c r="F49" s="88"/>
      <c r="G49" s="165" t="str">
        <f>G5</f>
        <v>อสูรเดือน E</v>
      </c>
      <c r="I49" s="166" t="str">
        <f>I12:J12</f>
        <v>อสูรปี N</v>
      </c>
      <c r="K49" s="90"/>
      <c r="L49" s="126"/>
      <c r="M49" s="8"/>
      <c r="N49" s="121"/>
      <c r="O49" s="8"/>
      <c r="P49" s="8"/>
      <c r="Q49" s="8"/>
      <c r="R49" s="121"/>
      <c r="S49" s="8"/>
      <c r="T49" s="121"/>
      <c r="U49" s="9"/>
      <c r="V49" s="110"/>
      <c r="W49" s="9"/>
      <c r="X49" s="110"/>
      <c r="Y49" s="127"/>
      <c r="Z49" s="155"/>
      <c r="AA49" s="36"/>
      <c r="AB49" s="36"/>
      <c r="AC49" s="111"/>
      <c r="AD49" s="112"/>
      <c r="AE49" s="37"/>
      <c r="AF49" s="97"/>
      <c r="AG49" s="14"/>
      <c r="AH49" s="14"/>
      <c r="AI49" s="14"/>
      <c r="AJ49" s="113"/>
      <c r="AU49" s="128"/>
      <c r="AZ49" s="24"/>
    </row>
    <row r="50">
      <c r="A50" s="188" t="s">
        <v>63</v>
      </c>
      <c r="B50" s="189"/>
      <c r="C50" s="63"/>
      <c r="D50" s="63"/>
      <c r="E50" s="64">
        <f>(O51+P51+Q51+R51)/(O52+P52+Q52+R52)</f>
        <v>0.1875</v>
      </c>
      <c r="F50" s="65"/>
      <c r="G50" s="133"/>
      <c r="H50" s="66"/>
      <c r="I50" s="67"/>
      <c r="J50" s="67"/>
      <c r="K50" s="68"/>
      <c r="L50" s="69"/>
      <c r="M50" s="63" t="s">
        <v>64</v>
      </c>
      <c r="N50" s="70"/>
      <c r="O50" s="71" t="s">
        <v>65</v>
      </c>
      <c r="P50" s="72"/>
      <c r="Q50" s="72"/>
      <c r="R50" s="70"/>
      <c r="S50" s="71" t="s">
        <v>66</v>
      </c>
      <c r="T50" s="70"/>
      <c r="U50" s="71" t="s">
        <v>67</v>
      </c>
      <c r="V50" s="70"/>
      <c r="W50" s="71" t="s">
        <v>68</v>
      </c>
      <c r="X50" s="70"/>
      <c r="Y50" s="134" t="s">
        <v>69</v>
      </c>
      <c r="Z50" s="74" t="s">
        <v>70</v>
      </c>
      <c r="AA50" s="75" t="s">
        <v>171</v>
      </c>
      <c r="AB50" s="75" t="s">
        <v>172</v>
      </c>
      <c r="AC50" s="190" t="s">
        <v>173</v>
      </c>
      <c r="AD50" s="77" t="s">
        <v>193</v>
      </c>
      <c r="AE50" s="63" t="s">
        <v>36</v>
      </c>
      <c r="AF50" s="78" t="s">
        <v>36</v>
      </c>
      <c r="AG50" s="79" t="s">
        <v>180</v>
      </c>
      <c r="AH50" s="79">
        <v>60.0</v>
      </c>
      <c r="AI50" s="79" t="s">
        <v>200</v>
      </c>
      <c r="AJ50" s="80" t="str">
        <f>AJ38</f>
        <v>開</v>
      </c>
      <c r="AK50" s="81" t="s">
        <v>44</v>
      </c>
      <c r="AL50" s="82" t="str">
        <f>AL38</f>
        <v>休</v>
      </c>
      <c r="AM50" s="81" t="s">
        <v>46</v>
      </c>
      <c r="AN50" s="82" t="s">
        <v>4</v>
      </c>
      <c r="AO50" s="81" t="s">
        <v>48</v>
      </c>
      <c r="AP50" s="82" t="str">
        <f>AP38</f>
        <v>傷</v>
      </c>
      <c r="AQ50" s="81" t="s">
        <v>50</v>
      </c>
      <c r="AR50" s="82" t="s">
        <v>8</v>
      </c>
      <c r="AS50" s="81" t="s">
        <v>52</v>
      </c>
      <c r="AT50" s="82" t="str">
        <f>AT38</f>
        <v>景</v>
      </c>
      <c r="AU50" s="81" t="s">
        <v>38</v>
      </c>
      <c r="AV50" s="82" t="str">
        <f>AV38</f>
        <v>死</v>
      </c>
      <c r="AW50" s="81" t="s">
        <v>40</v>
      </c>
      <c r="AX50" s="82" t="str">
        <f>AX38</f>
        <v>驚</v>
      </c>
      <c r="AY50" s="81" t="s">
        <v>42</v>
      </c>
      <c r="AZ50" s="83"/>
      <c r="BA50" s="84"/>
      <c r="BB50" s="84"/>
      <c r="BC50" s="84"/>
    </row>
    <row r="51">
      <c r="A51" s="192">
        <f>A45+1</f>
        <v>7</v>
      </c>
      <c r="B51" s="193"/>
      <c r="C51" s="12" t="s">
        <v>78</v>
      </c>
      <c r="E51" s="199" t="s">
        <v>201</v>
      </c>
      <c r="G51" s="324" t="str">
        <f t="shared" ref="G51:G52" si="61">G3:H3</f>
        <v>癸</v>
      </c>
      <c r="I51" s="268" t="str">
        <f t="shared" ref="I51:I52" si="62">I33:J33</f>
        <v>丙</v>
      </c>
      <c r="K51" s="90">
        <f>L51/L52</f>
        <v>0.42</v>
      </c>
      <c r="L51" s="126">
        <f t="shared" ref="L51:L52" si="63">O51+P51+Q51+U51+V51+W51+X51+R51+M51+N51+S51+T51</f>
        <v>420</v>
      </c>
      <c r="M51" s="92">
        <v>0.0</v>
      </c>
      <c r="N51" s="93">
        <v>0.0</v>
      </c>
      <c r="O51" s="92">
        <v>5.0</v>
      </c>
      <c r="P51" s="92">
        <v>10.0</v>
      </c>
      <c r="Q51" s="92">
        <v>10.0</v>
      </c>
      <c r="R51" s="93">
        <v>50.0</v>
      </c>
      <c r="S51" s="92">
        <v>65.0</v>
      </c>
      <c r="T51" s="93">
        <v>5.0</v>
      </c>
      <c r="U51" s="92">
        <f t="shared" ref="U51:V51" si="59">U39</f>
        <v>65</v>
      </c>
      <c r="V51" s="93">
        <f t="shared" si="59"/>
        <v>40</v>
      </c>
      <c r="W51" s="92">
        <f t="shared" ref="W51:X51" si="60">W33</f>
        <v>110</v>
      </c>
      <c r="X51" s="93">
        <f t="shared" si="60"/>
        <v>60</v>
      </c>
      <c r="Y51" s="73" t="s">
        <v>80</v>
      </c>
      <c r="Z51" s="94" t="s">
        <v>81</v>
      </c>
      <c r="AA51" s="36"/>
      <c r="AB51" s="169" t="s">
        <v>177</v>
      </c>
      <c r="AC51" s="195" t="s">
        <v>196</v>
      </c>
      <c r="AD51" s="96" t="s">
        <v>149</v>
      </c>
      <c r="AE51" s="37"/>
      <c r="AF51" s="97"/>
      <c r="AG51" s="12" t="s">
        <v>202</v>
      </c>
      <c r="AH51" s="12">
        <v>180.0</v>
      </c>
      <c r="AI51" s="12" t="s">
        <v>203</v>
      </c>
      <c r="AJ51" s="98" t="s">
        <v>86</v>
      </c>
      <c r="AK51" s="99" t="s">
        <v>87</v>
      </c>
      <c r="AL51" s="100" t="s">
        <v>88</v>
      </c>
      <c r="AM51" s="101" t="s">
        <v>89</v>
      </c>
      <c r="AN51" s="100" t="s">
        <v>45</v>
      </c>
      <c r="AO51" s="102" t="s">
        <v>90</v>
      </c>
      <c r="AP51" s="100" t="s">
        <v>43</v>
      </c>
      <c r="AQ51" s="101" t="s">
        <v>91</v>
      </c>
      <c r="AR51" s="100" t="s">
        <v>41</v>
      </c>
      <c r="AS51" s="103" t="s">
        <v>92</v>
      </c>
      <c r="AT51" s="100" t="s">
        <v>39</v>
      </c>
      <c r="AU51" s="99" t="s">
        <v>93</v>
      </c>
      <c r="AV51" s="100" t="s">
        <v>37</v>
      </c>
      <c r="AW51" s="99" t="s">
        <v>94</v>
      </c>
      <c r="AX51" s="100" t="s">
        <v>51</v>
      </c>
      <c r="AY51" s="101" t="s">
        <v>95</v>
      </c>
      <c r="AZ51" s="24"/>
    </row>
    <row r="52">
      <c r="A52" s="200" t="str">
        <f>G2</f>
        <v>พฤษภาคม</v>
      </c>
      <c r="B52" s="193"/>
      <c r="C52" s="212" t="s">
        <v>228</v>
      </c>
      <c r="E52" s="201" t="s">
        <v>54</v>
      </c>
      <c r="G52" s="223" t="str">
        <f t="shared" si="61"/>
        <v>巳</v>
      </c>
      <c r="I52" s="142" t="str">
        <f t="shared" si="62"/>
        <v>午</v>
      </c>
      <c r="K52" s="36"/>
      <c r="L52" s="109">
        <f t="shared" si="63"/>
        <v>1000</v>
      </c>
      <c r="M52" s="9">
        <v>0.0</v>
      </c>
      <c r="N52" s="110">
        <v>0.0</v>
      </c>
      <c r="O52" s="9">
        <v>100.0</v>
      </c>
      <c r="P52" s="9">
        <v>100.0</v>
      </c>
      <c r="Q52" s="9">
        <v>100.0</v>
      </c>
      <c r="R52" s="110">
        <v>100.0</v>
      </c>
      <c r="S52" s="9">
        <v>100.0</v>
      </c>
      <c r="T52" s="110">
        <v>100.0</v>
      </c>
      <c r="U52" s="9">
        <v>100.0</v>
      </c>
      <c r="V52" s="110">
        <v>100.0</v>
      </c>
      <c r="W52" s="9">
        <v>100.0</v>
      </c>
      <c r="X52" s="110">
        <v>100.0</v>
      </c>
      <c r="Y52" s="73" t="s">
        <v>98</v>
      </c>
      <c r="Z52" s="94" t="s">
        <v>99</v>
      </c>
      <c r="AA52" s="36"/>
      <c r="AB52" s="36"/>
      <c r="AC52" s="111"/>
      <c r="AD52" s="112"/>
      <c r="AE52" s="37"/>
      <c r="AF52" s="97"/>
      <c r="AG52" s="14"/>
      <c r="AH52" s="14"/>
      <c r="AI52" s="14"/>
      <c r="AJ52" s="113"/>
      <c r="AK52" s="104" t="s">
        <v>100</v>
      </c>
      <c r="AM52" s="114" t="s">
        <v>101</v>
      </c>
      <c r="AO52" s="105" t="s">
        <v>102</v>
      </c>
      <c r="AQ52" s="105" t="s">
        <v>103</v>
      </c>
      <c r="AS52" s="104" t="s">
        <v>104</v>
      </c>
      <c r="AU52" s="104" t="s">
        <v>105</v>
      </c>
      <c r="AW52" s="104" t="s">
        <v>106</v>
      </c>
      <c r="AY52" s="105" t="s">
        <v>107</v>
      </c>
      <c r="AZ52" s="24"/>
    </row>
    <row r="53">
      <c r="A53" s="192">
        <f>A10</f>
        <v>2569</v>
      </c>
      <c r="B53" s="193"/>
      <c r="E53" s="115" t="s">
        <v>108</v>
      </c>
      <c r="F53" s="116" t="s">
        <v>113</v>
      </c>
      <c r="G53" s="115" t="str">
        <f t="shared" ref="G53:H53" si="64">G41</f>
        <v>A11</v>
      </c>
      <c r="H53" s="9" t="str">
        <f t="shared" si="64"/>
        <v>B10</v>
      </c>
      <c r="I53" s="9" t="str">
        <f t="shared" ref="I53:J53" si="65">I35</f>
        <v>A5</v>
      </c>
      <c r="J53" s="9" t="str">
        <f t="shared" si="65"/>
        <v>B11</v>
      </c>
      <c r="K53" s="36"/>
      <c r="L53" s="117"/>
      <c r="M53" s="118" t="str">
        <f t="shared" ref="M53:P53" si="66">C53</f>
        <v/>
      </c>
      <c r="N53" s="119" t="str">
        <f t="shared" si="66"/>
        <v/>
      </c>
      <c r="O53" s="118" t="str">
        <f t="shared" si="66"/>
        <v>A8</v>
      </c>
      <c r="P53" s="118" t="str">
        <f t="shared" si="66"/>
        <v>B12</v>
      </c>
      <c r="Q53" s="118" t="str">
        <f t="shared" ref="Q53:R53" si="67">E54</f>
        <v>B12</v>
      </c>
      <c r="R53" s="119" t="str">
        <f t="shared" si="67"/>
        <v>C1</v>
      </c>
      <c r="S53" s="9" t="s">
        <v>110</v>
      </c>
      <c r="T53" s="110" t="s">
        <v>108</v>
      </c>
      <c r="U53" s="9" t="str">
        <f t="shared" ref="U53:X53" si="68">G53</f>
        <v>A11</v>
      </c>
      <c r="V53" s="119" t="str">
        <f t="shared" si="68"/>
        <v>B10</v>
      </c>
      <c r="W53" s="118" t="str">
        <f t="shared" si="68"/>
        <v>A5</v>
      </c>
      <c r="X53" s="120" t="str">
        <f t="shared" si="68"/>
        <v>B11</v>
      </c>
      <c r="Y53" s="73" t="s">
        <v>116</v>
      </c>
      <c r="Z53" s="94" t="s">
        <v>117</v>
      </c>
      <c r="AA53" s="36"/>
      <c r="AB53" s="36"/>
      <c r="AC53" s="111"/>
      <c r="AD53" s="112"/>
      <c r="AE53" s="37"/>
      <c r="AF53" s="97"/>
      <c r="AG53" s="14"/>
      <c r="AH53" s="14"/>
      <c r="AI53" s="14"/>
      <c r="AJ53" s="113"/>
      <c r="AK53" s="104" t="s">
        <v>118</v>
      </c>
      <c r="AM53" s="114" t="s">
        <v>119</v>
      </c>
      <c r="AO53" s="105" t="s">
        <v>120</v>
      </c>
      <c r="AQ53" s="105" t="s">
        <v>121</v>
      </c>
      <c r="AS53" s="104" t="s">
        <v>122</v>
      </c>
      <c r="AU53" s="104" t="s">
        <v>123</v>
      </c>
      <c r="AW53" s="104" t="s">
        <v>124</v>
      </c>
      <c r="AY53" s="105" t="s">
        <v>125</v>
      </c>
      <c r="AZ53" s="24"/>
    </row>
    <row r="54">
      <c r="A54" s="192">
        <f>A53-543</f>
        <v>2026</v>
      </c>
      <c r="B54" s="193"/>
      <c r="C54" s="140"/>
      <c r="D54" s="140"/>
      <c r="E54" s="115" t="s">
        <v>113</v>
      </c>
      <c r="F54" s="116" t="s">
        <v>154</v>
      </c>
      <c r="G54" s="115"/>
      <c r="H54" s="118"/>
      <c r="I54" s="118"/>
      <c r="J54" s="118"/>
      <c r="K54" s="36"/>
      <c r="L54" s="117"/>
      <c r="M54" s="326"/>
      <c r="N54" s="327"/>
      <c r="O54" s="118"/>
      <c r="P54" s="118"/>
      <c r="Q54" s="118"/>
      <c r="R54" s="119"/>
      <c r="S54" s="118"/>
      <c r="T54" s="119"/>
      <c r="V54" s="117"/>
      <c r="X54" s="117"/>
      <c r="Y54" s="73" t="s">
        <v>126</v>
      </c>
      <c r="Z54" s="94" t="s">
        <v>128</v>
      </c>
      <c r="AA54" s="36"/>
      <c r="AB54" s="36"/>
      <c r="AC54" s="111"/>
      <c r="AD54" s="112"/>
      <c r="AE54" s="37"/>
      <c r="AF54" s="97"/>
      <c r="AG54" s="14"/>
      <c r="AH54" s="14"/>
      <c r="AI54" s="14"/>
      <c r="AJ54" s="113"/>
      <c r="AK54" s="104" t="s">
        <v>129</v>
      </c>
      <c r="AM54" s="114" t="s">
        <v>130</v>
      </c>
      <c r="AO54" s="105" t="s">
        <v>131</v>
      </c>
      <c r="AQ54" s="105" t="s">
        <v>132</v>
      </c>
      <c r="AS54" s="104" t="s">
        <v>133</v>
      </c>
      <c r="AU54" s="104" t="s">
        <v>134</v>
      </c>
      <c r="AW54" s="104" t="s">
        <v>135</v>
      </c>
      <c r="AY54" s="105" t="s">
        <v>136</v>
      </c>
      <c r="AZ54" s="24"/>
    </row>
    <row r="55">
      <c r="A55" s="196"/>
      <c r="B55" s="197"/>
      <c r="C55" s="123"/>
      <c r="D55" s="123"/>
      <c r="E55" s="164" t="s">
        <v>168</v>
      </c>
      <c r="F55" s="88"/>
      <c r="G55" s="165" t="str">
        <f>G5</f>
        <v>อสูรเดือน E</v>
      </c>
      <c r="I55" s="166" t="str">
        <f>I12:J12</f>
        <v>อสูรปี N</v>
      </c>
      <c r="K55" s="90"/>
      <c r="L55" s="126"/>
      <c r="M55" s="8"/>
      <c r="N55" s="121"/>
      <c r="O55" s="9"/>
      <c r="P55" s="9"/>
      <c r="Q55" s="9"/>
      <c r="R55" s="110"/>
      <c r="S55" s="9"/>
      <c r="T55" s="110"/>
      <c r="U55" s="9"/>
      <c r="V55" s="110"/>
      <c r="W55" s="9"/>
      <c r="X55" s="110"/>
      <c r="Y55" s="127"/>
      <c r="Z55" s="155"/>
      <c r="AA55" s="36"/>
      <c r="AB55" s="36"/>
      <c r="AC55" s="111"/>
      <c r="AD55" s="112"/>
      <c r="AE55" s="37"/>
      <c r="AF55" s="97"/>
      <c r="AG55" s="14"/>
      <c r="AH55" s="14"/>
      <c r="AI55" s="14"/>
      <c r="AJ55" s="113"/>
      <c r="AK55" s="128"/>
      <c r="AM55" s="128"/>
      <c r="AO55" s="128"/>
      <c r="AQ55" s="129"/>
      <c r="AS55" s="130"/>
      <c r="AU55" s="131"/>
      <c r="AW55" s="131"/>
      <c r="AY55" s="131"/>
      <c r="AZ55" s="24"/>
    </row>
    <row r="56">
      <c r="A56" s="188" t="s">
        <v>139</v>
      </c>
      <c r="B56" s="189"/>
      <c r="C56" s="63"/>
      <c r="D56" s="63"/>
      <c r="E56" s="64">
        <f>(O57+P57+Q57+R57)/(O58+P58+Q58+R58)</f>
        <v>0.5625</v>
      </c>
      <c r="F56" s="65"/>
      <c r="G56" s="133"/>
      <c r="H56" s="72"/>
      <c r="I56" s="67"/>
      <c r="J56" s="72"/>
      <c r="K56" s="68"/>
      <c r="L56" s="69"/>
      <c r="M56" s="63" t="s">
        <v>64</v>
      </c>
      <c r="N56" s="70"/>
      <c r="O56" s="71" t="s">
        <v>65</v>
      </c>
      <c r="P56" s="72"/>
      <c r="Q56" s="72"/>
      <c r="R56" s="70"/>
      <c r="S56" s="71" t="s">
        <v>66</v>
      </c>
      <c r="T56" s="70"/>
      <c r="U56" s="71" t="s">
        <v>67</v>
      </c>
      <c r="V56" s="70"/>
      <c r="W56" s="71" t="s">
        <v>68</v>
      </c>
      <c r="X56" s="70"/>
      <c r="Y56" s="134" t="s">
        <v>116</v>
      </c>
      <c r="Z56" s="74" t="s">
        <v>140</v>
      </c>
      <c r="AA56" s="75" t="s">
        <v>206</v>
      </c>
      <c r="AB56" s="75" t="s">
        <v>207</v>
      </c>
      <c r="AC56" s="202" t="s">
        <v>142</v>
      </c>
      <c r="AD56" s="74" t="s">
        <v>143</v>
      </c>
      <c r="AE56" s="63" t="s">
        <v>144</v>
      </c>
      <c r="AF56" s="78" t="s">
        <v>34</v>
      </c>
      <c r="AG56" s="79" t="s">
        <v>189</v>
      </c>
      <c r="AH56" s="79">
        <v>90.0</v>
      </c>
      <c r="AI56" s="79" t="s">
        <v>208</v>
      </c>
      <c r="AJ56" s="80" t="str">
        <f>AJ50</f>
        <v>開</v>
      </c>
      <c r="AK56" s="81" t="s">
        <v>52</v>
      </c>
      <c r="AL56" s="82" t="str">
        <f>AL50</f>
        <v>休</v>
      </c>
      <c r="AM56" s="81" t="s">
        <v>38</v>
      </c>
      <c r="AN56" s="82" t="s">
        <v>4</v>
      </c>
      <c r="AO56" s="81" t="s">
        <v>40</v>
      </c>
      <c r="AP56" s="82" t="str">
        <f>AP50</f>
        <v>傷</v>
      </c>
      <c r="AQ56" s="81" t="s">
        <v>42</v>
      </c>
      <c r="AR56" s="82" t="str">
        <f>AR50</f>
        <v>杜</v>
      </c>
      <c r="AS56" s="81" t="s">
        <v>44</v>
      </c>
      <c r="AT56" s="82" t="str">
        <f>AT50</f>
        <v>景</v>
      </c>
      <c r="AU56" s="81" t="s">
        <v>46</v>
      </c>
      <c r="AV56" s="82" t="str">
        <f>AV50</f>
        <v>死</v>
      </c>
      <c r="AW56" s="81" t="s">
        <v>48</v>
      </c>
      <c r="AX56" s="82" t="str">
        <f>AX50</f>
        <v>驚</v>
      </c>
      <c r="AY56" s="81" t="s">
        <v>50</v>
      </c>
      <c r="AZ56" s="83"/>
      <c r="BA56" s="84"/>
      <c r="BB56" s="84"/>
      <c r="BC56" s="84"/>
    </row>
    <row r="57">
      <c r="A57" s="192">
        <f>A51+1</f>
        <v>8</v>
      </c>
      <c r="B57" s="193"/>
      <c r="C57" s="12" t="s">
        <v>146</v>
      </c>
      <c r="E57" s="203" t="s">
        <v>209</v>
      </c>
      <c r="G57" s="324" t="str">
        <f t="shared" ref="G57:G58" si="71">G3:H3</f>
        <v>癸</v>
      </c>
      <c r="I57" s="268" t="str">
        <f t="shared" ref="I57:I58" si="72">I33:J33</f>
        <v>丙</v>
      </c>
      <c r="K57" s="90">
        <f>L57/L58</f>
        <v>0.5</v>
      </c>
      <c r="L57" s="126">
        <f t="shared" ref="L57:L58" si="73">O57+P57+Q57+U57+V57+W57+X57+R57+M57+N57+S57+T57</f>
        <v>500</v>
      </c>
      <c r="M57" s="92">
        <v>0.0</v>
      </c>
      <c r="N57" s="93">
        <v>0.0</v>
      </c>
      <c r="O57" s="92">
        <v>65.0</v>
      </c>
      <c r="P57" s="92">
        <v>70.0</v>
      </c>
      <c r="Q57" s="92">
        <v>60.0</v>
      </c>
      <c r="R57" s="93">
        <v>30.0</v>
      </c>
      <c r="S57" s="92">
        <v>0.0</v>
      </c>
      <c r="T57" s="93">
        <v>0.0</v>
      </c>
      <c r="U57" s="92">
        <f t="shared" ref="U57:V57" si="69">U39</f>
        <v>65</v>
      </c>
      <c r="V57" s="93">
        <f t="shared" si="69"/>
        <v>40</v>
      </c>
      <c r="W57" s="92">
        <f t="shared" ref="W57:X57" si="70">W33</f>
        <v>110</v>
      </c>
      <c r="X57" s="93">
        <f t="shared" si="70"/>
        <v>60</v>
      </c>
      <c r="Y57" s="73" t="s">
        <v>126</v>
      </c>
      <c r="Z57" s="94" t="s">
        <v>70</v>
      </c>
      <c r="AA57" s="36"/>
      <c r="AB57" s="29"/>
      <c r="AC57" s="204" t="s">
        <v>82</v>
      </c>
      <c r="AD57" s="96" t="s">
        <v>83</v>
      </c>
      <c r="AE57" s="37"/>
      <c r="AF57" s="97"/>
      <c r="AG57" s="12" t="s">
        <v>54</v>
      </c>
      <c r="AH57" s="12">
        <v>150.0</v>
      </c>
      <c r="AI57" s="12" t="s">
        <v>210</v>
      </c>
      <c r="AJ57" s="98" t="s">
        <v>37</v>
      </c>
      <c r="AK57" s="99" t="s">
        <v>94</v>
      </c>
      <c r="AL57" s="100" t="s">
        <v>51</v>
      </c>
      <c r="AM57" s="101" t="s">
        <v>95</v>
      </c>
      <c r="AN57" s="100" t="s">
        <v>86</v>
      </c>
      <c r="AO57" s="99" t="s">
        <v>87</v>
      </c>
      <c r="AP57" s="100" t="s">
        <v>88</v>
      </c>
      <c r="AQ57" s="101" t="s">
        <v>89</v>
      </c>
      <c r="AR57" s="100" t="s">
        <v>45</v>
      </c>
      <c r="AS57" s="102" t="s">
        <v>90</v>
      </c>
      <c r="AT57" s="100" t="s">
        <v>43</v>
      </c>
      <c r="AU57" s="101" t="s">
        <v>91</v>
      </c>
      <c r="AV57" s="100" t="s">
        <v>41</v>
      </c>
      <c r="AW57" s="103" t="s">
        <v>92</v>
      </c>
      <c r="AX57" s="100" t="s">
        <v>39</v>
      </c>
      <c r="AY57" s="99" t="s">
        <v>93</v>
      </c>
      <c r="AZ57" s="24"/>
    </row>
    <row r="58">
      <c r="A58" s="200" t="str">
        <f>G2</f>
        <v>พฤษภาคม</v>
      </c>
      <c r="B58" s="193"/>
      <c r="C58" s="360" t="s">
        <v>231</v>
      </c>
      <c r="E58" s="201" t="s">
        <v>202</v>
      </c>
      <c r="G58" s="223" t="str">
        <f t="shared" si="71"/>
        <v>巳</v>
      </c>
      <c r="I58" s="142" t="str">
        <f t="shared" si="72"/>
        <v>午</v>
      </c>
      <c r="K58" s="36"/>
      <c r="L58" s="109">
        <f t="shared" si="73"/>
        <v>1000</v>
      </c>
      <c r="M58" s="9">
        <v>0.0</v>
      </c>
      <c r="N58" s="110">
        <v>0.0</v>
      </c>
      <c r="O58" s="9">
        <v>100.0</v>
      </c>
      <c r="P58" s="9">
        <v>100.0</v>
      </c>
      <c r="Q58" s="9">
        <v>100.0</v>
      </c>
      <c r="R58" s="110">
        <v>100.0</v>
      </c>
      <c r="S58" s="9">
        <v>100.0</v>
      </c>
      <c r="T58" s="110">
        <v>100.0</v>
      </c>
      <c r="U58" s="9">
        <v>100.0</v>
      </c>
      <c r="V58" s="110">
        <v>100.0</v>
      </c>
      <c r="W58" s="9">
        <v>100.0</v>
      </c>
      <c r="X58" s="110">
        <v>100.0</v>
      </c>
      <c r="Y58" s="73" t="s">
        <v>69</v>
      </c>
      <c r="Z58" s="94" t="s">
        <v>152</v>
      </c>
      <c r="AA58" s="36"/>
      <c r="AB58" s="36"/>
      <c r="AC58" s="111"/>
      <c r="AD58" s="112"/>
      <c r="AE58" s="37"/>
      <c r="AF58" s="97"/>
      <c r="AG58" s="14"/>
      <c r="AH58" s="14"/>
      <c r="AI58" s="14"/>
      <c r="AJ58" s="113"/>
      <c r="AK58" s="104" t="s">
        <v>106</v>
      </c>
      <c r="AM58" s="105" t="s">
        <v>107</v>
      </c>
      <c r="AO58" s="104" t="s">
        <v>100</v>
      </c>
      <c r="AQ58" s="114" t="s">
        <v>101</v>
      </c>
      <c r="AS58" s="105" t="s">
        <v>102</v>
      </c>
      <c r="AU58" s="105" t="s">
        <v>103</v>
      </c>
      <c r="AW58" s="104" t="s">
        <v>104</v>
      </c>
      <c r="AY58" s="104" t="s">
        <v>105</v>
      </c>
      <c r="AZ58" s="24"/>
    </row>
    <row r="59">
      <c r="A59" s="192">
        <f>A10</f>
        <v>2569</v>
      </c>
      <c r="B59" s="193"/>
      <c r="E59" s="115" t="s">
        <v>110</v>
      </c>
      <c r="F59" s="116" t="s">
        <v>80</v>
      </c>
      <c r="G59" s="115" t="str">
        <f t="shared" ref="G59:H59" si="74">G41</f>
        <v>A11</v>
      </c>
      <c r="H59" s="9" t="str">
        <f t="shared" si="74"/>
        <v>B10</v>
      </c>
      <c r="I59" s="9" t="str">
        <f t="shared" ref="I59:J59" si="75">I35</f>
        <v>A5</v>
      </c>
      <c r="J59" s="9" t="str">
        <f t="shared" si="75"/>
        <v>B11</v>
      </c>
      <c r="K59" s="36"/>
      <c r="L59" s="117"/>
      <c r="M59" s="118" t="str">
        <f t="shared" ref="M59:P59" si="76">C59</f>
        <v/>
      </c>
      <c r="N59" s="119" t="str">
        <f t="shared" si="76"/>
        <v/>
      </c>
      <c r="O59" s="118" t="str">
        <f t="shared" si="76"/>
        <v>A11</v>
      </c>
      <c r="P59" s="118" t="str">
        <f t="shared" si="76"/>
        <v>B1</v>
      </c>
      <c r="Q59" s="118" t="str">
        <f t="shared" ref="Q59:R59" si="77">E60</f>
        <v>B11</v>
      </c>
      <c r="R59" s="119" t="str">
        <f t="shared" si="77"/>
        <v>C2</v>
      </c>
      <c r="S59" s="9" t="s">
        <v>114</v>
      </c>
      <c r="T59" s="110" t="s">
        <v>114</v>
      </c>
      <c r="U59" s="9" t="str">
        <f t="shared" ref="U59:X59" si="78">G59</f>
        <v>A11</v>
      </c>
      <c r="V59" s="119" t="str">
        <f t="shared" si="78"/>
        <v>B10</v>
      </c>
      <c r="W59" s="118" t="str">
        <f t="shared" si="78"/>
        <v>A5</v>
      </c>
      <c r="X59" s="120" t="str">
        <f t="shared" si="78"/>
        <v>B11</v>
      </c>
      <c r="Y59" s="73" t="s">
        <v>80</v>
      </c>
      <c r="Z59" s="94" t="s">
        <v>153</v>
      </c>
      <c r="AA59" s="36"/>
      <c r="AB59" s="36"/>
      <c r="AC59" s="111"/>
      <c r="AD59" s="112"/>
      <c r="AE59" s="37"/>
      <c r="AF59" s="97"/>
      <c r="AG59" s="14"/>
      <c r="AH59" s="14"/>
      <c r="AI59" s="14"/>
      <c r="AJ59" s="113"/>
      <c r="AK59" s="104" t="s">
        <v>124</v>
      </c>
      <c r="AM59" s="105" t="s">
        <v>125</v>
      </c>
      <c r="AO59" s="104" t="s">
        <v>118</v>
      </c>
      <c r="AQ59" s="114" t="s">
        <v>119</v>
      </c>
      <c r="AS59" s="105" t="s">
        <v>120</v>
      </c>
      <c r="AU59" s="105" t="s">
        <v>121</v>
      </c>
      <c r="AW59" s="104" t="s">
        <v>122</v>
      </c>
      <c r="AY59" s="104" t="s">
        <v>123</v>
      </c>
      <c r="AZ59" s="24"/>
    </row>
    <row r="60">
      <c r="A60" s="192">
        <f>A59-543</f>
        <v>2026</v>
      </c>
      <c r="B60" s="193"/>
      <c r="C60" s="106"/>
      <c r="D60" s="106"/>
      <c r="E60" s="115" t="s">
        <v>214</v>
      </c>
      <c r="F60" s="116" t="s">
        <v>167</v>
      </c>
      <c r="G60" s="115"/>
      <c r="H60" s="118"/>
      <c r="I60" s="118"/>
      <c r="J60" s="118"/>
      <c r="K60" s="36"/>
      <c r="L60" s="117"/>
      <c r="M60" s="326"/>
      <c r="N60" s="327"/>
      <c r="R60" s="117"/>
      <c r="T60" s="117"/>
      <c r="V60" s="117"/>
      <c r="X60" s="117"/>
      <c r="Y60" s="73" t="s">
        <v>98</v>
      </c>
      <c r="Z60" s="94" t="s">
        <v>155</v>
      </c>
      <c r="AA60" s="36"/>
      <c r="AB60" s="36"/>
      <c r="AC60" s="111"/>
      <c r="AD60" s="112"/>
      <c r="AE60" s="37"/>
      <c r="AF60" s="97"/>
      <c r="AG60" s="14"/>
      <c r="AH60" s="14"/>
      <c r="AI60" s="14"/>
      <c r="AJ60" s="113"/>
      <c r="AK60" s="104" t="s">
        <v>135</v>
      </c>
      <c r="AM60" s="105" t="s">
        <v>136</v>
      </c>
      <c r="AO60" s="104" t="s">
        <v>129</v>
      </c>
      <c r="AQ60" s="114" t="s">
        <v>130</v>
      </c>
      <c r="AS60" s="105" t="s">
        <v>131</v>
      </c>
      <c r="AU60" s="105" t="s">
        <v>132</v>
      </c>
      <c r="AW60" s="104" t="s">
        <v>133</v>
      </c>
      <c r="AY60" s="104" t="s">
        <v>134</v>
      </c>
      <c r="AZ60" s="24"/>
    </row>
    <row r="61">
      <c r="A61" s="351"/>
      <c r="B61" s="197"/>
      <c r="C61" s="123"/>
      <c r="D61" s="123"/>
      <c r="E61" s="164" t="s">
        <v>185</v>
      </c>
      <c r="F61" s="88"/>
      <c r="G61" s="165" t="str">
        <f>G5</f>
        <v>อสูรเดือน E</v>
      </c>
      <c r="I61" s="166" t="str">
        <f>I12:J12</f>
        <v>อสูรปี N</v>
      </c>
      <c r="K61" s="90"/>
      <c r="L61" s="126"/>
      <c r="M61" s="8"/>
      <c r="N61" s="121"/>
      <c r="O61" s="8"/>
      <c r="P61" s="8"/>
      <c r="Q61" s="8"/>
      <c r="R61" s="121"/>
      <c r="S61" s="8"/>
      <c r="T61" s="121"/>
      <c r="U61" s="9"/>
      <c r="V61" s="110"/>
      <c r="W61" s="9"/>
      <c r="X61" s="110"/>
      <c r="Y61" s="127"/>
      <c r="Z61" s="155"/>
      <c r="AA61" s="36"/>
      <c r="AB61" s="36"/>
      <c r="AC61" s="111"/>
      <c r="AD61" s="112"/>
      <c r="AE61" s="37"/>
      <c r="AF61" s="97"/>
      <c r="AG61" s="14"/>
      <c r="AH61" s="14"/>
      <c r="AI61" s="14"/>
      <c r="AJ61" s="113"/>
      <c r="AY61" s="128"/>
      <c r="AZ61" s="24"/>
    </row>
    <row r="62">
      <c r="A62" s="188" t="s">
        <v>158</v>
      </c>
      <c r="B62" s="189"/>
      <c r="C62" s="63"/>
      <c r="D62" s="63"/>
      <c r="E62" s="64">
        <f>(O63+P63+Q63+R63)/(O64+P64+Q64+R64)</f>
        <v>0.6125</v>
      </c>
      <c r="F62" s="65"/>
      <c r="G62" s="133"/>
      <c r="H62" s="72"/>
      <c r="I62" s="67"/>
      <c r="J62" s="72"/>
      <c r="K62" s="68"/>
      <c r="L62" s="69"/>
      <c r="M62" s="63" t="s">
        <v>64</v>
      </c>
      <c r="N62" s="70"/>
      <c r="O62" s="71" t="s">
        <v>65</v>
      </c>
      <c r="P62" s="72"/>
      <c r="Q62" s="72"/>
      <c r="R62" s="70"/>
      <c r="S62" s="71" t="s">
        <v>66</v>
      </c>
      <c r="T62" s="70"/>
      <c r="U62" s="71" t="s">
        <v>67</v>
      </c>
      <c r="V62" s="70"/>
      <c r="W62" s="71" t="s">
        <v>68</v>
      </c>
      <c r="X62" s="70"/>
      <c r="Y62" s="134" t="s">
        <v>116</v>
      </c>
      <c r="Z62" s="74" t="s">
        <v>159</v>
      </c>
      <c r="AA62" s="75" t="s">
        <v>189</v>
      </c>
      <c r="AB62" s="75" t="s">
        <v>192</v>
      </c>
      <c r="AC62" s="202" t="s">
        <v>142</v>
      </c>
      <c r="AD62" s="74" t="s">
        <v>143</v>
      </c>
      <c r="AE62" s="63" t="s">
        <v>144</v>
      </c>
      <c r="AF62" s="78" t="s">
        <v>75</v>
      </c>
      <c r="AG62" s="79" t="s">
        <v>54</v>
      </c>
      <c r="AH62" s="79">
        <v>150.0</v>
      </c>
      <c r="AI62" s="79" t="s">
        <v>210</v>
      </c>
      <c r="AJ62" s="80" t="str">
        <f>AJ56</f>
        <v>開</v>
      </c>
      <c r="AK62" s="81" t="s">
        <v>48</v>
      </c>
      <c r="AL62" s="82" t="str">
        <f>AL56</f>
        <v>休</v>
      </c>
      <c r="AM62" s="81" t="s">
        <v>50</v>
      </c>
      <c r="AN62" s="82" t="s">
        <v>4</v>
      </c>
      <c r="AO62" s="81" t="s">
        <v>52</v>
      </c>
      <c r="AP62" s="82" t="str">
        <f>AP56</f>
        <v>傷</v>
      </c>
      <c r="AQ62" s="81" t="s">
        <v>38</v>
      </c>
      <c r="AR62" s="82" t="s">
        <v>8</v>
      </c>
      <c r="AS62" s="81" t="s">
        <v>40</v>
      </c>
      <c r="AT62" s="82" t="str">
        <f>AT56</f>
        <v>景</v>
      </c>
      <c r="AU62" s="81" t="s">
        <v>42</v>
      </c>
      <c r="AV62" s="82" t="str">
        <f>AV56</f>
        <v>死</v>
      </c>
      <c r="AW62" s="81" t="s">
        <v>44</v>
      </c>
      <c r="AX62" s="82" t="str">
        <f>AX56</f>
        <v>驚</v>
      </c>
      <c r="AY62" s="81" t="s">
        <v>46</v>
      </c>
      <c r="AZ62" s="83"/>
      <c r="BA62" s="84"/>
      <c r="BB62" s="84"/>
      <c r="BC62" s="84"/>
    </row>
    <row r="63">
      <c r="A63" s="192">
        <f>A57+1</f>
        <v>9</v>
      </c>
      <c r="B63" s="193"/>
      <c r="C63" s="12" t="s">
        <v>216</v>
      </c>
      <c r="E63" s="203" t="s">
        <v>171</v>
      </c>
      <c r="G63" s="324" t="str">
        <f t="shared" ref="G63:G64" si="81">G3:H3</f>
        <v>癸</v>
      </c>
      <c r="I63" s="275" t="str">
        <f t="shared" ref="I63:I64" si="82">I33:J33</f>
        <v>丙</v>
      </c>
      <c r="K63" s="90">
        <f>L63/L64</f>
        <v>0.63</v>
      </c>
      <c r="L63" s="126">
        <f t="shared" ref="L63:L64" si="83">O63+P63+Q63+U63+V63+W63+X63+R63+M63+N63+S63+T63</f>
        <v>630</v>
      </c>
      <c r="M63" s="92">
        <v>0.0</v>
      </c>
      <c r="N63" s="93">
        <v>0.0</v>
      </c>
      <c r="O63" s="92">
        <v>45.0</v>
      </c>
      <c r="P63" s="92">
        <v>80.0</v>
      </c>
      <c r="Q63" s="92">
        <v>40.0</v>
      </c>
      <c r="R63" s="93">
        <v>80.0</v>
      </c>
      <c r="S63" s="92">
        <v>45.0</v>
      </c>
      <c r="T63" s="93">
        <v>65.0</v>
      </c>
      <c r="U63" s="92">
        <f t="shared" ref="U63:V63" si="79">U39</f>
        <v>65</v>
      </c>
      <c r="V63" s="93">
        <f t="shared" si="79"/>
        <v>40</v>
      </c>
      <c r="W63" s="92">
        <f t="shared" ref="W63:X63" si="80">W33</f>
        <v>110</v>
      </c>
      <c r="X63" s="93">
        <f t="shared" si="80"/>
        <v>60</v>
      </c>
      <c r="Y63" s="73" t="s">
        <v>126</v>
      </c>
      <c r="Z63" s="94" t="s">
        <v>152</v>
      </c>
      <c r="AA63" s="36"/>
      <c r="AB63" s="36"/>
      <c r="AC63" s="204" t="s">
        <v>82</v>
      </c>
      <c r="AD63" s="96" t="s">
        <v>83</v>
      </c>
      <c r="AE63" s="37"/>
      <c r="AF63" s="97"/>
      <c r="AG63" s="12" t="s">
        <v>189</v>
      </c>
      <c r="AH63" s="12">
        <v>90.0</v>
      </c>
      <c r="AI63" s="12" t="s">
        <v>208</v>
      </c>
      <c r="AJ63" s="98" t="s">
        <v>43</v>
      </c>
      <c r="AK63" s="101" t="s">
        <v>91</v>
      </c>
      <c r="AL63" s="100" t="s">
        <v>41</v>
      </c>
      <c r="AM63" s="103" t="s">
        <v>92</v>
      </c>
      <c r="AN63" s="100" t="s">
        <v>39</v>
      </c>
      <c r="AO63" s="99" t="s">
        <v>93</v>
      </c>
      <c r="AP63" s="100" t="s">
        <v>37</v>
      </c>
      <c r="AQ63" s="99" t="s">
        <v>94</v>
      </c>
      <c r="AR63" s="100" t="s">
        <v>51</v>
      </c>
      <c r="AS63" s="101" t="s">
        <v>95</v>
      </c>
      <c r="AT63" s="100" t="s">
        <v>86</v>
      </c>
      <c r="AU63" s="99" t="s">
        <v>87</v>
      </c>
      <c r="AV63" s="100" t="s">
        <v>88</v>
      </c>
      <c r="AW63" s="101" t="s">
        <v>89</v>
      </c>
      <c r="AX63" s="100" t="s">
        <v>45</v>
      </c>
      <c r="AY63" s="102" t="s">
        <v>90</v>
      </c>
      <c r="AZ63" s="24"/>
    </row>
    <row r="64">
      <c r="A64" s="200" t="str">
        <f>A52</f>
        <v>พฤษภาคม</v>
      </c>
      <c r="B64" s="193"/>
      <c r="C64" s="106" t="s">
        <v>235</v>
      </c>
      <c r="E64" s="162" t="s">
        <v>71</v>
      </c>
      <c r="G64" s="223" t="str">
        <f t="shared" si="81"/>
        <v>巳</v>
      </c>
      <c r="I64" s="142" t="str">
        <f t="shared" si="82"/>
        <v>午</v>
      </c>
      <c r="K64" s="36"/>
      <c r="L64" s="109">
        <f t="shared" si="83"/>
        <v>1000</v>
      </c>
      <c r="M64" s="9">
        <v>0.0</v>
      </c>
      <c r="N64" s="110">
        <v>0.0</v>
      </c>
      <c r="O64" s="9">
        <v>100.0</v>
      </c>
      <c r="P64" s="9">
        <v>100.0</v>
      </c>
      <c r="Q64" s="9">
        <v>100.0</v>
      </c>
      <c r="R64" s="110">
        <v>100.0</v>
      </c>
      <c r="S64" s="9">
        <v>100.0</v>
      </c>
      <c r="T64" s="110">
        <v>100.0</v>
      </c>
      <c r="U64" s="9">
        <v>100.0</v>
      </c>
      <c r="V64" s="110">
        <v>100.0</v>
      </c>
      <c r="W64" s="9">
        <v>100.0</v>
      </c>
      <c r="X64" s="110">
        <v>100.0</v>
      </c>
      <c r="Y64" s="73" t="s">
        <v>69</v>
      </c>
      <c r="Z64" s="94" t="s">
        <v>163</v>
      </c>
      <c r="AA64" s="36"/>
      <c r="AB64" s="36"/>
      <c r="AC64" s="111"/>
      <c r="AD64" s="112"/>
      <c r="AE64" s="37"/>
      <c r="AF64" s="97"/>
      <c r="AG64" s="14"/>
      <c r="AH64" s="14"/>
      <c r="AI64" s="14"/>
      <c r="AJ64" s="113"/>
      <c r="AK64" s="105" t="s">
        <v>103</v>
      </c>
      <c r="AM64" s="104" t="s">
        <v>104</v>
      </c>
      <c r="AO64" s="104" t="s">
        <v>105</v>
      </c>
      <c r="AQ64" s="104" t="s">
        <v>106</v>
      </c>
      <c r="AS64" s="105" t="s">
        <v>107</v>
      </c>
      <c r="AU64" s="104" t="s">
        <v>100</v>
      </c>
      <c r="AW64" s="114" t="s">
        <v>101</v>
      </c>
      <c r="AY64" s="105" t="s">
        <v>102</v>
      </c>
      <c r="AZ64" s="24"/>
    </row>
    <row r="65">
      <c r="A65" s="192">
        <f>A10</f>
        <v>2569</v>
      </c>
      <c r="B65" s="193"/>
      <c r="E65" s="115" t="s">
        <v>164</v>
      </c>
      <c r="F65" s="116" t="s">
        <v>98</v>
      </c>
      <c r="G65" s="115" t="str">
        <f t="shared" ref="G65:H65" si="84">G41</f>
        <v>A11</v>
      </c>
      <c r="H65" s="9" t="str">
        <f t="shared" si="84"/>
        <v>B10</v>
      </c>
      <c r="I65" s="9" t="str">
        <f t="shared" ref="I65:J65" si="85">I35</f>
        <v>A5</v>
      </c>
      <c r="J65" s="9" t="str">
        <f t="shared" si="85"/>
        <v>B11</v>
      </c>
      <c r="K65" s="36"/>
      <c r="L65" s="117"/>
      <c r="M65" s="118" t="str">
        <f t="shared" ref="M65:P65" si="86">C65</f>
        <v/>
      </c>
      <c r="N65" s="119" t="str">
        <f t="shared" si="86"/>
        <v/>
      </c>
      <c r="O65" s="118" t="str">
        <f t="shared" si="86"/>
        <v>A9</v>
      </c>
      <c r="P65" s="118" t="str">
        <f t="shared" si="86"/>
        <v>B2</v>
      </c>
      <c r="Q65" s="118" t="str">
        <f t="shared" ref="Q65:R65" si="87">E66</f>
        <v>B10</v>
      </c>
      <c r="R65" s="119" t="str">
        <f t="shared" si="87"/>
        <v>C3</v>
      </c>
      <c r="S65" s="9" t="s">
        <v>164</v>
      </c>
      <c r="T65" s="110" t="s">
        <v>110</v>
      </c>
      <c r="U65" s="9" t="str">
        <f t="shared" ref="U65:X65" si="88">G65</f>
        <v>A11</v>
      </c>
      <c r="V65" s="119" t="str">
        <f t="shared" si="88"/>
        <v>B10</v>
      </c>
      <c r="W65" s="118" t="str">
        <f t="shared" si="88"/>
        <v>A5</v>
      </c>
      <c r="X65" s="120" t="str">
        <f t="shared" si="88"/>
        <v>B11</v>
      </c>
      <c r="Y65" s="73" t="s">
        <v>80</v>
      </c>
      <c r="Z65" s="94" t="s">
        <v>117</v>
      </c>
      <c r="AA65" s="36"/>
      <c r="AB65" s="36"/>
      <c r="AC65" s="111"/>
      <c r="AD65" s="112"/>
      <c r="AE65" s="37"/>
      <c r="AF65" s="97"/>
      <c r="AG65" s="14"/>
      <c r="AH65" s="14"/>
      <c r="AI65" s="14"/>
      <c r="AJ65" s="113"/>
      <c r="AK65" s="105" t="s">
        <v>121</v>
      </c>
      <c r="AM65" s="104" t="s">
        <v>122</v>
      </c>
      <c r="AO65" s="104" t="s">
        <v>123</v>
      </c>
      <c r="AQ65" s="104" t="s">
        <v>124</v>
      </c>
      <c r="AS65" s="105" t="s">
        <v>125</v>
      </c>
      <c r="AU65" s="104" t="s">
        <v>118</v>
      </c>
      <c r="AW65" s="114" t="s">
        <v>119</v>
      </c>
      <c r="AY65" s="105" t="s">
        <v>120</v>
      </c>
      <c r="AZ65" s="24"/>
    </row>
    <row r="66">
      <c r="A66" s="192">
        <f>A65-543</f>
        <v>2026</v>
      </c>
      <c r="B66" s="193"/>
      <c r="C66" s="347" t="s">
        <v>335</v>
      </c>
      <c r="E66" s="115" t="s">
        <v>218</v>
      </c>
      <c r="F66" s="116" t="s">
        <v>184</v>
      </c>
      <c r="G66" s="115"/>
      <c r="H66" s="118"/>
      <c r="I66" s="118"/>
      <c r="J66" s="118"/>
      <c r="K66" s="36"/>
      <c r="L66" s="117"/>
      <c r="M66" s="326"/>
      <c r="N66" s="327"/>
      <c r="R66" s="117"/>
      <c r="T66" s="117"/>
      <c r="V66" s="117"/>
      <c r="X66" s="117"/>
      <c r="Y66" s="73" t="s">
        <v>98</v>
      </c>
      <c r="Z66" s="94" t="s">
        <v>128</v>
      </c>
      <c r="AA66" s="36"/>
      <c r="AB66" s="36"/>
      <c r="AC66" s="111"/>
      <c r="AD66" s="112"/>
      <c r="AE66" s="37"/>
      <c r="AF66" s="97"/>
      <c r="AG66" s="14"/>
      <c r="AH66" s="14"/>
      <c r="AI66" s="14"/>
      <c r="AJ66" s="113"/>
      <c r="AK66" s="105" t="s">
        <v>132</v>
      </c>
      <c r="AM66" s="104" t="s">
        <v>133</v>
      </c>
      <c r="AO66" s="104" t="s">
        <v>134</v>
      </c>
      <c r="AQ66" s="104" t="s">
        <v>135</v>
      </c>
      <c r="AS66" s="105" t="s">
        <v>136</v>
      </c>
      <c r="AU66" s="104" t="s">
        <v>129</v>
      </c>
      <c r="AW66" s="114" t="s">
        <v>130</v>
      </c>
      <c r="AY66" s="105" t="s">
        <v>131</v>
      </c>
      <c r="AZ66" s="24"/>
    </row>
    <row r="67">
      <c r="A67" s="329"/>
      <c r="B67" s="206"/>
      <c r="C67" s="123"/>
      <c r="D67" s="123"/>
      <c r="E67" s="198"/>
      <c r="F67" s="361"/>
      <c r="G67" s="207" t="str">
        <f>G5:H5</f>
        <v>อสูรเดือน E</v>
      </c>
      <c r="I67" s="208" t="str">
        <f>I5:J5</f>
        <v>อสูรปี N</v>
      </c>
      <c r="K67" s="36"/>
      <c r="L67" s="117"/>
      <c r="M67" s="128"/>
      <c r="N67" s="117"/>
      <c r="R67" s="117"/>
      <c r="S67" s="8"/>
      <c r="T67" s="121"/>
      <c r="V67" s="117"/>
      <c r="X67" s="117"/>
      <c r="Y67" s="127"/>
      <c r="Z67" s="155"/>
      <c r="AA67" s="36"/>
      <c r="AB67" s="36"/>
      <c r="AC67" s="111"/>
      <c r="AD67" s="112"/>
      <c r="AE67" s="37"/>
      <c r="AF67" s="97"/>
      <c r="AG67" s="14"/>
      <c r="AH67" s="14"/>
      <c r="AI67" s="14"/>
      <c r="AJ67" s="113"/>
      <c r="AQ67" s="128"/>
      <c r="AZ67" s="24"/>
    </row>
    <row r="68">
      <c r="A68" s="330"/>
      <c r="B68" s="206"/>
      <c r="C68" s="123"/>
      <c r="D68" s="123"/>
      <c r="E68" s="198" t="s">
        <v>137</v>
      </c>
      <c r="F68" s="88"/>
      <c r="G68" s="283"/>
      <c r="I68" s="284"/>
      <c r="J68" s="284"/>
      <c r="K68" s="36"/>
      <c r="L68" s="117"/>
      <c r="M68" s="128"/>
      <c r="N68" s="117"/>
      <c r="R68" s="117"/>
      <c r="S68" s="8"/>
      <c r="T68" s="121"/>
      <c r="V68" s="117"/>
      <c r="X68" s="117"/>
      <c r="Y68" s="127"/>
      <c r="Z68" s="155"/>
      <c r="AA68" s="36"/>
      <c r="AB68" s="36"/>
      <c r="AC68" s="111"/>
      <c r="AD68" s="112"/>
      <c r="AE68" s="37"/>
      <c r="AF68" s="97"/>
      <c r="AG68" s="14"/>
      <c r="AH68" s="14"/>
      <c r="AI68" s="14"/>
      <c r="AJ68" s="113"/>
      <c r="AQ68" s="128"/>
      <c r="AZ68" s="24"/>
    </row>
    <row r="69">
      <c r="A69" s="188" t="s">
        <v>169</v>
      </c>
      <c r="B69" s="189"/>
      <c r="C69" s="63"/>
      <c r="D69" s="63"/>
      <c r="E69" s="64">
        <f>(O70+P70+Q70+R70)/(O71+P71+Q71+R71)</f>
        <v>0.3</v>
      </c>
      <c r="F69" s="65"/>
      <c r="G69" s="133"/>
      <c r="H69" s="72"/>
      <c r="I69" s="67"/>
      <c r="J69" s="72"/>
      <c r="K69" s="68"/>
      <c r="L69" s="69"/>
      <c r="M69" s="63" t="s">
        <v>64</v>
      </c>
      <c r="N69" s="70"/>
      <c r="O69" s="71" t="s">
        <v>65</v>
      </c>
      <c r="P69" s="72"/>
      <c r="Q69" s="72"/>
      <c r="R69" s="70"/>
      <c r="S69" s="71" t="s">
        <v>66</v>
      </c>
      <c r="T69" s="70"/>
      <c r="U69" s="71" t="s">
        <v>67</v>
      </c>
      <c r="V69" s="70"/>
      <c r="W69" s="71" t="s">
        <v>68</v>
      </c>
      <c r="X69" s="70"/>
      <c r="Y69" s="134" t="s">
        <v>80</v>
      </c>
      <c r="Z69" s="74" t="s">
        <v>170</v>
      </c>
      <c r="AA69" s="75" t="s">
        <v>171</v>
      </c>
      <c r="AB69" s="75" t="s">
        <v>172</v>
      </c>
      <c r="AC69" s="135" t="s">
        <v>142</v>
      </c>
      <c r="AD69" s="74" t="s">
        <v>143</v>
      </c>
      <c r="AE69" s="63" t="s">
        <v>35</v>
      </c>
      <c r="AF69" s="78" t="s">
        <v>144</v>
      </c>
      <c r="AG69" s="79" t="s">
        <v>71</v>
      </c>
      <c r="AH69" s="79">
        <v>210.0</v>
      </c>
      <c r="AI69" s="79" t="s">
        <v>175</v>
      </c>
      <c r="AJ69" s="80" t="str">
        <f>AJ62</f>
        <v>開</v>
      </c>
      <c r="AK69" s="81" t="s">
        <v>38</v>
      </c>
      <c r="AL69" s="82" t="str">
        <f>AL62</f>
        <v>休</v>
      </c>
      <c r="AM69" s="81" t="s">
        <v>40</v>
      </c>
      <c r="AN69" s="82" t="s">
        <v>4</v>
      </c>
      <c r="AO69" s="81" t="s">
        <v>42</v>
      </c>
      <c r="AP69" s="82" t="str">
        <f>AP62</f>
        <v>傷</v>
      </c>
      <c r="AQ69" s="81" t="s">
        <v>44</v>
      </c>
      <c r="AR69" s="82" t="s">
        <v>8</v>
      </c>
      <c r="AS69" s="81" t="s">
        <v>46</v>
      </c>
      <c r="AT69" s="82" t="str">
        <f>AT62</f>
        <v>景</v>
      </c>
      <c r="AU69" s="81" t="s">
        <v>48</v>
      </c>
      <c r="AV69" s="82" t="str">
        <f>AV62</f>
        <v>死</v>
      </c>
      <c r="AW69" s="81" t="s">
        <v>50</v>
      </c>
      <c r="AX69" s="82" t="str">
        <f>AX62</f>
        <v>驚</v>
      </c>
      <c r="AY69" s="81" t="s">
        <v>52</v>
      </c>
      <c r="AZ69" s="83"/>
      <c r="BA69" s="84"/>
      <c r="BB69" s="84"/>
      <c r="BC69" s="84"/>
    </row>
    <row r="70">
      <c r="A70" s="192">
        <f>A63+1</f>
        <v>10</v>
      </c>
      <c r="B70" s="193"/>
      <c r="C70" s="12" t="s">
        <v>221</v>
      </c>
      <c r="E70" s="87" t="s">
        <v>222</v>
      </c>
      <c r="G70" s="324" t="str">
        <f t="shared" ref="G70:G71" si="91">G3:H3</f>
        <v>癸</v>
      </c>
      <c r="I70" s="275" t="str">
        <f t="shared" ref="I70:I71" si="92">I33:J33</f>
        <v>丙</v>
      </c>
      <c r="K70" s="90">
        <f>L70/L71</f>
        <v>0.425</v>
      </c>
      <c r="L70" s="126">
        <f t="shared" ref="L70:L71" si="93">O70+P70+Q70+U70+V70+W70+X70+R70+M70+N70+S70+T70</f>
        <v>425</v>
      </c>
      <c r="M70" s="92">
        <v>0.0</v>
      </c>
      <c r="N70" s="93">
        <v>0.0</v>
      </c>
      <c r="O70" s="92">
        <v>0.0</v>
      </c>
      <c r="P70" s="92">
        <v>20.0</v>
      </c>
      <c r="Q70" s="92">
        <v>50.0</v>
      </c>
      <c r="R70" s="93">
        <v>50.0</v>
      </c>
      <c r="S70" s="92">
        <v>10.0</v>
      </c>
      <c r="T70" s="93">
        <v>20.0</v>
      </c>
      <c r="U70" s="92">
        <f t="shared" ref="U70:V70" si="89">U39</f>
        <v>65</v>
      </c>
      <c r="V70" s="93">
        <f t="shared" si="89"/>
        <v>40</v>
      </c>
      <c r="W70" s="92">
        <f t="shared" ref="W70:X70" si="90">W33</f>
        <v>110</v>
      </c>
      <c r="X70" s="93">
        <f t="shared" si="90"/>
        <v>60</v>
      </c>
      <c r="Y70" s="73" t="s">
        <v>98</v>
      </c>
      <c r="Z70" s="94" t="s">
        <v>70</v>
      </c>
      <c r="AA70" s="36"/>
      <c r="AB70" s="169" t="s">
        <v>177</v>
      </c>
      <c r="AC70" s="278" t="s">
        <v>148</v>
      </c>
      <c r="AD70" s="96" t="s">
        <v>149</v>
      </c>
      <c r="AE70" s="37"/>
      <c r="AF70" s="97"/>
      <c r="AG70" s="12" t="s">
        <v>53</v>
      </c>
      <c r="AH70" s="12">
        <v>30.0</v>
      </c>
      <c r="AI70" s="12" t="s">
        <v>178</v>
      </c>
      <c r="AJ70" s="98" t="s">
        <v>86</v>
      </c>
      <c r="AK70" s="99" t="s">
        <v>87</v>
      </c>
      <c r="AL70" s="100" t="s">
        <v>88</v>
      </c>
      <c r="AM70" s="101" t="s">
        <v>89</v>
      </c>
      <c r="AN70" s="100" t="s">
        <v>45</v>
      </c>
      <c r="AO70" s="102" t="s">
        <v>90</v>
      </c>
      <c r="AP70" s="100" t="s">
        <v>43</v>
      </c>
      <c r="AQ70" s="101" t="s">
        <v>91</v>
      </c>
      <c r="AR70" s="100" t="s">
        <v>41</v>
      </c>
      <c r="AS70" s="103" t="s">
        <v>92</v>
      </c>
      <c r="AT70" s="100" t="s">
        <v>39</v>
      </c>
      <c r="AU70" s="99" t="s">
        <v>93</v>
      </c>
      <c r="AV70" s="100" t="s">
        <v>37</v>
      </c>
      <c r="AW70" s="99" t="s">
        <v>94</v>
      </c>
      <c r="AX70" s="100" t="s">
        <v>51</v>
      </c>
      <c r="AY70" s="101" t="s">
        <v>95</v>
      </c>
      <c r="AZ70" s="24"/>
    </row>
    <row r="71">
      <c r="A71" s="200" t="str">
        <f>G2</f>
        <v>พฤษภาคม</v>
      </c>
      <c r="B71" s="193"/>
      <c r="C71" s="161" t="s">
        <v>239</v>
      </c>
      <c r="E71" s="209" t="s">
        <v>76</v>
      </c>
      <c r="G71" s="223" t="str">
        <f t="shared" si="91"/>
        <v>巳</v>
      </c>
      <c r="I71" s="142" t="str">
        <f t="shared" si="92"/>
        <v>午</v>
      </c>
      <c r="K71" s="36"/>
      <c r="L71" s="109">
        <f t="shared" si="93"/>
        <v>1000</v>
      </c>
      <c r="M71" s="9">
        <v>0.0</v>
      </c>
      <c r="N71" s="110">
        <v>0.0</v>
      </c>
      <c r="O71" s="9">
        <v>100.0</v>
      </c>
      <c r="P71" s="9">
        <v>100.0</v>
      </c>
      <c r="Q71" s="9">
        <v>100.0</v>
      </c>
      <c r="R71" s="110">
        <v>100.0</v>
      </c>
      <c r="S71" s="9">
        <v>100.0</v>
      </c>
      <c r="T71" s="110">
        <v>100.0</v>
      </c>
      <c r="U71" s="9">
        <v>100.0</v>
      </c>
      <c r="V71" s="110">
        <v>100.0</v>
      </c>
      <c r="W71" s="9">
        <v>100.0</v>
      </c>
      <c r="X71" s="110">
        <v>100.0</v>
      </c>
      <c r="Y71" s="73" t="s">
        <v>116</v>
      </c>
      <c r="Z71" s="94" t="s">
        <v>181</v>
      </c>
      <c r="AA71" s="36"/>
      <c r="AB71" s="36"/>
      <c r="AC71" s="111"/>
      <c r="AD71" s="112"/>
      <c r="AE71" s="37"/>
      <c r="AF71" s="97"/>
      <c r="AG71" s="14"/>
      <c r="AH71" s="14"/>
      <c r="AI71" s="14"/>
      <c r="AJ71" s="113"/>
      <c r="AK71" s="104" t="s">
        <v>100</v>
      </c>
      <c r="AM71" s="114" t="s">
        <v>101</v>
      </c>
      <c r="AO71" s="105" t="s">
        <v>102</v>
      </c>
      <c r="AQ71" s="105" t="s">
        <v>103</v>
      </c>
      <c r="AS71" s="104" t="s">
        <v>104</v>
      </c>
      <c r="AU71" s="104" t="s">
        <v>105</v>
      </c>
      <c r="AW71" s="104" t="s">
        <v>106</v>
      </c>
      <c r="AY71" s="105" t="s">
        <v>107</v>
      </c>
      <c r="AZ71" s="24"/>
    </row>
    <row r="72">
      <c r="A72" s="192">
        <f>A10</f>
        <v>2569</v>
      </c>
      <c r="B72" s="193"/>
      <c r="E72" s="115" t="s">
        <v>114</v>
      </c>
      <c r="F72" s="116" t="s">
        <v>183</v>
      </c>
      <c r="G72" s="115" t="str">
        <f t="shared" ref="G72:H72" si="94">G41</f>
        <v>A11</v>
      </c>
      <c r="H72" s="9" t="str">
        <f t="shared" si="94"/>
        <v>B10</v>
      </c>
      <c r="I72" s="9" t="str">
        <f t="shared" ref="I72:J72" si="95">I35</f>
        <v>A5</v>
      </c>
      <c r="J72" s="9" t="str">
        <f t="shared" si="95"/>
        <v>B11</v>
      </c>
      <c r="K72" s="36"/>
      <c r="L72" s="117"/>
      <c r="M72" s="118" t="str">
        <f t="shared" ref="M72:P72" si="96">C72</f>
        <v/>
      </c>
      <c r="N72" s="119" t="str">
        <f t="shared" si="96"/>
        <v/>
      </c>
      <c r="O72" s="118" t="str">
        <f t="shared" si="96"/>
        <v>A10</v>
      </c>
      <c r="P72" s="118" t="str">
        <f t="shared" si="96"/>
        <v>B3</v>
      </c>
      <c r="Q72" s="118" t="str">
        <f t="shared" ref="Q72:R72" si="97">E73</f>
        <v>B9</v>
      </c>
      <c r="R72" s="119" t="str">
        <f t="shared" si="97"/>
        <v>C4</v>
      </c>
      <c r="S72" s="9" t="s">
        <v>108</v>
      </c>
      <c r="T72" s="110" t="s">
        <v>115</v>
      </c>
      <c r="U72" s="9" t="str">
        <f t="shared" ref="U72:X72" si="98">G72</f>
        <v>A11</v>
      </c>
      <c r="V72" s="119" t="str">
        <f t="shared" si="98"/>
        <v>B10</v>
      </c>
      <c r="W72" s="118" t="str">
        <f t="shared" si="98"/>
        <v>A5</v>
      </c>
      <c r="X72" s="120" t="str">
        <f t="shared" si="98"/>
        <v>B11</v>
      </c>
      <c r="Y72" s="73" t="s">
        <v>126</v>
      </c>
      <c r="Z72" s="94" t="s">
        <v>163</v>
      </c>
      <c r="AA72" s="36"/>
      <c r="AB72" s="36"/>
      <c r="AC72" s="111"/>
      <c r="AD72" s="112"/>
      <c r="AE72" s="37"/>
      <c r="AF72" s="97"/>
      <c r="AG72" s="14"/>
      <c r="AH72" s="14"/>
      <c r="AI72" s="14"/>
      <c r="AJ72" s="113"/>
      <c r="AK72" s="104" t="s">
        <v>118</v>
      </c>
      <c r="AM72" s="114" t="s">
        <v>119</v>
      </c>
      <c r="AO72" s="105" t="s">
        <v>120</v>
      </c>
      <c r="AQ72" s="105" t="s">
        <v>121</v>
      </c>
      <c r="AS72" s="104" t="s">
        <v>122</v>
      </c>
      <c r="AU72" s="104" t="s">
        <v>123</v>
      </c>
      <c r="AW72" s="104" t="s">
        <v>124</v>
      </c>
      <c r="AY72" s="105" t="s">
        <v>125</v>
      </c>
      <c r="AZ72" s="24"/>
    </row>
    <row r="73">
      <c r="A73" s="192">
        <f>A72-543</f>
        <v>2026</v>
      </c>
      <c r="B73" s="193"/>
      <c r="C73" s="331"/>
      <c r="E73" s="115" t="s">
        <v>212</v>
      </c>
      <c r="F73" s="116" t="s">
        <v>190</v>
      </c>
      <c r="G73" s="115"/>
      <c r="H73" s="118"/>
      <c r="I73" s="118"/>
      <c r="J73" s="118"/>
      <c r="K73" s="36"/>
      <c r="L73" s="117"/>
      <c r="M73" s="326"/>
      <c r="N73" s="327"/>
      <c r="R73" s="117"/>
      <c r="T73" s="117"/>
      <c r="V73" s="117"/>
      <c r="X73" s="117"/>
      <c r="Y73" s="73" t="s">
        <v>69</v>
      </c>
      <c r="Z73" s="94" t="s">
        <v>99</v>
      </c>
      <c r="AA73" s="36"/>
      <c r="AB73" s="36"/>
      <c r="AC73" s="111"/>
      <c r="AD73" s="112"/>
      <c r="AE73" s="37"/>
      <c r="AF73" s="97"/>
      <c r="AG73" s="14"/>
      <c r="AH73" s="14"/>
      <c r="AI73" s="14"/>
      <c r="AJ73" s="113"/>
      <c r="AK73" s="104" t="s">
        <v>129</v>
      </c>
      <c r="AM73" s="114" t="s">
        <v>130</v>
      </c>
      <c r="AO73" s="105" t="s">
        <v>131</v>
      </c>
      <c r="AQ73" s="105" t="s">
        <v>132</v>
      </c>
      <c r="AS73" s="104" t="s">
        <v>133</v>
      </c>
      <c r="AU73" s="104" t="s">
        <v>134</v>
      </c>
      <c r="AW73" s="104" t="s">
        <v>135</v>
      </c>
      <c r="AY73" s="105" t="s">
        <v>136</v>
      </c>
      <c r="AZ73" s="24"/>
    </row>
    <row r="74">
      <c r="A74" s="113"/>
      <c r="B74" s="206"/>
      <c r="C74" s="123"/>
      <c r="D74" s="123"/>
      <c r="E74" s="176" t="s">
        <v>157</v>
      </c>
      <c r="F74" s="88"/>
      <c r="G74" s="210" t="str">
        <f>G5:H5</f>
        <v>อสูรเดือน E</v>
      </c>
      <c r="I74" s="211" t="str">
        <f>I5:J5</f>
        <v>อสูรปี N</v>
      </c>
      <c r="K74" s="36"/>
      <c r="L74" s="117"/>
      <c r="M74" s="326"/>
      <c r="N74" s="327"/>
      <c r="R74" s="117"/>
      <c r="S74" s="8"/>
      <c r="T74" s="121"/>
      <c r="V74" s="117"/>
      <c r="X74" s="117"/>
      <c r="Y74" s="127"/>
      <c r="Z74" s="155"/>
      <c r="AA74" s="36"/>
      <c r="AB74" s="36"/>
      <c r="AC74" s="111"/>
      <c r="AD74" s="112"/>
      <c r="AE74" s="37"/>
      <c r="AF74" s="97"/>
      <c r="AG74" s="14"/>
      <c r="AH74" s="14"/>
      <c r="AI74" s="14"/>
      <c r="AJ74" s="113"/>
      <c r="AK74" s="128"/>
      <c r="AM74" s="128"/>
      <c r="AO74" s="128"/>
      <c r="AQ74" s="129"/>
      <c r="AS74" s="130"/>
      <c r="AU74" s="131"/>
      <c r="AW74" s="131"/>
      <c r="AY74" s="131"/>
      <c r="AZ74" s="24"/>
    </row>
    <row r="75">
      <c r="A75" s="188" t="s">
        <v>186</v>
      </c>
      <c r="B75" s="189"/>
      <c r="C75" s="63"/>
      <c r="D75" s="63"/>
      <c r="E75" s="64">
        <f>(O76+P76+Q76+R76)/(O77+P77+Q77+R77)</f>
        <v>0.475</v>
      </c>
      <c r="F75" s="65"/>
      <c r="G75" s="133"/>
      <c r="H75" s="72"/>
      <c r="I75" s="67"/>
      <c r="J75" s="72"/>
      <c r="K75" s="68"/>
      <c r="L75" s="69"/>
      <c r="M75" s="63" t="s">
        <v>64</v>
      </c>
      <c r="N75" s="70"/>
      <c r="O75" s="71" t="s">
        <v>65</v>
      </c>
      <c r="P75" s="72"/>
      <c r="Q75" s="72"/>
      <c r="R75" s="70"/>
      <c r="S75" s="71" t="s">
        <v>66</v>
      </c>
      <c r="T75" s="70"/>
      <c r="U75" s="71" t="s">
        <v>67</v>
      </c>
      <c r="V75" s="70"/>
      <c r="W75" s="71" t="s">
        <v>68</v>
      </c>
      <c r="X75" s="70"/>
      <c r="Y75" s="134" t="s">
        <v>80</v>
      </c>
      <c r="Z75" s="74" t="s">
        <v>159</v>
      </c>
      <c r="AA75" s="75" t="s">
        <v>202</v>
      </c>
      <c r="AB75" s="75" t="s">
        <v>226</v>
      </c>
      <c r="AC75" s="135" t="s">
        <v>142</v>
      </c>
      <c r="AD75" s="74" t="s">
        <v>143</v>
      </c>
      <c r="AE75" s="63" t="s">
        <v>35</v>
      </c>
      <c r="AF75" s="78" t="s">
        <v>36</v>
      </c>
      <c r="AG75" s="79" t="s">
        <v>76</v>
      </c>
      <c r="AH75" s="79">
        <v>240.0</v>
      </c>
      <c r="AI75" s="79" t="s">
        <v>77</v>
      </c>
      <c r="AJ75" s="80" t="str">
        <f>AJ69</f>
        <v>開</v>
      </c>
      <c r="AK75" s="81" t="s">
        <v>38</v>
      </c>
      <c r="AL75" s="82" t="str">
        <f>AL69</f>
        <v>休</v>
      </c>
      <c r="AM75" s="81" t="s">
        <v>40</v>
      </c>
      <c r="AN75" s="82" t="s">
        <v>4</v>
      </c>
      <c r="AO75" s="81" t="s">
        <v>42</v>
      </c>
      <c r="AP75" s="82" t="str">
        <f>AP69</f>
        <v>傷</v>
      </c>
      <c r="AQ75" s="81" t="s">
        <v>44</v>
      </c>
      <c r="AR75" s="82" t="s">
        <v>8</v>
      </c>
      <c r="AS75" s="81" t="s">
        <v>46</v>
      </c>
      <c r="AT75" s="82" t="str">
        <f>AT69</f>
        <v>景</v>
      </c>
      <c r="AU75" s="81" t="s">
        <v>48</v>
      </c>
      <c r="AV75" s="82" t="str">
        <f>AV69</f>
        <v>死</v>
      </c>
      <c r="AW75" s="81" t="s">
        <v>50</v>
      </c>
      <c r="AX75" s="82" t="str">
        <f>AX69</f>
        <v>驚</v>
      </c>
      <c r="AY75" s="81" t="s">
        <v>52</v>
      </c>
      <c r="AZ75" s="83"/>
      <c r="BA75" s="84"/>
      <c r="BB75" s="84"/>
      <c r="BC75" s="84"/>
    </row>
    <row r="76">
      <c r="A76" s="192">
        <f>A70+1</f>
        <v>11</v>
      </c>
      <c r="B76" s="193"/>
      <c r="C76" s="12" t="s">
        <v>221</v>
      </c>
      <c r="E76" s="87" t="s">
        <v>31</v>
      </c>
      <c r="G76" s="324" t="str">
        <f t="shared" ref="G76:G77" si="101">G3:H3</f>
        <v>癸</v>
      </c>
      <c r="I76" s="275" t="str">
        <f t="shared" ref="I76:I77" si="102">I33:J33</f>
        <v>丙</v>
      </c>
      <c r="K76" s="90">
        <f>L76/L77</f>
        <v>0.52</v>
      </c>
      <c r="L76" s="126">
        <f t="shared" ref="L76:L77" si="103">O76+P76+Q76+U76+V76+W76+X76+R76+M76+N76+S76+T76</f>
        <v>520</v>
      </c>
      <c r="M76" s="92">
        <v>0.0</v>
      </c>
      <c r="N76" s="93">
        <v>0.0</v>
      </c>
      <c r="O76" s="92">
        <v>0.0</v>
      </c>
      <c r="P76" s="92">
        <v>30.0</v>
      </c>
      <c r="Q76" s="92">
        <v>80.0</v>
      </c>
      <c r="R76" s="93">
        <v>80.0</v>
      </c>
      <c r="S76" s="92">
        <v>20.0</v>
      </c>
      <c r="T76" s="93">
        <v>35.0</v>
      </c>
      <c r="U76" s="92">
        <f t="shared" ref="U76:V76" si="99">U39</f>
        <v>65</v>
      </c>
      <c r="V76" s="93">
        <f t="shared" si="99"/>
        <v>40</v>
      </c>
      <c r="W76" s="92">
        <f t="shared" ref="W76:X76" si="100">W33</f>
        <v>110</v>
      </c>
      <c r="X76" s="93">
        <f t="shared" si="100"/>
        <v>60</v>
      </c>
      <c r="Y76" s="73" t="s">
        <v>98</v>
      </c>
      <c r="Z76" s="94" t="s">
        <v>152</v>
      </c>
      <c r="AA76" s="36"/>
      <c r="AB76" s="29" t="s">
        <v>227</v>
      </c>
      <c r="AC76" s="139" t="s">
        <v>148</v>
      </c>
      <c r="AD76" s="96" t="s">
        <v>149</v>
      </c>
      <c r="AE76" s="37"/>
      <c r="AF76" s="97"/>
      <c r="AG76" s="12" t="s">
        <v>84</v>
      </c>
      <c r="AH76" s="12">
        <v>0.0</v>
      </c>
      <c r="AI76" s="12" t="s">
        <v>85</v>
      </c>
      <c r="AJ76" s="98" t="s">
        <v>37</v>
      </c>
      <c r="AK76" s="99" t="s">
        <v>94</v>
      </c>
      <c r="AL76" s="100" t="s">
        <v>51</v>
      </c>
      <c r="AM76" s="101" t="s">
        <v>95</v>
      </c>
      <c r="AN76" s="100" t="s">
        <v>86</v>
      </c>
      <c r="AO76" s="99" t="s">
        <v>87</v>
      </c>
      <c r="AP76" s="100" t="s">
        <v>88</v>
      </c>
      <c r="AQ76" s="101" t="s">
        <v>89</v>
      </c>
      <c r="AR76" s="100" t="s">
        <v>45</v>
      </c>
      <c r="AS76" s="102" t="s">
        <v>90</v>
      </c>
      <c r="AT76" s="100" t="s">
        <v>43</v>
      </c>
      <c r="AU76" s="101" t="s">
        <v>91</v>
      </c>
      <c r="AV76" s="100" t="s">
        <v>41</v>
      </c>
      <c r="AW76" s="103" t="s">
        <v>92</v>
      </c>
      <c r="AX76" s="100" t="s">
        <v>39</v>
      </c>
      <c r="AY76" s="99" t="s">
        <v>93</v>
      </c>
      <c r="AZ76" s="24"/>
    </row>
    <row r="77">
      <c r="A77" s="200" t="str">
        <f>A52</f>
        <v>พฤษภาคม</v>
      </c>
      <c r="B77" s="193"/>
      <c r="C77" s="106" t="s">
        <v>96</v>
      </c>
      <c r="E77" s="209" t="s">
        <v>32</v>
      </c>
      <c r="G77" s="223" t="str">
        <f t="shared" si="101"/>
        <v>巳</v>
      </c>
      <c r="I77" s="142" t="str">
        <f t="shared" si="102"/>
        <v>午</v>
      </c>
      <c r="K77" s="36"/>
      <c r="L77" s="109">
        <f t="shared" si="103"/>
        <v>1000</v>
      </c>
      <c r="M77" s="9">
        <v>0.0</v>
      </c>
      <c r="N77" s="110">
        <v>0.0</v>
      </c>
      <c r="O77" s="9">
        <v>100.0</v>
      </c>
      <c r="P77" s="9">
        <v>100.0</v>
      </c>
      <c r="Q77" s="9">
        <v>100.0</v>
      </c>
      <c r="R77" s="110">
        <v>100.0</v>
      </c>
      <c r="S77" s="9">
        <v>100.0</v>
      </c>
      <c r="T77" s="110">
        <v>100.0</v>
      </c>
      <c r="U77" s="9">
        <v>100.0</v>
      </c>
      <c r="V77" s="110">
        <v>100.0</v>
      </c>
      <c r="W77" s="9">
        <v>100.0</v>
      </c>
      <c r="X77" s="110">
        <v>100.0</v>
      </c>
      <c r="Y77" s="73" t="s">
        <v>116</v>
      </c>
      <c r="Z77" s="94" t="s">
        <v>81</v>
      </c>
      <c r="AA77" s="36"/>
      <c r="AB77" s="36"/>
      <c r="AC77" s="111"/>
      <c r="AD77" s="112"/>
      <c r="AE77" s="37"/>
      <c r="AF77" s="97"/>
      <c r="AG77" s="14"/>
      <c r="AH77" s="14"/>
      <c r="AI77" s="14"/>
      <c r="AJ77" s="113"/>
      <c r="AK77" s="104" t="s">
        <v>106</v>
      </c>
      <c r="AM77" s="105" t="s">
        <v>107</v>
      </c>
      <c r="AO77" s="104" t="s">
        <v>100</v>
      </c>
      <c r="AQ77" s="114" t="s">
        <v>101</v>
      </c>
      <c r="AS77" s="105" t="s">
        <v>102</v>
      </c>
      <c r="AU77" s="105" t="s">
        <v>103</v>
      </c>
      <c r="AW77" s="104" t="s">
        <v>104</v>
      </c>
      <c r="AY77" s="104" t="s">
        <v>105</v>
      </c>
      <c r="AZ77" s="24"/>
    </row>
    <row r="78">
      <c r="A78" s="192">
        <f>A10</f>
        <v>2569</v>
      </c>
      <c r="B78" s="193"/>
      <c r="E78" s="115" t="s">
        <v>114</v>
      </c>
      <c r="F78" s="116" t="s">
        <v>109</v>
      </c>
      <c r="G78" s="115" t="str">
        <f t="shared" ref="G78:H78" si="104">G41</f>
        <v>A11</v>
      </c>
      <c r="H78" s="9" t="str">
        <f t="shared" si="104"/>
        <v>B10</v>
      </c>
      <c r="I78" s="9" t="str">
        <f t="shared" ref="I78:J78" si="105">I35</f>
        <v>A5</v>
      </c>
      <c r="J78" s="9" t="str">
        <f t="shared" si="105"/>
        <v>B11</v>
      </c>
      <c r="K78" s="36"/>
      <c r="L78" s="117"/>
      <c r="M78" s="118" t="str">
        <f t="shared" ref="M78:P78" si="106">C78</f>
        <v/>
      </c>
      <c r="N78" s="119" t="str">
        <f t="shared" si="106"/>
        <v/>
      </c>
      <c r="O78" s="118" t="str">
        <f t="shared" si="106"/>
        <v>A10</v>
      </c>
      <c r="P78" s="118" t="str">
        <f t="shared" si="106"/>
        <v>B4</v>
      </c>
      <c r="Q78" s="118" t="str">
        <f t="shared" ref="Q78:R78" si="107">E79</f>
        <v>B8</v>
      </c>
      <c r="R78" s="119" t="str">
        <f t="shared" si="107"/>
        <v>C5</v>
      </c>
      <c r="S78" s="9" t="s">
        <v>115</v>
      </c>
      <c r="T78" s="110" t="s">
        <v>112</v>
      </c>
      <c r="U78" s="9" t="str">
        <f t="shared" ref="U78:X78" si="108">G78</f>
        <v>A11</v>
      </c>
      <c r="V78" s="119" t="str">
        <f t="shared" si="108"/>
        <v>B10</v>
      </c>
      <c r="W78" s="118" t="str">
        <f t="shared" si="108"/>
        <v>A5</v>
      </c>
      <c r="X78" s="120" t="str">
        <f t="shared" si="108"/>
        <v>B11</v>
      </c>
      <c r="Y78" s="73" t="s">
        <v>126</v>
      </c>
      <c r="Z78" s="94" t="s">
        <v>99</v>
      </c>
      <c r="AA78" s="36"/>
      <c r="AB78" s="36"/>
      <c r="AC78" s="111"/>
      <c r="AD78" s="112"/>
      <c r="AE78" s="37"/>
      <c r="AF78" s="97"/>
      <c r="AG78" s="14"/>
      <c r="AH78" s="14"/>
      <c r="AI78" s="14"/>
      <c r="AJ78" s="113"/>
      <c r="AK78" s="104" t="s">
        <v>124</v>
      </c>
      <c r="AM78" s="105" t="s">
        <v>125</v>
      </c>
      <c r="AO78" s="104" t="s">
        <v>118</v>
      </c>
      <c r="AQ78" s="114" t="s">
        <v>119</v>
      </c>
      <c r="AS78" s="105" t="s">
        <v>120</v>
      </c>
      <c r="AU78" s="105" t="s">
        <v>121</v>
      </c>
      <c r="AW78" s="104" t="s">
        <v>122</v>
      </c>
      <c r="AY78" s="104" t="s">
        <v>123</v>
      </c>
      <c r="AZ78" s="24"/>
    </row>
    <row r="79">
      <c r="A79" s="192">
        <f>A78-543</f>
        <v>2026</v>
      </c>
      <c r="B79" s="193"/>
      <c r="C79" s="163"/>
      <c r="E79" s="115" t="s">
        <v>69</v>
      </c>
      <c r="F79" s="116" t="s">
        <v>205</v>
      </c>
      <c r="G79" s="115"/>
      <c r="H79" s="118"/>
      <c r="I79" s="118"/>
      <c r="J79" s="118"/>
      <c r="K79" s="36"/>
      <c r="L79" s="117"/>
      <c r="M79" s="326"/>
      <c r="N79" s="327"/>
      <c r="R79" s="117"/>
      <c r="T79" s="117"/>
      <c r="V79" s="117"/>
      <c r="X79" s="117"/>
      <c r="Y79" s="73" t="s">
        <v>69</v>
      </c>
      <c r="Z79" s="94" t="s">
        <v>155</v>
      </c>
      <c r="AA79" s="36"/>
      <c r="AB79" s="36"/>
      <c r="AC79" s="111"/>
      <c r="AD79" s="112"/>
      <c r="AE79" s="37"/>
      <c r="AF79" s="97"/>
      <c r="AG79" s="14"/>
      <c r="AH79" s="14"/>
      <c r="AI79" s="14"/>
      <c r="AJ79" s="113"/>
      <c r="AK79" s="104" t="s">
        <v>135</v>
      </c>
      <c r="AM79" s="105" t="s">
        <v>136</v>
      </c>
      <c r="AO79" s="104" t="s">
        <v>129</v>
      </c>
      <c r="AQ79" s="114" t="s">
        <v>130</v>
      </c>
      <c r="AS79" s="105" t="s">
        <v>131</v>
      </c>
      <c r="AU79" s="105" t="s">
        <v>132</v>
      </c>
      <c r="AW79" s="104" t="s">
        <v>133</v>
      </c>
      <c r="AY79" s="104" t="s">
        <v>134</v>
      </c>
      <c r="AZ79" s="24"/>
    </row>
    <row r="80">
      <c r="A80" s="279"/>
      <c r="B80" s="206"/>
      <c r="C80" s="123"/>
      <c r="D80" s="123"/>
      <c r="E80" s="164" t="s">
        <v>168</v>
      </c>
      <c r="F80" s="88"/>
      <c r="G80" s="207" t="str">
        <f>G5:H5</f>
        <v>อสูรเดือน E</v>
      </c>
      <c r="I80" s="208" t="str">
        <f>I5:J5</f>
        <v>อสูรปี N</v>
      </c>
      <c r="K80" s="36"/>
      <c r="L80" s="117"/>
      <c r="M80" s="326"/>
      <c r="N80" s="327"/>
      <c r="R80" s="117"/>
      <c r="T80" s="117"/>
      <c r="V80" s="117"/>
      <c r="X80" s="117"/>
      <c r="Y80" s="127"/>
      <c r="Z80" s="155"/>
      <c r="AA80" s="36"/>
      <c r="AB80" s="36"/>
      <c r="AC80" s="111"/>
      <c r="AD80" s="112"/>
      <c r="AE80" s="37"/>
      <c r="AF80" s="97"/>
      <c r="AG80" s="14"/>
      <c r="AH80" s="14"/>
      <c r="AI80" s="14"/>
      <c r="AJ80" s="113"/>
      <c r="AO80" s="128"/>
      <c r="AZ80" s="24"/>
    </row>
    <row r="81">
      <c r="A81" s="188" t="s">
        <v>191</v>
      </c>
      <c r="B81" s="189"/>
      <c r="C81" s="63"/>
      <c r="D81" s="63"/>
      <c r="E81" s="216">
        <f>(O82+P82+Q82+R82)/(O83+P83+Q83+R83)</f>
        <v>0.575</v>
      </c>
      <c r="F81" s="65"/>
      <c r="G81" s="133"/>
      <c r="H81" s="72"/>
      <c r="I81" s="67"/>
      <c r="J81" s="72"/>
      <c r="K81" s="68"/>
      <c r="L81" s="69"/>
      <c r="M81" s="63" t="s">
        <v>64</v>
      </c>
      <c r="N81" s="70"/>
      <c r="O81" s="71" t="s">
        <v>65</v>
      </c>
      <c r="P81" s="72"/>
      <c r="Q81" s="72"/>
      <c r="R81" s="70"/>
      <c r="S81" s="71" t="s">
        <v>66</v>
      </c>
      <c r="T81" s="70"/>
      <c r="U81" s="71" t="s">
        <v>67</v>
      </c>
      <c r="V81" s="70"/>
      <c r="W81" s="71" t="s">
        <v>68</v>
      </c>
      <c r="X81" s="70"/>
      <c r="Y81" s="134" t="s">
        <v>80</v>
      </c>
      <c r="Z81" s="74" t="s">
        <v>181</v>
      </c>
      <c r="AA81" s="75" t="s">
        <v>202</v>
      </c>
      <c r="AB81" s="75" t="s">
        <v>226</v>
      </c>
      <c r="AC81" s="167" t="s">
        <v>173</v>
      </c>
      <c r="AD81" s="74" t="s">
        <v>174</v>
      </c>
      <c r="AE81" s="63" t="s">
        <v>75</v>
      </c>
      <c r="AF81" s="78" t="s">
        <v>34</v>
      </c>
      <c r="AG81" s="79" t="s">
        <v>32</v>
      </c>
      <c r="AH81" s="79">
        <v>270.0</v>
      </c>
      <c r="AI81" s="79" t="s">
        <v>145</v>
      </c>
      <c r="AJ81" s="80" t="str">
        <f>AJ75</f>
        <v>開</v>
      </c>
      <c r="AK81" s="81" t="s">
        <v>40</v>
      </c>
      <c r="AL81" s="82" t="str">
        <f>AL75</f>
        <v>休</v>
      </c>
      <c r="AM81" s="81" t="s">
        <v>42</v>
      </c>
      <c r="AN81" s="82" t="s">
        <v>4</v>
      </c>
      <c r="AO81" s="81" t="s">
        <v>44</v>
      </c>
      <c r="AP81" s="82" t="str">
        <f>AP75</f>
        <v>傷</v>
      </c>
      <c r="AQ81" s="81" t="s">
        <v>46</v>
      </c>
      <c r="AR81" s="82" t="s">
        <v>8</v>
      </c>
      <c r="AS81" s="81" t="s">
        <v>48</v>
      </c>
      <c r="AT81" s="82" t="str">
        <f>AT75</f>
        <v>景</v>
      </c>
      <c r="AU81" s="81" t="s">
        <v>50</v>
      </c>
      <c r="AV81" s="82" t="str">
        <f>AV75</f>
        <v>死</v>
      </c>
      <c r="AW81" s="81" t="s">
        <v>52</v>
      </c>
      <c r="AX81" s="82" t="str">
        <f>AX75</f>
        <v>驚</v>
      </c>
      <c r="AY81" s="81" t="s">
        <v>38</v>
      </c>
      <c r="AZ81" s="83"/>
      <c r="BA81" s="84"/>
      <c r="BB81" s="84"/>
      <c r="BC81" s="84"/>
    </row>
    <row r="82">
      <c r="A82" s="192">
        <f>A76+1</f>
        <v>12</v>
      </c>
      <c r="B82" s="193"/>
      <c r="C82" s="12" t="s">
        <v>216</v>
      </c>
      <c r="E82" s="214" t="s">
        <v>147</v>
      </c>
      <c r="G82" s="324" t="str">
        <f t="shared" ref="G82:G83" si="111">G3:H3</f>
        <v>癸</v>
      </c>
      <c r="I82" s="275" t="str">
        <f t="shared" ref="I82:I83" si="112">I33:J33</f>
        <v>丙</v>
      </c>
      <c r="K82" s="90">
        <f>L82/L83</f>
        <v>0.63</v>
      </c>
      <c r="L82" s="126">
        <f t="shared" ref="L82:L83" si="113">O82+P82+Q82+U82+V82+W82+X82+R82+M82+N82+S82+T82</f>
        <v>630</v>
      </c>
      <c r="M82" s="92">
        <v>0.0</v>
      </c>
      <c r="N82" s="93">
        <v>0.0</v>
      </c>
      <c r="O82" s="92">
        <v>50.0</v>
      </c>
      <c r="P82" s="92">
        <v>100.0</v>
      </c>
      <c r="Q82" s="92">
        <v>0.0</v>
      </c>
      <c r="R82" s="93">
        <v>80.0</v>
      </c>
      <c r="S82" s="92">
        <v>25.0</v>
      </c>
      <c r="T82" s="93">
        <v>100.0</v>
      </c>
      <c r="U82" s="92">
        <f t="shared" ref="U82:V82" si="109">U39</f>
        <v>65</v>
      </c>
      <c r="V82" s="93">
        <f t="shared" si="109"/>
        <v>40</v>
      </c>
      <c r="W82" s="92">
        <f t="shared" ref="W82:X82" si="110">W33</f>
        <v>110</v>
      </c>
      <c r="X82" s="93">
        <f t="shared" si="110"/>
        <v>60</v>
      </c>
      <c r="Y82" s="73" t="s">
        <v>98</v>
      </c>
      <c r="Z82" s="94" t="s">
        <v>163</v>
      </c>
      <c r="AA82" s="36"/>
      <c r="AB82" s="29" t="s">
        <v>227</v>
      </c>
      <c r="AC82" s="170" t="s">
        <v>73</v>
      </c>
      <c r="AD82" s="25" t="s">
        <v>74</v>
      </c>
      <c r="AE82" s="97"/>
      <c r="AF82" s="97"/>
      <c r="AG82" s="12" t="s">
        <v>97</v>
      </c>
      <c r="AH82" s="12">
        <v>330.0</v>
      </c>
      <c r="AI82" s="12" t="s">
        <v>150</v>
      </c>
      <c r="AJ82" s="98" t="s">
        <v>86</v>
      </c>
      <c r="AK82" s="99" t="s">
        <v>87</v>
      </c>
      <c r="AL82" s="100" t="s">
        <v>88</v>
      </c>
      <c r="AM82" s="101" t="s">
        <v>89</v>
      </c>
      <c r="AN82" s="100" t="s">
        <v>45</v>
      </c>
      <c r="AO82" s="102" t="s">
        <v>90</v>
      </c>
      <c r="AP82" s="100" t="s">
        <v>43</v>
      </c>
      <c r="AQ82" s="101" t="s">
        <v>91</v>
      </c>
      <c r="AR82" s="100" t="s">
        <v>41</v>
      </c>
      <c r="AS82" s="103" t="s">
        <v>92</v>
      </c>
      <c r="AT82" s="100" t="s">
        <v>39</v>
      </c>
      <c r="AU82" s="99" t="s">
        <v>93</v>
      </c>
      <c r="AV82" s="100" t="s">
        <v>37</v>
      </c>
      <c r="AW82" s="99" t="s">
        <v>94</v>
      </c>
      <c r="AX82" s="100" t="s">
        <v>51</v>
      </c>
      <c r="AY82" s="101" t="s">
        <v>95</v>
      </c>
      <c r="AZ82" s="24"/>
    </row>
    <row r="83">
      <c r="A83" s="215" t="str">
        <f>G2</f>
        <v>พฤษภาคม</v>
      </c>
      <c r="B83" s="193"/>
      <c r="C83" s="161" t="s">
        <v>151</v>
      </c>
      <c r="E83" s="162" t="s">
        <v>206</v>
      </c>
      <c r="G83" s="223" t="str">
        <f t="shared" si="111"/>
        <v>巳</v>
      </c>
      <c r="I83" s="142" t="str">
        <f t="shared" si="112"/>
        <v>午</v>
      </c>
      <c r="K83" s="36"/>
      <c r="L83" s="109">
        <f t="shared" si="113"/>
        <v>1000</v>
      </c>
      <c r="M83" s="9">
        <v>0.0</v>
      </c>
      <c r="N83" s="110">
        <v>0.0</v>
      </c>
      <c r="O83" s="9">
        <v>100.0</v>
      </c>
      <c r="P83" s="9">
        <v>100.0</v>
      </c>
      <c r="Q83" s="9">
        <v>100.0</v>
      </c>
      <c r="R83" s="110">
        <v>100.0</v>
      </c>
      <c r="S83" s="9">
        <v>100.0</v>
      </c>
      <c r="T83" s="110">
        <v>100.0</v>
      </c>
      <c r="U83" s="9">
        <v>100.0</v>
      </c>
      <c r="V83" s="110">
        <v>100.0</v>
      </c>
      <c r="W83" s="9">
        <v>100.0</v>
      </c>
      <c r="X83" s="110">
        <v>100.0</v>
      </c>
      <c r="Y83" s="73" t="s">
        <v>116</v>
      </c>
      <c r="Z83" s="94" t="s">
        <v>153</v>
      </c>
      <c r="AA83" s="36"/>
      <c r="AB83" s="36"/>
      <c r="AC83" s="111"/>
      <c r="AD83" s="13"/>
      <c r="AE83" s="280"/>
      <c r="AF83" s="280"/>
      <c r="AG83" s="14"/>
      <c r="AH83" s="14"/>
      <c r="AI83" s="14"/>
      <c r="AJ83" s="113"/>
      <c r="AK83" s="104" t="s">
        <v>100</v>
      </c>
      <c r="AM83" s="114" t="s">
        <v>101</v>
      </c>
      <c r="AO83" s="105" t="s">
        <v>102</v>
      </c>
      <c r="AQ83" s="105" t="s">
        <v>103</v>
      </c>
      <c r="AS83" s="104" t="s">
        <v>104</v>
      </c>
      <c r="AU83" s="104" t="s">
        <v>105</v>
      </c>
      <c r="AW83" s="104" t="s">
        <v>106</v>
      </c>
      <c r="AY83" s="105" t="s">
        <v>107</v>
      </c>
      <c r="AZ83" s="24"/>
    </row>
    <row r="84">
      <c r="A84" s="192">
        <f>A10</f>
        <v>2569</v>
      </c>
      <c r="B84" s="193"/>
      <c r="E84" s="115" t="s">
        <v>164</v>
      </c>
      <c r="F84" s="116" t="s">
        <v>116</v>
      </c>
      <c r="G84" s="115" t="str">
        <f t="shared" ref="G84:H84" si="114">G41</f>
        <v>A11</v>
      </c>
      <c r="H84" s="9" t="str">
        <f t="shared" si="114"/>
        <v>B10</v>
      </c>
      <c r="I84" s="9" t="str">
        <f t="shared" ref="I84:J84" si="115">I35</f>
        <v>A5</v>
      </c>
      <c r="J84" s="9" t="str">
        <f t="shared" si="115"/>
        <v>B11</v>
      </c>
      <c r="K84" s="36"/>
      <c r="L84" s="117"/>
      <c r="M84" s="118" t="str">
        <f t="shared" ref="M84:P84" si="116">C84</f>
        <v/>
      </c>
      <c r="N84" s="119" t="str">
        <f t="shared" si="116"/>
        <v/>
      </c>
      <c r="O84" s="118" t="str">
        <f t="shared" si="116"/>
        <v>A9</v>
      </c>
      <c r="P84" s="118" t="str">
        <f t="shared" si="116"/>
        <v>B5</v>
      </c>
      <c r="Q84" s="118" t="str">
        <f t="shared" ref="Q84:R84" si="117">E85</f>
        <v>B7</v>
      </c>
      <c r="R84" s="119" t="str">
        <f t="shared" si="117"/>
        <v>C6</v>
      </c>
      <c r="S84" s="9" t="s">
        <v>198</v>
      </c>
      <c r="T84" s="110" t="s">
        <v>213</v>
      </c>
      <c r="U84" s="9" t="str">
        <f t="shared" ref="U84:X84" si="118">G84</f>
        <v>A11</v>
      </c>
      <c r="V84" s="119" t="str">
        <f t="shared" si="118"/>
        <v>B10</v>
      </c>
      <c r="W84" s="118" t="str">
        <f t="shared" si="118"/>
        <v>A5</v>
      </c>
      <c r="X84" s="120" t="str">
        <f t="shared" si="118"/>
        <v>B11</v>
      </c>
      <c r="Y84" s="73" t="s">
        <v>126</v>
      </c>
      <c r="Z84" s="94" t="s">
        <v>155</v>
      </c>
      <c r="AA84" s="36"/>
      <c r="AB84" s="36"/>
      <c r="AC84" s="111"/>
      <c r="AD84" s="112"/>
      <c r="AE84" s="37"/>
      <c r="AF84" s="97"/>
      <c r="AG84" s="14"/>
      <c r="AH84" s="14"/>
      <c r="AI84" s="14"/>
      <c r="AJ84" s="113"/>
      <c r="AK84" s="104" t="s">
        <v>118</v>
      </c>
      <c r="AM84" s="114" t="s">
        <v>119</v>
      </c>
      <c r="AO84" s="105" t="s">
        <v>120</v>
      </c>
      <c r="AQ84" s="105" t="s">
        <v>121</v>
      </c>
      <c r="AS84" s="104" t="s">
        <v>122</v>
      </c>
      <c r="AU84" s="104" t="s">
        <v>123</v>
      </c>
      <c r="AW84" s="104" t="s">
        <v>124</v>
      </c>
      <c r="AY84" s="105" t="s">
        <v>125</v>
      </c>
      <c r="AZ84" s="24"/>
    </row>
    <row r="85">
      <c r="A85" s="192">
        <f>A84-543</f>
        <v>2026</v>
      </c>
      <c r="B85" s="193"/>
      <c r="C85" s="12"/>
      <c r="E85" s="115" t="s">
        <v>111</v>
      </c>
      <c r="F85" s="116" t="s">
        <v>215</v>
      </c>
      <c r="G85" s="115"/>
      <c r="H85" s="118"/>
      <c r="I85" s="118"/>
      <c r="J85" s="118"/>
      <c r="K85" s="36"/>
      <c r="L85" s="117"/>
      <c r="M85" s="326"/>
      <c r="N85" s="327"/>
      <c r="R85" s="117"/>
      <c r="T85" s="117"/>
      <c r="V85" s="117"/>
      <c r="X85" s="117"/>
      <c r="Y85" s="73" t="s">
        <v>69</v>
      </c>
      <c r="Z85" s="94" t="s">
        <v>128</v>
      </c>
      <c r="AA85" s="36"/>
      <c r="AB85" s="36"/>
      <c r="AC85" s="111"/>
      <c r="AD85" s="112"/>
      <c r="AE85" s="37"/>
      <c r="AF85" s="97"/>
      <c r="AG85" s="14"/>
      <c r="AH85" s="14"/>
      <c r="AI85" s="14"/>
      <c r="AJ85" s="113"/>
      <c r="AK85" s="104" t="s">
        <v>129</v>
      </c>
      <c r="AM85" s="114" t="s">
        <v>130</v>
      </c>
      <c r="AO85" s="105" t="s">
        <v>131</v>
      </c>
      <c r="AQ85" s="105" t="s">
        <v>132</v>
      </c>
      <c r="AS85" s="104" t="s">
        <v>133</v>
      </c>
      <c r="AU85" s="104" t="s">
        <v>134</v>
      </c>
      <c r="AW85" s="104" t="s">
        <v>135</v>
      </c>
      <c r="AY85" s="105" t="s">
        <v>136</v>
      </c>
      <c r="AZ85" s="24"/>
    </row>
    <row r="86">
      <c r="A86" s="362" t="s">
        <v>242</v>
      </c>
      <c r="B86" s="206"/>
      <c r="C86" s="123"/>
      <c r="D86" s="123"/>
      <c r="E86" s="115"/>
      <c r="F86" s="116"/>
      <c r="G86" s="283"/>
      <c r="H86" s="284"/>
      <c r="I86" s="284"/>
      <c r="J86" s="284"/>
      <c r="K86" s="36"/>
      <c r="L86" s="117"/>
      <c r="M86" s="128"/>
      <c r="N86" s="117"/>
      <c r="R86" s="117"/>
      <c r="T86" s="117"/>
      <c r="V86" s="117"/>
      <c r="X86" s="117"/>
      <c r="Y86" s="127"/>
      <c r="Z86" s="155"/>
      <c r="AA86" s="36"/>
      <c r="AB86" s="36"/>
      <c r="AC86" s="111"/>
      <c r="AD86" s="112"/>
      <c r="AE86" s="37"/>
      <c r="AF86" s="97"/>
      <c r="AG86" s="14"/>
      <c r="AH86" s="14"/>
      <c r="AI86" s="14"/>
      <c r="AJ86" s="113"/>
      <c r="AY86" s="128"/>
      <c r="AZ86" s="24"/>
    </row>
    <row r="87">
      <c r="A87" s="143" t="s">
        <v>156</v>
      </c>
      <c r="B87" s="206"/>
      <c r="C87" s="123"/>
      <c r="D87" s="123"/>
      <c r="E87" s="164" t="s">
        <v>185</v>
      </c>
      <c r="F87" s="88"/>
      <c r="G87" s="207" t="str">
        <f>G5:H5</f>
        <v>อสูรเดือน E</v>
      </c>
      <c r="I87" s="208" t="str">
        <f>I5:J5</f>
        <v>อสูรปี N</v>
      </c>
      <c r="K87" s="36"/>
      <c r="L87" s="117"/>
      <c r="M87" s="128"/>
      <c r="N87" s="117"/>
      <c r="R87" s="117"/>
      <c r="T87" s="117"/>
      <c r="V87" s="117"/>
      <c r="X87" s="117"/>
      <c r="Y87" s="127"/>
      <c r="Z87" s="155"/>
      <c r="AA87" s="36"/>
      <c r="AB87" s="36"/>
      <c r="AC87" s="111"/>
      <c r="AD87" s="112"/>
      <c r="AE87" s="37"/>
      <c r="AF87" s="97"/>
      <c r="AG87" s="14"/>
      <c r="AH87" s="14"/>
      <c r="AI87" s="14"/>
      <c r="AJ87" s="113"/>
      <c r="AY87" s="128"/>
      <c r="AZ87" s="24"/>
    </row>
    <row r="88">
      <c r="A88" s="188" t="s">
        <v>199</v>
      </c>
      <c r="B88" s="189"/>
      <c r="C88" s="63"/>
      <c r="D88" s="63"/>
      <c r="E88" s="64">
        <f>(O89+P89+Q89+R89)/(O90+P90+Q90+R90)</f>
        <v>0.6125</v>
      </c>
      <c r="F88" s="65"/>
      <c r="G88" s="133"/>
      <c r="H88" s="72"/>
      <c r="I88" s="67"/>
      <c r="J88" s="72"/>
      <c r="K88" s="68"/>
      <c r="L88" s="69"/>
      <c r="M88" s="63" t="s">
        <v>64</v>
      </c>
      <c r="N88" s="70"/>
      <c r="O88" s="71" t="s">
        <v>65</v>
      </c>
      <c r="P88" s="72"/>
      <c r="Q88" s="72"/>
      <c r="R88" s="70"/>
      <c r="S88" s="71" t="s">
        <v>66</v>
      </c>
      <c r="T88" s="70"/>
      <c r="U88" s="71" t="s">
        <v>67</v>
      </c>
      <c r="V88" s="70"/>
      <c r="W88" s="71" t="s">
        <v>68</v>
      </c>
      <c r="X88" s="70"/>
      <c r="Y88" s="134" t="s">
        <v>69</v>
      </c>
      <c r="Z88" s="74" t="s">
        <v>70</v>
      </c>
      <c r="AA88" s="75" t="s">
        <v>32</v>
      </c>
      <c r="AB88" s="75" t="s">
        <v>233</v>
      </c>
      <c r="AC88" s="167" t="s">
        <v>173</v>
      </c>
      <c r="AD88" s="74" t="s">
        <v>174</v>
      </c>
      <c r="AE88" s="63" t="s">
        <v>75</v>
      </c>
      <c r="AF88" s="78" t="s">
        <v>75</v>
      </c>
      <c r="AG88" s="79" t="s">
        <v>97</v>
      </c>
      <c r="AH88" s="79">
        <v>330.0</v>
      </c>
      <c r="AI88" s="79" t="s">
        <v>150</v>
      </c>
      <c r="AJ88" s="80" t="str">
        <f>AJ81</f>
        <v>開</v>
      </c>
      <c r="AK88" s="81" t="s">
        <v>46</v>
      </c>
      <c r="AL88" s="82" t="str">
        <f>AL81</f>
        <v>休</v>
      </c>
      <c r="AM88" s="81" t="s">
        <v>48</v>
      </c>
      <c r="AN88" s="82" t="s">
        <v>4</v>
      </c>
      <c r="AO88" s="81" t="s">
        <v>50</v>
      </c>
      <c r="AP88" s="82" t="str">
        <f>AP81</f>
        <v>傷</v>
      </c>
      <c r="AQ88" s="81" t="s">
        <v>52</v>
      </c>
      <c r="AR88" s="82" t="s">
        <v>8</v>
      </c>
      <c r="AS88" s="81" t="s">
        <v>38</v>
      </c>
      <c r="AT88" s="82" t="str">
        <f>AT81</f>
        <v>景</v>
      </c>
      <c r="AU88" s="81" t="s">
        <v>40</v>
      </c>
      <c r="AV88" s="82" t="str">
        <f>AV81</f>
        <v>死</v>
      </c>
      <c r="AW88" s="81" t="s">
        <v>42</v>
      </c>
      <c r="AX88" s="82" t="str">
        <f>AX81</f>
        <v>驚</v>
      </c>
      <c r="AY88" s="81" t="s">
        <v>44</v>
      </c>
      <c r="AZ88" s="83"/>
      <c r="BA88" s="84"/>
      <c r="BB88" s="84"/>
      <c r="BC88" s="84"/>
    </row>
    <row r="89">
      <c r="A89" s="192">
        <f>A82+1</f>
        <v>13</v>
      </c>
      <c r="B89" s="193"/>
      <c r="C89" s="12" t="s">
        <v>146</v>
      </c>
      <c r="E89" s="160" t="s">
        <v>161</v>
      </c>
      <c r="G89" s="324" t="str">
        <f t="shared" ref="G89:G90" si="121">G3:H3</f>
        <v>癸</v>
      </c>
      <c r="I89" s="275" t="str">
        <f t="shared" ref="I89:I90" si="122">I33:J33</f>
        <v>丙</v>
      </c>
      <c r="K89" s="90">
        <f>L89/L90</f>
        <v>0.74</v>
      </c>
      <c r="L89" s="126">
        <f t="shared" ref="L89:L90" si="123">O89+P89+Q89+U89+V89+W89+X89+R89+M89+N89+S89+T89</f>
        <v>740</v>
      </c>
      <c r="M89" s="92">
        <v>0.0</v>
      </c>
      <c r="N89" s="93">
        <v>0.0</v>
      </c>
      <c r="O89" s="92">
        <v>55.0</v>
      </c>
      <c r="P89" s="92">
        <v>90.0</v>
      </c>
      <c r="Q89" s="92">
        <v>90.0</v>
      </c>
      <c r="R89" s="93">
        <v>10.0</v>
      </c>
      <c r="S89" s="92">
        <v>110.0</v>
      </c>
      <c r="T89" s="93">
        <v>110.0</v>
      </c>
      <c r="U89" s="92">
        <f t="shared" ref="U89:V89" si="119">U39</f>
        <v>65</v>
      </c>
      <c r="V89" s="93">
        <f t="shared" si="119"/>
        <v>40</v>
      </c>
      <c r="W89" s="92">
        <f t="shared" ref="W89:X89" si="120">W33</f>
        <v>110</v>
      </c>
      <c r="X89" s="93">
        <f t="shared" si="120"/>
        <v>60</v>
      </c>
      <c r="Y89" s="73" t="s">
        <v>80</v>
      </c>
      <c r="Z89" s="94" t="s">
        <v>81</v>
      </c>
      <c r="AA89" s="36"/>
      <c r="AB89" s="29" t="s">
        <v>234</v>
      </c>
      <c r="AC89" s="170" t="s">
        <v>73</v>
      </c>
      <c r="AD89" s="94" t="s">
        <v>74</v>
      </c>
      <c r="AE89" s="37"/>
      <c r="AF89" s="97"/>
      <c r="AG89" s="12" t="s">
        <v>32</v>
      </c>
      <c r="AH89" s="12">
        <v>270.0</v>
      </c>
      <c r="AI89" s="12" t="s">
        <v>145</v>
      </c>
      <c r="AJ89" s="98" t="s">
        <v>43</v>
      </c>
      <c r="AK89" s="101" t="s">
        <v>91</v>
      </c>
      <c r="AL89" s="100" t="s">
        <v>41</v>
      </c>
      <c r="AM89" s="103" t="s">
        <v>92</v>
      </c>
      <c r="AN89" s="100" t="s">
        <v>39</v>
      </c>
      <c r="AO89" s="99" t="s">
        <v>93</v>
      </c>
      <c r="AP89" s="100" t="s">
        <v>37</v>
      </c>
      <c r="AQ89" s="99" t="s">
        <v>94</v>
      </c>
      <c r="AR89" s="100" t="s">
        <v>51</v>
      </c>
      <c r="AS89" s="101" t="s">
        <v>95</v>
      </c>
      <c r="AT89" s="100" t="s">
        <v>86</v>
      </c>
      <c r="AU89" s="99" t="s">
        <v>87</v>
      </c>
      <c r="AV89" s="100" t="s">
        <v>88</v>
      </c>
      <c r="AW89" s="101" t="s">
        <v>89</v>
      </c>
      <c r="AX89" s="100" t="s">
        <v>45</v>
      </c>
      <c r="AY89" s="102" t="s">
        <v>90</v>
      </c>
      <c r="AZ89" s="24"/>
    </row>
    <row r="90">
      <c r="A90" s="215" t="str">
        <f>G2</f>
        <v>พฤษภาคม</v>
      </c>
      <c r="B90" s="193"/>
      <c r="C90" s="161" t="s">
        <v>162</v>
      </c>
      <c r="E90" s="107" t="s">
        <v>97</v>
      </c>
      <c r="G90" s="223" t="str">
        <f t="shared" si="121"/>
        <v>巳</v>
      </c>
      <c r="I90" s="142" t="str">
        <f t="shared" si="122"/>
        <v>午</v>
      </c>
      <c r="K90" s="36"/>
      <c r="L90" s="109">
        <f t="shared" si="123"/>
        <v>1000</v>
      </c>
      <c r="M90" s="9">
        <v>0.0</v>
      </c>
      <c r="N90" s="110">
        <v>0.0</v>
      </c>
      <c r="O90" s="9">
        <v>100.0</v>
      </c>
      <c r="P90" s="9">
        <v>100.0</v>
      </c>
      <c r="Q90" s="9">
        <v>100.0</v>
      </c>
      <c r="R90" s="110">
        <v>100.0</v>
      </c>
      <c r="S90" s="9">
        <v>100.0</v>
      </c>
      <c r="T90" s="110">
        <v>100.0</v>
      </c>
      <c r="U90" s="9">
        <v>100.0</v>
      </c>
      <c r="V90" s="110">
        <v>100.0</v>
      </c>
      <c r="W90" s="9">
        <v>100.0</v>
      </c>
      <c r="X90" s="110">
        <v>100.0</v>
      </c>
      <c r="Y90" s="73" t="s">
        <v>98</v>
      </c>
      <c r="Z90" s="94" t="s">
        <v>99</v>
      </c>
      <c r="AA90" s="36"/>
      <c r="AB90" s="36"/>
      <c r="AC90" s="111"/>
      <c r="AD90" s="112"/>
      <c r="AE90" s="37"/>
      <c r="AF90" s="97"/>
      <c r="AG90" s="14"/>
      <c r="AH90" s="14"/>
      <c r="AI90" s="14"/>
      <c r="AJ90" s="113"/>
      <c r="AK90" s="105" t="s">
        <v>103</v>
      </c>
      <c r="AM90" s="104" t="s">
        <v>104</v>
      </c>
      <c r="AO90" s="104" t="s">
        <v>105</v>
      </c>
      <c r="AQ90" s="104" t="s">
        <v>106</v>
      </c>
      <c r="AS90" s="105" t="s">
        <v>107</v>
      </c>
      <c r="AU90" s="104" t="s">
        <v>100</v>
      </c>
      <c r="AW90" s="114" t="s">
        <v>101</v>
      </c>
      <c r="AY90" s="105" t="s">
        <v>102</v>
      </c>
      <c r="AZ90" s="24"/>
    </row>
    <row r="91">
      <c r="A91" s="192">
        <f>A10</f>
        <v>2569</v>
      </c>
      <c r="B91" s="193"/>
      <c r="E91" s="115" t="s">
        <v>110</v>
      </c>
      <c r="F91" s="116" t="s">
        <v>126</v>
      </c>
      <c r="G91" s="115" t="str">
        <f t="shared" ref="G91:H91" si="124">G41</f>
        <v>A11</v>
      </c>
      <c r="H91" s="9" t="str">
        <f t="shared" si="124"/>
        <v>B10</v>
      </c>
      <c r="I91" s="9" t="str">
        <f t="shared" ref="I91:J91" si="125">I35</f>
        <v>A5</v>
      </c>
      <c r="J91" s="9" t="str">
        <f t="shared" si="125"/>
        <v>B11</v>
      </c>
      <c r="K91" s="36"/>
      <c r="L91" s="117"/>
      <c r="M91" s="118" t="str">
        <f t="shared" ref="M91:P91" si="126">C91</f>
        <v/>
      </c>
      <c r="N91" s="119" t="str">
        <f t="shared" si="126"/>
        <v/>
      </c>
      <c r="O91" s="118" t="str">
        <f t="shared" si="126"/>
        <v>A11</v>
      </c>
      <c r="P91" s="118" t="str">
        <f t="shared" si="126"/>
        <v>B6</v>
      </c>
      <c r="Q91" s="118" t="str">
        <f t="shared" ref="Q91:R91" si="127">E92</f>
        <v>B6</v>
      </c>
      <c r="R91" s="119" t="str">
        <f t="shared" si="127"/>
        <v>C7</v>
      </c>
      <c r="S91" s="9" t="s">
        <v>204</v>
      </c>
      <c r="T91" s="110" t="s">
        <v>204</v>
      </c>
      <c r="U91" s="9" t="str">
        <f t="shared" ref="U91:X91" si="128">G91</f>
        <v>A11</v>
      </c>
      <c r="V91" s="119" t="str">
        <f t="shared" si="128"/>
        <v>B10</v>
      </c>
      <c r="W91" s="118" t="str">
        <f t="shared" si="128"/>
        <v>A5</v>
      </c>
      <c r="X91" s="120" t="str">
        <f t="shared" si="128"/>
        <v>B11</v>
      </c>
      <c r="Y91" s="73" t="s">
        <v>116</v>
      </c>
      <c r="Z91" s="94" t="s">
        <v>117</v>
      </c>
      <c r="AA91" s="36"/>
      <c r="AB91" s="36"/>
      <c r="AC91" s="111"/>
      <c r="AD91" s="112"/>
      <c r="AE91" s="37"/>
      <c r="AF91" s="97"/>
      <c r="AG91" s="14"/>
      <c r="AH91" s="14"/>
      <c r="AI91" s="14"/>
      <c r="AJ91" s="113"/>
      <c r="AK91" s="105" t="s">
        <v>121</v>
      </c>
      <c r="AM91" s="104" t="s">
        <v>122</v>
      </c>
      <c r="AO91" s="104" t="s">
        <v>123</v>
      </c>
      <c r="AQ91" s="104" t="s">
        <v>124</v>
      </c>
      <c r="AS91" s="105" t="s">
        <v>125</v>
      </c>
      <c r="AU91" s="104" t="s">
        <v>118</v>
      </c>
      <c r="AW91" s="114" t="s">
        <v>119</v>
      </c>
      <c r="AY91" s="105" t="s">
        <v>120</v>
      </c>
      <c r="AZ91" s="24"/>
    </row>
    <row r="92">
      <c r="A92" s="192">
        <f>A91-543</f>
        <v>2026</v>
      </c>
      <c r="B92" s="193"/>
      <c r="C92" s="181"/>
      <c r="E92" s="115" t="s">
        <v>126</v>
      </c>
      <c r="F92" s="116" t="s">
        <v>220</v>
      </c>
      <c r="G92" s="115"/>
      <c r="H92" s="118"/>
      <c r="I92" s="118"/>
      <c r="J92" s="118"/>
      <c r="K92" s="36"/>
      <c r="L92" s="117"/>
      <c r="M92" s="326"/>
      <c r="N92" s="327"/>
      <c r="R92" s="117"/>
      <c r="T92" s="117"/>
      <c r="V92" s="117"/>
      <c r="X92" s="117"/>
      <c r="Y92" s="73" t="s">
        <v>126</v>
      </c>
      <c r="Z92" s="94" t="s">
        <v>128</v>
      </c>
      <c r="AA92" s="36"/>
      <c r="AB92" s="36"/>
      <c r="AC92" s="111"/>
      <c r="AD92" s="112"/>
      <c r="AE92" s="37"/>
      <c r="AF92" s="97"/>
      <c r="AG92" s="14"/>
      <c r="AH92" s="14"/>
      <c r="AI92" s="14"/>
      <c r="AJ92" s="113"/>
      <c r="AK92" s="105" t="s">
        <v>132</v>
      </c>
      <c r="AM92" s="104" t="s">
        <v>133</v>
      </c>
      <c r="AO92" s="104" t="s">
        <v>134</v>
      </c>
      <c r="AQ92" s="104" t="s">
        <v>135</v>
      </c>
      <c r="AS92" s="105" t="s">
        <v>136</v>
      </c>
      <c r="AU92" s="104" t="s">
        <v>129</v>
      </c>
      <c r="AW92" s="114" t="s">
        <v>130</v>
      </c>
      <c r="AY92" s="105" t="s">
        <v>131</v>
      </c>
      <c r="AZ92" s="24"/>
    </row>
    <row r="93">
      <c r="A93" s="363"/>
      <c r="B93" s="206"/>
      <c r="C93" s="123"/>
      <c r="D93" s="123"/>
      <c r="E93" s="176" t="s">
        <v>137</v>
      </c>
      <c r="F93" s="88"/>
      <c r="G93" s="207" t="str">
        <f>G5:H5</f>
        <v>อสูรเดือน E</v>
      </c>
      <c r="I93" s="208" t="str">
        <f>I5:J5</f>
        <v>อสูรปี N</v>
      </c>
      <c r="K93" s="36"/>
      <c r="L93" s="117"/>
      <c r="M93" s="326"/>
      <c r="N93" s="327"/>
      <c r="R93" s="117"/>
      <c r="T93" s="117"/>
      <c r="V93" s="117"/>
      <c r="X93" s="117"/>
      <c r="Y93" s="127"/>
      <c r="Z93" s="155"/>
      <c r="AA93" s="36"/>
      <c r="AB93" s="36"/>
      <c r="AC93" s="111"/>
      <c r="AD93" s="112"/>
      <c r="AE93" s="37"/>
      <c r="AF93" s="97"/>
      <c r="AG93" s="14"/>
      <c r="AH93" s="14"/>
      <c r="AI93" s="14"/>
      <c r="AJ93" s="113"/>
      <c r="AQ93" s="128"/>
      <c r="AZ93" s="24"/>
    </row>
    <row r="94">
      <c r="A94" s="188" t="s">
        <v>63</v>
      </c>
      <c r="B94" s="189"/>
      <c r="C94" s="63"/>
      <c r="D94" s="63"/>
      <c r="E94" s="64">
        <f>(O95+P95+Q95+R95)/(O96+P96+Q96+R96)</f>
        <v>0.45</v>
      </c>
      <c r="F94" s="65"/>
      <c r="G94" s="133"/>
      <c r="H94" s="72"/>
      <c r="I94" s="67"/>
      <c r="J94" s="72"/>
      <c r="K94" s="68"/>
      <c r="L94" s="69"/>
      <c r="M94" s="63" t="s">
        <v>64</v>
      </c>
      <c r="N94" s="70"/>
      <c r="O94" s="71" t="s">
        <v>65</v>
      </c>
      <c r="P94" s="72"/>
      <c r="Q94" s="72"/>
      <c r="R94" s="70"/>
      <c r="S94" s="71" t="s">
        <v>66</v>
      </c>
      <c r="T94" s="70"/>
      <c r="U94" s="71" t="s">
        <v>67</v>
      </c>
      <c r="V94" s="70"/>
      <c r="W94" s="71" t="s">
        <v>68</v>
      </c>
      <c r="X94" s="70"/>
      <c r="Y94" s="134" t="s">
        <v>116</v>
      </c>
      <c r="Z94" s="74" t="s">
        <v>140</v>
      </c>
      <c r="AA94" s="75" t="s">
        <v>209</v>
      </c>
      <c r="AB94" s="75" t="s">
        <v>238</v>
      </c>
      <c r="AC94" s="76" t="s">
        <v>73</v>
      </c>
      <c r="AD94" s="77" t="s">
        <v>74</v>
      </c>
      <c r="AE94" s="63" t="s">
        <v>34</v>
      </c>
      <c r="AF94" s="78" t="s">
        <v>144</v>
      </c>
      <c r="AG94" s="79" t="s">
        <v>71</v>
      </c>
      <c r="AH94" s="79">
        <v>210.0</v>
      </c>
      <c r="AI94" s="79" t="s">
        <v>175</v>
      </c>
      <c r="AJ94" s="80" t="str">
        <f>AJ88</f>
        <v>開</v>
      </c>
      <c r="AK94" s="81" t="s">
        <v>46</v>
      </c>
      <c r="AL94" s="82" t="str">
        <f>AL88</f>
        <v>休</v>
      </c>
      <c r="AM94" s="81" t="s">
        <v>48</v>
      </c>
      <c r="AN94" s="82" t="s">
        <v>4</v>
      </c>
      <c r="AO94" s="81" t="s">
        <v>50</v>
      </c>
      <c r="AP94" s="82" t="str">
        <f>AP88</f>
        <v>傷</v>
      </c>
      <c r="AQ94" s="81" t="s">
        <v>52</v>
      </c>
      <c r="AR94" s="82" t="s">
        <v>8</v>
      </c>
      <c r="AS94" s="81" t="s">
        <v>38</v>
      </c>
      <c r="AT94" s="82" t="str">
        <f>AT88</f>
        <v>景</v>
      </c>
      <c r="AU94" s="81" t="s">
        <v>40</v>
      </c>
      <c r="AV94" s="82" t="str">
        <f>AV88</f>
        <v>死</v>
      </c>
      <c r="AW94" s="81" t="s">
        <v>42</v>
      </c>
      <c r="AX94" s="82" t="str">
        <f>AX88</f>
        <v>驚</v>
      </c>
      <c r="AY94" s="81" t="s">
        <v>44</v>
      </c>
      <c r="AZ94" s="83"/>
      <c r="BA94" s="84"/>
      <c r="BB94" s="84"/>
      <c r="BC94" s="84"/>
    </row>
    <row r="95">
      <c r="A95" s="192">
        <f>A89+1</f>
        <v>14</v>
      </c>
      <c r="B95" s="193"/>
      <c r="C95" s="12" t="s">
        <v>146</v>
      </c>
      <c r="E95" s="168" t="s">
        <v>79</v>
      </c>
      <c r="G95" s="324" t="str">
        <f t="shared" ref="G95:G96" si="131">G3:H3</f>
        <v>癸</v>
      </c>
      <c r="I95" s="275" t="str">
        <f t="shared" ref="I95:I96" si="132">I33:J33</f>
        <v>丙</v>
      </c>
      <c r="K95" s="90">
        <f>L95/L96</f>
        <v>0.655</v>
      </c>
      <c r="L95" s="126">
        <f t="shared" ref="L95:L96" si="133">O95+P95+Q95+U95+V95+W95+X95+R95+M95+N95+S95+T95</f>
        <v>655</v>
      </c>
      <c r="M95" s="92">
        <v>0.0</v>
      </c>
      <c r="N95" s="93">
        <v>0.0</v>
      </c>
      <c r="O95" s="92">
        <v>60.0</v>
      </c>
      <c r="P95" s="92">
        <v>0.0</v>
      </c>
      <c r="Q95" s="92">
        <v>100.0</v>
      </c>
      <c r="R95" s="93">
        <v>20.0</v>
      </c>
      <c r="S95" s="92">
        <v>100.0</v>
      </c>
      <c r="T95" s="93">
        <v>100.0</v>
      </c>
      <c r="U95" s="92">
        <f t="shared" ref="U95:V95" si="129">U39</f>
        <v>65</v>
      </c>
      <c r="V95" s="93">
        <f t="shared" si="129"/>
        <v>40</v>
      </c>
      <c r="W95" s="92">
        <f t="shared" ref="W95:X95" si="130">W33</f>
        <v>110</v>
      </c>
      <c r="X95" s="93">
        <f t="shared" si="130"/>
        <v>60</v>
      </c>
      <c r="Y95" s="73" t="s">
        <v>126</v>
      </c>
      <c r="Z95" s="94" t="s">
        <v>70</v>
      </c>
      <c r="AA95" s="36"/>
      <c r="AB95" s="36"/>
      <c r="AC95" s="95" t="s">
        <v>82</v>
      </c>
      <c r="AD95" s="96" t="s">
        <v>83</v>
      </c>
      <c r="AE95" s="37"/>
      <c r="AF95" s="97"/>
      <c r="AG95" s="12" t="s">
        <v>53</v>
      </c>
      <c r="AH95" s="12">
        <v>30.0</v>
      </c>
      <c r="AI95" s="12" t="s">
        <v>178</v>
      </c>
      <c r="AJ95" s="98" t="s">
        <v>43</v>
      </c>
      <c r="AK95" s="101" t="s">
        <v>91</v>
      </c>
      <c r="AL95" s="100" t="s">
        <v>41</v>
      </c>
      <c r="AM95" s="103" t="s">
        <v>92</v>
      </c>
      <c r="AN95" s="100" t="s">
        <v>39</v>
      </c>
      <c r="AO95" s="99" t="s">
        <v>93</v>
      </c>
      <c r="AP95" s="100" t="s">
        <v>37</v>
      </c>
      <c r="AQ95" s="99" t="s">
        <v>94</v>
      </c>
      <c r="AR95" s="100" t="s">
        <v>51</v>
      </c>
      <c r="AS95" s="101" t="s">
        <v>95</v>
      </c>
      <c r="AT95" s="100" t="s">
        <v>86</v>
      </c>
      <c r="AU95" s="99" t="s">
        <v>87</v>
      </c>
      <c r="AV95" s="100" t="s">
        <v>88</v>
      </c>
      <c r="AW95" s="101" t="s">
        <v>89</v>
      </c>
      <c r="AX95" s="100" t="s">
        <v>45</v>
      </c>
      <c r="AY95" s="102" t="s">
        <v>90</v>
      </c>
      <c r="AZ95" s="24"/>
    </row>
    <row r="96">
      <c r="A96" s="215" t="str">
        <f>G2</f>
        <v>พฤษภาคม</v>
      </c>
      <c r="B96" s="193"/>
      <c r="C96" s="140" t="s">
        <v>179</v>
      </c>
      <c r="E96" s="107" t="s">
        <v>84</v>
      </c>
      <c r="G96" s="223" t="str">
        <f t="shared" si="131"/>
        <v>巳</v>
      </c>
      <c r="I96" s="142" t="str">
        <f t="shared" si="132"/>
        <v>午</v>
      </c>
      <c r="K96" s="36"/>
      <c r="L96" s="109">
        <f t="shared" si="133"/>
        <v>1000</v>
      </c>
      <c r="M96" s="9">
        <v>0.0</v>
      </c>
      <c r="N96" s="110">
        <v>0.0</v>
      </c>
      <c r="O96" s="9">
        <v>100.0</v>
      </c>
      <c r="P96" s="9">
        <v>100.0</v>
      </c>
      <c r="Q96" s="9">
        <v>100.0</v>
      </c>
      <c r="R96" s="110">
        <v>100.0</v>
      </c>
      <c r="S96" s="9">
        <v>100.0</v>
      </c>
      <c r="T96" s="110">
        <v>100.0</v>
      </c>
      <c r="U96" s="9">
        <v>100.0</v>
      </c>
      <c r="V96" s="110">
        <v>100.0</v>
      </c>
      <c r="W96" s="9">
        <v>100.0</v>
      </c>
      <c r="X96" s="110">
        <v>100.0</v>
      </c>
      <c r="Y96" s="73" t="s">
        <v>69</v>
      </c>
      <c r="Z96" s="94" t="s">
        <v>152</v>
      </c>
      <c r="AA96" s="36"/>
      <c r="AB96" s="36"/>
      <c r="AC96" s="111"/>
      <c r="AD96" s="112"/>
      <c r="AE96" s="37"/>
      <c r="AF96" s="97"/>
      <c r="AG96" s="14"/>
      <c r="AH96" s="14"/>
      <c r="AI96" s="14"/>
      <c r="AJ96" s="113"/>
      <c r="AK96" s="105" t="s">
        <v>103</v>
      </c>
      <c r="AM96" s="104" t="s">
        <v>104</v>
      </c>
      <c r="AO96" s="104" t="s">
        <v>105</v>
      </c>
      <c r="AQ96" s="104" t="s">
        <v>106</v>
      </c>
      <c r="AS96" s="105" t="s">
        <v>107</v>
      </c>
      <c r="AU96" s="104" t="s">
        <v>100</v>
      </c>
      <c r="AW96" s="114" t="s">
        <v>101</v>
      </c>
      <c r="AY96" s="105" t="s">
        <v>102</v>
      </c>
      <c r="AZ96" s="24"/>
    </row>
    <row r="97">
      <c r="A97" s="192">
        <f>A10</f>
        <v>2569</v>
      </c>
      <c r="B97" s="193"/>
      <c r="E97" s="115" t="s">
        <v>110</v>
      </c>
      <c r="F97" s="116" t="s">
        <v>111</v>
      </c>
      <c r="G97" s="115" t="str">
        <f t="shared" ref="G97:H97" si="134">G41</f>
        <v>A11</v>
      </c>
      <c r="H97" s="9" t="str">
        <f t="shared" si="134"/>
        <v>B10</v>
      </c>
      <c r="I97" s="9" t="str">
        <f t="shared" ref="I97:J97" si="135">I35</f>
        <v>A5</v>
      </c>
      <c r="J97" s="9" t="str">
        <f t="shared" si="135"/>
        <v>B11</v>
      </c>
      <c r="K97" s="36"/>
      <c r="L97" s="117"/>
      <c r="M97" s="118" t="str">
        <f t="shared" ref="M97:P97" si="136">C97</f>
        <v/>
      </c>
      <c r="N97" s="119" t="str">
        <f t="shared" si="136"/>
        <v/>
      </c>
      <c r="O97" s="118" t="str">
        <f t="shared" si="136"/>
        <v>A11</v>
      </c>
      <c r="P97" s="118" t="str">
        <f t="shared" si="136"/>
        <v>B7</v>
      </c>
      <c r="Q97" s="118" t="str">
        <f t="shared" ref="Q97:R97" si="137">E98</f>
        <v>B5</v>
      </c>
      <c r="R97" s="119" t="str">
        <f t="shared" si="137"/>
        <v>C8</v>
      </c>
      <c r="S97" s="9" t="s">
        <v>213</v>
      </c>
      <c r="T97" s="110" t="s">
        <v>213</v>
      </c>
      <c r="U97" s="9" t="str">
        <f t="shared" ref="U97:X97" si="138">G97</f>
        <v>A11</v>
      </c>
      <c r="V97" s="119" t="str">
        <f t="shared" si="138"/>
        <v>B10</v>
      </c>
      <c r="W97" s="118" t="str">
        <f t="shared" si="138"/>
        <v>A5</v>
      </c>
      <c r="X97" s="120" t="str">
        <f t="shared" si="138"/>
        <v>B11</v>
      </c>
      <c r="Y97" s="73" t="s">
        <v>80</v>
      </c>
      <c r="Z97" s="94" t="s">
        <v>153</v>
      </c>
      <c r="AA97" s="36"/>
      <c r="AB97" s="36"/>
      <c r="AC97" s="111"/>
      <c r="AD97" s="112"/>
      <c r="AE97" s="37"/>
      <c r="AF97" s="97"/>
      <c r="AG97" s="14"/>
      <c r="AH97" s="14"/>
      <c r="AI97" s="14"/>
      <c r="AJ97" s="113"/>
      <c r="AK97" s="105" t="s">
        <v>121</v>
      </c>
      <c r="AM97" s="104" t="s">
        <v>122</v>
      </c>
      <c r="AO97" s="104" t="s">
        <v>123</v>
      </c>
      <c r="AQ97" s="104" t="s">
        <v>124</v>
      </c>
      <c r="AS97" s="105" t="s">
        <v>125</v>
      </c>
      <c r="AU97" s="104" t="s">
        <v>118</v>
      </c>
      <c r="AW97" s="114" t="s">
        <v>119</v>
      </c>
      <c r="AY97" s="105" t="s">
        <v>120</v>
      </c>
      <c r="AZ97" s="24"/>
    </row>
    <row r="98">
      <c r="A98" s="192">
        <f>A97-543</f>
        <v>2026</v>
      </c>
      <c r="B98" s="193"/>
      <c r="E98" s="115" t="s">
        <v>116</v>
      </c>
      <c r="F98" s="116" t="s">
        <v>225</v>
      </c>
      <c r="G98" s="115"/>
      <c r="H98" s="118"/>
      <c r="I98" s="118"/>
      <c r="J98" s="118"/>
      <c r="K98" s="36"/>
      <c r="L98" s="117"/>
      <c r="M98" s="326"/>
      <c r="N98" s="327"/>
      <c r="R98" s="117"/>
      <c r="T98" s="117"/>
      <c r="V98" s="117"/>
      <c r="X98" s="117"/>
      <c r="Y98" s="73" t="s">
        <v>98</v>
      </c>
      <c r="Z98" s="94" t="s">
        <v>155</v>
      </c>
      <c r="AA98" s="36"/>
      <c r="AB98" s="36"/>
      <c r="AC98" s="111"/>
      <c r="AD98" s="112"/>
      <c r="AE98" s="37"/>
      <c r="AF98" s="97"/>
      <c r="AG98" s="14"/>
      <c r="AH98" s="14"/>
      <c r="AI98" s="14"/>
      <c r="AJ98" s="113"/>
      <c r="AK98" s="105" t="s">
        <v>132</v>
      </c>
      <c r="AM98" s="104" t="s">
        <v>133</v>
      </c>
      <c r="AO98" s="104" t="s">
        <v>134</v>
      </c>
      <c r="AQ98" s="104" t="s">
        <v>135</v>
      </c>
      <c r="AS98" s="105" t="s">
        <v>136</v>
      </c>
      <c r="AU98" s="104" t="s">
        <v>129</v>
      </c>
      <c r="AW98" s="114" t="s">
        <v>130</v>
      </c>
      <c r="AY98" s="105" t="s">
        <v>131</v>
      </c>
      <c r="AZ98" s="24"/>
    </row>
    <row r="99">
      <c r="A99" s="363"/>
      <c r="B99" s="206"/>
      <c r="C99" s="123"/>
      <c r="D99" s="123"/>
      <c r="E99" s="176" t="s">
        <v>157</v>
      </c>
      <c r="F99" s="88"/>
      <c r="G99" s="210" t="str">
        <f>G5:H5</f>
        <v>อสูรเดือน E</v>
      </c>
      <c r="I99" s="334"/>
      <c r="K99" s="36"/>
      <c r="L99" s="117"/>
      <c r="M99" s="326"/>
      <c r="N99" s="327"/>
      <c r="R99" s="117"/>
      <c r="T99" s="117"/>
      <c r="V99" s="117"/>
      <c r="X99" s="117"/>
      <c r="Y99" s="127"/>
      <c r="Z99" s="155"/>
      <c r="AA99" s="36"/>
      <c r="AB99" s="36"/>
      <c r="AC99" s="111"/>
      <c r="AD99" s="112"/>
      <c r="AE99" s="37"/>
      <c r="AF99" s="97"/>
      <c r="AG99" s="14"/>
      <c r="AH99" s="14"/>
      <c r="AI99" s="14"/>
      <c r="AJ99" s="113"/>
      <c r="AM99" s="128"/>
      <c r="AZ99" s="24"/>
    </row>
    <row r="100">
      <c r="A100" s="188" t="s">
        <v>139</v>
      </c>
      <c r="B100" s="189"/>
      <c r="C100" s="63"/>
      <c r="D100" s="63"/>
      <c r="E100" s="216">
        <f>(O101+P101+Q101+R101)/(O102+P102+Q102+R102)</f>
        <v>0.675</v>
      </c>
      <c r="F100" s="65"/>
      <c r="G100" s="133"/>
      <c r="H100" s="72"/>
      <c r="I100" s="67"/>
      <c r="J100" s="72"/>
      <c r="K100" s="68"/>
      <c r="L100" s="69"/>
      <c r="M100" s="63" t="s">
        <v>64</v>
      </c>
      <c r="N100" s="70"/>
      <c r="O100" s="71" t="s">
        <v>65</v>
      </c>
      <c r="P100" s="72"/>
      <c r="Q100" s="72"/>
      <c r="R100" s="70"/>
      <c r="S100" s="71" t="s">
        <v>66</v>
      </c>
      <c r="T100" s="70"/>
      <c r="U100" s="71" t="s">
        <v>67</v>
      </c>
      <c r="V100" s="70"/>
      <c r="W100" s="71" t="s">
        <v>68</v>
      </c>
      <c r="X100" s="70"/>
      <c r="Y100" s="134" t="s">
        <v>116</v>
      </c>
      <c r="Z100" s="74" t="s">
        <v>159</v>
      </c>
      <c r="AA100" s="75" t="s">
        <v>32</v>
      </c>
      <c r="AB100" s="75" t="s">
        <v>233</v>
      </c>
      <c r="AC100" s="76" t="s">
        <v>73</v>
      </c>
      <c r="AD100" s="77" t="s">
        <v>74</v>
      </c>
      <c r="AE100" s="63" t="s">
        <v>34</v>
      </c>
      <c r="AF100" s="78" t="s">
        <v>36</v>
      </c>
      <c r="AG100" s="79" t="s">
        <v>84</v>
      </c>
      <c r="AH100" s="79">
        <v>0.0</v>
      </c>
      <c r="AI100" s="79" t="s">
        <v>85</v>
      </c>
      <c r="AJ100" s="80" t="str">
        <f>AJ94</f>
        <v>開</v>
      </c>
      <c r="AK100" s="81" t="s">
        <v>40</v>
      </c>
      <c r="AL100" s="82" t="str">
        <f>AL94</f>
        <v>休</v>
      </c>
      <c r="AM100" s="81" t="s">
        <v>42</v>
      </c>
      <c r="AN100" s="82" t="s">
        <v>4</v>
      </c>
      <c r="AO100" s="81" t="s">
        <v>44</v>
      </c>
      <c r="AP100" s="82" t="str">
        <f>AP94</f>
        <v>傷</v>
      </c>
      <c r="AQ100" s="81" t="s">
        <v>46</v>
      </c>
      <c r="AR100" s="82" t="s">
        <v>8</v>
      </c>
      <c r="AS100" s="81" t="s">
        <v>48</v>
      </c>
      <c r="AT100" s="82" t="str">
        <f>AT94</f>
        <v>景</v>
      </c>
      <c r="AU100" s="81" t="s">
        <v>50</v>
      </c>
      <c r="AV100" s="82" t="str">
        <f>AV94</f>
        <v>死</v>
      </c>
      <c r="AW100" s="81" t="s">
        <v>52</v>
      </c>
      <c r="AX100" s="82" t="str">
        <f>AX94</f>
        <v>驚</v>
      </c>
      <c r="AY100" s="81" t="s">
        <v>38</v>
      </c>
      <c r="AZ100" s="83"/>
      <c r="BA100" s="84"/>
      <c r="BB100" s="84"/>
      <c r="BC100" s="84"/>
    </row>
    <row r="101">
      <c r="A101" s="192">
        <f>A95+1</f>
        <v>15</v>
      </c>
      <c r="B101" s="193"/>
      <c r="C101" s="12" t="s">
        <v>216</v>
      </c>
      <c r="E101" s="168" t="s">
        <v>30</v>
      </c>
      <c r="G101" s="324" t="str">
        <f t="shared" ref="G101:G102" si="141">G3:H3</f>
        <v>癸</v>
      </c>
      <c r="I101" s="275" t="str">
        <f t="shared" ref="I101:I102" si="142">I33:J33</f>
        <v>丙</v>
      </c>
      <c r="K101" s="90">
        <f>L101/L102</f>
        <v>0.74</v>
      </c>
      <c r="L101" s="126">
        <f t="shared" ref="L101:L102" si="143">O101+P101+Q101+U101+V101+W101+X101+R101+M101+N101+S101+T101</f>
        <v>740</v>
      </c>
      <c r="M101" s="92">
        <v>0.0</v>
      </c>
      <c r="N101" s="93">
        <v>0.0</v>
      </c>
      <c r="O101" s="92">
        <v>50.0</v>
      </c>
      <c r="P101" s="92">
        <v>90.0</v>
      </c>
      <c r="Q101" s="92">
        <v>30.0</v>
      </c>
      <c r="R101" s="93">
        <v>100.0</v>
      </c>
      <c r="S101" s="92">
        <v>85.0</v>
      </c>
      <c r="T101" s="93">
        <v>110.0</v>
      </c>
      <c r="U101" s="92">
        <f t="shared" ref="U101:V101" si="139">U39</f>
        <v>65</v>
      </c>
      <c r="V101" s="93">
        <f t="shared" si="139"/>
        <v>40</v>
      </c>
      <c r="W101" s="92">
        <f t="shared" ref="W101:X101" si="140">W33</f>
        <v>110</v>
      </c>
      <c r="X101" s="93">
        <f t="shared" si="140"/>
        <v>60</v>
      </c>
      <c r="Y101" s="73" t="s">
        <v>126</v>
      </c>
      <c r="Z101" s="94" t="s">
        <v>152</v>
      </c>
      <c r="AA101" s="36"/>
      <c r="AB101" s="29" t="s">
        <v>234</v>
      </c>
      <c r="AC101" s="95" t="s">
        <v>82</v>
      </c>
      <c r="AD101" s="96" t="s">
        <v>83</v>
      </c>
      <c r="AE101" s="37"/>
      <c r="AF101" s="97"/>
      <c r="AG101" s="12" t="s">
        <v>76</v>
      </c>
      <c r="AH101" s="12">
        <v>240.0</v>
      </c>
      <c r="AI101" s="12" t="s">
        <v>77</v>
      </c>
      <c r="AJ101" s="98" t="s">
        <v>88</v>
      </c>
      <c r="AK101" s="101" t="s">
        <v>89</v>
      </c>
      <c r="AL101" s="100" t="s">
        <v>45</v>
      </c>
      <c r="AM101" s="102" t="s">
        <v>90</v>
      </c>
      <c r="AN101" s="100" t="s">
        <v>43</v>
      </c>
      <c r="AO101" s="101" t="s">
        <v>91</v>
      </c>
      <c r="AP101" s="100" t="s">
        <v>41</v>
      </c>
      <c r="AQ101" s="103" t="s">
        <v>92</v>
      </c>
      <c r="AR101" s="100" t="s">
        <v>39</v>
      </c>
      <c r="AS101" s="99" t="s">
        <v>93</v>
      </c>
      <c r="AT101" s="100" t="s">
        <v>37</v>
      </c>
      <c r="AU101" s="99" t="s">
        <v>94</v>
      </c>
      <c r="AV101" s="100" t="s">
        <v>51</v>
      </c>
      <c r="AW101" s="101" t="s">
        <v>95</v>
      </c>
      <c r="AX101" s="100" t="s">
        <v>86</v>
      </c>
      <c r="AY101" s="99" t="s">
        <v>87</v>
      </c>
      <c r="AZ101" s="24"/>
    </row>
    <row r="102">
      <c r="A102" s="215" t="str">
        <f>G2</f>
        <v>พฤษภาคม</v>
      </c>
      <c r="B102" s="193"/>
      <c r="C102" s="175" t="s">
        <v>188</v>
      </c>
      <c r="E102" s="162" t="s">
        <v>53</v>
      </c>
      <c r="G102" s="223" t="str">
        <f t="shared" si="141"/>
        <v>巳</v>
      </c>
      <c r="I102" s="142" t="str">
        <f t="shared" si="142"/>
        <v>午</v>
      </c>
      <c r="K102" s="36"/>
      <c r="L102" s="109">
        <f t="shared" si="143"/>
        <v>1000</v>
      </c>
      <c r="M102" s="9">
        <v>0.0</v>
      </c>
      <c r="N102" s="110">
        <v>0.0</v>
      </c>
      <c r="O102" s="9">
        <v>100.0</v>
      </c>
      <c r="P102" s="9">
        <v>100.0</v>
      </c>
      <c r="Q102" s="9">
        <v>100.0</v>
      </c>
      <c r="R102" s="110">
        <v>100.0</v>
      </c>
      <c r="S102" s="9">
        <v>100.0</v>
      </c>
      <c r="T102" s="110">
        <v>100.0</v>
      </c>
      <c r="U102" s="9">
        <v>100.0</v>
      </c>
      <c r="V102" s="110">
        <v>100.0</v>
      </c>
      <c r="W102" s="9">
        <v>100.0</v>
      </c>
      <c r="X102" s="110">
        <v>100.0</v>
      </c>
      <c r="Y102" s="73" t="s">
        <v>69</v>
      </c>
      <c r="Z102" s="94" t="s">
        <v>163</v>
      </c>
      <c r="AA102" s="36"/>
      <c r="AB102" s="36"/>
      <c r="AC102" s="111"/>
      <c r="AD102" s="112"/>
      <c r="AE102" s="37"/>
      <c r="AF102" s="97"/>
      <c r="AG102" s="14"/>
      <c r="AH102" s="14"/>
      <c r="AI102" s="14"/>
      <c r="AJ102" s="113"/>
      <c r="AK102" s="114" t="s">
        <v>101</v>
      </c>
      <c r="AM102" s="105" t="s">
        <v>102</v>
      </c>
      <c r="AO102" s="105" t="s">
        <v>103</v>
      </c>
      <c r="AQ102" s="104" t="s">
        <v>104</v>
      </c>
      <c r="AS102" s="104" t="s">
        <v>105</v>
      </c>
      <c r="AU102" s="104" t="s">
        <v>106</v>
      </c>
      <c r="AW102" s="105" t="s">
        <v>107</v>
      </c>
      <c r="AY102" s="104" t="s">
        <v>100</v>
      </c>
      <c r="AZ102" s="24"/>
    </row>
    <row r="103">
      <c r="A103" s="192">
        <v>2569.0</v>
      </c>
      <c r="B103" s="193"/>
      <c r="E103" s="115" t="s">
        <v>164</v>
      </c>
      <c r="F103" s="116" t="s">
        <v>69</v>
      </c>
      <c r="G103" s="115" t="str">
        <f t="shared" ref="G103:H103" si="144">G41</f>
        <v>A11</v>
      </c>
      <c r="H103" s="9" t="str">
        <f t="shared" si="144"/>
        <v>B10</v>
      </c>
      <c r="I103" s="9" t="str">
        <f t="shared" ref="I103:J103" si="145">I35</f>
        <v>A5</v>
      </c>
      <c r="J103" s="9" t="str">
        <f t="shared" si="145"/>
        <v>B11</v>
      </c>
      <c r="K103" s="36"/>
      <c r="L103" s="117"/>
      <c r="M103" s="118" t="str">
        <f t="shared" ref="M103:P103" si="146">C103</f>
        <v/>
      </c>
      <c r="N103" s="119" t="str">
        <f t="shared" si="146"/>
        <v/>
      </c>
      <c r="O103" s="118" t="str">
        <f t="shared" si="146"/>
        <v>A9</v>
      </c>
      <c r="P103" s="118" t="str">
        <f t="shared" si="146"/>
        <v>B8</v>
      </c>
      <c r="Q103" s="118" t="str">
        <f t="shared" ref="Q103:R103" si="147">E104</f>
        <v>B4</v>
      </c>
      <c r="R103" s="119" t="str">
        <f t="shared" si="147"/>
        <v>C9</v>
      </c>
      <c r="S103" s="9" t="s">
        <v>219</v>
      </c>
      <c r="T103" s="110" t="s">
        <v>204</v>
      </c>
      <c r="U103" s="9" t="str">
        <f t="shared" ref="U103:X103" si="148">G103</f>
        <v>A11</v>
      </c>
      <c r="V103" s="119" t="str">
        <f t="shared" si="148"/>
        <v>B10</v>
      </c>
      <c r="W103" s="118" t="str">
        <f t="shared" si="148"/>
        <v>A5</v>
      </c>
      <c r="X103" s="120" t="str">
        <f t="shared" si="148"/>
        <v>B11</v>
      </c>
      <c r="Y103" s="73" t="s">
        <v>80</v>
      </c>
      <c r="Z103" s="94" t="s">
        <v>117</v>
      </c>
      <c r="AA103" s="36"/>
      <c r="AB103" s="36"/>
      <c r="AC103" s="111"/>
      <c r="AD103" s="112"/>
      <c r="AE103" s="37"/>
      <c r="AF103" s="97"/>
      <c r="AG103" s="14"/>
      <c r="AH103" s="14"/>
      <c r="AI103" s="14"/>
      <c r="AJ103" s="113"/>
      <c r="AK103" s="114" t="s">
        <v>119</v>
      </c>
      <c r="AM103" s="105" t="s">
        <v>120</v>
      </c>
      <c r="AO103" s="105" t="s">
        <v>121</v>
      </c>
      <c r="AQ103" s="104" t="s">
        <v>122</v>
      </c>
      <c r="AS103" s="104" t="s">
        <v>123</v>
      </c>
      <c r="AU103" s="104" t="s">
        <v>124</v>
      </c>
      <c r="AW103" s="105" t="s">
        <v>125</v>
      </c>
      <c r="AY103" s="104" t="s">
        <v>118</v>
      </c>
      <c r="AZ103" s="24"/>
    </row>
    <row r="104">
      <c r="A104" s="192">
        <f>A103-543</f>
        <v>2026</v>
      </c>
      <c r="B104" s="193"/>
      <c r="E104" s="115" t="s">
        <v>109</v>
      </c>
      <c r="F104" s="116" t="s">
        <v>229</v>
      </c>
      <c r="G104" s="115"/>
      <c r="H104" s="118"/>
      <c r="I104" s="118"/>
      <c r="J104" s="118"/>
      <c r="K104" s="36"/>
      <c r="L104" s="117"/>
      <c r="M104" s="326"/>
      <c r="N104" s="327"/>
      <c r="R104" s="117"/>
      <c r="T104" s="117"/>
      <c r="V104" s="117"/>
      <c r="X104" s="117"/>
      <c r="Y104" s="73" t="s">
        <v>98</v>
      </c>
      <c r="Z104" s="94" t="s">
        <v>128</v>
      </c>
      <c r="AA104" s="36"/>
      <c r="AB104" s="36"/>
      <c r="AC104" s="111"/>
      <c r="AD104" s="112"/>
      <c r="AE104" s="37"/>
      <c r="AF104" s="97"/>
      <c r="AG104" s="14"/>
      <c r="AH104" s="14"/>
      <c r="AI104" s="14"/>
      <c r="AJ104" s="113"/>
      <c r="AK104" s="114" t="s">
        <v>130</v>
      </c>
      <c r="AM104" s="105" t="s">
        <v>131</v>
      </c>
      <c r="AO104" s="105" t="s">
        <v>132</v>
      </c>
      <c r="AQ104" s="104" t="s">
        <v>133</v>
      </c>
      <c r="AS104" s="104" t="s">
        <v>134</v>
      </c>
      <c r="AU104" s="104" t="s">
        <v>135</v>
      </c>
      <c r="AW104" s="105" t="s">
        <v>136</v>
      </c>
      <c r="AY104" s="104" t="s">
        <v>129</v>
      </c>
      <c r="AZ104" s="24"/>
    </row>
    <row r="105">
      <c r="A105" s="364" t="s">
        <v>331</v>
      </c>
      <c r="B105" s="206"/>
      <c r="C105" s="123"/>
      <c r="D105" s="123"/>
      <c r="E105" s="164"/>
      <c r="F105" s="282"/>
      <c r="G105" s="283"/>
      <c r="H105" s="284"/>
      <c r="I105" s="284"/>
      <c r="J105" s="284"/>
      <c r="K105" s="36"/>
      <c r="L105" s="117"/>
      <c r="M105" s="128"/>
      <c r="N105" s="117"/>
      <c r="R105" s="117"/>
      <c r="T105" s="117"/>
      <c r="V105" s="117"/>
      <c r="X105" s="117"/>
      <c r="Y105" s="127"/>
      <c r="Z105" s="155"/>
      <c r="AA105" s="36"/>
      <c r="AB105" s="36"/>
      <c r="AC105" s="111"/>
      <c r="AD105" s="112"/>
      <c r="AE105" s="37"/>
      <c r="AF105" s="97"/>
      <c r="AG105" s="14"/>
      <c r="AH105" s="14"/>
      <c r="AI105" s="14"/>
      <c r="AJ105" s="113"/>
      <c r="AU105" s="128"/>
      <c r="AZ105" s="24"/>
    </row>
    <row r="106">
      <c r="A106" s="365" t="s">
        <v>156</v>
      </c>
      <c r="B106" s="206"/>
      <c r="C106" s="123"/>
      <c r="D106" s="123"/>
      <c r="E106" s="164" t="s">
        <v>168</v>
      </c>
      <c r="F106" s="88"/>
      <c r="G106" s="207" t="str">
        <f>G5:H5</f>
        <v>อสูรเดือน E</v>
      </c>
      <c r="I106" s="208" t="str">
        <f>I5:J5</f>
        <v>อสูรปี N</v>
      </c>
      <c r="K106" s="36"/>
      <c r="L106" s="117"/>
      <c r="M106" s="128"/>
      <c r="N106" s="117"/>
      <c r="R106" s="117"/>
      <c r="T106" s="117"/>
      <c r="V106" s="117"/>
      <c r="X106" s="117"/>
      <c r="Y106" s="127"/>
      <c r="Z106" s="155"/>
      <c r="AA106" s="36"/>
      <c r="AB106" s="36"/>
      <c r="AC106" s="111"/>
      <c r="AD106" s="112"/>
      <c r="AE106" s="37"/>
      <c r="AF106" s="97"/>
      <c r="AG106" s="14"/>
      <c r="AH106" s="14"/>
      <c r="AI106" s="14"/>
      <c r="AJ106" s="113"/>
      <c r="AU106" s="128"/>
      <c r="AZ106" s="24"/>
    </row>
    <row r="107">
      <c r="A107" s="188" t="s">
        <v>158</v>
      </c>
      <c r="B107" s="189"/>
      <c r="C107" s="63"/>
      <c r="D107" s="63"/>
      <c r="E107" s="64">
        <f>(O108+P108+Q108+R108)/(O109+P109+Q109+R109)</f>
        <v>0.25</v>
      </c>
      <c r="F107" s="65"/>
      <c r="G107" s="133"/>
      <c r="H107" s="72"/>
      <c r="I107" s="67"/>
      <c r="J107" s="72"/>
      <c r="K107" s="68"/>
      <c r="L107" s="69"/>
      <c r="M107" s="63" t="s">
        <v>64</v>
      </c>
      <c r="N107" s="70"/>
      <c r="O107" s="71" t="s">
        <v>65</v>
      </c>
      <c r="P107" s="72"/>
      <c r="Q107" s="72"/>
      <c r="R107" s="70"/>
      <c r="S107" s="71" t="s">
        <v>66</v>
      </c>
      <c r="T107" s="70"/>
      <c r="U107" s="71" t="s">
        <v>67</v>
      </c>
      <c r="V107" s="70"/>
      <c r="W107" s="71" t="s">
        <v>68</v>
      </c>
      <c r="X107" s="70"/>
      <c r="Y107" s="134" t="s">
        <v>80</v>
      </c>
      <c r="Z107" s="74" t="s">
        <v>170</v>
      </c>
      <c r="AA107" s="75" t="s">
        <v>201</v>
      </c>
      <c r="AB107" s="75" t="s">
        <v>240</v>
      </c>
      <c r="AC107" s="202" t="s">
        <v>142</v>
      </c>
      <c r="AD107" s="74" t="s">
        <v>143</v>
      </c>
      <c r="AE107" s="63" t="s">
        <v>36</v>
      </c>
      <c r="AF107" s="78" t="s">
        <v>34</v>
      </c>
      <c r="AG107" s="79" t="s">
        <v>53</v>
      </c>
      <c r="AH107" s="79">
        <v>30.0</v>
      </c>
      <c r="AI107" s="79" t="s">
        <v>178</v>
      </c>
      <c r="AJ107" s="80" t="str">
        <f>AJ100</f>
        <v>開</v>
      </c>
      <c r="AK107" s="81" t="s">
        <v>46</v>
      </c>
      <c r="AL107" s="82" t="str">
        <f>AL100</f>
        <v>休</v>
      </c>
      <c r="AM107" s="81" t="s">
        <v>48</v>
      </c>
      <c r="AN107" s="82" t="str">
        <f>AN100</f>
        <v>生</v>
      </c>
      <c r="AO107" s="81" t="s">
        <v>50</v>
      </c>
      <c r="AP107" s="82" t="str">
        <f>AP100</f>
        <v>傷</v>
      </c>
      <c r="AQ107" s="81" t="s">
        <v>52</v>
      </c>
      <c r="AR107" s="82" t="str">
        <f>AR100</f>
        <v>杜</v>
      </c>
      <c r="AS107" s="81" t="s">
        <v>38</v>
      </c>
      <c r="AT107" s="82" t="str">
        <f>AT100</f>
        <v>景</v>
      </c>
      <c r="AU107" s="81" t="s">
        <v>40</v>
      </c>
      <c r="AV107" s="82" t="str">
        <f>AV100</f>
        <v>死</v>
      </c>
      <c r="AW107" s="81" t="s">
        <v>42</v>
      </c>
      <c r="AX107" s="82" t="str">
        <f>AX100</f>
        <v>驚</v>
      </c>
      <c r="AY107" s="81" t="s">
        <v>44</v>
      </c>
      <c r="AZ107" s="83"/>
      <c r="BA107" s="84"/>
      <c r="BB107" s="84"/>
      <c r="BC107" s="84"/>
    </row>
    <row r="108">
      <c r="A108" s="192">
        <f>A101+1</f>
        <v>16</v>
      </c>
      <c r="B108" s="193"/>
      <c r="C108" s="12" t="s">
        <v>221</v>
      </c>
      <c r="E108" s="194" t="s">
        <v>195</v>
      </c>
      <c r="G108" s="324" t="str">
        <f t="shared" ref="G108:G109" si="151">G3:H3</f>
        <v>癸</v>
      </c>
      <c r="I108" s="275" t="str">
        <f t="shared" ref="I108:I109" si="152">I33:J33</f>
        <v>丙</v>
      </c>
      <c r="K108" s="90">
        <f>L108/L109</f>
        <v>0.49</v>
      </c>
      <c r="L108" s="126">
        <f t="shared" ref="L108:L109" si="153">O108+P108+Q108+U108+V108+W108+X108+R108+M108+N108+S108+T108</f>
        <v>490</v>
      </c>
      <c r="M108" s="92">
        <v>0.0</v>
      </c>
      <c r="N108" s="93">
        <v>0.0</v>
      </c>
      <c r="O108" s="92">
        <v>0.0</v>
      </c>
      <c r="P108" s="92">
        <v>50.0</v>
      </c>
      <c r="Q108" s="92">
        <v>20.0</v>
      </c>
      <c r="R108" s="93">
        <v>30.0</v>
      </c>
      <c r="S108" s="92">
        <v>40.0</v>
      </c>
      <c r="T108" s="93">
        <v>75.0</v>
      </c>
      <c r="U108" s="92">
        <f t="shared" ref="U108:V108" si="149">U39</f>
        <v>65</v>
      </c>
      <c r="V108" s="93">
        <f t="shared" si="149"/>
        <v>40</v>
      </c>
      <c r="W108" s="92">
        <f t="shared" ref="W108:X108" si="150">W33</f>
        <v>110</v>
      </c>
      <c r="X108" s="93">
        <f t="shared" si="150"/>
        <v>60</v>
      </c>
      <c r="Y108" s="73" t="s">
        <v>98</v>
      </c>
      <c r="Z108" s="94" t="s">
        <v>70</v>
      </c>
      <c r="AA108" s="36"/>
      <c r="AB108" s="36"/>
      <c r="AC108" s="204" t="s">
        <v>82</v>
      </c>
      <c r="AD108" s="96" t="s">
        <v>83</v>
      </c>
      <c r="AE108" s="37"/>
      <c r="AF108" s="97"/>
      <c r="AG108" s="12" t="s">
        <v>71</v>
      </c>
      <c r="AH108" s="12">
        <v>210.0</v>
      </c>
      <c r="AI108" s="12" t="s">
        <v>175</v>
      </c>
      <c r="AJ108" s="98" t="s">
        <v>86</v>
      </c>
      <c r="AK108" s="99" t="s">
        <v>87</v>
      </c>
      <c r="AL108" s="100" t="s">
        <v>88</v>
      </c>
      <c r="AM108" s="101" t="s">
        <v>89</v>
      </c>
      <c r="AN108" s="100" t="s">
        <v>45</v>
      </c>
      <c r="AO108" s="102" t="s">
        <v>90</v>
      </c>
      <c r="AP108" s="100" t="s">
        <v>43</v>
      </c>
      <c r="AQ108" s="101" t="s">
        <v>91</v>
      </c>
      <c r="AR108" s="100" t="s">
        <v>41</v>
      </c>
      <c r="AS108" s="103" t="s">
        <v>92</v>
      </c>
      <c r="AT108" s="100" t="s">
        <v>39</v>
      </c>
      <c r="AU108" s="99" t="s">
        <v>93</v>
      </c>
      <c r="AV108" s="100" t="s">
        <v>37</v>
      </c>
      <c r="AW108" s="99" t="s">
        <v>94</v>
      </c>
      <c r="AX108" s="100" t="s">
        <v>51</v>
      </c>
      <c r="AY108" s="101" t="s">
        <v>95</v>
      </c>
      <c r="AZ108" s="24"/>
    </row>
    <row r="109">
      <c r="A109" s="215" t="str">
        <f>G2</f>
        <v>พฤษภาคม</v>
      </c>
      <c r="B109" s="193"/>
      <c r="C109" s="175" t="s">
        <v>211</v>
      </c>
      <c r="E109" s="218" t="s">
        <v>180</v>
      </c>
      <c r="G109" s="223" t="str">
        <f t="shared" si="151"/>
        <v>巳</v>
      </c>
      <c r="I109" s="142" t="str">
        <f t="shared" si="152"/>
        <v>午</v>
      </c>
      <c r="K109" s="36"/>
      <c r="L109" s="109">
        <f t="shared" si="153"/>
        <v>1000</v>
      </c>
      <c r="M109" s="9">
        <v>0.0</v>
      </c>
      <c r="N109" s="110">
        <v>0.0</v>
      </c>
      <c r="O109" s="9">
        <v>100.0</v>
      </c>
      <c r="P109" s="9">
        <v>100.0</v>
      </c>
      <c r="Q109" s="9">
        <v>100.0</v>
      </c>
      <c r="R109" s="110">
        <v>100.0</v>
      </c>
      <c r="S109" s="9">
        <v>100.0</v>
      </c>
      <c r="T109" s="110">
        <v>100.0</v>
      </c>
      <c r="U109" s="9">
        <v>100.0</v>
      </c>
      <c r="V109" s="110">
        <v>100.0</v>
      </c>
      <c r="W109" s="9">
        <v>100.0</v>
      </c>
      <c r="X109" s="110">
        <v>100.0</v>
      </c>
      <c r="Y109" s="73" t="s">
        <v>116</v>
      </c>
      <c r="Z109" s="94" t="s">
        <v>181</v>
      </c>
      <c r="AA109" s="36"/>
      <c r="AB109" s="36"/>
      <c r="AC109" s="111"/>
      <c r="AD109" s="112"/>
      <c r="AE109" s="37"/>
      <c r="AF109" s="97"/>
      <c r="AG109" s="14"/>
      <c r="AH109" s="14"/>
      <c r="AI109" s="14"/>
      <c r="AJ109" s="113"/>
      <c r="AK109" s="104" t="s">
        <v>100</v>
      </c>
      <c r="AM109" s="114" t="s">
        <v>101</v>
      </c>
      <c r="AO109" s="105" t="s">
        <v>102</v>
      </c>
      <c r="AQ109" s="105" t="s">
        <v>103</v>
      </c>
      <c r="AS109" s="104" t="s">
        <v>104</v>
      </c>
      <c r="AU109" s="104" t="s">
        <v>105</v>
      </c>
      <c r="AW109" s="104" t="s">
        <v>106</v>
      </c>
      <c r="AY109" s="105" t="s">
        <v>107</v>
      </c>
      <c r="AZ109" s="24"/>
    </row>
    <row r="110">
      <c r="A110" s="192">
        <v>2569.0</v>
      </c>
      <c r="B110" s="193"/>
      <c r="E110" s="115" t="s">
        <v>114</v>
      </c>
      <c r="F110" s="116" t="s">
        <v>212</v>
      </c>
      <c r="G110" s="115" t="str">
        <f t="shared" ref="G110:H110" si="154">G41</f>
        <v>A11</v>
      </c>
      <c r="H110" s="9" t="str">
        <f t="shared" si="154"/>
        <v>B10</v>
      </c>
      <c r="I110" s="9" t="str">
        <f t="shared" ref="I110:J110" si="155">I35</f>
        <v>A5</v>
      </c>
      <c r="J110" s="9" t="str">
        <f t="shared" si="155"/>
        <v>B11</v>
      </c>
      <c r="K110" s="36"/>
      <c r="L110" s="117"/>
      <c r="M110" s="118" t="str">
        <f t="shared" ref="M110:P110" si="156">C110</f>
        <v/>
      </c>
      <c r="N110" s="119" t="str">
        <f t="shared" si="156"/>
        <v/>
      </c>
      <c r="O110" s="118" t="str">
        <f t="shared" si="156"/>
        <v>A10</v>
      </c>
      <c r="P110" s="118" t="str">
        <f t="shared" si="156"/>
        <v>B9</v>
      </c>
      <c r="Q110" s="118" t="str">
        <f t="shared" ref="Q110:R110" si="157">E111</f>
        <v>B3</v>
      </c>
      <c r="R110" s="119" t="str">
        <f t="shared" si="157"/>
        <v>C10</v>
      </c>
      <c r="S110" s="9" t="s">
        <v>112</v>
      </c>
      <c r="T110" s="110" t="s">
        <v>182</v>
      </c>
      <c r="U110" s="9" t="str">
        <f t="shared" ref="U110:X110" si="158">G110</f>
        <v>A11</v>
      </c>
      <c r="V110" s="119" t="str">
        <f t="shared" si="158"/>
        <v>B10</v>
      </c>
      <c r="W110" s="118" t="str">
        <f t="shared" si="158"/>
        <v>A5</v>
      </c>
      <c r="X110" s="120" t="str">
        <f t="shared" si="158"/>
        <v>B11</v>
      </c>
      <c r="Y110" s="73" t="s">
        <v>126</v>
      </c>
      <c r="Z110" s="94" t="s">
        <v>163</v>
      </c>
      <c r="AA110" s="36"/>
      <c r="AB110" s="36"/>
      <c r="AC110" s="111"/>
      <c r="AD110" s="112"/>
      <c r="AE110" s="37"/>
      <c r="AF110" s="97"/>
      <c r="AG110" s="14"/>
      <c r="AH110" s="14"/>
      <c r="AI110" s="14"/>
      <c r="AJ110" s="113"/>
      <c r="AK110" s="104" t="s">
        <v>118</v>
      </c>
      <c r="AM110" s="114" t="s">
        <v>119</v>
      </c>
      <c r="AO110" s="105" t="s">
        <v>120</v>
      </c>
      <c r="AQ110" s="105" t="s">
        <v>121</v>
      </c>
      <c r="AS110" s="104" t="s">
        <v>122</v>
      </c>
      <c r="AU110" s="104" t="s">
        <v>123</v>
      </c>
      <c r="AW110" s="104" t="s">
        <v>124</v>
      </c>
      <c r="AY110" s="105" t="s">
        <v>125</v>
      </c>
      <c r="AZ110" s="24"/>
    </row>
    <row r="111">
      <c r="A111" s="192">
        <f>A110-543</f>
        <v>2026</v>
      </c>
      <c r="B111" s="193"/>
      <c r="C111" s="347" t="s">
        <v>335</v>
      </c>
      <c r="E111" s="115" t="s">
        <v>183</v>
      </c>
      <c r="F111" s="116" t="s">
        <v>232</v>
      </c>
      <c r="G111" s="115"/>
      <c r="H111" s="118"/>
      <c r="I111" s="118"/>
      <c r="J111" s="118"/>
      <c r="K111" s="36"/>
      <c r="L111" s="117"/>
      <c r="M111" s="326"/>
      <c r="N111" s="327"/>
      <c r="R111" s="117"/>
      <c r="T111" s="117"/>
      <c r="V111" s="117"/>
      <c r="X111" s="117"/>
      <c r="Y111" s="73" t="s">
        <v>69</v>
      </c>
      <c r="Z111" s="94" t="s">
        <v>99</v>
      </c>
      <c r="AA111" s="36"/>
      <c r="AB111" s="36"/>
      <c r="AC111" s="111"/>
      <c r="AD111" s="112"/>
      <c r="AE111" s="37"/>
      <c r="AF111" s="97"/>
      <c r="AG111" s="14"/>
      <c r="AH111" s="14"/>
      <c r="AI111" s="14"/>
      <c r="AJ111" s="113"/>
      <c r="AK111" s="104" t="s">
        <v>129</v>
      </c>
      <c r="AM111" s="114" t="s">
        <v>130</v>
      </c>
      <c r="AO111" s="105" t="s">
        <v>131</v>
      </c>
      <c r="AQ111" s="105" t="s">
        <v>132</v>
      </c>
      <c r="AS111" s="104" t="s">
        <v>133</v>
      </c>
      <c r="AU111" s="104" t="s">
        <v>134</v>
      </c>
      <c r="AW111" s="104" t="s">
        <v>135</v>
      </c>
      <c r="AY111" s="105" t="s">
        <v>136</v>
      </c>
      <c r="AZ111" s="24"/>
    </row>
    <row r="112">
      <c r="A112" s="351"/>
      <c r="B112" s="206"/>
      <c r="C112" s="123"/>
      <c r="D112" s="123"/>
      <c r="E112" s="164" t="s">
        <v>185</v>
      </c>
      <c r="F112" s="88"/>
      <c r="G112" s="207" t="str">
        <f>G5:H5</f>
        <v>อสูรเดือน E</v>
      </c>
      <c r="I112" s="208" t="str">
        <f>I5:J5</f>
        <v>อสูรปี N</v>
      </c>
      <c r="K112" s="36"/>
      <c r="L112" s="117"/>
      <c r="M112" s="128"/>
      <c r="N112" s="117"/>
      <c r="R112" s="117"/>
      <c r="T112" s="117"/>
      <c r="V112" s="117"/>
      <c r="X112" s="117"/>
      <c r="Y112" s="127"/>
      <c r="Z112" s="155"/>
      <c r="AA112" s="36"/>
      <c r="AB112" s="36"/>
      <c r="AC112" s="111"/>
      <c r="AD112" s="112"/>
      <c r="AE112" s="37"/>
      <c r="AF112" s="97"/>
      <c r="AG112" s="14"/>
      <c r="AH112" s="14"/>
      <c r="AI112" s="14"/>
      <c r="AJ112" s="113"/>
      <c r="AK112" s="128"/>
      <c r="AY112" s="220"/>
      <c r="AZ112" s="24"/>
    </row>
    <row r="113">
      <c r="A113" s="188" t="s">
        <v>169</v>
      </c>
      <c r="B113" s="189"/>
      <c r="C113" s="63"/>
      <c r="D113" s="63"/>
      <c r="E113" s="64">
        <f>(O114+P114+Q114+R114)/(O115+P115+Q115+R115)</f>
        <v>0.5</v>
      </c>
      <c r="F113" s="65"/>
      <c r="G113" s="133"/>
      <c r="H113" s="72"/>
      <c r="I113" s="67"/>
      <c r="J113" s="72"/>
      <c r="K113" s="68"/>
      <c r="L113" s="69"/>
      <c r="M113" s="63" t="s">
        <v>64</v>
      </c>
      <c r="N113" s="70"/>
      <c r="O113" s="71" t="s">
        <v>65</v>
      </c>
      <c r="P113" s="72"/>
      <c r="Q113" s="72"/>
      <c r="R113" s="70"/>
      <c r="S113" s="71" t="s">
        <v>66</v>
      </c>
      <c r="T113" s="70"/>
      <c r="U113" s="71" t="s">
        <v>67</v>
      </c>
      <c r="V113" s="70"/>
      <c r="W113" s="71" t="s">
        <v>68</v>
      </c>
      <c r="X113" s="70"/>
      <c r="Y113" s="134" t="s">
        <v>80</v>
      </c>
      <c r="Z113" s="74" t="s">
        <v>159</v>
      </c>
      <c r="AA113" s="75" t="s">
        <v>209</v>
      </c>
      <c r="AB113" s="75" t="s">
        <v>238</v>
      </c>
      <c r="AC113" s="202" t="s">
        <v>142</v>
      </c>
      <c r="AD113" s="74" t="s">
        <v>143</v>
      </c>
      <c r="AE113" s="63" t="s">
        <v>36</v>
      </c>
      <c r="AF113" s="78" t="s">
        <v>75</v>
      </c>
      <c r="AG113" s="79" t="s">
        <v>180</v>
      </c>
      <c r="AH113" s="79">
        <v>60.0</v>
      </c>
      <c r="AI113" s="79" t="s">
        <v>200</v>
      </c>
      <c r="AJ113" s="80" t="str">
        <f>AJ107</f>
        <v>開</v>
      </c>
      <c r="AK113" s="81" t="s">
        <v>46</v>
      </c>
      <c r="AL113" s="82" t="str">
        <f>AL107</f>
        <v>休</v>
      </c>
      <c r="AM113" s="81" t="s">
        <v>48</v>
      </c>
      <c r="AN113" s="82" t="str">
        <f>AN107</f>
        <v>生</v>
      </c>
      <c r="AO113" s="81" t="s">
        <v>50</v>
      </c>
      <c r="AP113" s="82" t="str">
        <f>AP107</f>
        <v>傷</v>
      </c>
      <c r="AQ113" s="81" t="s">
        <v>52</v>
      </c>
      <c r="AR113" s="82" t="str">
        <f>AR107</f>
        <v>杜</v>
      </c>
      <c r="AS113" s="81" t="s">
        <v>38</v>
      </c>
      <c r="AT113" s="82" t="str">
        <f>AT107</f>
        <v>景</v>
      </c>
      <c r="AU113" s="81" t="s">
        <v>40</v>
      </c>
      <c r="AV113" s="82" t="str">
        <f>AV107</f>
        <v>死</v>
      </c>
      <c r="AW113" s="81" t="s">
        <v>42</v>
      </c>
      <c r="AX113" s="82" t="str">
        <f>AX107</f>
        <v>驚</v>
      </c>
      <c r="AY113" s="81" t="s">
        <v>44</v>
      </c>
      <c r="AZ113" s="83"/>
      <c r="BA113" s="84"/>
      <c r="BB113" s="84"/>
      <c r="BC113" s="84"/>
    </row>
    <row r="114">
      <c r="A114" s="192">
        <f>A108+1</f>
        <v>17</v>
      </c>
      <c r="B114" s="193"/>
      <c r="C114" s="12" t="s">
        <v>221</v>
      </c>
      <c r="E114" s="199" t="s">
        <v>201</v>
      </c>
      <c r="G114" s="324" t="str">
        <f t="shared" ref="G114:G115" si="161">G3:H3</f>
        <v>癸</v>
      </c>
      <c r="I114" s="275" t="str">
        <f t="shared" ref="I114:I115" si="162">I33:J33</f>
        <v>丙</v>
      </c>
      <c r="K114" s="90">
        <f>L114/L115</f>
        <v>0.56</v>
      </c>
      <c r="L114" s="126">
        <f t="shared" ref="L114:L115" si="163">O114+P114+Q114+U114+V114+W114+X114+R114+M114+N114+S114+T114</f>
        <v>560</v>
      </c>
      <c r="M114" s="92">
        <v>0.0</v>
      </c>
      <c r="N114" s="93">
        <v>0.0</v>
      </c>
      <c r="O114" s="92">
        <v>0.0</v>
      </c>
      <c r="P114" s="92">
        <v>40.0</v>
      </c>
      <c r="Q114" s="92">
        <v>80.0</v>
      </c>
      <c r="R114" s="93">
        <v>80.0</v>
      </c>
      <c r="S114" s="92">
        <v>80.0</v>
      </c>
      <c r="T114" s="93">
        <v>5.0</v>
      </c>
      <c r="U114" s="92">
        <f t="shared" ref="U114:V114" si="159">U39</f>
        <v>65</v>
      </c>
      <c r="V114" s="93">
        <f t="shared" si="159"/>
        <v>40</v>
      </c>
      <c r="W114" s="92">
        <f t="shared" ref="W114:X114" si="160">W33</f>
        <v>110</v>
      </c>
      <c r="X114" s="93">
        <f t="shared" si="160"/>
        <v>60</v>
      </c>
      <c r="Y114" s="73" t="s">
        <v>98</v>
      </c>
      <c r="Z114" s="94" t="s">
        <v>152</v>
      </c>
      <c r="AA114" s="36"/>
      <c r="AB114" s="36"/>
      <c r="AC114" s="204" t="s">
        <v>82</v>
      </c>
      <c r="AD114" s="96" t="s">
        <v>83</v>
      </c>
      <c r="AE114" s="37"/>
      <c r="AF114" s="97"/>
      <c r="AG114" s="12" t="s">
        <v>202</v>
      </c>
      <c r="AH114" s="12">
        <v>180.0</v>
      </c>
      <c r="AI114" s="12" t="s">
        <v>203</v>
      </c>
      <c r="AJ114" s="98" t="s">
        <v>37</v>
      </c>
      <c r="AK114" s="99" t="s">
        <v>94</v>
      </c>
      <c r="AL114" s="100" t="s">
        <v>51</v>
      </c>
      <c r="AM114" s="101" t="s">
        <v>95</v>
      </c>
      <c r="AN114" s="100" t="s">
        <v>86</v>
      </c>
      <c r="AO114" s="99" t="s">
        <v>87</v>
      </c>
      <c r="AP114" s="100" t="s">
        <v>88</v>
      </c>
      <c r="AQ114" s="101" t="s">
        <v>89</v>
      </c>
      <c r="AR114" s="100" t="s">
        <v>45</v>
      </c>
      <c r="AS114" s="102" t="s">
        <v>90</v>
      </c>
      <c r="AT114" s="100" t="s">
        <v>43</v>
      </c>
      <c r="AU114" s="101" t="s">
        <v>91</v>
      </c>
      <c r="AV114" s="100" t="s">
        <v>41</v>
      </c>
      <c r="AW114" s="103" t="s">
        <v>92</v>
      </c>
      <c r="AX114" s="100" t="s">
        <v>39</v>
      </c>
      <c r="AY114" s="99" t="s">
        <v>93</v>
      </c>
      <c r="AZ114" s="24"/>
    </row>
    <row r="115">
      <c r="A115" s="215" t="str">
        <f>G2</f>
        <v>พฤษภาคม</v>
      </c>
      <c r="B115" s="193"/>
      <c r="C115" s="161" t="s">
        <v>217</v>
      </c>
      <c r="E115" s="171" t="s">
        <v>189</v>
      </c>
      <c r="G115" s="223" t="str">
        <f t="shared" si="161"/>
        <v>巳</v>
      </c>
      <c r="I115" s="142" t="str">
        <f t="shared" si="162"/>
        <v>午</v>
      </c>
      <c r="K115" s="36"/>
      <c r="L115" s="109">
        <f t="shared" si="163"/>
        <v>1000</v>
      </c>
      <c r="M115" s="9">
        <v>0.0</v>
      </c>
      <c r="N115" s="110">
        <v>0.0</v>
      </c>
      <c r="O115" s="9">
        <v>100.0</v>
      </c>
      <c r="P115" s="9">
        <v>100.0</v>
      </c>
      <c r="Q115" s="9">
        <v>100.0</v>
      </c>
      <c r="R115" s="110">
        <v>100.0</v>
      </c>
      <c r="S115" s="9">
        <v>100.0</v>
      </c>
      <c r="T115" s="110">
        <v>100.0</v>
      </c>
      <c r="U115" s="9">
        <v>100.0</v>
      </c>
      <c r="V115" s="110">
        <v>100.0</v>
      </c>
      <c r="W115" s="9">
        <v>100.0</v>
      </c>
      <c r="X115" s="110">
        <v>100.0</v>
      </c>
      <c r="Y115" s="73" t="s">
        <v>116</v>
      </c>
      <c r="Z115" s="94" t="s">
        <v>81</v>
      </c>
      <c r="AA115" s="36"/>
      <c r="AB115" s="36"/>
      <c r="AC115" s="111"/>
      <c r="AD115" s="112"/>
      <c r="AE115" s="37"/>
      <c r="AF115" s="97"/>
      <c r="AG115" s="14"/>
      <c r="AH115" s="14"/>
      <c r="AI115" s="14"/>
      <c r="AJ115" s="113"/>
      <c r="AK115" s="104" t="s">
        <v>106</v>
      </c>
      <c r="AM115" s="105" t="s">
        <v>107</v>
      </c>
      <c r="AO115" s="104" t="s">
        <v>100</v>
      </c>
      <c r="AQ115" s="114" t="s">
        <v>101</v>
      </c>
      <c r="AS115" s="105" t="s">
        <v>102</v>
      </c>
      <c r="AU115" s="105" t="s">
        <v>103</v>
      </c>
      <c r="AW115" s="104" t="s">
        <v>104</v>
      </c>
      <c r="AY115" s="104" t="s">
        <v>105</v>
      </c>
      <c r="AZ115" s="24"/>
    </row>
    <row r="116">
      <c r="A116" s="192">
        <v>2569.0</v>
      </c>
      <c r="B116" s="193"/>
      <c r="E116" s="115" t="s">
        <v>114</v>
      </c>
      <c r="F116" s="116" t="s">
        <v>218</v>
      </c>
      <c r="G116" s="115" t="str">
        <f t="shared" ref="G116:H116" si="164">G41</f>
        <v>A11</v>
      </c>
      <c r="H116" s="9" t="str">
        <f t="shared" si="164"/>
        <v>B10</v>
      </c>
      <c r="I116" s="9" t="str">
        <f t="shared" ref="I116:J116" si="165">I35</f>
        <v>A5</v>
      </c>
      <c r="J116" s="9" t="str">
        <f t="shared" si="165"/>
        <v>B11</v>
      </c>
      <c r="K116" s="36"/>
      <c r="L116" s="117"/>
      <c r="M116" s="118" t="str">
        <f t="shared" ref="M116:P116" si="166">C116</f>
        <v/>
      </c>
      <c r="N116" s="119" t="str">
        <f t="shared" si="166"/>
        <v/>
      </c>
      <c r="O116" s="118" t="str">
        <f t="shared" si="166"/>
        <v>A10</v>
      </c>
      <c r="P116" s="118" t="str">
        <f t="shared" si="166"/>
        <v>B10</v>
      </c>
      <c r="Q116" s="118" t="str">
        <f t="shared" ref="Q116:R116" si="167">E117</f>
        <v>B2</v>
      </c>
      <c r="R116" s="119" t="str">
        <f t="shared" si="167"/>
        <v>C11</v>
      </c>
      <c r="S116" s="9" t="s">
        <v>182</v>
      </c>
      <c r="T116" s="110" t="s">
        <v>108</v>
      </c>
      <c r="U116" s="9" t="str">
        <f t="shared" ref="U116:X116" si="168">G116</f>
        <v>A11</v>
      </c>
      <c r="V116" s="119" t="str">
        <f t="shared" si="168"/>
        <v>B10</v>
      </c>
      <c r="W116" s="118" t="str">
        <f t="shared" si="168"/>
        <v>A5</v>
      </c>
      <c r="X116" s="120" t="str">
        <f t="shared" si="168"/>
        <v>B11</v>
      </c>
      <c r="Y116" s="73" t="s">
        <v>126</v>
      </c>
      <c r="Z116" s="94" t="s">
        <v>99</v>
      </c>
      <c r="AA116" s="36"/>
      <c r="AB116" s="36"/>
      <c r="AC116" s="111"/>
      <c r="AD116" s="112"/>
      <c r="AE116" s="37"/>
      <c r="AF116" s="97"/>
      <c r="AG116" s="14"/>
      <c r="AH116" s="14"/>
      <c r="AI116" s="14"/>
      <c r="AJ116" s="113"/>
      <c r="AK116" s="104" t="s">
        <v>124</v>
      </c>
      <c r="AM116" s="105" t="s">
        <v>125</v>
      </c>
      <c r="AO116" s="104" t="s">
        <v>118</v>
      </c>
      <c r="AQ116" s="114" t="s">
        <v>119</v>
      </c>
      <c r="AS116" s="105" t="s">
        <v>120</v>
      </c>
      <c r="AU116" s="105" t="s">
        <v>121</v>
      </c>
      <c r="AW116" s="104" t="s">
        <v>122</v>
      </c>
      <c r="AY116" s="104" t="s">
        <v>123</v>
      </c>
      <c r="AZ116" s="24"/>
    </row>
    <row r="117">
      <c r="A117" s="192">
        <f>A116-543</f>
        <v>2026</v>
      </c>
      <c r="B117" s="193"/>
      <c r="C117" s="12"/>
      <c r="E117" s="115" t="s">
        <v>98</v>
      </c>
      <c r="F117" s="116" t="s">
        <v>236</v>
      </c>
      <c r="G117" s="115"/>
      <c r="H117" s="118"/>
      <c r="I117" s="118"/>
      <c r="J117" s="118"/>
      <c r="K117" s="36"/>
      <c r="L117" s="117"/>
      <c r="M117" s="326"/>
      <c r="N117" s="327"/>
      <c r="R117" s="117"/>
      <c r="T117" s="117"/>
      <c r="V117" s="117"/>
      <c r="X117" s="117"/>
      <c r="Y117" s="73" t="s">
        <v>69</v>
      </c>
      <c r="Z117" s="94" t="s">
        <v>155</v>
      </c>
      <c r="AA117" s="36"/>
      <c r="AB117" s="36"/>
      <c r="AC117" s="111"/>
      <c r="AD117" s="112"/>
      <c r="AE117" s="37"/>
      <c r="AF117" s="97"/>
      <c r="AG117" s="14"/>
      <c r="AH117" s="14"/>
      <c r="AI117" s="14"/>
      <c r="AJ117" s="113"/>
      <c r="AK117" s="104" t="s">
        <v>135</v>
      </c>
      <c r="AM117" s="105" t="s">
        <v>136</v>
      </c>
      <c r="AO117" s="104" t="s">
        <v>129</v>
      </c>
      <c r="AQ117" s="114" t="s">
        <v>130</v>
      </c>
      <c r="AS117" s="105" t="s">
        <v>131</v>
      </c>
      <c r="AU117" s="105" t="s">
        <v>132</v>
      </c>
      <c r="AW117" s="104" t="s">
        <v>133</v>
      </c>
      <c r="AY117" s="104" t="s">
        <v>134</v>
      </c>
      <c r="AZ117" s="24"/>
    </row>
    <row r="118">
      <c r="A118" s="351"/>
      <c r="B118" s="206"/>
      <c r="C118" s="1" t="s">
        <v>336</v>
      </c>
      <c r="E118" s="176" t="s">
        <v>137</v>
      </c>
      <c r="F118" s="88"/>
      <c r="G118" s="207" t="str">
        <f>G5:H5</f>
        <v>อสูรเดือน E</v>
      </c>
      <c r="I118" s="208" t="str">
        <f>I5:J5</f>
        <v>อสูรปี N</v>
      </c>
      <c r="K118" s="36"/>
      <c r="L118" s="117"/>
      <c r="M118" s="326"/>
      <c r="N118" s="327"/>
      <c r="R118" s="117"/>
      <c r="T118" s="117"/>
      <c r="V118" s="117"/>
      <c r="X118" s="117"/>
      <c r="Y118" s="127"/>
      <c r="Z118" s="155"/>
      <c r="AA118" s="36"/>
      <c r="AB118" s="36"/>
      <c r="AC118" s="111"/>
      <c r="AD118" s="112"/>
      <c r="AE118" s="37"/>
      <c r="AF118" s="97"/>
      <c r="AG118" s="14"/>
      <c r="AH118" s="14"/>
      <c r="AI118" s="14"/>
      <c r="AJ118" s="113"/>
      <c r="AU118" s="128"/>
      <c r="AZ118" s="24"/>
    </row>
    <row r="119">
      <c r="A119" s="188" t="s">
        <v>186</v>
      </c>
      <c r="B119" s="189"/>
      <c r="C119" s="63"/>
      <c r="D119" s="63"/>
      <c r="E119" s="64">
        <f>(O120+P120+Q120+R120)/(O121+P121+Q121+R121)</f>
        <v>0.5125</v>
      </c>
      <c r="F119" s="65"/>
      <c r="G119" s="133"/>
      <c r="H119" s="72"/>
      <c r="I119" s="67"/>
      <c r="J119" s="72"/>
      <c r="K119" s="68"/>
      <c r="L119" s="69"/>
      <c r="M119" s="63" t="s">
        <v>64</v>
      </c>
      <c r="N119" s="70"/>
      <c r="O119" s="71" t="s">
        <v>65</v>
      </c>
      <c r="P119" s="72"/>
      <c r="Q119" s="72"/>
      <c r="R119" s="70"/>
      <c r="S119" s="71" t="s">
        <v>66</v>
      </c>
      <c r="T119" s="70"/>
      <c r="U119" s="71" t="s">
        <v>67</v>
      </c>
      <c r="V119" s="70"/>
      <c r="W119" s="71" t="s">
        <v>68</v>
      </c>
      <c r="X119" s="70"/>
      <c r="Y119" s="134" t="s">
        <v>80</v>
      </c>
      <c r="Z119" s="74" t="s">
        <v>181</v>
      </c>
      <c r="AA119" s="75" t="s">
        <v>76</v>
      </c>
      <c r="AB119" s="75" t="s">
        <v>243</v>
      </c>
      <c r="AC119" s="135" t="s">
        <v>142</v>
      </c>
      <c r="AD119" s="74" t="s">
        <v>143</v>
      </c>
      <c r="AE119" s="63" t="s">
        <v>144</v>
      </c>
      <c r="AF119" s="78" t="s">
        <v>144</v>
      </c>
      <c r="AG119" s="79" t="s">
        <v>189</v>
      </c>
      <c r="AH119" s="79">
        <v>90.0</v>
      </c>
      <c r="AI119" s="79" t="s">
        <v>208</v>
      </c>
      <c r="AJ119" s="80" t="str">
        <f>AJ113</f>
        <v>開</v>
      </c>
      <c r="AK119" s="81" t="s">
        <v>42</v>
      </c>
      <c r="AL119" s="82" t="str">
        <f>AL113</f>
        <v>休</v>
      </c>
      <c r="AM119" s="81" t="s">
        <v>44</v>
      </c>
      <c r="AN119" s="82" t="s">
        <v>4</v>
      </c>
      <c r="AO119" s="81" t="s">
        <v>46</v>
      </c>
      <c r="AP119" s="82" t="str">
        <f>AP113</f>
        <v>傷</v>
      </c>
      <c r="AQ119" s="81" t="s">
        <v>48</v>
      </c>
      <c r="AR119" s="82" t="s">
        <v>8</v>
      </c>
      <c r="AS119" s="81" t="s">
        <v>50</v>
      </c>
      <c r="AT119" s="82" t="str">
        <f>AT113</f>
        <v>景</v>
      </c>
      <c r="AU119" s="81" t="s">
        <v>52</v>
      </c>
      <c r="AV119" s="82" t="str">
        <f>AV113</f>
        <v>死</v>
      </c>
      <c r="AW119" s="81" t="s">
        <v>38</v>
      </c>
      <c r="AX119" s="82" t="str">
        <f>AX113</f>
        <v>驚</v>
      </c>
      <c r="AY119" s="81" t="s">
        <v>40</v>
      </c>
      <c r="AZ119" s="83"/>
      <c r="BA119" s="84"/>
      <c r="BB119" s="84"/>
      <c r="BC119" s="84"/>
    </row>
    <row r="120">
      <c r="A120" s="192">
        <f>A114+1</f>
        <v>18</v>
      </c>
      <c r="B120" s="193"/>
      <c r="C120" s="12" t="s">
        <v>216</v>
      </c>
      <c r="E120" s="203" t="s">
        <v>209</v>
      </c>
      <c r="G120" s="324" t="str">
        <f t="shared" ref="G120:G121" si="171">G3:H3</f>
        <v>癸</v>
      </c>
      <c r="I120" s="275" t="str">
        <f t="shared" ref="I120:I121" si="172">I33:J33</f>
        <v>丙</v>
      </c>
      <c r="K120" s="90">
        <f>L120/L121</f>
        <v>0.545</v>
      </c>
      <c r="L120" s="126">
        <f t="shared" ref="L120:L121" si="173">O120+P120+Q120+U120+V120+W120+X120+R120+M120+N120+S120+T120</f>
        <v>545</v>
      </c>
      <c r="M120" s="92">
        <v>0.0</v>
      </c>
      <c r="N120" s="93">
        <v>0.0</v>
      </c>
      <c r="O120" s="92">
        <v>45.0</v>
      </c>
      <c r="P120" s="92">
        <v>60.0</v>
      </c>
      <c r="Q120" s="92">
        <v>70.0</v>
      </c>
      <c r="R120" s="93">
        <v>30.0</v>
      </c>
      <c r="S120" s="92">
        <v>65.0</v>
      </c>
      <c r="T120" s="93">
        <v>0.0</v>
      </c>
      <c r="U120" s="92">
        <f t="shared" ref="U120:V120" si="169">U39</f>
        <v>65</v>
      </c>
      <c r="V120" s="93">
        <f t="shared" si="169"/>
        <v>40</v>
      </c>
      <c r="W120" s="92">
        <f t="shared" ref="W120:X120" si="170">W33</f>
        <v>110</v>
      </c>
      <c r="X120" s="93">
        <f t="shared" si="170"/>
        <v>60</v>
      </c>
      <c r="Y120" s="73" t="s">
        <v>98</v>
      </c>
      <c r="Z120" s="94" t="s">
        <v>163</v>
      </c>
      <c r="AA120" s="36"/>
      <c r="AB120" s="36"/>
      <c r="AC120" s="139" t="s">
        <v>148</v>
      </c>
      <c r="AD120" s="96" t="s">
        <v>149</v>
      </c>
      <c r="AE120" s="37"/>
      <c r="AF120" s="97"/>
      <c r="AG120" s="12" t="s">
        <v>54</v>
      </c>
      <c r="AH120" s="12">
        <v>150.0</v>
      </c>
      <c r="AI120" s="12" t="s">
        <v>210</v>
      </c>
      <c r="AJ120" s="98" t="s">
        <v>39</v>
      </c>
      <c r="AK120" s="99" t="s">
        <v>93</v>
      </c>
      <c r="AL120" s="100" t="s">
        <v>37</v>
      </c>
      <c r="AM120" s="99" t="s">
        <v>94</v>
      </c>
      <c r="AN120" s="100" t="s">
        <v>51</v>
      </c>
      <c r="AO120" s="101" t="s">
        <v>95</v>
      </c>
      <c r="AP120" s="100" t="s">
        <v>86</v>
      </c>
      <c r="AQ120" s="99" t="s">
        <v>87</v>
      </c>
      <c r="AR120" s="100" t="s">
        <v>88</v>
      </c>
      <c r="AS120" s="101" t="s">
        <v>89</v>
      </c>
      <c r="AT120" s="100" t="s">
        <v>45</v>
      </c>
      <c r="AU120" s="102" t="s">
        <v>90</v>
      </c>
      <c r="AV120" s="100" t="s">
        <v>43</v>
      </c>
      <c r="AW120" s="101" t="s">
        <v>91</v>
      </c>
      <c r="AX120" s="100" t="s">
        <v>41</v>
      </c>
      <c r="AY120" s="103" t="s">
        <v>92</v>
      </c>
      <c r="AZ120" s="24"/>
    </row>
    <row r="121">
      <c r="A121" s="215" t="str">
        <f>G2</f>
        <v>พฤษภาคม</v>
      </c>
      <c r="B121" s="193"/>
      <c r="C121" s="175" t="s">
        <v>223</v>
      </c>
      <c r="E121" s="162" t="s">
        <v>197</v>
      </c>
      <c r="G121" s="223" t="str">
        <f t="shared" si="171"/>
        <v>巳</v>
      </c>
      <c r="I121" s="142" t="str">
        <f t="shared" si="172"/>
        <v>午</v>
      </c>
      <c r="K121" s="36"/>
      <c r="L121" s="109">
        <f t="shared" si="173"/>
        <v>1000</v>
      </c>
      <c r="M121" s="9">
        <v>0.0</v>
      </c>
      <c r="N121" s="110">
        <v>0.0</v>
      </c>
      <c r="O121" s="9">
        <v>100.0</v>
      </c>
      <c r="P121" s="9">
        <v>100.0</v>
      </c>
      <c r="Q121" s="9">
        <v>100.0</v>
      </c>
      <c r="R121" s="110">
        <v>100.0</v>
      </c>
      <c r="S121" s="9">
        <v>100.0</v>
      </c>
      <c r="T121" s="110">
        <v>100.0</v>
      </c>
      <c r="U121" s="9">
        <v>100.0</v>
      </c>
      <c r="V121" s="110">
        <v>100.0</v>
      </c>
      <c r="W121" s="9">
        <v>100.0</v>
      </c>
      <c r="X121" s="110">
        <v>100.0</v>
      </c>
      <c r="Y121" s="73" t="s">
        <v>116</v>
      </c>
      <c r="Z121" s="94" t="s">
        <v>153</v>
      </c>
      <c r="AA121" s="36"/>
      <c r="AB121" s="36"/>
      <c r="AC121" s="111"/>
      <c r="AD121" s="112"/>
      <c r="AE121" s="37"/>
      <c r="AF121" s="97"/>
      <c r="AG121" s="14"/>
      <c r="AH121" s="14"/>
      <c r="AI121" s="14"/>
      <c r="AJ121" s="113"/>
      <c r="AK121" s="104" t="s">
        <v>105</v>
      </c>
      <c r="AM121" s="104" t="s">
        <v>106</v>
      </c>
      <c r="AO121" s="105" t="s">
        <v>107</v>
      </c>
      <c r="AQ121" s="104" t="s">
        <v>100</v>
      </c>
      <c r="AS121" s="114" t="s">
        <v>101</v>
      </c>
      <c r="AU121" s="105" t="s">
        <v>102</v>
      </c>
      <c r="AW121" s="105" t="s">
        <v>103</v>
      </c>
      <c r="AY121" s="104" t="s">
        <v>104</v>
      </c>
      <c r="AZ121" s="24"/>
    </row>
    <row r="122">
      <c r="A122" s="192">
        <v>2569.0</v>
      </c>
      <c r="B122" s="193"/>
      <c r="E122" s="115" t="s">
        <v>164</v>
      </c>
      <c r="F122" s="116" t="s">
        <v>214</v>
      </c>
      <c r="G122" s="115" t="str">
        <f t="shared" ref="G122:H122" si="174">G41</f>
        <v>A11</v>
      </c>
      <c r="H122" s="9" t="str">
        <f t="shared" si="174"/>
        <v>B10</v>
      </c>
      <c r="I122" s="9" t="str">
        <f t="shared" ref="I122:J122" si="175">I35</f>
        <v>A5</v>
      </c>
      <c r="J122" s="9" t="str">
        <f t="shared" si="175"/>
        <v>B11</v>
      </c>
      <c r="K122" s="36"/>
      <c r="L122" s="117"/>
      <c r="M122" s="118" t="str">
        <f t="shared" ref="M122:P122" si="176">C122</f>
        <v/>
      </c>
      <c r="N122" s="119" t="str">
        <f t="shared" si="176"/>
        <v/>
      </c>
      <c r="O122" s="118" t="str">
        <f t="shared" si="176"/>
        <v>A9</v>
      </c>
      <c r="P122" s="118" t="str">
        <f t="shared" si="176"/>
        <v>B11</v>
      </c>
      <c r="Q122" s="118" t="str">
        <f t="shared" ref="Q122:R122" si="177">E123</f>
        <v>B1</v>
      </c>
      <c r="R122" s="119" t="str">
        <f t="shared" si="177"/>
        <v>C12</v>
      </c>
      <c r="S122" s="9" t="s">
        <v>165</v>
      </c>
      <c r="T122" s="110" t="s">
        <v>114</v>
      </c>
      <c r="U122" s="9" t="str">
        <f t="shared" ref="U122:X122" si="178">G122</f>
        <v>A11</v>
      </c>
      <c r="V122" s="119" t="str">
        <f t="shared" si="178"/>
        <v>B10</v>
      </c>
      <c r="W122" s="118" t="str">
        <f t="shared" si="178"/>
        <v>A5</v>
      </c>
      <c r="X122" s="120" t="str">
        <f t="shared" si="178"/>
        <v>B11</v>
      </c>
      <c r="Y122" s="73" t="s">
        <v>126</v>
      </c>
      <c r="Z122" s="94" t="s">
        <v>155</v>
      </c>
      <c r="AA122" s="36"/>
      <c r="AB122" s="36"/>
      <c r="AC122" s="111"/>
      <c r="AD122" s="112"/>
      <c r="AE122" s="37"/>
      <c r="AF122" s="97"/>
      <c r="AG122" s="14"/>
      <c r="AH122" s="14"/>
      <c r="AI122" s="14"/>
      <c r="AJ122" s="113"/>
      <c r="AK122" s="104" t="s">
        <v>123</v>
      </c>
      <c r="AM122" s="104" t="s">
        <v>124</v>
      </c>
      <c r="AO122" s="105" t="s">
        <v>125</v>
      </c>
      <c r="AQ122" s="104" t="s">
        <v>118</v>
      </c>
      <c r="AS122" s="114" t="s">
        <v>119</v>
      </c>
      <c r="AU122" s="105" t="s">
        <v>120</v>
      </c>
      <c r="AW122" s="105" t="s">
        <v>121</v>
      </c>
      <c r="AY122" s="104" t="s">
        <v>122</v>
      </c>
      <c r="AZ122" s="24"/>
    </row>
    <row r="123">
      <c r="A123" s="192">
        <f>A122-543</f>
        <v>2026</v>
      </c>
      <c r="B123" s="193"/>
      <c r="C123" s="12"/>
      <c r="E123" s="115" t="s">
        <v>80</v>
      </c>
      <c r="F123" s="116" t="s">
        <v>127</v>
      </c>
      <c r="G123" s="115"/>
      <c r="H123" s="118"/>
      <c r="I123" s="118"/>
      <c r="J123" s="118"/>
      <c r="K123" s="36"/>
      <c r="L123" s="117"/>
      <c r="M123" s="326"/>
      <c r="N123" s="327"/>
      <c r="R123" s="117"/>
      <c r="T123" s="117"/>
      <c r="V123" s="117"/>
      <c r="X123" s="117"/>
      <c r="Y123" s="73" t="s">
        <v>69</v>
      </c>
      <c r="Z123" s="94" t="s">
        <v>128</v>
      </c>
      <c r="AA123" s="36"/>
      <c r="AB123" s="36"/>
      <c r="AC123" s="111"/>
      <c r="AD123" s="112"/>
      <c r="AE123" s="37"/>
      <c r="AF123" s="97"/>
      <c r="AG123" s="14"/>
      <c r="AH123" s="14"/>
      <c r="AI123" s="14"/>
      <c r="AJ123" s="113"/>
      <c r="AK123" s="104" t="s">
        <v>134</v>
      </c>
      <c r="AM123" s="104" t="s">
        <v>135</v>
      </c>
      <c r="AO123" s="105" t="s">
        <v>136</v>
      </c>
      <c r="AQ123" s="104" t="s">
        <v>129</v>
      </c>
      <c r="AS123" s="114" t="s">
        <v>130</v>
      </c>
      <c r="AU123" s="105" t="s">
        <v>131</v>
      </c>
      <c r="AW123" s="105" t="s">
        <v>132</v>
      </c>
      <c r="AY123" s="104" t="s">
        <v>133</v>
      </c>
      <c r="AZ123" s="24"/>
    </row>
    <row r="124">
      <c r="A124" s="279"/>
      <c r="B124" s="206"/>
      <c r="C124" s="123"/>
      <c r="D124" s="123"/>
      <c r="E124" s="176" t="s">
        <v>157</v>
      </c>
      <c r="F124" s="88"/>
      <c r="G124" s="207" t="str">
        <f>G5:H5</f>
        <v>อสูรเดือน E</v>
      </c>
      <c r="I124" s="208" t="str">
        <f>I5:J5</f>
        <v>อสูรปี N</v>
      </c>
      <c r="K124" s="36"/>
      <c r="L124" s="117"/>
      <c r="M124" s="128"/>
      <c r="N124" s="117"/>
      <c r="R124" s="117"/>
      <c r="T124" s="117"/>
      <c r="V124" s="117"/>
      <c r="X124" s="117"/>
      <c r="Y124" s="127"/>
      <c r="Z124" s="155"/>
      <c r="AA124" s="36"/>
      <c r="AB124" s="36"/>
      <c r="AC124" s="111"/>
      <c r="AD124" s="112"/>
      <c r="AE124" s="37"/>
      <c r="AF124" s="97"/>
      <c r="AG124" s="14"/>
      <c r="AH124" s="14"/>
      <c r="AI124" s="14"/>
      <c r="AJ124" s="113"/>
      <c r="AU124" s="128"/>
      <c r="AZ124" s="24"/>
    </row>
    <row r="125">
      <c r="A125" s="188" t="s">
        <v>191</v>
      </c>
      <c r="B125" s="189"/>
      <c r="C125" s="63"/>
      <c r="D125" s="63"/>
      <c r="E125" s="64">
        <f>(O126+P126+Q126+R126)/(O127+P127+Q127+R127)</f>
        <v>0.3375</v>
      </c>
      <c r="F125" s="65"/>
      <c r="G125" s="133"/>
      <c r="H125" s="72"/>
      <c r="I125" s="67"/>
      <c r="J125" s="72"/>
      <c r="K125" s="68"/>
      <c r="L125" s="69"/>
      <c r="M125" s="63" t="s">
        <v>64</v>
      </c>
      <c r="N125" s="70"/>
      <c r="O125" s="71" t="s">
        <v>65</v>
      </c>
      <c r="P125" s="72"/>
      <c r="Q125" s="72"/>
      <c r="R125" s="70"/>
      <c r="S125" s="71" t="s">
        <v>66</v>
      </c>
      <c r="T125" s="70"/>
      <c r="U125" s="71" t="s">
        <v>67</v>
      </c>
      <c r="V125" s="70"/>
      <c r="W125" s="71" t="s">
        <v>68</v>
      </c>
      <c r="X125" s="70"/>
      <c r="Y125" s="134" t="s">
        <v>69</v>
      </c>
      <c r="Z125" s="74" t="s">
        <v>70</v>
      </c>
      <c r="AA125" s="79" t="s">
        <v>161</v>
      </c>
      <c r="AB125" s="221" t="s">
        <v>244</v>
      </c>
      <c r="AC125" s="135" t="s">
        <v>142</v>
      </c>
      <c r="AD125" s="74" t="s">
        <v>143</v>
      </c>
      <c r="AE125" s="63" t="s">
        <v>144</v>
      </c>
      <c r="AF125" s="78" t="s">
        <v>36</v>
      </c>
      <c r="AG125" s="79" t="s">
        <v>54</v>
      </c>
      <c r="AH125" s="79">
        <v>150.0</v>
      </c>
      <c r="AI125" s="79" t="s">
        <v>210</v>
      </c>
      <c r="AJ125" s="80" t="str">
        <f>AJ119</f>
        <v>開</v>
      </c>
      <c r="AK125" s="81" t="s">
        <v>46</v>
      </c>
      <c r="AL125" s="82" t="str">
        <f>AL119</f>
        <v>休</v>
      </c>
      <c r="AM125" s="81" t="s">
        <v>48</v>
      </c>
      <c r="AN125" s="82" t="str">
        <f>AN119</f>
        <v>生</v>
      </c>
      <c r="AO125" s="81" t="s">
        <v>50</v>
      </c>
      <c r="AP125" s="82" t="str">
        <f>AP119</f>
        <v>傷</v>
      </c>
      <c r="AQ125" s="81" t="s">
        <v>52</v>
      </c>
      <c r="AR125" s="82" t="str">
        <f>AR119</f>
        <v>杜</v>
      </c>
      <c r="AS125" s="81" t="s">
        <v>38</v>
      </c>
      <c r="AT125" s="82" t="str">
        <f>AT119</f>
        <v>景</v>
      </c>
      <c r="AU125" s="81" t="s">
        <v>40</v>
      </c>
      <c r="AV125" s="82" t="str">
        <f>AV119</f>
        <v>死</v>
      </c>
      <c r="AW125" s="81" t="s">
        <v>42</v>
      </c>
      <c r="AX125" s="82" t="str">
        <f>AX119</f>
        <v>驚</v>
      </c>
      <c r="AY125" s="81" t="s">
        <v>44</v>
      </c>
      <c r="AZ125" s="83"/>
      <c r="BA125" s="84"/>
      <c r="BB125" s="84"/>
      <c r="BC125" s="84"/>
    </row>
    <row r="126">
      <c r="A126" s="192">
        <f>A120+1</f>
        <v>19</v>
      </c>
      <c r="B126" s="193"/>
      <c r="C126" s="12" t="s">
        <v>146</v>
      </c>
      <c r="E126" s="203" t="s">
        <v>171</v>
      </c>
      <c r="G126" s="324" t="str">
        <f t="shared" ref="G126:G127" si="181">G3:H3</f>
        <v>癸</v>
      </c>
      <c r="I126" s="275" t="str">
        <f t="shared" ref="I126:I127" si="182">I33:J33</f>
        <v>丙</v>
      </c>
      <c r="K126" s="90">
        <f>L126/L127</f>
        <v>0.54</v>
      </c>
      <c r="L126" s="126">
        <f t="shared" ref="L126:L127" si="183">O126+P126+Q126+U126+V126+W126+X126+R126+M126+N126+S126+T126</f>
        <v>540</v>
      </c>
      <c r="M126" s="92">
        <v>0.0</v>
      </c>
      <c r="N126" s="93">
        <v>0.0</v>
      </c>
      <c r="O126" s="92">
        <v>65.0</v>
      </c>
      <c r="P126" s="92">
        <v>10.0</v>
      </c>
      <c r="Q126" s="92">
        <v>10.0</v>
      </c>
      <c r="R126" s="93">
        <v>50.0</v>
      </c>
      <c r="S126" s="92">
        <v>65.0</v>
      </c>
      <c r="T126" s="93">
        <v>65.0</v>
      </c>
      <c r="U126" s="92">
        <f t="shared" ref="U126:V126" si="179">U39</f>
        <v>65</v>
      </c>
      <c r="V126" s="93">
        <f t="shared" si="179"/>
        <v>40</v>
      </c>
      <c r="W126" s="92">
        <f t="shared" ref="W126:X126" si="180">W33</f>
        <v>110</v>
      </c>
      <c r="X126" s="93">
        <f t="shared" si="180"/>
        <v>60</v>
      </c>
      <c r="Y126" s="73" t="s">
        <v>80</v>
      </c>
      <c r="Z126" s="94" t="s">
        <v>81</v>
      </c>
      <c r="AA126" s="36"/>
      <c r="AB126" s="29"/>
      <c r="AC126" s="139" t="s">
        <v>148</v>
      </c>
      <c r="AD126" s="96" t="s">
        <v>149</v>
      </c>
      <c r="AE126" s="37"/>
      <c r="AF126" s="97"/>
      <c r="AG126" s="12" t="s">
        <v>189</v>
      </c>
      <c r="AH126" s="12">
        <v>90.0</v>
      </c>
      <c r="AI126" s="12" t="s">
        <v>208</v>
      </c>
      <c r="AJ126" s="98" t="s">
        <v>39</v>
      </c>
      <c r="AK126" s="99" t="s">
        <v>93</v>
      </c>
      <c r="AL126" s="100" t="s">
        <v>37</v>
      </c>
      <c r="AM126" s="99" t="s">
        <v>94</v>
      </c>
      <c r="AN126" s="100" t="s">
        <v>51</v>
      </c>
      <c r="AO126" s="101" t="s">
        <v>95</v>
      </c>
      <c r="AP126" s="100" t="s">
        <v>86</v>
      </c>
      <c r="AQ126" s="99" t="s">
        <v>87</v>
      </c>
      <c r="AR126" s="100" t="s">
        <v>88</v>
      </c>
      <c r="AS126" s="101" t="s">
        <v>89</v>
      </c>
      <c r="AT126" s="100" t="s">
        <v>45</v>
      </c>
      <c r="AU126" s="102" t="s">
        <v>90</v>
      </c>
      <c r="AV126" s="100" t="s">
        <v>43</v>
      </c>
      <c r="AW126" s="101" t="s">
        <v>91</v>
      </c>
      <c r="AX126" s="100" t="s">
        <v>41</v>
      </c>
      <c r="AY126" s="103" t="s">
        <v>92</v>
      </c>
      <c r="AZ126" s="24"/>
    </row>
    <row r="127">
      <c r="A127" s="215" t="str">
        <f>G2</f>
        <v>พฤษภาคม</v>
      </c>
      <c r="B127" s="193"/>
      <c r="C127" s="212" t="s">
        <v>228</v>
      </c>
      <c r="E127" s="201" t="s">
        <v>54</v>
      </c>
      <c r="G127" s="223" t="str">
        <f t="shared" si="181"/>
        <v>巳</v>
      </c>
      <c r="I127" s="142" t="str">
        <f t="shared" si="182"/>
        <v>午</v>
      </c>
      <c r="K127" s="36"/>
      <c r="L127" s="109">
        <f t="shared" si="183"/>
        <v>1000</v>
      </c>
      <c r="M127" s="9">
        <v>0.0</v>
      </c>
      <c r="N127" s="110">
        <v>0.0</v>
      </c>
      <c r="O127" s="9">
        <v>100.0</v>
      </c>
      <c r="P127" s="9">
        <v>100.0</v>
      </c>
      <c r="Q127" s="9">
        <v>100.0</v>
      </c>
      <c r="R127" s="110">
        <v>100.0</v>
      </c>
      <c r="S127" s="9">
        <v>100.0</v>
      </c>
      <c r="T127" s="110">
        <v>100.0</v>
      </c>
      <c r="U127" s="9">
        <v>100.0</v>
      </c>
      <c r="V127" s="110">
        <v>100.0</v>
      </c>
      <c r="W127" s="9">
        <v>100.0</v>
      </c>
      <c r="X127" s="110">
        <v>100.0</v>
      </c>
      <c r="Y127" s="73" t="s">
        <v>98</v>
      </c>
      <c r="Z127" s="94" t="s">
        <v>99</v>
      </c>
      <c r="AA127" s="36"/>
      <c r="AB127" s="36"/>
      <c r="AC127" s="111"/>
      <c r="AD127" s="112"/>
      <c r="AE127" s="37"/>
      <c r="AF127" s="97"/>
      <c r="AG127" s="14"/>
      <c r="AH127" s="14"/>
      <c r="AI127" s="14"/>
      <c r="AJ127" s="113"/>
      <c r="AK127" s="104" t="s">
        <v>105</v>
      </c>
      <c r="AM127" s="104" t="s">
        <v>106</v>
      </c>
      <c r="AO127" s="105" t="s">
        <v>107</v>
      </c>
      <c r="AQ127" s="104" t="s">
        <v>100</v>
      </c>
      <c r="AS127" s="114" t="s">
        <v>101</v>
      </c>
      <c r="AU127" s="105" t="s">
        <v>102</v>
      </c>
      <c r="AW127" s="105" t="s">
        <v>103</v>
      </c>
      <c r="AY127" s="104" t="s">
        <v>104</v>
      </c>
      <c r="AZ127" s="24"/>
    </row>
    <row r="128">
      <c r="A128" s="192">
        <v>2569.0</v>
      </c>
      <c r="B128" s="193"/>
      <c r="E128" s="115" t="s">
        <v>110</v>
      </c>
      <c r="F128" s="116" t="s">
        <v>113</v>
      </c>
      <c r="G128" s="115" t="str">
        <f t="shared" ref="G128:H128" si="184">G41</f>
        <v>A11</v>
      </c>
      <c r="H128" s="9" t="str">
        <f t="shared" si="184"/>
        <v>B10</v>
      </c>
      <c r="I128" s="9" t="str">
        <f t="shared" ref="I128:J128" si="185">I35</f>
        <v>A5</v>
      </c>
      <c r="J128" s="9" t="str">
        <f t="shared" si="185"/>
        <v>B11</v>
      </c>
      <c r="K128" s="36"/>
      <c r="L128" s="117"/>
      <c r="M128" s="118" t="str">
        <f t="shared" ref="M128:P128" si="186">C128</f>
        <v/>
      </c>
      <c r="N128" s="119" t="str">
        <f t="shared" si="186"/>
        <v/>
      </c>
      <c r="O128" s="118" t="str">
        <f t="shared" si="186"/>
        <v>A11</v>
      </c>
      <c r="P128" s="118" t="str">
        <f t="shared" si="186"/>
        <v>B12</v>
      </c>
      <c r="Q128" s="118" t="str">
        <f t="shared" ref="Q128:R128" si="187">E129</f>
        <v>B12</v>
      </c>
      <c r="R128" s="119" t="str">
        <f t="shared" si="187"/>
        <v>C1</v>
      </c>
      <c r="S128" s="9" t="s">
        <v>110</v>
      </c>
      <c r="T128" s="110" t="s">
        <v>110</v>
      </c>
      <c r="U128" s="9" t="str">
        <f t="shared" ref="U128:X128" si="188">G128</f>
        <v>A11</v>
      </c>
      <c r="V128" s="119" t="str">
        <f t="shared" si="188"/>
        <v>B10</v>
      </c>
      <c r="W128" s="118" t="str">
        <f t="shared" si="188"/>
        <v>A5</v>
      </c>
      <c r="X128" s="120" t="str">
        <f t="shared" si="188"/>
        <v>B11</v>
      </c>
      <c r="Y128" s="73" t="s">
        <v>116</v>
      </c>
      <c r="Z128" s="94" t="s">
        <v>117</v>
      </c>
      <c r="AA128" s="36"/>
      <c r="AB128" s="36"/>
      <c r="AC128" s="111"/>
      <c r="AD128" s="112"/>
      <c r="AE128" s="37"/>
      <c r="AF128" s="97"/>
      <c r="AG128" s="14"/>
      <c r="AH128" s="14"/>
      <c r="AI128" s="14"/>
      <c r="AJ128" s="113"/>
      <c r="AK128" s="104" t="s">
        <v>123</v>
      </c>
      <c r="AM128" s="104" t="s">
        <v>124</v>
      </c>
      <c r="AO128" s="105" t="s">
        <v>125</v>
      </c>
      <c r="AQ128" s="104" t="s">
        <v>118</v>
      </c>
      <c r="AS128" s="114" t="s">
        <v>119</v>
      </c>
      <c r="AU128" s="105" t="s">
        <v>120</v>
      </c>
      <c r="AW128" s="105" t="s">
        <v>121</v>
      </c>
      <c r="AY128" s="104" t="s">
        <v>122</v>
      </c>
      <c r="AZ128" s="24"/>
    </row>
    <row r="129">
      <c r="A129" s="192">
        <f>A128-543</f>
        <v>2026</v>
      </c>
      <c r="B129" s="193"/>
      <c r="E129" s="115" t="s">
        <v>113</v>
      </c>
      <c r="F129" s="116" t="s">
        <v>154</v>
      </c>
      <c r="G129" s="115"/>
      <c r="H129" s="118"/>
      <c r="I129" s="118"/>
      <c r="J129" s="118"/>
      <c r="K129" s="36"/>
      <c r="L129" s="117"/>
      <c r="M129" s="326"/>
      <c r="N129" s="327"/>
      <c r="R129" s="117"/>
      <c r="T129" s="117"/>
      <c r="V129" s="117"/>
      <c r="X129" s="117"/>
      <c r="Y129" s="73" t="s">
        <v>126</v>
      </c>
      <c r="Z129" s="94" t="s">
        <v>128</v>
      </c>
      <c r="AA129" s="36"/>
      <c r="AB129" s="36"/>
      <c r="AC129" s="111"/>
      <c r="AD129" s="112"/>
      <c r="AE129" s="37"/>
      <c r="AF129" s="97"/>
      <c r="AG129" s="14"/>
      <c r="AH129" s="14"/>
      <c r="AI129" s="14"/>
      <c r="AJ129" s="113"/>
      <c r="AK129" s="104" t="s">
        <v>134</v>
      </c>
      <c r="AM129" s="104" t="s">
        <v>135</v>
      </c>
      <c r="AO129" s="105" t="s">
        <v>136</v>
      </c>
      <c r="AQ129" s="104" t="s">
        <v>129</v>
      </c>
      <c r="AS129" s="114" t="s">
        <v>130</v>
      </c>
      <c r="AU129" s="105" t="s">
        <v>131</v>
      </c>
      <c r="AW129" s="105" t="s">
        <v>132</v>
      </c>
      <c r="AY129" s="104" t="s">
        <v>133</v>
      </c>
      <c r="AZ129" s="24"/>
    </row>
    <row r="130">
      <c r="A130" s="113"/>
      <c r="B130" s="206"/>
      <c r="C130" s="123"/>
      <c r="D130" s="123"/>
      <c r="E130" s="164" t="s">
        <v>168</v>
      </c>
      <c r="F130" s="88"/>
      <c r="G130" s="207" t="str">
        <f>G5:H5</f>
        <v>อสูรเดือน E</v>
      </c>
      <c r="I130" s="208" t="str">
        <f>I5:J5</f>
        <v>อสูรปี N</v>
      </c>
      <c r="K130" s="36"/>
      <c r="L130" s="117"/>
      <c r="M130" s="128"/>
      <c r="N130" s="117"/>
      <c r="R130" s="117"/>
      <c r="T130" s="117"/>
      <c r="V130" s="117"/>
      <c r="X130" s="117"/>
      <c r="Y130" s="127"/>
      <c r="Z130" s="155"/>
      <c r="AA130" s="36"/>
      <c r="AB130" s="36"/>
      <c r="AC130" s="111"/>
      <c r="AD130" s="112"/>
      <c r="AE130" s="37"/>
      <c r="AF130" s="97"/>
      <c r="AG130" s="14"/>
      <c r="AH130" s="14"/>
      <c r="AI130" s="14"/>
      <c r="AJ130" s="113"/>
      <c r="AK130" s="128"/>
      <c r="AZ130" s="24"/>
    </row>
    <row r="131">
      <c r="A131" s="188" t="s">
        <v>199</v>
      </c>
      <c r="B131" s="189"/>
      <c r="C131" s="63"/>
      <c r="D131" s="63"/>
      <c r="E131" s="64">
        <f>(O132+P132+Q132+R132)/(O133+P133+Q133+R133)</f>
        <v>0.4125</v>
      </c>
      <c r="F131" s="65"/>
      <c r="G131" s="133"/>
      <c r="H131" s="72"/>
      <c r="I131" s="67"/>
      <c r="J131" s="72"/>
      <c r="K131" s="68"/>
      <c r="L131" s="69"/>
      <c r="M131" s="63" t="s">
        <v>64</v>
      </c>
      <c r="N131" s="70"/>
      <c r="O131" s="71" t="s">
        <v>65</v>
      </c>
      <c r="P131" s="72"/>
      <c r="Q131" s="72"/>
      <c r="R131" s="70"/>
      <c r="S131" s="71" t="s">
        <v>66</v>
      </c>
      <c r="T131" s="70"/>
      <c r="U131" s="71" t="s">
        <v>67</v>
      </c>
      <c r="V131" s="70"/>
      <c r="W131" s="71" t="s">
        <v>68</v>
      </c>
      <c r="X131" s="70"/>
      <c r="Y131" s="134" t="s">
        <v>116</v>
      </c>
      <c r="Z131" s="74" t="s">
        <v>140</v>
      </c>
      <c r="AA131" s="75" t="s">
        <v>209</v>
      </c>
      <c r="AB131" s="75" t="s">
        <v>238</v>
      </c>
      <c r="AC131" s="190" t="s">
        <v>173</v>
      </c>
      <c r="AD131" s="77" t="s">
        <v>193</v>
      </c>
      <c r="AE131" s="63" t="s">
        <v>35</v>
      </c>
      <c r="AF131" s="78" t="s">
        <v>34</v>
      </c>
      <c r="AG131" s="79" t="s">
        <v>71</v>
      </c>
      <c r="AH131" s="79">
        <v>210.0</v>
      </c>
      <c r="AI131" s="79" t="s">
        <v>175</v>
      </c>
      <c r="AJ131" s="80" t="str">
        <f>AJ125</f>
        <v>開</v>
      </c>
      <c r="AK131" s="81" t="s">
        <v>38</v>
      </c>
      <c r="AL131" s="82" t="str">
        <f>AL125</f>
        <v>休</v>
      </c>
      <c r="AM131" s="81" t="s">
        <v>40</v>
      </c>
      <c r="AN131" s="82" t="s">
        <v>4</v>
      </c>
      <c r="AO131" s="81" t="s">
        <v>42</v>
      </c>
      <c r="AP131" s="82" t="str">
        <f>AP125</f>
        <v>傷</v>
      </c>
      <c r="AQ131" s="81" t="s">
        <v>44</v>
      </c>
      <c r="AR131" s="82" t="s">
        <v>8</v>
      </c>
      <c r="AS131" s="81" t="s">
        <v>46</v>
      </c>
      <c r="AT131" s="82" t="str">
        <f>AT125</f>
        <v>景</v>
      </c>
      <c r="AU131" s="81" t="s">
        <v>48</v>
      </c>
      <c r="AV131" s="82" t="str">
        <f>AV125</f>
        <v>死</v>
      </c>
      <c r="AW131" s="81" t="s">
        <v>50</v>
      </c>
      <c r="AX131" s="82" t="str">
        <f>AX125</f>
        <v>驚</v>
      </c>
      <c r="AY131" s="81" t="s">
        <v>52</v>
      </c>
      <c r="AZ131" s="83"/>
      <c r="BA131" s="84"/>
      <c r="BB131" s="84"/>
      <c r="BC131" s="84"/>
    </row>
    <row r="132">
      <c r="A132" s="285">
        <f>A126+1</f>
        <v>20</v>
      </c>
      <c r="B132" s="193"/>
      <c r="C132" s="12" t="s">
        <v>78</v>
      </c>
      <c r="E132" s="87" t="s">
        <v>222</v>
      </c>
      <c r="G132" s="324" t="str">
        <f t="shared" ref="G132:G133" si="191">G3:H3</f>
        <v>癸</v>
      </c>
      <c r="I132" s="275" t="str">
        <f t="shared" ref="I132:I133" si="192">I33:J33</f>
        <v>丙</v>
      </c>
      <c r="K132" s="90">
        <f>L132/L133</f>
        <v>0.46</v>
      </c>
      <c r="L132" s="126">
        <f t="shared" ref="L132:L133" si="193">O132+P132+Q132+U132+V132+W132+X132+R132+M132+N132+S132+T132</f>
        <v>460</v>
      </c>
      <c r="M132" s="92">
        <v>0.0</v>
      </c>
      <c r="N132" s="93">
        <v>0.0</v>
      </c>
      <c r="O132" s="92">
        <v>5.0</v>
      </c>
      <c r="P132" s="92">
        <v>70.0</v>
      </c>
      <c r="Q132" s="92">
        <v>60.0</v>
      </c>
      <c r="R132" s="93">
        <v>30.0</v>
      </c>
      <c r="S132" s="92">
        <v>0.0</v>
      </c>
      <c r="T132" s="93">
        <v>20.0</v>
      </c>
      <c r="U132" s="92">
        <f t="shared" ref="U132:V132" si="189">U39</f>
        <v>65</v>
      </c>
      <c r="V132" s="93">
        <f t="shared" si="189"/>
        <v>40</v>
      </c>
      <c r="W132" s="92">
        <f t="shared" ref="W132:X132" si="190">W33</f>
        <v>110</v>
      </c>
      <c r="X132" s="93">
        <f t="shared" si="190"/>
        <v>60</v>
      </c>
      <c r="Y132" s="73" t="s">
        <v>126</v>
      </c>
      <c r="Z132" s="94" t="s">
        <v>70</v>
      </c>
      <c r="AA132" s="36"/>
      <c r="AB132" s="36"/>
      <c r="AC132" s="195" t="s">
        <v>196</v>
      </c>
      <c r="AD132" s="96" t="s">
        <v>149</v>
      </c>
      <c r="AE132" s="37"/>
      <c r="AF132" s="97"/>
      <c r="AG132" s="12" t="s">
        <v>53</v>
      </c>
      <c r="AH132" s="12">
        <v>30.0</v>
      </c>
      <c r="AI132" s="12" t="s">
        <v>178</v>
      </c>
      <c r="AJ132" s="98" t="s">
        <v>37</v>
      </c>
      <c r="AK132" s="99" t="s">
        <v>94</v>
      </c>
      <c r="AL132" s="100" t="s">
        <v>51</v>
      </c>
      <c r="AM132" s="101" t="s">
        <v>95</v>
      </c>
      <c r="AN132" s="100" t="s">
        <v>86</v>
      </c>
      <c r="AO132" s="99" t="s">
        <v>87</v>
      </c>
      <c r="AP132" s="100" t="s">
        <v>88</v>
      </c>
      <c r="AQ132" s="101" t="s">
        <v>89</v>
      </c>
      <c r="AR132" s="100" t="s">
        <v>45</v>
      </c>
      <c r="AS132" s="102" t="s">
        <v>90</v>
      </c>
      <c r="AT132" s="100" t="s">
        <v>43</v>
      </c>
      <c r="AU132" s="101" t="s">
        <v>91</v>
      </c>
      <c r="AV132" s="100" t="s">
        <v>41</v>
      </c>
      <c r="AW132" s="103" t="s">
        <v>92</v>
      </c>
      <c r="AX132" s="100" t="s">
        <v>39</v>
      </c>
      <c r="AY132" s="99" t="s">
        <v>93</v>
      </c>
      <c r="AZ132" s="24"/>
    </row>
    <row r="133">
      <c r="A133" s="215" t="str">
        <f>G2</f>
        <v>พฤษภาคม</v>
      </c>
      <c r="B133" s="193"/>
      <c r="C133" s="360" t="s">
        <v>231</v>
      </c>
      <c r="E133" s="223" t="s">
        <v>202</v>
      </c>
      <c r="G133" s="223" t="str">
        <f t="shared" si="191"/>
        <v>巳</v>
      </c>
      <c r="I133" s="142" t="str">
        <f t="shared" si="192"/>
        <v>午</v>
      </c>
      <c r="K133" s="36"/>
      <c r="L133" s="109">
        <f t="shared" si="193"/>
        <v>1000</v>
      </c>
      <c r="M133" s="9">
        <v>0.0</v>
      </c>
      <c r="N133" s="110">
        <v>0.0</v>
      </c>
      <c r="O133" s="9">
        <v>100.0</v>
      </c>
      <c r="P133" s="9">
        <v>100.0</v>
      </c>
      <c r="Q133" s="9">
        <v>100.0</v>
      </c>
      <c r="R133" s="110">
        <v>100.0</v>
      </c>
      <c r="S133" s="9">
        <v>100.0</v>
      </c>
      <c r="T133" s="110">
        <v>100.0</v>
      </c>
      <c r="U133" s="9">
        <v>100.0</v>
      </c>
      <c r="V133" s="110">
        <v>100.0</v>
      </c>
      <c r="W133" s="9">
        <v>100.0</v>
      </c>
      <c r="X133" s="110">
        <v>100.0</v>
      </c>
      <c r="Y133" s="73" t="s">
        <v>69</v>
      </c>
      <c r="Z133" s="94" t="s">
        <v>152</v>
      </c>
      <c r="AA133" s="36"/>
      <c r="AB133" s="36"/>
      <c r="AC133" s="111"/>
      <c r="AD133" s="112"/>
      <c r="AE133" s="37"/>
      <c r="AF133" s="97"/>
      <c r="AG133" s="14"/>
      <c r="AH133" s="14"/>
      <c r="AI133" s="14"/>
      <c r="AJ133" s="113"/>
      <c r="AK133" s="104" t="s">
        <v>106</v>
      </c>
      <c r="AM133" s="105" t="s">
        <v>107</v>
      </c>
      <c r="AO133" s="104" t="s">
        <v>100</v>
      </c>
      <c r="AQ133" s="114" t="s">
        <v>101</v>
      </c>
      <c r="AS133" s="105" t="s">
        <v>102</v>
      </c>
      <c r="AU133" s="105" t="s">
        <v>103</v>
      </c>
      <c r="AW133" s="104" t="s">
        <v>104</v>
      </c>
      <c r="AY133" s="104" t="s">
        <v>105</v>
      </c>
      <c r="AZ133" s="24"/>
    </row>
    <row r="134">
      <c r="A134" s="192">
        <v>2569.0</v>
      </c>
      <c r="B134" s="193"/>
      <c r="E134" s="115" t="s">
        <v>108</v>
      </c>
      <c r="F134" s="116" t="s">
        <v>80</v>
      </c>
      <c r="G134" s="115" t="str">
        <f t="shared" ref="G134:H134" si="194">G41</f>
        <v>A11</v>
      </c>
      <c r="H134" s="9" t="str">
        <f t="shared" si="194"/>
        <v>B10</v>
      </c>
      <c r="I134" s="9" t="str">
        <f t="shared" ref="I134:J134" si="195">I35</f>
        <v>A5</v>
      </c>
      <c r="J134" s="9" t="str">
        <f t="shared" si="195"/>
        <v>B11</v>
      </c>
      <c r="K134" s="36"/>
      <c r="L134" s="117"/>
      <c r="M134" s="118" t="str">
        <f t="shared" ref="M134:P134" si="196">C134</f>
        <v/>
      </c>
      <c r="N134" s="119" t="str">
        <f t="shared" si="196"/>
        <v/>
      </c>
      <c r="O134" s="118" t="str">
        <f t="shared" si="196"/>
        <v>A8</v>
      </c>
      <c r="P134" s="118" t="str">
        <f t="shared" si="196"/>
        <v>B1</v>
      </c>
      <c r="Q134" s="118" t="str">
        <f t="shared" ref="Q134:R134" si="197">E135</f>
        <v>B11</v>
      </c>
      <c r="R134" s="119" t="str">
        <f t="shared" si="197"/>
        <v>C2</v>
      </c>
      <c r="S134" s="9" t="s">
        <v>114</v>
      </c>
      <c r="T134" s="110" t="s">
        <v>115</v>
      </c>
      <c r="U134" s="9" t="str">
        <f t="shared" ref="U134:X134" si="198">G134</f>
        <v>A11</v>
      </c>
      <c r="V134" s="119" t="str">
        <f t="shared" si="198"/>
        <v>B10</v>
      </c>
      <c r="W134" s="118" t="str">
        <f t="shared" si="198"/>
        <v>A5</v>
      </c>
      <c r="X134" s="120" t="str">
        <f t="shared" si="198"/>
        <v>B11</v>
      </c>
      <c r="Y134" s="73" t="s">
        <v>80</v>
      </c>
      <c r="Z134" s="94" t="s">
        <v>153</v>
      </c>
      <c r="AA134" s="36"/>
      <c r="AB134" s="36"/>
      <c r="AC134" s="111"/>
      <c r="AD134" s="112"/>
      <c r="AE134" s="37"/>
      <c r="AF134" s="97"/>
      <c r="AG134" s="14"/>
      <c r="AH134" s="14"/>
      <c r="AI134" s="14"/>
      <c r="AJ134" s="113"/>
      <c r="AK134" s="104" t="s">
        <v>124</v>
      </c>
      <c r="AM134" s="105" t="s">
        <v>125</v>
      </c>
      <c r="AO134" s="104" t="s">
        <v>118</v>
      </c>
      <c r="AQ134" s="114" t="s">
        <v>119</v>
      </c>
      <c r="AS134" s="105" t="s">
        <v>120</v>
      </c>
      <c r="AU134" s="105" t="s">
        <v>121</v>
      </c>
      <c r="AW134" s="104" t="s">
        <v>122</v>
      </c>
      <c r="AY134" s="104" t="s">
        <v>123</v>
      </c>
      <c r="AZ134" s="24"/>
    </row>
    <row r="135">
      <c r="A135" s="192">
        <f>A134-543</f>
        <v>2026</v>
      </c>
      <c r="B135" s="193"/>
      <c r="C135" s="181"/>
      <c r="E135" s="115" t="s">
        <v>214</v>
      </c>
      <c r="F135" s="116" t="s">
        <v>167</v>
      </c>
      <c r="G135" s="115"/>
      <c r="H135" s="118"/>
      <c r="I135" s="118"/>
      <c r="J135" s="118"/>
      <c r="K135" s="36"/>
      <c r="L135" s="117"/>
      <c r="M135" s="326"/>
      <c r="N135" s="327"/>
      <c r="R135" s="117"/>
      <c r="T135" s="117"/>
      <c r="V135" s="117"/>
      <c r="X135" s="117"/>
      <c r="Y135" s="73" t="s">
        <v>98</v>
      </c>
      <c r="Z135" s="94" t="s">
        <v>155</v>
      </c>
      <c r="AA135" s="36"/>
      <c r="AB135" s="36"/>
      <c r="AC135" s="111"/>
      <c r="AD135" s="112"/>
      <c r="AE135" s="37"/>
      <c r="AF135" s="97"/>
      <c r="AG135" s="14"/>
      <c r="AH135" s="14"/>
      <c r="AI135" s="14"/>
      <c r="AJ135" s="113"/>
      <c r="AK135" s="104" t="s">
        <v>135</v>
      </c>
      <c r="AM135" s="105" t="s">
        <v>136</v>
      </c>
      <c r="AO135" s="104" t="s">
        <v>129</v>
      </c>
      <c r="AQ135" s="114" t="s">
        <v>130</v>
      </c>
      <c r="AS135" s="105" t="s">
        <v>131</v>
      </c>
      <c r="AU135" s="105" t="s">
        <v>132</v>
      </c>
      <c r="AW135" s="104" t="s">
        <v>133</v>
      </c>
      <c r="AY135" s="104" t="s">
        <v>134</v>
      </c>
      <c r="AZ135" s="24"/>
    </row>
    <row r="136">
      <c r="A136" s="335" t="s">
        <v>324</v>
      </c>
      <c r="B136" s="206"/>
      <c r="C136" s="123"/>
      <c r="D136" s="123"/>
      <c r="E136" s="164" t="s">
        <v>185</v>
      </c>
      <c r="F136" s="88"/>
      <c r="G136" s="207" t="str">
        <f>G5:H5</f>
        <v>อสูรเดือน E</v>
      </c>
      <c r="I136" s="208" t="str">
        <f>I5:J5</f>
        <v>อสูรปี N</v>
      </c>
      <c r="K136" s="36"/>
      <c r="L136" s="117"/>
      <c r="M136" s="326"/>
      <c r="N136" s="327"/>
      <c r="R136" s="117"/>
      <c r="T136" s="117"/>
      <c r="V136" s="117"/>
      <c r="X136" s="117"/>
      <c r="Y136" s="127"/>
      <c r="Z136" s="155"/>
      <c r="AA136" s="36"/>
      <c r="AB136" s="36"/>
      <c r="AC136" s="111"/>
      <c r="AD136" s="112"/>
      <c r="AE136" s="37"/>
      <c r="AF136" s="97"/>
      <c r="AG136" s="14"/>
      <c r="AH136" s="14"/>
      <c r="AI136" s="14"/>
      <c r="AJ136" s="113"/>
      <c r="AO136" s="128"/>
      <c r="AZ136" s="24"/>
    </row>
    <row r="137">
      <c r="A137" s="188" t="s">
        <v>63</v>
      </c>
      <c r="B137" s="189"/>
      <c r="C137" s="63"/>
      <c r="D137" s="63"/>
      <c r="E137" s="216">
        <f>(O138+P138+Q138+R138)/(O139+P139+Q139+R139)</f>
        <v>0.6875</v>
      </c>
      <c r="F137" s="65"/>
      <c r="G137" s="133"/>
      <c r="H137" s="72"/>
      <c r="I137" s="67"/>
      <c r="J137" s="72"/>
      <c r="K137" s="68"/>
      <c r="L137" s="69"/>
      <c r="M137" s="63" t="s">
        <v>64</v>
      </c>
      <c r="N137" s="70"/>
      <c r="O137" s="71" t="s">
        <v>65</v>
      </c>
      <c r="P137" s="72"/>
      <c r="Q137" s="72"/>
      <c r="R137" s="70"/>
      <c r="S137" s="71" t="s">
        <v>66</v>
      </c>
      <c r="T137" s="70"/>
      <c r="U137" s="71" t="s">
        <v>67</v>
      </c>
      <c r="V137" s="70"/>
      <c r="W137" s="71" t="s">
        <v>68</v>
      </c>
      <c r="X137" s="70"/>
      <c r="Y137" s="134" t="s">
        <v>116</v>
      </c>
      <c r="Z137" s="74" t="s">
        <v>159</v>
      </c>
      <c r="AA137" s="75" t="s">
        <v>202</v>
      </c>
      <c r="AB137" s="75" t="s">
        <v>226</v>
      </c>
      <c r="AC137" s="190" t="s">
        <v>173</v>
      </c>
      <c r="AD137" s="77" t="s">
        <v>193</v>
      </c>
      <c r="AE137" s="63" t="s">
        <v>35</v>
      </c>
      <c r="AF137" s="78" t="s">
        <v>75</v>
      </c>
      <c r="AG137" s="79" t="s">
        <v>76</v>
      </c>
      <c r="AH137" s="79">
        <v>240.0</v>
      </c>
      <c r="AI137" s="79" t="s">
        <v>77</v>
      </c>
      <c r="AJ137" s="80" t="str">
        <f>AJ131</f>
        <v>開</v>
      </c>
      <c r="AK137" s="81" t="s">
        <v>38</v>
      </c>
      <c r="AL137" s="82" t="str">
        <f>AL131</f>
        <v>休</v>
      </c>
      <c r="AM137" s="81" t="s">
        <v>40</v>
      </c>
      <c r="AN137" s="82" t="s">
        <v>4</v>
      </c>
      <c r="AO137" s="81" t="s">
        <v>42</v>
      </c>
      <c r="AP137" s="82" t="str">
        <f>AP131</f>
        <v>傷</v>
      </c>
      <c r="AQ137" s="81" t="s">
        <v>44</v>
      </c>
      <c r="AR137" s="82" t="s">
        <v>8</v>
      </c>
      <c r="AS137" s="81" t="s">
        <v>46</v>
      </c>
      <c r="AT137" s="82" t="str">
        <f>AT131</f>
        <v>景</v>
      </c>
      <c r="AU137" s="81" t="s">
        <v>48</v>
      </c>
      <c r="AV137" s="82" t="str">
        <f>AV131</f>
        <v>死</v>
      </c>
      <c r="AW137" s="81" t="s">
        <v>50</v>
      </c>
      <c r="AX137" s="82" t="str">
        <f>AX131</f>
        <v>驚</v>
      </c>
      <c r="AY137" s="81" t="s">
        <v>52</v>
      </c>
      <c r="AZ137" s="83"/>
      <c r="BA137" s="84"/>
      <c r="BB137" s="84"/>
      <c r="BC137" s="84"/>
    </row>
    <row r="138">
      <c r="A138" s="192">
        <f>A132+1</f>
        <v>21</v>
      </c>
      <c r="B138" s="193"/>
      <c r="C138" s="12" t="s">
        <v>194</v>
      </c>
      <c r="E138" s="87" t="s">
        <v>31</v>
      </c>
      <c r="G138" s="324" t="str">
        <f t="shared" ref="G138:G139" si="201">G3:H3</f>
        <v>癸</v>
      </c>
      <c r="I138" s="275" t="str">
        <f t="shared" ref="I138:I139" si="202">I33:J33</f>
        <v>丙</v>
      </c>
      <c r="K138" s="90">
        <f>L138/L139</f>
        <v>0.63</v>
      </c>
      <c r="L138" s="126">
        <f t="shared" ref="L138:L139" si="203">O138+P138+Q138+U138+V138+W138+X138+R138+M138+N138+S138+T138</f>
        <v>630</v>
      </c>
      <c r="M138" s="92">
        <v>0.0</v>
      </c>
      <c r="N138" s="93">
        <v>0.0</v>
      </c>
      <c r="O138" s="92">
        <v>75.0</v>
      </c>
      <c r="P138" s="92">
        <v>80.0</v>
      </c>
      <c r="Q138" s="92">
        <v>40.0</v>
      </c>
      <c r="R138" s="93">
        <v>80.0</v>
      </c>
      <c r="S138" s="92">
        <v>45.0</v>
      </c>
      <c r="T138" s="93">
        <v>35.0</v>
      </c>
      <c r="U138" s="92">
        <f t="shared" ref="U138:V138" si="199">U39</f>
        <v>65</v>
      </c>
      <c r="V138" s="93">
        <f t="shared" si="199"/>
        <v>40</v>
      </c>
      <c r="W138" s="92">
        <f t="shared" ref="W138:X138" si="200">W33</f>
        <v>110</v>
      </c>
      <c r="X138" s="93">
        <f t="shared" si="200"/>
        <v>60</v>
      </c>
      <c r="Y138" s="73" t="s">
        <v>126</v>
      </c>
      <c r="Z138" s="94" t="s">
        <v>152</v>
      </c>
      <c r="AA138" s="36"/>
      <c r="AB138" s="29" t="s">
        <v>227</v>
      </c>
      <c r="AC138" s="195" t="s">
        <v>196</v>
      </c>
      <c r="AD138" s="96" t="s">
        <v>149</v>
      </c>
      <c r="AE138" s="37"/>
      <c r="AF138" s="97"/>
      <c r="AG138" s="12" t="s">
        <v>84</v>
      </c>
      <c r="AH138" s="12">
        <v>0.0</v>
      </c>
      <c r="AI138" s="12" t="s">
        <v>85</v>
      </c>
      <c r="AJ138" s="98" t="s">
        <v>37</v>
      </c>
      <c r="AK138" s="99" t="s">
        <v>94</v>
      </c>
      <c r="AL138" s="100" t="s">
        <v>88</v>
      </c>
      <c r="AM138" s="101" t="s">
        <v>89</v>
      </c>
      <c r="AN138" s="100" t="s">
        <v>45</v>
      </c>
      <c r="AO138" s="102" t="s">
        <v>90</v>
      </c>
      <c r="AP138" s="100" t="s">
        <v>43</v>
      </c>
      <c r="AQ138" s="101" t="s">
        <v>91</v>
      </c>
      <c r="AR138" s="100" t="s">
        <v>41</v>
      </c>
      <c r="AS138" s="103" t="s">
        <v>92</v>
      </c>
      <c r="AT138" s="100" t="s">
        <v>41</v>
      </c>
      <c r="AU138" s="103" t="s">
        <v>92</v>
      </c>
      <c r="AV138" s="100" t="s">
        <v>39</v>
      </c>
      <c r="AW138" s="99" t="s">
        <v>93</v>
      </c>
      <c r="AX138" s="100" t="s">
        <v>51</v>
      </c>
      <c r="AY138" s="101" t="s">
        <v>95</v>
      </c>
      <c r="AZ138" s="24"/>
    </row>
    <row r="139">
      <c r="A139" s="215" t="str">
        <f>G2</f>
        <v>พฤษภาคม</v>
      </c>
      <c r="B139" s="193"/>
      <c r="C139" s="106" t="s">
        <v>235</v>
      </c>
      <c r="E139" s="162" t="s">
        <v>71</v>
      </c>
      <c r="G139" s="223" t="str">
        <f t="shared" si="201"/>
        <v>巳</v>
      </c>
      <c r="I139" s="142" t="str">
        <f t="shared" si="202"/>
        <v>午</v>
      </c>
      <c r="K139" s="36"/>
      <c r="L139" s="109">
        <f t="shared" si="203"/>
        <v>1000</v>
      </c>
      <c r="M139" s="9">
        <v>0.0</v>
      </c>
      <c r="N139" s="110">
        <v>0.0</v>
      </c>
      <c r="O139" s="9">
        <v>100.0</v>
      </c>
      <c r="P139" s="9">
        <v>100.0</v>
      </c>
      <c r="Q139" s="9">
        <v>100.0</v>
      </c>
      <c r="R139" s="110">
        <v>100.0</v>
      </c>
      <c r="S139" s="9">
        <v>100.0</v>
      </c>
      <c r="T139" s="110">
        <v>100.0</v>
      </c>
      <c r="U139" s="9">
        <v>100.0</v>
      </c>
      <c r="V139" s="110">
        <v>100.0</v>
      </c>
      <c r="W139" s="9">
        <v>100.0</v>
      </c>
      <c r="X139" s="110">
        <v>100.0</v>
      </c>
      <c r="Y139" s="73" t="s">
        <v>69</v>
      </c>
      <c r="Z139" s="94" t="s">
        <v>163</v>
      </c>
      <c r="AA139" s="36"/>
      <c r="AB139" s="36"/>
      <c r="AC139" s="111"/>
      <c r="AD139" s="112"/>
      <c r="AE139" s="37"/>
      <c r="AF139" s="97"/>
      <c r="AG139" s="14"/>
      <c r="AH139" s="14"/>
      <c r="AI139" s="14"/>
      <c r="AJ139" s="113"/>
      <c r="AK139" s="104" t="s">
        <v>106</v>
      </c>
      <c r="AM139" s="114" t="s">
        <v>101</v>
      </c>
      <c r="AO139" s="105" t="s">
        <v>102</v>
      </c>
      <c r="AQ139" s="105" t="s">
        <v>103</v>
      </c>
      <c r="AS139" s="104" t="s">
        <v>104</v>
      </c>
      <c r="AU139" s="104" t="s">
        <v>104</v>
      </c>
      <c r="AW139" s="104" t="s">
        <v>105</v>
      </c>
      <c r="AY139" s="105" t="s">
        <v>107</v>
      </c>
      <c r="AZ139" s="24"/>
    </row>
    <row r="140">
      <c r="A140" s="192">
        <v>2569.0</v>
      </c>
      <c r="B140" s="193"/>
      <c r="E140" s="115" t="s">
        <v>165</v>
      </c>
      <c r="F140" s="116" t="s">
        <v>98</v>
      </c>
      <c r="G140" s="115" t="str">
        <f t="shared" ref="G140:H140" si="204">G41</f>
        <v>A11</v>
      </c>
      <c r="H140" s="9" t="str">
        <f t="shared" si="204"/>
        <v>B10</v>
      </c>
      <c r="I140" s="9" t="str">
        <f t="shared" ref="I140:J140" si="205">I35</f>
        <v>A5</v>
      </c>
      <c r="J140" s="9" t="str">
        <f t="shared" si="205"/>
        <v>B11</v>
      </c>
      <c r="K140" s="36"/>
      <c r="L140" s="117"/>
      <c r="M140" s="118" t="str">
        <f t="shared" ref="M140:P140" si="206">C140</f>
        <v/>
      </c>
      <c r="N140" s="119" t="str">
        <f t="shared" si="206"/>
        <v/>
      </c>
      <c r="O140" s="118" t="str">
        <f t="shared" si="206"/>
        <v>A12</v>
      </c>
      <c r="P140" s="118" t="str">
        <f t="shared" si="206"/>
        <v>B2</v>
      </c>
      <c r="Q140" s="118" t="str">
        <f t="shared" ref="Q140:R140" si="207">E141</f>
        <v>B10</v>
      </c>
      <c r="R140" s="119" t="str">
        <f t="shared" si="207"/>
        <v>C3</v>
      </c>
      <c r="S140" s="9" t="s">
        <v>164</v>
      </c>
      <c r="T140" s="110" t="s">
        <v>112</v>
      </c>
      <c r="U140" s="9" t="str">
        <f t="shared" ref="U140:X140" si="208">G140</f>
        <v>A11</v>
      </c>
      <c r="V140" s="119" t="str">
        <f t="shared" si="208"/>
        <v>B10</v>
      </c>
      <c r="W140" s="118" t="str">
        <f t="shared" si="208"/>
        <v>A5</v>
      </c>
      <c r="X140" s="120" t="str">
        <f t="shared" si="208"/>
        <v>B11</v>
      </c>
      <c r="Y140" s="73" t="s">
        <v>80</v>
      </c>
      <c r="Z140" s="94" t="s">
        <v>117</v>
      </c>
      <c r="AA140" s="36"/>
      <c r="AB140" s="36"/>
      <c r="AC140" s="111"/>
      <c r="AD140" s="112"/>
      <c r="AE140" s="37"/>
      <c r="AF140" s="97"/>
      <c r="AG140" s="14"/>
      <c r="AH140" s="14"/>
      <c r="AI140" s="14"/>
      <c r="AJ140" s="113"/>
      <c r="AK140" s="104" t="s">
        <v>124</v>
      </c>
      <c r="AM140" s="114" t="s">
        <v>119</v>
      </c>
      <c r="AO140" s="105" t="s">
        <v>120</v>
      </c>
      <c r="AQ140" s="105" t="s">
        <v>121</v>
      </c>
      <c r="AS140" s="104" t="s">
        <v>122</v>
      </c>
      <c r="AU140" s="104" t="s">
        <v>122</v>
      </c>
      <c r="AW140" s="104" t="s">
        <v>123</v>
      </c>
      <c r="AY140" s="105" t="s">
        <v>125</v>
      </c>
      <c r="AZ140" s="24"/>
    </row>
    <row r="141">
      <c r="A141" s="192">
        <f>A140-543</f>
        <v>2026</v>
      </c>
      <c r="B141" s="193"/>
      <c r="C141" s="12"/>
      <c r="E141" s="115" t="s">
        <v>218</v>
      </c>
      <c r="F141" s="116" t="s">
        <v>184</v>
      </c>
      <c r="G141" s="115"/>
      <c r="H141" s="118"/>
      <c r="I141" s="118"/>
      <c r="J141" s="118"/>
      <c r="K141" s="36"/>
      <c r="L141" s="117"/>
      <c r="M141" s="326"/>
      <c r="N141" s="327"/>
      <c r="R141" s="117"/>
      <c r="T141" s="117"/>
      <c r="V141" s="117"/>
      <c r="X141" s="117"/>
      <c r="Y141" s="73" t="s">
        <v>98</v>
      </c>
      <c r="Z141" s="94" t="s">
        <v>128</v>
      </c>
      <c r="AA141" s="36"/>
      <c r="AB141" s="36"/>
      <c r="AC141" s="111"/>
      <c r="AD141" s="112"/>
      <c r="AE141" s="37"/>
      <c r="AF141" s="97"/>
      <c r="AG141" s="14"/>
      <c r="AH141" s="14"/>
      <c r="AI141" s="14"/>
      <c r="AJ141" s="113"/>
      <c r="AK141" s="104" t="s">
        <v>135</v>
      </c>
      <c r="AM141" s="114" t="s">
        <v>130</v>
      </c>
      <c r="AO141" s="105" t="s">
        <v>131</v>
      </c>
      <c r="AQ141" s="105" t="s">
        <v>132</v>
      </c>
      <c r="AS141" s="104" t="s">
        <v>133</v>
      </c>
      <c r="AU141" s="104" t="s">
        <v>133</v>
      </c>
      <c r="AW141" s="104" t="s">
        <v>134</v>
      </c>
      <c r="AY141" s="105" t="s">
        <v>136</v>
      </c>
      <c r="AZ141" s="24"/>
    </row>
    <row r="142">
      <c r="A142" s="143" t="s">
        <v>156</v>
      </c>
      <c r="B142" s="206"/>
      <c r="C142" s="1"/>
      <c r="D142" s="123"/>
      <c r="E142" s="176" t="s">
        <v>137</v>
      </c>
      <c r="F142" s="88"/>
      <c r="G142" s="207" t="str">
        <f>G5:H5</f>
        <v>อสูรเดือน E</v>
      </c>
      <c r="I142" s="208" t="str">
        <f>I5:J5</f>
        <v>อสูรปี N</v>
      </c>
      <c r="K142" s="36"/>
      <c r="L142" s="117"/>
      <c r="M142" s="326"/>
      <c r="N142" s="327"/>
      <c r="R142" s="117"/>
      <c r="T142" s="117"/>
      <c r="V142" s="117"/>
      <c r="X142" s="117"/>
      <c r="Y142" s="127"/>
      <c r="Z142" s="155"/>
      <c r="AA142" s="36"/>
      <c r="AB142" s="36"/>
      <c r="AC142" s="111"/>
      <c r="AD142" s="112"/>
      <c r="AE142" s="37"/>
      <c r="AF142" s="97"/>
      <c r="AG142" s="14"/>
      <c r="AH142" s="14"/>
      <c r="AI142" s="14"/>
      <c r="AJ142" s="113"/>
      <c r="AM142" s="128"/>
      <c r="AZ142" s="24"/>
    </row>
    <row r="143">
      <c r="A143" s="188" t="s">
        <v>139</v>
      </c>
      <c r="B143" s="189"/>
      <c r="C143" s="63"/>
      <c r="D143" s="63"/>
      <c r="E143" s="64">
        <f>(O144+P144+Q144+R144)/(O145+P145+Q145+R145)</f>
        <v>0.3625</v>
      </c>
      <c r="F143" s="65"/>
      <c r="G143" s="133"/>
      <c r="H143" s="72"/>
      <c r="I143" s="67"/>
      <c r="J143" s="72"/>
      <c r="K143" s="68"/>
      <c r="L143" s="69"/>
      <c r="M143" s="63" t="s">
        <v>64</v>
      </c>
      <c r="N143" s="70"/>
      <c r="O143" s="71" t="s">
        <v>65</v>
      </c>
      <c r="P143" s="72"/>
      <c r="Q143" s="72"/>
      <c r="R143" s="70"/>
      <c r="S143" s="71" t="s">
        <v>66</v>
      </c>
      <c r="T143" s="70"/>
      <c r="U143" s="71" t="s">
        <v>67</v>
      </c>
      <c r="V143" s="70"/>
      <c r="W143" s="71" t="s">
        <v>68</v>
      </c>
      <c r="X143" s="70"/>
      <c r="Y143" s="134" t="s">
        <v>80</v>
      </c>
      <c r="Z143" s="74" t="s">
        <v>170</v>
      </c>
      <c r="AA143" s="75" t="s">
        <v>32</v>
      </c>
      <c r="AB143" s="75" t="s">
        <v>233</v>
      </c>
      <c r="AC143" s="76" t="s">
        <v>73</v>
      </c>
      <c r="AD143" s="77" t="s">
        <v>74</v>
      </c>
      <c r="AE143" s="63" t="s">
        <v>75</v>
      </c>
      <c r="AF143" s="78" t="s">
        <v>144</v>
      </c>
      <c r="AG143" s="79" t="s">
        <v>32</v>
      </c>
      <c r="AH143" s="79">
        <v>270.0</v>
      </c>
      <c r="AI143" s="79" t="s">
        <v>145</v>
      </c>
      <c r="AJ143" s="80" t="str">
        <f>AJ137</f>
        <v>開</v>
      </c>
      <c r="AK143" s="81" t="s">
        <v>42</v>
      </c>
      <c r="AL143" s="82" t="str">
        <f>AL137</f>
        <v>休</v>
      </c>
      <c r="AM143" s="81" t="s">
        <v>44</v>
      </c>
      <c r="AN143" s="82" t="s">
        <v>4</v>
      </c>
      <c r="AO143" s="81" t="s">
        <v>46</v>
      </c>
      <c r="AP143" s="82" t="str">
        <f>AP137</f>
        <v>傷</v>
      </c>
      <c r="AQ143" s="81" t="s">
        <v>48</v>
      </c>
      <c r="AR143" s="82" t="s">
        <v>8</v>
      </c>
      <c r="AS143" s="81" t="s">
        <v>50</v>
      </c>
      <c r="AT143" s="82" t="str">
        <f>AT137</f>
        <v>景</v>
      </c>
      <c r="AU143" s="81" t="s">
        <v>52</v>
      </c>
      <c r="AV143" s="82" t="str">
        <f>AV137</f>
        <v>死</v>
      </c>
      <c r="AW143" s="81" t="s">
        <v>38</v>
      </c>
      <c r="AX143" s="82" t="str">
        <f>AX137</f>
        <v>驚</v>
      </c>
      <c r="AY143" s="81" t="s">
        <v>40</v>
      </c>
      <c r="AZ143" s="83"/>
      <c r="BA143" s="84"/>
      <c r="BB143" s="84"/>
      <c r="BC143" s="84"/>
    </row>
    <row r="144">
      <c r="A144" s="192">
        <f>A138+1</f>
        <v>22</v>
      </c>
      <c r="B144" s="193"/>
      <c r="C144" s="12" t="s">
        <v>187</v>
      </c>
      <c r="E144" s="214" t="s">
        <v>147</v>
      </c>
      <c r="G144" s="324" t="str">
        <f t="shared" ref="G144:G145" si="211">G3:H3</f>
        <v>癸</v>
      </c>
      <c r="I144" s="275" t="str">
        <f t="shared" ref="I144:I145" si="212">I33:J33</f>
        <v>丙</v>
      </c>
      <c r="K144" s="90">
        <f>L144/L145</f>
        <v>0.53</v>
      </c>
      <c r="L144" s="126">
        <f t="shared" ref="L144:L145" si="213">O144+P144+Q144+U144+V144+W144+X144+R144+M144+N144+S144+T144</f>
        <v>530</v>
      </c>
      <c r="M144" s="92">
        <v>0.0</v>
      </c>
      <c r="N144" s="93">
        <v>0.0</v>
      </c>
      <c r="O144" s="92">
        <v>25.0</v>
      </c>
      <c r="P144" s="92">
        <v>20.0</v>
      </c>
      <c r="Q144" s="92">
        <v>50.0</v>
      </c>
      <c r="R144" s="93">
        <v>50.0</v>
      </c>
      <c r="S144" s="92">
        <v>10.0</v>
      </c>
      <c r="T144" s="93">
        <v>100.0</v>
      </c>
      <c r="U144" s="92">
        <f t="shared" ref="U144:V144" si="209">U39</f>
        <v>65</v>
      </c>
      <c r="V144" s="93">
        <f t="shared" si="209"/>
        <v>40</v>
      </c>
      <c r="W144" s="92">
        <f t="shared" ref="W144:X144" si="210">W33</f>
        <v>110</v>
      </c>
      <c r="X144" s="93">
        <f t="shared" si="210"/>
        <v>60</v>
      </c>
      <c r="Y144" s="73" t="s">
        <v>98</v>
      </c>
      <c r="Z144" s="94" t="s">
        <v>70</v>
      </c>
      <c r="AA144" s="36"/>
      <c r="AB144" s="29" t="s">
        <v>234</v>
      </c>
      <c r="AC144" s="95" t="s">
        <v>82</v>
      </c>
      <c r="AD144" s="96" t="s">
        <v>83</v>
      </c>
      <c r="AE144" s="37"/>
      <c r="AF144" s="97"/>
      <c r="AG144" s="12" t="s">
        <v>97</v>
      </c>
      <c r="AH144" s="12">
        <v>330.0</v>
      </c>
      <c r="AI144" s="12" t="s">
        <v>150</v>
      </c>
      <c r="AJ144" s="98" t="s">
        <v>39</v>
      </c>
      <c r="AK144" s="99" t="s">
        <v>93</v>
      </c>
      <c r="AL144" s="100" t="s">
        <v>37</v>
      </c>
      <c r="AM144" s="99" t="s">
        <v>94</v>
      </c>
      <c r="AN144" s="100" t="s">
        <v>51</v>
      </c>
      <c r="AO144" s="101" t="s">
        <v>95</v>
      </c>
      <c r="AP144" s="100" t="s">
        <v>86</v>
      </c>
      <c r="AQ144" s="99" t="s">
        <v>87</v>
      </c>
      <c r="AR144" s="100" t="s">
        <v>88</v>
      </c>
      <c r="AS144" s="101" t="s">
        <v>89</v>
      </c>
      <c r="AT144" s="100" t="s">
        <v>45</v>
      </c>
      <c r="AU144" s="102" t="s">
        <v>90</v>
      </c>
      <c r="AV144" s="100" t="s">
        <v>43</v>
      </c>
      <c r="AW144" s="101" t="s">
        <v>91</v>
      </c>
      <c r="AX144" s="100" t="s">
        <v>41</v>
      </c>
      <c r="AY144" s="103" t="s">
        <v>92</v>
      </c>
      <c r="AZ144" s="24"/>
    </row>
    <row r="145">
      <c r="A145" s="215" t="str">
        <f>G2</f>
        <v>พฤษภาคม</v>
      </c>
      <c r="B145" s="193"/>
      <c r="C145" s="161" t="s">
        <v>239</v>
      </c>
      <c r="E145" s="209" t="s">
        <v>76</v>
      </c>
      <c r="G145" s="223" t="str">
        <f t="shared" si="211"/>
        <v>巳</v>
      </c>
      <c r="I145" s="142" t="str">
        <f t="shared" si="212"/>
        <v>午</v>
      </c>
      <c r="K145" s="36"/>
      <c r="L145" s="109">
        <f t="shared" si="213"/>
        <v>1000</v>
      </c>
      <c r="M145" s="9">
        <v>0.0</v>
      </c>
      <c r="N145" s="110">
        <v>0.0</v>
      </c>
      <c r="O145" s="9">
        <v>100.0</v>
      </c>
      <c r="P145" s="9">
        <v>100.0</v>
      </c>
      <c r="Q145" s="9">
        <v>100.0</v>
      </c>
      <c r="R145" s="110">
        <v>100.0</v>
      </c>
      <c r="S145" s="9">
        <v>100.0</v>
      </c>
      <c r="T145" s="110">
        <v>100.0</v>
      </c>
      <c r="U145" s="9">
        <v>100.0</v>
      </c>
      <c r="V145" s="110">
        <v>100.0</v>
      </c>
      <c r="W145" s="9">
        <v>100.0</v>
      </c>
      <c r="X145" s="110">
        <v>100.0</v>
      </c>
      <c r="Y145" s="73" t="s">
        <v>116</v>
      </c>
      <c r="Z145" s="94" t="s">
        <v>181</v>
      </c>
      <c r="AA145" s="36"/>
      <c r="AB145" s="36"/>
      <c r="AC145" s="111"/>
      <c r="AD145" s="112"/>
      <c r="AE145" s="37"/>
      <c r="AF145" s="97"/>
      <c r="AG145" s="14"/>
      <c r="AH145" s="14"/>
      <c r="AI145" s="14"/>
      <c r="AJ145" s="113"/>
      <c r="AK145" s="104" t="s">
        <v>105</v>
      </c>
      <c r="AM145" s="104" t="s">
        <v>106</v>
      </c>
      <c r="AO145" s="105" t="s">
        <v>107</v>
      </c>
      <c r="AQ145" s="104" t="s">
        <v>100</v>
      </c>
      <c r="AS145" s="114" t="s">
        <v>101</v>
      </c>
      <c r="AU145" s="105" t="s">
        <v>102</v>
      </c>
      <c r="AW145" s="105" t="s">
        <v>103</v>
      </c>
      <c r="AY145" s="104" t="s">
        <v>104</v>
      </c>
      <c r="AZ145" s="24"/>
    </row>
    <row r="146">
      <c r="A146" s="192">
        <v>2569.0</v>
      </c>
      <c r="B146" s="193"/>
      <c r="E146" s="115" t="s">
        <v>115</v>
      </c>
      <c r="F146" s="116" t="s">
        <v>183</v>
      </c>
      <c r="G146" s="115" t="str">
        <f t="shared" ref="G146:H146" si="214">G41</f>
        <v>A11</v>
      </c>
      <c r="H146" s="9" t="str">
        <f t="shared" si="214"/>
        <v>B10</v>
      </c>
      <c r="I146" s="9" t="str">
        <f t="shared" ref="I146:J146" si="215">I35</f>
        <v>A5</v>
      </c>
      <c r="J146" s="9" t="str">
        <f t="shared" si="215"/>
        <v>B11</v>
      </c>
      <c r="K146" s="36"/>
      <c r="L146" s="117"/>
      <c r="M146" s="118" t="str">
        <f t="shared" ref="M146:P146" si="216">C146</f>
        <v/>
      </c>
      <c r="N146" s="119" t="str">
        <f t="shared" si="216"/>
        <v/>
      </c>
      <c r="O146" s="118" t="str">
        <f t="shared" si="216"/>
        <v>A7</v>
      </c>
      <c r="P146" s="118" t="str">
        <f t="shared" si="216"/>
        <v>B3</v>
      </c>
      <c r="Q146" s="118" t="str">
        <f t="shared" ref="Q146:R146" si="217">E147</f>
        <v>B9</v>
      </c>
      <c r="R146" s="119" t="str">
        <f t="shared" si="217"/>
        <v>C4</v>
      </c>
      <c r="S146" s="9" t="s">
        <v>108</v>
      </c>
      <c r="T146" s="110" t="s">
        <v>213</v>
      </c>
      <c r="U146" s="9" t="str">
        <f t="shared" ref="U146:X146" si="218">G146</f>
        <v>A11</v>
      </c>
      <c r="V146" s="119" t="str">
        <f t="shared" si="218"/>
        <v>B10</v>
      </c>
      <c r="W146" s="118" t="str">
        <f t="shared" si="218"/>
        <v>A5</v>
      </c>
      <c r="X146" s="120" t="str">
        <f t="shared" si="218"/>
        <v>B11</v>
      </c>
      <c r="Y146" s="73" t="s">
        <v>126</v>
      </c>
      <c r="Z146" s="94" t="s">
        <v>163</v>
      </c>
      <c r="AA146" s="36"/>
      <c r="AB146" s="36"/>
      <c r="AC146" s="111"/>
      <c r="AD146" s="112"/>
      <c r="AE146" s="37"/>
      <c r="AF146" s="97"/>
      <c r="AG146" s="14"/>
      <c r="AH146" s="14"/>
      <c r="AI146" s="14"/>
      <c r="AJ146" s="113"/>
      <c r="AK146" s="104" t="s">
        <v>123</v>
      </c>
      <c r="AM146" s="104" t="s">
        <v>124</v>
      </c>
      <c r="AO146" s="105" t="s">
        <v>125</v>
      </c>
      <c r="AQ146" s="104" t="s">
        <v>118</v>
      </c>
      <c r="AS146" s="114" t="s">
        <v>119</v>
      </c>
      <c r="AU146" s="105" t="s">
        <v>120</v>
      </c>
      <c r="AW146" s="105" t="s">
        <v>121</v>
      </c>
      <c r="AY146" s="104" t="s">
        <v>122</v>
      </c>
      <c r="AZ146" s="24"/>
    </row>
    <row r="147">
      <c r="A147" s="192">
        <f>A146-543</f>
        <v>2026</v>
      </c>
      <c r="B147" s="193"/>
      <c r="E147" s="115" t="s">
        <v>212</v>
      </c>
      <c r="F147" s="116" t="s">
        <v>190</v>
      </c>
      <c r="G147" s="115"/>
      <c r="H147" s="118"/>
      <c r="I147" s="118"/>
      <c r="J147" s="118"/>
      <c r="K147" s="36"/>
      <c r="L147" s="117"/>
      <c r="M147" s="326"/>
      <c r="N147" s="327"/>
      <c r="R147" s="117"/>
      <c r="T147" s="117"/>
      <c r="V147" s="117"/>
      <c r="X147" s="117"/>
      <c r="Y147" s="73" t="s">
        <v>69</v>
      </c>
      <c r="Z147" s="94" t="s">
        <v>99</v>
      </c>
      <c r="AA147" s="36"/>
      <c r="AB147" s="36"/>
      <c r="AC147" s="111"/>
      <c r="AD147" s="112"/>
      <c r="AE147" s="37"/>
      <c r="AF147" s="97"/>
      <c r="AG147" s="14"/>
      <c r="AH147" s="14"/>
      <c r="AI147" s="14"/>
      <c r="AJ147" s="113"/>
      <c r="AK147" s="104" t="s">
        <v>134</v>
      </c>
      <c r="AM147" s="104" t="s">
        <v>135</v>
      </c>
      <c r="AO147" s="105" t="s">
        <v>136</v>
      </c>
      <c r="AQ147" s="104" t="s">
        <v>129</v>
      </c>
      <c r="AS147" s="114" t="s">
        <v>130</v>
      </c>
      <c r="AU147" s="105" t="s">
        <v>131</v>
      </c>
      <c r="AW147" s="105" t="s">
        <v>132</v>
      </c>
      <c r="AY147" s="104" t="s">
        <v>133</v>
      </c>
      <c r="AZ147" s="24"/>
    </row>
    <row r="148">
      <c r="A148" s="113"/>
      <c r="B148" s="206"/>
      <c r="C148" s="1"/>
      <c r="D148" s="123"/>
      <c r="E148" s="176" t="s">
        <v>157</v>
      </c>
      <c r="F148" s="88"/>
      <c r="G148" s="207" t="str">
        <f>G5:H5</f>
        <v>อสูรเดือน E</v>
      </c>
      <c r="I148" s="208" t="str">
        <f>I5:J5</f>
        <v>อสูรปี N</v>
      </c>
      <c r="K148" s="36"/>
      <c r="L148" s="117"/>
      <c r="M148" s="326"/>
      <c r="N148" s="327"/>
      <c r="R148" s="117"/>
      <c r="T148" s="117"/>
      <c r="V148" s="117"/>
      <c r="X148" s="117"/>
      <c r="Y148" s="127"/>
      <c r="Z148" s="155"/>
      <c r="AA148" s="36"/>
      <c r="AB148" s="36"/>
      <c r="AC148" s="111"/>
      <c r="AD148" s="112"/>
      <c r="AE148" s="37"/>
      <c r="AF148" s="97"/>
      <c r="AG148" s="14"/>
      <c r="AH148" s="14"/>
      <c r="AI148" s="14"/>
      <c r="AJ148" s="113"/>
      <c r="AU148" s="128"/>
      <c r="AZ148" s="24"/>
    </row>
    <row r="149">
      <c r="A149" s="188" t="s">
        <v>158</v>
      </c>
      <c r="B149" s="189"/>
      <c r="C149" s="63"/>
      <c r="D149" s="63"/>
      <c r="E149" s="64">
        <f>(O150+P150+Q150+R150)/(O151+P151+Q151+R151)</f>
        <v>0.5625</v>
      </c>
      <c r="F149" s="65"/>
      <c r="G149" s="133"/>
      <c r="H149" s="72"/>
      <c r="I149" s="67"/>
      <c r="J149" s="72"/>
      <c r="K149" s="68"/>
      <c r="L149" s="69"/>
      <c r="M149" s="63" t="s">
        <v>64</v>
      </c>
      <c r="N149" s="70"/>
      <c r="O149" s="71" t="s">
        <v>65</v>
      </c>
      <c r="P149" s="72"/>
      <c r="Q149" s="72"/>
      <c r="R149" s="70"/>
      <c r="S149" s="71" t="s">
        <v>66</v>
      </c>
      <c r="T149" s="70"/>
      <c r="U149" s="71" t="s">
        <v>67</v>
      </c>
      <c r="V149" s="70"/>
      <c r="W149" s="71" t="s">
        <v>68</v>
      </c>
      <c r="X149" s="70"/>
      <c r="Y149" s="134" t="s">
        <v>80</v>
      </c>
      <c r="Z149" s="74" t="s">
        <v>159</v>
      </c>
      <c r="AA149" s="75" t="s">
        <v>71</v>
      </c>
      <c r="AB149" s="75" t="s">
        <v>72</v>
      </c>
      <c r="AC149" s="76" t="s">
        <v>73</v>
      </c>
      <c r="AD149" s="77" t="s">
        <v>74</v>
      </c>
      <c r="AE149" s="63" t="s">
        <v>75</v>
      </c>
      <c r="AF149" s="78" t="s">
        <v>36</v>
      </c>
      <c r="AG149" s="79" t="s">
        <v>97</v>
      </c>
      <c r="AH149" s="79">
        <v>330.0</v>
      </c>
      <c r="AI149" s="79" t="s">
        <v>150</v>
      </c>
      <c r="AJ149" s="80" t="str">
        <f>AJ143</f>
        <v>開</v>
      </c>
      <c r="AK149" s="81" t="s">
        <v>42</v>
      </c>
      <c r="AL149" s="82" t="str">
        <f>AL143</f>
        <v>休</v>
      </c>
      <c r="AM149" s="81" t="s">
        <v>44</v>
      </c>
      <c r="AN149" s="82" t="s">
        <v>4</v>
      </c>
      <c r="AO149" s="81" t="s">
        <v>46</v>
      </c>
      <c r="AP149" s="82" t="str">
        <f>AP143</f>
        <v>傷</v>
      </c>
      <c r="AQ149" s="81" t="s">
        <v>48</v>
      </c>
      <c r="AR149" s="82" t="s">
        <v>8</v>
      </c>
      <c r="AS149" s="81" t="s">
        <v>50</v>
      </c>
      <c r="AT149" s="82" t="str">
        <f>AT143</f>
        <v>景</v>
      </c>
      <c r="AU149" s="81" t="s">
        <v>52</v>
      </c>
      <c r="AV149" s="82" t="str">
        <f>AV143</f>
        <v>死</v>
      </c>
      <c r="AW149" s="81" t="s">
        <v>38</v>
      </c>
      <c r="AX149" s="82" t="str">
        <f>AX143</f>
        <v>驚</v>
      </c>
      <c r="AY149" s="81" t="s">
        <v>40</v>
      </c>
      <c r="AZ149" s="83"/>
      <c r="BA149" s="84"/>
      <c r="BB149" s="84"/>
      <c r="BC149" s="84"/>
    </row>
    <row r="150">
      <c r="A150" s="192">
        <f>A144+1</f>
        <v>23</v>
      </c>
      <c r="B150" s="193"/>
      <c r="C150" s="12" t="s">
        <v>176</v>
      </c>
      <c r="E150" s="160" t="s">
        <v>161</v>
      </c>
      <c r="G150" s="324" t="str">
        <f t="shared" ref="G150:G151" si="221">G3:H3</f>
        <v>癸</v>
      </c>
      <c r="I150" s="275" t="str">
        <f t="shared" ref="I150:I151" si="222">I33:J33</f>
        <v>丙</v>
      </c>
      <c r="K150" s="90">
        <f>L150/L151</f>
        <v>0.63</v>
      </c>
      <c r="L150" s="126">
        <f t="shared" ref="L150:L151" si="223">O150+P150+Q150+U150+V150+W150+X150+R150+M150+N150+S150+T150</f>
        <v>630</v>
      </c>
      <c r="M150" s="92">
        <v>0.0</v>
      </c>
      <c r="N150" s="93">
        <v>0.0</v>
      </c>
      <c r="O150" s="92">
        <v>85.0</v>
      </c>
      <c r="P150" s="92">
        <v>30.0</v>
      </c>
      <c r="Q150" s="92">
        <v>80.0</v>
      </c>
      <c r="R150" s="93">
        <v>30.0</v>
      </c>
      <c r="S150" s="92">
        <v>20.0</v>
      </c>
      <c r="T150" s="93">
        <v>110.0</v>
      </c>
      <c r="U150" s="92">
        <f t="shared" ref="U150:V150" si="219">U39</f>
        <v>65</v>
      </c>
      <c r="V150" s="93">
        <f t="shared" si="219"/>
        <v>40</v>
      </c>
      <c r="W150" s="92">
        <f t="shared" ref="W150:X150" si="220">W33</f>
        <v>110</v>
      </c>
      <c r="X150" s="93">
        <f t="shared" si="220"/>
        <v>60</v>
      </c>
      <c r="Y150" s="73" t="s">
        <v>98</v>
      </c>
      <c r="Z150" s="94" t="s">
        <v>152</v>
      </c>
      <c r="AA150" s="36"/>
      <c r="AB150" s="36"/>
      <c r="AC150" s="95" t="s">
        <v>82</v>
      </c>
      <c r="AD150" s="96" t="s">
        <v>83</v>
      </c>
      <c r="AE150" s="37"/>
      <c r="AF150" s="97"/>
      <c r="AG150" s="12" t="s">
        <v>32</v>
      </c>
      <c r="AH150" s="12">
        <v>270.0</v>
      </c>
      <c r="AI150" s="12" t="s">
        <v>145</v>
      </c>
      <c r="AJ150" s="98" t="s">
        <v>39</v>
      </c>
      <c r="AK150" s="99" t="s">
        <v>93</v>
      </c>
      <c r="AL150" s="100" t="s">
        <v>37</v>
      </c>
      <c r="AM150" s="99" t="s">
        <v>94</v>
      </c>
      <c r="AN150" s="100" t="s">
        <v>51</v>
      </c>
      <c r="AO150" s="101" t="s">
        <v>95</v>
      </c>
      <c r="AP150" s="100" t="s">
        <v>86</v>
      </c>
      <c r="AQ150" s="99" t="s">
        <v>87</v>
      </c>
      <c r="AR150" s="100" t="s">
        <v>88</v>
      </c>
      <c r="AS150" s="101" t="s">
        <v>89</v>
      </c>
      <c r="AT150" s="100" t="s">
        <v>45</v>
      </c>
      <c r="AU150" s="102" t="s">
        <v>90</v>
      </c>
      <c r="AV150" s="100" t="s">
        <v>43</v>
      </c>
      <c r="AW150" s="101" t="s">
        <v>91</v>
      </c>
      <c r="AX150" s="100" t="s">
        <v>41</v>
      </c>
      <c r="AY150" s="103" t="s">
        <v>92</v>
      </c>
      <c r="AZ150" s="24"/>
    </row>
    <row r="151">
      <c r="A151" s="215" t="str">
        <f>G2</f>
        <v>พฤษภาคม</v>
      </c>
      <c r="B151" s="193"/>
      <c r="C151" s="106" t="s">
        <v>96</v>
      </c>
      <c r="E151" s="209" t="s">
        <v>32</v>
      </c>
      <c r="G151" s="223" t="str">
        <f t="shared" si="221"/>
        <v>巳</v>
      </c>
      <c r="I151" s="142" t="str">
        <f t="shared" si="222"/>
        <v>午</v>
      </c>
      <c r="K151" s="36"/>
      <c r="L151" s="109">
        <f t="shared" si="223"/>
        <v>1000</v>
      </c>
      <c r="M151" s="9">
        <v>0.0</v>
      </c>
      <c r="N151" s="110">
        <v>0.0</v>
      </c>
      <c r="O151" s="9">
        <v>100.0</v>
      </c>
      <c r="P151" s="9">
        <v>100.0</v>
      </c>
      <c r="Q151" s="9">
        <v>100.0</v>
      </c>
      <c r="R151" s="110">
        <v>100.0</v>
      </c>
      <c r="S151" s="9">
        <v>100.0</v>
      </c>
      <c r="T151" s="110">
        <v>100.0</v>
      </c>
      <c r="U151" s="9">
        <v>100.0</v>
      </c>
      <c r="V151" s="110">
        <v>100.0</v>
      </c>
      <c r="W151" s="9">
        <v>100.0</v>
      </c>
      <c r="X151" s="110">
        <v>100.0</v>
      </c>
      <c r="Y151" s="73" t="s">
        <v>116</v>
      </c>
      <c r="Z151" s="94" t="s">
        <v>81</v>
      </c>
      <c r="AA151" s="36"/>
      <c r="AB151" s="36"/>
      <c r="AC151" s="111"/>
      <c r="AD151" s="112"/>
      <c r="AE151" s="37"/>
      <c r="AF151" s="97"/>
      <c r="AG151" s="14"/>
      <c r="AH151" s="14"/>
      <c r="AI151" s="14"/>
      <c r="AJ151" s="113"/>
      <c r="AK151" s="104" t="s">
        <v>105</v>
      </c>
      <c r="AM151" s="104" t="s">
        <v>106</v>
      </c>
      <c r="AO151" s="105" t="s">
        <v>107</v>
      </c>
      <c r="AQ151" s="104" t="s">
        <v>100</v>
      </c>
      <c r="AS151" s="114" t="s">
        <v>101</v>
      </c>
      <c r="AU151" s="105" t="s">
        <v>102</v>
      </c>
      <c r="AW151" s="105" t="s">
        <v>103</v>
      </c>
      <c r="AY151" s="104" t="s">
        <v>104</v>
      </c>
      <c r="AZ151" s="24"/>
    </row>
    <row r="152">
      <c r="A152" s="192">
        <v>2569.0</v>
      </c>
      <c r="B152" s="193"/>
      <c r="E152" s="115" t="s">
        <v>182</v>
      </c>
      <c r="F152" s="116" t="s">
        <v>109</v>
      </c>
      <c r="G152" s="115" t="str">
        <f t="shared" ref="G152:H152" si="224">G41</f>
        <v>A11</v>
      </c>
      <c r="H152" s="9" t="str">
        <f t="shared" si="224"/>
        <v>B10</v>
      </c>
      <c r="I152" s="9" t="str">
        <f t="shared" ref="I152:J152" si="225">I35</f>
        <v>A5</v>
      </c>
      <c r="J152" s="9" t="str">
        <f t="shared" si="225"/>
        <v>B11</v>
      </c>
      <c r="K152" s="36"/>
      <c r="L152" s="117"/>
      <c r="M152" s="118" t="str">
        <f t="shared" ref="M152:P152" si="226">C152</f>
        <v/>
      </c>
      <c r="N152" s="119" t="str">
        <f t="shared" si="226"/>
        <v/>
      </c>
      <c r="O152" s="118" t="str">
        <f t="shared" si="226"/>
        <v>A1</v>
      </c>
      <c r="P152" s="118" t="str">
        <f t="shared" si="226"/>
        <v>B4</v>
      </c>
      <c r="Q152" s="118" t="str">
        <f>E153</f>
        <v>B8</v>
      </c>
      <c r="R152" s="110">
        <v>80.0</v>
      </c>
      <c r="S152" s="9" t="s">
        <v>115</v>
      </c>
      <c r="T152" s="110" t="s">
        <v>204</v>
      </c>
      <c r="U152" s="9" t="str">
        <f t="shared" ref="U152:X152" si="227">G152</f>
        <v>A11</v>
      </c>
      <c r="V152" s="119" t="str">
        <f t="shared" si="227"/>
        <v>B10</v>
      </c>
      <c r="W152" s="118" t="str">
        <f t="shared" si="227"/>
        <v>A5</v>
      </c>
      <c r="X152" s="120" t="str">
        <f t="shared" si="227"/>
        <v>B11</v>
      </c>
      <c r="Y152" s="73" t="s">
        <v>126</v>
      </c>
      <c r="Z152" s="94" t="s">
        <v>99</v>
      </c>
      <c r="AA152" s="36"/>
      <c r="AB152" s="36"/>
      <c r="AC152" s="111"/>
      <c r="AD152" s="112"/>
      <c r="AE152" s="37"/>
      <c r="AF152" s="97"/>
      <c r="AG152" s="14"/>
      <c r="AH152" s="14"/>
      <c r="AI152" s="14"/>
      <c r="AJ152" s="113"/>
      <c r="AK152" s="104" t="s">
        <v>123</v>
      </c>
      <c r="AM152" s="104" t="s">
        <v>124</v>
      </c>
      <c r="AO152" s="105" t="s">
        <v>125</v>
      </c>
      <c r="AQ152" s="104" t="s">
        <v>118</v>
      </c>
      <c r="AS152" s="114" t="s">
        <v>119</v>
      </c>
      <c r="AU152" s="105" t="s">
        <v>120</v>
      </c>
      <c r="AW152" s="105" t="s">
        <v>121</v>
      </c>
      <c r="AY152" s="104" t="s">
        <v>122</v>
      </c>
      <c r="AZ152" s="24"/>
    </row>
    <row r="153">
      <c r="A153" s="192">
        <f>A152-543</f>
        <v>2026</v>
      </c>
      <c r="B153" s="193"/>
      <c r="E153" s="115" t="s">
        <v>69</v>
      </c>
      <c r="F153" s="116" t="s">
        <v>205</v>
      </c>
      <c r="G153" s="115"/>
      <c r="H153" s="118"/>
      <c r="I153" s="118"/>
      <c r="J153" s="118"/>
      <c r="K153" s="36"/>
      <c r="L153" s="117"/>
      <c r="M153" s="326"/>
      <c r="N153" s="327"/>
      <c r="O153" s="226"/>
      <c r="R153" s="117"/>
      <c r="T153" s="117"/>
      <c r="V153" s="117"/>
      <c r="X153" s="117"/>
      <c r="Y153" s="73" t="s">
        <v>69</v>
      </c>
      <c r="Z153" s="94" t="s">
        <v>155</v>
      </c>
      <c r="AA153" s="36"/>
      <c r="AB153" s="36"/>
      <c r="AC153" s="111"/>
      <c r="AD153" s="112"/>
      <c r="AE153" s="37"/>
      <c r="AF153" s="97"/>
      <c r="AG153" s="14"/>
      <c r="AH153" s="14"/>
      <c r="AI153" s="14"/>
      <c r="AJ153" s="113"/>
      <c r="AK153" s="104" t="s">
        <v>134</v>
      </c>
      <c r="AM153" s="104" t="s">
        <v>135</v>
      </c>
      <c r="AO153" s="105" t="s">
        <v>136</v>
      </c>
      <c r="AQ153" s="104" t="s">
        <v>129</v>
      </c>
      <c r="AS153" s="114" t="s">
        <v>130</v>
      </c>
      <c r="AU153" s="105" t="s">
        <v>131</v>
      </c>
      <c r="AW153" s="105" t="s">
        <v>132</v>
      </c>
      <c r="AY153" s="104" t="s">
        <v>133</v>
      </c>
      <c r="AZ153" s="24"/>
    </row>
    <row r="154">
      <c r="A154" s="279"/>
      <c r="B154" s="206"/>
      <c r="C154" s="1"/>
      <c r="D154" s="123"/>
      <c r="E154" s="164" t="s">
        <v>168</v>
      </c>
      <c r="F154" s="88"/>
      <c r="G154" s="207" t="str">
        <f>G5:H5</f>
        <v>อสูรเดือน E</v>
      </c>
      <c r="I154" s="208" t="str">
        <f>I5:J5</f>
        <v>อสูรปี N</v>
      </c>
      <c r="K154" s="36"/>
      <c r="L154" s="117"/>
      <c r="M154" s="326"/>
      <c r="N154" s="327"/>
      <c r="R154" s="117"/>
      <c r="T154" s="117"/>
      <c r="V154" s="117"/>
      <c r="X154" s="117"/>
      <c r="Y154" s="127"/>
      <c r="Z154" s="155"/>
      <c r="AA154" s="36"/>
      <c r="AB154" s="36"/>
      <c r="AC154" s="111"/>
      <c r="AD154" s="112"/>
      <c r="AE154" s="37"/>
      <c r="AF154" s="97"/>
      <c r="AG154" s="14"/>
      <c r="AH154" s="14"/>
      <c r="AI154" s="14"/>
      <c r="AJ154" s="113"/>
      <c r="AU154" s="128"/>
      <c r="AZ154" s="24"/>
    </row>
    <row r="155">
      <c r="A155" s="188" t="s">
        <v>169</v>
      </c>
      <c r="B155" s="189"/>
      <c r="C155" s="63"/>
      <c r="D155" s="63"/>
      <c r="E155" s="216">
        <f>(O156+P156+Q156+R156)/(O157+P157+Q157+R157)</f>
        <v>0.575</v>
      </c>
      <c r="F155" s="65"/>
      <c r="G155" s="133"/>
      <c r="H155" s="72"/>
      <c r="I155" s="67"/>
      <c r="J155" s="72"/>
      <c r="K155" s="68"/>
      <c r="L155" s="69"/>
      <c r="M155" s="63" t="s">
        <v>64</v>
      </c>
      <c r="N155" s="70"/>
      <c r="O155" s="71" t="s">
        <v>65</v>
      </c>
      <c r="P155" s="72"/>
      <c r="Q155" s="72"/>
      <c r="R155" s="70"/>
      <c r="S155" s="71" t="s">
        <v>66</v>
      </c>
      <c r="T155" s="70"/>
      <c r="U155" s="71" t="s">
        <v>67</v>
      </c>
      <c r="V155" s="70"/>
      <c r="W155" s="71" t="s">
        <v>68</v>
      </c>
      <c r="X155" s="70"/>
      <c r="Y155" s="134" t="s">
        <v>80</v>
      </c>
      <c r="Z155" s="74" t="s">
        <v>181</v>
      </c>
      <c r="AA155" s="75" t="s">
        <v>202</v>
      </c>
      <c r="AB155" s="75" t="s">
        <v>226</v>
      </c>
      <c r="AC155" s="202" t="s">
        <v>142</v>
      </c>
      <c r="AD155" s="74" t="s">
        <v>143</v>
      </c>
      <c r="AE155" s="63" t="s">
        <v>34</v>
      </c>
      <c r="AF155" s="78" t="s">
        <v>34</v>
      </c>
      <c r="AG155" s="79" t="s">
        <v>71</v>
      </c>
      <c r="AH155" s="79">
        <v>210.0</v>
      </c>
      <c r="AI155" s="79" t="s">
        <v>175</v>
      </c>
      <c r="AJ155" s="80" t="str">
        <f>AJ149</f>
        <v>開</v>
      </c>
      <c r="AK155" s="81" t="s">
        <v>42</v>
      </c>
      <c r="AL155" s="82" t="str">
        <f>AL149</f>
        <v>休</v>
      </c>
      <c r="AM155" s="81" t="s">
        <v>44</v>
      </c>
      <c r="AN155" s="82" t="s">
        <v>4</v>
      </c>
      <c r="AO155" s="81" t="s">
        <v>46</v>
      </c>
      <c r="AP155" s="82" t="str">
        <f>AP149</f>
        <v>傷</v>
      </c>
      <c r="AQ155" s="81" t="s">
        <v>48</v>
      </c>
      <c r="AR155" s="82" t="s">
        <v>8</v>
      </c>
      <c r="AS155" s="81" t="s">
        <v>50</v>
      </c>
      <c r="AT155" s="82" t="str">
        <f>AT149</f>
        <v>景</v>
      </c>
      <c r="AU155" s="81" t="s">
        <v>52</v>
      </c>
      <c r="AV155" s="82" t="str">
        <f>AV149</f>
        <v>死</v>
      </c>
      <c r="AW155" s="81" t="s">
        <v>38</v>
      </c>
      <c r="AX155" s="82" t="str">
        <f>AX149</f>
        <v>驚</v>
      </c>
      <c r="AY155" s="81" t="s">
        <v>40</v>
      </c>
      <c r="AZ155" s="83"/>
      <c r="BA155" s="84"/>
      <c r="BB155" s="84"/>
      <c r="BC155" s="84"/>
    </row>
    <row r="156">
      <c r="A156" s="192">
        <f>A150+1</f>
        <v>24</v>
      </c>
      <c r="B156" s="193"/>
      <c r="C156" s="12" t="s">
        <v>216</v>
      </c>
      <c r="E156" s="168" t="s">
        <v>79</v>
      </c>
      <c r="G156" s="324" t="str">
        <f t="shared" ref="G156:G157" si="230">G3:H3</f>
        <v>癸</v>
      </c>
      <c r="I156" s="275" t="str">
        <f t="shared" ref="I156:I157" si="231">I33:J33</f>
        <v>丙</v>
      </c>
      <c r="K156" s="90">
        <f>L156/L157</f>
        <v>0.63</v>
      </c>
      <c r="L156" s="126">
        <f t="shared" ref="L156:L157" si="232">O156+P156+Q156+U156+V156+W156+X156+R156+M156+N156+S156+T156</f>
        <v>630</v>
      </c>
      <c r="M156" s="92">
        <v>0.0</v>
      </c>
      <c r="N156" s="93">
        <v>0.0</v>
      </c>
      <c r="O156" s="92">
        <v>50.0</v>
      </c>
      <c r="P156" s="92">
        <v>100.0</v>
      </c>
      <c r="Q156" s="92">
        <v>0.0</v>
      </c>
      <c r="R156" s="93">
        <v>80.0</v>
      </c>
      <c r="S156" s="92">
        <v>25.0</v>
      </c>
      <c r="T156" s="93">
        <v>100.0</v>
      </c>
      <c r="U156" s="92">
        <f t="shared" ref="U156:V156" si="228">U39</f>
        <v>65</v>
      </c>
      <c r="V156" s="93">
        <f t="shared" si="228"/>
        <v>40</v>
      </c>
      <c r="W156" s="92">
        <f t="shared" ref="W156:X156" si="229">W33</f>
        <v>110</v>
      </c>
      <c r="X156" s="93">
        <f t="shared" si="229"/>
        <v>60</v>
      </c>
      <c r="Y156" s="73" t="s">
        <v>98</v>
      </c>
      <c r="Z156" s="94" t="s">
        <v>163</v>
      </c>
      <c r="AA156" s="36"/>
      <c r="AB156" s="29" t="s">
        <v>227</v>
      </c>
      <c r="AC156" s="204" t="s">
        <v>82</v>
      </c>
      <c r="AD156" s="96" t="s">
        <v>83</v>
      </c>
      <c r="AE156" s="37"/>
      <c r="AF156" s="97"/>
      <c r="AG156" s="12" t="s">
        <v>53</v>
      </c>
      <c r="AH156" s="12">
        <v>30.0</v>
      </c>
      <c r="AI156" s="12" t="s">
        <v>178</v>
      </c>
      <c r="AJ156" s="98" t="s">
        <v>39</v>
      </c>
      <c r="AK156" s="99" t="s">
        <v>93</v>
      </c>
      <c r="AL156" s="100" t="s">
        <v>37</v>
      </c>
      <c r="AM156" s="99" t="s">
        <v>94</v>
      </c>
      <c r="AN156" s="100" t="s">
        <v>51</v>
      </c>
      <c r="AO156" s="101" t="s">
        <v>95</v>
      </c>
      <c r="AP156" s="100" t="s">
        <v>86</v>
      </c>
      <c r="AQ156" s="99" t="s">
        <v>87</v>
      </c>
      <c r="AR156" s="100" t="s">
        <v>88</v>
      </c>
      <c r="AS156" s="101" t="s">
        <v>89</v>
      </c>
      <c r="AT156" s="100" t="s">
        <v>45</v>
      </c>
      <c r="AU156" s="102" t="s">
        <v>90</v>
      </c>
      <c r="AV156" s="100" t="s">
        <v>43</v>
      </c>
      <c r="AW156" s="101" t="s">
        <v>91</v>
      </c>
      <c r="AX156" s="100" t="s">
        <v>41</v>
      </c>
      <c r="AY156" s="103" t="s">
        <v>92</v>
      </c>
      <c r="AZ156" s="24"/>
    </row>
    <row r="157">
      <c r="A157" s="215" t="str">
        <f>G2</f>
        <v>พฤษภาคม</v>
      </c>
      <c r="B157" s="193"/>
      <c r="C157" s="161" t="s">
        <v>151</v>
      </c>
      <c r="E157" s="162" t="s">
        <v>206</v>
      </c>
      <c r="G157" s="223" t="str">
        <f t="shared" si="230"/>
        <v>巳</v>
      </c>
      <c r="I157" s="142" t="str">
        <f t="shared" si="231"/>
        <v>午</v>
      </c>
      <c r="K157" s="36"/>
      <c r="L157" s="109">
        <f t="shared" si="232"/>
        <v>1000</v>
      </c>
      <c r="M157" s="9">
        <v>0.0</v>
      </c>
      <c r="N157" s="110">
        <v>0.0</v>
      </c>
      <c r="O157" s="9">
        <v>100.0</v>
      </c>
      <c r="P157" s="9">
        <v>100.0</v>
      </c>
      <c r="Q157" s="9">
        <v>100.0</v>
      </c>
      <c r="R157" s="110">
        <v>100.0</v>
      </c>
      <c r="S157" s="9">
        <v>100.0</v>
      </c>
      <c r="T157" s="110">
        <v>100.0</v>
      </c>
      <c r="U157" s="9">
        <v>100.0</v>
      </c>
      <c r="V157" s="110">
        <v>100.0</v>
      </c>
      <c r="W157" s="9">
        <v>100.0</v>
      </c>
      <c r="X157" s="110">
        <v>100.0</v>
      </c>
      <c r="Y157" s="73" t="s">
        <v>116</v>
      </c>
      <c r="Z157" s="94" t="s">
        <v>153</v>
      </c>
      <c r="AA157" s="36"/>
      <c r="AB157" s="36"/>
      <c r="AC157" s="111"/>
      <c r="AD157" s="112"/>
      <c r="AE157" s="37"/>
      <c r="AF157" s="97"/>
      <c r="AG157" s="14"/>
      <c r="AH157" s="14"/>
      <c r="AI157" s="14"/>
      <c r="AJ157" s="113"/>
      <c r="AK157" s="104" t="s">
        <v>105</v>
      </c>
      <c r="AM157" s="104" t="s">
        <v>106</v>
      </c>
      <c r="AO157" s="105" t="s">
        <v>107</v>
      </c>
      <c r="AQ157" s="104" t="s">
        <v>100</v>
      </c>
      <c r="AS157" s="114" t="s">
        <v>101</v>
      </c>
      <c r="AU157" s="105" t="s">
        <v>102</v>
      </c>
      <c r="AW157" s="105" t="s">
        <v>103</v>
      </c>
      <c r="AY157" s="104" t="s">
        <v>104</v>
      </c>
      <c r="AZ157" s="24"/>
    </row>
    <row r="158">
      <c r="A158" s="192">
        <v>2569.0</v>
      </c>
      <c r="B158" s="193"/>
      <c r="E158" s="115" t="s">
        <v>164</v>
      </c>
      <c r="F158" s="116" t="s">
        <v>116</v>
      </c>
      <c r="G158" s="115" t="str">
        <f t="shared" ref="G158:H158" si="233">G41</f>
        <v>A11</v>
      </c>
      <c r="H158" s="9" t="str">
        <f t="shared" si="233"/>
        <v>B10</v>
      </c>
      <c r="I158" s="9" t="str">
        <f t="shared" ref="I158:J158" si="234">I35</f>
        <v>A5</v>
      </c>
      <c r="J158" s="9" t="str">
        <f t="shared" si="234"/>
        <v>B11</v>
      </c>
      <c r="K158" s="36"/>
      <c r="L158" s="117"/>
      <c r="M158" s="118" t="str">
        <f t="shared" ref="M158:P158" si="235">C158</f>
        <v/>
      </c>
      <c r="N158" s="119" t="str">
        <f t="shared" si="235"/>
        <v/>
      </c>
      <c r="O158" s="118" t="str">
        <f t="shared" si="235"/>
        <v>A9</v>
      </c>
      <c r="P158" s="118" t="str">
        <f t="shared" si="235"/>
        <v>B5</v>
      </c>
      <c r="Q158" s="118" t="str">
        <f t="shared" ref="Q158:R158" si="236">E159</f>
        <v>B7</v>
      </c>
      <c r="R158" s="119" t="str">
        <f t="shared" si="236"/>
        <v>C6</v>
      </c>
      <c r="S158" s="9" t="s">
        <v>198</v>
      </c>
      <c r="T158" s="110" t="s">
        <v>213</v>
      </c>
      <c r="U158" s="9" t="str">
        <f t="shared" ref="U158:X158" si="237">G158</f>
        <v>A11</v>
      </c>
      <c r="V158" s="119" t="str">
        <f t="shared" si="237"/>
        <v>B10</v>
      </c>
      <c r="W158" s="118" t="str">
        <f t="shared" si="237"/>
        <v>A5</v>
      </c>
      <c r="X158" s="120" t="str">
        <f t="shared" si="237"/>
        <v>B11</v>
      </c>
      <c r="Y158" s="73" t="s">
        <v>126</v>
      </c>
      <c r="Z158" s="94" t="s">
        <v>155</v>
      </c>
      <c r="AA158" s="36"/>
      <c r="AB158" s="36"/>
      <c r="AC158" s="111"/>
      <c r="AD158" s="112"/>
      <c r="AE158" s="37"/>
      <c r="AF158" s="97"/>
      <c r="AG158" s="14"/>
      <c r="AH158" s="14"/>
      <c r="AI158" s="14"/>
      <c r="AJ158" s="113"/>
      <c r="AK158" s="104" t="s">
        <v>123</v>
      </c>
      <c r="AM158" s="104" t="s">
        <v>124</v>
      </c>
      <c r="AO158" s="105" t="s">
        <v>125</v>
      </c>
      <c r="AQ158" s="104" t="s">
        <v>118</v>
      </c>
      <c r="AS158" s="114" t="s">
        <v>119</v>
      </c>
      <c r="AU158" s="105" t="s">
        <v>120</v>
      </c>
      <c r="AW158" s="105" t="s">
        <v>121</v>
      </c>
      <c r="AY158" s="104" t="s">
        <v>122</v>
      </c>
      <c r="AZ158" s="24"/>
    </row>
    <row r="159">
      <c r="A159" s="192">
        <f>A158-543</f>
        <v>2026</v>
      </c>
      <c r="B159" s="193"/>
      <c r="C159" s="347" t="s">
        <v>335</v>
      </c>
      <c r="E159" s="115" t="s">
        <v>111</v>
      </c>
      <c r="F159" s="116" t="s">
        <v>215</v>
      </c>
      <c r="G159" s="115"/>
      <c r="H159" s="118"/>
      <c r="I159" s="118"/>
      <c r="J159" s="118"/>
      <c r="K159" s="36"/>
      <c r="L159" s="117"/>
      <c r="M159" s="326"/>
      <c r="N159" s="327"/>
      <c r="R159" s="117"/>
      <c r="T159" s="117"/>
      <c r="V159" s="117"/>
      <c r="X159" s="117"/>
      <c r="Y159" s="73" t="s">
        <v>69</v>
      </c>
      <c r="Z159" s="94" t="s">
        <v>128</v>
      </c>
      <c r="AA159" s="36"/>
      <c r="AB159" s="36"/>
      <c r="AC159" s="111"/>
      <c r="AD159" s="112"/>
      <c r="AE159" s="37"/>
      <c r="AF159" s="97"/>
      <c r="AG159" s="14"/>
      <c r="AH159" s="14"/>
      <c r="AI159" s="14"/>
      <c r="AJ159" s="113"/>
      <c r="AK159" s="104" t="s">
        <v>134</v>
      </c>
      <c r="AM159" s="104" t="s">
        <v>135</v>
      </c>
      <c r="AO159" s="105" t="s">
        <v>136</v>
      </c>
      <c r="AQ159" s="104" t="s">
        <v>129</v>
      </c>
      <c r="AS159" s="114" t="s">
        <v>130</v>
      </c>
      <c r="AU159" s="105" t="s">
        <v>131</v>
      </c>
      <c r="AW159" s="105" t="s">
        <v>132</v>
      </c>
      <c r="AY159" s="104" t="s">
        <v>133</v>
      </c>
      <c r="AZ159" s="24"/>
    </row>
    <row r="160">
      <c r="A160" s="362" t="s">
        <v>242</v>
      </c>
      <c r="B160" s="206"/>
      <c r="C160" s="1"/>
      <c r="D160" s="312"/>
      <c r="E160" s="164"/>
      <c r="F160" s="282"/>
      <c r="G160" s="283"/>
      <c r="H160" s="284"/>
      <c r="I160" s="284"/>
      <c r="J160" s="284"/>
      <c r="K160" s="36"/>
      <c r="L160" s="117"/>
      <c r="M160" s="326"/>
      <c r="N160" s="327"/>
      <c r="R160" s="117"/>
      <c r="T160" s="117"/>
      <c r="V160" s="117"/>
      <c r="X160" s="117"/>
      <c r="Y160" s="127"/>
      <c r="Z160" s="155"/>
      <c r="AA160" s="36"/>
      <c r="AB160" s="36"/>
      <c r="AC160" s="111"/>
      <c r="AD160" s="112"/>
      <c r="AE160" s="37"/>
      <c r="AF160" s="97"/>
      <c r="AG160" s="14"/>
      <c r="AH160" s="14"/>
      <c r="AI160" s="14"/>
      <c r="AJ160" s="113"/>
      <c r="AY160" s="128"/>
      <c r="AZ160" s="24"/>
    </row>
    <row r="161">
      <c r="A161" s="143" t="s">
        <v>156</v>
      </c>
      <c r="B161" s="206"/>
      <c r="C161" s="1"/>
      <c r="D161" s="312"/>
      <c r="E161" s="164" t="s">
        <v>185</v>
      </c>
      <c r="F161" s="88"/>
      <c r="G161" s="207" t="str">
        <f>G5:H5</f>
        <v>อสูรเดือน E</v>
      </c>
      <c r="I161" s="208" t="str">
        <f>I5:J5</f>
        <v>อสูรปี N</v>
      </c>
      <c r="K161" s="36"/>
      <c r="L161" s="117"/>
      <c r="M161" s="326"/>
      <c r="N161" s="327"/>
      <c r="R161" s="117"/>
      <c r="T161" s="117"/>
      <c r="V161" s="117"/>
      <c r="X161" s="117"/>
      <c r="Y161" s="127"/>
      <c r="Z161" s="155"/>
      <c r="AA161" s="36"/>
      <c r="AB161" s="36"/>
      <c r="AC161" s="111"/>
      <c r="AD161" s="112"/>
      <c r="AE161" s="37"/>
      <c r="AF161" s="97"/>
      <c r="AG161" s="14"/>
      <c r="AH161" s="14"/>
      <c r="AI161" s="14"/>
      <c r="AJ161" s="113"/>
      <c r="AY161" s="128"/>
      <c r="AZ161" s="24"/>
    </row>
    <row r="162">
      <c r="A162" s="188" t="s">
        <v>186</v>
      </c>
      <c r="B162" s="189"/>
      <c r="C162" s="63"/>
      <c r="D162" s="63"/>
      <c r="E162" s="64">
        <f>(O163+P163+Q163+R163)/(O164+P164+Q164+R164)</f>
        <v>0.625</v>
      </c>
      <c r="F162" s="65"/>
      <c r="G162" s="133"/>
      <c r="H162" s="72"/>
      <c r="I162" s="67"/>
      <c r="J162" s="72"/>
      <c r="K162" s="68"/>
      <c r="L162" s="69"/>
      <c r="M162" s="63" t="s">
        <v>64</v>
      </c>
      <c r="N162" s="70"/>
      <c r="O162" s="71" t="s">
        <v>65</v>
      </c>
      <c r="P162" s="72"/>
      <c r="Q162" s="72"/>
      <c r="R162" s="70"/>
      <c r="S162" s="71" t="s">
        <v>66</v>
      </c>
      <c r="T162" s="70"/>
      <c r="U162" s="71" t="s">
        <v>67</v>
      </c>
      <c r="V162" s="70"/>
      <c r="W162" s="71" t="s">
        <v>68</v>
      </c>
      <c r="X162" s="70"/>
      <c r="Y162" s="134" t="s">
        <v>69</v>
      </c>
      <c r="Z162" s="74" t="s">
        <v>70</v>
      </c>
      <c r="AA162" s="75" t="s">
        <v>189</v>
      </c>
      <c r="AB162" s="75" t="s">
        <v>192</v>
      </c>
      <c r="AC162" s="202" t="s">
        <v>142</v>
      </c>
      <c r="AD162" s="74" t="s">
        <v>143</v>
      </c>
      <c r="AE162" s="63" t="s">
        <v>34</v>
      </c>
      <c r="AF162" s="78" t="s">
        <v>75</v>
      </c>
      <c r="AG162" s="79" t="s">
        <v>84</v>
      </c>
      <c r="AH162" s="79">
        <v>0.0</v>
      </c>
      <c r="AI162" s="79" t="s">
        <v>85</v>
      </c>
      <c r="AJ162" s="80" t="str">
        <f>AJ155</f>
        <v>開</v>
      </c>
      <c r="AK162" s="81" t="s">
        <v>40</v>
      </c>
      <c r="AL162" s="82" t="str">
        <f>AL155</f>
        <v>休</v>
      </c>
      <c r="AM162" s="81" t="s">
        <v>42</v>
      </c>
      <c r="AN162" s="82" t="s">
        <v>4</v>
      </c>
      <c r="AO162" s="81" t="s">
        <v>44</v>
      </c>
      <c r="AP162" s="82" t="str">
        <f>AP155</f>
        <v>傷</v>
      </c>
      <c r="AQ162" s="81" t="s">
        <v>46</v>
      </c>
      <c r="AR162" s="82" t="s">
        <v>8</v>
      </c>
      <c r="AS162" s="81" t="s">
        <v>48</v>
      </c>
      <c r="AT162" s="82" t="str">
        <f>AT155</f>
        <v>景</v>
      </c>
      <c r="AU162" s="81" t="s">
        <v>50</v>
      </c>
      <c r="AV162" s="82" t="str">
        <f>AV155</f>
        <v>死</v>
      </c>
      <c r="AW162" s="81" t="s">
        <v>52</v>
      </c>
      <c r="AX162" s="82" t="str">
        <f>AX155</f>
        <v>驚</v>
      </c>
      <c r="AY162" s="81" t="s">
        <v>38</v>
      </c>
      <c r="AZ162" s="83"/>
      <c r="BA162" s="84"/>
      <c r="BB162" s="84"/>
      <c r="BC162" s="84"/>
    </row>
    <row r="163">
      <c r="A163" s="192">
        <f>A156+1</f>
        <v>25</v>
      </c>
      <c r="B163" s="193"/>
      <c r="C163" s="12" t="s">
        <v>146</v>
      </c>
      <c r="E163" s="168" t="s">
        <v>30</v>
      </c>
      <c r="G163" s="324" t="str">
        <f t="shared" ref="G163:G164" si="240">G3:H3</f>
        <v>癸</v>
      </c>
      <c r="I163" s="275" t="str">
        <f t="shared" ref="I163:I164" si="241">I33:J33</f>
        <v>丙</v>
      </c>
      <c r="K163" s="90">
        <f>L163/L164</f>
        <v>0.745</v>
      </c>
      <c r="L163" s="126">
        <f t="shared" ref="L163:L164" si="242">O163+P163+Q163+U163+V163+W163+X163+R163+M163+N163+S163+T163</f>
        <v>745</v>
      </c>
      <c r="M163" s="92">
        <v>0.0</v>
      </c>
      <c r="N163" s="93">
        <v>0.0</v>
      </c>
      <c r="O163" s="92">
        <v>60.0</v>
      </c>
      <c r="P163" s="92">
        <v>90.0</v>
      </c>
      <c r="Q163" s="92">
        <v>90.0</v>
      </c>
      <c r="R163" s="93">
        <v>10.0</v>
      </c>
      <c r="S163" s="92">
        <v>110.0</v>
      </c>
      <c r="T163" s="93">
        <v>110.0</v>
      </c>
      <c r="U163" s="92">
        <f t="shared" ref="U163:V163" si="238">U39</f>
        <v>65</v>
      </c>
      <c r="V163" s="93">
        <f t="shared" si="238"/>
        <v>40</v>
      </c>
      <c r="W163" s="92">
        <f t="shared" ref="W163:X163" si="239">W33</f>
        <v>110</v>
      </c>
      <c r="X163" s="93">
        <f t="shared" si="239"/>
        <v>60</v>
      </c>
      <c r="Y163" s="73" t="s">
        <v>80</v>
      </c>
      <c r="Z163" s="94" t="s">
        <v>81</v>
      </c>
      <c r="AA163" s="36"/>
      <c r="AB163" s="169"/>
      <c r="AC163" s="204" t="s">
        <v>82</v>
      </c>
      <c r="AD163" s="96" t="s">
        <v>83</v>
      </c>
      <c r="AE163" s="37"/>
      <c r="AF163" s="97"/>
      <c r="AG163" s="12" t="s">
        <v>76</v>
      </c>
      <c r="AH163" s="12">
        <v>240.0</v>
      </c>
      <c r="AI163" s="12" t="s">
        <v>77</v>
      </c>
      <c r="AJ163" s="98" t="s">
        <v>51</v>
      </c>
      <c r="AK163" s="101" t="s">
        <v>95</v>
      </c>
      <c r="AL163" s="100" t="s">
        <v>86</v>
      </c>
      <c r="AM163" s="99" t="s">
        <v>87</v>
      </c>
      <c r="AN163" s="100" t="s">
        <v>88</v>
      </c>
      <c r="AO163" s="101" t="s">
        <v>89</v>
      </c>
      <c r="AP163" s="100" t="s">
        <v>45</v>
      </c>
      <c r="AQ163" s="102" t="s">
        <v>90</v>
      </c>
      <c r="AR163" s="100" t="s">
        <v>43</v>
      </c>
      <c r="AS163" s="101" t="s">
        <v>91</v>
      </c>
      <c r="AT163" s="100" t="s">
        <v>41</v>
      </c>
      <c r="AU163" s="103" t="s">
        <v>92</v>
      </c>
      <c r="AV163" s="100" t="s">
        <v>39</v>
      </c>
      <c r="AW163" s="99" t="s">
        <v>93</v>
      </c>
      <c r="AX163" s="100" t="s">
        <v>37</v>
      </c>
      <c r="AY163" s="99" t="s">
        <v>94</v>
      </c>
      <c r="AZ163" s="24"/>
    </row>
    <row r="164">
      <c r="A164" s="215" t="str">
        <f>G2</f>
        <v>พฤษภาคม</v>
      </c>
      <c r="B164" s="193"/>
      <c r="C164" s="161" t="s">
        <v>162</v>
      </c>
      <c r="E164" s="107" t="s">
        <v>97</v>
      </c>
      <c r="G164" s="223" t="str">
        <f t="shared" si="240"/>
        <v>巳</v>
      </c>
      <c r="I164" s="142" t="str">
        <f t="shared" si="241"/>
        <v>午</v>
      </c>
      <c r="K164" s="36"/>
      <c r="L164" s="109">
        <f t="shared" si="242"/>
        <v>1000</v>
      </c>
      <c r="M164" s="9">
        <v>0.0</v>
      </c>
      <c r="N164" s="110">
        <v>0.0</v>
      </c>
      <c r="O164" s="9">
        <v>100.0</v>
      </c>
      <c r="P164" s="9">
        <v>100.0</v>
      </c>
      <c r="Q164" s="9">
        <v>100.0</v>
      </c>
      <c r="R164" s="110">
        <v>100.0</v>
      </c>
      <c r="S164" s="9">
        <v>100.0</v>
      </c>
      <c r="T164" s="110">
        <v>100.0</v>
      </c>
      <c r="U164" s="9">
        <v>100.0</v>
      </c>
      <c r="V164" s="110">
        <v>100.0</v>
      </c>
      <c r="W164" s="9">
        <v>100.0</v>
      </c>
      <c r="X164" s="110">
        <v>100.0</v>
      </c>
      <c r="Y164" s="73" t="s">
        <v>98</v>
      </c>
      <c r="Z164" s="94" t="s">
        <v>99</v>
      </c>
      <c r="AA164" s="36"/>
      <c r="AB164" s="36"/>
      <c r="AC164" s="111"/>
      <c r="AD164" s="112"/>
      <c r="AE164" s="37"/>
      <c r="AF164" s="97"/>
      <c r="AG164" s="14"/>
      <c r="AH164" s="14"/>
      <c r="AI164" s="14"/>
      <c r="AJ164" s="113"/>
      <c r="AK164" s="105" t="s">
        <v>107</v>
      </c>
      <c r="AM164" s="104" t="s">
        <v>100</v>
      </c>
      <c r="AO164" s="114" t="s">
        <v>101</v>
      </c>
      <c r="AQ164" s="105" t="s">
        <v>102</v>
      </c>
      <c r="AS164" s="105" t="s">
        <v>103</v>
      </c>
      <c r="AU164" s="104" t="s">
        <v>104</v>
      </c>
      <c r="AW164" s="104" t="s">
        <v>105</v>
      </c>
      <c r="AY164" s="104" t="s">
        <v>106</v>
      </c>
      <c r="AZ164" s="24"/>
    </row>
    <row r="165">
      <c r="A165" s="192">
        <v>2569.0</v>
      </c>
      <c r="B165" s="193"/>
      <c r="E165" s="115" t="s">
        <v>110</v>
      </c>
      <c r="F165" s="116" t="s">
        <v>126</v>
      </c>
      <c r="G165" s="115" t="str">
        <f t="shared" ref="G165:H165" si="243">G41</f>
        <v>A11</v>
      </c>
      <c r="H165" s="9" t="str">
        <f t="shared" si="243"/>
        <v>B10</v>
      </c>
      <c r="I165" s="9" t="str">
        <f t="shared" ref="I165:J165" si="244">I35</f>
        <v>A5</v>
      </c>
      <c r="J165" s="9" t="str">
        <f t="shared" si="244"/>
        <v>B11</v>
      </c>
      <c r="K165" s="36"/>
      <c r="L165" s="117"/>
      <c r="M165" s="118" t="str">
        <f t="shared" ref="M165:P165" si="245">C165</f>
        <v/>
      </c>
      <c r="N165" s="119" t="str">
        <f t="shared" si="245"/>
        <v/>
      </c>
      <c r="O165" s="118" t="str">
        <f t="shared" si="245"/>
        <v>A11</v>
      </c>
      <c r="P165" s="118" t="str">
        <f t="shared" si="245"/>
        <v>B6</v>
      </c>
      <c r="Q165" s="118" t="str">
        <f t="shared" ref="Q165:R165" si="246">E166</f>
        <v>B6</v>
      </c>
      <c r="R165" s="119" t="str">
        <f t="shared" si="246"/>
        <v>C7</v>
      </c>
      <c r="S165" s="9" t="s">
        <v>204</v>
      </c>
      <c r="T165" s="110" t="s">
        <v>204</v>
      </c>
      <c r="U165" s="9" t="str">
        <f t="shared" ref="U165:X165" si="247">G165</f>
        <v>A11</v>
      </c>
      <c r="V165" s="119" t="str">
        <f t="shared" si="247"/>
        <v>B10</v>
      </c>
      <c r="W165" s="118" t="str">
        <f t="shared" si="247"/>
        <v>A5</v>
      </c>
      <c r="X165" s="120" t="str">
        <f t="shared" si="247"/>
        <v>B11</v>
      </c>
      <c r="Y165" s="73" t="s">
        <v>116</v>
      </c>
      <c r="Z165" s="94" t="s">
        <v>117</v>
      </c>
      <c r="AA165" s="36"/>
      <c r="AB165" s="29" t="s">
        <v>338</v>
      </c>
      <c r="AC165" s="111"/>
      <c r="AD165" s="112"/>
      <c r="AE165" s="37"/>
      <c r="AF165" s="97"/>
      <c r="AG165" s="14"/>
      <c r="AH165" s="14"/>
      <c r="AI165" s="14"/>
      <c r="AJ165" s="113"/>
      <c r="AK165" s="105" t="s">
        <v>125</v>
      </c>
      <c r="AM165" s="104" t="s">
        <v>118</v>
      </c>
      <c r="AO165" s="114" t="s">
        <v>119</v>
      </c>
      <c r="AQ165" s="105" t="s">
        <v>120</v>
      </c>
      <c r="AS165" s="105" t="s">
        <v>121</v>
      </c>
      <c r="AU165" s="104" t="s">
        <v>122</v>
      </c>
      <c r="AW165" s="104" t="s">
        <v>123</v>
      </c>
      <c r="AY165" s="104" t="s">
        <v>124</v>
      </c>
      <c r="AZ165" s="24"/>
    </row>
    <row r="166">
      <c r="A166" s="192">
        <f>A165-543</f>
        <v>2026</v>
      </c>
      <c r="B166" s="193"/>
      <c r="C166" s="12"/>
      <c r="E166" s="115" t="s">
        <v>126</v>
      </c>
      <c r="F166" s="116" t="s">
        <v>220</v>
      </c>
      <c r="G166" s="115"/>
      <c r="H166" s="118"/>
      <c r="I166" s="118"/>
      <c r="J166" s="118"/>
      <c r="K166" s="36"/>
      <c r="L166" s="117"/>
      <c r="M166" s="326"/>
      <c r="N166" s="327"/>
      <c r="R166" s="117"/>
      <c r="T166" s="117"/>
      <c r="V166" s="117"/>
      <c r="X166" s="117"/>
      <c r="Y166" s="73" t="s">
        <v>126</v>
      </c>
      <c r="Z166" s="94" t="s">
        <v>128</v>
      </c>
      <c r="AA166" s="36"/>
      <c r="AB166" s="36"/>
      <c r="AC166" s="111"/>
      <c r="AD166" s="112"/>
      <c r="AE166" s="37"/>
      <c r="AF166" s="97"/>
      <c r="AG166" s="14"/>
      <c r="AH166" s="14"/>
      <c r="AI166" s="14"/>
      <c r="AJ166" s="113"/>
      <c r="AK166" s="105" t="s">
        <v>136</v>
      </c>
      <c r="AM166" s="104" t="s">
        <v>129</v>
      </c>
      <c r="AO166" s="114" t="s">
        <v>130</v>
      </c>
      <c r="AQ166" s="105" t="s">
        <v>131</v>
      </c>
      <c r="AS166" s="105" t="s">
        <v>132</v>
      </c>
      <c r="AU166" s="104" t="s">
        <v>133</v>
      </c>
      <c r="AW166" s="104" t="s">
        <v>134</v>
      </c>
      <c r="AY166" s="104" t="s">
        <v>135</v>
      </c>
      <c r="AZ166" s="24"/>
    </row>
    <row r="167">
      <c r="A167" s="310"/>
      <c r="B167" s="206"/>
      <c r="C167" s="1"/>
      <c r="D167" s="123"/>
      <c r="E167" s="176" t="s">
        <v>137</v>
      </c>
      <c r="F167" s="88"/>
      <c r="G167" s="207" t="str">
        <f>G5:H5</f>
        <v>อสูรเดือน E</v>
      </c>
      <c r="I167" s="208" t="str">
        <f>I5:J5</f>
        <v>อสูรปี N</v>
      </c>
      <c r="K167" s="36"/>
      <c r="L167" s="117"/>
      <c r="M167" s="326"/>
      <c r="N167" s="327"/>
      <c r="R167" s="117"/>
      <c r="T167" s="117"/>
      <c r="V167" s="117"/>
      <c r="X167" s="117"/>
      <c r="Y167" s="127"/>
      <c r="Z167" s="155"/>
      <c r="AA167" s="36"/>
      <c r="AB167" s="36"/>
      <c r="AC167" s="111"/>
      <c r="AD167" s="112"/>
      <c r="AE167" s="37"/>
      <c r="AF167" s="97"/>
      <c r="AG167" s="14"/>
      <c r="AH167" s="14"/>
      <c r="AI167" s="14"/>
      <c r="AJ167" s="113"/>
      <c r="AK167" s="128"/>
      <c r="AZ167" s="24"/>
    </row>
    <row r="168">
      <c r="A168" s="188" t="s">
        <v>191</v>
      </c>
      <c r="B168" s="189"/>
      <c r="C168" s="63"/>
      <c r="D168" s="63"/>
      <c r="E168" s="64">
        <f>(O169+P169+Q169+R169)/(O170+P170+Q170+R170)</f>
        <v>0.4006410256</v>
      </c>
      <c r="F168" s="65"/>
      <c r="G168" s="133"/>
      <c r="H168" s="72"/>
      <c r="I168" s="67"/>
      <c r="J168" s="72"/>
      <c r="K168" s="68"/>
      <c r="L168" s="69"/>
      <c r="M168" s="63" t="s">
        <v>64</v>
      </c>
      <c r="N168" s="70"/>
      <c r="O168" s="71" t="s">
        <v>65</v>
      </c>
      <c r="P168" s="72"/>
      <c r="Q168" s="72"/>
      <c r="R168" s="70"/>
      <c r="S168" s="71" t="s">
        <v>66</v>
      </c>
      <c r="T168" s="70"/>
      <c r="U168" s="71" t="s">
        <v>67</v>
      </c>
      <c r="V168" s="70"/>
      <c r="W168" s="71" t="s">
        <v>68</v>
      </c>
      <c r="X168" s="70"/>
      <c r="Y168" s="134" t="s">
        <v>116</v>
      </c>
      <c r="Z168" s="74" t="s">
        <v>140</v>
      </c>
      <c r="AA168" s="75" t="s">
        <v>71</v>
      </c>
      <c r="AB168" s="75" t="s">
        <v>72</v>
      </c>
      <c r="AC168" s="167" t="s">
        <v>173</v>
      </c>
      <c r="AD168" s="74" t="s">
        <v>174</v>
      </c>
      <c r="AE168" s="63" t="s">
        <v>36</v>
      </c>
      <c r="AF168" s="78" t="s">
        <v>144</v>
      </c>
      <c r="AG168" s="79" t="s">
        <v>53</v>
      </c>
      <c r="AH168" s="79">
        <v>30.0</v>
      </c>
      <c r="AI168" s="79" t="s">
        <v>178</v>
      </c>
      <c r="AJ168" s="80" t="str">
        <f>AJ162</f>
        <v>開</v>
      </c>
      <c r="AK168" s="81" t="s">
        <v>40</v>
      </c>
      <c r="AL168" s="82" t="str">
        <f>AL162</f>
        <v>休</v>
      </c>
      <c r="AM168" s="81" t="s">
        <v>42</v>
      </c>
      <c r="AN168" s="82" t="s">
        <v>4</v>
      </c>
      <c r="AO168" s="81" t="s">
        <v>44</v>
      </c>
      <c r="AP168" s="82" t="str">
        <f>AP162</f>
        <v>傷</v>
      </c>
      <c r="AQ168" s="81" t="s">
        <v>46</v>
      </c>
      <c r="AR168" s="82" t="s">
        <v>8</v>
      </c>
      <c r="AS168" s="81" t="s">
        <v>48</v>
      </c>
      <c r="AT168" s="82" t="str">
        <f>AT162</f>
        <v>景</v>
      </c>
      <c r="AU168" s="81" t="s">
        <v>50</v>
      </c>
      <c r="AV168" s="82" t="str">
        <f>AV162</f>
        <v>死</v>
      </c>
      <c r="AW168" s="81" t="s">
        <v>52</v>
      </c>
      <c r="AX168" s="82" t="str">
        <f>AX162</f>
        <v>驚</v>
      </c>
      <c r="AY168" s="81" t="s">
        <v>38</v>
      </c>
      <c r="AZ168" s="83"/>
      <c r="BA168" s="84"/>
      <c r="BB168" s="84"/>
      <c r="BC168" s="84"/>
    </row>
    <row r="169">
      <c r="A169" s="192">
        <f>A163+1</f>
        <v>26</v>
      </c>
      <c r="B169" s="193"/>
      <c r="C169" s="12" t="s">
        <v>78</v>
      </c>
      <c r="E169" s="194" t="s">
        <v>195</v>
      </c>
      <c r="G169" s="324" t="str">
        <f t="shared" ref="G169:G170" si="250">G3:H3</f>
        <v>癸</v>
      </c>
      <c r="I169" s="275" t="str">
        <f t="shared" ref="I169:I170" si="251">I33:J33</f>
        <v>丙</v>
      </c>
      <c r="K169" s="90">
        <f>L169/L170</f>
        <v>0.6195175439</v>
      </c>
      <c r="L169" s="126">
        <f>O169+P169+Q169+U169+V169+W169+X169+R169+M169+N169+S169+T169</f>
        <v>565</v>
      </c>
      <c r="M169" s="92">
        <v>0.0</v>
      </c>
      <c r="N169" s="93">
        <v>0.0</v>
      </c>
      <c r="O169" s="92">
        <v>5.0</v>
      </c>
      <c r="P169" s="92">
        <v>0.0</v>
      </c>
      <c r="Q169" s="92">
        <v>100.0</v>
      </c>
      <c r="R169" s="93">
        <v>20.0</v>
      </c>
      <c r="S169" s="92">
        <v>90.0</v>
      </c>
      <c r="T169" s="93">
        <v>75.0</v>
      </c>
      <c r="U169" s="92">
        <f t="shared" ref="U169:V169" si="248">U39</f>
        <v>65</v>
      </c>
      <c r="V169" s="93">
        <f t="shared" si="248"/>
        <v>40</v>
      </c>
      <c r="W169" s="92">
        <f t="shared" ref="W169:X169" si="249">W33</f>
        <v>110</v>
      </c>
      <c r="X169" s="93">
        <f t="shared" si="249"/>
        <v>60</v>
      </c>
      <c r="Y169" s="73" t="s">
        <v>126</v>
      </c>
      <c r="Z169" s="94" t="s">
        <v>70</v>
      </c>
      <c r="AA169" s="276" t="s">
        <v>53</v>
      </c>
      <c r="AB169" s="277" t="s">
        <v>245</v>
      </c>
      <c r="AC169" s="170" t="s">
        <v>73</v>
      </c>
      <c r="AD169" s="94" t="s">
        <v>74</v>
      </c>
      <c r="AE169" s="37"/>
      <c r="AF169" s="97"/>
      <c r="AG169" s="12" t="s">
        <v>71</v>
      </c>
      <c r="AH169" s="12">
        <v>210.0</v>
      </c>
      <c r="AI169" s="12" t="s">
        <v>175</v>
      </c>
      <c r="AJ169" s="98" t="s">
        <v>37</v>
      </c>
      <c r="AK169" s="99" t="s">
        <v>94</v>
      </c>
      <c r="AL169" s="100" t="s">
        <v>51</v>
      </c>
      <c r="AM169" s="101" t="s">
        <v>95</v>
      </c>
      <c r="AN169" s="100" t="s">
        <v>86</v>
      </c>
      <c r="AO169" s="99" t="s">
        <v>87</v>
      </c>
      <c r="AP169" s="100" t="s">
        <v>88</v>
      </c>
      <c r="AQ169" s="101" t="s">
        <v>89</v>
      </c>
      <c r="AR169" s="100" t="s">
        <v>45</v>
      </c>
      <c r="AS169" s="102" t="s">
        <v>90</v>
      </c>
      <c r="AT169" s="100" t="s">
        <v>43</v>
      </c>
      <c r="AU169" s="101" t="s">
        <v>91</v>
      </c>
      <c r="AV169" s="100" t="s">
        <v>41</v>
      </c>
      <c r="AW169" s="103" t="s">
        <v>92</v>
      </c>
      <c r="AX169" s="100" t="s">
        <v>39</v>
      </c>
      <c r="AY169" s="99" t="s">
        <v>93</v>
      </c>
      <c r="AZ169" s="24"/>
    </row>
    <row r="170">
      <c r="A170" s="215" t="str">
        <f>G2</f>
        <v>พฤษภาคม</v>
      </c>
      <c r="B170" s="193"/>
      <c r="C170" s="140" t="s">
        <v>179</v>
      </c>
      <c r="E170" s="107" t="s">
        <v>84</v>
      </c>
      <c r="G170" s="223" t="str">
        <f t="shared" si="250"/>
        <v>巳</v>
      </c>
      <c r="I170" s="142" t="str">
        <f t="shared" si="251"/>
        <v>午</v>
      </c>
      <c r="K170" s="36"/>
      <c r="L170" s="109">
        <f>O170+P170+Q170+U170+V170+W170+X170+R170+M170+N170+S170+V170</f>
        <v>912</v>
      </c>
      <c r="M170" s="9">
        <v>0.0</v>
      </c>
      <c r="N170" s="110">
        <v>0.0</v>
      </c>
      <c r="O170" s="9">
        <v>100.0</v>
      </c>
      <c r="P170" s="9">
        <v>100.0</v>
      </c>
      <c r="Q170" s="9">
        <v>100.0</v>
      </c>
      <c r="R170" s="110">
        <v>12.0</v>
      </c>
      <c r="S170" s="9">
        <v>100.0</v>
      </c>
      <c r="T170" s="110">
        <v>100.0</v>
      </c>
      <c r="U170" s="9">
        <v>100.0</v>
      </c>
      <c r="V170" s="110">
        <v>100.0</v>
      </c>
      <c r="W170" s="9">
        <v>100.0</v>
      </c>
      <c r="X170" s="110">
        <v>100.0</v>
      </c>
      <c r="Y170" s="73" t="s">
        <v>69</v>
      </c>
      <c r="Z170" s="94" t="s">
        <v>152</v>
      </c>
      <c r="AA170" s="36"/>
      <c r="AB170" s="36"/>
      <c r="AC170" s="111"/>
      <c r="AD170" s="112"/>
      <c r="AE170" s="37"/>
      <c r="AF170" s="97"/>
      <c r="AG170" s="14"/>
      <c r="AH170" s="14"/>
      <c r="AI170" s="14"/>
      <c r="AJ170" s="113"/>
      <c r="AK170" s="104" t="s">
        <v>106</v>
      </c>
      <c r="AM170" s="105" t="s">
        <v>107</v>
      </c>
      <c r="AO170" s="104" t="s">
        <v>100</v>
      </c>
      <c r="AQ170" s="114" t="s">
        <v>101</v>
      </c>
      <c r="AS170" s="105" t="s">
        <v>102</v>
      </c>
      <c r="AU170" s="105" t="s">
        <v>103</v>
      </c>
      <c r="AW170" s="104" t="s">
        <v>104</v>
      </c>
      <c r="AY170" s="104" t="s">
        <v>105</v>
      </c>
      <c r="AZ170" s="24"/>
    </row>
    <row r="171">
      <c r="A171" s="192">
        <v>2569.0</v>
      </c>
      <c r="B171" s="193"/>
      <c r="E171" s="115" t="s">
        <v>108</v>
      </c>
      <c r="F171" s="116" t="s">
        <v>111</v>
      </c>
      <c r="G171" s="115" t="str">
        <f t="shared" ref="G171:H171" si="252">G41</f>
        <v>A11</v>
      </c>
      <c r="H171" s="9" t="str">
        <f t="shared" si="252"/>
        <v>B10</v>
      </c>
      <c r="I171" s="9" t="str">
        <f t="shared" ref="I171:J171" si="253">I35</f>
        <v>A5</v>
      </c>
      <c r="J171" s="9" t="str">
        <f t="shared" si="253"/>
        <v>B11</v>
      </c>
      <c r="K171" s="36"/>
      <c r="L171" s="117"/>
      <c r="M171" s="118" t="str">
        <f t="shared" ref="M171:P171" si="254">C171</f>
        <v/>
      </c>
      <c r="N171" s="119" t="str">
        <f t="shared" si="254"/>
        <v/>
      </c>
      <c r="O171" s="118" t="str">
        <f t="shared" si="254"/>
        <v>A8</v>
      </c>
      <c r="P171" s="118" t="str">
        <f t="shared" si="254"/>
        <v>B7</v>
      </c>
      <c r="Q171" s="118" t="str">
        <f t="shared" ref="Q171:R171" si="255">E172</f>
        <v>B5</v>
      </c>
      <c r="R171" s="119" t="str">
        <f t="shared" si="255"/>
        <v>C8</v>
      </c>
      <c r="S171" s="9" t="s">
        <v>213</v>
      </c>
      <c r="T171" s="110" t="s">
        <v>182</v>
      </c>
      <c r="U171" s="9" t="str">
        <f t="shared" ref="U171:X171" si="256">G171</f>
        <v>A11</v>
      </c>
      <c r="V171" s="119" t="str">
        <f t="shared" si="256"/>
        <v>B10</v>
      </c>
      <c r="W171" s="118" t="str">
        <f t="shared" si="256"/>
        <v>A5</v>
      </c>
      <c r="X171" s="120" t="str">
        <f t="shared" si="256"/>
        <v>B11</v>
      </c>
      <c r="Y171" s="73" t="s">
        <v>80</v>
      </c>
      <c r="Z171" s="94" t="s">
        <v>153</v>
      </c>
      <c r="AA171" s="36"/>
      <c r="AB171" s="36"/>
      <c r="AC171" s="111"/>
      <c r="AD171" s="112"/>
      <c r="AE171" s="37"/>
      <c r="AF171" s="97"/>
      <c r="AG171" s="14"/>
      <c r="AH171" s="14"/>
      <c r="AI171" s="14"/>
      <c r="AJ171" s="113"/>
      <c r="AK171" s="104" t="s">
        <v>124</v>
      </c>
      <c r="AM171" s="105" t="s">
        <v>125</v>
      </c>
      <c r="AO171" s="104" t="s">
        <v>118</v>
      </c>
      <c r="AQ171" s="114" t="s">
        <v>119</v>
      </c>
      <c r="AS171" s="105" t="s">
        <v>120</v>
      </c>
      <c r="AU171" s="105" t="s">
        <v>121</v>
      </c>
      <c r="AW171" s="104" t="s">
        <v>122</v>
      </c>
      <c r="AY171" s="104" t="s">
        <v>123</v>
      </c>
      <c r="AZ171" s="24"/>
    </row>
    <row r="172">
      <c r="A172" s="192">
        <f>A171-543</f>
        <v>2026</v>
      </c>
      <c r="B172" s="193"/>
      <c r="C172" s="163"/>
      <c r="E172" s="115" t="s">
        <v>116</v>
      </c>
      <c r="F172" s="116" t="s">
        <v>225</v>
      </c>
      <c r="G172" s="115"/>
      <c r="H172" s="118"/>
      <c r="I172" s="118"/>
      <c r="J172" s="118"/>
      <c r="K172" s="36"/>
      <c r="L172" s="117"/>
      <c r="M172" s="326"/>
      <c r="N172" s="327"/>
      <c r="R172" s="117"/>
      <c r="T172" s="117"/>
      <c r="V172" s="117"/>
      <c r="X172" s="117"/>
      <c r="Y172" s="73" t="s">
        <v>98</v>
      </c>
      <c r="Z172" s="94" t="s">
        <v>155</v>
      </c>
      <c r="AA172" s="36"/>
      <c r="AB172" s="36"/>
      <c r="AC172" s="111"/>
      <c r="AD172" s="112"/>
      <c r="AE172" s="37"/>
      <c r="AF172" s="97"/>
      <c r="AG172" s="14"/>
      <c r="AH172" s="14"/>
      <c r="AI172" s="14"/>
      <c r="AJ172" s="113"/>
      <c r="AK172" s="104" t="s">
        <v>135</v>
      </c>
      <c r="AM172" s="105" t="s">
        <v>136</v>
      </c>
      <c r="AO172" s="104" t="s">
        <v>129</v>
      </c>
      <c r="AQ172" s="114" t="s">
        <v>130</v>
      </c>
      <c r="AS172" s="105" t="s">
        <v>131</v>
      </c>
      <c r="AU172" s="105" t="s">
        <v>132</v>
      </c>
      <c r="AW172" s="104" t="s">
        <v>133</v>
      </c>
      <c r="AY172" s="104" t="s">
        <v>134</v>
      </c>
      <c r="AZ172" s="24"/>
    </row>
    <row r="173">
      <c r="A173" s="318"/>
      <c r="B173" s="206"/>
      <c r="C173" s="1"/>
      <c r="D173" s="123"/>
      <c r="E173" s="176" t="s">
        <v>157</v>
      </c>
      <c r="F173" s="88"/>
      <c r="G173" s="207" t="str">
        <f>G5:H5</f>
        <v>อสูรเดือน E</v>
      </c>
      <c r="I173" s="208" t="str">
        <f>I5:J5</f>
        <v>อสูรปี N</v>
      </c>
      <c r="K173" s="36"/>
      <c r="L173" s="117"/>
      <c r="M173" s="326"/>
      <c r="N173" s="327"/>
      <c r="R173" s="117"/>
      <c r="T173" s="117"/>
      <c r="V173" s="117"/>
      <c r="X173" s="117"/>
      <c r="Y173" s="233"/>
      <c r="Z173" s="234"/>
      <c r="AA173" s="36"/>
      <c r="AB173" s="36"/>
      <c r="AC173" s="111"/>
      <c r="AD173" s="112"/>
      <c r="AE173" s="37"/>
      <c r="AF173" s="97"/>
      <c r="AG173" s="14"/>
      <c r="AH173" s="14"/>
      <c r="AI173" s="14"/>
      <c r="AJ173" s="113"/>
      <c r="AU173" s="128"/>
      <c r="AZ173" s="24"/>
    </row>
    <row r="174">
      <c r="A174" s="188" t="s">
        <v>199</v>
      </c>
      <c r="B174" s="189"/>
      <c r="C174" s="63"/>
      <c r="D174" s="63"/>
      <c r="E174" s="216">
        <f>(O175+P175+Q175+R175)/(O176+P176+Q176+R176)</f>
        <v>0.7</v>
      </c>
      <c r="F174" s="65"/>
      <c r="G174" s="133"/>
      <c r="H174" s="72"/>
      <c r="I174" s="67"/>
      <c r="J174" s="72"/>
      <c r="K174" s="68"/>
      <c r="L174" s="69"/>
      <c r="M174" s="63" t="s">
        <v>64</v>
      </c>
      <c r="N174" s="70"/>
      <c r="O174" s="71" t="s">
        <v>65</v>
      </c>
      <c r="P174" s="72"/>
      <c r="Q174" s="72"/>
      <c r="R174" s="70"/>
      <c r="S174" s="71" t="s">
        <v>66</v>
      </c>
      <c r="T174" s="70"/>
      <c r="U174" s="71" t="s">
        <v>67</v>
      </c>
      <c r="V174" s="70"/>
      <c r="W174" s="71" t="s">
        <v>68</v>
      </c>
      <c r="X174" s="70"/>
      <c r="Y174" s="134" t="s">
        <v>116</v>
      </c>
      <c r="Z174" s="74" t="s">
        <v>159</v>
      </c>
      <c r="AA174" s="75" t="s">
        <v>171</v>
      </c>
      <c r="AB174" s="75" t="s">
        <v>172</v>
      </c>
      <c r="AC174" s="167" t="s">
        <v>173</v>
      </c>
      <c r="AD174" s="74" t="s">
        <v>174</v>
      </c>
      <c r="AE174" s="63" t="s">
        <v>36</v>
      </c>
      <c r="AF174" s="78" t="s">
        <v>36</v>
      </c>
      <c r="AG174" s="79" t="s">
        <v>180</v>
      </c>
      <c r="AH174" s="79">
        <v>60.0</v>
      </c>
      <c r="AI174" s="79" t="s">
        <v>200</v>
      </c>
      <c r="AJ174" s="80" t="str">
        <f>AJ168</f>
        <v>開</v>
      </c>
      <c r="AK174" s="81" t="s">
        <v>50</v>
      </c>
      <c r="AL174" s="82" t="str">
        <f>AL168</f>
        <v>休</v>
      </c>
      <c r="AM174" s="81" t="s">
        <v>52</v>
      </c>
      <c r="AN174" s="82" t="s">
        <v>4</v>
      </c>
      <c r="AO174" s="81" t="s">
        <v>38</v>
      </c>
      <c r="AP174" s="82" t="str">
        <f>AP168</f>
        <v>傷</v>
      </c>
      <c r="AQ174" s="81" t="s">
        <v>40</v>
      </c>
      <c r="AR174" s="82" t="s">
        <v>8</v>
      </c>
      <c r="AS174" s="81" t="s">
        <v>42</v>
      </c>
      <c r="AT174" s="82" t="str">
        <f>AT168</f>
        <v>景</v>
      </c>
      <c r="AU174" s="81" t="s">
        <v>44</v>
      </c>
      <c r="AV174" s="82" t="str">
        <f>AV168</f>
        <v>死</v>
      </c>
      <c r="AW174" s="81" t="s">
        <v>46</v>
      </c>
      <c r="AX174" s="82" t="str">
        <f>AX168</f>
        <v>驚</v>
      </c>
      <c r="AY174" s="81" t="s">
        <v>48</v>
      </c>
      <c r="AZ174" s="83"/>
      <c r="BA174" s="84"/>
      <c r="BB174" s="84"/>
      <c r="BC174" s="84"/>
    </row>
    <row r="175">
      <c r="A175" s="192">
        <f>A169+1</f>
        <v>27</v>
      </c>
      <c r="B175" s="193"/>
      <c r="C175" s="338" t="s">
        <v>298</v>
      </c>
      <c r="E175" s="199" t="s">
        <v>201</v>
      </c>
      <c r="G175" s="324" t="str">
        <f t="shared" ref="G175:G176" si="259">G3:H3</f>
        <v>癸</v>
      </c>
      <c r="I175" s="275" t="str">
        <f t="shared" ref="I175:I176" si="260">I33:J33</f>
        <v>丙</v>
      </c>
      <c r="K175" s="90">
        <f>L175/L176</f>
        <v>0.65</v>
      </c>
      <c r="L175" s="126">
        <f t="shared" ref="L175:L176" si="261">O175+P175+Q175+U175+V175+W175+X175+R175+M175+N175+S175+T175</f>
        <v>650</v>
      </c>
      <c r="M175" s="92">
        <v>0.0</v>
      </c>
      <c r="N175" s="93">
        <v>0.0</v>
      </c>
      <c r="O175" s="92">
        <v>70.0</v>
      </c>
      <c r="P175" s="92">
        <v>80.0</v>
      </c>
      <c r="Q175" s="92">
        <v>30.0</v>
      </c>
      <c r="R175" s="93">
        <v>100.0</v>
      </c>
      <c r="S175" s="92">
        <v>85.0</v>
      </c>
      <c r="T175" s="93">
        <v>10.0</v>
      </c>
      <c r="U175" s="92">
        <f t="shared" ref="U175:V175" si="257">U39</f>
        <v>65</v>
      </c>
      <c r="V175" s="93">
        <f t="shared" si="257"/>
        <v>40</v>
      </c>
      <c r="W175" s="92">
        <f t="shared" ref="W175:X175" si="258">W33</f>
        <v>110</v>
      </c>
      <c r="X175" s="93">
        <f t="shared" si="258"/>
        <v>60</v>
      </c>
      <c r="Y175" s="73" t="s">
        <v>126</v>
      </c>
      <c r="Z175" s="94" t="s">
        <v>152</v>
      </c>
      <c r="AA175" s="36"/>
      <c r="AB175" s="169" t="s">
        <v>177</v>
      </c>
      <c r="AC175" s="170" t="s">
        <v>73</v>
      </c>
      <c r="AD175" s="94" t="s">
        <v>74</v>
      </c>
      <c r="AE175" s="37"/>
      <c r="AF175" s="97"/>
      <c r="AG175" s="12" t="s">
        <v>202</v>
      </c>
      <c r="AH175" s="12">
        <v>180.0</v>
      </c>
      <c r="AI175" s="12" t="s">
        <v>203</v>
      </c>
      <c r="AJ175" s="98" t="s">
        <v>39</v>
      </c>
      <c r="AK175" s="99" t="s">
        <v>93</v>
      </c>
      <c r="AL175" s="100" t="s">
        <v>37</v>
      </c>
      <c r="AM175" s="99" t="s">
        <v>94</v>
      </c>
      <c r="AN175" s="100" t="s">
        <v>51</v>
      </c>
      <c r="AO175" s="101" t="s">
        <v>95</v>
      </c>
      <c r="AP175" s="100" t="s">
        <v>86</v>
      </c>
      <c r="AQ175" s="99" t="s">
        <v>87</v>
      </c>
      <c r="AR175" s="100" t="s">
        <v>88</v>
      </c>
      <c r="AS175" s="101" t="s">
        <v>89</v>
      </c>
      <c r="AT175" s="100" t="s">
        <v>45</v>
      </c>
      <c r="AU175" s="102" t="s">
        <v>90</v>
      </c>
      <c r="AV175" s="100" t="s">
        <v>43</v>
      </c>
      <c r="AW175" s="101" t="s">
        <v>91</v>
      </c>
      <c r="AX175" s="100" t="s">
        <v>41</v>
      </c>
      <c r="AY175" s="103" t="s">
        <v>92</v>
      </c>
      <c r="AZ175" s="24"/>
    </row>
    <row r="176">
      <c r="A176" s="215" t="str">
        <f>G2</f>
        <v>พฤษภาคม</v>
      </c>
      <c r="B176" s="193"/>
      <c r="C176" s="175" t="s">
        <v>188</v>
      </c>
      <c r="E176" s="162" t="s">
        <v>53</v>
      </c>
      <c r="G176" s="223" t="str">
        <f t="shared" si="259"/>
        <v>巳</v>
      </c>
      <c r="I176" s="35" t="str">
        <f t="shared" si="260"/>
        <v>午</v>
      </c>
      <c r="K176" s="36"/>
      <c r="L176" s="109">
        <f t="shared" si="261"/>
        <v>1000</v>
      </c>
      <c r="M176" s="9">
        <v>0.0</v>
      </c>
      <c r="N176" s="110">
        <v>0.0</v>
      </c>
      <c r="O176" s="9">
        <v>100.0</v>
      </c>
      <c r="P176" s="9">
        <v>100.0</v>
      </c>
      <c r="Q176" s="9">
        <v>100.0</v>
      </c>
      <c r="R176" s="110">
        <v>100.0</v>
      </c>
      <c r="S176" s="9">
        <v>100.0</v>
      </c>
      <c r="T176" s="110">
        <v>100.0</v>
      </c>
      <c r="U176" s="9">
        <v>100.0</v>
      </c>
      <c r="V176" s="110">
        <v>100.0</v>
      </c>
      <c r="W176" s="9">
        <v>100.0</v>
      </c>
      <c r="X176" s="110">
        <v>100.0</v>
      </c>
      <c r="Y176" s="73" t="s">
        <v>69</v>
      </c>
      <c r="Z176" s="94" t="s">
        <v>163</v>
      </c>
      <c r="AA176" s="36"/>
      <c r="AB176" s="36"/>
      <c r="AC176" s="111"/>
      <c r="AD176" s="112"/>
      <c r="AE176" s="37"/>
      <c r="AF176" s="97"/>
      <c r="AG176" s="14"/>
      <c r="AH176" s="14"/>
      <c r="AI176" s="14"/>
      <c r="AJ176" s="113"/>
      <c r="AK176" s="104" t="s">
        <v>105</v>
      </c>
      <c r="AM176" s="104" t="s">
        <v>106</v>
      </c>
      <c r="AO176" s="105" t="s">
        <v>107</v>
      </c>
      <c r="AQ176" s="104" t="s">
        <v>100</v>
      </c>
      <c r="AS176" s="114" t="s">
        <v>101</v>
      </c>
      <c r="AU176" s="105" t="s">
        <v>102</v>
      </c>
      <c r="AW176" s="105" t="s">
        <v>103</v>
      </c>
      <c r="AY176" s="104" t="s">
        <v>104</v>
      </c>
      <c r="AZ176" s="24"/>
    </row>
    <row r="177">
      <c r="A177" s="192">
        <v>2569.0</v>
      </c>
      <c r="B177" s="193"/>
      <c r="E177" s="115" t="s">
        <v>165</v>
      </c>
      <c r="F177" s="116" t="s">
        <v>69</v>
      </c>
      <c r="G177" s="115" t="str">
        <f t="shared" ref="G177:H177" si="262">G41</f>
        <v>A11</v>
      </c>
      <c r="H177" s="9" t="str">
        <f t="shared" si="262"/>
        <v>B10</v>
      </c>
      <c r="I177" s="9" t="str">
        <f t="shared" ref="I177:J177" si="263">I35</f>
        <v>A5</v>
      </c>
      <c r="J177" s="9" t="str">
        <f t="shared" si="263"/>
        <v>B11</v>
      </c>
      <c r="K177" s="36"/>
      <c r="L177" s="117"/>
      <c r="M177" s="118" t="str">
        <f t="shared" ref="M177:P177" si="264">C177</f>
        <v/>
      </c>
      <c r="N177" s="119" t="str">
        <f t="shared" si="264"/>
        <v/>
      </c>
      <c r="O177" s="118" t="str">
        <f t="shared" si="264"/>
        <v>A12</v>
      </c>
      <c r="P177" s="118" t="str">
        <f t="shared" si="264"/>
        <v>B8</v>
      </c>
      <c r="Q177" s="118" t="str">
        <f t="shared" ref="Q177:R177" si="265">E178</f>
        <v>B4</v>
      </c>
      <c r="R177" s="119" t="str">
        <f t="shared" si="265"/>
        <v>C9</v>
      </c>
      <c r="S177" s="9" t="s">
        <v>219</v>
      </c>
      <c r="T177" s="110" t="s">
        <v>108</v>
      </c>
      <c r="U177" s="9" t="str">
        <f t="shared" ref="U177:X177" si="266">G177</f>
        <v>A11</v>
      </c>
      <c r="V177" s="119" t="str">
        <f t="shared" si="266"/>
        <v>B10</v>
      </c>
      <c r="W177" s="118" t="str">
        <f t="shared" si="266"/>
        <v>A5</v>
      </c>
      <c r="X177" s="120" t="str">
        <f t="shared" si="266"/>
        <v>B11</v>
      </c>
      <c r="Y177" s="73" t="s">
        <v>80</v>
      </c>
      <c r="Z177" s="94" t="s">
        <v>117</v>
      </c>
      <c r="AA177" s="36"/>
      <c r="AB177" s="36"/>
      <c r="AC177" s="111"/>
      <c r="AD177" s="112"/>
      <c r="AE177" s="37"/>
      <c r="AF177" s="97"/>
      <c r="AG177" s="14"/>
      <c r="AH177" s="14"/>
      <c r="AI177" s="14"/>
      <c r="AJ177" s="113"/>
      <c r="AK177" s="104" t="s">
        <v>123</v>
      </c>
      <c r="AM177" s="104" t="s">
        <v>124</v>
      </c>
      <c r="AO177" s="105" t="s">
        <v>125</v>
      </c>
      <c r="AQ177" s="104" t="s">
        <v>118</v>
      </c>
      <c r="AS177" s="114" t="s">
        <v>119</v>
      </c>
      <c r="AU177" s="105" t="s">
        <v>120</v>
      </c>
      <c r="AW177" s="105" t="s">
        <v>121</v>
      </c>
      <c r="AY177" s="104" t="s">
        <v>122</v>
      </c>
      <c r="AZ177" s="24"/>
    </row>
    <row r="178">
      <c r="A178" s="192">
        <f>A177-543</f>
        <v>2026</v>
      </c>
      <c r="B178" s="193"/>
      <c r="E178" s="115" t="s">
        <v>109</v>
      </c>
      <c r="F178" s="116" t="s">
        <v>229</v>
      </c>
      <c r="G178" s="115"/>
      <c r="H178" s="118"/>
      <c r="I178" s="118"/>
      <c r="J178" s="118"/>
      <c r="K178" s="36"/>
      <c r="L178" s="117"/>
      <c r="M178" s="326"/>
      <c r="N178" s="327"/>
      <c r="R178" s="117"/>
      <c r="T178" s="117"/>
      <c r="V178" s="117"/>
      <c r="X178" s="117"/>
      <c r="Y178" s="73" t="s">
        <v>98</v>
      </c>
      <c r="Z178" s="94" t="s">
        <v>128</v>
      </c>
      <c r="AA178" s="36"/>
      <c r="AB178" s="36"/>
      <c r="AC178" s="111"/>
      <c r="AD178" s="112"/>
      <c r="AE178" s="37"/>
      <c r="AF178" s="97"/>
      <c r="AG178" s="14"/>
      <c r="AH178" s="14"/>
      <c r="AI178" s="14"/>
      <c r="AJ178" s="113"/>
      <c r="AK178" s="104" t="s">
        <v>134</v>
      </c>
      <c r="AM178" s="104" t="s">
        <v>135</v>
      </c>
      <c r="AO178" s="105" t="s">
        <v>136</v>
      </c>
      <c r="AQ178" s="104" t="s">
        <v>129</v>
      </c>
      <c r="AS178" s="114" t="s">
        <v>130</v>
      </c>
      <c r="AU178" s="105" t="s">
        <v>131</v>
      </c>
      <c r="AW178" s="105" t="s">
        <v>132</v>
      </c>
      <c r="AY178" s="104" t="s">
        <v>133</v>
      </c>
      <c r="AZ178" s="24"/>
    </row>
    <row r="179">
      <c r="A179" s="366" t="s">
        <v>331</v>
      </c>
      <c r="B179" s="206"/>
      <c r="C179" s="1"/>
      <c r="D179" s="123"/>
      <c r="E179" s="164"/>
      <c r="F179" s="282"/>
      <c r="G179" s="283"/>
      <c r="H179" s="284"/>
      <c r="I179" s="284"/>
      <c r="J179" s="284"/>
      <c r="K179" s="36"/>
      <c r="L179" s="117"/>
      <c r="M179" s="326"/>
      <c r="N179" s="327"/>
      <c r="R179" s="117"/>
      <c r="T179" s="117"/>
      <c r="V179" s="117"/>
      <c r="X179" s="117"/>
      <c r="Y179" s="127"/>
      <c r="Z179" s="155"/>
      <c r="AA179" s="36"/>
      <c r="AB179" s="36"/>
      <c r="AC179" s="111"/>
      <c r="AD179" s="112"/>
      <c r="AE179" s="37"/>
      <c r="AF179" s="97"/>
      <c r="AG179" s="14"/>
      <c r="AH179" s="14"/>
      <c r="AI179" s="14"/>
      <c r="AJ179" s="113"/>
      <c r="AU179" s="128"/>
      <c r="AZ179" s="24"/>
    </row>
    <row r="180">
      <c r="A180" s="367" t="s">
        <v>156</v>
      </c>
      <c r="B180" s="206"/>
      <c r="C180" s="1"/>
      <c r="D180" s="123"/>
      <c r="E180" s="164" t="s">
        <v>168</v>
      </c>
      <c r="F180" s="88"/>
      <c r="G180" s="207" t="str">
        <f>G5:H5</f>
        <v>อสูรเดือน E</v>
      </c>
      <c r="I180" s="208" t="str">
        <f>I5:J5</f>
        <v>อสูรปี N</v>
      </c>
      <c r="K180" s="36"/>
      <c r="L180" s="117"/>
      <c r="M180" s="326"/>
      <c r="N180" s="327"/>
      <c r="R180" s="117"/>
      <c r="T180" s="117"/>
      <c r="V180" s="117"/>
      <c r="X180" s="117"/>
      <c r="Y180" s="233"/>
      <c r="Z180" s="234"/>
      <c r="AA180" s="36"/>
      <c r="AB180" s="36"/>
      <c r="AC180" s="111"/>
      <c r="AD180" s="112"/>
      <c r="AE180" s="37"/>
      <c r="AF180" s="97"/>
      <c r="AG180" s="14"/>
      <c r="AH180" s="14"/>
      <c r="AI180" s="14"/>
      <c r="AJ180" s="113"/>
      <c r="AU180" s="128"/>
      <c r="AZ180" s="24"/>
    </row>
    <row r="181">
      <c r="A181" s="188" t="s">
        <v>63</v>
      </c>
      <c r="B181" s="189"/>
      <c r="C181" s="63"/>
      <c r="D181" s="63"/>
      <c r="E181" s="64">
        <f>(O182+P182+Q182+R182)/(O183+P183+Q183+R183)</f>
        <v>0.3</v>
      </c>
      <c r="F181" s="65"/>
      <c r="G181" s="133"/>
      <c r="H181" s="72"/>
      <c r="I181" s="67"/>
      <c r="J181" s="72"/>
      <c r="K181" s="68"/>
      <c r="L181" s="69"/>
      <c r="M181" s="63" t="s">
        <v>64</v>
      </c>
      <c r="N181" s="70"/>
      <c r="O181" s="71" t="s">
        <v>65</v>
      </c>
      <c r="P181" s="72"/>
      <c r="Q181" s="72"/>
      <c r="R181" s="70"/>
      <c r="S181" s="71" t="s">
        <v>66</v>
      </c>
      <c r="T181" s="70"/>
      <c r="U181" s="71" t="s">
        <v>67</v>
      </c>
      <c r="V181" s="70"/>
      <c r="W181" s="71" t="s">
        <v>68</v>
      </c>
      <c r="X181" s="70"/>
      <c r="Y181" s="134" t="s">
        <v>80</v>
      </c>
      <c r="Z181" s="74" t="s">
        <v>170</v>
      </c>
      <c r="AA181" s="75" t="s">
        <v>202</v>
      </c>
      <c r="AB181" s="75" t="s">
        <v>226</v>
      </c>
      <c r="AC181" s="190" t="s">
        <v>173</v>
      </c>
      <c r="AD181" s="77" t="s">
        <v>193</v>
      </c>
      <c r="AE181" s="63" t="s">
        <v>144</v>
      </c>
      <c r="AF181" s="78" t="s">
        <v>34</v>
      </c>
      <c r="AG181" s="79" t="s">
        <v>189</v>
      </c>
      <c r="AH181" s="79">
        <v>90.0</v>
      </c>
      <c r="AI181" s="79" t="s">
        <v>208</v>
      </c>
      <c r="AJ181" s="80" t="str">
        <f>AJ174</f>
        <v>開</v>
      </c>
      <c r="AK181" s="81" t="s">
        <v>52</v>
      </c>
      <c r="AL181" s="82" t="str">
        <f>AL174</f>
        <v>休</v>
      </c>
      <c r="AM181" s="81" t="s">
        <v>38</v>
      </c>
      <c r="AN181" s="82" t="s">
        <v>4</v>
      </c>
      <c r="AO181" s="81" t="s">
        <v>40</v>
      </c>
      <c r="AP181" s="82" t="str">
        <f>AP174</f>
        <v>傷</v>
      </c>
      <c r="AQ181" s="81" t="s">
        <v>42</v>
      </c>
      <c r="AR181" s="82" t="str">
        <f>AR174</f>
        <v>杜</v>
      </c>
      <c r="AS181" s="81" t="s">
        <v>44</v>
      </c>
      <c r="AT181" s="82" t="str">
        <f>AT174</f>
        <v>景</v>
      </c>
      <c r="AU181" s="81" t="s">
        <v>46</v>
      </c>
      <c r="AV181" s="82" t="str">
        <f>AV174</f>
        <v>死</v>
      </c>
      <c r="AW181" s="81" t="s">
        <v>48</v>
      </c>
      <c r="AX181" s="82" t="str">
        <f>AX174</f>
        <v>驚</v>
      </c>
      <c r="AY181" s="81" t="s">
        <v>50</v>
      </c>
      <c r="AZ181" s="83"/>
      <c r="BA181" s="84"/>
      <c r="BB181" s="84"/>
      <c r="BC181" s="84"/>
    </row>
    <row r="182">
      <c r="A182" s="192">
        <f>A175+1</f>
        <v>28</v>
      </c>
      <c r="B182" s="193"/>
      <c r="C182" s="12" t="s">
        <v>187</v>
      </c>
      <c r="E182" s="203" t="s">
        <v>209</v>
      </c>
      <c r="G182" s="324" t="str">
        <f t="shared" ref="G182:G183" si="269">G3:H3</f>
        <v>癸</v>
      </c>
      <c r="I182" s="275" t="str">
        <f t="shared" ref="I182:I183" si="270">I33:J33</f>
        <v>丙</v>
      </c>
      <c r="K182" s="90">
        <f>L182/L183</f>
        <v>0.435</v>
      </c>
      <c r="L182" s="126">
        <f t="shared" ref="L182:L183" si="271">O182+P182+Q182+U182+V182+W182+X182+R182+M182+N182+S182+T182</f>
        <v>435</v>
      </c>
      <c r="M182" s="92">
        <v>0.0</v>
      </c>
      <c r="N182" s="93">
        <v>0.0</v>
      </c>
      <c r="O182" s="92">
        <v>20.0</v>
      </c>
      <c r="P182" s="92">
        <v>50.0</v>
      </c>
      <c r="Q182" s="92">
        <v>20.0</v>
      </c>
      <c r="R182" s="93">
        <v>30.0</v>
      </c>
      <c r="S182" s="92">
        <v>40.0</v>
      </c>
      <c r="T182" s="93">
        <v>0.0</v>
      </c>
      <c r="U182" s="92">
        <f t="shared" ref="U182:V182" si="267">U39</f>
        <v>65</v>
      </c>
      <c r="V182" s="93">
        <f t="shared" si="267"/>
        <v>40</v>
      </c>
      <c r="W182" s="92">
        <f t="shared" ref="W182:X182" si="268">W33</f>
        <v>110</v>
      </c>
      <c r="X182" s="93">
        <f t="shared" si="268"/>
        <v>60</v>
      </c>
      <c r="Y182" s="73" t="s">
        <v>98</v>
      </c>
      <c r="Z182" s="94" t="s">
        <v>70</v>
      </c>
      <c r="AA182" s="36"/>
      <c r="AB182" s="29" t="s">
        <v>227</v>
      </c>
      <c r="AC182" s="195" t="s">
        <v>196</v>
      </c>
      <c r="AD182" s="96" t="s">
        <v>149</v>
      </c>
      <c r="AE182" s="37"/>
      <c r="AF182" s="97"/>
      <c r="AG182" s="12" t="s">
        <v>54</v>
      </c>
      <c r="AH182" s="12">
        <v>150.0</v>
      </c>
      <c r="AI182" s="12" t="s">
        <v>210</v>
      </c>
      <c r="AJ182" s="98" t="s">
        <v>39</v>
      </c>
      <c r="AK182" s="99" t="s">
        <v>93</v>
      </c>
      <c r="AL182" s="100" t="s">
        <v>37</v>
      </c>
      <c r="AM182" s="99" t="s">
        <v>94</v>
      </c>
      <c r="AN182" s="100" t="s">
        <v>51</v>
      </c>
      <c r="AO182" s="101" t="s">
        <v>95</v>
      </c>
      <c r="AP182" s="100" t="s">
        <v>86</v>
      </c>
      <c r="AQ182" s="99" t="s">
        <v>87</v>
      </c>
      <c r="AR182" s="100" t="s">
        <v>88</v>
      </c>
      <c r="AS182" s="101" t="s">
        <v>89</v>
      </c>
      <c r="AT182" s="100" t="s">
        <v>45</v>
      </c>
      <c r="AU182" s="102" t="s">
        <v>90</v>
      </c>
      <c r="AV182" s="100" t="s">
        <v>43</v>
      </c>
      <c r="AW182" s="101" t="s">
        <v>91</v>
      </c>
      <c r="AX182" s="100" t="s">
        <v>41</v>
      </c>
      <c r="AY182" s="103" t="s">
        <v>92</v>
      </c>
      <c r="AZ182" s="24"/>
    </row>
    <row r="183">
      <c r="A183" s="215" t="str">
        <f>G2</f>
        <v>พฤษภาคม</v>
      </c>
      <c r="B183" s="193"/>
      <c r="C183" s="175" t="s">
        <v>211</v>
      </c>
      <c r="E183" s="218" t="s">
        <v>180</v>
      </c>
      <c r="G183" s="223" t="str">
        <f t="shared" si="269"/>
        <v>巳</v>
      </c>
      <c r="I183" s="142" t="str">
        <f t="shared" si="270"/>
        <v>午</v>
      </c>
      <c r="K183" s="36"/>
      <c r="L183" s="109">
        <f t="shared" si="271"/>
        <v>1000</v>
      </c>
      <c r="M183" s="9">
        <v>0.0</v>
      </c>
      <c r="N183" s="110">
        <v>0.0</v>
      </c>
      <c r="O183" s="9">
        <v>100.0</v>
      </c>
      <c r="P183" s="9">
        <v>100.0</v>
      </c>
      <c r="Q183" s="9">
        <v>100.0</v>
      </c>
      <c r="R183" s="110">
        <v>100.0</v>
      </c>
      <c r="S183" s="9">
        <v>100.0</v>
      </c>
      <c r="T183" s="110">
        <v>100.0</v>
      </c>
      <c r="U183" s="9">
        <v>100.0</v>
      </c>
      <c r="V183" s="110">
        <v>100.0</v>
      </c>
      <c r="W183" s="9">
        <v>100.0</v>
      </c>
      <c r="X183" s="110">
        <v>100.0</v>
      </c>
      <c r="Y183" s="73" t="s">
        <v>116</v>
      </c>
      <c r="Z183" s="94" t="s">
        <v>181</v>
      </c>
      <c r="AA183" s="36"/>
      <c r="AB183" s="36"/>
      <c r="AC183" s="111"/>
      <c r="AD183" s="112"/>
      <c r="AE183" s="37"/>
      <c r="AF183" s="97"/>
      <c r="AG183" s="14"/>
      <c r="AH183" s="14"/>
      <c r="AI183" s="14"/>
      <c r="AJ183" s="113"/>
      <c r="AK183" s="104" t="s">
        <v>105</v>
      </c>
      <c r="AM183" s="104" t="s">
        <v>106</v>
      </c>
      <c r="AO183" s="105" t="s">
        <v>107</v>
      </c>
      <c r="AQ183" s="104" t="s">
        <v>100</v>
      </c>
      <c r="AS183" s="114" t="s">
        <v>101</v>
      </c>
      <c r="AU183" s="105" t="s">
        <v>102</v>
      </c>
      <c r="AW183" s="105" t="s">
        <v>103</v>
      </c>
      <c r="AY183" s="104" t="s">
        <v>104</v>
      </c>
      <c r="AZ183" s="24"/>
    </row>
    <row r="184">
      <c r="A184" s="192">
        <v>2569.0</v>
      </c>
      <c r="B184" s="193"/>
      <c r="E184" s="115" t="s">
        <v>115</v>
      </c>
      <c r="F184" s="116" t="s">
        <v>212</v>
      </c>
      <c r="G184" s="115" t="str">
        <f t="shared" ref="G184:H184" si="272">G41</f>
        <v>A11</v>
      </c>
      <c r="H184" s="9" t="str">
        <f t="shared" si="272"/>
        <v>B10</v>
      </c>
      <c r="I184" s="9" t="str">
        <f t="shared" ref="I184:J184" si="273">I35</f>
        <v>A5</v>
      </c>
      <c r="J184" s="9" t="str">
        <f t="shared" si="273"/>
        <v>B11</v>
      </c>
      <c r="K184" s="36"/>
      <c r="L184" s="117"/>
      <c r="M184" s="118" t="str">
        <f t="shared" ref="M184:P184" si="274">C184</f>
        <v/>
      </c>
      <c r="N184" s="119" t="str">
        <f t="shared" si="274"/>
        <v/>
      </c>
      <c r="O184" s="118" t="str">
        <f t="shared" si="274"/>
        <v>A7</v>
      </c>
      <c r="P184" s="118" t="str">
        <f t="shared" si="274"/>
        <v>B9</v>
      </c>
      <c r="Q184" s="118" t="str">
        <f t="shared" ref="Q184:R184" si="275">E185</f>
        <v>B3</v>
      </c>
      <c r="R184" s="119" t="str">
        <f t="shared" si="275"/>
        <v>C10</v>
      </c>
      <c r="S184" s="9" t="s">
        <v>112</v>
      </c>
      <c r="T184" s="110" t="s">
        <v>114</v>
      </c>
      <c r="U184" s="9" t="str">
        <f t="shared" ref="U184:X184" si="276">G184</f>
        <v>A11</v>
      </c>
      <c r="V184" s="119" t="str">
        <f t="shared" si="276"/>
        <v>B10</v>
      </c>
      <c r="W184" s="118" t="str">
        <f t="shared" si="276"/>
        <v>A5</v>
      </c>
      <c r="X184" s="120" t="str">
        <f t="shared" si="276"/>
        <v>B11</v>
      </c>
      <c r="Y184" s="73" t="s">
        <v>126</v>
      </c>
      <c r="Z184" s="94" t="s">
        <v>163</v>
      </c>
      <c r="AA184" s="36"/>
      <c r="AB184" s="36"/>
      <c r="AC184" s="111"/>
      <c r="AD184" s="112"/>
      <c r="AE184" s="37"/>
      <c r="AF184" s="97"/>
      <c r="AG184" s="14"/>
      <c r="AH184" s="14"/>
      <c r="AI184" s="14"/>
      <c r="AJ184" s="113"/>
      <c r="AK184" s="104" t="s">
        <v>123</v>
      </c>
      <c r="AM184" s="104" t="s">
        <v>124</v>
      </c>
      <c r="AO184" s="105" t="s">
        <v>125</v>
      </c>
      <c r="AQ184" s="104" t="s">
        <v>118</v>
      </c>
      <c r="AS184" s="114" t="s">
        <v>119</v>
      </c>
      <c r="AU184" s="105" t="s">
        <v>120</v>
      </c>
      <c r="AW184" s="105" t="s">
        <v>121</v>
      </c>
      <c r="AY184" s="104" t="s">
        <v>122</v>
      </c>
      <c r="AZ184" s="24"/>
    </row>
    <row r="185">
      <c r="A185" s="192">
        <f>A184-543</f>
        <v>2026</v>
      </c>
      <c r="B185" s="193"/>
      <c r="C185" s="181"/>
      <c r="E185" s="115" t="s">
        <v>183</v>
      </c>
      <c r="F185" s="116" t="s">
        <v>232</v>
      </c>
      <c r="G185" s="115"/>
      <c r="H185" s="118"/>
      <c r="I185" s="118"/>
      <c r="J185" s="118"/>
      <c r="K185" s="36"/>
      <c r="L185" s="117"/>
      <c r="M185" s="326"/>
      <c r="N185" s="327"/>
      <c r="R185" s="117"/>
      <c r="T185" s="117"/>
      <c r="V185" s="117"/>
      <c r="X185" s="117"/>
      <c r="Y185" s="73" t="s">
        <v>69</v>
      </c>
      <c r="Z185" s="94" t="s">
        <v>99</v>
      </c>
      <c r="AA185" s="36"/>
      <c r="AB185" s="36"/>
      <c r="AC185" s="111"/>
      <c r="AD185" s="112"/>
      <c r="AE185" s="37"/>
      <c r="AF185" s="97"/>
      <c r="AG185" s="14"/>
      <c r="AH185" s="14"/>
      <c r="AI185" s="14"/>
      <c r="AJ185" s="113"/>
      <c r="AK185" s="104" t="s">
        <v>134</v>
      </c>
      <c r="AM185" s="104" t="s">
        <v>135</v>
      </c>
      <c r="AO185" s="105" t="s">
        <v>136</v>
      </c>
      <c r="AQ185" s="104" t="s">
        <v>129</v>
      </c>
      <c r="AS185" s="114" t="s">
        <v>130</v>
      </c>
      <c r="AU185" s="105" t="s">
        <v>131</v>
      </c>
      <c r="AW185" s="105" t="s">
        <v>132</v>
      </c>
      <c r="AY185" s="104" t="s">
        <v>133</v>
      </c>
      <c r="AZ185" s="24"/>
    </row>
    <row r="186">
      <c r="A186" s="351"/>
      <c r="B186" s="206"/>
      <c r="C186" s="1"/>
      <c r="D186" s="123"/>
      <c r="E186" s="164"/>
      <c r="F186" s="282"/>
      <c r="G186" s="283"/>
      <c r="H186" s="284"/>
      <c r="I186" s="284"/>
      <c r="J186" s="284"/>
      <c r="K186" s="36"/>
      <c r="L186" s="117"/>
      <c r="M186" s="326"/>
      <c r="N186" s="327"/>
      <c r="R186" s="117"/>
      <c r="T186" s="117"/>
      <c r="V186" s="117"/>
      <c r="X186" s="117"/>
      <c r="Y186" s="127"/>
      <c r="Z186" s="155"/>
      <c r="AA186" s="36"/>
      <c r="AB186" s="36"/>
      <c r="AC186" s="111"/>
      <c r="AD186" s="112"/>
      <c r="AE186" s="37"/>
      <c r="AF186" s="97"/>
      <c r="AG186" s="14"/>
      <c r="AH186" s="14"/>
      <c r="AI186" s="14"/>
      <c r="AJ186" s="113"/>
      <c r="AY186" s="128"/>
      <c r="AZ186" s="24"/>
    </row>
    <row r="187">
      <c r="A187" s="351"/>
      <c r="B187" s="206"/>
      <c r="C187" s="1"/>
      <c r="D187" s="123"/>
      <c r="E187" s="164" t="s">
        <v>185</v>
      </c>
      <c r="F187" s="88"/>
      <c r="G187" s="207" t="str">
        <f>G5:H5</f>
        <v>อสูรเดือน E</v>
      </c>
      <c r="I187" s="208" t="str">
        <f>I5:J5</f>
        <v>อสูรปี N</v>
      </c>
      <c r="K187" s="36"/>
      <c r="L187" s="117"/>
      <c r="M187" s="326"/>
      <c r="N187" s="327"/>
      <c r="R187" s="117"/>
      <c r="T187" s="117"/>
      <c r="V187" s="117"/>
      <c r="X187" s="117"/>
      <c r="Y187" s="233"/>
      <c r="Z187" s="234"/>
      <c r="AA187" s="36"/>
      <c r="AB187" s="36"/>
      <c r="AC187" s="111"/>
      <c r="AD187" s="112"/>
      <c r="AE187" s="37"/>
      <c r="AF187" s="97"/>
      <c r="AG187" s="14"/>
      <c r="AH187" s="14"/>
      <c r="AI187" s="14"/>
      <c r="AJ187" s="113"/>
      <c r="AY187" s="128"/>
      <c r="AZ187" s="24"/>
    </row>
    <row r="188">
      <c r="A188" s="188" t="s">
        <v>139</v>
      </c>
      <c r="B188" s="189"/>
      <c r="C188" s="63"/>
      <c r="D188" s="63"/>
      <c r="E188" s="216">
        <f>(O189+P189+Q189+R189)/(O190+P190+Q190+R190)</f>
        <v>0.7</v>
      </c>
      <c r="F188" s="65"/>
      <c r="G188" s="133"/>
      <c r="H188" s="66"/>
      <c r="I188" s="67"/>
      <c r="J188" s="67"/>
      <c r="K188" s="68"/>
      <c r="L188" s="69"/>
      <c r="M188" s="63" t="s">
        <v>64</v>
      </c>
      <c r="N188" s="70"/>
      <c r="O188" s="71" t="s">
        <v>65</v>
      </c>
      <c r="P188" s="72"/>
      <c r="Q188" s="72"/>
      <c r="R188" s="70"/>
      <c r="S188" s="71" t="s">
        <v>66</v>
      </c>
      <c r="T188" s="70"/>
      <c r="U188" s="71" t="s">
        <v>67</v>
      </c>
      <c r="V188" s="70"/>
      <c r="W188" s="71" t="s">
        <v>68</v>
      </c>
      <c r="X188" s="70"/>
      <c r="Y188" s="134" t="s">
        <v>80</v>
      </c>
      <c r="Z188" s="74" t="s">
        <v>159</v>
      </c>
      <c r="AA188" s="79"/>
      <c r="AB188" s="221" t="s">
        <v>316</v>
      </c>
      <c r="AC188" s="190" t="s">
        <v>173</v>
      </c>
      <c r="AD188" s="77" t="s">
        <v>193</v>
      </c>
      <c r="AE188" s="63" t="s">
        <v>144</v>
      </c>
      <c r="AF188" s="78" t="s">
        <v>75</v>
      </c>
      <c r="AG188" s="79" t="s">
        <v>54</v>
      </c>
      <c r="AH188" s="79">
        <v>150.0</v>
      </c>
      <c r="AI188" s="79" t="s">
        <v>210</v>
      </c>
      <c r="AJ188" s="80" t="str">
        <f>AJ174</f>
        <v>開</v>
      </c>
      <c r="AK188" s="81" t="s">
        <v>44</v>
      </c>
      <c r="AL188" s="82" t="str">
        <f>AL174</f>
        <v>休</v>
      </c>
      <c r="AM188" s="81" t="s">
        <v>46</v>
      </c>
      <c r="AN188" s="82" t="s">
        <v>4</v>
      </c>
      <c r="AO188" s="81" t="s">
        <v>48</v>
      </c>
      <c r="AP188" s="82" t="str">
        <f>AP174</f>
        <v>傷</v>
      </c>
      <c r="AQ188" s="81" t="s">
        <v>50</v>
      </c>
      <c r="AR188" s="82" t="s">
        <v>8</v>
      </c>
      <c r="AS188" s="81" t="s">
        <v>52</v>
      </c>
      <c r="AT188" s="82" t="str">
        <f>AT174</f>
        <v>景</v>
      </c>
      <c r="AU188" s="81" t="s">
        <v>38</v>
      </c>
      <c r="AV188" s="82" t="str">
        <f>AV174</f>
        <v>死</v>
      </c>
      <c r="AW188" s="81" t="s">
        <v>40</v>
      </c>
      <c r="AX188" s="82" t="str">
        <f>AX174</f>
        <v>驚</v>
      </c>
      <c r="AY188" s="81" t="s">
        <v>42</v>
      </c>
      <c r="AZ188" s="83"/>
      <c r="BA188" s="84"/>
      <c r="BB188" s="84"/>
      <c r="BC188" s="84"/>
    </row>
    <row r="189">
      <c r="A189" s="192">
        <f>A182+1</f>
        <v>29</v>
      </c>
      <c r="B189" s="193"/>
      <c r="C189" s="12" t="s">
        <v>176</v>
      </c>
      <c r="E189" s="203" t="s">
        <v>171</v>
      </c>
      <c r="G189" s="203" t="str">
        <f t="shared" ref="G189:G190" si="279">G3:H3</f>
        <v>癸</v>
      </c>
      <c r="I189" s="275" t="str">
        <f t="shared" ref="I189:I190" si="280">I33:J33</f>
        <v>丙</v>
      </c>
      <c r="K189" s="90">
        <f>L189/L190</f>
        <v>0.7</v>
      </c>
      <c r="L189" s="126">
        <f t="shared" ref="L189:L190" si="281">O189+P189+Q189+U189+V189+W189+X189+R189+M189+N189+S189+T189</f>
        <v>700</v>
      </c>
      <c r="M189" s="92">
        <v>0.0</v>
      </c>
      <c r="N189" s="93">
        <v>0.0</v>
      </c>
      <c r="O189" s="92">
        <v>80.0</v>
      </c>
      <c r="P189" s="92">
        <v>40.0</v>
      </c>
      <c r="Q189" s="92">
        <v>80.0</v>
      </c>
      <c r="R189" s="93">
        <v>80.0</v>
      </c>
      <c r="S189" s="92">
        <v>80.0</v>
      </c>
      <c r="T189" s="93">
        <v>65.0</v>
      </c>
      <c r="U189" s="92">
        <f t="shared" ref="U189:V189" si="277">U39</f>
        <v>65</v>
      </c>
      <c r="V189" s="93">
        <f t="shared" si="277"/>
        <v>40</v>
      </c>
      <c r="W189" s="92">
        <f t="shared" ref="W189:X189" si="278">W33</f>
        <v>110</v>
      </c>
      <c r="X189" s="93">
        <f t="shared" si="278"/>
        <v>60</v>
      </c>
      <c r="Y189" s="73" t="s">
        <v>98</v>
      </c>
      <c r="Z189" s="94" t="s">
        <v>152</v>
      </c>
      <c r="AA189" s="36"/>
      <c r="AB189" s="29"/>
      <c r="AC189" s="195" t="s">
        <v>196</v>
      </c>
      <c r="AD189" s="96" t="s">
        <v>149</v>
      </c>
      <c r="AE189" s="37"/>
      <c r="AF189" s="97"/>
      <c r="AG189" s="12" t="s">
        <v>189</v>
      </c>
      <c r="AH189" s="12">
        <v>90.0</v>
      </c>
      <c r="AI189" s="12" t="s">
        <v>208</v>
      </c>
      <c r="AJ189" s="98" t="s">
        <v>43</v>
      </c>
      <c r="AK189" s="101" t="s">
        <v>91</v>
      </c>
      <c r="AL189" s="100" t="s">
        <v>41</v>
      </c>
      <c r="AM189" s="103" t="s">
        <v>92</v>
      </c>
      <c r="AN189" s="100" t="s">
        <v>39</v>
      </c>
      <c r="AO189" s="99" t="s">
        <v>93</v>
      </c>
      <c r="AP189" s="100" t="s">
        <v>37</v>
      </c>
      <c r="AQ189" s="99" t="s">
        <v>94</v>
      </c>
      <c r="AR189" s="100" t="s">
        <v>51</v>
      </c>
      <c r="AS189" s="101" t="s">
        <v>95</v>
      </c>
      <c r="AT189" s="100" t="s">
        <v>86</v>
      </c>
      <c r="AU189" s="99" t="s">
        <v>87</v>
      </c>
      <c r="AV189" s="100" t="s">
        <v>88</v>
      </c>
      <c r="AW189" s="101" t="s">
        <v>89</v>
      </c>
      <c r="AX189" s="100" t="s">
        <v>45</v>
      </c>
      <c r="AY189" s="102" t="s">
        <v>90</v>
      </c>
      <c r="AZ189" s="24"/>
    </row>
    <row r="190">
      <c r="A190" s="229" t="str">
        <f>A183</f>
        <v>พฤษภาคม</v>
      </c>
      <c r="B190" s="193"/>
      <c r="C190" s="161" t="s">
        <v>217</v>
      </c>
      <c r="E190" s="171" t="s">
        <v>189</v>
      </c>
      <c r="G190" s="223" t="str">
        <f t="shared" si="279"/>
        <v>巳</v>
      </c>
      <c r="I190" s="142" t="str">
        <f t="shared" si="280"/>
        <v>午</v>
      </c>
      <c r="K190" s="36"/>
      <c r="L190" s="109">
        <f t="shared" si="281"/>
        <v>1000</v>
      </c>
      <c r="M190" s="9">
        <v>0.0</v>
      </c>
      <c r="N190" s="110">
        <v>0.0</v>
      </c>
      <c r="O190" s="9">
        <v>100.0</v>
      </c>
      <c r="P190" s="9">
        <v>100.0</v>
      </c>
      <c r="Q190" s="9">
        <v>100.0</v>
      </c>
      <c r="R190" s="110">
        <v>100.0</v>
      </c>
      <c r="S190" s="9">
        <v>100.0</v>
      </c>
      <c r="T190" s="110">
        <v>100.0</v>
      </c>
      <c r="U190" s="9">
        <v>100.0</v>
      </c>
      <c r="V190" s="110">
        <v>100.0</v>
      </c>
      <c r="W190" s="9">
        <v>100.0</v>
      </c>
      <c r="X190" s="110">
        <v>100.0</v>
      </c>
      <c r="Y190" s="73" t="s">
        <v>116</v>
      </c>
      <c r="Z190" s="94" t="s">
        <v>81</v>
      </c>
      <c r="AA190" s="36"/>
      <c r="AB190" s="36"/>
      <c r="AC190" s="111"/>
      <c r="AD190" s="112"/>
      <c r="AE190" s="37"/>
      <c r="AF190" s="97"/>
      <c r="AG190" s="14"/>
      <c r="AH190" s="14"/>
      <c r="AI190" s="14"/>
      <c r="AJ190" s="113"/>
      <c r="AK190" s="105" t="s">
        <v>103</v>
      </c>
      <c r="AM190" s="104" t="s">
        <v>104</v>
      </c>
      <c r="AO190" s="104" t="s">
        <v>105</v>
      </c>
      <c r="AQ190" s="104" t="s">
        <v>106</v>
      </c>
      <c r="AS190" s="105" t="s">
        <v>107</v>
      </c>
      <c r="AU190" s="104" t="s">
        <v>100</v>
      </c>
      <c r="AW190" s="114" t="s">
        <v>101</v>
      </c>
      <c r="AY190" s="105" t="s">
        <v>102</v>
      </c>
      <c r="AZ190" s="24"/>
    </row>
    <row r="191">
      <c r="A191" s="192">
        <v>2569.0</v>
      </c>
      <c r="B191" s="193"/>
      <c r="E191" s="115" t="s">
        <v>182</v>
      </c>
      <c r="F191" s="116" t="s">
        <v>218</v>
      </c>
      <c r="G191" s="115" t="str">
        <f t="shared" ref="G191:H191" si="282">G41</f>
        <v>A11</v>
      </c>
      <c r="H191" s="9" t="str">
        <f t="shared" si="282"/>
        <v>B10</v>
      </c>
      <c r="I191" s="9" t="str">
        <f t="shared" ref="I191:J191" si="283">I35</f>
        <v>A5</v>
      </c>
      <c r="J191" s="9" t="str">
        <f t="shared" si="283"/>
        <v>B11</v>
      </c>
      <c r="K191" s="36"/>
      <c r="L191" s="117"/>
      <c r="M191" s="118" t="str">
        <f t="shared" ref="M191:P191" si="284">C191</f>
        <v/>
      </c>
      <c r="N191" s="119" t="str">
        <f t="shared" si="284"/>
        <v/>
      </c>
      <c r="O191" s="118" t="str">
        <f t="shared" si="284"/>
        <v>A1</v>
      </c>
      <c r="P191" s="118" t="str">
        <f t="shared" si="284"/>
        <v>B10</v>
      </c>
      <c r="Q191" s="118" t="str">
        <f t="shared" ref="Q191:R191" si="285">E192</f>
        <v>B2</v>
      </c>
      <c r="R191" s="119" t="str">
        <f t="shared" si="285"/>
        <v>C11</v>
      </c>
      <c r="S191" s="9" t="s">
        <v>182</v>
      </c>
      <c r="T191" s="110" t="s">
        <v>110</v>
      </c>
      <c r="U191" s="9" t="str">
        <f t="shared" ref="U191:X191" si="286">G191</f>
        <v>A11</v>
      </c>
      <c r="V191" s="119" t="str">
        <f t="shared" si="286"/>
        <v>B10</v>
      </c>
      <c r="W191" s="118" t="str">
        <f t="shared" si="286"/>
        <v>A5</v>
      </c>
      <c r="X191" s="120" t="str">
        <f t="shared" si="286"/>
        <v>B11</v>
      </c>
      <c r="Y191" s="73" t="s">
        <v>126</v>
      </c>
      <c r="Z191" s="94" t="s">
        <v>99</v>
      </c>
      <c r="AA191" s="36"/>
      <c r="AB191" s="36"/>
      <c r="AC191" s="111"/>
      <c r="AD191" s="112"/>
      <c r="AE191" s="37"/>
      <c r="AF191" s="97"/>
      <c r="AG191" s="14"/>
      <c r="AH191" s="14"/>
      <c r="AI191" s="14"/>
      <c r="AJ191" s="113"/>
      <c r="AK191" s="105" t="s">
        <v>121</v>
      </c>
      <c r="AM191" s="104" t="s">
        <v>122</v>
      </c>
      <c r="AO191" s="104" t="s">
        <v>123</v>
      </c>
      <c r="AQ191" s="104" t="s">
        <v>124</v>
      </c>
      <c r="AS191" s="105" t="s">
        <v>125</v>
      </c>
      <c r="AU191" s="104" t="s">
        <v>118</v>
      </c>
      <c r="AW191" s="114" t="s">
        <v>119</v>
      </c>
      <c r="AY191" s="105" t="s">
        <v>120</v>
      </c>
      <c r="AZ191" s="24"/>
    </row>
    <row r="192">
      <c r="A192" s="192">
        <f>A191-543</f>
        <v>2026</v>
      </c>
      <c r="B192" s="193"/>
      <c r="E192" s="115" t="s">
        <v>98</v>
      </c>
      <c r="F192" s="116" t="s">
        <v>236</v>
      </c>
      <c r="G192" s="115"/>
      <c r="H192" s="118"/>
      <c r="I192" s="118"/>
      <c r="J192" s="118"/>
      <c r="K192" s="36"/>
      <c r="L192" s="117"/>
      <c r="M192" s="8"/>
      <c r="N192" s="121"/>
      <c r="O192" s="8"/>
      <c r="P192" s="8"/>
      <c r="Q192" s="8"/>
      <c r="R192" s="121"/>
      <c r="S192" s="8"/>
      <c r="T192" s="121"/>
      <c r="U192" s="9"/>
      <c r="V192" s="110"/>
      <c r="W192" s="9"/>
      <c r="X192" s="110"/>
      <c r="Y192" s="73" t="s">
        <v>69</v>
      </c>
      <c r="Z192" s="94" t="s">
        <v>155</v>
      </c>
      <c r="AA192" s="36"/>
      <c r="AB192" s="36"/>
      <c r="AC192" s="111"/>
      <c r="AD192" s="112"/>
      <c r="AE192" s="37"/>
      <c r="AF192" s="97"/>
      <c r="AG192" s="14"/>
      <c r="AH192" s="14"/>
      <c r="AI192" s="14"/>
      <c r="AJ192" s="113"/>
      <c r="AK192" s="105" t="s">
        <v>132</v>
      </c>
      <c r="AM192" s="104" t="s">
        <v>133</v>
      </c>
      <c r="AO192" s="104" t="s">
        <v>134</v>
      </c>
      <c r="AQ192" s="104" t="s">
        <v>135</v>
      </c>
      <c r="AS192" s="105" t="s">
        <v>136</v>
      </c>
      <c r="AU192" s="104" t="s">
        <v>129</v>
      </c>
      <c r="AW192" s="114" t="s">
        <v>130</v>
      </c>
      <c r="AY192" s="105" t="s">
        <v>131</v>
      </c>
      <c r="AZ192" s="24"/>
    </row>
    <row r="193">
      <c r="A193" s="310"/>
      <c r="B193" s="197"/>
      <c r="C193" s="1"/>
      <c r="D193" s="123"/>
      <c r="E193" s="176" t="s">
        <v>137</v>
      </c>
      <c r="F193" s="88"/>
      <c r="G193" s="165" t="str">
        <f>G5:H5</f>
        <v>อสูรเดือน E</v>
      </c>
      <c r="I193" s="166" t="str">
        <f>I5:J5</f>
        <v>อสูรปี N</v>
      </c>
      <c r="K193" s="90"/>
      <c r="L193" s="126"/>
      <c r="M193" s="8"/>
      <c r="N193" s="121"/>
      <c r="O193" s="8"/>
      <c r="P193" s="8"/>
      <c r="Q193" s="8"/>
      <c r="R193" s="121"/>
      <c r="S193" s="8"/>
      <c r="T193" s="121"/>
      <c r="U193" s="9"/>
      <c r="V193" s="110"/>
      <c r="W193" s="9"/>
      <c r="X193" s="110"/>
      <c r="Y193" s="233"/>
      <c r="Z193" s="234"/>
      <c r="AA193" s="156"/>
      <c r="AB193" s="156"/>
      <c r="AC193" s="235"/>
      <c r="AD193" s="236"/>
      <c r="AE193" s="237"/>
      <c r="AF193" s="238"/>
      <c r="AG193" s="239"/>
      <c r="AH193" s="239"/>
      <c r="AI193" s="239"/>
      <c r="AJ193" s="113"/>
      <c r="AW193" s="128"/>
      <c r="AZ193" s="24"/>
    </row>
    <row r="194">
      <c r="A194" s="188" t="s">
        <v>158</v>
      </c>
      <c r="B194" s="189"/>
      <c r="C194" s="63"/>
      <c r="D194" s="63"/>
      <c r="E194" s="64">
        <f>(O195+P195+Q195+R195)/(O196+P196+Q196+R196)</f>
        <v>0.4875</v>
      </c>
      <c r="F194" s="65"/>
      <c r="G194" s="133"/>
      <c r="H194" s="66"/>
      <c r="I194" s="67"/>
      <c r="J194" s="67"/>
      <c r="K194" s="68"/>
      <c r="L194" s="69"/>
      <c r="M194" s="63" t="s">
        <v>64</v>
      </c>
      <c r="N194" s="70"/>
      <c r="O194" s="71" t="s">
        <v>65</v>
      </c>
      <c r="P194" s="72"/>
      <c r="Q194" s="72"/>
      <c r="R194" s="70"/>
      <c r="S194" s="71" t="s">
        <v>66</v>
      </c>
      <c r="T194" s="70"/>
      <c r="U194" s="71" t="s">
        <v>67</v>
      </c>
      <c r="V194" s="70"/>
      <c r="W194" s="71" t="s">
        <v>68</v>
      </c>
      <c r="X194" s="70"/>
      <c r="Y194" s="134" t="s">
        <v>80</v>
      </c>
      <c r="Z194" s="74" t="s">
        <v>181</v>
      </c>
      <c r="AA194" s="75" t="s">
        <v>31</v>
      </c>
      <c r="AB194" s="75" t="s">
        <v>141</v>
      </c>
      <c r="AC194" s="95" t="s">
        <v>73</v>
      </c>
      <c r="AD194" s="94" t="s">
        <v>74</v>
      </c>
      <c r="AE194" s="63" t="s">
        <v>35</v>
      </c>
      <c r="AF194" s="78" t="s">
        <v>144</v>
      </c>
      <c r="AG194" s="79" t="s">
        <v>71</v>
      </c>
      <c r="AH194" s="79">
        <v>210.0</v>
      </c>
      <c r="AI194" s="79" t="s">
        <v>175</v>
      </c>
      <c r="AJ194" s="80" t="str">
        <f>AJ188</f>
        <v>開</v>
      </c>
      <c r="AK194" s="81" t="s">
        <v>38</v>
      </c>
      <c r="AL194" s="82" t="str">
        <f>AL188</f>
        <v>休</v>
      </c>
      <c r="AM194" s="81" t="s">
        <v>40</v>
      </c>
      <c r="AN194" s="82" t="s">
        <v>4</v>
      </c>
      <c r="AO194" s="81" t="s">
        <v>42</v>
      </c>
      <c r="AP194" s="82" t="str">
        <f>AP188</f>
        <v>傷</v>
      </c>
      <c r="AQ194" s="81" t="s">
        <v>44</v>
      </c>
      <c r="AR194" s="82" t="s">
        <v>8</v>
      </c>
      <c r="AS194" s="81" t="s">
        <v>46</v>
      </c>
      <c r="AT194" s="82" t="str">
        <f>AT188</f>
        <v>景</v>
      </c>
      <c r="AU194" s="81" t="s">
        <v>48</v>
      </c>
      <c r="AV194" s="82" t="str">
        <f>AV188</f>
        <v>死</v>
      </c>
      <c r="AW194" s="81" t="s">
        <v>50</v>
      </c>
      <c r="AX194" s="82" t="str">
        <f>AX188</f>
        <v>驚</v>
      </c>
      <c r="AY194" s="337" t="s">
        <v>52</v>
      </c>
      <c r="AZ194" s="83"/>
      <c r="BA194" s="84"/>
      <c r="BB194" s="84"/>
      <c r="BC194" s="84"/>
    </row>
    <row r="195">
      <c r="A195" s="192">
        <f>A189+1</f>
        <v>30</v>
      </c>
      <c r="B195" s="193"/>
      <c r="C195" s="338" t="s">
        <v>248</v>
      </c>
      <c r="E195" s="87" t="s">
        <v>222</v>
      </c>
      <c r="G195" s="324" t="str">
        <f t="shared" ref="G195:G196" si="289">G3:H3</f>
        <v>癸</v>
      </c>
      <c r="I195" s="275" t="str">
        <f t="shared" ref="I195:I196" si="290">I33:J33</f>
        <v>丙</v>
      </c>
      <c r="K195" s="90">
        <f>L195/L196</f>
        <v>0.555</v>
      </c>
      <c r="L195" s="126">
        <f t="shared" ref="L195:L196" si="291">O195+P195+Q195+U195+V195+W195+X195+R195+M195+N195+S195+T195</f>
        <v>555</v>
      </c>
      <c r="M195" s="92">
        <v>0.0</v>
      </c>
      <c r="N195" s="93">
        <v>0.0</v>
      </c>
      <c r="O195" s="92">
        <v>35.0</v>
      </c>
      <c r="P195" s="92">
        <v>60.0</v>
      </c>
      <c r="Q195" s="92">
        <v>70.0</v>
      </c>
      <c r="R195" s="93">
        <v>30.0</v>
      </c>
      <c r="S195" s="92">
        <v>65.0</v>
      </c>
      <c r="T195" s="93">
        <v>20.0</v>
      </c>
      <c r="U195" s="92">
        <f t="shared" ref="U195:V195" si="287">U39</f>
        <v>65</v>
      </c>
      <c r="V195" s="93">
        <f t="shared" si="287"/>
        <v>40</v>
      </c>
      <c r="W195" s="92">
        <f t="shared" ref="W195:X195" si="288">W33</f>
        <v>110</v>
      </c>
      <c r="X195" s="93">
        <f t="shared" si="288"/>
        <v>60</v>
      </c>
      <c r="Y195" s="73" t="s">
        <v>98</v>
      </c>
      <c r="Z195" s="94" t="s">
        <v>163</v>
      </c>
      <c r="AA195" s="29"/>
      <c r="AB195" s="29"/>
      <c r="AC195" s="95" t="s">
        <v>82</v>
      </c>
      <c r="AD195" s="96" t="s">
        <v>83</v>
      </c>
      <c r="AE195" s="37"/>
      <c r="AF195" s="97"/>
      <c r="AG195" s="12" t="s">
        <v>53</v>
      </c>
      <c r="AH195" s="12">
        <v>30.0</v>
      </c>
      <c r="AI195" s="12" t="s">
        <v>178</v>
      </c>
      <c r="AJ195" s="98" t="s">
        <v>41</v>
      </c>
      <c r="AK195" s="103" t="s">
        <v>92</v>
      </c>
      <c r="AL195" s="100" t="s">
        <v>39</v>
      </c>
      <c r="AM195" s="99" t="s">
        <v>93</v>
      </c>
      <c r="AN195" s="100" t="s">
        <v>37</v>
      </c>
      <c r="AO195" s="99" t="s">
        <v>94</v>
      </c>
      <c r="AP195" s="100" t="s">
        <v>51</v>
      </c>
      <c r="AQ195" s="101" t="s">
        <v>95</v>
      </c>
      <c r="AR195" s="100" t="s">
        <v>86</v>
      </c>
      <c r="AS195" s="99" t="s">
        <v>87</v>
      </c>
      <c r="AT195" s="100" t="s">
        <v>88</v>
      </c>
      <c r="AU195" s="101" t="s">
        <v>89</v>
      </c>
      <c r="AV195" s="100" t="s">
        <v>45</v>
      </c>
      <c r="AW195" s="102" t="s">
        <v>90</v>
      </c>
      <c r="AX195" s="100" t="s">
        <v>43</v>
      </c>
      <c r="AY195" s="339" t="s">
        <v>91</v>
      </c>
      <c r="AZ195" s="24"/>
    </row>
    <row r="196">
      <c r="A196" s="229" t="str">
        <f>A190</f>
        <v>พฤษภาคม</v>
      </c>
      <c r="B196" s="193"/>
      <c r="C196" s="175" t="s">
        <v>223</v>
      </c>
      <c r="E196" s="162" t="s">
        <v>197</v>
      </c>
      <c r="G196" s="223" t="str">
        <f t="shared" si="289"/>
        <v>巳</v>
      </c>
      <c r="I196" s="142" t="str">
        <f t="shared" si="290"/>
        <v>午</v>
      </c>
      <c r="K196" s="36"/>
      <c r="L196" s="109">
        <f t="shared" si="291"/>
        <v>1000</v>
      </c>
      <c r="M196" s="9">
        <v>0.0</v>
      </c>
      <c r="N196" s="110">
        <v>0.0</v>
      </c>
      <c r="O196" s="9">
        <v>100.0</v>
      </c>
      <c r="P196" s="9">
        <v>100.0</v>
      </c>
      <c r="Q196" s="9">
        <v>100.0</v>
      </c>
      <c r="R196" s="110">
        <v>100.0</v>
      </c>
      <c r="S196" s="9">
        <v>100.0</v>
      </c>
      <c r="T196" s="110">
        <v>100.0</v>
      </c>
      <c r="U196" s="9">
        <v>100.0</v>
      </c>
      <c r="V196" s="110">
        <v>100.0</v>
      </c>
      <c r="W196" s="9">
        <v>100.0</v>
      </c>
      <c r="X196" s="110">
        <v>100.0</v>
      </c>
      <c r="Y196" s="73" t="s">
        <v>116</v>
      </c>
      <c r="Z196" s="94" t="s">
        <v>153</v>
      </c>
      <c r="AA196" s="36"/>
      <c r="AB196" s="36"/>
      <c r="AC196" s="111"/>
      <c r="AD196" s="112"/>
      <c r="AE196" s="37"/>
      <c r="AF196" s="97"/>
      <c r="AG196" s="14"/>
      <c r="AH196" s="14"/>
      <c r="AI196" s="14"/>
      <c r="AJ196" s="113"/>
      <c r="AK196" s="104" t="s">
        <v>104</v>
      </c>
      <c r="AM196" s="104" t="s">
        <v>105</v>
      </c>
      <c r="AO196" s="104" t="s">
        <v>106</v>
      </c>
      <c r="AQ196" s="105" t="s">
        <v>107</v>
      </c>
      <c r="AS196" s="104" t="s">
        <v>100</v>
      </c>
      <c r="AU196" s="114" t="s">
        <v>101</v>
      </c>
      <c r="AW196" s="105" t="s">
        <v>102</v>
      </c>
      <c r="AY196" s="340" t="s">
        <v>103</v>
      </c>
      <c r="AZ196" s="24"/>
    </row>
    <row r="197">
      <c r="A197" s="192">
        <v>2569.0</v>
      </c>
      <c r="B197" s="193"/>
      <c r="E197" s="115" t="s">
        <v>198</v>
      </c>
      <c r="F197" s="116" t="s">
        <v>214</v>
      </c>
      <c r="G197" s="115" t="str">
        <f t="shared" ref="G197:H197" si="292">G41</f>
        <v>A11</v>
      </c>
      <c r="H197" s="9" t="str">
        <f t="shared" si="292"/>
        <v>B10</v>
      </c>
      <c r="I197" s="9" t="str">
        <f t="shared" ref="I197:J197" si="293">I35</f>
        <v>A5</v>
      </c>
      <c r="J197" s="9" t="str">
        <f t="shared" si="293"/>
        <v>B11</v>
      </c>
      <c r="K197" s="36"/>
      <c r="L197" s="117"/>
      <c r="M197" s="118" t="str">
        <f t="shared" ref="M197:P197" si="294">C197</f>
        <v/>
      </c>
      <c r="N197" s="119" t="str">
        <f t="shared" si="294"/>
        <v/>
      </c>
      <c r="O197" s="118" t="str">
        <f t="shared" si="294"/>
        <v>A6</v>
      </c>
      <c r="P197" s="118" t="str">
        <f t="shared" si="294"/>
        <v>B11</v>
      </c>
      <c r="Q197" s="118" t="str">
        <f t="shared" ref="Q197:R197" si="295">E198</f>
        <v>B1</v>
      </c>
      <c r="R197" s="119" t="str">
        <f t="shared" si="295"/>
        <v>C12</v>
      </c>
      <c r="S197" s="9" t="s">
        <v>165</v>
      </c>
      <c r="T197" s="110" t="s">
        <v>115</v>
      </c>
      <c r="U197" s="9" t="str">
        <f t="shared" ref="U197:X197" si="296">G197</f>
        <v>A11</v>
      </c>
      <c r="V197" s="119" t="str">
        <f t="shared" si="296"/>
        <v>B10</v>
      </c>
      <c r="W197" s="118" t="str">
        <f t="shared" si="296"/>
        <v>A5</v>
      </c>
      <c r="X197" s="120" t="str">
        <f t="shared" si="296"/>
        <v>B11</v>
      </c>
      <c r="Y197" s="73" t="s">
        <v>126</v>
      </c>
      <c r="Z197" s="94" t="s">
        <v>155</v>
      </c>
      <c r="AA197" s="36"/>
      <c r="AB197" s="36"/>
      <c r="AC197" s="111"/>
      <c r="AD197" s="112"/>
      <c r="AE197" s="37"/>
      <c r="AF197" s="97"/>
      <c r="AG197" s="14"/>
      <c r="AH197" s="14"/>
      <c r="AI197" s="14"/>
      <c r="AJ197" s="113"/>
      <c r="AK197" s="104" t="s">
        <v>122</v>
      </c>
      <c r="AM197" s="104" t="s">
        <v>123</v>
      </c>
      <c r="AO197" s="104" t="s">
        <v>124</v>
      </c>
      <c r="AQ197" s="105" t="s">
        <v>125</v>
      </c>
      <c r="AS197" s="104" t="s">
        <v>118</v>
      </c>
      <c r="AU197" s="114" t="s">
        <v>119</v>
      </c>
      <c r="AW197" s="105" t="s">
        <v>120</v>
      </c>
      <c r="AY197" s="340" t="s">
        <v>121</v>
      </c>
      <c r="AZ197" s="24"/>
    </row>
    <row r="198">
      <c r="A198" s="192">
        <f>A197-543</f>
        <v>2026</v>
      </c>
      <c r="B198" s="193"/>
      <c r="E198" s="115" t="s">
        <v>80</v>
      </c>
      <c r="F198" s="116" t="s">
        <v>127</v>
      </c>
      <c r="G198" s="115"/>
      <c r="H198" s="118"/>
      <c r="I198" s="118"/>
      <c r="J198" s="118"/>
      <c r="K198" s="36"/>
      <c r="L198" s="117"/>
      <c r="M198" s="8"/>
      <c r="N198" s="121"/>
      <c r="O198" s="8"/>
      <c r="P198" s="8"/>
      <c r="Q198" s="8"/>
      <c r="R198" s="121"/>
      <c r="S198" s="8"/>
      <c r="T198" s="121"/>
      <c r="U198" s="9"/>
      <c r="V198" s="110"/>
      <c r="W198" s="9"/>
      <c r="X198" s="110"/>
      <c r="Y198" s="73" t="s">
        <v>69</v>
      </c>
      <c r="Z198" s="94" t="s">
        <v>128</v>
      </c>
      <c r="AA198" s="36"/>
      <c r="AB198" s="36"/>
      <c r="AC198" s="111"/>
      <c r="AD198" s="112"/>
      <c r="AE198" s="37"/>
      <c r="AF198" s="97"/>
      <c r="AG198" s="14"/>
      <c r="AH198" s="14"/>
      <c r="AI198" s="14"/>
      <c r="AJ198" s="113"/>
      <c r="AK198" s="104" t="s">
        <v>133</v>
      </c>
      <c r="AM198" s="104" t="s">
        <v>134</v>
      </c>
      <c r="AO198" s="104" t="s">
        <v>135</v>
      </c>
      <c r="AQ198" s="105" t="s">
        <v>136</v>
      </c>
      <c r="AS198" s="104" t="s">
        <v>129</v>
      </c>
      <c r="AU198" s="114" t="s">
        <v>130</v>
      </c>
      <c r="AW198" s="105" t="s">
        <v>131</v>
      </c>
      <c r="AY198" s="340" t="s">
        <v>132</v>
      </c>
      <c r="AZ198" s="24"/>
    </row>
    <row r="199">
      <c r="A199" s="230"/>
      <c r="B199" s="231"/>
      <c r="C199" s="185"/>
      <c r="D199" s="186"/>
      <c r="E199" s="176" t="s">
        <v>157</v>
      </c>
      <c r="F199" s="88"/>
      <c r="G199" s="146" t="str">
        <f>G5:H5</f>
        <v>อสูรเดือน E</v>
      </c>
      <c r="H199" s="147"/>
      <c r="I199" s="148" t="str">
        <f>I5:J5</f>
        <v>อสูรปี N</v>
      </c>
      <c r="J199" s="147"/>
      <c r="K199" s="149"/>
      <c r="L199" s="150"/>
      <c r="M199" s="151"/>
      <c r="N199" s="152"/>
      <c r="O199" s="151"/>
      <c r="P199" s="151"/>
      <c r="Q199" s="151"/>
      <c r="R199" s="152"/>
      <c r="S199" s="151"/>
      <c r="T199" s="152"/>
      <c r="U199" s="153"/>
      <c r="V199" s="154"/>
      <c r="W199" s="153"/>
      <c r="X199" s="154"/>
      <c r="Y199" s="233"/>
      <c r="Z199" s="234"/>
      <c r="AA199" s="156"/>
      <c r="AB199" s="156"/>
      <c r="AC199" s="235"/>
      <c r="AD199" s="236"/>
      <c r="AE199" s="237"/>
      <c r="AF199" s="238"/>
      <c r="AG199" s="239"/>
      <c r="AH199" s="239"/>
      <c r="AI199" s="239"/>
      <c r="AJ199" s="157"/>
      <c r="AK199" s="158"/>
      <c r="AL199" s="158"/>
      <c r="AM199" s="158"/>
      <c r="AN199" s="158"/>
      <c r="AO199" s="158"/>
      <c r="AP199" s="158"/>
      <c r="AQ199" s="158"/>
      <c r="AR199" s="158"/>
      <c r="AS199" s="158"/>
      <c r="AT199" s="158"/>
      <c r="AU199" s="158"/>
      <c r="AV199" s="158"/>
      <c r="AW199" s="240"/>
      <c r="AX199" s="158"/>
      <c r="AY199" s="241"/>
      <c r="AZ199" s="24"/>
    </row>
    <row r="200">
      <c r="A200" s="188" t="s">
        <v>169</v>
      </c>
      <c r="B200" s="189"/>
      <c r="C200" s="63"/>
      <c r="D200" s="63"/>
      <c r="E200" s="64">
        <f>(O201+P201+Q201+R201)/(O202+P202+Q202+R202)</f>
        <v>0.2125</v>
      </c>
      <c r="F200" s="65"/>
      <c r="G200" s="133"/>
      <c r="H200" s="66"/>
      <c r="I200" s="67"/>
      <c r="J200" s="67"/>
      <c r="K200" s="68"/>
      <c r="L200" s="69"/>
      <c r="M200" s="63" t="s">
        <v>64</v>
      </c>
      <c r="N200" s="70"/>
      <c r="O200" s="71" t="s">
        <v>65</v>
      </c>
      <c r="P200" s="72"/>
      <c r="Q200" s="72"/>
      <c r="R200" s="70"/>
      <c r="S200" s="71" t="s">
        <v>66</v>
      </c>
      <c r="T200" s="70"/>
      <c r="U200" s="71" t="s">
        <v>67</v>
      </c>
      <c r="V200" s="70"/>
      <c r="W200" s="71" t="s">
        <v>68</v>
      </c>
      <c r="X200" s="70"/>
      <c r="Y200" s="134" t="s">
        <v>80</v>
      </c>
      <c r="Z200" s="74" t="s">
        <v>181</v>
      </c>
      <c r="AA200" s="75" t="s">
        <v>202</v>
      </c>
      <c r="AB200" s="75" t="s">
        <v>226</v>
      </c>
      <c r="AC200" s="95" t="s">
        <v>73</v>
      </c>
      <c r="AD200" s="94" t="s">
        <v>74</v>
      </c>
      <c r="AE200" s="63" t="s">
        <v>35</v>
      </c>
      <c r="AF200" s="78" t="s">
        <v>36</v>
      </c>
      <c r="AG200" s="79" t="s">
        <v>71</v>
      </c>
      <c r="AH200" s="79">
        <v>210.0</v>
      </c>
      <c r="AI200" s="79" t="s">
        <v>175</v>
      </c>
      <c r="AJ200" s="80" t="str">
        <f>AJ194</f>
        <v>開</v>
      </c>
      <c r="AK200" s="81" t="s">
        <v>38</v>
      </c>
      <c r="AL200" s="82" t="str">
        <f>AL194</f>
        <v>休</v>
      </c>
      <c r="AM200" s="81" t="s">
        <v>40</v>
      </c>
      <c r="AN200" s="82" t="s">
        <v>4</v>
      </c>
      <c r="AO200" s="81" t="s">
        <v>42</v>
      </c>
      <c r="AP200" s="82" t="str">
        <f>AP194</f>
        <v>傷</v>
      </c>
      <c r="AQ200" s="81" t="s">
        <v>44</v>
      </c>
      <c r="AR200" s="82" t="s">
        <v>8</v>
      </c>
      <c r="AS200" s="81" t="s">
        <v>46</v>
      </c>
      <c r="AT200" s="82" t="str">
        <f>AT194</f>
        <v>景</v>
      </c>
      <c r="AU200" s="81" t="s">
        <v>48</v>
      </c>
      <c r="AV200" s="82" t="str">
        <f>AV194</f>
        <v>死</v>
      </c>
      <c r="AW200" s="81" t="s">
        <v>50</v>
      </c>
      <c r="AX200" s="82" t="str">
        <f>AX194</f>
        <v>驚</v>
      </c>
      <c r="AY200" s="337" t="s">
        <v>52</v>
      </c>
      <c r="AZ200" s="83"/>
      <c r="BA200" s="84"/>
      <c r="BB200" s="84"/>
      <c r="BC200" s="84"/>
    </row>
    <row r="201">
      <c r="A201" s="192">
        <f>A195+1</f>
        <v>31</v>
      </c>
      <c r="B201" s="193"/>
      <c r="C201" s="338" t="s">
        <v>249</v>
      </c>
      <c r="E201" s="87" t="s">
        <v>31</v>
      </c>
      <c r="G201" s="324" t="str">
        <f t="shared" ref="G201:G202" si="299">G39:H39</f>
        <v>癸</v>
      </c>
      <c r="I201" s="275" t="str">
        <f t="shared" ref="I201:I202" si="300">I39:J39</f>
        <v>丙</v>
      </c>
      <c r="K201" s="90">
        <f>L201/L202</f>
        <v>0.46</v>
      </c>
      <c r="L201" s="126">
        <f t="shared" ref="L201:L202" si="301">O201+P201+Q201+U201+V201+W201+X201+R201+M201+N201+S201+T201</f>
        <v>460</v>
      </c>
      <c r="M201" s="92">
        <v>0.0</v>
      </c>
      <c r="N201" s="93">
        <v>0.0</v>
      </c>
      <c r="O201" s="92">
        <v>75.0</v>
      </c>
      <c r="P201" s="92">
        <v>0.0</v>
      </c>
      <c r="Q201" s="92">
        <v>0.0</v>
      </c>
      <c r="R201" s="93">
        <v>10.0</v>
      </c>
      <c r="S201" s="92">
        <v>65.0</v>
      </c>
      <c r="T201" s="93">
        <v>35.0</v>
      </c>
      <c r="U201" s="92">
        <f t="shared" ref="U201:V201" si="297">U45</f>
        <v>65</v>
      </c>
      <c r="V201" s="93">
        <f t="shared" si="297"/>
        <v>40</v>
      </c>
      <c r="W201" s="92">
        <f t="shared" ref="W201:X201" si="298">W39</f>
        <v>110</v>
      </c>
      <c r="X201" s="93">
        <f t="shared" si="298"/>
        <v>60</v>
      </c>
      <c r="Y201" s="73" t="s">
        <v>98</v>
      </c>
      <c r="Z201" s="94" t="s">
        <v>163</v>
      </c>
      <c r="AA201" s="36"/>
      <c r="AB201" s="29" t="s">
        <v>227</v>
      </c>
      <c r="AC201" s="95" t="s">
        <v>82</v>
      </c>
      <c r="AD201" s="96" t="s">
        <v>83</v>
      </c>
      <c r="AE201" s="37"/>
      <c r="AF201" s="97"/>
      <c r="AG201" s="12" t="s">
        <v>53</v>
      </c>
      <c r="AH201" s="12">
        <v>30.0</v>
      </c>
      <c r="AI201" s="12" t="s">
        <v>178</v>
      </c>
      <c r="AJ201" s="98" t="s">
        <v>41</v>
      </c>
      <c r="AK201" s="103" t="s">
        <v>92</v>
      </c>
      <c r="AL201" s="100" t="s">
        <v>39</v>
      </c>
      <c r="AM201" s="99" t="s">
        <v>93</v>
      </c>
      <c r="AN201" s="100" t="s">
        <v>37</v>
      </c>
      <c r="AO201" s="99" t="s">
        <v>94</v>
      </c>
      <c r="AP201" s="100" t="s">
        <v>51</v>
      </c>
      <c r="AQ201" s="101" t="s">
        <v>95</v>
      </c>
      <c r="AR201" s="100" t="s">
        <v>86</v>
      </c>
      <c r="AS201" s="99" t="s">
        <v>87</v>
      </c>
      <c r="AT201" s="100" t="s">
        <v>88</v>
      </c>
      <c r="AU201" s="101" t="s">
        <v>89</v>
      </c>
      <c r="AV201" s="100" t="s">
        <v>45</v>
      </c>
      <c r="AW201" s="102" t="s">
        <v>90</v>
      </c>
      <c r="AX201" s="100" t="s">
        <v>43</v>
      </c>
      <c r="AY201" s="339" t="s">
        <v>91</v>
      </c>
      <c r="AZ201" s="24"/>
    </row>
    <row r="202">
      <c r="A202" s="229" t="str">
        <f>A196</f>
        <v>พฤษภาคม</v>
      </c>
      <c r="B202" s="193"/>
      <c r="C202" s="212" t="s">
        <v>228</v>
      </c>
      <c r="E202" s="201" t="s">
        <v>54</v>
      </c>
      <c r="G202" s="223" t="str">
        <f t="shared" si="299"/>
        <v>巳</v>
      </c>
      <c r="I202" s="142" t="str">
        <f t="shared" si="300"/>
        <v>午</v>
      </c>
      <c r="K202" s="36"/>
      <c r="L202" s="109">
        <f t="shared" si="301"/>
        <v>1000</v>
      </c>
      <c r="M202" s="9">
        <v>0.0</v>
      </c>
      <c r="N202" s="110">
        <v>0.0</v>
      </c>
      <c r="O202" s="9">
        <v>100.0</v>
      </c>
      <c r="P202" s="9">
        <v>100.0</v>
      </c>
      <c r="Q202" s="9">
        <v>100.0</v>
      </c>
      <c r="R202" s="110">
        <v>100.0</v>
      </c>
      <c r="S202" s="9">
        <v>100.0</v>
      </c>
      <c r="T202" s="110">
        <v>100.0</v>
      </c>
      <c r="U202" s="9">
        <v>100.0</v>
      </c>
      <c r="V202" s="110">
        <v>100.0</v>
      </c>
      <c r="W202" s="9">
        <v>100.0</v>
      </c>
      <c r="X202" s="110">
        <v>100.0</v>
      </c>
      <c r="Y202" s="73" t="s">
        <v>116</v>
      </c>
      <c r="Z202" s="94" t="s">
        <v>153</v>
      </c>
      <c r="AA202" s="36"/>
      <c r="AB202" s="36"/>
      <c r="AC202" s="111"/>
      <c r="AD202" s="112"/>
      <c r="AE202" s="37"/>
      <c r="AF202" s="97"/>
      <c r="AG202" s="14"/>
      <c r="AH202" s="14"/>
      <c r="AI202" s="14"/>
      <c r="AJ202" s="113"/>
      <c r="AK202" s="104" t="s">
        <v>104</v>
      </c>
      <c r="AM202" s="104" t="s">
        <v>105</v>
      </c>
      <c r="AO202" s="104" t="s">
        <v>106</v>
      </c>
      <c r="AQ202" s="105" t="s">
        <v>107</v>
      </c>
      <c r="AS202" s="104" t="s">
        <v>100</v>
      </c>
      <c r="AU202" s="114" t="s">
        <v>101</v>
      </c>
      <c r="AW202" s="105" t="s">
        <v>102</v>
      </c>
      <c r="AY202" s="340" t="s">
        <v>103</v>
      </c>
      <c r="AZ202" s="24"/>
    </row>
    <row r="203">
      <c r="A203" s="192">
        <v>2569.0</v>
      </c>
      <c r="B203" s="193"/>
      <c r="E203" s="115" t="s">
        <v>112</v>
      </c>
      <c r="F203" s="116" t="s">
        <v>113</v>
      </c>
      <c r="G203" s="115" t="str">
        <f t="shared" ref="G203:H203" si="302">G47</f>
        <v>A11</v>
      </c>
      <c r="H203" s="9" t="str">
        <f t="shared" si="302"/>
        <v>B10</v>
      </c>
      <c r="I203" s="9" t="str">
        <f t="shared" ref="I203:J203" si="303">I41</f>
        <v>A5</v>
      </c>
      <c r="J203" s="9" t="str">
        <f t="shared" si="303"/>
        <v>B11</v>
      </c>
      <c r="K203" s="36"/>
      <c r="L203" s="117"/>
      <c r="M203" s="118" t="str">
        <f t="shared" ref="M203:P203" si="304">C203</f>
        <v/>
      </c>
      <c r="N203" s="119" t="str">
        <f t="shared" si="304"/>
        <v/>
      </c>
      <c r="O203" s="118" t="str">
        <f t="shared" si="304"/>
        <v>A2</v>
      </c>
      <c r="P203" s="118" t="str">
        <f t="shared" si="304"/>
        <v>B12</v>
      </c>
      <c r="Q203" s="118" t="str">
        <f t="shared" ref="Q203:R203" si="305">E204</f>
        <v>B12</v>
      </c>
      <c r="R203" s="119" t="str">
        <f t="shared" si="305"/>
        <v>C1</v>
      </c>
      <c r="S203" s="9" t="s">
        <v>110</v>
      </c>
      <c r="T203" s="110" t="s">
        <v>112</v>
      </c>
      <c r="U203" s="9" t="str">
        <f t="shared" ref="U203:X203" si="306">G203</f>
        <v>A11</v>
      </c>
      <c r="V203" s="119" t="str">
        <f t="shared" si="306"/>
        <v>B10</v>
      </c>
      <c r="W203" s="118" t="str">
        <f t="shared" si="306"/>
        <v>A5</v>
      </c>
      <c r="X203" s="120" t="str">
        <f t="shared" si="306"/>
        <v>B11</v>
      </c>
      <c r="Y203" s="73" t="s">
        <v>126</v>
      </c>
      <c r="Z203" s="94" t="s">
        <v>155</v>
      </c>
      <c r="AA203" s="36"/>
      <c r="AB203" s="36"/>
      <c r="AC203" s="111"/>
      <c r="AD203" s="112"/>
      <c r="AE203" s="37"/>
      <c r="AF203" s="97"/>
      <c r="AG203" s="14"/>
      <c r="AH203" s="14"/>
      <c r="AI203" s="14"/>
      <c r="AJ203" s="113"/>
      <c r="AK203" s="104" t="s">
        <v>122</v>
      </c>
      <c r="AM203" s="104" t="s">
        <v>123</v>
      </c>
      <c r="AO203" s="104" t="s">
        <v>124</v>
      </c>
      <c r="AQ203" s="105" t="s">
        <v>125</v>
      </c>
      <c r="AS203" s="104" t="s">
        <v>118</v>
      </c>
      <c r="AU203" s="114" t="s">
        <v>119</v>
      </c>
      <c r="AW203" s="105" t="s">
        <v>120</v>
      </c>
      <c r="AY203" s="340" t="s">
        <v>121</v>
      </c>
      <c r="AZ203" s="24"/>
    </row>
    <row r="204">
      <c r="A204" s="192">
        <f>A203-543</f>
        <v>2026</v>
      </c>
      <c r="B204" s="193"/>
      <c r="C204" s="347" t="s">
        <v>335</v>
      </c>
      <c r="E204" s="115" t="s">
        <v>113</v>
      </c>
      <c r="F204" s="116" t="s">
        <v>154</v>
      </c>
      <c r="G204" s="115"/>
      <c r="H204" s="118"/>
      <c r="I204" s="118"/>
      <c r="J204" s="118"/>
      <c r="K204" s="36"/>
      <c r="L204" s="117"/>
      <c r="M204" s="8"/>
      <c r="N204" s="121"/>
      <c r="O204" s="8"/>
      <c r="P204" s="8"/>
      <c r="Q204" s="8"/>
      <c r="R204" s="121"/>
      <c r="S204" s="8"/>
      <c r="T204" s="121"/>
      <c r="U204" s="9"/>
      <c r="V204" s="110"/>
      <c r="W204" s="9"/>
      <c r="X204" s="110"/>
      <c r="Y204" s="73" t="s">
        <v>69</v>
      </c>
      <c r="Z204" s="94" t="s">
        <v>128</v>
      </c>
      <c r="AA204" s="36"/>
      <c r="AB204" s="36"/>
      <c r="AC204" s="111"/>
      <c r="AD204" s="112"/>
      <c r="AE204" s="37"/>
      <c r="AF204" s="97"/>
      <c r="AG204" s="14"/>
      <c r="AH204" s="14"/>
      <c r="AI204" s="14"/>
      <c r="AJ204" s="113"/>
      <c r="AK204" s="104" t="s">
        <v>133</v>
      </c>
      <c r="AM204" s="104" t="s">
        <v>134</v>
      </c>
      <c r="AO204" s="104" t="s">
        <v>135</v>
      </c>
      <c r="AQ204" s="105" t="s">
        <v>136</v>
      </c>
      <c r="AS204" s="104" t="s">
        <v>129</v>
      </c>
      <c r="AU204" s="114" t="s">
        <v>130</v>
      </c>
      <c r="AW204" s="105" t="s">
        <v>131</v>
      </c>
      <c r="AY204" s="340" t="s">
        <v>132</v>
      </c>
      <c r="AZ204" s="24"/>
    </row>
    <row r="205">
      <c r="A205" s="368" t="s">
        <v>339</v>
      </c>
      <c r="B205" s="231"/>
      <c r="C205" s="185" t="s">
        <v>336</v>
      </c>
      <c r="D205" s="147"/>
      <c r="E205" s="232" t="s">
        <v>168</v>
      </c>
      <c r="F205" s="125"/>
      <c r="G205" s="146" t="str">
        <f>G11:H11</f>
        <v/>
      </c>
      <c r="H205" s="147"/>
      <c r="I205" s="148" t="str">
        <f>I11:J11</f>
        <v/>
      </c>
      <c r="J205" s="147"/>
      <c r="K205" s="149"/>
      <c r="L205" s="150"/>
      <c r="M205" s="151"/>
      <c r="N205" s="152"/>
      <c r="O205" s="151"/>
      <c r="P205" s="151"/>
      <c r="Q205" s="151"/>
      <c r="R205" s="152"/>
      <c r="S205" s="151"/>
      <c r="T205" s="152"/>
      <c r="U205" s="153"/>
      <c r="V205" s="154"/>
      <c r="W205" s="153"/>
      <c r="X205" s="154"/>
      <c r="Y205" s="233"/>
      <c r="Z205" s="234"/>
      <c r="AA205" s="156"/>
      <c r="AB205" s="156"/>
      <c r="AC205" s="235"/>
      <c r="AD205" s="236"/>
      <c r="AE205" s="237"/>
      <c r="AF205" s="238"/>
      <c r="AG205" s="239"/>
      <c r="AH205" s="239"/>
      <c r="AI205" s="239"/>
      <c r="AJ205" s="157"/>
      <c r="AK205" s="158"/>
      <c r="AL205" s="158"/>
      <c r="AM205" s="158"/>
      <c r="AN205" s="158"/>
      <c r="AO205" s="158"/>
      <c r="AP205" s="158"/>
      <c r="AQ205" s="158"/>
      <c r="AR205" s="158"/>
      <c r="AS205" s="158"/>
      <c r="AT205" s="158"/>
      <c r="AU205" s="158"/>
      <c r="AV205" s="158"/>
      <c r="AW205" s="240"/>
      <c r="AX205" s="158"/>
      <c r="AY205" s="241"/>
      <c r="AZ205" s="24"/>
    </row>
    <row r="206">
      <c r="A206" s="242"/>
      <c r="B206" s="243"/>
      <c r="C206" s="244"/>
      <c r="D206" s="244"/>
      <c r="E206" s="87"/>
      <c r="F206" s="88"/>
      <c r="G206" s="245"/>
      <c r="H206" s="246"/>
      <c r="I206" s="247"/>
      <c r="J206" s="244"/>
      <c r="K206" s="244"/>
      <c r="L206" s="247"/>
      <c r="W206" s="242"/>
      <c r="X206" s="248"/>
      <c r="Y206" s="249"/>
      <c r="Z206" s="250"/>
      <c r="AA206" s="36"/>
      <c r="AB206" s="36"/>
      <c r="AC206" s="13"/>
      <c r="AD206" s="13"/>
      <c r="AE206" s="37"/>
      <c r="AF206" s="37"/>
      <c r="AG206" s="14"/>
      <c r="AH206" s="14"/>
      <c r="AI206" s="14"/>
      <c r="AZ206" s="24"/>
    </row>
    <row r="207">
      <c r="A207" s="242"/>
      <c r="B207" s="243"/>
      <c r="C207" s="244"/>
      <c r="D207" s="244"/>
      <c r="E207" s="162"/>
      <c r="F207" s="88"/>
      <c r="G207" s="245"/>
      <c r="H207" s="246"/>
      <c r="I207" s="247"/>
      <c r="J207" s="244"/>
      <c r="K207" s="244"/>
      <c r="L207" s="247"/>
      <c r="W207" s="242"/>
      <c r="X207" s="248"/>
      <c r="Y207" s="249"/>
      <c r="Z207" s="250"/>
      <c r="AA207" s="36"/>
      <c r="AB207" s="36"/>
      <c r="AC207" s="13"/>
      <c r="AD207" s="13"/>
      <c r="AE207" s="37"/>
      <c r="AF207" s="37"/>
      <c r="AG207" s="14"/>
      <c r="AH207" s="14"/>
      <c r="AI207" s="14"/>
      <c r="AZ207" s="24"/>
    </row>
    <row r="208">
      <c r="A208" s="242"/>
      <c r="B208" s="243"/>
      <c r="C208" s="251" t="s">
        <v>182</v>
      </c>
      <c r="D208" s="251">
        <v>80.0</v>
      </c>
      <c r="E208" s="252" t="s">
        <v>250</v>
      </c>
      <c r="F208" s="253"/>
      <c r="G208" s="254" t="s">
        <v>176</v>
      </c>
      <c r="H208" s="255"/>
      <c r="I208" s="256"/>
      <c r="J208" s="249" t="s">
        <v>80</v>
      </c>
      <c r="K208" s="253">
        <v>70.0</v>
      </c>
      <c r="L208" s="257" t="s">
        <v>251</v>
      </c>
      <c r="M208" s="257" t="s">
        <v>231</v>
      </c>
      <c r="N208" s="258"/>
      <c r="O208" s="258"/>
      <c r="P208" s="258"/>
      <c r="Q208" s="259"/>
      <c r="R208" s="259"/>
      <c r="S208" s="259"/>
      <c r="T208" s="259"/>
      <c r="U208" s="259"/>
      <c r="V208" s="260"/>
      <c r="W208" s="259"/>
      <c r="X208" s="261" t="s">
        <v>154</v>
      </c>
      <c r="Y208" s="261">
        <v>50.0</v>
      </c>
      <c r="Z208" s="262" t="s">
        <v>252</v>
      </c>
      <c r="AA208" s="263" t="s">
        <v>253</v>
      </c>
      <c r="AB208" s="258"/>
      <c r="AC208" s="13"/>
      <c r="AD208" s="13"/>
      <c r="AE208" s="37"/>
      <c r="AF208" s="37"/>
      <c r="AG208" s="14"/>
      <c r="AH208" s="14"/>
      <c r="AI208" s="14"/>
      <c r="AZ208" s="24"/>
    </row>
    <row r="209">
      <c r="A209" s="242"/>
      <c r="B209" s="243"/>
      <c r="C209" s="251" t="s">
        <v>112</v>
      </c>
      <c r="D209" s="251">
        <v>40.0</v>
      </c>
      <c r="E209" s="252" t="s">
        <v>254</v>
      </c>
      <c r="F209" s="253"/>
      <c r="G209" s="254" t="s">
        <v>249</v>
      </c>
      <c r="H209" s="255"/>
      <c r="I209" s="256"/>
      <c r="J209" s="249" t="s">
        <v>98</v>
      </c>
      <c r="K209" s="253">
        <v>80.0</v>
      </c>
      <c r="L209" s="257" t="s">
        <v>255</v>
      </c>
      <c r="M209" s="257" t="s">
        <v>235</v>
      </c>
      <c r="N209" s="258"/>
      <c r="O209" s="258"/>
      <c r="P209" s="258"/>
      <c r="Q209" s="259"/>
      <c r="R209" s="259"/>
      <c r="S209" s="259"/>
      <c r="T209" s="259"/>
      <c r="U209" s="259"/>
      <c r="V209" s="260"/>
      <c r="W209" s="259"/>
      <c r="X209" s="261" t="s">
        <v>167</v>
      </c>
      <c r="Y209" s="261" t="s">
        <v>256</v>
      </c>
      <c r="Z209" s="262" t="s">
        <v>257</v>
      </c>
      <c r="AA209" s="263" t="s">
        <v>258</v>
      </c>
      <c r="AB209" s="258"/>
      <c r="AC209" s="13"/>
      <c r="AD209" s="13"/>
      <c r="AE209" s="37"/>
      <c r="AF209" s="37"/>
      <c r="AG209" s="14"/>
      <c r="AH209" s="14"/>
      <c r="AI209" s="14"/>
      <c r="AZ209" s="24"/>
    </row>
    <row r="210">
      <c r="A210" s="242"/>
      <c r="B210" s="243"/>
      <c r="C210" s="251" t="s">
        <v>219</v>
      </c>
      <c r="D210" s="251">
        <v>90.0</v>
      </c>
      <c r="E210" s="252" t="s">
        <v>259</v>
      </c>
      <c r="F210" s="253"/>
      <c r="G210" s="254" t="s">
        <v>260</v>
      </c>
      <c r="H210" s="255"/>
      <c r="I210" s="256"/>
      <c r="J210" s="249" t="s">
        <v>183</v>
      </c>
      <c r="K210" s="253">
        <v>20.0</v>
      </c>
      <c r="L210" s="264" t="s">
        <v>261</v>
      </c>
      <c r="M210" s="257" t="s">
        <v>239</v>
      </c>
      <c r="N210" s="258"/>
      <c r="O210" s="258"/>
      <c r="P210" s="258"/>
      <c r="Q210" s="259"/>
      <c r="R210" s="259"/>
      <c r="S210" s="259"/>
      <c r="T210" s="259"/>
      <c r="U210" s="259"/>
      <c r="V210" s="259"/>
      <c r="W210" s="260"/>
      <c r="X210" s="261" t="s">
        <v>184</v>
      </c>
      <c r="Y210" s="261">
        <v>80.0</v>
      </c>
      <c r="Z210" s="262" t="s">
        <v>262</v>
      </c>
      <c r="AA210" s="263" t="s">
        <v>263</v>
      </c>
      <c r="AB210" s="258"/>
      <c r="AC210" s="13"/>
      <c r="AD210" s="13"/>
      <c r="AE210" s="37"/>
      <c r="AF210" s="37"/>
      <c r="AG210" s="14"/>
      <c r="AH210" s="14"/>
      <c r="AI210" s="14"/>
      <c r="AZ210" s="24"/>
    </row>
    <row r="211">
      <c r="A211" s="242"/>
      <c r="B211" s="243"/>
      <c r="C211" s="251" t="s">
        <v>213</v>
      </c>
      <c r="D211" s="251">
        <v>100.0</v>
      </c>
      <c r="E211" s="252" t="s">
        <v>264</v>
      </c>
      <c r="F211" s="253"/>
      <c r="G211" s="254" t="s">
        <v>265</v>
      </c>
      <c r="H211" s="255"/>
      <c r="I211" s="256"/>
      <c r="J211" s="249" t="s">
        <v>109</v>
      </c>
      <c r="K211" s="253">
        <v>30.0</v>
      </c>
      <c r="L211" s="264" t="s">
        <v>266</v>
      </c>
      <c r="M211" s="257" t="s">
        <v>96</v>
      </c>
      <c r="N211" s="258"/>
      <c r="O211" s="258"/>
      <c r="P211" s="258"/>
      <c r="Q211" s="259"/>
      <c r="R211" s="259"/>
      <c r="S211" s="259"/>
      <c r="T211" s="259"/>
      <c r="U211" s="259"/>
      <c r="V211" s="259"/>
      <c r="W211" s="260"/>
      <c r="X211" s="261" t="s">
        <v>190</v>
      </c>
      <c r="Y211" s="261">
        <v>50.0</v>
      </c>
      <c r="Z211" s="262" t="s">
        <v>267</v>
      </c>
      <c r="AA211" s="263" t="s">
        <v>268</v>
      </c>
      <c r="AB211" s="258"/>
      <c r="AC211" s="13"/>
      <c r="AD211" s="13"/>
      <c r="AE211" s="37"/>
      <c r="AF211" s="37"/>
      <c r="AG211" s="14"/>
      <c r="AH211" s="14"/>
      <c r="AI211" s="14"/>
      <c r="AZ211" s="24"/>
    </row>
    <row r="212">
      <c r="A212" s="242"/>
      <c r="B212" s="243"/>
      <c r="C212" s="251" t="s">
        <v>204</v>
      </c>
      <c r="D212" s="251">
        <v>110.0</v>
      </c>
      <c r="E212" s="252" t="s">
        <v>269</v>
      </c>
      <c r="F212" s="253"/>
      <c r="G212" s="254" t="s">
        <v>270</v>
      </c>
      <c r="H212" s="255"/>
      <c r="I212" s="256"/>
      <c r="J212" s="249" t="s">
        <v>116</v>
      </c>
      <c r="K212" s="253">
        <v>100.0</v>
      </c>
      <c r="L212" s="264" t="s">
        <v>271</v>
      </c>
      <c r="M212" s="257" t="s">
        <v>151</v>
      </c>
      <c r="N212" s="258"/>
      <c r="O212" s="258"/>
      <c r="P212" s="258"/>
      <c r="Q212" s="259"/>
      <c r="R212" s="259"/>
      <c r="S212" s="259"/>
      <c r="T212" s="259"/>
      <c r="U212" s="259"/>
      <c r="V212" s="259"/>
      <c r="W212" s="260"/>
      <c r="X212" s="261" t="s">
        <v>205</v>
      </c>
      <c r="Y212" s="261">
        <v>80.0</v>
      </c>
      <c r="Z212" s="262" t="s">
        <v>272</v>
      </c>
      <c r="AA212" s="263" t="s">
        <v>273</v>
      </c>
      <c r="AB212" s="258"/>
      <c r="AC212" s="13"/>
      <c r="AD212" s="13"/>
      <c r="AE212" s="37"/>
      <c r="AF212" s="37"/>
      <c r="AG212" s="14"/>
      <c r="AH212" s="14"/>
      <c r="AI212" s="14"/>
      <c r="AZ212" s="24"/>
    </row>
    <row r="213">
      <c r="A213" s="242"/>
      <c r="B213" s="243"/>
      <c r="C213" s="251" t="s">
        <v>198</v>
      </c>
      <c r="D213" s="251">
        <v>30.0</v>
      </c>
      <c r="E213" s="252" t="s">
        <v>274</v>
      </c>
      <c r="F213" s="253"/>
      <c r="G213" s="254" t="s">
        <v>248</v>
      </c>
      <c r="H213" s="255"/>
      <c r="I213" s="256"/>
      <c r="J213" s="249" t="s">
        <v>126</v>
      </c>
      <c r="K213" s="253">
        <v>90.0</v>
      </c>
      <c r="L213" s="264" t="s">
        <v>275</v>
      </c>
      <c r="M213" s="257" t="s">
        <v>162</v>
      </c>
      <c r="N213" s="258"/>
      <c r="O213" s="258"/>
      <c r="P213" s="258"/>
      <c r="Q213" s="259"/>
      <c r="R213" s="259"/>
      <c r="S213" s="259"/>
      <c r="T213" s="259"/>
      <c r="U213" s="259"/>
      <c r="V213" s="259"/>
      <c r="W213" s="260"/>
      <c r="X213" s="261" t="s">
        <v>215</v>
      </c>
      <c r="Y213" s="261">
        <v>80.0</v>
      </c>
      <c r="Z213" s="262" t="s">
        <v>276</v>
      </c>
      <c r="AA213" s="263" t="s">
        <v>277</v>
      </c>
      <c r="AB213" s="258"/>
      <c r="AC213" s="13"/>
      <c r="AD213" s="13"/>
      <c r="AE213" s="37"/>
      <c r="AF213" s="37"/>
      <c r="AG213" s="14"/>
      <c r="AH213" s="14"/>
      <c r="AI213" s="14"/>
      <c r="AZ213" s="24"/>
    </row>
    <row r="214">
      <c r="A214" s="242"/>
      <c r="B214" s="243"/>
      <c r="C214" s="251" t="s">
        <v>115</v>
      </c>
      <c r="D214" s="251">
        <v>20.0</v>
      </c>
      <c r="E214" s="252" t="s">
        <v>278</v>
      </c>
      <c r="F214" s="253"/>
      <c r="G214" s="254" t="s">
        <v>187</v>
      </c>
      <c r="H214" s="255"/>
      <c r="I214" s="256"/>
      <c r="J214" s="249" t="s">
        <v>111</v>
      </c>
      <c r="K214" s="253">
        <v>0.0</v>
      </c>
      <c r="L214" s="264" t="s">
        <v>279</v>
      </c>
      <c r="M214" s="257" t="s">
        <v>179</v>
      </c>
      <c r="N214" s="258"/>
      <c r="O214" s="258"/>
      <c r="P214" s="258"/>
      <c r="Q214" s="259"/>
      <c r="R214" s="259"/>
      <c r="S214" s="259"/>
      <c r="T214" s="259"/>
      <c r="U214" s="259"/>
      <c r="V214" s="259"/>
      <c r="W214" s="260"/>
      <c r="X214" s="261" t="s">
        <v>220</v>
      </c>
      <c r="Y214" s="261">
        <v>10.0</v>
      </c>
      <c r="Z214" s="262" t="s">
        <v>280</v>
      </c>
      <c r="AA214" s="263" t="s">
        <v>281</v>
      </c>
      <c r="AB214" s="258"/>
      <c r="AC214" s="13"/>
      <c r="AD214" s="13"/>
      <c r="AE214" s="37"/>
      <c r="AF214" s="37"/>
      <c r="AG214" s="14"/>
      <c r="AH214" s="14"/>
      <c r="AI214" s="14"/>
      <c r="AZ214" s="24"/>
    </row>
    <row r="215">
      <c r="A215" s="242"/>
      <c r="B215" s="243"/>
      <c r="C215" s="251" t="s">
        <v>108</v>
      </c>
      <c r="D215" s="251">
        <v>10.0</v>
      </c>
      <c r="E215" s="252" t="s">
        <v>282</v>
      </c>
      <c r="F215" s="253"/>
      <c r="G215" s="254" t="s">
        <v>78</v>
      </c>
      <c r="H215" s="255"/>
      <c r="I215" s="256"/>
      <c r="J215" s="249" t="s">
        <v>69</v>
      </c>
      <c r="K215" s="253">
        <v>90.0</v>
      </c>
      <c r="L215" s="264" t="s">
        <v>283</v>
      </c>
      <c r="M215" s="257" t="s">
        <v>188</v>
      </c>
      <c r="N215" s="258"/>
      <c r="O215" s="258"/>
      <c r="P215" s="258"/>
      <c r="Q215" s="259"/>
      <c r="R215" s="259"/>
      <c r="S215" s="259"/>
      <c r="T215" s="259"/>
      <c r="U215" s="259"/>
      <c r="V215" s="259"/>
      <c r="W215" s="260"/>
      <c r="X215" s="261" t="s">
        <v>225</v>
      </c>
      <c r="Y215" s="261">
        <v>20.0</v>
      </c>
      <c r="Z215" s="262" t="s">
        <v>284</v>
      </c>
      <c r="AA215" s="263" t="s">
        <v>285</v>
      </c>
      <c r="AB215" s="258"/>
      <c r="AC215" s="13"/>
      <c r="AD215" s="13"/>
      <c r="AE215" s="37"/>
      <c r="AF215" s="37"/>
      <c r="AG215" s="14"/>
      <c r="AH215" s="14"/>
      <c r="AI215" s="14"/>
      <c r="AZ215" s="24"/>
    </row>
    <row r="216">
      <c r="A216" s="242"/>
      <c r="B216" s="243"/>
      <c r="C216" s="251" t="s">
        <v>164</v>
      </c>
      <c r="D216" s="251">
        <v>50.0</v>
      </c>
      <c r="E216" s="252" t="s">
        <v>286</v>
      </c>
      <c r="F216" s="253"/>
      <c r="G216" s="254" t="s">
        <v>216</v>
      </c>
      <c r="H216" s="255"/>
      <c r="I216" s="256"/>
      <c r="J216" s="249" t="s">
        <v>212</v>
      </c>
      <c r="K216" s="253">
        <v>50.0</v>
      </c>
      <c r="L216" s="264" t="s">
        <v>287</v>
      </c>
      <c r="M216" s="257" t="s">
        <v>211</v>
      </c>
      <c r="N216" s="258"/>
      <c r="O216" s="258"/>
      <c r="P216" s="258"/>
      <c r="Q216" s="259"/>
      <c r="R216" s="259"/>
      <c r="S216" s="259"/>
      <c r="T216" s="259"/>
      <c r="U216" s="259"/>
      <c r="V216" s="259"/>
      <c r="W216" s="260"/>
      <c r="X216" s="261" t="s">
        <v>229</v>
      </c>
      <c r="Y216" s="261">
        <v>100.0</v>
      </c>
      <c r="Z216" s="262" t="s">
        <v>288</v>
      </c>
      <c r="AA216" s="263" t="s">
        <v>104</v>
      </c>
      <c r="AB216" s="258"/>
      <c r="AC216" s="13"/>
      <c r="AD216" s="13"/>
      <c r="AE216" s="37"/>
      <c r="AF216" s="37"/>
      <c r="AG216" s="14"/>
      <c r="AH216" s="14"/>
      <c r="AI216" s="14"/>
      <c r="AZ216" s="24"/>
    </row>
    <row r="217">
      <c r="A217" s="242"/>
      <c r="B217" s="243"/>
      <c r="C217" s="251" t="s">
        <v>114</v>
      </c>
      <c r="D217" s="251">
        <v>0.0</v>
      </c>
      <c r="E217" s="252" t="s">
        <v>289</v>
      </c>
      <c r="F217" s="253"/>
      <c r="G217" s="254" t="s">
        <v>221</v>
      </c>
      <c r="H217" s="255"/>
      <c r="I217" s="256"/>
      <c r="J217" s="249" t="s">
        <v>218</v>
      </c>
      <c r="K217" s="253">
        <v>40.0</v>
      </c>
      <c r="L217" s="264" t="s">
        <v>290</v>
      </c>
      <c r="M217" s="257" t="s">
        <v>217</v>
      </c>
      <c r="N217" s="258"/>
      <c r="O217" s="258"/>
      <c r="P217" s="258"/>
      <c r="Q217" s="259"/>
      <c r="R217" s="259"/>
      <c r="S217" s="259"/>
      <c r="T217" s="259"/>
      <c r="U217" s="259"/>
      <c r="V217" s="259"/>
      <c r="W217" s="260"/>
      <c r="X217" s="261" t="s">
        <v>232</v>
      </c>
      <c r="Y217" s="261" t="s">
        <v>256</v>
      </c>
      <c r="Z217" s="262" t="s">
        <v>291</v>
      </c>
      <c r="AA217" s="263" t="s">
        <v>292</v>
      </c>
      <c r="AB217" s="258"/>
      <c r="AC217" s="13"/>
      <c r="AD217" s="13"/>
      <c r="AE217" s="37"/>
      <c r="AF217" s="37"/>
      <c r="AG217" s="14"/>
      <c r="AH217" s="14"/>
      <c r="AI217" s="14"/>
      <c r="AZ217" s="24"/>
    </row>
    <row r="218">
      <c r="A218" s="242"/>
      <c r="B218" s="243"/>
      <c r="C218" s="251" t="s">
        <v>110</v>
      </c>
      <c r="D218" s="251">
        <v>60.0</v>
      </c>
      <c r="E218" s="252" t="s">
        <v>293</v>
      </c>
      <c r="F218" s="253"/>
      <c r="G218" s="254" t="s">
        <v>294</v>
      </c>
      <c r="H218" s="255"/>
      <c r="I218" s="256"/>
      <c r="J218" s="249" t="s">
        <v>214</v>
      </c>
      <c r="K218" s="253">
        <v>60.0</v>
      </c>
      <c r="L218" s="264" t="s">
        <v>295</v>
      </c>
      <c r="M218" s="257" t="s">
        <v>223</v>
      </c>
      <c r="N218" s="258"/>
      <c r="O218" s="258"/>
      <c r="P218" s="258"/>
      <c r="Q218" s="259"/>
      <c r="R218" s="259"/>
      <c r="S218" s="259"/>
      <c r="T218" s="259"/>
      <c r="U218" s="259"/>
      <c r="V218" s="259"/>
      <c r="W218" s="260"/>
      <c r="X218" s="261" t="s">
        <v>236</v>
      </c>
      <c r="Y218" s="261">
        <v>80.0</v>
      </c>
      <c r="Z218" s="262" t="s">
        <v>296</v>
      </c>
      <c r="AA218" s="263" t="s">
        <v>1</v>
      </c>
      <c r="AB218" s="258"/>
      <c r="AC218" s="13"/>
      <c r="AD218" s="13"/>
      <c r="AE218" s="37"/>
      <c r="AF218" s="37"/>
      <c r="AG218" s="14"/>
      <c r="AH218" s="14"/>
      <c r="AI218" s="14"/>
      <c r="AZ218" s="24"/>
    </row>
    <row r="219">
      <c r="A219" s="242"/>
      <c r="B219" s="243"/>
      <c r="C219" s="251" t="s">
        <v>165</v>
      </c>
      <c r="D219" s="251">
        <v>70.0</v>
      </c>
      <c r="E219" s="252" t="s">
        <v>297</v>
      </c>
      <c r="F219" s="253"/>
      <c r="G219" s="254" t="s">
        <v>298</v>
      </c>
      <c r="H219" s="255"/>
      <c r="I219" s="256"/>
      <c r="J219" s="249" t="s">
        <v>113</v>
      </c>
      <c r="K219" s="253">
        <v>10.0</v>
      </c>
      <c r="L219" s="264" t="s">
        <v>299</v>
      </c>
      <c r="M219" s="257" t="s">
        <v>228</v>
      </c>
      <c r="N219" s="258"/>
      <c r="O219" s="258"/>
      <c r="P219" s="258"/>
      <c r="Q219" s="259"/>
      <c r="R219" s="259"/>
      <c r="S219" s="259"/>
      <c r="T219" s="259"/>
      <c r="U219" s="259"/>
      <c r="V219" s="259"/>
      <c r="W219" s="260"/>
      <c r="X219" s="261" t="s">
        <v>127</v>
      </c>
      <c r="Y219" s="261" t="s">
        <v>256</v>
      </c>
      <c r="Z219" s="262" t="s">
        <v>300</v>
      </c>
      <c r="AA219" s="263" t="s">
        <v>301</v>
      </c>
      <c r="AB219" s="258"/>
      <c r="AC219" s="13"/>
      <c r="AD219" s="13"/>
      <c r="AE219" s="37"/>
      <c r="AF219" s="37"/>
      <c r="AG219" s="14"/>
      <c r="AH219" s="14"/>
      <c r="AI219" s="14"/>
      <c r="AZ219" s="24"/>
    </row>
    <row r="220">
      <c r="B220" s="24"/>
      <c r="E220" s="113"/>
      <c r="F220" s="266"/>
      <c r="G220" s="289"/>
      <c r="H220" s="128"/>
      <c r="I220" s="128"/>
      <c r="J220" s="128"/>
      <c r="K220" s="265"/>
      <c r="L220" s="117"/>
      <c r="M220" s="128"/>
      <c r="N220" s="117"/>
      <c r="R220" s="117"/>
      <c r="T220" s="117"/>
      <c r="V220" s="117"/>
      <c r="Y220" s="314"/>
      <c r="Z220" s="315"/>
      <c r="AA220" s="36"/>
      <c r="AB220" s="36"/>
      <c r="AC220" s="13"/>
      <c r="AD220" s="13"/>
      <c r="AE220" s="37"/>
      <c r="AF220" s="37"/>
      <c r="AG220" s="14"/>
      <c r="AH220" s="14"/>
      <c r="AI220" s="14"/>
      <c r="AZ220" s="24"/>
    </row>
    <row r="221">
      <c r="B221" s="24"/>
      <c r="E221" s="113"/>
      <c r="F221" s="266"/>
      <c r="G221" s="289"/>
      <c r="H221" s="128"/>
      <c r="I221" s="128"/>
      <c r="J221" s="128"/>
      <c r="K221" s="265"/>
      <c r="L221" s="117"/>
      <c r="M221" s="128"/>
      <c r="N221" s="117"/>
      <c r="R221" s="117"/>
      <c r="T221" s="117"/>
      <c r="V221" s="117"/>
      <c r="X221" s="117"/>
      <c r="Y221" s="127"/>
      <c r="Z221" s="11"/>
      <c r="AA221" s="36"/>
      <c r="AB221" s="36"/>
      <c r="AC221" s="13"/>
      <c r="AD221" s="13"/>
      <c r="AE221" s="37"/>
      <c r="AF221" s="37"/>
      <c r="AG221" s="14"/>
      <c r="AH221" s="14"/>
      <c r="AI221" s="14"/>
      <c r="AZ221" s="24"/>
    </row>
    <row r="222">
      <c r="B222" s="24"/>
      <c r="E222" s="113"/>
      <c r="F222" s="266"/>
      <c r="G222" s="289"/>
      <c r="H222" s="128"/>
      <c r="I222" s="128"/>
      <c r="J222" s="128"/>
      <c r="K222" s="265"/>
      <c r="L222" s="117"/>
      <c r="M222" s="128"/>
      <c r="N222" s="117"/>
      <c r="R222" s="117"/>
      <c r="T222" s="117"/>
      <c r="V222" s="117"/>
      <c r="X222" s="117"/>
      <c r="Y222" s="10"/>
      <c r="Z222" s="11"/>
      <c r="AA222" s="36"/>
      <c r="AB222" s="36"/>
      <c r="AC222" s="13"/>
      <c r="AD222" s="13"/>
      <c r="AE222" s="37"/>
      <c r="AF222" s="37"/>
      <c r="AG222" s="14"/>
      <c r="AH222" s="14"/>
      <c r="AI222" s="14"/>
      <c r="AZ222" s="24"/>
    </row>
    <row r="223">
      <c r="B223" s="24"/>
      <c r="E223" s="113"/>
      <c r="F223" s="266"/>
      <c r="G223" s="289"/>
      <c r="H223" s="128"/>
      <c r="I223" s="128"/>
      <c r="J223" s="128"/>
      <c r="K223" s="265"/>
      <c r="L223" s="117"/>
      <c r="M223" s="128"/>
      <c r="N223" s="117"/>
      <c r="R223" s="117"/>
      <c r="T223" s="117"/>
      <c r="V223" s="117"/>
      <c r="X223" s="117"/>
      <c r="Y223" s="10"/>
      <c r="Z223" s="11"/>
      <c r="AA223" s="36"/>
      <c r="AB223" s="36"/>
      <c r="AC223" s="13"/>
      <c r="AD223" s="13"/>
      <c r="AE223" s="37"/>
      <c r="AF223" s="37"/>
      <c r="AG223" s="14"/>
      <c r="AH223" s="14"/>
      <c r="AI223" s="14"/>
      <c r="AZ223" s="24"/>
    </row>
    <row r="224">
      <c r="B224" s="24"/>
      <c r="E224" s="113"/>
      <c r="F224" s="266"/>
      <c r="G224" s="289"/>
      <c r="H224" s="128"/>
      <c r="I224" s="128"/>
      <c r="J224" s="128"/>
      <c r="K224" s="265"/>
      <c r="L224" s="117"/>
      <c r="M224" s="128"/>
      <c r="N224" s="117"/>
      <c r="R224" s="117"/>
      <c r="T224" s="117"/>
      <c r="V224" s="117"/>
      <c r="X224" s="117"/>
      <c r="Y224" s="10"/>
      <c r="Z224" s="11"/>
      <c r="AA224" s="36"/>
      <c r="AB224" s="36"/>
      <c r="AC224" s="13"/>
      <c r="AD224" s="13"/>
      <c r="AE224" s="37"/>
      <c r="AF224" s="37"/>
      <c r="AG224" s="14"/>
      <c r="AH224" s="14"/>
      <c r="AI224" s="14"/>
      <c r="AZ224" s="24"/>
    </row>
    <row r="225">
      <c r="B225" s="24"/>
      <c r="E225" s="113"/>
      <c r="F225" s="266"/>
      <c r="G225" s="289"/>
      <c r="H225" s="128"/>
      <c r="I225" s="128"/>
      <c r="J225" s="128"/>
      <c r="K225" s="265"/>
      <c r="L225" s="117"/>
      <c r="M225" s="128"/>
      <c r="N225" s="117"/>
      <c r="R225" s="117"/>
      <c r="T225" s="117"/>
      <c r="V225" s="117"/>
      <c r="X225" s="117"/>
      <c r="Y225" s="10"/>
      <c r="Z225" s="11"/>
      <c r="AA225" s="36"/>
      <c r="AB225" s="36"/>
      <c r="AC225" s="13"/>
      <c r="AD225" s="13"/>
      <c r="AE225" s="37"/>
      <c r="AF225" s="37"/>
      <c r="AG225" s="14"/>
      <c r="AH225" s="14"/>
      <c r="AI225" s="14"/>
      <c r="AZ225" s="24"/>
    </row>
    <row r="226">
      <c r="B226" s="24"/>
      <c r="E226" s="113"/>
      <c r="F226" s="266"/>
      <c r="G226" s="289"/>
      <c r="H226" s="128"/>
      <c r="I226" s="128"/>
      <c r="J226" s="128"/>
      <c r="K226" s="265"/>
      <c r="L226" s="117"/>
      <c r="M226" s="128"/>
      <c r="N226" s="117"/>
      <c r="R226" s="117"/>
      <c r="T226" s="117"/>
      <c r="V226" s="117"/>
      <c r="X226" s="117"/>
      <c r="Y226" s="10"/>
      <c r="Z226" s="11"/>
      <c r="AA226" s="36"/>
      <c r="AB226" s="36"/>
      <c r="AC226" s="13"/>
      <c r="AD226" s="13"/>
      <c r="AE226" s="37"/>
      <c r="AF226" s="37"/>
      <c r="AG226" s="14"/>
      <c r="AH226" s="14"/>
      <c r="AI226" s="14"/>
      <c r="AZ226" s="24"/>
    </row>
    <row r="227">
      <c r="B227" s="24"/>
      <c r="E227" s="113"/>
      <c r="F227" s="266"/>
      <c r="G227" s="113"/>
      <c r="K227" s="36"/>
      <c r="L227" s="117"/>
      <c r="M227" s="128"/>
      <c r="N227" s="117"/>
      <c r="R227" s="117"/>
      <c r="T227" s="117"/>
      <c r="V227" s="117"/>
      <c r="X227" s="117"/>
      <c r="Y227" s="10"/>
      <c r="Z227" s="11"/>
      <c r="AA227" s="36"/>
      <c r="AB227" s="36"/>
      <c r="AC227" s="13"/>
      <c r="AD227" s="13"/>
      <c r="AE227" s="37"/>
      <c r="AF227" s="37"/>
      <c r="AG227" s="14"/>
      <c r="AH227" s="14"/>
      <c r="AI227" s="14"/>
      <c r="AZ227" s="24"/>
    </row>
    <row r="228">
      <c r="B228" s="24"/>
      <c r="E228" s="113"/>
      <c r="F228" s="266"/>
      <c r="G228" s="113"/>
      <c r="K228" s="36"/>
      <c r="L228" s="117"/>
      <c r="M228" s="128"/>
      <c r="N228" s="117"/>
      <c r="R228" s="117"/>
      <c r="T228" s="117"/>
      <c r="V228" s="117"/>
      <c r="X228" s="117"/>
      <c r="Y228" s="10"/>
      <c r="Z228" s="11"/>
      <c r="AA228" s="36"/>
      <c r="AB228" s="36"/>
      <c r="AC228" s="13"/>
      <c r="AD228" s="13"/>
      <c r="AE228" s="37"/>
      <c r="AF228" s="37"/>
      <c r="AG228" s="14"/>
      <c r="AH228" s="14"/>
      <c r="AI228" s="14"/>
      <c r="AZ228" s="24"/>
    </row>
    <row r="229">
      <c r="B229" s="24"/>
      <c r="E229" s="113"/>
      <c r="F229" s="266"/>
      <c r="G229" s="113"/>
      <c r="K229" s="36"/>
      <c r="L229" s="117"/>
      <c r="M229" s="128"/>
      <c r="N229" s="117"/>
      <c r="R229" s="117"/>
      <c r="T229" s="117"/>
      <c r="V229" s="117"/>
      <c r="X229" s="117"/>
      <c r="Y229" s="10"/>
      <c r="Z229" s="11"/>
      <c r="AA229" s="36"/>
      <c r="AB229" s="36"/>
      <c r="AC229" s="13"/>
      <c r="AD229" s="13"/>
      <c r="AE229" s="37"/>
      <c r="AF229" s="37"/>
      <c r="AG229" s="14"/>
      <c r="AH229" s="14"/>
      <c r="AI229" s="14"/>
      <c r="AZ229" s="24"/>
    </row>
    <row r="230">
      <c r="B230" s="24"/>
      <c r="E230" s="113"/>
      <c r="F230" s="266"/>
      <c r="G230" s="113"/>
      <c r="K230" s="36"/>
      <c r="L230" s="117"/>
      <c r="M230" s="128"/>
      <c r="N230" s="117"/>
      <c r="R230" s="117"/>
      <c r="T230" s="117"/>
      <c r="V230" s="117"/>
      <c r="X230" s="117"/>
      <c r="Y230" s="10"/>
      <c r="Z230" s="11"/>
      <c r="AA230" s="36"/>
      <c r="AB230" s="36"/>
      <c r="AC230" s="13"/>
      <c r="AD230" s="13"/>
      <c r="AE230" s="37"/>
      <c r="AF230" s="37"/>
      <c r="AG230" s="14"/>
      <c r="AH230" s="14"/>
      <c r="AI230" s="14"/>
      <c r="AZ230" s="24"/>
    </row>
    <row r="231">
      <c r="B231" s="24"/>
      <c r="E231" s="113"/>
      <c r="F231" s="266"/>
      <c r="G231" s="113"/>
      <c r="K231" s="36"/>
      <c r="L231" s="117"/>
      <c r="M231" s="128"/>
      <c r="N231" s="117"/>
      <c r="R231" s="117"/>
      <c r="T231" s="117"/>
      <c r="V231" s="117"/>
      <c r="X231" s="117"/>
      <c r="Y231" s="10"/>
      <c r="Z231" s="11"/>
      <c r="AA231" s="36"/>
      <c r="AB231" s="36"/>
      <c r="AC231" s="13"/>
      <c r="AD231" s="13"/>
      <c r="AE231" s="37"/>
      <c r="AF231" s="37"/>
      <c r="AG231" s="14"/>
      <c r="AH231" s="14"/>
      <c r="AI231" s="14"/>
      <c r="AZ231" s="24"/>
    </row>
    <row r="232">
      <c r="B232" s="24"/>
      <c r="E232" s="113"/>
      <c r="F232" s="266"/>
      <c r="G232" s="113"/>
      <c r="K232" s="36"/>
      <c r="L232" s="117"/>
      <c r="M232" s="128"/>
      <c r="N232" s="117"/>
      <c r="R232" s="117"/>
      <c r="T232" s="117"/>
      <c r="V232" s="117"/>
      <c r="X232" s="117"/>
      <c r="Y232" s="10"/>
      <c r="Z232" s="11"/>
      <c r="AA232" s="36"/>
      <c r="AB232" s="36"/>
      <c r="AC232" s="13"/>
      <c r="AD232" s="13"/>
      <c r="AE232" s="37"/>
      <c r="AF232" s="37"/>
      <c r="AG232" s="14"/>
      <c r="AH232" s="14"/>
      <c r="AI232" s="14"/>
      <c r="AZ232" s="24"/>
    </row>
    <row r="233">
      <c r="B233" s="24"/>
      <c r="E233" s="113"/>
      <c r="F233" s="266"/>
      <c r="G233" s="113"/>
      <c r="K233" s="36"/>
      <c r="L233" s="117"/>
      <c r="M233" s="128"/>
      <c r="N233" s="117"/>
      <c r="R233" s="117"/>
      <c r="T233" s="117"/>
      <c r="V233" s="117"/>
      <c r="X233" s="117"/>
      <c r="Y233" s="10"/>
      <c r="Z233" s="11"/>
      <c r="AA233" s="36"/>
      <c r="AB233" s="36"/>
      <c r="AC233" s="13"/>
      <c r="AD233" s="13"/>
      <c r="AE233" s="37"/>
      <c r="AF233" s="37"/>
      <c r="AG233" s="14"/>
      <c r="AH233" s="14"/>
      <c r="AI233" s="14"/>
      <c r="AZ233" s="24"/>
    </row>
    <row r="234">
      <c r="B234" s="24"/>
      <c r="E234" s="113"/>
      <c r="F234" s="266"/>
      <c r="G234" s="113"/>
      <c r="K234" s="36"/>
      <c r="L234" s="117"/>
      <c r="M234" s="128"/>
      <c r="N234" s="117"/>
      <c r="R234" s="117"/>
      <c r="T234" s="117"/>
      <c r="V234" s="117"/>
      <c r="X234" s="117"/>
      <c r="Y234" s="10"/>
      <c r="Z234" s="11"/>
      <c r="AA234" s="36"/>
      <c r="AB234" s="36"/>
      <c r="AC234" s="13"/>
      <c r="AD234" s="13"/>
      <c r="AE234" s="37"/>
      <c r="AF234" s="37"/>
      <c r="AG234" s="14"/>
      <c r="AH234" s="14"/>
      <c r="AI234" s="14"/>
      <c r="AZ234" s="24"/>
    </row>
    <row r="235">
      <c r="B235" s="24"/>
      <c r="E235" s="113"/>
      <c r="F235" s="266"/>
      <c r="G235" s="113"/>
      <c r="K235" s="36"/>
      <c r="L235" s="117"/>
      <c r="M235" s="128"/>
      <c r="N235" s="117"/>
      <c r="R235" s="117"/>
      <c r="T235" s="117"/>
      <c r="V235" s="117"/>
      <c r="X235" s="117"/>
      <c r="Y235" s="10"/>
      <c r="Z235" s="11"/>
      <c r="AA235" s="36"/>
      <c r="AB235" s="36"/>
      <c r="AC235" s="13"/>
      <c r="AD235" s="13"/>
      <c r="AE235" s="37"/>
      <c r="AF235" s="37"/>
      <c r="AG235" s="14"/>
      <c r="AH235" s="14"/>
      <c r="AI235" s="14"/>
      <c r="AZ235" s="24"/>
    </row>
    <row r="236">
      <c r="B236" s="24"/>
      <c r="E236" s="113"/>
      <c r="F236" s="266"/>
      <c r="G236" s="113"/>
      <c r="K236" s="36"/>
      <c r="L236" s="117"/>
      <c r="M236" s="128"/>
      <c r="N236" s="117"/>
      <c r="R236" s="117"/>
      <c r="T236" s="117"/>
      <c r="V236" s="117"/>
      <c r="X236" s="117"/>
      <c r="Y236" s="10"/>
      <c r="Z236" s="11"/>
      <c r="AA236" s="36"/>
      <c r="AB236" s="36"/>
      <c r="AC236" s="13"/>
      <c r="AD236" s="13"/>
      <c r="AE236" s="37"/>
      <c r="AF236" s="37"/>
      <c r="AG236" s="14"/>
      <c r="AH236" s="14"/>
      <c r="AI236" s="14"/>
      <c r="AZ236" s="24"/>
    </row>
    <row r="237">
      <c r="B237" s="24"/>
      <c r="E237" s="113"/>
      <c r="F237" s="266"/>
      <c r="G237" s="113"/>
      <c r="K237" s="36"/>
      <c r="L237" s="117"/>
      <c r="M237" s="128"/>
      <c r="N237" s="117"/>
      <c r="R237" s="117"/>
      <c r="T237" s="117"/>
      <c r="V237" s="117"/>
      <c r="X237" s="117"/>
      <c r="Y237" s="10"/>
      <c r="Z237" s="11"/>
      <c r="AA237" s="36"/>
      <c r="AB237" s="36"/>
      <c r="AC237" s="13"/>
      <c r="AD237" s="13"/>
      <c r="AE237" s="37"/>
      <c r="AF237" s="37"/>
      <c r="AG237" s="14"/>
      <c r="AH237" s="14"/>
      <c r="AI237" s="14"/>
      <c r="AZ237" s="24"/>
    </row>
    <row r="238">
      <c r="B238" s="24"/>
      <c r="E238" s="113"/>
      <c r="F238" s="266"/>
      <c r="G238" s="113"/>
      <c r="K238" s="36"/>
      <c r="L238" s="117"/>
      <c r="M238" s="128"/>
      <c r="N238" s="117"/>
      <c r="R238" s="117"/>
      <c r="T238" s="117"/>
      <c r="V238" s="117"/>
      <c r="X238" s="117"/>
      <c r="Y238" s="10"/>
      <c r="Z238" s="11"/>
      <c r="AA238" s="36"/>
      <c r="AB238" s="36"/>
      <c r="AC238" s="13"/>
      <c r="AD238" s="13"/>
      <c r="AE238" s="37"/>
      <c r="AF238" s="37"/>
      <c r="AG238" s="14"/>
      <c r="AH238" s="14"/>
      <c r="AI238" s="14"/>
      <c r="AZ238" s="24"/>
    </row>
    <row r="239">
      <c r="B239" s="24"/>
      <c r="E239" s="113"/>
      <c r="F239" s="266"/>
      <c r="G239" s="113"/>
      <c r="K239" s="36"/>
      <c r="L239" s="117"/>
      <c r="M239" s="128"/>
      <c r="N239" s="117"/>
      <c r="R239" s="117"/>
      <c r="T239" s="117"/>
      <c r="V239" s="117"/>
      <c r="X239" s="117"/>
      <c r="Y239" s="10"/>
      <c r="Z239" s="11"/>
      <c r="AA239" s="36"/>
      <c r="AB239" s="36"/>
      <c r="AC239" s="13"/>
      <c r="AD239" s="13"/>
      <c r="AE239" s="37"/>
      <c r="AF239" s="37"/>
      <c r="AG239" s="14"/>
      <c r="AH239" s="14"/>
      <c r="AI239" s="14"/>
      <c r="AZ239" s="24"/>
    </row>
    <row r="240">
      <c r="B240" s="24"/>
      <c r="E240" s="113"/>
      <c r="F240" s="266"/>
      <c r="G240" s="113"/>
      <c r="K240" s="36"/>
      <c r="L240" s="117"/>
      <c r="M240" s="128"/>
      <c r="N240" s="117"/>
      <c r="R240" s="117"/>
      <c r="T240" s="117"/>
      <c r="V240" s="117"/>
      <c r="X240" s="117"/>
      <c r="Y240" s="10"/>
      <c r="Z240" s="11"/>
      <c r="AA240" s="36"/>
      <c r="AB240" s="36"/>
      <c r="AC240" s="13"/>
      <c r="AD240" s="13"/>
      <c r="AE240" s="37"/>
      <c r="AF240" s="37"/>
      <c r="AG240" s="14"/>
      <c r="AH240" s="14"/>
      <c r="AI240" s="14"/>
      <c r="AZ240" s="24"/>
    </row>
    <row r="241">
      <c r="B241" s="24"/>
      <c r="E241" s="113"/>
      <c r="F241" s="266"/>
      <c r="G241" s="113"/>
      <c r="K241" s="36"/>
      <c r="L241" s="117"/>
      <c r="M241" s="128"/>
      <c r="N241" s="117"/>
      <c r="R241" s="117"/>
      <c r="T241" s="117"/>
      <c r="V241" s="117"/>
      <c r="X241" s="117"/>
      <c r="Y241" s="10"/>
      <c r="Z241" s="11"/>
      <c r="AA241" s="36"/>
      <c r="AB241" s="36"/>
      <c r="AC241" s="13"/>
      <c r="AD241" s="13"/>
      <c r="AE241" s="37"/>
      <c r="AF241" s="37"/>
      <c r="AG241" s="14"/>
      <c r="AH241" s="14"/>
      <c r="AI241" s="14"/>
      <c r="AZ241" s="24"/>
    </row>
    <row r="242">
      <c r="B242" s="24"/>
      <c r="E242" s="113"/>
      <c r="F242" s="266"/>
      <c r="G242" s="113"/>
      <c r="K242" s="36"/>
      <c r="L242" s="117"/>
      <c r="M242" s="128"/>
      <c r="N242" s="117"/>
      <c r="R242" s="117"/>
      <c r="T242" s="117"/>
      <c r="V242" s="117"/>
      <c r="X242" s="117"/>
      <c r="Y242" s="10"/>
      <c r="Z242" s="11"/>
      <c r="AA242" s="36"/>
      <c r="AB242" s="36"/>
      <c r="AC242" s="13"/>
      <c r="AD242" s="13"/>
      <c r="AE242" s="37"/>
      <c r="AF242" s="37"/>
      <c r="AG242" s="14"/>
      <c r="AH242" s="14"/>
      <c r="AI242" s="14"/>
      <c r="AZ242" s="24"/>
    </row>
    <row r="243">
      <c r="B243" s="24"/>
      <c r="E243" s="113"/>
      <c r="F243" s="266"/>
      <c r="G243" s="113"/>
      <c r="K243" s="36"/>
      <c r="L243" s="117"/>
      <c r="M243" s="128"/>
      <c r="N243" s="117"/>
      <c r="R243" s="117"/>
      <c r="T243" s="117"/>
      <c r="V243" s="117"/>
      <c r="X243" s="117"/>
      <c r="Y243" s="10"/>
      <c r="Z243" s="11"/>
      <c r="AA243" s="36"/>
      <c r="AB243" s="36"/>
      <c r="AC243" s="13"/>
      <c r="AD243" s="13"/>
      <c r="AE243" s="37"/>
      <c r="AF243" s="37"/>
      <c r="AG243" s="14"/>
      <c r="AH243" s="14"/>
      <c r="AI243" s="14"/>
      <c r="AZ243" s="24"/>
    </row>
    <row r="244">
      <c r="B244" s="24"/>
      <c r="E244" s="113"/>
      <c r="F244" s="266"/>
      <c r="G244" s="113"/>
      <c r="K244" s="36"/>
      <c r="L244" s="117"/>
      <c r="M244" s="128"/>
      <c r="N244" s="117"/>
      <c r="R244" s="117"/>
      <c r="T244" s="117"/>
      <c r="V244" s="117"/>
      <c r="X244" s="117"/>
      <c r="Y244" s="10"/>
      <c r="Z244" s="11"/>
      <c r="AA244" s="36"/>
      <c r="AB244" s="36"/>
      <c r="AC244" s="13"/>
      <c r="AD244" s="13"/>
      <c r="AE244" s="37"/>
      <c r="AF244" s="37"/>
      <c r="AG244" s="14"/>
      <c r="AH244" s="14"/>
      <c r="AI244" s="14"/>
      <c r="AZ244" s="24"/>
    </row>
    <row r="245">
      <c r="B245" s="24"/>
      <c r="E245" s="113"/>
      <c r="F245" s="266"/>
      <c r="G245" s="113"/>
      <c r="K245" s="36"/>
      <c r="L245" s="117"/>
      <c r="M245" s="128"/>
      <c r="N245" s="117"/>
      <c r="R245" s="117"/>
      <c r="T245" s="117"/>
      <c r="V245" s="117"/>
      <c r="X245" s="117"/>
      <c r="Y245" s="10"/>
      <c r="Z245" s="11"/>
      <c r="AA245" s="36"/>
      <c r="AB245" s="36"/>
      <c r="AC245" s="13"/>
      <c r="AD245" s="13"/>
      <c r="AE245" s="37"/>
      <c r="AF245" s="37"/>
      <c r="AG245" s="14"/>
      <c r="AH245" s="14"/>
      <c r="AI245" s="14"/>
      <c r="AZ245" s="24"/>
    </row>
    <row r="246">
      <c r="B246" s="24"/>
      <c r="E246" s="113"/>
      <c r="F246" s="266"/>
      <c r="G246" s="113"/>
      <c r="K246" s="36"/>
      <c r="L246" s="117"/>
      <c r="M246" s="128"/>
      <c r="N246" s="117"/>
      <c r="R246" s="117"/>
      <c r="T246" s="117"/>
      <c r="V246" s="117"/>
      <c r="X246" s="117"/>
      <c r="Y246" s="10"/>
      <c r="Z246" s="11"/>
      <c r="AA246" s="36"/>
      <c r="AB246" s="36"/>
      <c r="AC246" s="13"/>
      <c r="AD246" s="13"/>
      <c r="AE246" s="37"/>
      <c r="AF246" s="37"/>
      <c r="AG246" s="14"/>
      <c r="AH246" s="14"/>
      <c r="AI246" s="14"/>
      <c r="AZ246" s="24"/>
    </row>
    <row r="247">
      <c r="B247" s="24"/>
      <c r="E247" s="113"/>
      <c r="F247" s="266"/>
      <c r="G247" s="113"/>
      <c r="K247" s="36"/>
      <c r="L247" s="117"/>
      <c r="M247" s="128"/>
      <c r="N247" s="117"/>
      <c r="R247" s="117"/>
      <c r="T247" s="117"/>
      <c r="V247" s="117"/>
      <c r="X247" s="117"/>
      <c r="Y247" s="10"/>
      <c r="Z247" s="11"/>
      <c r="AA247" s="36"/>
      <c r="AB247" s="36"/>
      <c r="AC247" s="13"/>
      <c r="AD247" s="13"/>
      <c r="AE247" s="37"/>
      <c r="AF247" s="37"/>
      <c r="AG247" s="14"/>
      <c r="AH247" s="14"/>
      <c r="AI247" s="14"/>
      <c r="AZ247" s="24"/>
    </row>
    <row r="248">
      <c r="B248" s="24"/>
      <c r="E248" s="113"/>
      <c r="F248" s="266"/>
      <c r="G248" s="113"/>
      <c r="K248" s="36"/>
      <c r="L248" s="117"/>
      <c r="M248" s="128"/>
      <c r="N248" s="117"/>
      <c r="R248" s="117"/>
      <c r="T248" s="117"/>
      <c r="V248" s="117"/>
      <c r="X248" s="117"/>
      <c r="Y248" s="10"/>
      <c r="Z248" s="11"/>
      <c r="AA248" s="36"/>
      <c r="AB248" s="36"/>
      <c r="AC248" s="13"/>
      <c r="AD248" s="13"/>
      <c r="AE248" s="37"/>
      <c r="AF248" s="37"/>
      <c r="AG248" s="14"/>
      <c r="AH248" s="14"/>
      <c r="AI248" s="14"/>
      <c r="AZ248" s="24"/>
    </row>
    <row r="249">
      <c r="B249" s="24"/>
      <c r="E249" s="113"/>
      <c r="F249" s="266"/>
      <c r="G249" s="113"/>
      <c r="K249" s="36"/>
      <c r="L249" s="117"/>
      <c r="M249" s="128"/>
      <c r="N249" s="117"/>
      <c r="R249" s="117"/>
      <c r="T249" s="117"/>
      <c r="V249" s="117"/>
      <c r="X249" s="117"/>
      <c r="Y249" s="10"/>
      <c r="Z249" s="11"/>
      <c r="AA249" s="36"/>
      <c r="AB249" s="36"/>
      <c r="AC249" s="13"/>
      <c r="AD249" s="13"/>
      <c r="AE249" s="37"/>
      <c r="AF249" s="37"/>
      <c r="AG249" s="14"/>
      <c r="AH249" s="14"/>
      <c r="AI249" s="14"/>
      <c r="AZ249" s="24"/>
    </row>
    <row r="250">
      <c r="B250" s="24"/>
      <c r="E250" s="113"/>
      <c r="F250" s="266"/>
      <c r="G250" s="113"/>
      <c r="K250" s="36"/>
      <c r="L250" s="117"/>
      <c r="M250" s="128"/>
      <c r="N250" s="117"/>
      <c r="R250" s="117"/>
      <c r="T250" s="117"/>
      <c r="V250" s="117"/>
      <c r="X250" s="117"/>
      <c r="Y250" s="10"/>
      <c r="Z250" s="11"/>
      <c r="AA250" s="36"/>
      <c r="AB250" s="36"/>
      <c r="AC250" s="13"/>
      <c r="AD250" s="13"/>
      <c r="AE250" s="37"/>
      <c r="AF250" s="37"/>
      <c r="AG250" s="14"/>
      <c r="AH250" s="14"/>
      <c r="AI250" s="14"/>
      <c r="AZ250" s="24"/>
    </row>
    <row r="251">
      <c r="B251" s="24"/>
      <c r="E251" s="113"/>
      <c r="F251" s="266"/>
      <c r="G251" s="113"/>
      <c r="K251" s="36"/>
      <c r="L251" s="117"/>
      <c r="M251" s="128"/>
      <c r="N251" s="117"/>
      <c r="R251" s="117"/>
      <c r="T251" s="117"/>
      <c r="V251" s="117"/>
      <c r="X251" s="117"/>
      <c r="Y251" s="10"/>
      <c r="Z251" s="11"/>
      <c r="AA251" s="36"/>
      <c r="AB251" s="36"/>
      <c r="AC251" s="13"/>
      <c r="AD251" s="13"/>
      <c r="AE251" s="37"/>
      <c r="AF251" s="37"/>
      <c r="AG251" s="14"/>
      <c r="AH251" s="14"/>
      <c r="AI251" s="14"/>
      <c r="AZ251" s="24"/>
    </row>
    <row r="252">
      <c r="B252" s="24"/>
      <c r="E252" s="113"/>
      <c r="F252" s="266"/>
      <c r="G252" s="113"/>
      <c r="K252" s="36"/>
      <c r="L252" s="117"/>
      <c r="M252" s="128"/>
      <c r="N252" s="117"/>
      <c r="R252" s="117"/>
      <c r="T252" s="117"/>
      <c r="V252" s="117"/>
      <c r="X252" s="117"/>
      <c r="Y252" s="10"/>
      <c r="Z252" s="11"/>
      <c r="AA252" s="36"/>
      <c r="AB252" s="36"/>
      <c r="AC252" s="13"/>
      <c r="AD252" s="13"/>
      <c r="AE252" s="37"/>
      <c r="AF252" s="37"/>
      <c r="AG252" s="14"/>
      <c r="AH252" s="14"/>
      <c r="AI252" s="14"/>
      <c r="AZ252" s="24"/>
    </row>
    <row r="253">
      <c r="B253" s="24"/>
      <c r="E253" s="113"/>
      <c r="F253" s="266"/>
      <c r="G253" s="113"/>
      <c r="K253" s="36"/>
      <c r="L253" s="117"/>
      <c r="M253" s="128"/>
      <c r="N253" s="117"/>
      <c r="R253" s="117"/>
      <c r="T253" s="117"/>
      <c r="V253" s="117"/>
      <c r="X253" s="117"/>
      <c r="Y253" s="10"/>
      <c r="Z253" s="11"/>
      <c r="AA253" s="36"/>
      <c r="AB253" s="36"/>
      <c r="AC253" s="13"/>
      <c r="AD253" s="13"/>
      <c r="AE253" s="37"/>
      <c r="AF253" s="37"/>
      <c r="AG253" s="14"/>
      <c r="AH253" s="14"/>
      <c r="AI253" s="14"/>
      <c r="AZ253" s="24"/>
    </row>
    <row r="254">
      <c r="B254" s="24"/>
      <c r="E254" s="113"/>
      <c r="F254" s="266"/>
      <c r="G254" s="113"/>
      <c r="K254" s="36"/>
      <c r="L254" s="117"/>
      <c r="M254" s="128"/>
      <c r="N254" s="117"/>
      <c r="R254" s="117"/>
      <c r="T254" s="117"/>
      <c r="V254" s="117"/>
      <c r="X254" s="117"/>
      <c r="Y254" s="10"/>
      <c r="Z254" s="11"/>
      <c r="AA254" s="36"/>
      <c r="AB254" s="36"/>
      <c r="AC254" s="13"/>
      <c r="AD254" s="13"/>
      <c r="AE254" s="37"/>
      <c r="AF254" s="37"/>
      <c r="AG254" s="14"/>
      <c r="AH254" s="14"/>
      <c r="AI254" s="14"/>
      <c r="AZ254" s="24"/>
    </row>
    <row r="255">
      <c r="B255" s="24"/>
      <c r="E255" s="113"/>
      <c r="F255" s="266"/>
      <c r="G255" s="113"/>
      <c r="K255" s="36"/>
      <c r="L255" s="117"/>
      <c r="M255" s="128"/>
      <c r="N255" s="117"/>
      <c r="R255" s="117"/>
      <c r="T255" s="117"/>
      <c r="V255" s="117"/>
      <c r="X255" s="117"/>
      <c r="Y255" s="10"/>
      <c r="Z255" s="11"/>
      <c r="AA255" s="36"/>
      <c r="AB255" s="36"/>
      <c r="AC255" s="13"/>
      <c r="AD255" s="13"/>
      <c r="AE255" s="37"/>
      <c r="AF255" s="37"/>
      <c r="AG255" s="14"/>
      <c r="AH255" s="14"/>
      <c r="AI255" s="14"/>
      <c r="AZ255" s="24"/>
    </row>
    <row r="256">
      <c r="B256" s="24"/>
      <c r="E256" s="113"/>
      <c r="F256" s="266"/>
      <c r="G256" s="113"/>
      <c r="K256" s="36"/>
      <c r="L256" s="117"/>
      <c r="M256" s="128"/>
      <c r="N256" s="117"/>
      <c r="R256" s="117"/>
      <c r="T256" s="117"/>
      <c r="V256" s="117"/>
      <c r="X256" s="117"/>
      <c r="Y256" s="10"/>
      <c r="Z256" s="11"/>
      <c r="AA256" s="36"/>
      <c r="AB256" s="36"/>
      <c r="AC256" s="13"/>
      <c r="AD256" s="13"/>
      <c r="AE256" s="37"/>
      <c r="AF256" s="37"/>
      <c r="AG256" s="14"/>
      <c r="AH256" s="14"/>
      <c r="AI256" s="14"/>
      <c r="AZ256" s="24"/>
    </row>
    <row r="257">
      <c r="B257" s="24"/>
      <c r="E257" s="113"/>
      <c r="F257" s="266"/>
      <c r="G257" s="113"/>
      <c r="K257" s="36"/>
      <c r="L257" s="117"/>
      <c r="M257" s="128"/>
      <c r="N257" s="117"/>
      <c r="R257" s="117"/>
      <c r="T257" s="117"/>
      <c r="V257" s="117"/>
      <c r="X257" s="117"/>
      <c r="Y257" s="10"/>
      <c r="Z257" s="11"/>
      <c r="AA257" s="36"/>
      <c r="AB257" s="36"/>
      <c r="AC257" s="13"/>
      <c r="AD257" s="13"/>
      <c r="AE257" s="37"/>
      <c r="AF257" s="37"/>
      <c r="AG257" s="14"/>
      <c r="AH257" s="14"/>
      <c r="AI257" s="14"/>
      <c r="AZ257" s="24"/>
    </row>
    <row r="258">
      <c r="B258" s="24"/>
      <c r="E258" s="113"/>
      <c r="F258" s="266"/>
      <c r="G258" s="113"/>
      <c r="K258" s="36"/>
      <c r="L258" s="117"/>
      <c r="M258" s="128"/>
      <c r="N258" s="117"/>
      <c r="R258" s="117"/>
      <c r="T258" s="117"/>
      <c r="V258" s="117"/>
      <c r="X258" s="117"/>
      <c r="Y258" s="10"/>
      <c r="Z258" s="11"/>
      <c r="AA258" s="36"/>
      <c r="AB258" s="36"/>
      <c r="AC258" s="13"/>
      <c r="AD258" s="13"/>
      <c r="AE258" s="37"/>
      <c r="AF258" s="37"/>
      <c r="AG258" s="14"/>
      <c r="AH258" s="14"/>
      <c r="AI258" s="14"/>
      <c r="AZ258" s="24"/>
    </row>
    <row r="259">
      <c r="B259" s="24"/>
      <c r="E259" s="113"/>
      <c r="F259" s="266"/>
      <c r="G259" s="113"/>
      <c r="K259" s="36"/>
      <c r="L259" s="117"/>
      <c r="M259" s="128"/>
      <c r="N259" s="117"/>
      <c r="R259" s="117"/>
      <c r="T259" s="117"/>
      <c r="V259" s="117"/>
      <c r="X259" s="117"/>
      <c r="Y259" s="10"/>
      <c r="Z259" s="11"/>
      <c r="AA259" s="36"/>
      <c r="AB259" s="36"/>
      <c r="AC259" s="13"/>
      <c r="AD259" s="13"/>
      <c r="AE259" s="37"/>
      <c r="AF259" s="37"/>
      <c r="AG259" s="14"/>
      <c r="AH259" s="14"/>
      <c r="AI259" s="14"/>
      <c r="AZ259" s="24"/>
    </row>
    <row r="260">
      <c r="B260" s="24"/>
      <c r="E260" s="113"/>
      <c r="F260" s="266"/>
      <c r="G260" s="113"/>
      <c r="K260" s="36"/>
      <c r="L260" s="117"/>
      <c r="M260" s="128"/>
      <c r="N260" s="117"/>
      <c r="R260" s="117"/>
      <c r="T260" s="117"/>
      <c r="V260" s="117"/>
      <c r="X260" s="117"/>
      <c r="Y260" s="10"/>
      <c r="Z260" s="11"/>
      <c r="AA260" s="36"/>
      <c r="AB260" s="36"/>
      <c r="AC260" s="13"/>
      <c r="AD260" s="13"/>
      <c r="AE260" s="37"/>
      <c r="AF260" s="37"/>
      <c r="AG260" s="14"/>
      <c r="AH260" s="14"/>
      <c r="AI260" s="14"/>
      <c r="AZ260" s="24"/>
    </row>
    <row r="261">
      <c r="B261" s="24"/>
      <c r="E261" s="113"/>
      <c r="F261" s="266"/>
      <c r="G261" s="113"/>
      <c r="K261" s="36"/>
      <c r="L261" s="117"/>
      <c r="M261" s="128"/>
      <c r="N261" s="117"/>
      <c r="R261" s="117"/>
      <c r="T261" s="117"/>
      <c r="V261" s="117"/>
      <c r="X261" s="117"/>
      <c r="Y261" s="10"/>
      <c r="Z261" s="11"/>
      <c r="AA261" s="36"/>
      <c r="AB261" s="36"/>
      <c r="AC261" s="13"/>
      <c r="AD261" s="13"/>
      <c r="AE261" s="37"/>
      <c r="AF261" s="37"/>
      <c r="AG261" s="14"/>
      <c r="AH261" s="14"/>
      <c r="AI261" s="14"/>
      <c r="AZ261" s="24"/>
    </row>
    <row r="262">
      <c r="B262" s="24"/>
      <c r="E262" s="113"/>
      <c r="F262" s="266"/>
      <c r="G262" s="113"/>
      <c r="K262" s="36"/>
      <c r="L262" s="117"/>
      <c r="M262" s="128"/>
      <c r="N262" s="117"/>
      <c r="R262" s="117"/>
      <c r="T262" s="117"/>
      <c r="V262" s="117"/>
      <c r="X262" s="117"/>
      <c r="Y262" s="10"/>
      <c r="Z262" s="11"/>
      <c r="AA262" s="36"/>
      <c r="AB262" s="36"/>
      <c r="AC262" s="13"/>
      <c r="AD262" s="13"/>
      <c r="AE262" s="37"/>
      <c r="AF262" s="37"/>
      <c r="AG262" s="14"/>
      <c r="AH262" s="14"/>
      <c r="AI262" s="14"/>
      <c r="AZ262" s="24"/>
    </row>
    <row r="263">
      <c r="B263" s="24"/>
      <c r="E263" s="113"/>
      <c r="F263" s="266"/>
      <c r="G263" s="113"/>
      <c r="K263" s="36"/>
      <c r="L263" s="117"/>
      <c r="M263" s="128"/>
      <c r="N263" s="117"/>
      <c r="R263" s="117"/>
      <c r="T263" s="117"/>
      <c r="V263" s="117"/>
      <c r="X263" s="117"/>
      <c r="Y263" s="10"/>
      <c r="Z263" s="11"/>
      <c r="AA263" s="36"/>
      <c r="AB263" s="36"/>
      <c r="AC263" s="13"/>
      <c r="AD263" s="13"/>
      <c r="AE263" s="37"/>
      <c r="AF263" s="37"/>
      <c r="AG263" s="14"/>
      <c r="AH263" s="14"/>
      <c r="AI263" s="14"/>
      <c r="AZ263" s="24"/>
    </row>
    <row r="264">
      <c r="B264" s="24"/>
      <c r="E264" s="113"/>
      <c r="F264" s="266"/>
      <c r="G264" s="113"/>
      <c r="K264" s="36"/>
      <c r="L264" s="117"/>
      <c r="M264" s="128"/>
      <c r="N264" s="117"/>
      <c r="R264" s="117"/>
      <c r="T264" s="117"/>
      <c r="V264" s="117"/>
      <c r="X264" s="117"/>
      <c r="Y264" s="10"/>
      <c r="Z264" s="11"/>
      <c r="AA264" s="36"/>
      <c r="AB264" s="36"/>
      <c r="AC264" s="13"/>
      <c r="AD264" s="13"/>
      <c r="AE264" s="37"/>
      <c r="AF264" s="37"/>
      <c r="AG264" s="14"/>
      <c r="AH264" s="14"/>
      <c r="AI264" s="14"/>
      <c r="AZ264" s="24"/>
    </row>
    <row r="265">
      <c r="B265" s="24"/>
      <c r="E265" s="113"/>
      <c r="F265" s="266"/>
      <c r="G265" s="113"/>
      <c r="K265" s="36"/>
      <c r="L265" s="117"/>
      <c r="M265" s="128"/>
      <c r="N265" s="117"/>
      <c r="R265" s="117"/>
      <c r="T265" s="117"/>
      <c r="V265" s="117"/>
      <c r="X265" s="117"/>
      <c r="Y265" s="10"/>
      <c r="Z265" s="11"/>
      <c r="AA265" s="36"/>
      <c r="AB265" s="36"/>
      <c r="AC265" s="13"/>
      <c r="AD265" s="13"/>
      <c r="AE265" s="37"/>
      <c r="AF265" s="37"/>
      <c r="AG265" s="14"/>
      <c r="AH265" s="14"/>
      <c r="AI265" s="14"/>
      <c r="AZ265" s="24"/>
    </row>
    <row r="266">
      <c r="B266" s="24"/>
      <c r="E266" s="113"/>
      <c r="F266" s="266"/>
      <c r="G266" s="113"/>
      <c r="K266" s="36"/>
      <c r="L266" s="117"/>
      <c r="M266" s="128"/>
      <c r="N266" s="117"/>
      <c r="R266" s="117"/>
      <c r="T266" s="117"/>
      <c r="V266" s="117"/>
      <c r="X266" s="117"/>
      <c r="Y266" s="10"/>
      <c r="Z266" s="11"/>
      <c r="AA266" s="36"/>
      <c r="AB266" s="36"/>
      <c r="AC266" s="13"/>
      <c r="AD266" s="13"/>
      <c r="AE266" s="37"/>
      <c r="AF266" s="37"/>
      <c r="AG266" s="14"/>
      <c r="AH266" s="14"/>
      <c r="AI266" s="14"/>
      <c r="AZ266" s="24"/>
    </row>
    <row r="267">
      <c r="B267" s="24"/>
      <c r="E267" s="113"/>
      <c r="F267" s="266"/>
      <c r="G267" s="113"/>
      <c r="K267" s="36"/>
      <c r="L267" s="117"/>
      <c r="M267" s="128"/>
      <c r="N267" s="117"/>
      <c r="R267" s="117"/>
      <c r="T267" s="117"/>
      <c r="V267" s="117"/>
      <c r="X267" s="117"/>
      <c r="Y267" s="10"/>
      <c r="Z267" s="11"/>
      <c r="AA267" s="36"/>
      <c r="AB267" s="36"/>
      <c r="AC267" s="13"/>
      <c r="AD267" s="13"/>
      <c r="AE267" s="37"/>
      <c r="AF267" s="37"/>
      <c r="AG267" s="14"/>
      <c r="AH267" s="14"/>
      <c r="AI267" s="14"/>
      <c r="AZ267" s="24"/>
    </row>
    <row r="268">
      <c r="B268" s="24"/>
      <c r="E268" s="113"/>
      <c r="F268" s="266"/>
      <c r="G268" s="113"/>
      <c r="K268" s="36"/>
      <c r="L268" s="117"/>
      <c r="M268" s="128"/>
      <c r="N268" s="117"/>
      <c r="R268" s="117"/>
      <c r="T268" s="117"/>
      <c r="V268" s="117"/>
      <c r="X268" s="117"/>
      <c r="Y268" s="10"/>
      <c r="Z268" s="11"/>
      <c r="AA268" s="36"/>
      <c r="AB268" s="36"/>
      <c r="AC268" s="13"/>
      <c r="AD268" s="13"/>
      <c r="AE268" s="37"/>
      <c r="AF268" s="37"/>
      <c r="AG268" s="14"/>
      <c r="AH268" s="14"/>
      <c r="AI268" s="14"/>
      <c r="AZ268" s="24"/>
    </row>
    <row r="269">
      <c r="B269" s="24"/>
      <c r="E269" s="113"/>
      <c r="F269" s="266"/>
      <c r="G269" s="113"/>
      <c r="K269" s="36"/>
      <c r="L269" s="117"/>
      <c r="M269" s="128"/>
      <c r="N269" s="117"/>
      <c r="R269" s="117"/>
      <c r="T269" s="117"/>
      <c r="V269" s="117"/>
      <c r="X269" s="117"/>
      <c r="Y269" s="10"/>
      <c r="Z269" s="11"/>
      <c r="AA269" s="36"/>
      <c r="AB269" s="36"/>
      <c r="AC269" s="13"/>
      <c r="AD269" s="13"/>
      <c r="AE269" s="37"/>
      <c r="AF269" s="37"/>
      <c r="AG269" s="14"/>
      <c r="AH269" s="14"/>
      <c r="AI269" s="14"/>
      <c r="AZ269" s="24"/>
    </row>
    <row r="270">
      <c r="B270" s="24"/>
      <c r="E270" s="113"/>
      <c r="F270" s="266"/>
      <c r="G270" s="113"/>
      <c r="K270" s="36"/>
      <c r="L270" s="117"/>
      <c r="M270" s="128"/>
      <c r="N270" s="117"/>
      <c r="R270" s="117"/>
      <c r="T270" s="117"/>
      <c r="V270" s="117"/>
      <c r="X270" s="117"/>
      <c r="Y270" s="10"/>
      <c r="Z270" s="11"/>
      <c r="AA270" s="36"/>
      <c r="AB270" s="36"/>
      <c r="AC270" s="13"/>
      <c r="AD270" s="13"/>
      <c r="AE270" s="37"/>
      <c r="AF270" s="37"/>
      <c r="AG270" s="14"/>
      <c r="AH270" s="14"/>
      <c r="AI270" s="14"/>
      <c r="AZ270" s="24"/>
    </row>
    <row r="271">
      <c r="B271" s="24"/>
      <c r="E271" s="113"/>
      <c r="F271" s="266"/>
      <c r="G271" s="113"/>
      <c r="K271" s="36"/>
      <c r="L271" s="117"/>
      <c r="M271" s="128"/>
      <c r="N271" s="117"/>
      <c r="R271" s="117"/>
      <c r="T271" s="117"/>
      <c r="V271" s="117"/>
      <c r="X271" s="117"/>
      <c r="Y271" s="10"/>
      <c r="Z271" s="11"/>
      <c r="AA271" s="36"/>
      <c r="AB271" s="36"/>
      <c r="AC271" s="13"/>
      <c r="AD271" s="13"/>
      <c r="AE271" s="37"/>
      <c r="AF271" s="37"/>
      <c r="AG271" s="14"/>
      <c r="AH271" s="14"/>
      <c r="AI271" s="14"/>
      <c r="AZ271" s="24"/>
    </row>
    <row r="272">
      <c r="B272" s="24"/>
      <c r="E272" s="113"/>
      <c r="F272" s="266"/>
      <c r="G272" s="113"/>
      <c r="K272" s="36"/>
      <c r="L272" s="117"/>
      <c r="M272" s="128"/>
      <c r="N272" s="117"/>
      <c r="R272" s="117"/>
      <c r="T272" s="117"/>
      <c r="V272" s="117"/>
      <c r="X272" s="117"/>
      <c r="Y272" s="10"/>
      <c r="Z272" s="11"/>
      <c r="AA272" s="36"/>
      <c r="AB272" s="36"/>
      <c r="AC272" s="13"/>
      <c r="AD272" s="13"/>
      <c r="AE272" s="37"/>
      <c r="AF272" s="37"/>
      <c r="AG272" s="14"/>
      <c r="AH272" s="14"/>
      <c r="AI272" s="14"/>
      <c r="AZ272" s="24"/>
    </row>
    <row r="273">
      <c r="B273" s="24"/>
      <c r="E273" s="113"/>
      <c r="F273" s="266"/>
      <c r="G273" s="113"/>
      <c r="K273" s="36"/>
      <c r="L273" s="117"/>
      <c r="M273" s="128"/>
      <c r="N273" s="117"/>
      <c r="R273" s="117"/>
      <c r="T273" s="117"/>
      <c r="V273" s="117"/>
      <c r="X273" s="117"/>
      <c r="Y273" s="10"/>
      <c r="Z273" s="11"/>
      <c r="AA273" s="36"/>
      <c r="AB273" s="36"/>
      <c r="AC273" s="13"/>
      <c r="AD273" s="13"/>
      <c r="AE273" s="37"/>
      <c r="AF273" s="37"/>
      <c r="AG273" s="14"/>
      <c r="AH273" s="14"/>
      <c r="AI273" s="14"/>
      <c r="AZ273" s="24"/>
    </row>
    <row r="274">
      <c r="B274" s="24"/>
      <c r="E274" s="113"/>
      <c r="F274" s="266"/>
      <c r="G274" s="113"/>
      <c r="K274" s="36"/>
      <c r="L274" s="117"/>
      <c r="M274" s="128"/>
      <c r="N274" s="117"/>
      <c r="R274" s="117"/>
      <c r="T274" s="117"/>
      <c r="V274" s="117"/>
      <c r="X274" s="117"/>
      <c r="Y274" s="10"/>
      <c r="Z274" s="11"/>
      <c r="AA274" s="36"/>
      <c r="AB274" s="36"/>
      <c r="AC274" s="13"/>
      <c r="AD274" s="13"/>
      <c r="AE274" s="37"/>
      <c r="AF274" s="37"/>
      <c r="AG274" s="14"/>
      <c r="AH274" s="14"/>
      <c r="AI274" s="14"/>
      <c r="AZ274" s="24"/>
    </row>
    <row r="275">
      <c r="B275" s="24"/>
      <c r="E275" s="113"/>
      <c r="F275" s="266"/>
      <c r="G275" s="113"/>
      <c r="K275" s="36"/>
      <c r="L275" s="117"/>
      <c r="M275" s="128"/>
      <c r="N275" s="117"/>
      <c r="R275" s="117"/>
      <c r="T275" s="117"/>
      <c r="V275" s="117"/>
      <c r="X275" s="117"/>
      <c r="Y275" s="10"/>
      <c r="Z275" s="11"/>
      <c r="AA275" s="36"/>
      <c r="AB275" s="36"/>
      <c r="AC275" s="13"/>
      <c r="AD275" s="13"/>
      <c r="AE275" s="37"/>
      <c r="AF275" s="37"/>
      <c r="AG275" s="14"/>
      <c r="AH275" s="14"/>
      <c r="AI275" s="14"/>
      <c r="AZ275" s="24"/>
    </row>
    <row r="276">
      <c r="B276" s="24"/>
      <c r="E276" s="113"/>
      <c r="F276" s="266"/>
      <c r="G276" s="113"/>
      <c r="K276" s="36"/>
      <c r="L276" s="117"/>
      <c r="M276" s="128"/>
      <c r="N276" s="117"/>
      <c r="R276" s="117"/>
      <c r="T276" s="117"/>
      <c r="V276" s="117"/>
      <c r="X276" s="117"/>
      <c r="Y276" s="10"/>
      <c r="Z276" s="11"/>
      <c r="AA276" s="36"/>
      <c r="AB276" s="36"/>
      <c r="AC276" s="13"/>
      <c r="AD276" s="13"/>
      <c r="AE276" s="37"/>
      <c r="AF276" s="37"/>
      <c r="AG276" s="14"/>
      <c r="AH276" s="14"/>
      <c r="AI276" s="14"/>
      <c r="AZ276" s="24"/>
    </row>
    <row r="277">
      <c r="B277" s="24"/>
      <c r="E277" s="113"/>
      <c r="F277" s="266"/>
      <c r="G277" s="113"/>
      <c r="K277" s="36"/>
      <c r="L277" s="117"/>
      <c r="M277" s="128"/>
      <c r="N277" s="117"/>
      <c r="R277" s="117"/>
      <c r="T277" s="117"/>
      <c r="V277" s="117"/>
      <c r="X277" s="117"/>
      <c r="Y277" s="10"/>
      <c r="Z277" s="11"/>
      <c r="AA277" s="36"/>
      <c r="AB277" s="36"/>
      <c r="AC277" s="13"/>
      <c r="AD277" s="13"/>
      <c r="AE277" s="37"/>
      <c r="AF277" s="37"/>
      <c r="AG277" s="14"/>
      <c r="AH277" s="14"/>
      <c r="AI277" s="14"/>
      <c r="AZ277" s="24"/>
    </row>
    <row r="278">
      <c r="B278" s="24"/>
      <c r="E278" s="113"/>
      <c r="F278" s="266"/>
      <c r="G278" s="113"/>
      <c r="K278" s="36"/>
      <c r="L278" s="117"/>
      <c r="M278" s="128"/>
      <c r="N278" s="117"/>
      <c r="R278" s="117"/>
      <c r="T278" s="117"/>
      <c r="V278" s="117"/>
      <c r="X278" s="117"/>
      <c r="Y278" s="10"/>
      <c r="Z278" s="11"/>
      <c r="AA278" s="36"/>
      <c r="AB278" s="36"/>
      <c r="AC278" s="13"/>
      <c r="AD278" s="13"/>
      <c r="AE278" s="37"/>
      <c r="AF278" s="37"/>
      <c r="AG278" s="14"/>
      <c r="AH278" s="14"/>
      <c r="AI278" s="14"/>
      <c r="AZ278" s="24"/>
    </row>
    <row r="279">
      <c r="B279" s="24"/>
      <c r="E279" s="113"/>
      <c r="F279" s="266"/>
      <c r="G279" s="113"/>
      <c r="K279" s="36"/>
      <c r="L279" s="117"/>
      <c r="M279" s="128"/>
      <c r="N279" s="117"/>
      <c r="R279" s="117"/>
      <c r="T279" s="117"/>
      <c r="V279" s="117"/>
      <c r="X279" s="117"/>
      <c r="Y279" s="10"/>
      <c r="Z279" s="11"/>
      <c r="AA279" s="36"/>
      <c r="AB279" s="36"/>
      <c r="AC279" s="13"/>
      <c r="AD279" s="13"/>
      <c r="AE279" s="37"/>
      <c r="AF279" s="37"/>
      <c r="AG279" s="14"/>
      <c r="AH279" s="14"/>
      <c r="AI279" s="14"/>
      <c r="AZ279" s="24"/>
    </row>
    <row r="280">
      <c r="B280" s="24"/>
      <c r="E280" s="113"/>
      <c r="F280" s="266"/>
      <c r="G280" s="113"/>
      <c r="K280" s="36"/>
      <c r="L280" s="117"/>
      <c r="M280" s="128"/>
      <c r="N280" s="117"/>
      <c r="R280" s="117"/>
      <c r="T280" s="117"/>
      <c r="V280" s="117"/>
      <c r="X280" s="117"/>
      <c r="Y280" s="10"/>
      <c r="Z280" s="11"/>
      <c r="AA280" s="36"/>
      <c r="AB280" s="36"/>
      <c r="AC280" s="13"/>
      <c r="AD280" s="13"/>
      <c r="AE280" s="37"/>
      <c r="AF280" s="37"/>
      <c r="AG280" s="14"/>
      <c r="AH280" s="14"/>
      <c r="AI280" s="14"/>
      <c r="AZ280" s="24"/>
    </row>
    <row r="281">
      <c r="B281" s="24"/>
      <c r="E281" s="113"/>
      <c r="F281" s="266"/>
      <c r="G281" s="113"/>
      <c r="K281" s="36"/>
      <c r="L281" s="117"/>
      <c r="M281" s="128"/>
      <c r="N281" s="117"/>
      <c r="R281" s="117"/>
      <c r="T281" s="117"/>
      <c r="V281" s="117"/>
      <c r="X281" s="117"/>
      <c r="Y281" s="10"/>
      <c r="Z281" s="11"/>
      <c r="AA281" s="36"/>
      <c r="AB281" s="36"/>
      <c r="AC281" s="13"/>
      <c r="AD281" s="13"/>
      <c r="AE281" s="37"/>
      <c r="AF281" s="37"/>
      <c r="AG281" s="14"/>
      <c r="AH281" s="14"/>
      <c r="AI281" s="14"/>
      <c r="AZ281" s="24"/>
    </row>
    <row r="282">
      <c r="B282" s="24"/>
      <c r="E282" s="113"/>
      <c r="F282" s="266"/>
      <c r="G282" s="113"/>
      <c r="K282" s="36"/>
      <c r="L282" s="117"/>
      <c r="M282" s="128"/>
      <c r="N282" s="117"/>
      <c r="R282" s="117"/>
      <c r="T282" s="117"/>
      <c r="V282" s="117"/>
      <c r="X282" s="117"/>
      <c r="Y282" s="10"/>
      <c r="Z282" s="11"/>
      <c r="AA282" s="36"/>
      <c r="AB282" s="36"/>
      <c r="AC282" s="13"/>
      <c r="AD282" s="13"/>
      <c r="AE282" s="37"/>
      <c r="AF282" s="37"/>
      <c r="AG282" s="14"/>
      <c r="AH282" s="14"/>
      <c r="AI282" s="14"/>
      <c r="AZ282" s="24"/>
    </row>
    <row r="283">
      <c r="B283" s="24"/>
      <c r="E283" s="113"/>
      <c r="F283" s="266"/>
      <c r="G283" s="113"/>
      <c r="K283" s="36"/>
      <c r="L283" s="117"/>
      <c r="M283" s="128"/>
      <c r="N283" s="117"/>
      <c r="R283" s="117"/>
      <c r="T283" s="117"/>
      <c r="V283" s="117"/>
      <c r="X283" s="117"/>
      <c r="Y283" s="10"/>
      <c r="Z283" s="11"/>
      <c r="AA283" s="36"/>
      <c r="AB283" s="36"/>
      <c r="AC283" s="13"/>
      <c r="AD283" s="13"/>
      <c r="AE283" s="37"/>
      <c r="AF283" s="37"/>
      <c r="AG283" s="14"/>
      <c r="AH283" s="14"/>
      <c r="AI283" s="14"/>
      <c r="AZ283" s="24"/>
    </row>
    <row r="284">
      <c r="B284" s="24"/>
      <c r="E284" s="113"/>
      <c r="F284" s="266"/>
      <c r="G284" s="113"/>
      <c r="K284" s="36"/>
      <c r="L284" s="117"/>
      <c r="M284" s="128"/>
      <c r="N284" s="117"/>
      <c r="R284" s="117"/>
      <c r="T284" s="117"/>
      <c r="V284" s="117"/>
      <c r="X284" s="117"/>
      <c r="Y284" s="10"/>
      <c r="Z284" s="11"/>
      <c r="AA284" s="36"/>
      <c r="AB284" s="36"/>
      <c r="AC284" s="13"/>
      <c r="AD284" s="13"/>
      <c r="AE284" s="37"/>
      <c r="AF284" s="37"/>
      <c r="AG284" s="14"/>
      <c r="AH284" s="14"/>
      <c r="AI284" s="14"/>
      <c r="AZ284" s="24"/>
    </row>
    <row r="285">
      <c r="B285" s="24"/>
      <c r="E285" s="113"/>
      <c r="F285" s="266"/>
      <c r="G285" s="113"/>
      <c r="K285" s="36"/>
      <c r="L285" s="117"/>
      <c r="M285" s="128"/>
      <c r="N285" s="117"/>
      <c r="R285" s="117"/>
      <c r="T285" s="117"/>
      <c r="V285" s="117"/>
      <c r="X285" s="117"/>
      <c r="Y285" s="10"/>
      <c r="Z285" s="11"/>
      <c r="AA285" s="36"/>
      <c r="AB285" s="36"/>
      <c r="AC285" s="13"/>
      <c r="AD285" s="13"/>
      <c r="AE285" s="37"/>
      <c r="AF285" s="37"/>
      <c r="AG285" s="14"/>
      <c r="AH285" s="14"/>
      <c r="AI285" s="14"/>
      <c r="AZ285" s="24"/>
    </row>
    <row r="286">
      <c r="B286" s="24"/>
      <c r="E286" s="113"/>
      <c r="F286" s="266"/>
      <c r="G286" s="113"/>
      <c r="K286" s="36"/>
      <c r="L286" s="117"/>
      <c r="M286" s="128"/>
      <c r="N286" s="117"/>
      <c r="R286" s="117"/>
      <c r="T286" s="117"/>
      <c r="V286" s="117"/>
      <c r="X286" s="117"/>
      <c r="Y286" s="10"/>
      <c r="Z286" s="11"/>
      <c r="AA286" s="36"/>
      <c r="AB286" s="36"/>
      <c r="AC286" s="13"/>
      <c r="AD286" s="13"/>
      <c r="AE286" s="37"/>
      <c r="AF286" s="37"/>
      <c r="AG286" s="14"/>
      <c r="AH286" s="14"/>
      <c r="AI286" s="14"/>
      <c r="AZ286" s="24"/>
    </row>
    <row r="287">
      <c r="B287" s="24"/>
      <c r="E287" s="113"/>
      <c r="F287" s="266"/>
      <c r="G287" s="113"/>
      <c r="K287" s="36"/>
      <c r="L287" s="117"/>
      <c r="M287" s="128"/>
      <c r="N287" s="117"/>
      <c r="R287" s="117"/>
      <c r="T287" s="117"/>
      <c r="V287" s="117"/>
      <c r="X287" s="117"/>
      <c r="Y287" s="10"/>
      <c r="Z287" s="11"/>
      <c r="AA287" s="36"/>
      <c r="AB287" s="36"/>
      <c r="AC287" s="13"/>
      <c r="AD287" s="13"/>
      <c r="AE287" s="37"/>
      <c r="AF287" s="37"/>
      <c r="AG287" s="14"/>
      <c r="AH287" s="14"/>
      <c r="AI287" s="14"/>
      <c r="AZ287" s="24"/>
    </row>
    <row r="288">
      <c r="B288" s="24"/>
      <c r="E288" s="113"/>
      <c r="F288" s="266"/>
      <c r="G288" s="113"/>
      <c r="K288" s="36"/>
      <c r="L288" s="117"/>
      <c r="M288" s="128"/>
      <c r="N288" s="117"/>
      <c r="R288" s="117"/>
      <c r="T288" s="117"/>
      <c r="V288" s="117"/>
      <c r="X288" s="117"/>
      <c r="Y288" s="10"/>
      <c r="Z288" s="11"/>
      <c r="AA288" s="36"/>
      <c r="AB288" s="36"/>
      <c r="AC288" s="13"/>
      <c r="AD288" s="13"/>
      <c r="AE288" s="37"/>
      <c r="AF288" s="37"/>
      <c r="AG288" s="14"/>
      <c r="AH288" s="14"/>
      <c r="AI288" s="14"/>
      <c r="AZ288" s="24"/>
    </row>
    <row r="289">
      <c r="B289" s="24"/>
      <c r="E289" s="113"/>
      <c r="F289" s="266"/>
      <c r="G289" s="113"/>
      <c r="K289" s="36"/>
      <c r="L289" s="117"/>
      <c r="M289" s="128"/>
      <c r="N289" s="117"/>
      <c r="R289" s="117"/>
      <c r="T289" s="117"/>
      <c r="V289" s="117"/>
      <c r="X289" s="117"/>
      <c r="Y289" s="10"/>
      <c r="Z289" s="11"/>
      <c r="AA289" s="36"/>
      <c r="AB289" s="36"/>
      <c r="AC289" s="13"/>
      <c r="AD289" s="13"/>
      <c r="AE289" s="37"/>
      <c r="AF289" s="37"/>
      <c r="AG289" s="14"/>
      <c r="AH289" s="14"/>
      <c r="AI289" s="14"/>
      <c r="AZ289" s="24"/>
    </row>
    <row r="290">
      <c r="B290" s="24"/>
      <c r="E290" s="113"/>
      <c r="F290" s="266"/>
      <c r="G290" s="113"/>
      <c r="K290" s="36"/>
      <c r="L290" s="117"/>
      <c r="M290" s="128"/>
      <c r="N290" s="117"/>
      <c r="R290" s="117"/>
      <c r="T290" s="117"/>
      <c r="V290" s="117"/>
      <c r="X290" s="117"/>
      <c r="Y290" s="10"/>
      <c r="Z290" s="11"/>
      <c r="AA290" s="36"/>
      <c r="AB290" s="36"/>
      <c r="AC290" s="13"/>
      <c r="AD290" s="13"/>
      <c r="AE290" s="37"/>
      <c r="AF290" s="37"/>
      <c r="AG290" s="14"/>
      <c r="AH290" s="14"/>
      <c r="AI290" s="14"/>
      <c r="AZ290" s="24"/>
    </row>
    <row r="291">
      <c r="B291" s="24"/>
      <c r="E291" s="113"/>
      <c r="F291" s="266"/>
      <c r="G291" s="113"/>
      <c r="K291" s="36"/>
      <c r="L291" s="117"/>
      <c r="M291" s="128"/>
      <c r="N291" s="117"/>
      <c r="R291" s="117"/>
      <c r="T291" s="117"/>
      <c r="V291" s="117"/>
      <c r="X291" s="117"/>
      <c r="Y291" s="10"/>
      <c r="Z291" s="11"/>
      <c r="AA291" s="36"/>
      <c r="AB291" s="36"/>
      <c r="AC291" s="13"/>
      <c r="AD291" s="13"/>
      <c r="AE291" s="37"/>
      <c r="AF291" s="37"/>
      <c r="AG291" s="14"/>
      <c r="AH291" s="14"/>
      <c r="AI291" s="14"/>
      <c r="AZ291" s="24"/>
    </row>
    <row r="292">
      <c r="B292" s="24"/>
      <c r="E292" s="113"/>
      <c r="F292" s="266"/>
      <c r="G292" s="113"/>
      <c r="K292" s="36"/>
      <c r="L292" s="117"/>
      <c r="M292" s="128"/>
      <c r="N292" s="117"/>
      <c r="R292" s="117"/>
      <c r="T292" s="117"/>
      <c r="V292" s="117"/>
      <c r="X292" s="117"/>
      <c r="Y292" s="10"/>
      <c r="Z292" s="11"/>
      <c r="AA292" s="36"/>
      <c r="AB292" s="36"/>
      <c r="AC292" s="13"/>
      <c r="AD292" s="13"/>
      <c r="AE292" s="37"/>
      <c r="AF292" s="37"/>
      <c r="AG292" s="14"/>
      <c r="AH292" s="14"/>
      <c r="AI292" s="14"/>
      <c r="AZ292" s="24"/>
    </row>
    <row r="293">
      <c r="B293" s="24"/>
      <c r="E293" s="113"/>
      <c r="F293" s="266"/>
      <c r="G293" s="113"/>
      <c r="K293" s="36"/>
      <c r="L293" s="117"/>
      <c r="M293" s="128"/>
      <c r="N293" s="117"/>
      <c r="R293" s="117"/>
      <c r="T293" s="117"/>
      <c r="V293" s="117"/>
      <c r="X293" s="117"/>
      <c r="Y293" s="10"/>
      <c r="Z293" s="11"/>
      <c r="AA293" s="36"/>
      <c r="AB293" s="36"/>
      <c r="AC293" s="13"/>
      <c r="AD293" s="13"/>
      <c r="AE293" s="37"/>
      <c r="AF293" s="37"/>
      <c r="AG293" s="14"/>
      <c r="AH293" s="14"/>
      <c r="AI293" s="14"/>
      <c r="AZ293" s="24"/>
    </row>
    <row r="294">
      <c r="B294" s="24"/>
      <c r="E294" s="113"/>
      <c r="F294" s="266"/>
      <c r="G294" s="113"/>
      <c r="K294" s="36"/>
      <c r="L294" s="117"/>
      <c r="M294" s="128"/>
      <c r="N294" s="117"/>
      <c r="R294" s="117"/>
      <c r="T294" s="117"/>
      <c r="V294" s="117"/>
      <c r="X294" s="117"/>
      <c r="Y294" s="10"/>
      <c r="Z294" s="11"/>
      <c r="AA294" s="36"/>
      <c r="AB294" s="36"/>
      <c r="AC294" s="13"/>
      <c r="AD294" s="13"/>
      <c r="AE294" s="37"/>
      <c r="AF294" s="37"/>
      <c r="AG294" s="14"/>
      <c r="AH294" s="14"/>
      <c r="AI294" s="14"/>
      <c r="AZ294" s="24"/>
    </row>
    <row r="295">
      <c r="B295" s="24"/>
      <c r="E295" s="113"/>
      <c r="F295" s="266"/>
      <c r="G295" s="113"/>
      <c r="K295" s="36"/>
      <c r="L295" s="117"/>
      <c r="M295" s="128"/>
      <c r="N295" s="117"/>
      <c r="R295" s="117"/>
      <c r="T295" s="117"/>
      <c r="V295" s="117"/>
      <c r="X295" s="117"/>
      <c r="Y295" s="10"/>
      <c r="Z295" s="11"/>
      <c r="AA295" s="36"/>
      <c r="AB295" s="36"/>
      <c r="AC295" s="13"/>
      <c r="AD295" s="13"/>
      <c r="AE295" s="37"/>
      <c r="AF295" s="37"/>
      <c r="AG295" s="14"/>
      <c r="AH295" s="14"/>
      <c r="AI295" s="14"/>
      <c r="AZ295" s="24"/>
    </row>
    <row r="296">
      <c r="B296" s="24"/>
      <c r="E296" s="113"/>
      <c r="F296" s="266"/>
      <c r="G296" s="113"/>
      <c r="K296" s="36"/>
      <c r="L296" s="117"/>
      <c r="M296" s="128"/>
      <c r="N296" s="117"/>
      <c r="R296" s="117"/>
      <c r="T296" s="117"/>
      <c r="V296" s="117"/>
      <c r="X296" s="117"/>
      <c r="Y296" s="10"/>
      <c r="Z296" s="11"/>
      <c r="AA296" s="36"/>
      <c r="AB296" s="36"/>
      <c r="AC296" s="13"/>
      <c r="AD296" s="13"/>
      <c r="AE296" s="37"/>
      <c r="AF296" s="37"/>
      <c r="AG296" s="14"/>
      <c r="AH296" s="14"/>
      <c r="AI296" s="14"/>
      <c r="AZ296" s="24"/>
    </row>
    <row r="297">
      <c r="B297" s="24"/>
      <c r="E297" s="113"/>
      <c r="F297" s="266"/>
      <c r="G297" s="113"/>
      <c r="K297" s="36"/>
      <c r="L297" s="117"/>
      <c r="M297" s="128"/>
      <c r="N297" s="117"/>
      <c r="R297" s="117"/>
      <c r="T297" s="117"/>
      <c r="V297" s="117"/>
      <c r="X297" s="117"/>
      <c r="Y297" s="10"/>
      <c r="Z297" s="11"/>
      <c r="AA297" s="36"/>
      <c r="AB297" s="36"/>
      <c r="AC297" s="13"/>
      <c r="AD297" s="13"/>
      <c r="AE297" s="37"/>
      <c r="AF297" s="37"/>
      <c r="AG297" s="14"/>
      <c r="AH297" s="14"/>
      <c r="AI297" s="14"/>
      <c r="AZ297" s="24"/>
    </row>
    <row r="298">
      <c r="B298" s="24"/>
      <c r="E298" s="113"/>
      <c r="F298" s="266"/>
      <c r="G298" s="113"/>
      <c r="K298" s="36"/>
      <c r="L298" s="117"/>
      <c r="M298" s="128"/>
      <c r="N298" s="117"/>
      <c r="R298" s="117"/>
      <c r="T298" s="117"/>
      <c r="V298" s="117"/>
      <c r="X298" s="117"/>
      <c r="Y298" s="10"/>
      <c r="Z298" s="11"/>
      <c r="AA298" s="36"/>
      <c r="AB298" s="36"/>
      <c r="AC298" s="13"/>
      <c r="AD298" s="13"/>
      <c r="AE298" s="37"/>
      <c r="AF298" s="37"/>
      <c r="AG298" s="14"/>
      <c r="AH298" s="14"/>
      <c r="AI298" s="14"/>
      <c r="AZ298" s="24"/>
    </row>
    <row r="299">
      <c r="B299" s="24"/>
      <c r="E299" s="113"/>
      <c r="F299" s="266"/>
      <c r="G299" s="113"/>
      <c r="K299" s="36"/>
      <c r="L299" s="117"/>
      <c r="M299" s="128"/>
      <c r="N299" s="117"/>
      <c r="R299" s="117"/>
      <c r="T299" s="117"/>
      <c r="V299" s="117"/>
      <c r="X299" s="117"/>
      <c r="Y299" s="10"/>
      <c r="Z299" s="11"/>
      <c r="AA299" s="36"/>
      <c r="AB299" s="36"/>
      <c r="AC299" s="13"/>
      <c r="AD299" s="13"/>
      <c r="AE299" s="37"/>
      <c r="AF299" s="37"/>
      <c r="AG299" s="14"/>
      <c r="AH299" s="14"/>
      <c r="AI299" s="14"/>
      <c r="AZ299" s="24"/>
    </row>
    <row r="300">
      <c r="B300" s="24"/>
      <c r="E300" s="113"/>
      <c r="F300" s="266"/>
      <c r="G300" s="113"/>
      <c r="K300" s="36"/>
      <c r="L300" s="117"/>
      <c r="M300" s="128"/>
      <c r="N300" s="117"/>
      <c r="R300" s="117"/>
      <c r="T300" s="117"/>
      <c r="V300" s="117"/>
      <c r="X300" s="117"/>
      <c r="Y300" s="10"/>
      <c r="Z300" s="11"/>
      <c r="AA300" s="36"/>
      <c r="AB300" s="36"/>
      <c r="AC300" s="13"/>
      <c r="AD300" s="13"/>
      <c r="AE300" s="37"/>
      <c r="AF300" s="37"/>
      <c r="AG300" s="14"/>
      <c r="AH300" s="14"/>
      <c r="AI300" s="14"/>
      <c r="AZ300" s="24"/>
    </row>
    <row r="301">
      <c r="B301" s="24"/>
      <c r="E301" s="113"/>
      <c r="F301" s="266"/>
      <c r="G301" s="113"/>
      <c r="K301" s="36"/>
      <c r="L301" s="117"/>
      <c r="M301" s="128"/>
      <c r="N301" s="117"/>
      <c r="R301" s="117"/>
      <c r="T301" s="117"/>
      <c r="V301" s="117"/>
      <c r="X301" s="117"/>
      <c r="Y301" s="10"/>
      <c r="Z301" s="11"/>
      <c r="AA301" s="36"/>
      <c r="AB301" s="36"/>
      <c r="AC301" s="13"/>
      <c r="AD301" s="13"/>
      <c r="AE301" s="37"/>
      <c r="AF301" s="37"/>
      <c r="AG301" s="14"/>
      <c r="AH301" s="14"/>
      <c r="AI301" s="14"/>
      <c r="AZ301" s="24"/>
    </row>
    <row r="302">
      <c r="B302" s="24"/>
      <c r="E302" s="113"/>
      <c r="F302" s="266"/>
      <c r="G302" s="113"/>
      <c r="K302" s="36"/>
      <c r="L302" s="117"/>
      <c r="M302" s="128"/>
      <c r="N302" s="117"/>
      <c r="R302" s="117"/>
      <c r="T302" s="117"/>
      <c r="V302" s="117"/>
      <c r="X302" s="117"/>
      <c r="Y302" s="10"/>
      <c r="Z302" s="11"/>
      <c r="AA302" s="36"/>
      <c r="AB302" s="36"/>
      <c r="AC302" s="13"/>
      <c r="AD302" s="13"/>
      <c r="AE302" s="37"/>
      <c r="AF302" s="37"/>
      <c r="AG302" s="14"/>
      <c r="AH302" s="14"/>
      <c r="AI302" s="14"/>
      <c r="AZ302" s="24"/>
    </row>
    <row r="303">
      <c r="B303" s="24"/>
      <c r="E303" s="113"/>
      <c r="F303" s="266"/>
      <c r="G303" s="113"/>
      <c r="K303" s="36"/>
      <c r="L303" s="117"/>
      <c r="M303" s="128"/>
      <c r="N303" s="117"/>
      <c r="R303" s="117"/>
      <c r="T303" s="117"/>
      <c r="V303" s="117"/>
      <c r="X303" s="117"/>
      <c r="Y303" s="10"/>
      <c r="Z303" s="11"/>
      <c r="AA303" s="36"/>
      <c r="AB303" s="36"/>
      <c r="AC303" s="13"/>
      <c r="AD303" s="13"/>
      <c r="AE303" s="37"/>
      <c r="AF303" s="37"/>
      <c r="AG303" s="14"/>
      <c r="AH303" s="14"/>
      <c r="AI303" s="14"/>
      <c r="AZ303" s="24"/>
    </row>
    <row r="304">
      <c r="B304" s="24"/>
      <c r="E304" s="113"/>
      <c r="F304" s="266"/>
      <c r="G304" s="113"/>
      <c r="K304" s="36"/>
      <c r="L304" s="117"/>
      <c r="M304" s="128"/>
      <c r="N304" s="117"/>
      <c r="R304" s="117"/>
      <c r="T304" s="117"/>
      <c r="V304" s="117"/>
      <c r="X304" s="117"/>
      <c r="Y304" s="10"/>
      <c r="Z304" s="11"/>
      <c r="AA304" s="36"/>
      <c r="AB304" s="36"/>
      <c r="AC304" s="13"/>
      <c r="AD304" s="13"/>
      <c r="AE304" s="37"/>
      <c r="AF304" s="37"/>
      <c r="AG304" s="14"/>
      <c r="AH304" s="14"/>
      <c r="AI304" s="14"/>
      <c r="AZ304" s="24"/>
    </row>
    <row r="305">
      <c r="B305" s="24"/>
      <c r="E305" s="113"/>
      <c r="F305" s="266"/>
      <c r="G305" s="113"/>
      <c r="K305" s="36"/>
      <c r="L305" s="117"/>
      <c r="M305" s="128"/>
      <c r="N305" s="117"/>
      <c r="R305" s="117"/>
      <c r="T305" s="117"/>
      <c r="V305" s="117"/>
      <c r="X305" s="117"/>
      <c r="Y305" s="10"/>
      <c r="Z305" s="11"/>
      <c r="AA305" s="36"/>
      <c r="AB305" s="36"/>
      <c r="AC305" s="13"/>
      <c r="AD305" s="13"/>
      <c r="AE305" s="37"/>
      <c r="AF305" s="37"/>
      <c r="AG305" s="14"/>
      <c r="AH305" s="14"/>
      <c r="AI305" s="14"/>
      <c r="AZ305" s="24"/>
    </row>
    <row r="306">
      <c r="B306" s="24"/>
      <c r="E306" s="113"/>
      <c r="F306" s="266"/>
      <c r="G306" s="113"/>
      <c r="K306" s="36"/>
      <c r="L306" s="117"/>
      <c r="M306" s="128"/>
      <c r="N306" s="117"/>
      <c r="R306" s="117"/>
      <c r="T306" s="117"/>
      <c r="V306" s="117"/>
      <c r="X306" s="117"/>
      <c r="Y306" s="10"/>
      <c r="Z306" s="11"/>
      <c r="AA306" s="36"/>
      <c r="AB306" s="36"/>
      <c r="AC306" s="13"/>
      <c r="AD306" s="13"/>
      <c r="AE306" s="37"/>
      <c r="AF306" s="37"/>
      <c r="AG306" s="14"/>
      <c r="AH306" s="14"/>
      <c r="AI306" s="14"/>
      <c r="AZ306" s="24"/>
    </row>
    <row r="307">
      <c r="B307" s="24"/>
      <c r="E307" s="113"/>
      <c r="F307" s="266"/>
      <c r="G307" s="113"/>
      <c r="K307" s="36"/>
      <c r="L307" s="117"/>
      <c r="M307" s="128"/>
      <c r="N307" s="117"/>
      <c r="R307" s="117"/>
      <c r="T307" s="117"/>
      <c r="V307" s="117"/>
      <c r="X307" s="117"/>
      <c r="Y307" s="10"/>
      <c r="Z307" s="11"/>
      <c r="AA307" s="36"/>
      <c r="AB307" s="36"/>
      <c r="AC307" s="13"/>
      <c r="AD307" s="13"/>
      <c r="AE307" s="37"/>
      <c r="AF307" s="37"/>
      <c r="AG307" s="14"/>
      <c r="AH307" s="14"/>
      <c r="AI307" s="14"/>
      <c r="AZ307" s="24"/>
    </row>
    <row r="308">
      <c r="B308" s="24"/>
      <c r="E308" s="113"/>
      <c r="F308" s="266"/>
      <c r="G308" s="113"/>
      <c r="K308" s="36"/>
      <c r="L308" s="117"/>
      <c r="M308" s="128"/>
      <c r="N308" s="117"/>
      <c r="R308" s="117"/>
      <c r="T308" s="117"/>
      <c r="V308" s="117"/>
      <c r="X308" s="117"/>
      <c r="Y308" s="10"/>
      <c r="Z308" s="11"/>
      <c r="AA308" s="36"/>
      <c r="AB308" s="36"/>
      <c r="AC308" s="13"/>
      <c r="AD308" s="13"/>
      <c r="AE308" s="37"/>
      <c r="AF308" s="37"/>
      <c r="AG308" s="14"/>
      <c r="AH308" s="14"/>
      <c r="AI308" s="14"/>
      <c r="AZ308" s="24"/>
    </row>
    <row r="309">
      <c r="B309" s="24"/>
      <c r="E309" s="113"/>
      <c r="F309" s="266"/>
      <c r="G309" s="113"/>
      <c r="K309" s="36"/>
      <c r="L309" s="117"/>
      <c r="M309" s="128"/>
      <c r="N309" s="117"/>
      <c r="R309" s="117"/>
      <c r="T309" s="117"/>
      <c r="V309" s="117"/>
      <c r="X309" s="117"/>
      <c r="Y309" s="10"/>
      <c r="Z309" s="11"/>
      <c r="AA309" s="36"/>
      <c r="AB309" s="36"/>
      <c r="AC309" s="13"/>
      <c r="AD309" s="13"/>
      <c r="AE309" s="37"/>
      <c r="AF309" s="37"/>
      <c r="AG309" s="14"/>
      <c r="AH309" s="14"/>
      <c r="AI309" s="14"/>
      <c r="AZ309" s="24"/>
    </row>
    <row r="310">
      <c r="B310" s="24"/>
      <c r="E310" s="113"/>
      <c r="F310" s="266"/>
      <c r="G310" s="113"/>
      <c r="K310" s="36"/>
      <c r="L310" s="117"/>
      <c r="M310" s="128"/>
      <c r="N310" s="117"/>
      <c r="R310" s="117"/>
      <c r="T310" s="117"/>
      <c r="V310" s="117"/>
      <c r="X310" s="117"/>
      <c r="Y310" s="10"/>
      <c r="Z310" s="11"/>
      <c r="AA310" s="36"/>
      <c r="AB310" s="36"/>
      <c r="AC310" s="13"/>
      <c r="AD310" s="13"/>
      <c r="AE310" s="37"/>
      <c r="AF310" s="37"/>
      <c r="AG310" s="14"/>
      <c r="AH310" s="14"/>
      <c r="AI310" s="14"/>
      <c r="AZ310" s="24"/>
    </row>
    <row r="311">
      <c r="B311" s="24"/>
      <c r="E311" s="113"/>
      <c r="F311" s="266"/>
      <c r="G311" s="113"/>
      <c r="K311" s="36"/>
      <c r="L311" s="117"/>
      <c r="M311" s="128"/>
      <c r="N311" s="117"/>
      <c r="R311" s="117"/>
      <c r="T311" s="117"/>
      <c r="V311" s="117"/>
      <c r="X311" s="117"/>
      <c r="Y311" s="10"/>
      <c r="Z311" s="11"/>
      <c r="AA311" s="36"/>
      <c r="AB311" s="36"/>
      <c r="AC311" s="13"/>
      <c r="AD311" s="13"/>
      <c r="AE311" s="37"/>
      <c r="AF311" s="37"/>
      <c r="AG311" s="14"/>
      <c r="AH311" s="14"/>
      <c r="AI311" s="14"/>
      <c r="AZ311" s="24"/>
    </row>
    <row r="312">
      <c r="B312" s="24"/>
      <c r="E312" s="113"/>
      <c r="F312" s="266"/>
      <c r="G312" s="113"/>
      <c r="K312" s="36"/>
      <c r="L312" s="117"/>
      <c r="M312" s="128"/>
      <c r="N312" s="117"/>
      <c r="R312" s="117"/>
      <c r="T312" s="117"/>
      <c r="V312" s="117"/>
      <c r="X312" s="117"/>
      <c r="Y312" s="10"/>
      <c r="Z312" s="11"/>
      <c r="AA312" s="36"/>
      <c r="AB312" s="36"/>
      <c r="AC312" s="13"/>
      <c r="AD312" s="13"/>
      <c r="AE312" s="37"/>
      <c r="AF312" s="37"/>
      <c r="AG312" s="14"/>
      <c r="AH312" s="14"/>
      <c r="AI312" s="14"/>
      <c r="AZ312" s="24"/>
    </row>
    <row r="313">
      <c r="B313" s="24"/>
      <c r="E313" s="113"/>
      <c r="F313" s="266"/>
      <c r="G313" s="113"/>
      <c r="K313" s="36"/>
      <c r="L313" s="117"/>
      <c r="M313" s="128"/>
      <c r="N313" s="117"/>
      <c r="R313" s="117"/>
      <c r="T313" s="117"/>
      <c r="V313" s="117"/>
      <c r="X313" s="117"/>
      <c r="Y313" s="10"/>
      <c r="Z313" s="11"/>
      <c r="AA313" s="36"/>
      <c r="AB313" s="36"/>
      <c r="AC313" s="13"/>
      <c r="AD313" s="13"/>
      <c r="AE313" s="37"/>
      <c r="AF313" s="37"/>
      <c r="AG313" s="14"/>
      <c r="AH313" s="14"/>
      <c r="AI313" s="14"/>
      <c r="AZ313" s="24"/>
    </row>
    <row r="314">
      <c r="B314" s="24"/>
      <c r="E314" s="113"/>
      <c r="F314" s="266"/>
      <c r="G314" s="113"/>
      <c r="K314" s="36"/>
      <c r="L314" s="117"/>
      <c r="M314" s="128"/>
      <c r="N314" s="117"/>
      <c r="R314" s="117"/>
      <c r="T314" s="117"/>
      <c r="V314" s="117"/>
      <c r="X314" s="117"/>
      <c r="Y314" s="10"/>
      <c r="Z314" s="11"/>
      <c r="AA314" s="36"/>
      <c r="AB314" s="36"/>
      <c r="AC314" s="13"/>
      <c r="AD314" s="13"/>
      <c r="AE314" s="37"/>
      <c r="AF314" s="37"/>
      <c r="AG314" s="14"/>
      <c r="AH314" s="14"/>
      <c r="AI314" s="14"/>
      <c r="AZ314" s="24"/>
    </row>
    <row r="315">
      <c r="B315" s="24"/>
      <c r="E315" s="113"/>
      <c r="F315" s="266"/>
      <c r="G315" s="113"/>
      <c r="K315" s="36"/>
      <c r="L315" s="117"/>
      <c r="M315" s="128"/>
      <c r="N315" s="117"/>
      <c r="R315" s="117"/>
      <c r="T315" s="117"/>
      <c r="V315" s="117"/>
      <c r="X315" s="117"/>
      <c r="Y315" s="10"/>
      <c r="Z315" s="11"/>
      <c r="AA315" s="36"/>
      <c r="AB315" s="36"/>
      <c r="AC315" s="13"/>
      <c r="AD315" s="13"/>
      <c r="AE315" s="37"/>
      <c r="AF315" s="37"/>
      <c r="AG315" s="14"/>
      <c r="AH315" s="14"/>
      <c r="AI315" s="14"/>
      <c r="AZ315" s="24"/>
    </row>
    <row r="316">
      <c r="B316" s="24"/>
      <c r="E316" s="113"/>
      <c r="F316" s="266"/>
      <c r="G316" s="113"/>
      <c r="K316" s="36"/>
      <c r="L316" s="117"/>
      <c r="M316" s="128"/>
      <c r="N316" s="117"/>
      <c r="R316" s="117"/>
      <c r="T316" s="117"/>
      <c r="V316" s="117"/>
      <c r="X316" s="117"/>
      <c r="Y316" s="10"/>
      <c r="Z316" s="11"/>
      <c r="AA316" s="36"/>
      <c r="AB316" s="36"/>
      <c r="AC316" s="13"/>
      <c r="AD316" s="13"/>
      <c r="AE316" s="37"/>
      <c r="AF316" s="37"/>
      <c r="AG316" s="14"/>
      <c r="AH316" s="14"/>
      <c r="AI316" s="14"/>
      <c r="AZ316" s="24"/>
    </row>
    <row r="317">
      <c r="B317" s="24"/>
      <c r="E317" s="113"/>
      <c r="F317" s="266"/>
      <c r="G317" s="113"/>
      <c r="K317" s="36"/>
      <c r="L317" s="117"/>
      <c r="M317" s="128"/>
      <c r="N317" s="117"/>
      <c r="R317" s="117"/>
      <c r="T317" s="117"/>
      <c r="V317" s="117"/>
      <c r="X317" s="117"/>
      <c r="Y317" s="10"/>
      <c r="Z317" s="11"/>
      <c r="AA317" s="36"/>
      <c r="AB317" s="36"/>
      <c r="AC317" s="13"/>
      <c r="AD317" s="13"/>
      <c r="AE317" s="37"/>
      <c r="AF317" s="37"/>
      <c r="AG317" s="14"/>
      <c r="AH317" s="14"/>
      <c r="AI317" s="14"/>
      <c r="AZ317" s="24"/>
    </row>
    <row r="318">
      <c r="B318" s="24"/>
      <c r="E318" s="113"/>
      <c r="F318" s="266"/>
      <c r="G318" s="113"/>
      <c r="K318" s="36"/>
      <c r="L318" s="117"/>
      <c r="M318" s="128"/>
      <c r="N318" s="117"/>
      <c r="R318" s="117"/>
      <c r="T318" s="117"/>
      <c r="V318" s="117"/>
      <c r="X318" s="117"/>
      <c r="Y318" s="10"/>
      <c r="Z318" s="11"/>
      <c r="AA318" s="36"/>
      <c r="AB318" s="36"/>
      <c r="AC318" s="13"/>
      <c r="AD318" s="13"/>
      <c r="AE318" s="37"/>
      <c r="AF318" s="37"/>
      <c r="AG318" s="14"/>
      <c r="AH318" s="14"/>
      <c r="AI318" s="14"/>
      <c r="AZ318" s="24"/>
    </row>
    <row r="319">
      <c r="B319" s="24"/>
      <c r="E319" s="113"/>
      <c r="F319" s="266"/>
      <c r="G319" s="113"/>
      <c r="K319" s="36"/>
      <c r="L319" s="117"/>
      <c r="M319" s="128"/>
      <c r="N319" s="117"/>
      <c r="R319" s="117"/>
      <c r="T319" s="117"/>
      <c r="V319" s="117"/>
      <c r="X319" s="117"/>
      <c r="Y319" s="10"/>
      <c r="Z319" s="11"/>
      <c r="AA319" s="36"/>
      <c r="AB319" s="36"/>
      <c r="AC319" s="13"/>
      <c r="AD319" s="13"/>
      <c r="AE319" s="37"/>
      <c r="AF319" s="37"/>
      <c r="AG319" s="14"/>
      <c r="AH319" s="14"/>
      <c r="AI319" s="14"/>
      <c r="AZ319" s="24"/>
    </row>
    <row r="320">
      <c r="B320" s="24"/>
      <c r="E320" s="113"/>
      <c r="F320" s="266"/>
      <c r="G320" s="113"/>
      <c r="K320" s="36"/>
      <c r="L320" s="117"/>
      <c r="M320" s="128"/>
      <c r="N320" s="117"/>
      <c r="R320" s="117"/>
      <c r="T320" s="117"/>
      <c r="V320" s="117"/>
      <c r="X320" s="117"/>
      <c r="Y320" s="10"/>
      <c r="Z320" s="11"/>
      <c r="AA320" s="36"/>
      <c r="AB320" s="36"/>
      <c r="AC320" s="13"/>
      <c r="AD320" s="13"/>
      <c r="AE320" s="37"/>
      <c r="AF320" s="37"/>
      <c r="AG320" s="14"/>
      <c r="AH320" s="14"/>
      <c r="AI320" s="14"/>
      <c r="AZ320" s="24"/>
    </row>
    <row r="321">
      <c r="B321" s="24"/>
      <c r="E321" s="113"/>
      <c r="F321" s="266"/>
      <c r="G321" s="113"/>
      <c r="K321" s="36"/>
      <c r="L321" s="117"/>
      <c r="M321" s="128"/>
      <c r="N321" s="117"/>
      <c r="R321" s="117"/>
      <c r="T321" s="117"/>
      <c r="V321" s="117"/>
      <c r="X321" s="117"/>
      <c r="Y321" s="10"/>
      <c r="Z321" s="11"/>
      <c r="AA321" s="36"/>
      <c r="AB321" s="36"/>
      <c r="AC321" s="13"/>
      <c r="AD321" s="13"/>
      <c r="AE321" s="37"/>
      <c r="AF321" s="37"/>
      <c r="AG321" s="14"/>
      <c r="AH321" s="14"/>
      <c r="AI321" s="14"/>
      <c r="AZ321" s="24"/>
    </row>
    <row r="322">
      <c r="B322" s="24"/>
      <c r="E322" s="113"/>
      <c r="F322" s="266"/>
      <c r="G322" s="113"/>
      <c r="K322" s="36"/>
      <c r="L322" s="117"/>
      <c r="M322" s="128"/>
      <c r="N322" s="117"/>
      <c r="R322" s="117"/>
      <c r="T322" s="117"/>
      <c r="V322" s="117"/>
      <c r="X322" s="117"/>
      <c r="Y322" s="10"/>
      <c r="Z322" s="11"/>
      <c r="AA322" s="36"/>
      <c r="AB322" s="36"/>
      <c r="AC322" s="13"/>
      <c r="AD322" s="13"/>
      <c r="AE322" s="37"/>
      <c r="AF322" s="37"/>
      <c r="AG322" s="14"/>
      <c r="AH322" s="14"/>
      <c r="AI322" s="14"/>
      <c r="AZ322" s="24"/>
    </row>
    <row r="323">
      <c r="B323" s="24"/>
      <c r="E323" s="113"/>
      <c r="F323" s="266"/>
      <c r="G323" s="113"/>
      <c r="K323" s="36"/>
      <c r="L323" s="117"/>
      <c r="M323" s="128"/>
      <c r="N323" s="117"/>
      <c r="R323" s="117"/>
      <c r="T323" s="117"/>
      <c r="V323" s="117"/>
      <c r="X323" s="117"/>
      <c r="Y323" s="10"/>
      <c r="Z323" s="11"/>
      <c r="AA323" s="36"/>
      <c r="AB323" s="36"/>
      <c r="AC323" s="13"/>
      <c r="AD323" s="13"/>
      <c r="AE323" s="37"/>
      <c r="AF323" s="37"/>
      <c r="AG323" s="14"/>
      <c r="AH323" s="14"/>
      <c r="AI323" s="14"/>
      <c r="AZ323" s="24"/>
    </row>
    <row r="324">
      <c r="B324" s="24"/>
      <c r="E324" s="113"/>
      <c r="F324" s="266"/>
      <c r="G324" s="113"/>
      <c r="K324" s="36"/>
      <c r="L324" s="117"/>
      <c r="M324" s="128"/>
      <c r="N324" s="117"/>
      <c r="R324" s="117"/>
      <c r="T324" s="117"/>
      <c r="V324" s="117"/>
      <c r="X324" s="117"/>
      <c r="Y324" s="10"/>
      <c r="Z324" s="11"/>
      <c r="AA324" s="36"/>
      <c r="AB324" s="36"/>
      <c r="AC324" s="13"/>
      <c r="AD324" s="13"/>
      <c r="AE324" s="37"/>
      <c r="AF324" s="37"/>
      <c r="AG324" s="14"/>
      <c r="AH324" s="14"/>
      <c r="AI324" s="14"/>
      <c r="AZ324" s="24"/>
    </row>
    <row r="325">
      <c r="B325" s="24"/>
      <c r="E325" s="113"/>
      <c r="F325" s="266"/>
      <c r="G325" s="113"/>
      <c r="K325" s="36"/>
      <c r="L325" s="117"/>
      <c r="M325" s="128"/>
      <c r="N325" s="117"/>
      <c r="R325" s="117"/>
      <c r="T325" s="117"/>
      <c r="V325" s="117"/>
      <c r="X325" s="117"/>
      <c r="Y325" s="10"/>
      <c r="Z325" s="11"/>
      <c r="AA325" s="36"/>
      <c r="AB325" s="36"/>
      <c r="AC325" s="13"/>
      <c r="AD325" s="13"/>
      <c r="AE325" s="37"/>
      <c r="AF325" s="37"/>
      <c r="AG325" s="14"/>
      <c r="AH325" s="14"/>
      <c r="AI325" s="14"/>
      <c r="AZ325" s="24"/>
    </row>
    <row r="326">
      <c r="B326" s="24"/>
      <c r="E326" s="113"/>
      <c r="F326" s="266"/>
      <c r="G326" s="113"/>
      <c r="K326" s="36"/>
      <c r="L326" s="117"/>
      <c r="M326" s="128"/>
      <c r="N326" s="117"/>
      <c r="R326" s="117"/>
      <c r="T326" s="117"/>
      <c r="V326" s="117"/>
      <c r="X326" s="117"/>
      <c r="Y326" s="10"/>
      <c r="Z326" s="11"/>
      <c r="AA326" s="36"/>
      <c r="AB326" s="36"/>
      <c r="AC326" s="13"/>
      <c r="AD326" s="13"/>
      <c r="AE326" s="37"/>
      <c r="AF326" s="37"/>
      <c r="AG326" s="14"/>
      <c r="AH326" s="14"/>
      <c r="AI326" s="14"/>
      <c r="AZ326" s="24"/>
    </row>
    <row r="327">
      <c r="B327" s="24"/>
      <c r="E327" s="113"/>
      <c r="F327" s="266"/>
      <c r="G327" s="113"/>
      <c r="K327" s="36"/>
      <c r="L327" s="117"/>
      <c r="M327" s="128"/>
      <c r="N327" s="117"/>
      <c r="R327" s="117"/>
      <c r="T327" s="117"/>
      <c r="V327" s="117"/>
      <c r="X327" s="117"/>
      <c r="Y327" s="10"/>
      <c r="Z327" s="11"/>
      <c r="AA327" s="36"/>
      <c r="AB327" s="36"/>
      <c r="AC327" s="13"/>
      <c r="AD327" s="13"/>
      <c r="AE327" s="37"/>
      <c r="AF327" s="37"/>
      <c r="AG327" s="14"/>
      <c r="AH327" s="14"/>
      <c r="AI327" s="14"/>
      <c r="AZ327" s="24"/>
    </row>
    <row r="328">
      <c r="B328" s="24"/>
      <c r="E328" s="113"/>
      <c r="F328" s="266"/>
      <c r="G328" s="113"/>
      <c r="K328" s="36"/>
      <c r="L328" s="117"/>
      <c r="M328" s="128"/>
      <c r="N328" s="117"/>
      <c r="R328" s="117"/>
      <c r="T328" s="117"/>
      <c r="V328" s="117"/>
      <c r="X328" s="117"/>
      <c r="Y328" s="10"/>
      <c r="Z328" s="11"/>
      <c r="AA328" s="36"/>
      <c r="AB328" s="36"/>
      <c r="AC328" s="13"/>
      <c r="AD328" s="13"/>
      <c r="AE328" s="37"/>
      <c r="AF328" s="37"/>
      <c r="AG328" s="14"/>
      <c r="AH328" s="14"/>
      <c r="AI328" s="14"/>
      <c r="AZ328" s="24"/>
    </row>
    <row r="329">
      <c r="B329" s="24"/>
      <c r="E329" s="113"/>
      <c r="F329" s="266"/>
      <c r="G329" s="113"/>
      <c r="K329" s="36"/>
      <c r="L329" s="117"/>
      <c r="M329" s="128"/>
      <c r="N329" s="117"/>
      <c r="R329" s="117"/>
      <c r="T329" s="117"/>
      <c r="V329" s="117"/>
      <c r="X329" s="117"/>
      <c r="Y329" s="10"/>
      <c r="Z329" s="11"/>
      <c r="AA329" s="36"/>
      <c r="AB329" s="36"/>
      <c r="AC329" s="13"/>
      <c r="AD329" s="13"/>
      <c r="AE329" s="37"/>
      <c r="AF329" s="37"/>
      <c r="AG329" s="14"/>
      <c r="AH329" s="14"/>
      <c r="AI329" s="14"/>
      <c r="AZ329" s="24"/>
    </row>
    <row r="330">
      <c r="B330" s="24"/>
      <c r="E330" s="113"/>
      <c r="F330" s="266"/>
      <c r="G330" s="113"/>
      <c r="K330" s="36"/>
      <c r="L330" s="117"/>
      <c r="M330" s="128"/>
      <c r="N330" s="117"/>
      <c r="R330" s="117"/>
      <c r="T330" s="117"/>
      <c r="V330" s="117"/>
      <c r="X330" s="117"/>
      <c r="Y330" s="10"/>
      <c r="Z330" s="11"/>
      <c r="AA330" s="36"/>
      <c r="AB330" s="36"/>
      <c r="AC330" s="13"/>
      <c r="AD330" s="13"/>
      <c r="AE330" s="37"/>
      <c r="AF330" s="37"/>
      <c r="AG330" s="14"/>
      <c r="AH330" s="14"/>
      <c r="AI330" s="14"/>
      <c r="AZ330" s="24"/>
    </row>
    <row r="331">
      <c r="B331" s="24"/>
      <c r="E331" s="113"/>
      <c r="F331" s="266"/>
      <c r="G331" s="113"/>
      <c r="K331" s="36"/>
      <c r="L331" s="117"/>
      <c r="M331" s="128"/>
      <c r="N331" s="117"/>
      <c r="R331" s="117"/>
      <c r="T331" s="117"/>
      <c r="V331" s="117"/>
      <c r="X331" s="117"/>
      <c r="Y331" s="10"/>
      <c r="Z331" s="11"/>
      <c r="AA331" s="36"/>
      <c r="AB331" s="36"/>
      <c r="AC331" s="13"/>
      <c r="AD331" s="13"/>
      <c r="AE331" s="37"/>
      <c r="AF331" s="37"/>
      <c r="AG331" s="14"/>
      <c r="AH331" s="14"/>
      <c r="AI331" s="14"/>
      <c r="AZ331" s="24"/>
    </row>
    <row r="332">
      <c r="B332" s="24"/>
      <c r="E332" s="113"/>
      <c r="F332" s="266"/>
      <c r="G332" s="113"/>
      <c r="K332" s="36"/>
      <c r="L332" s="117"/>
      <c r="M332" s="128"/>
      <c r="N332" s="117"/>
      <c r="R332" s="117"/>
      <c r="T332" s="117"/>
      <c r="V332" s="117"/>
      <c r="X332" s="117"/>
      <c r="Y332" s="10"/>
      <c r="Z332" s="11"/>
      <c r="AA332" s="36"/>
      <c r="AB332" s="36"/>
      <c r="AC332" s="13"/>
      <c r="AD332" s="13"/>
      <c r="AE332" s="37"/>
      <c r="AF332" s="37"/>
      <c r="AG332" s="14"/>
      <c r="AH332" s="14"/>
      <c r="AI332" s="14"/>
      <c r="AZ332" s="24"/>
    </row>
    <row r="333">
      <c r="B333" s="24"/>
      <c r="E333" s="113"/>
      <c r="F333" s="266"/>
      <c r="G333" s="113"/>
      <c r="K333" s="36"/>
      <c r="L333" s="117"/>
      <c r="M333" s="128"/>
      <c r="N333" s="117"/>
      <c r="R333" s="117"/>
      <c r="T333" s="117"/>
      <c r="V333" s="117"/>
      <c r="X333" s="117"/>
      <c r="Y333" s="10"/>
      <c r="Z333" s="11"/>
      <c r="AA333" s="36"/>
      <c r="AB333" s="36"/>
      <c r="AC333" s="13"/>
      <c r="AD333" s="13"/>
      <c r="AE333" s="37"/>
      <c r="AF333" s="37"/>
      <c r="AG333" s="14"/>
      <c r="AH333" s="14"/>
      <c r="AI333" s="14"/>
      <c r="AZ333" s="24"/>
    </row>
    <row r="334">
      <c r="B334" s="24"/>
      <c r="E334" s="113"/>
      <c r="F334" s="266"/>
      <c r="G334" s="113"/>
      <c r="K334" s="36"/>
      <c r="L334" s="117"/>
      <c r="M334" s="128"/>
      <c r="N334" s="117"/>
      <c r="R334" s="117"/>
      <c r="T334" s="117"/>
      <c r="V334" s="117"/>
      <c r="X334" s="117"/>
      <c r="Y334" s="10"/>
      <c r="Z334" s="11"/>
      <c r="AA334" s="36"/>
      <c r="AB334" s="36"/>
      <c r="AC334" s="13"/>
      <c r="AD334" s="13"/>
      <c r="AE334" s="37"/>
      <c r="AF334" s="37"/>
      <c r="AG334" s="14"/>
      <c r="AH334" s="14"/>
      <c r="AI334" s="14"/>
      <c r="AZ334" s="24"/>
    </row>
    <row r="335">
      <c r="B335" s="24"/>
      <c r="E335" s="113"/>
      <c r="F335" s="266"/>
      <c r="G335" s="113"/>
      <c r="K335" s="36"/>
      <c r="L335" s="117"/>
      <c r="M335" s="128"/>
      <c r="N335" s="117"/>
      <c r="R335" s="117"/>
      <c r="T335" s="117"/>
      <c r="V335" s="117"/>
      <c r="X335" s="117"/>
      <c r="Y335" s="10"/>
      <c r="Z335" s="11"/>
      <c r="AA335" s="36"/>
      <c r="AB335" s="36"/>
      <c r="AC335" s="13"/>
      <c r="AD335" s="13"/>
      <c r="AE335" s="37"/>
      <c r="AF335" s="37"/>
      <c r="AG335" s="14"/>
      <c r="AH335" s="14"/>
      <c r="AI335" s="14"/>
      <c r="AZ335" s="24"/>
    </row>
    <row r="336">
      <c r="B336" s="24"/>
      <c r="E336" s="113"/>
      <c r="F336" s="266"/>
      <c r="G336" s="113"/>
      <c r="K336" s="36"/>
      <c r="L336" s="117"/>
      <c r="M336" s="128"/>
      <c r="N336" s="117"/>
      <c r="R336" s="117"/>
      <c r="T336" s="117"/>
      <c r="V336" s="117"/>
      <c r="X336" s="117"/>
      <c r="Y336" s="10"/>
      <c r="Z336" s="11"/>
      <c r="AA336" s="36"/>
      <c r="AB336" s="36"/>
      <c r="AC336" s="13"/>
      <c r="AD336" s="13"/>
      <c r="AE336" s="37"/>
      <c r="AF336" s="37"/>
      <c r="AG336" s="14"/>
      <c r="AH336" s="14"/>
      <c r="AI336" s="14"/>
      <c r="AZ336" s="24"/>
    </row>
    <row r="337">
      <c r="B337" s="24"/>
      <c r="E337" s="113"/>
      <c r="F337" s="266"/>
      <c r="G337" s="113"/>
      <c r="K337" s="36"/>
      <c r="L337" s="117"/>
      <c r="M337" s="128"/>
      <c r="N337" s="117"/>
      <c r="R337" s="117"/>
      <c r="T337" s="117"/>
      <c r="V337" s="117"/>
      <c r="X337" s="117"/>
      <c r="Y337" s="10"/>
      <c r="Z337" s="11"/>
      <c r="AA337" s="36"/>
      <c r="AB337" s="36"/>
      <c r="AC337" s="13"/>
      <c r="AD337" s="13"/>
      <c r="AE337" s="37"/>
      <c r="AF337" s="37"/>
      <c r="AG337" s="14"/>
      <c r="AH337" s="14"/>
      <c r="AI337" s="14"/>
      <c r="AZ337" s="24"/>
    </row>
    <row r="338">
      <c r="B338" s="24"/>
      <c r="E338" s="113"/>
      <c r="F338" s="266"/>
      <c r="G338" s="113"/>
      <c r="K338" s="36"/>
      <c r="L338" s="117"/>
      <c r="M338" s="128"/>
      <c r="N338" s="117"/>
      <c r="R338" s="117"/>
      <c r="T338" s="117"/>
      <c r="V338" s="117"/>
      <c r="X338" s="117"/>
      <c r="Y338" s="10"/>
      <c r="Z338" s="11"/>
      <c r="AA338" s="36"/>
      <c r="AB338" s="36"/>
      <c r="AC338" s="13"/>
      <c r="AD338" s="13"/>
      <c r="AE338" s="37"/>
      <c r="AF338" s="37"/>
      <c r="AG338" s="14"/>
      <c r="AH338" s="14"/>
      <c r="AI338" s="14"/>
      <c r="AZ338" s="24"/>
    </row>
    <row r="339">
      <c r="B339" s="24"/>
      <c r="E339" s="113"/>
      <c r="F339" s="266"/>
      <c r="G339" s="113"/>
      <c r="K339" s="36"/>
      <c r="L339" s="117"/>
      <c r="M339" s="128"/>
      <c r="N339" s="117"/>
      <c r="R339" s="117"/>
      <c r="T339" s="117"/>
      <c r="V339" s="117"/>
      <c r="X339" s="117"/>
      <c r="Y339" s="10"/>
      <c r="Z339" s="11"/>
      <c r="AA339" s="36"/>
      <c r="AB339" s="36"/>
      <c r="AC339" s="13"/>
      <c r="AD339" s="13"/>
      <c r="AE339" s="37"/>
      <c r="AF339" s="37"/>
      <c r="AG339" s="14"/>
      <c r="AH339" s="14"/>
      <c r="AI339" s="14"/>
      <c r="AZ339" s="24"/>
    </row>
    <row r="340">
      <c r="B340" s="24"/>
      <c r="E340" s="113"/>
      <c r="F340" s="266"/>
      <c r="G340" s="113"/>
      <c r="K340" s="36"/>
      <c r="L340" s="117"/>
      <c r="M340" s="128"/>
      <c r="N340" s="117"/>
      <c r="R340" s="117"/>
      <c r="T340" s="117"/>
      <c r="V340" s="117"/>
      <c r="X340" s="117"/>
      <c r="Y340" s="10"/>
      <c r="Z340" s="11"/>
      <c r="AA340" s="36"/>
      <c r="AB340" s="36"/>
      <c r="AC340" s="13"/>
      <c r="AD340" s="13"/>
      <c r="AE340" s="37"/>
      <c r="AF340" s="37"/>
      <c r="AG340" s="14"/>
      <c r="AH340" s="14"/>
      <c r="AI340" s="14"/>
      <c r="AZ340" s="24"/>
    </row>
    <row r="341">
      <c r="B341" s="24"/>
      <c r="E341" s="113"/>
      <c r="F341" s="266"/>
      <c r="G341" s="113"/>
      <c r="K341" s="36"/>
      <c r="L341" s="117"/>
      <c r="M341" s="128"/>
      <c r="N341" s="117"/>
      <c r="R341" s="117"/>
      <c r="T341" s="117"/>
      <c r="V341" s="117"/>
      <c r="X341" s="117"/>
      <c r="Y341" s="10"/>
      <c r="Z341" s="11"/>
      <c r="AA341" s="36"/>
      <c r="AB341" s="36"/>
      <c r="AC341" s="13"/>
      <c r="AD341" s="13"/>
      <c r="AE341" s="37"/>
      <c r="AF341" s="37"/>
      <c r="AG341" s="14"/>
      <c r="AH341" s="14"/>
      <c r="AI341" s="14"/>
      <c r="AZ341" s="24"/>
    </row>
    <row r="342">
      <c r="B342" s="24"/>
      <c r="E342" s="113"/>
      <c r="F342" s="266"/>
      <c r="G342" s="113"/>
      <c r="K342" s="36"/>
      <c r="L342" s="117"/>
      <c r="M342" s="128"/>
      <c r="N342" s="117"/>
      <c r="R342" s="117"/>
      <c r="T342" s="117"/>
      <c r="V342" s="117"/>
      <c r="X342" s="117"/>
      <c r="Y342" s="10"/>
      <c r="Z342" s="11"/>
      <c r="AA342" s="36"/>
      <c r="AB342" s="36"/>
      <c r="AC342" s="13"/>
      <c r="AD342" s="13"/>
      <c r="AE342" s="37"/>
      <c r="AF342" s="37"/>
      <c r="AG342" s="14"/>
      <c r="AH342" s="14"/>
      <c r="AI342" s="14"/>
      <c r="AZ342" s="24"/>
    </row>
    <row r="343">
      <c r="B343" s="24"/>
      <c r="E343" s="113"/>
      <c r="F343" s="266"/>
      <c r="G343" s="113"/>
      <c r="K343" s="36"/>
      <c r="L343" s="117"/>
      <c r="M343" s="128"/>
      <c r="N343" s="117"/>
      <c r="R343" s="117"/>
      <c r="T343" s="117"/>
      <c r="V343" s="117"/>
      <c r="X343" s="117"/>
      <c r="Y343" s="10"/>
      <c r="Z343" s="11"/>
      <c r="AA343" s="36"/>
      <c r="AB343" s="36"/>
      <c r="AC343" s="13"/>
      <c r="AD343" s="13"/>
      <c r="AE343" s="37"/>
      <c r="AF343" s="37"/>
      <c r="AG343" s="14"/>
      <c r="AH343" s="14"/>
      <c r="AI343" s="14"/>
      <c r="AZ343" s="24"/>
    </row>
    <row r="344">
      <c r="B344" s="24"/>
      <c r="E344" s="113"/>
      <c r="F344" s="266"/>
      <c r="G344" s="113"/>
      <c r="K344" s="36"/>
      <c r="L344" s="117"/>
      <c r="M344" s="128"/>
      <c r="N344" s="117"/>
      <c r="R344" s="117"/>
      <c r="T344" s="117"/>
      <c r="V344" s="117"/>
      <c r="X344" s="117"/>
      <c r="Y344" s="10"/>
      <c r="Z344" s="11"/>
      <c r="AA344" s="36"/>
      <c r="AB344" s="36"/>
      <c r="AC344" s="13"/>
      <c r="AD344" s="13"/>
      <c r="AE344" s="37"/>
      <c r="AF344" s="37"/>
      <c r="AG344" s="14"/>
      <c r="AH344" s="14"/>
      <c r="AI344" s="14"/>
      <c r="AZ344" s="24"/>
    </row>
    <row r="345">
      <c r="B345" s="24"/>
      <c r="E345" s="113"/>
      <c r="F345" s="266"/>
      <c r="G345" s="113"/>
      <c r="K345" s="36"/>
      <c r="L345" s="117"/>
      <c r="M345" s="128"/>
      <c r="N345" s="117"/>
      <c r="R345" s="117"/>
      <c r="T345" s="117"/>
      <c r="V345" s="117"/>
      <c r="X345" s="117"/>
      <c r="Y345" s="10"/>
      <c r="Z345" s="11"/>
      <c r="AA345" s="36"/>
      <c r="AB345" s="36"/>
      <c r="AC345" s="13"/>
      <c r="AD345" s="13"/>
      <c r="AE345" s="37"/>
      <c r="AF345" s="37"/>
      <c r="AG345" s="14"/>
      <c r="AH345" s="14"/>
      <c r="AI345" s="14"/>
      <c r="AZ345" s="24"/>
    </row>
    <row r="346">
      <c r="B346" s="24"/>
      <c r="E346" s="113"/>
      <c r="F346" s="266"/>
      <c r="G346" s="113"/>
      <c r="K346" s="36"/>
      <c r="L346" s="117"/>
      <c r="M346" s="128"/>
      <c r="N346" s="117"/>
      <c r="R346" s="117"/>
      <c r="T346" s="117"/>
      <c r="V346" s="117"/>
      <c r="X346" s="117"/>
      <c r="Y346" s="10"/>
      <c r="Z346" s="11"/>
      <c r="AA346" s="36"/>
      <c r="AB346" s="36"/>
      <c r="AC346" s="13"/>
      <c r="AD346" s="13"/>
      <c r="AE346" s="37"/>
      <c r="AF346" s="37"/>
      <c r="AG346" s="14"/>
      <c r="AH346" s="14"/>
      <c r="AI346" s="14"/>
      <c r="AZ346" s="24"/>
    </row>
    <row r="347">
      <c r="B347" s="24"/>
      <c r="E347" s="113"/>
      <c r="F347" s="266"/>
      <c r="G347" s="113"/>
      <c r="K347" s="36"/>
      <c r="L347" s="117"/>
      <c r="M347" s="128"/>
      <c r="N347" s="117"/>
      <c r="R347" s="117"/>
      <c r="T347" s="117"/>
      <c r="V347" s="117"/>
      <c r="X347" s="117"/>
      <c r="Y347" s="10"/>
      <c r="Z347" s="11"/>
      <c r="AA347" s="36"/>
      <c r="AB347" s="36"/>
      <c r="AC347" s="13"/>
      <c r="AD347" s="13"/>
      <c r="AE347" s="37"/>
      <c r="AF347" s="37"/>
      <c r="AG347" s="14"/>
      <c r="AH347" s="14"/>
      <c r="AI347" s="14"/>
      <c r="AZ347" s="24"/>
    </row>
    <row r="348">
      <c r="B348" s="24"/>
      <c r="E348" s="113"/>
      <c r="F348" s="266"/>
      <c r="G348" s="113"/>
      <c r="K348" s="36"/>
      <c r="L348" s="117"/>
      <c r="M348" s="128"/>
      <c r="N348" s="117"/>
      <c r="R348" s="117"/>
      <c r="T348" s="117"/>
      <c r="V348" s="117"/>
      <c r="X348" s="117"/>
      <c r="Y348" s="10"/>
      <c r="Z348" s="11"/>
      <c r="AA348" s="36"/>
      <c r="AB348" s="36"/>
      <c r="AC348" s="13"/>
      <c r="AD348" s="13"/>
      <c r="AE348" s="37"/>
      <c r="AF348" s="37"/>
      <c r="AG348" s="14"/>
      <c r="AH348" s="14"/>
      <c r="AI348" s="14"/>
      <c r="AZ348" s="24"/>
    </row>
    <row r="349">
      <c r="B349" s="24"/>
      <c r="E349" s="113"/>
      <c r="F349" s="266"/>
      <c r="G349" s="113"/>
      <c r="K349" s="36"/>
      <c r="L349" s="117"/>
      <c r="M349" s="128"/>
      <c r="N349" s="117"/>
      <c r="R349" s="117"/>
      <c r="T349" s="117"/>
      <c r="V349" s="117"/>
      <c r="X349" s="117"/>
      <c r="Y349" s="10"/>
      <c r="Z349" s="11"/>
      <c r="AA349" s="36"/>
      <c r="AB349" s="36"/>
      <c r="AC349" s="13"/>
      <c r="AD349" s="13"/>
      <c r="AE349" s="37"/>
      <c r="AF349" s="37"/>
      <c r="AG349" s="14"/>
      <c r="AH349" s="14"/>
      <c r="AI349" s="14"/>
      <c r="AZ349" s="24"/>
    </row>
    <row r="350">
      <c r="B350" s="24"/>
      <c r="E350" s="113"/>
      <c r="F350" s="266"/>
      <c r="G350" s="113"/>
      <c r="K350" s="36"/>
      <c r="L350" s="117"/>
      <c r="M350" s="128"/>
      <c r="N350" s="117"/>
      <c r="R350" s="117"/>
      <c r="T350" s="117"/>
      <c r="V350" s="117"/>
      <c r="X350" s="117"/>
      <c r="Y350" s="10"/>
      <c r="Z350" s="11"/>
      <c r="AA350" s="36"/>
      <c r="AB350" s="36"/>
      <c r="AC350" s="13"/>
      <c r="AD350" s="13"/>
      <c r="AE350" s="37"/>
      <c r="AF350" s="37"/>
      <c r="AG350" s="14"/>
      <c r="AH350" s="14"/>
      <c r="AI350" s="14"/>
      <c r="AZ350" s="24"/>
    </row>
    <row r="351">
      <c r="B351" s="24"/>
      <c r="E351" s="113"/>
      <c r="F351" s="266"/>
      <c r="G351" s="113"/>
      <c r="K351" s="36"/>
      <c r="L351" s="117"/>
      <c r="M351" s="128"/>
      <c r="N351" s="117"/>
      <c r="R351" s="117"/>
      <c r="T351" s="117"/>
      <c r="V351" s="117"/>
      <c r="X351" s="117"/>
      <c r="Y351" s="10"/>
      <c r="Z351" s="11"/>
      <c r="AA351" s="36"/>
      <c r="AB351" s="36"/>
      <c r="AC351" s="13"/>
      <c r="AD351" s="13"/>
      <c r="AE351" s="37"/>
      <c r="AF351" s="37"/>
      <c r="AG351" s="14"/>
      <c r="AH351" s="14"/>
      <c r="AI351" s="14"/>
      <c r="AZ351" s="24"/>
    </row>
    <row r="352">
      <c r="B352" s="24"/>
      <c r="E352" s="113"/>
      <c r="F352" s="266"/>
      <c r="G352" s="113"/>
      <c r="K352" s="36"/>
      <c r="L352" s="117"/>
      <c r="M352" s="128"/>
      <c r="N352" s="117"/>
      <c r="R352" s="117"/>
      <c r="T352" s="117"/>
      <c r="V352" s="117"/>
      <c r="X352" s="117"/>
      <c r="Y352" s="10"/>
      <c r="Z352" s="11"/>
      <c r="AA352" s="36"/>
      <c r="AB352" s="36"/>
      <c r="AC352" s="13"/>
      <c r="AD352" s="13"/>
      <c r="AE352" s="37"/>
      <c r="AF352" s="37"/>
      <c r="AG352" s="14"/>
      <c r="AH352" s="14"/>
      <c r="AI352" s="14"/>
      <c r="AZ352" s="24"/>
    </row>
    <row r="353">
      <c r="B353" s="24"/>
      <c r="E353" s="113"/>
      <c r="F353" s="266"/>
      <c r="G353" s="113"/>
      <c r="K353" s="36"/>
      <c r="L353" s="117"/>
      <c r="M353" s="128"/>
      <c r="N353" s="117"/>
      <c r="R353" s="117"/>
      <c r="T353" s="117"/>
      <c r="V353" s="117"/>
      <c r="X353" s="117"/>
      <c r="Y353" s="10"/>
      <c r="Z353" s="11"/>
      <c r="AA353" s="36"/>
      <c r="AB353" s="36"/>
      <c r="AC353" s="13"/>
      <c r="AD353" s="13"/>
      <c r="AE353" s="37"/>
      <c r="AF353" s="37"/>
      <c r="AG353" s="14"/>
      <c r="AH353" s="14"/>
      <c r="AI353" s="14"/>
      <c r="AZ353" s="24"/>
    </row>
    <row r="354">
      <c r="B354" s="24"/>
      <c r="E354" s="113"/>
      <c r="F354" s="266"/>
      <c r="G354" s="113"/>
      <c r="K354" s="36"/>
      <c r="L354" s="117"/>
      <c r="M354" s="128"/>
      <c r="N354" s="117"/>
      <c r="R354" s="117"/>
      <c r="T354" s="117"/>
      <c r="V354" s="117"/>
      <c r="X354" s="117"/>
      <c r="Y354" s="10"/>
      <c r="Z354" s="11"/>
      <c r="AA354" s="36"/>
      <c r="AB354" s="36"/>
      <c r="AC354" s="13"/>
      <c r="AD354" s="13"/>
      <c r="AE354" s="37"/>
      <c r="AF354" s="37"/>
      <c r="AG354" s="14"/>
      <c r="AH354" s="14"/>
      <c r="AI354" s="14"/>
      <c r="AZ354" s="24"/>
    </row>
    <row r="355">
      <c r="B355" s="24"/>
      <c r="E355" s="113"/>
      <c r="F355" s="266"/>
      <c r="G355" s="113"/>
      <c r="K355" s="36"/>
      <c r="L355" s="117"/>
      <c r="M355" s="128"/>
      <c r="N355" s="117"/>
      <c r="R355" s="117"/>
      <c r="T355" s="117"/>
      <c r="V355" s="117"/>
      <c r="X355" s="117"/>
      <c r="Y355" s="10"/>
      <c r="Z355" s="11"/>
      <c r="AA355" s="36"/>
      <c r="AB355" s="36"/>
      <c r="AC355" s="13"/>
      <c r="AD355" s="13"/>
      <c r="AE355" s="37"/>
      <c r="AF355" s="37"/>
      <c r="AG355" s="14"/>
      <c r="AH355" s="14"/>
      <c r="AI355" s="14"/>
      <c r="AZ355" s="24"/>
    </row>
    <row r="356">
      <c r="B356" s="24"/>
      <c r="E356" s="113"/>
      <c r="F356" s="266"/>
      <c r="G356" s="113"/>
      <c r="K356" s="36"/>
      <c r="L356" s="117"/>
      <c r="M356" s="128"/>
      <c r="N356" s="117"/>
      <c r="R356" s="117"/>
      <c r="T356" s="117"/>
      <c r="V356" s="117"/>
      <c r="X356" s="117"/>
      <c r="Y356" s="10"/>
      <c r="Z356" s="11"/>
      <c r="AA356" s="36"/>
      <c r="AB356" s="36"/>
      <c r="AC356" s="13"/>
      <c r="AD356" s="13"/>
      <c r="AE356" s="37"/>
      <c r="AF356" s="37"/>
      <c r="AG356" s="14"/>
      <c r="AH356" s="14"/>
      <c r="AI356" s="14"/>
      <c r="AZ356" s="24"/>
    </row>
    <row r="357">
      <c r="B357" s="24"/>
      <c r="E357" s="113"/>
      <c r="F357" s="266"/>
      <c r="G357" s="113"/>
      <c r="K357" s="36"/>
      <c r="L357" s="117"/>
      <c r="M357" s="128"/>
      <c r="N357" s="117"/>
      <c r="R357" s="117"/>
      <c r="T357" s="117"/>
      <c r="V357" s="117"/>
      <c r="X357" s="117"/>
      <c r="Y357" s="10"/>
      <c r="Z357" s="11"/>
      <c r="AA357" s="36"/>
      <c r="AB357" s="36"/>
      <c r="AC357" s="13"/>
      <c r="AD357" s="13"/>
      <c r="AE357" s="37"/>
      <c r="AF357" s="37"/>
      <c r="AG357" s="14"/>
      <c r="AH357" s="14"/>
      <c r="AI357" s="14"/>
      <c r="AZ357" s="24"/>
    </row>
    <row r="358">
      <c r="B358" s="24"/>
      <c r="E358" s="113"/>
      <c r="F358" s="266"/>
      <c r="G358" s="113"/>
      <c r="K358" s="36"/>
      <c r="L358" s="117"/>
      <c r="M358" s="128"/>
      <c r="N358" s="117"/>
      <c r="R358" s="117"/>
      <c r="T358" s="117"/>
      <c r="V358" s="117"/>
      <c r="X358" s="117"/>
      <c r="Y358" s="10"/>
      <c r="Z358" s="11"/>
      <c r="AA358" s="36"/>
      <c r="AB358" s="36"/>
      <c r="AC358" s="13"/>
      <c r="AD358" s="13"/>
      <c r="AE358" s="37"/>
      <c r="AF358" s="37"/>
      <c r="AG358" s="14"/>
      <c r="AH358" s="14"/>
      <c r="AI358" s="14"/>
      <c r="AZ358" s="24"/>
    </row>
    <row r="359">
      <c r="B359" s="24"/>
      <c r="E359" s="113"/>
      <c r="F359" s="266"/>
      <c r="G359" s="113"/>
      <c r="K359" s="36"/>
      <c r="L359" s="117"/>
      <c r="M359" s="128"/>
      <c r="N359" s="117"/>
      <c r="R359" s="117"/>
      <c r="T359" s="117"/>
      <c r="V359" s="117"/>
      <c r="X359" s="117"/>
      <c r="Y359" s="10"/>
      <c r="Z359" s="11"/>
      <c r="AA359" s="36"/>
      <c r="AB359" s="36"/>
      <c r="AC359" s="13"/>
      <c r="AD359" s="13"/>
      <c r="AE359" s="37"/>
      <c r="AF359" s="37"/>
      <c r="AG359" s="14"/>
      <c r="AH359" s="14"/>
      <c r="AI359" s="14"/>
      <c r="AZ359" s="24"/>
    </row>
    <row r="360">
      <c r="B360" s="24"/>
      <c r="E360" s="113"/>
      <c r="F360" s="266"/>
      <c r="G360" s="113"/>
      <c r="K360" s="36"/>
      <c r="L360" s="117"/>
      <c r="M360" s="128"/>
      <c r="N360" s="117"/>
      <c r="R360" s="117"/>
      <c r="T360" s="117"/>
      <c r="V360" s="117"/>
      <c r="X360" s="117"/>
      <c r="Y360" s="10"/>
      <c r="Z360" s="11"/>
      <c r="AA360" s="36"/>
      <c r="AB360" s="36"/>
      <c r="AC360" s="13"/>
      <c r="AD360" s="13"/>
      <c r="AE360" s="37"/>
      <c r="AF360" s="37"/>
      <c r="AG360" s="14"/>
      <c r="AH360" s="14"/>
      <c r="AI360" s="14"/>
      <c r="AZ360" s="24"/>
    </row>
    <row r="361">
      <c r="B361" s="24"/>
      <c r="E361" s="113"/>
      <c r="F361" s="266"/>
      <c r="G361" s="113"/>
      <c r="K361" s="36"/>
      <c r="L361" s="117"/>
      <c r="M361" s="128"/>
      <c r="N361" s="117"/>
      <c r="R361" s="117"/>
      <c r="T361" s="117"/>
      <c r="V361" s="117"/>
      <c r="X361" s="117"/>
      <c r="Y361" s="10"/>
      <c r="Z361" s="11"/>
      <c r="AA361" s="36"/>
      <c r="AB361" s="36"/>
      <c r="AC361" s="13"/>
      <c r="AD361" s="13"/>
      <c r="AE361" s="37"/>
      <c r="AF361" s="37"/>
      <c r="AG361" s="14"/>
      <c r="AH361" s="14"/>
      <c r="AI361" s="14"/>
      <c r="AZ361" s="24"/>
    </row>
    <row r="362">
      <c r="B362" s="24"/>
      <c r="E362" s="113"/>
      <c r="F362" s="266"/>
      <c r="G362" s="113"/>
      <c r="K362" s="36"/>
      <c r="L362" s="117"/>
      <c r="M362" s="128"/>
      <c r="N362" s="117"/>
      <c r="R362" s="117"/>
      <c r="T362" s="117"/>
      <c r="V362" s="117"/>
      <c r="X362" s="117"/>
      <c r="Y362" s="10"/>
      <c r="Z362" s="11"/>
      <c r="AA362" s="36"/>
      <c r="AB362" s="36"/>
      <c r="AC362" s="13"/>
      <c r="AD362" s="13"/>
      <c r="AE362" s="37"/>
      <c r="AF362" s="37"/>
      <c r="AG362" s="14"/>
      <c r="AH362" s="14"/>
      <c r="AI362" s="14"/>
      <c r="AZ362" s="24"/>
    </row>
    <row r="363">
      <c r="B363" s="24"/>
      <c r="E363" s="113"/>
      <c r="F363" s="266"/>
      <c r="G363" s="113"/>
      <c r="K363" s="36"/>
      <c r="L363" s="117"/>
      <c r="M363" s="128"/>
      <c r="N363" s="117"/>
      <c r="R363" s="117"/>
      <c r="T363" s="117"/>
      <c r="V363" s="117"/>
      <c r="X363" s="117"/>
      <c r="Y363" s="10"/>
      <c r="Z363" s="11"/>
      <c r="AA363" s="36"/>
      <c r="AB363" s="36"/>
      <c r="AC363" s="13"/>
      <c r="AD363" s="13"/>
      <c r="AE363" s="37"/>
      <c r="AF363" s="37"/>
      <c r="AG363" s="14"/>
      <c r="AH363" s="14"/>
      <c r="AI363" s="14"/>
      <c r="AZ363" s="24"/>
    </row>
    <row r="364">
      <c r="B364" s="24"/>
      <c r="E364" s="113"/>
      <c r="F364" s="266"/>
      <c r="G364" s="113"/>
      <c r="K364" s="36"/>
      <c r="L364" s="117"/>
      <c r="M364" s="128"/>
      <c r="N364" s="117"/>
      <c r="R364" s="117"/>
      <c r="T364" s="117"/>
      <c r="V364" s="117"/>
      <c r="X364" s="117"/>
      <c r="Y364" s="10"/>
      <c r="Z364" s="11"/>
      <c r="AA364" s="36"/>
      <c r="AB364" s="36"/>
      <c r="AC364" s="13"/>
      <c r="AD364" s="13"/>
      <c r="AE364" s="37"/>
      <c r="AF364" s="37"/>
      <c r="AG364" s="14"/>
      <c r="AH364" s="14"/>
      <c r="AI364" s="14"/>
      <c r="AZ364" s="24"/>
    </row>
    <row r="365">
      <c r="B365" s="24"/>
      <c r="E365" s="113"/>
      <c r="F365" s="266"/>
      <c r="G365" s="113"/>
      <c r="K365" s="36"/>
      <c r="L365" s="117"/>
      <c r="M365" s="128"/>
      <c r="N365" s="117"/>
      <c r="R365" s="117"/>
      <c r="T365" s="117"/>
      <c r="V365" s="117"/>
      <c r="X365" s="117"/>
      <c r="Y365" s="10"/>
      <c r="Z365" s="11"/>
      <c r="AA365" s="36"/>
      <c r="AB365" s="36"/>
      <c r="AC365" s="13"/>
      <c r="AD365" s="13"/>
      <c r="AE365" s="37"/>
      <c r="AF365" s="37"/>
      <c r="AG365" s="14"/>
      <c r="AH365" s="14"/>
      <c r="AI365" s="14"/>
      <c r="AZ365" s="24"/>
    </row>
    <row r="366">
      <c r="B366" s="24"/>
      <c r="E366" s="113"/>
      <c r="F366" s="266"/>
      <c r="G366" s="113"/>
      <c r="K366" s="36"/>
      <c r="L366" s="117"/>
      <c r="M366" s="128"/>
      <c r="N366" s="117"/>
      <c r="R366" s="117"/>
      <c r="T366" s="117"/>
      <c r="V366" s="117"/>
      <c r="X366" s="117"/>
      <c r="Y366" s="10"/>
      <c r="Z366" s="11"/>
      <c r="AA366" s="36"/>
      <c r="AB366" s="36"/>
      <c r="AC366" s="13"/>
      <c r="AD366" s="13"/>
      <c r="AE366" s="37"/>
      <c r="AF366" s="37"/>
      <c r="AG366" s="14"/>
      <c r="AH366" s="14"/>
      <c r="AI366" s="14"/>
      <c r="AZ366" s="24"/>
    </row>
    <row r="367">
      <c r="B367" s="24"/>
      <c r="E367" s="113"/>
      <c r="F367" s="266"/>
      <c r="G367" s="113"/>
      <c r="K367" s="36"/>
      <c r="L367" s="117"/>
      <c r="M367" s="128"/>
      <c r="N367" s="117"/>
      <c r="R367" s="117"/>
      <c r="T367" s="117"/>
      <c r="V367" s="117"/>
      <c r="X367" s="117"/>
      <c r="Y367" s="10"/>
      <c r="Z367" s="11"/>
      <c r="AA367" s="36"/>
      <c r="AB367" s="36"/>
      <c r="AC367" s="13"/>
      <c r="AD367" s="13"/>
      <c r="AE367" s="37"/>
      <c r="AF367" s="37"/>
      <c r="AG367" s="14"/>
      <c r="AH367" s="14"/>
      <c r="AI367" s="14"/>
      <c r="AZ367" s="24"/>
    </row>
    <row r="368">
      <c r="B368" s="24"/>
      <c r="E368" s="113"/>
      <c r="F368" s="266"/>
      <c r="G368" s="113"/>
      <c r="K368" s="36"/>
      <c r="L368" s="117"/>
      <c r="M368" s="128"/>
      <c r="N368" s="117"/>
      <c r="R368" s="117"/>
      <c r="T368" s="117"/>
      <c r="V368" s="117"/>
      <c r="X368" s="117"/>
      <c r="Y368" s="10"/>
      <c r="Z368" s="11"/>
      <c r="AA368" s="36"/>
      <c r="AB368" s="36"/>
      <c r="AC368" s="13"/>
      <c r="AD368" s="13"/>
      <c r="AE368" s="37"/>
      <c r="AF368" s="37"/>
      <c r="AG368" s="14"/>
      <c r="AH368" s="14"/>
      <c r="AI368" s="14"/>
      <c r="AZ368" s="24"/>
    </row>
    <row r="369">
      <c r="B369" s="24"/>
      <c r="E369" s="113"/>
      <c r="F369" s="266"/>
      <c r="G369" s="113"/>
      <c r="K369" s="36"/>
      <c r="L369" s="117"/>
      <c r="M369" s="128"/>
      <c r="N369" s="117"/>
      <c r="R369" s="117"/>
      <c r="T369" s="117"/>
      <c r="V369" s="117"/>
      <c r="X369" s="117"/>
      <c r="Y369" s="10"/>
      <c r="Z369" s="11"/>
      <c r="AA369" s="36"/>
      <c r="AB369" s="36"/>
      <c r="AC369" s="13"/>
      <c r="AD369" s="13"/>
      <c r="AE369" s="37"/>
      <c r="AF369" s="37"/>
      <c r="AG369" s="14"/>
      <c r="AH369" s="14"/>
      <c r="AI369" s="14"/>
      <c r="AZ369" s="24"/>
    </row>
    <row r="370">
      <c r="B370" s="24"/>
      <c r="E370" s="113"/>
      <c r="F370" s="266"/>
      <c r="G370" s="113"/>
      <c r="K370" s="36"/>
      <c r="L370" s="117"/>
      <c r="M370" s="128"/>
      <c r="N370" s="117"/>
      <c r="R370" s="117"/>
      <c r="T370" s="117"/>
      <c r="V370" s="117"/>
      <c r="X370" s="117"/>
      <c r="Y370" s="10"/>
      <c r="Z370" s="11"/>
      <c r="AA370" s="36"/>
      <c r="AB370" s="36"/>
      <c r="AC370" s="13"/>
      <c r="AD370" s="13"/>
      <c r="AE370" s="37"/>
      <c r="AF370" s="37"/>
      <c r="AG370" s="14"/>
      <c r="AH370" s="14"/>
      <c r="AI370" s="14"/>
      <c r="AZ370" s="24"/>
    </row>
    <row r="371">
      <c r="B371" s="24"/>
      <c r="E371" s="113"/>
      <c r="F371" s="266"/>
      <c r="G371" s="113"/>
      <c r="K371" s="36"/>
      <c r="L371" s="117"/>
      <c r="M371" s="128"/>
      <c r="N371" s="117"/>
      <c r="R371" s="117"/>
      <c r="T371" s="117"/>
      <c r="V371" s="117"/>
      <c r="X371" s="117"/>
      <c r="Y371" s="10"/>
      <c r="Z371" s="11"/>
      <c r="AA371" s="36"/>
      <c r="AB371" s="36"/>
      <c r="AC371" s="13"/>
      <c r="AD371" s="13"/>
      <c r="AE371" s="37"/>
      <c r="AF371" s="37"/>
      <c r="AG371" s="14"/>
      <c r="AH371" s="14"/>
      <c r="AI371" s="14"/>
      <c r="AZ371" s="24"/>
    </row>
    <row r="372">
      <c r="B372" s="24"/>
      <c r="E372" s="113"/>
      <c r="F372" s="266"/>
      <c r="G372" s="113"/>
      <c r="K372" s="36"/>
      <c r="L372" s="117"/>
      <c r="M372" s="128"/>
      <c r="N372" s="117"/>
      <c r="R372" s="117"/>
      <c r="T372" s="117"/>
      <c r="V372" s="117"/>
      <c r="X372" s="117"/>
      <c r="Y372" s="10"/>
      <c r="Z372" s="11"/>
      <c r="AA372" s="36"/>
      <c r="AB372" s="36"/>
      <c r="AC372" s="13"/>
      <c r="AD372" s="13"/>
      <c r="AE372" s="37"/>
      <c r="AF372" s="37"/>
      <c r="AG372" s="14"/>
      <c r="AH372" s="14"/>
      <c r="AI372" s="14"/>
      <c r="AZ372" s="24"/>
    </row>
    <row r="373">
      <c r="B373" s="24"/>
      <c r="E373" s="113"/>
      <c r="F373" s="266"/>
      <c r="G373" s="113"/>
      <c r="K373" s="36"/>
      <c r="L373" s="117"/>
      <c r="M373" s="128"/>
      <c r="N373" s="117"/>
      <c r="R373" s="117"/>
      <c r="T373" s="117"/>
      <c r="V373" s="117"/>
      <c r="X373" s="117"/>
      <c r="Y373" s="10"/>
      <c r="Z373" s="11"/>
      <c r="AA373" s="36"/>
      <c r="AB373" s="36"/>
      <c r="AC373" s="13"/>
      <c r="AD373" s="13"/>
      <c r="AE373" s="37"/>
      <c r="AF373" s="37"/>
      <c r="AG373" s="14"/>
      <c r="AH373" s="14"/>
      <c r="AI373" s="14"/>
      <c r="AZ373" s="24"/>
    </row>
    <row r="374">
      <c r="B374" s="24"/>
      <c r="E374" s="113"/>
      <c r="F374" s="266"/>
      <c r="G374" s="113"/>
      <c r="K374" s="36"/>
      <c r="L374" s="117"/>
      <c r="M374" s="128"/>
      <c r="N374" s="117"/>
      <c r="R374" s="117"/>
      <c r="T374" s="117"/>
      <c r="V374" s="117"/>
      <c r="X374" s="117"/>
      <c r="Y374" s="10"/>
      <c r="Z374" s="11"/>
      <c r="AA374" s="36"/>
      <c r="AB374" s="36"/>
      <c r="AC374" s="13"/>
      <c r="AD374" s="13"/>
      <c r="AE374" s="37"/>
      <c r="AF374" s="37"/>
      <c r="AG374" s="14"/>
      <c r="AH374" s="14"/>
      <c r="AI374" s="14"/>
      <c r="AZ374" s="24"/>
    </row>
    <row r="375">
      <c r="B375" s="24"/>
      <c r="E375" s="113"/>
      <c r="F375" s="266"/>
      <c r="G375" s="113"/>
      <c r="K375" s="36"/>
      <c r="L375" s="117"/>
      <c r="M375" s="128"/>
      <c r="N375" s="117"/>
      <c r="R375" s="117"/>
      <c r="T375" s="117"/>
      <c r="V375" s="117"/>
      <c r="X375" s="117"/>
      <c r="Y375" s="10"/>
      <c r="Z375" s="11"/>
      <c r="AA375" s="36"/>
      <c r="AB375" s="36"/>
      <c r="AC375" s="13"/>
      <c r="AD375" s="13"/>
      <c r="AE375" s="37"/>
      <c r="AF375" s="37"/>
      <c r="AG375" s="14"/>
      <c r="AH375" s="14"/>
      <c r="AI375" s="14"/>
      <c r="AZ375" s="24"/>
    </row>
    <row r="376">
      <c r="B376" s="24"/>
      <c r="E376" s="113"/>
      <c r="F376" s="266"/>
      <c r="G376" s="113"/>
      <c r="K376" s="36"/>
      <c r="L376" s="117"/>
      <c r="M376" s="128"/>
      <c r="N376" s="117"/>
      <c r="R376" s="117"/>
      <c r="T376" s="117"/>
      <c r="V376" s="117"/>
      <c r="X376" s="117"/>
      <c r="Y376" s="10"/>
      <c r="Z376" s="11"/>
      <c r="AA376" s="36"/>
      <c r="AB376" s="36"/>
      <c r="AC376" s="13"/>
      <c r="AD376" s="13"/>
      <c r="AE376" s="37"/>
      <c r="AF376" s="37"/>
      <c r="AG376" s="14"/>
      <c r="AH376" s="14"/>
      <c r="AI376" s="14"/>
      <c r="AZ376" s="24"/>
    </row>
    <row r="377">
      <c r="B377" s="24"/>
      <c r="E377" s="113"/>
      <c r="F377" s="266"/>
      <c r="G377" s="113"/>
      <c r="K377" s="36"/>
      <c r="L377" s="117"/>
      <c r="M377" s="128"/>
      <c r="N377" s="117"/>
      <c r="R377" s="117"/>
      <c r="T377" s="117"/>
      <c r="V377" s="117"/>
      <c r="X377" s="117"/>
      <c r="Y377" s="10"/>
      <c r="Z377" s="11"/>
      <c r="AA377" s="36"/>
      <c r="AB377" s="36"/>
      <c r="AC377" s="13"/>
      <c r="AD377" s="13"/>
      <c r="AE377" s="37"/>
      <c r="AF377" s="37"/>
      <c r="AG377" s="14"/>
      <c r="AH377" s="14"/>
      <c r="AI377" s="14"/>
      <c r="AZ377" s="24"/>
    </row>
    <row r="378">
      <c r="B378" s="24"/>
      <c r="E378" s="113"/>
      <c r="F378" s="266"/>
      <c r="G378" s="113"/>
      <c r="K378" s="36"/>
      <c r="L378" s="117"/>
      <c r="M378" s="128"/>
      <c r="N378" s="117"/>
      <c r="R378" s="117"/>
      <c r="T378" s="117"/>
      <c r="V378" s="117"/>
      <c r="X378" s="117"/>
      <c r="Y378" s="10"/>
      <c r="Z378" s="11"/>
      <c r="AA378" s="36"/>
      <c r="AB378" s="36"/>
      <c r="AC378" s="13"/>
      <c r="AD378" s="13"/>
      <c r="AE378" s="37"/>
      <c r="AF378" s="37"/>
      <c r="AG378" s="14"/>
      <c r="AH378" s="14"/>
      <c r="AI378" s="14"/>
      <c r="AZ378" s="24"/>
    </row>
    <row r="379">
      <c r="B379" s="24"/>
      <c r="E379" s="113"/>
      <c r="F379" s="266"/>
      <c r="G379" s="113"/>
      <c r="K379" s="36"/>
      <c r="L379" s="117"/>
      <c r="M379" s="128"/>
      <c r="N379" s="117"/>
      <c r="R379" s="117"/>
      <c r="T379" s="117"/>
      <c r="V379" s="117"/>
      <c r="X379" s="117"/>
      <c r="Y379" s="10"/>
      <c r="Z379" s="11"/>
      <c r="AA379" s="36"/>
      <c r="AB379" s="36"/>
      <c r="AC379" s="13"/>
      <c r="AD379" s="13"/>
      <c r="AE379" s="37"/>
      <c r="AF379" s="37"/>
      <c r="AG379" s="14"/>
      <c r="AH379" s="14"/>
      <c r="AI379" s="14"/>
      <c r="AZ379" s="24"/>
    </row>
    <row r="380">
      <c r="B380" s="24"/>
      <c r="E380" s="113"/>
      <c r="F380" s="266"/>
      <c r="G380" s="113"/>
      <c r="K380" s="36"/>
      <c r="L380" s="117"/>
      <c r="M380" s="128"/>
      <c r="N380" s="117"/>
      <c r="R380" s="117"/>
      <c r="T380" s="117"/>
      <c r="V380" s="117"/>
      <c r="X380" s="117"/>
      <c r="Y380" s="10"/>
      <c r="Z380" s="11"/>
      <c r="AA380" s="36"/>
      <c r="AB380" s="36"/>
      <c r="AC380" s="13"/>
      <c r="AD380" s="13"/>
      <c r="AE380" s="37"/>
      <c r="AF380" s="37"/>
      <c r="AG380" s="14"/>
      <c r="AH380" s="14"/>
      <c r="AI380" s="14"/>
      <c r="AZ380" s="24"/>
    </row>
    <row r="381">
      <c r="B381" s="24"/>
      <c r="E381" s="113"/>
      <c r="F381" s="266"/>
      <c r="G381" s="113"/>
      <c r="K381" s="36"/>
      <c r="L381" s="117"/>
      <c r="M381" s="128"/>
      <c r="N381" s="117"/>
      <c r="R381" s="117"/>
      <c r="T381" s="117"/>
      <c r="V381" s="117"/>
      <c r="X381" s="117"/>
      <c r="Y381" s="10"/>
      <c r="Z381" s="11"/>
      <c r="AA381" s="36"/>
      <c r="AB381" s="36"/>
      <c r="AC381" s="13"/>
      <c r="AD381" s="13"/>
      <c r="AE381" s="37"/>
      <c r="AF381" s="37"/>
      <c r="AG381" s="14"/>
      <c r="AH381" s="14"/>
      <c r="AI381" s="14"/>
      <c r="AZ381" s="24"/>
    </row>
    <row r="382">
      <c r="B382" s="24"/>
      <c r="E382" s="113"/>
      <c r="F382" s="266"/>
      <c r="G382" s="113"/>
      <c r="K382" s="36"/>
      <c r="L382" s="117"/>
      <c r="M382" s="128"/>
      <c r="N382" s="117"/>
      <c r="R382" s="117"/>
      <c r="T382" s="117"/>
      <c r="V382" s="117"/>
      <c r="X382" s="117"/>
      <c r="Y382" s="10"/>
      <c r="Z382" s="11"/>
      <c r="AA382" s="36"/>
      <c r="AB382" s="36"/>
      <c r="AC382" s="13"/>
      <c r="AD382" s="13"/>
      <c r="AE382" s="37"/>
      <c r="AF382" s="37"/>
      <c r="AG382" s="14"/>
      <c r="AH382" s="14"/>
      <c r="AI382" s="14"/>
      <c r="AZ382" s="24"/>
    </row>
    <row r="383">
      <c r="B383" s="24"/>
      <c r="E383" s="113"/>
      <c r="F383" s="266"/>
      <c r="G383" s="113"/>
      <c r="K383" s="36"/>
      <c r="L383" s="117"/>
      <c r="M383" s="128"/>
      <c r="N383" s="117"/>
      <c r="R383" s="117"/>
      <c r="T383" s="117"/>
      <c r="V383" s="117"/>
      <c r="X383" s="117"/>
      <c r="Y383" s="10"/>
      <c r="Z383" s="11"/>
      <c r="AA383" s="36"/>
      <c r="AB383" s="36"/>
      <c r="AC383" s="13"/>
      <c r="AD383" s="13"/>
      <c r="AE383" s="37"/>
      <c r="AF383" s="37"/>
      <c r="AG383" s="14"/>
      <c r="AH383" s="14"/>
      <c r="AI383" s="14"/>
      <c r="AZ383" s="24"/>
    </row>
    <row r="384">
      <c r="B384" s="24"/>
      <c r="E384" s="113"/>
      <c r="F384" s="266"/>
      <c r="G384" s="113"/>
      <c r="K384" s="36"/>
      <c r="L384" s="117"/>
      <c r="M384" s="128"/>
      <c r="N384" s="117"/>
      <c r="R384" s="117"/>
      <c r="T384" s="117"/>
      <c r="V384" s="117"/>
      <c r="X384" s="117"/>
      <c r="Y384" s="10"/>
      <c r="Z384" s="11"/>
      <c r="AA384" s="36"/>
      <c r="AB384" s="36"/>
      <c r="AC384" s="13"/>
      <c r="AD384" s="13"/>
      <c r="AE384" s="37"/>
      <c r="AF384" s="37"/>
      <c r="AG384" s="14"/>
      <c r="AH384" s="14"/>
      <c r="AI384" s="14"/>
      <c r="AZ384" s="24"/>
    </row>
    <row r="385">
      <c r="B385" s="24"/>
      <c r="E385" s="113"/>
      <c r="F385" s="266"/>
      <c r="G385" s="113"/>
      <c r="K385" s="36"/>
      <c r="L385" s="117"/>
      <c r="M385" s="128"/>
      <c r="N385" s="117"/>
      <c r="R385" s="117"/>
      <c r="T385" s="117"/>
      <c r="V385" s="117"/>
      <c r="X385" s="117"/>
      <c r="Y385" s="10"/>
      <c r="Z385" s="11"/>
      <c r="AA385" s="36"/>
      <c r="AB385" s="36"/>
      <c r="AC385" s="13"/>
      <c r="AD385" s="13"/>
      <c r="AE385" s="37"/>
      <c r="AF385" s="37"/>
      <c r="AG385" s="14"/>
      <c r="AH385" s="14"/>
      <c r="AI385" s="14"/>
      <c r="AZ385" s="24"/>
    </row>
    <row r="386">
      <c r="B386" s="24"/>
      <c r="E386" s="113"/>
      <c r="F386" s="266"/>
      <c r="G386" s="113"/>
      <c r="K386" s="36"/>
      <c r="L386" s="117"/>
      <c r="M386" s="128"/>
      <c r="N386" s="117"/>
      <c r="R386" s="117"/>
      <c r="T386" s="117"/>
      <c r="V386" s="117"/>
      <c r="X386" s="117"/>
      <c r="Y386" s="10"/>
      <c r="Z386" s="11"/>
      <c r="AA386" s="36"/>
      <c r="AB386" s="36"/>
      <c r="AC386" s="13"/>
      <c r="AD386" s="13"/>
      <c r="AE386" s="37"/>
      <c r="AF386" s="37"/>
      <c r="AG386" s="14"/>
      <c r="AH386" s="14"/>
      <c r="AI386" s="14"/>
      <c r="AZ386" s="24"/>
    </row>
    <row r="387">
      <c r="B387" s="24"/>
      <c r="E387" s="113"/>
      <c r="F387" s="266"/>
      <c r="G387" s="113"/>
      <c r="K387" s="36"/>
      <c r="L387" s="117"/>
      <c r="M387" s="128"/>
      <c r="N387" s="117"/>
      <c r="R387" s="117"/>
      <c r="T387" s="117"/>
      <c r="V387" s="117"/>
      <c r="X387" s="117"/>
      <c r="Y387" s="10"/>
      <c r="Z387" s="11"/>
      <c r="AA387" s="36"/>
      <c r="AB387" s="36"/>
      <c r="AC387" s="13"/>
      <c r="AD387" s="13"/>
      <c r="AE387" s="37"/>
      <c r="AF387" s="37"/>
      <c r="AG387" s="14"/>
      <c r="AH387" s="14"/>
      <c r="AI387" s="14"/>
      <c r="AZ387" s="24"/>
    </row>
    <row r="388">
      <c r="B388" s="24"/>
      <c r="E388" s="113"/>
      <c r="F388" s="266"/>
      <c r="G388" s="113"/>
      <c r="K388" s="36"/>
      <c r="L388" s="117"/>
      <c r="M388" s="128"/>
      <c r="N388" s="117"/>
      <c r="R388" s="117"/>
      <c r="T388" s="117"/>
      <c r="V388" s="117"/>
      <c r="X388" s="117"/>
      <c r="Y388" s="10"/>
      <c r="Z388" s="11"/>
      <c r="AA388" s="36"/>
      <c r="AB388" s="36"/>
      <c r="AC388" s="13"/>
      <c r="AD388" s="13"/>
      <c r="AE388" s="37"/>
      <c r="AF388" s="37"/>
      <c r="AG388" s="14"/>
      <c r="AH388" s="14"/>
      <c r="AI388" s="14"/>
      <c r="AZ388" s="24"/>
    </row>
    <row r="389">
      <c r="B389" s="24"/>
      <c r="E389" s="113"/>
      <c r="F389" s="266"/>
      <c r="G389" s="113"/>
      <c r="K389" s="36"/>
      <c r="L389" s="117"/>
      <c r="M389" s="128"/>
      <c r="N389" s="117"/>
      <c r="R389" s="117"/>
      <c r="T389" s="117"/>
      <c r="V389" s="117"/>
      <c r="X389" s="117"/>
      <c r="Y389" s="10"/>
      <c r="Z389" s="11"/>
      <c r="AA389" s="36"/>
      <c r="AB389" s="36"/>
      <c r="AC389" s="13"/>
      <c r="AD389" s="13"/>
      <c r="AE389" s="37"/>
      <c r="AF389" s="37"/>
      <c r="AG389" s="14"/>
      <c r="AH389" s="14"/>
      <c r="AI389" s="14"/>
      <c r="AZ389" s="24"/>
    </row>
    <row r="390">
      <c r="B390" s="24"/>
      <c r="E390" s="113"/>
      <c r="F390" s="266"/>
      <c r="G390" s="113"/>
      <c r="K390" s="36"/>
      <c r="L390" s="117"/>
      <c r="M390" s="128"/>
      <c r="N390" s="117"/>
      <c r="R390" s="117"/>
      <c r="T390" s="117"/>
      <c r="V390" s="117"/>
      <c r="X390" s="117"/>
      <c r="Y390" s="10"/>
      <c r="Z390" s="11"/>
      <c r="AA390" s="36"/>
      <c r="AB390" s="36"/>
      <c r="AC390" s="13"/>
      <c r="AD390" s="13"/>
      <c r="AE390" s="37"/>
      <c r="AF390" s="37"/>
      <c r="AG390" s="14"/>
      <c r="AH390" s="14"/>
      <c r="AI390" s="14"/>
      <c r="AZ390" s="24"/>
    </row>
    <row r="391">
      <c r="B391" s="24"/>
      <c r="E391" s="113"/>
      <c r="F391" s="266"/>
      <c r="G391" s="113"/>
      <c r="K391" s="36"/>
      <c r="L391" s="117"/>
      <c r="M391" s="128"/>
      <c r="N391" s="117"/>
      <c r="R391" s="117"/>
      <c r="T391" s="117"/>
      <c r="V391" s="117"/>
      <c r="X391" s="117"/>
      <c r="Y391" s="10"/>
      <c r="Z391" s="11"/>
      <c r="AA391" s="36"/>
      <c r="AB391" s="36"/>
      <c r="AC391" s="13"/>
      <c r="AD391" s="13"/>
      <c r="AE391" s="37"/>
      <c r="AF391" s="37"/>
      <c r="AG391" s="14"/>
      <c r="AH391" s="14"/>
      <c r="AI391" s="14"/>
      <c r="AZ391" s="24"/>
    </row>
    <row r="392">
      <c r="B392" s="24"/>
      <c r="E392" s="113"/>
      <c r="F392" s="266"/>
      <c r="G392" s="113"/>
      <c r="K392" s="36"/>
      <c r="L392" s="117"/>
      <c r="M392" s="128"/>
      <c r="N392" s="117"/>
      <c r="R392" s="117"/>
      <c r="T392" s="117"/>
      <c r="V392" s="117"/>
      <c r="X392" s="117"/>
      <c r="Y392" s="10"/>
      <c r="Z392" s="11"/>
      <c r="AA392" s="36"/>
      <c r="AB392" s="36"/>
      <c r="AC392" s="13"/>
      <c r="AD392" s="13"/>
      <c r="AE392" s="37"/>
      <c r="AF392" s="37"/>
      <c r="AG392" s="14"/>
      <c r="AH392" s="14"/>
      <c r="AI392" s="14"/>
      <c r="AZ392" s="24"/>
    </row>
    <row r="393">
      <c r="B393" s="24"/>
      <c r="E393" s="113"/>
      <c r="F393" s="266"/>
      <c r="G393" s="113"/>
      <c r="K393" s="36"/>
      <c r="L393" s="117"/>
      <c r="M393" s="128"/>
      <c r="N393" s="117"/>
      <c r="R393" s="117"/>
      <c r="T393" s="117"/>
      <c r="V393" s="117"/>
      <c r="X393" s="117"/>
      <c r="Y393" s="10"/>
      <c r="Z393" s="11"/>
      <c r="AA393" s="36"/>
      <c r="AB393" s="36"/>
      <c r="AC393" s="13"/>
      <c r="AD393" s="13"/>
      <c r="AE393" s="37"/>
      <c r="AF393" s="37"/>
      <c r="AG393" s="14"/>
      <c r="AH393" s="14"/>
      <c r="AI393" s="14"/>
      <c r="AZ393" s="24"/>
    </row>
    <row r="394">
      <c r="B394" s="24"/>
      <c r="E394" s="113"/>
      <c r="F394" s="266"/>
      <c r="G394" s="113"/>
      <c r="K394" s="36"/>
      <c r="L394" s="117"/>
      <c r="M394" s="128"/>
      <c r="N394" s="117"/>
      <c r="R394" s="117"/>
      <c r="T394" s="117"/>
      <c r="V394" s="117"/>
      <c r="X394" s="117"/>
      <c r="Y394" s="10"/>
      <c r="Z394" s="11"/>
      <c r="AA394" s="36"/>
      <c r="AB394" s="36"/>
      <c r="AC394" s="13"/>
      <c r="AD394" s="13"/>
      <c r="AE394" s="37"/>
      <c r="AF394" s="37"/>
      <c r="AG394" s="14"/>
      <c r="AH394" s="14"/>
      <c r="AI394" s="14"/>
      <c r="AZ394" s="24"/>
    </row>
    <row r="395">
      <c r="B395" s="24"/>
      <c r="E395" s="113"/>
      <c r="F395" s="266"/>
      <c r="G395" s="113"/>
      <c r="K395" s="36"/>
      <c r="L395" s="117"/>
      <c r="M395" s="128"/>
      <c r="N395" s="117"/>
      <c r="R395" s="117"/>
      <c r="T395" s="117"/>
      <c r="V395" s="117"/>
      <c r="X395" s="117"/>
      <c r="Y395" s="10"/>
      <c r="Z395" s="11"/>
      <c r="AA395" s="36"/>
      <c r="AB395" s="36"/>
      <c r="AC395" s="13"/>
      <c r="AD395" s="13"/>
      <c r="AE395" s="37"/>
      <c r="AF395" s="37"/>
      <c r="AG395" s="14"/>
      <c r="AH395" s="14"/>
      <c r="AI395" s="14"/>
      <c r="AZ395" s="24"/>
    </row>
    <row r="396">
      <c r="B396" s="24"/>
      <c r="E396" s="113"/>
      <c r="F396" s="266"/>
      <c r="G396" s="113"/>
      <c r="K396" s="36"/>
      <c r="L396" s="117"/>
      <c r="M396" s="128"/>
      <c r="N396" s="117"/>
      <c r="R396" s="117"/>
      <c r="T396" s="117"/>
      <c r="V396" s="117"/>
      <c r="X396" s="117"/>
      <c r="Y396" s="10"/>
      <c r="Z396" s="11"/>
      <c r="AA396" s="36"/>
      <c r="AB396" s="36"/>
      <c r="AC396" s="13"/>
      <c r="AD396" s="13"/>
      <c r="AE396" s="37"/>
      <c r="AF396" s="37"/>
      <c r="AG396" s="14"/>
      <c r="AH396" s="14"/>
      <c r="AI396" s="14"/>
      <c r="AZ396" s="24"/>
    </row>
    <row r="397">
      <c r="B397" s="24"/>
      <c r="E397" s="113"/>
      <c r="F397" s="266"/>
      <c r="G397" s="113"/>
      <c r="K397" s="36"/>
      <c r="L397" s="117"/>
      <c r="M397" s="128"/>
      <c r="N397" s="117"/>
      <c r="R397" s="117"/>
      <c r="T397" s="117"/>
      <c r="V397" s="117"/>
      <c r="X397" s="117"/>
      <c r="Y397" s="10"/>
      <c r="Z397" s="11"/>
      <c r="AA397" s="36"/>
      <c r="AB397" s="36"/>
      <c r="AC397" s="13"/>
      <c r="AD397" s="13"/>
      <c r="AE397" s="37"/>
      <c r="AF397" s="37"/>
      <c r="AG397" s="14"/>
      <c r="AH397" s="14"/>
      <c r="AI397" s="14"/>
      <c r="AZ397" s="24"/>
    </row>
    <row r="398">
      <c r="B398" s="24"/>
      <c r="E398" s="113"/>
      <c r="F398" s="266"/>
      <c r="G398" s="113"/>
      <c r="K398" s="36"/>
      <c r="L398" s="117"/>
      <c r="M398" s="128"/>
      <c r="N398" s="117"/>
      <c r="R398" s="117"/>
      <c r="T398" s="117"/>
      <c r="V398" s="117"/>
      <c r="X398" s="117"/>
      <c r="Y398" s="10"/>
      <c r="Z398" s="11"/>
      <c r="AA398" s="36"/>
      <c r="AB398" s="36"/>
      <c r="AC398" s="13"/>
      <c r="AD398" s="13"/>
      <c r="AE398" s="37"/>
      <c r="AF398" s="37"/>
      <c r="AG398" s="14"/>
      <c r="AH398" s="14"/>
      <c r="AI398" s="14"/>
      <c r="AZ398" s="24"/>
    </row>
    <row r="399">
      <c r="B399" s="24"/>
      <c r="E399" s="113"/>
      <c r="F399" s="266"/>
      <c r="G399" s="113"/>
      <c r="K399" s="36"/>
      <c r="L399" s="117"/>
      <c r="M399" s="128"/>
      <c r="N399" s="117"/>
      <c r="R399" s="117"/>
      <c r="T399" s="117"/>
      <c r="V399" s="117"/>
      <c r="X399" s="117"/>
      <c r="Y399" s="10"/>
      <c r="Z399" s="11"/>
      <c r="AA399" s="36"/>
      <c r="AB399" s="36"/>
      <c r="AC399" s="13"/>
      <c r="AD399" s="13"/>
      <c r="AE399" s="37"/>
      <c r="AF399" s="37"/>
      <c r="AG399" s="14"/>
      <c r="AH399" s="14"/>
      <c r="AI399" s="14"/>
      <c r="AZ399" s="24"/>
    </row>
    <row r="400">
      <c r="B400" s="24"/>
      <c r="E400" s="113"/>
      <c r="F400" s="266"/>
      <c r="G400" s="113"/>
      <c r="K400" s="36"/>
      <c r="L400" s="117"/>
      <c r="M400" s="128"/>
      <c r="N400" s="117"/>
      <c r="R400" s="117"/>
      <c r="T400" s="117"/>
      <c r="V400" s="117"/>
      <c r="X400" s="117"/>
      <c r="Y400" s="10"/>
      <c r="Z400" s="11"/>
      <c r="AA400" s="36"/>
      <c r="AB400" s="36"/>
      <c r="AC400" s="13"/>
      <c r="AD400" s="13"/>
      <c r="AE400" s="37"/>
      <c r="AF400" s="37"/>
      <c r="AG400" s="14"/>
      <c r="AH400" s="14"/>
      <c r="AI400" s="14"/>
      <c r="AZ400" s="24"/>
    </row>
    <row r="401">
      <c r="B401" s="24"/>
      <c r="E401" s="113"/>
      <c r="F401" s="266"/>
      <c r="G401" s="113"/>
      <c r="K401" s="36"/>
      <c r="L401" s="117"/>
      <c r="M401" s="128"/>
      <c r="N401" s="117"/>
      <c r="R401" s="117"/>
      <c r="T401" s="117"/>
      <c r="V401" s="117"/>
      <c r="X401" s="117"/>
      <c r="Y401" s="10"/>
      <c r="Z401" s="11"/>
      <c r="AA401" s="36"/>
      <c r="AB401" s="36"/>
      <c r="AC401" s="13"/>
      <c r="AD401" s="13"/>
      <c r="AE401" s="37"/>
      <c r="AF401" s="37"/>
      <c r="AG401" s="14"/>
      <c r="AH401" s="14"/>
      <c r="AI401" s="14"/>
      <c r="AZ401" s="24"/>
    </row>
    <row r="402">
      <c r="B402" s="24"/>
      <c r="E402" s="113"/>
      <c r="F402" s="266"/>
      <c r="G402" s="113"/>
      <c r="K402" s="36"/>
      <c r="L402" s="117"/>
      <c r="M402" s="128"/>
      <c r="N402" s="117"/>
      <c r="R402" s="117"/>
      <c r="T402" s="117"/>
      <c r="V402" s="117"/>
      <c r="X402" s="117"/>
      <c r="Y402" s="10"/>
      <c r="Z402" s="11"/>
      <c r="AA402" s="36"/>
      <c r="AB402" s="36"/>
      <c r="AC402" s="13"/>
      <c r="AD402" s="13"/>
      <c r="AE402" s="37"/>
      <c r="AF402" s="37"/>
      <c r="AG402" s="14"/>
      <c r="AH402" s="14"/>
      <c r="AI402" s="14"/>
      <c r="AZ402" s="24"/>
    </row>
    <row r="403">
      <c r="B403" s="24"/>
      <c r="E403" s="113"/>
      <c r="F403" s="266"/>
      <c r="G403" s="113"/>
      <c r="K403" s="36"/>
      <c r="L403" s="117"/>
      <c r="M403" s="128"/>
      <c r="N403" s="117"/>
      <c r="R403" s="117"/>
      <c r="T403" s="117"/>
      <c r="V403" s="117"/>
      <c r="X403" s="117"/>
      <c r="Y403" s="10"/>
      <c r="Z403" s="11"/>
      <c r="AA403" s="36"/>
      <c r="AB403" s="36"/>
      <c r="AC403" s="13"/>
      <c r="AD403" s="13"/>
      <c r="AE403" s="37"/>
      <c r="AF403" s="37"/>
      <c r="AG403" s="14"/>
      <c r="AH403" s="14"/>
      <c r="AI403" s="14"/>
      <c r="AZ403" s="24"/>
    </row>
    <row r="404">
      <c r="B404" s="24"/>
      <c r="E404" s="113"/>
      <c r="F404" s="266"/>
      <c r="G404" s="113"/>
      <c r="K404" s="36"/>
      <c r="L404" s="117"/>
      <c r="M404" s="128"/>
      <c r="N404" s="117"/>
      <c r="R404" s="117"/>
      <c r="T404" s="117"/>
      <c r="V404" s="117"/>
      <c r="X404" s="117"/>
      <c r="Y404" s="10"/>
      <c r="Z404" s="11"/>
      <c r="AA404" s="36"/>
      <c r="AB404" s="36"/>
      <c r="AC404" s="13"/>
      <c r="AD404" s="13"/>
      <c r="AE404" s="37"/>
      <c r="AF404" s="37"/>
      <c r="AG404" s="14"/>
      <c r="AH404" s="14"/>
      <c r="AI404" s="14"/>
      <c r="AZ404" s="24"/>
    </row>
    <row r="405">
      <c r="B405" s="24"/>
      <c r="E405" s="113"/>
      <c r="F405" s="266"/>
      <c r="G405" s="113"/>
      <c r="K405" s="36"/>
      <c r="L405" s="117"/>
      <c r="M405" s="128"/>
      <c r="N405" s="117"/>
      <c r="R405" s="117"/>
      <c r="T405" s="117"/>
      <c r="V405" s="117"/>
      <c r="X405" s="117"/>
      <c r="Y405" s="10"/>
      <c r="Z405" s="11"/>
      <c r="AA405" s="36"/>
      <c r="AB405" s="36"/>
      <c r="AC405" s="13"/>
      <c r="AD405" s="13"/>
      <c r="AE405" s="37"/>
      <c r="AF405" s="37"/>
      <c r="AG405" s="14"/>
      <c r="AH405" s="14"/>
      <c r="AI405" s="14"/>
      <c r="AZ405" s="24"/>
    </row>
    <row r="406">
      <c r="B406" s="24"/>
      <c r="E406" s="113"/>
      <c r="F406" s="266"/>
      <c r="G406" s="113"/>
      <c r="K406" s="36"/>
      <c r="L406" s="117"/>
      <c r="M406" s="128"/>
      <c r="N406" s="117"/>
      <c r="R406" s="117"/>
      <c r="T406" s="117"/>
      <c r="V406" s="117"/>
      <c r="X406" s="117"/>
      <c r="Y406" s="10"/>
      <c r="Z406" s="11"/>
      <c r="AA406" s="36"/>
      <c r="AB406" s="36"/>
      <c r="AC406" s="13"/>
      <c r="AD406" s="13"/>
      <c r="AE406" s="37"/>
      <c r="AF406" s="37"/>
      <c r="AG406" s="14"/>
      <c r="AH406" s="14"/>
      <c r="AI406" s="14"/>
      <c r="AZ406" s="24"/>
    </row>
    <row r="407">
      <c r="B407" s="24"/>
      <c r="E407" s="113"/>
      <c r="F407" s="266"/>
      <c r="G407" s="113"/>
      <c r="K407" s="36"/>
      <c r="L407" s="117"/>
      <c r="M407" s="128"/>
      <c r="N407" s="117"/>
      <c r="R407" s="117"/>
      <c r="T407" s="117"/>
      <c r="V407" s="117"/>
      <c r="X407" s="117"/>
      <c r="Y407" s="10"/>
      <c r="Z407" s="11"/>
      <c r="AA407" s="36"/>
      <c r="AB407" s="36"/>
      <c r="AC407" s="13"/>
      <c r="AD407" s="13"/>
      <c r="AE407" s="37"/>
      <c r="AF407" s="37"/>
      <c r="AG407" s="14"/>
      <c r="AH407" s="14"/>
      <c r="AI407" s="14"/>
      <c r="AZ407" s="24"/>
    </row>
    <row r="408">
      <c r="B408" s="24"/>
      <c r="E408" s="113"/>
      <c r="F408" s="266"/>
      <c r="G408" s="113"/>
      <c r="K408" s="36"/>
      <c r="L408" s="117"/>
      <c r="M408" s="128"/>
      <c r="N408" s="117"/>
      <c r="R408" s="117"/>
      <c r="T408" s="117"/>
      <c r="V408" s="117"/>
      <c r="X408" s="117"/>
      <c r="Y408" s="10"/>
      <c r="Z408" s="11"/>
      <c r="AA408" s="36"/>
      <c r="AB408" s="36"/>
      <c r="AC408" s="13"/>
      <c r="AD408" s="13"/>
      <c r="AE408" s="37"/>
      <c r="AF408" s="37"/>
      <c r="AG408" s="14"/>
      <c r="AH408" s="14"/>
      <c r="AI408" s="14"/>
      <c r="AZ408" s="24"/>
    </row>
    <row r="409">
      <c r="B409" s="24"/>
      <c r="E409" s="113"/>
      <c r="F409" s="266"/>
      <c r="G409" s="113"/>
      <c r="K409" s="36"/>
      <c r="L409" s="117"/>
      <c r="M409" s="128"/>
      <c r="N409" s="117"/>
      <c r="R409" s="117"/>
      <c r="T409" s="117"/>
      <c r="V409" s="117"/>
      <c r="X409" s="117"/>
      <c r="Y409" s="10"/>
      <c r="Z409" s="11"/>
      <c r="AA409" s="36"/>
      <c r="AB409" s="36"/>
      <c r="AC409" s="13"/>
      <c r="AD409" s="13"/>
      <c r="AE409" s="37"/>
      <c r="AF409" s="37"/>
      <c r="AG409" s="14"/>
      <c r="AH409" s="14"/>
      <c r="AI409" s="14"/>
      <c r="AZ409" s="24"/>
    </row>
    <row r="410">
      <c r="B410" s="24"/>
      <c r="E410" s="113"/>
      <c r="F410" s="266"/>
      <c r="G410" s="113"/>
      <c r="K410" s="36"/>
      <c r="L410" s="117"/>
      <c r="M410" s="128"/>
      <c r="N410" s="117"/>
      <c r="R410" s="117"/>
      <c r="T410" s="117"/>
      <c r="V410" s="117"/>
      <c r="X410" s="117"/>
      <c r="Y410" s="10"/>
      <c r="Z410" s="11"/>
      <c r="AA410" s="36"/>
      <c r="AB410" s="36"/>
      <c r="AC410" s="13"/>
      <c r="AD410" s="13"/>
      <c r="AE410" s="37"/>
      <c r="AF410" s="37"/>
      <c r="AG410" s="14"/>
      <c r="AH410" s="14"/>
      <c r="AI410" s="14"/>
      <c r="AZ410" s="24"/>
    </row>
    <row r="411">
      <c r="B411" s="24"/>
      <c r="E411" s="113"/>
      <c r="F411" s="266"/>
      <c r="G411" s="113"/>
      <c r="K411" s="36"/>
      <c r="L411" s="117"/>
      <c r="M411" s="128"/>
      <c r="N411" s="117"/>
      <c r="R411" s="117"/>
      <c r="T411" s="117"/>
      <c r="V411" s="117"/>
      <c r="X411" s="117"/>
      <c r="Y411" s="10"/>
      <c r="Z411" s="11"/>
      <c r="AA411" s="36"/>
      <c r="AB411" s="36"/>
      <c r="AC411" s="13"/>
      <c r="AD411" s="13"/>
      <c r="AE411" s="37"/>
      <c r="AF411" s="37"/>
      <c r="AG411" s="14"/>
      <c r="AH411" s="14"/>
      <c r="AI411" s="14"/>
      <c r="AZ411" s="24"/>
    </row>
    <row r="412">
      <c r="B412" s="24"/>
      <c r="E412" s="113"/>
      <c r="F412" s="266"/>
      <c r="G412" s="113"/>
      <c r="K412" s="36"/>
      <c r="L412" s="117"/>
      <c r="M412" s="128"/>
      <c r="N412" s="117"/>
      <c r="R412" s="117"/>
      <c r="T412" s="117"/>
      <c r="V412" s="117"/>
      <c r="X412" s="117"/>
      <c r="Y412" s="10"/>
      <c r="Z412" s="11"/>
      <c r="AA412" s="36"/>
      <c r="AB412" s="36"/>
      <c r="AC412" s="13"/>
      <c r="AD412" s="13"/>
      <c r="AE412" s="37"/>
      <c r="AF412" s="37"/>
      <c r="AG412" s="14"/>
      <c r="AH412" s="14"/>
      <c r="AI412" s="14"/>
      <c r="AZ412" s="24"/>
    </row>
    <row r="413">
      <c r="B413" s="24"/>
      <c r="E413" s="113"/>
      <c r="F413" s="266"/>
      <c r="G413" s="113"/>
      <c r="K413" s="36"/>
      <c r="L413" s="117"/>
      <c r="M413" s="128"/>
      <c r="N413" s="117"/>
      <c r="R413" s="117"/>
      <c r="T413" s="117"/>
      <c r="V413" s="117"/>
      <c r="X413" s="117"/>
      <c r="Y413" s="10"/>
      <c r="Z413" s="11"/>
      <c r="AA413" s="36"/>
      <c r="AB413" s="36"/>
      <c r="AC413" s="13"/>
      <c r="AD413" s="13"/>
      <c r="AE413" s="37"/>
      <c r="AF413" s="37"/>
      <c r="AG413" s="14"/>
      <c r="AH413" s="14"/>
      <c r="AI413" s="14"/>
      <c r="AZ413" s="24"/>
    </row>
    <row r="414">
      <c r="B414" s="24"/>
      <c r="E414" s="113"/>
      <c r="F414" s="266"/>
      <c r="G414" s="113"/>
      <c r="K414" s="36"/>
      <c r="L414" s="117"/>
      <c r="M414" s="128"/>
      <c r="N414" s="117"/>
      <c r="R414" s="117"/>
      <c r="T414" s="117"/>
      <c r="V414" s="117"/>
      <c r="X414" s="117"/>
      <c r="Y414" s="10"/>
      <c r="Z414" s="11"/>
      <c r="AA414" s="36"/>
      <c r="AB414" s="36"/>
      <c r="AC414" s="13"/>
      <c r="AD414" s="13"/>
      <c r="AE414" s="37"/>
      <c r="AF414" s="37"/>
      <c r="AG414" s="14"/>
      <c r="AH414" s="14"/>
      <c r="AI414" s="14"/>
      <c r="AZ414" s="24"/>
    </row>
    <row r="415">
      <c r="B415" s="24"/>
      <c r="E415" s="113"/>
      <c r="F415" s="266"/>
      <c r="G415" s="113"/>
      <c r="K415" s="36"/>
      <c r="L415" s="117"/>
      <c r="M415" s="128"/>
      <c r="N415" s="117"/>
      <c r="R415" s="117"/>
      <c r="T415" s="117"/>
      <c r="V415" s="117"/>
      <c r="X415" s="117"/>
      <c r="Y415" s="10"/>
      <c r="Z415" s="11"/>
      <c r="AA415" s="36"/>
      <c r="AB415" s="36"/>
      <c r="AC415" s="13"/>
      <c r="AD415" s="13"/>
      <c r="AE415" s="37"/>
      <c r="AF415" s="37"/>
      <c r="AG415" s="14"/>
      <c r="AH415" s="14"/>
      <c r="AI415" s="14"/>
      <c r="AZ415" s="24"/>
    </row>
    <row r="416">
      <c r="B416" s="24"/>
      <c r="E416" s="113"/>
      <c r="F416" s="266"/>
      <c r="G416" s="113"/>
      <c r="K416" s="36"/>
      <c r="L416" s="117"/>
      <c r="M416" s="128"/>
      <c r="N416" s="117"/>
      <c r="R416" s="117"/>
      <c r="T416" s="117"/>
      <c r="V416" s="117"/>
      <c r="X416" s="117"/>
      <c r="Y416" s="10"/>
      <c r="Z416" s="11"/>
      <c r="AA416" s="36"/>
      <c r="AB416" s="36"/>
      <c r="AC416" s="13"/>
      <c r="AD416" s="13"/>
      <c r="AE416" s="37"/>
      <c r="AF416" s="37"/>
      <c r="AG416" s="14"/>
      <c r="AH416" s="14"/>
      <c r="AI416" s="14"/>
      <c r="AZ416" s="24"/>
    </row>
    <row r="417">
      <c r="B417" s="24"/>
      <c r="E417" s="113"/>
      <c r="F417" s="266"/>
      <c r="G417" s="113"/>
      <c r="K417" s="36"/>
      <c r="L417" s="117"/>
      <c r="M417" s="128"/>
      <c r="N417" s="117"/>
      <c r="R417" s="117"/>
      <c r="T417" s="117"/>
      <c r="V417" s="117"/>
      <c r="X417" s="117"/>
      <c r="Y417" s="10"/>
      <c r="Z417" s="11"/>
      <c r="AA417" s="36"/>
      <c r="AB417" s="36"/>
      <c r="AC417" s="13"/>
      <c r="AD417" s="13"/>
      <c r="AE417" s="37"/>
      <c r="AF417" s="37"/>
      <c r="AG417" s="14"/>
      <c r="AH417" s="14"/>
      <c r="AI417" s="14"/>
      <c r="AZ417" s="24"/>
    </row>
    <row r="418">
      <c r="B418" s="24"/>
      <c r="E418" s="113"/>
      <c r="F418" s="266"/>
      <c r="G418" s="113"/>
      <c r="K418" s="36"/>
      <c r="L418" s="117"/>
      <c r="M418" s="128"/>
      <c r="N418" s="117"/>
      <c r="R418" s="117"/>
      <c r="T418" s="117"/>
      <c r="V418" s="117"/>
      <c r="X418" s="117"/>
      <c r="Y418" s="10"/>
      <c r="Z418" s="11"/>
      <c r="AA418" s="36"/>
      <c r="AB418" s="36"/>
      <c r="AC418" s="13"/>
      <c r="AD418" s="13"/>
      <c r="AE418" s="37"/>
      <c r="AF418" s="37"/>
      <c r="AG418" s="14"/>
      <c r="AH418" s="14"/>
      <c r="AI418" s="14"/>
      <c r="AZ418" s="24"/>
    </row>
    <row r="419">
      <c r="B419" s="24"/>
      <c r="E419" s="113"/>
      <c r="F419" s="266"/>
      <c r="G419" s="113"/>
      <c r="K419" s="36"/>
      <c r="L419" s="117"/>
      <c r="M419" s="128"/>
      <c r="N419" s="117"/>
      <c r="R419" s="117"/>
      <c r="T419" s="117"/>
      <c r="V419" s="117"/>
      <c r="X419" s="117"/>
      <c r="Y419" s="10"/>
      <c r="Z419" s="11"/>
      <c r="AA419" s="36"/>
      <c r="AB419" s="36"/>
      <c r="AC419" s="13"/>
      <c r="AD419" s="13"/>
      <c r="AE419" s="37"/>
      <c r="AF419" s="37"/>
      <c r="AG419" s="14"/>
      <c r="AH419" s="14"/>
      <c r="AI419" s="14"/>
      <c r="AZ419" s="24"/>
    </row>
    <row r="420">
      <c r="B420" s="24"/>
      <c r="E420" s="113"/>
      <c r="F420" s="266"/>
      <c r="G420" s="113"/>
      <c r="K420" s="36"/>
      <c r="L420" s="117"/>
      <c r="M420" s="128"/>
      <c r="N420" s="117"/>
      <c r="R420" s="117"/>
      <c r="T420" s="117"/>
      <c r="V420" s="117"/>
      <c r="X420" s="117"/>
      <c r="Y420" s="10"/>
      <c r="Z420" s="11"/>
      <c r="AA420" s="36"/>
      <c r="AB420" s="36"/>
      <c r="AC420" s="13"/>
      <c r="AD420" s="13"/>
      <c r="AE420" s="37"/>
      <c r="AF420" s="37"/>
      <c r="AG420" s="14"/>
      <c r="AH420" s="14"/>
      <c r="AI420" s="14"/>
      <c r="AZ420" s="24"/>
    </row>
    <row r="421">
      <c r="B421" s="24"/>
      <c r="E421" s="113"/>
      <c r="F421" s="266"/>
      <c r="G421" s="113"/>
      <c r="K421" s="36"/>
      <c r="L421" s="117"/>
      <c r="M421" s="128"/>
      <c r="N421" s="117"/>
      <c r="R421" s="117"/>
      <c r="T421" s="117"/>
      <c r="V421" s="117"/>
      <c r="X421" s="117"/>
      <c r="Y421" s="10"/>
      <c r="Z421" s="11"/>
      <c r="AA421" s="36"/>
      <c r="AB421" s="36"/>
      <c r="AC421" s="13"/>
      <c r="AD421" s="13"/>
      <c r="AE421" s="37"/>
      <c r="AF421" s="37"/>
      <c r="AG421" s="14"/>
      <c r="AH421" s="14"/>
      <c r="AI421" s="14"/>
      <c r="AZ421" s="24"/>
    </row>
    <row r="422">
      <c r="B422" s="24"/>
      <c r="E422" s="113"/>
      <c r="F422" s="266"/>
      <c r="G422" s="113"/>
      <c r="K422" s="36"/>
      <c r="L422" s="117"/>
      <c r="M422" s="128"/>
      <c r="N422" s="117"/>
      <c r="R422" s="117"/>
      <c r="T422" s="117"/>
      <c r="V422" s="117"/>
      <c r="X422" s="117"/>
      <c r="Y422" s="10"/>
      <c r="Z422" s="11"/>
      <c r="AA422" s="36"/>
      <c r="AB422" s="36"/>
      <c r="AC422" s="13"/>
      <c r="AD422" s="13"/>
      <c r="AE422" s="37"/>
      <c r="AF422" s="37"/>
      <c r="AG422" s="14"/>
      <c r="AH422" s="14"/>
      <c r="AI422" s="14"/>
      <c r="AZ422" s="24"/>
    </row>
    <row r="423">
      <c r="B423" s="24"/>
      <c r="E423" s="113"/>
      <c r="F423" s="266"/>
      <c r="G423" s="113"/>
      <c r="K423" s="36"/>
      <c r="L423" s="117"/>
      <c r="M423" s="128"/>
      <c r="N423" s="117"/>
      <c r="R423" s="117"/>
      <c r="T423" s="117"/>
      <c r="V423" s="117"/>
      <c r="X423" s="117"/>
      <c r="Y423" s="10"/>
      <c r="Z423" s="11"/>
      <c r="AA423" s="36"/>
      <c r="AB423" s="36"/>
      <c r="AC423" s="13"/>
      <c r="AD423" s="13"/>
      <c r="AE423" s="37"/>
      <c r="AF423" s="37"/>
      <c r="AG423" s="14"/>
      <c r="AH423" s="14"/>
      <c r="AI423" s="14"/>
      <c r="AZ423" s="24"/>
    </row>
    <row r="424">
      <c r="B424" s="24"/>
      <c r="E424" s="113"/>
      <c r="F424" s="266"/>
      <c r="G424" s="113"/>
      <c r="K424" s="36"/>
      <c r="L424" s="117"/>
      <c r="M424" s="128"/>
      <c r="N424" s="117"/>
      <c r="R424" s="117"/>
      <c r="T424" s="117"/>
      <c r="V424" s="117"/>
      <c r="X424" s="117"/>
      <c r="Y424" s="10"/>
      <c r="Z424" s="11"/>
      <c r="AA424" s="36"/>
      <c r="AB424" s="36"/>
      <c r="AC424" s="13"/>
      <c r="AD424" s="13"/>
      <c r="AE424" s="37"/>
      <c r="AF424" s="37"/>
      <c r="AG424" s="14"/>
      <c r="AH424" s="14"/>
      <c r="AI424" s="14"/>
      <c r="AZ424" s="24"/>
    </row>
    <row r="425">
      <c r="B425" s="24"/>
      <c r="E425" s="113"/>
      <c r="F425" s="266"/>
      <c r="G425" s="113"/>
      <c r="K425" s="36"/>
      <c r="L425" s="117"/>
      <c r="M425" s="128"/>
      <c r="N425" s="117"/>
      <c r="R425" s="117"/>
      <c r="T425" s="117"/>
      <c r="V425" s="117"/>
      <c r="X425" s="117"/>
      <c r="Y425" s="10"/>
      <c r="Z425" s="11"/>
      <c r="AA425" s="36"/>
      <c r="AB425" s="36"/>
      <c r="AC425" s="13"/>
      <c r="AD425" s="13"/>
      <c r="AE425" s="37"/>
      <c r="AF425" s="37"/>
      <c r="AG425" s="14"/>
      <c r="AH425" s="14"/>
      <c r="AI425" s="14"/>
      <c r="AZ425" s="24"/>
    </row>
    <row r="426">
      <c r="B426" s="24"/>
      <c r="E426" s="113"/>
      <c r="F426" s="266"/>
      <c r="G426" s="113"/>
      <c r="K426" s="36"/>
      <c r="L426" s="117"/>
      <c r="M426" s="128"/>
      <c r="N426" s="117"/>
      <c r="R426" s="117"/>
      <c r="T426" s="117"/>
      <c r="V426" s="117"/>
      <c r="X426" s="117"/>
      <c r="Y426" s="10"/>
      <c r="Z426" s="11"/>
      <c r="AA426" s="36"/>
      <c r="AB426" s="36"/>
      <c r="AC426" s="13"/>
      <c r="AD426" s="13"/>
      <c r="AE426" s="37"/>
      <c r="AF426" s="37"/>
      <c r="AG426" s="14"/>
      <c r="AH426" s="14"/>
      <c r="AI426" s="14"/>
      <c r="AZ426" s="24"/>
    </row>
    <row r="427">
      <c r="B427" s="24"/>
      <c r="E427" s="113"/>
      <c r="F427" s="266"/>
      <c r="G427" s="113"/>
      <c r="K427" s="36"/>
      <c r="L427" s="117"/>
      <c r="M427" s="128"/>
      <c r="N427" s="117"/>
      <c r="R427" s="117"/>
      <c r="T427" s="117"/>
      <c r="V427" s="117"/>
      <c r="X427" s="117"/>
      <c r="Y427" s="10"/>
      <c r="Z427" s="11"/>
      <c r="AA427" s="36"/>
      <c r="AB427" s="36"/>
      <c r="AC427" s="13"/>
      <c r="AD427" s="13"/>
      <c r="AE427" s="37"/>
      <c r="AF427" s="37"/>
      <c r="AG427" s="14"/>
      <c r="AH427" s="14"/>
      <c r="AI427" s="14"/>
      <c r="AZ427" s="24"/>
    </row>
    <row r="428">
      <c r="B428" s="24"/>
      <c r="E428" s="113"/>
      <c r="F428" s="266"/>
      <c r="G428" s="113"/>
      <c r="K428" s="36"/>
      <c r="L428" s="117"/>
      <c r="M428" s="128"/>
      <c r="N428" s="117"/>
      <c r="R428" s="117"/>
      <c r="T428" s="117"/>
      <c r="V428" s="117"/>
      <c r="X428" s="117"/>
      <c r="Y428" s="10"/>
      <c r="Z428" s="11"/>
      <c r="AA428" s="36"/>
      <c r="AB428" s="36"/>
      <c r="AC428" s="13"/>
      <c r="AD428" s="13"/>
      <c r="AE428" s="37"/>
      <c r="AF428" s="37"/>
      <c r="AG428" s="14"/>
      <c r="AH428" s="14"/>
      <c r="AI428" s="14"/>
      <c r="AZ428" s="24"/>
    </row>
    <row r="429">
      <c r="B429" s="24"/>
      <c r="E429" s="113"/>
      <c r="F429" s="266"/>
      <c r="G429" s="113"/>
      <c r="K429" s="36"/>
      <c r="L429" s="117"/>
      <c r="M429" s="128"/>
      <c r="N429" s="117"/>
      <c r="R429" s="117"/>
      <c r="T429" s="117"/>
      <c r="V429" s="117"/>
      <c r="X429" s="117"/>
      <c r="Y429" s="10"/>
      <c r="Z429" s="11"/>
      <c r="AA429" s="36"/>
      <c r="AB429" s="36"/>
      <c r="AC429" s="13"/>
      <c r="AD429" s="13"/>
      <c r="AE429" s="37"/>
      <c r="AF429" s="37"/>
      <c r="AG429" s="14"/>
      <c r="AH429" s="14"/>
      <c r="AI429" s="14"/>
      <c r="AZ429" s="24"/>
    </row>
    <row r="430">
      <c r="B430" s="24"/>
      <c r="E430" s="113"/>
      <c r="F430" s="266"/>
      <c r="G430" s="113"/>
      <c r="K430" s="36"/>
      <c r="L430" s="117"/>
      <c r="M430" s="128"/>
      <c r="N430" s="117"/>
      <c r="R430" s="117"/>
      <c r="T430" s="117"/>
      <c r="V430" s="117"/>
      <c r="X430" s="117"/>
      <c r="Y430" s="10"/>
      <c r="Z430" s="11"/>
      <c r="AA430" s="36"/>
      <c r="AB430" s="36"/>
      <c r="AC430" s="13"/>
      <c r="AD430" s="13"/>
      <c r="AE430" s="37"/>
      <c r="AF430" s="37"/>
      <c r="AG430" s="14"/>
      <c r="AH430" s="14"/>
      <c r="AI430" s="14"/>
      <c r="AZ430" s="24"/>
    </row>
    <row r="431">
      <c r="B431" s="24"/>
      <c r="E431" s="113"/>
      <c r="F431" s="266"/>
      <c r="G431" s="113"/>
      <c r="K431" s="36"/>
      <c r="L431" s="117"/>
      <c r="M431" s="128"/>
      <c r="N431" s="117"/>
      <c r="R431" s="117"/>
      <c r="T431" s="117"/>
      <c r="V431" s="117"/>
      <c r="X431" s="117"/>
      <c r="Y431" s="10"/>
      <c r="Z431" s="11"/>
      <c r="AA431" s="36"/>
      <c r="AB431" s="36"/>
      <c r="AC431" s="13"/>
      <c r="AD431" s="13"/>
      <c r="AE431" s="37"/>
      <c r="AF431" s="37"/>
      <c r="AG431" s="14"/>
      <c r="AH431" s="14"/>
      <c r="AI431" s="14"/>
      <c r="AZ431" s="24"/>
    </row>
    <row r="432">
      <c r="B432" s="24"/>
      <c r="E432" s="113"/>
      <c r="F432" s="266"/>
      <c r="G432" s="113"/>
      <c r="K432" s="36"/>
      <c r="L432" s="117"/>
      <c r="M432" s="128"/>
      <c r="N432" s="117"/>
      <c r="R432" s="117"/>
      <c r="T432" s="117"/>
      <c r="V432" s="117"/>
      <c r="X432" s="117"/>
      <c r="Y432" s="10"/>
      <c r="Z432" s="11"/>
      <c r="AA432" s="36"/>
      <c r="AB432" s="36"/>
      <c r="AC432" s="13"/>
      <c r="AD432" s="13"/>
      <c r="AE432" s="37"/>
      <c r="AF432" s="37"/>
      <c r="AG432" s="14"/>
      <c r="AH432" s="14"/>
      <c r="AI432" s="14"/>
      <c r="AZ432" s="24"/>
    </row>
    <row r="433">
      <c r="B433" s="24"/>
      <c r="E433" s="113"/>
      <c r="F433" s="266"/>
      <c r="G433" s="113"/>
      <c r="K433" s="36"/>
      <c r="L433" s="117"/>
      <c r="M433" s="128"/>
      <c r="N433" s="117"/>
      <c r="R433" s="117"/>
      <c r="T433" s="117"/>
      <c r="V433" s="117"/>
      <c r="X433" s="117"/>
      <c r="Y433" s="10"/>
      <c r="Z433" s="11"/>
      <c r="AA433" s="36"/>
      <c r="AB433" s="36"/>
      <c r="AC433" s="13"/>
      <c r="AD433" s="13"/>
      <c r="AE433" s="37"/>
      <c r="AF433" s="37"/>
      <c r="AG433" s="14"/>
      <c r="AH433" s="14"/>
      <c r="AI433" s="14"/>
      <c r="AZ433" s="24"/>
    </row>
    <row r="434">
      <c r="B434" s="24"/>
      <c r="E434" s="113"/>
      <c r="F434" s="266"/>
      <c r="G434" s="113"/>
      <c r="K434" s="36"/>
      <c r="L434" s="117"/>
      <c r="M434" s="128"/>
      <c r="N434" s="117"/>
      <c r="R434" s="117"/>
      <c r="T434" s="117"/>
      <c r="V434" s="117"/>
      <c r="X434" s="117"/>
      <c r="Y434" s="10"/>
      <c r="Z434" s="11"/>
      <c r="AA434" s="36"/>
      <c r="AB434" s="36"/>
      <c r="AC434" s="13"/>
      <c r="AD434" s="13"/>
      <c r="AE434" s="37"/>
      <c r="AF434" s="37"/>
      <c r="AG434" s="14"/>
      <c r="AH434" s="14"/>
      <c r="AI434" s="14"/>
      <c r="AZ434" s="24"/>
    </row>
    <row r="435">
      <c r="B435" s="24"/>
      <c r="E435" s="113"/>
      <c r="F435" s="266"/>
      <c r="G435" s="113"/>
      <c r="K435" s="36"/>
      <c r="L435" s="117"/>
      <c r="M435" s="128"/>
      <c r="N435" s="117"/>
      <c r="R435" s="117"/>
      <c r="T435" s="117"/>
      <c r="V435" s="117"/>
      <c r="X435" s="117"/>
      <c r="Y435" s="10"/>
      <c r="Z435" s="11"/>
      <c r="AA435" s="36"/>
      <c r="AB435" s="36"/>
      <c r="AC435" s="13"/>
      <c r="AD435" s="13"/>
      <c r="AE435" s="37"/>
      <c r="AF435" s="37"/>
      <c r="AG435" s="14"/>
      <c r="AH435" s="14"/>
      <c r="AI435" s="14"/>
      <c r="AZ435" s="24"/>
    </row>
    <row r="436">
      <c r="B436" s="24"/>
      <c r="E436" s="113"/>
      <c r="F436" s="266"/>
      <c r="G436" s="113"/>
      <c r="K436" s="36"/>
      <c r="L436" s="117"/>
      <c r="M436" s="128"/>
      <c r="N436" s="117"/>
      <c r="R436" s="117"/>
      <c r="T436" s="117"/>
      <c r="V436" s="117"/>
      <c r="X436" s="117"/>
      <c r="Y436" s="10"/>
      <c r="Z436" s="11"/>
      <c r="AA436" s="36"/>
      <c r="AB436" s="36"/>
      <c r="AC436" s="13"/>
      <c r="AD436" s="13"/>
      <c r="AE436" s="37"/>
      <c r="AF436" s="37"/>
      <c r="AG436" s="14"/>
      <c r="AH436" s="14"/>
      <c r="AI436" s="14"/>
      <c r="AZ436" s="24"/>
    </row>
    <row r="437">
      <c r="B437" s="24"/>
      <c r="E437" s="113"/>
      <c r="F437" s="266"/>
      <c r="G437" s="113"/>
      <c r="K437" s="36"/>
      <c r="L437" s="117"/>
      <c r="M437" s="128"/>
      <c r="N437" s="117"/>
      <c r="R437" s="117"/>
      <c r="T437" s="117"/>
      <c r="V437" s="117"/>
      <c r="X437" s="117"/>
      <c r="Y437" s="10"/>
      <c r="Z437" s="11"/>
      <c r="AA437" s="36"/>
      <c r="AB437" s="36"/>
      <c r="AC437" s="13"/>
      <c r="AD437" s="13"/>
      <c r="AE437" s="37"/>
      <c r="AF437" s="37"/>
      <c r="AG437" s="14"/>
      <c r="AH437" s="14"/>
      <c r="AI437" s="14"/>
      <c r="AZ437" s="24"/>
    </row>
    <row r="438">
      <c r="B438" s="24"/>
      <c r="E438" s="113"/>
      <c r="F438" s="266"/>
      <c r="G438" s="113"/>
      <c r="K438" s="36"/>
      <c r="L438" s="117"/>
      <c r="M438" s="128"/>
      <c r="N438" s="117"/>
      <c r="R438" s="117"/>
      <c r="T438" s="117"/>
      <c r="V438" s="117"/>
      <c r="X438" s="117"/>
      <c r="Y438" s="10"/>
      <c r="Z438" s="11"/>
      <c r="AA438" s="36"/>
      <c r="AB438" s="36"/>
      <c r="AC438" s="13"/>
      <c r="AD438" s="13"/>
      <c r="AE438" s="37"/>
      <c r="AF438" s="37"/>
      <c r="AG438" s="14"/>
      <c r="AH438" s="14"/>
      <c r="AI438" s="14"/>
      <c r="AZ438" s="24"/>
    </row>
    <row r="439">
      <c r="B439" s="24"/>
      <c r="E439" s="113"/>
      <c r="F439" s="266"/>
      <c r="G439" s="113"/>
      <c r="K439" s="36"/>
      <c r="L439" s="117"/>
      <c r="M439" s="128"/>
      <c r="N439" s="117"/>
      <c r="R439" s="117"/>
      <c r="T439" s="117"/>
      <c r="V439" s="117"/>
      <c r="X439" s="117"/>
      <c r="Y439" s="10"/>
      <c r="Z439" s="11"/>
      <c r="AA439" s="36"/>
      <c r="AB439" s="36"/>
      <c r="AC439" s="13"/>
      <c r="AD439" s="13"/>
      <c r="AE439" s="37"/>
      <c r="AF439" s="37"/>
      <c r="AG439" s="14"/>
      <c r="AH439" s="14"/>
      <c r="AI439" s="14"/>
      <c r="AZ439" s="24"/>
    </row>
    <row r="440">
      <c r="B440" s="24"/>
      <c r="E440" s="113"/>
      <c r="F440" s="266"/>
      <c r="G440" s="113"/>
      <c r="K440" s="36"/>
      <c r="L440" s="117"/>
      <c r="M440" s="128"/>
      <c r="N440" s="117"/>
      <c r="R440" s="117"/>
      <c r="T440" s="117"/>
      <c r="V440" s="117"/>
      <c r="X440" s="117"/>
      <c r="Y440" s="10"/>
      <c r="Z440" s="11"/>
      <c r="AA440" s="36"/>
      <c r="AB440" s="36"/>
      <c r="AC440" s="13"/>
      <c r="AD440" s="13"/>
      <c r="AE440" s="37"/>
      <c r="AF440" s="37"/>
      <c r="AG440" s="14"/>
      <c r="AH440" s="14"/>
      <c r="AI440" s="14"/>
      <c r="AZ440" s="24"/>
    </row>
    <row r="441">
      <c r="B441" s="24"/>
      <c r="E441" s="113"/>
      <c r="F441" s="266"/>
      <c r="G441" s="113"/>
      <c r="K441" s="36"/>
      <c r="L441" s="117"/>
      <c r="M441" s="128"/>
      <c r="N441" s="117"/>
      <c r="R441" s="117"/>
      <c r="T441" s="117"/>
      <c r="V441" s="117"/>
      <c r="X441" s="117"/>
      <c r="Y441" s="10"/>
      <c r="Z441" s="11"/>
      <c r="AA441" s="36"/>
      <c r="AB441" s="36"/>
      <c r="AC441" s="13"/>
      <c r="AD441" s="13"/>
      <c r="AE441" s="37"/>
      <c r="AF441" s="37"/>
      <c r="AG441" s="14"/>
      <c r="AH441" s="14"/>
      <c r="AI441" s="14"/>
      <c r="AZ441" s="24"/>
    </row>
    <row r="442">
      <c r="B442" s="24"/>
      <c r="E442" s="113"/>
      <c r="F442" s="266"/>
      <c r="G442" s="113"/>
      <c r="K442" s="36"/>
      <c r="L442" s="117"/>
      <c r="M442" s="128"/>
      <c r="N442" s="117"/>
      <c r="R442" s="117"/>
      <c r="T442" s="117"/>
      <c r="V442" s="117"/>
      <c r="X442" s="117"/>
      <c r="Y442" s="10"/>
      <c r="Z442" s="11"/>
      <c r="AA442" s="36"/>
      <c r="AB442" s="36"/>
      <c r="AC442" s="13"/>
      <c r="AD442" s="13"/>
      <c r="AE442" s="37"/>
      <c r="AF442" s="37"/>
      <c r="AG442" s="14"/>
      <c r="AH442" s="14"/>
      <c r="AI442" s="14"/>
      <c r="AZ442" s="24"/>
    </row>
    <row r="443">
      <c r="B443" s="24"/>
      <c r="E443" s="113"/>
      <c r="F443" s="266"/>
      <c r="G443" s="113"/>
      <c r="K443" s="36"/>
      <c r="L443" s="117"/>
      <c r="M443" s="128"/>
      <c r="N443" s="117"/>
      <c r="R443" s="117"/>
      <c r="T443" s="117"/>
      <c r="V443" s="117"/>
      <c r="X443" s="117"/>
      <c r="Y443" s="10"/>
      <c r="Z443" s="11"/>
      <c r="AA443" s="36"/>
      <c r="AB443" s="36"/>
      <c r="AC443" s="13"/>
      <c r="AD443" s="13"/>
      <c r="AE443" s="37"/>
      <c r="AF443" s="37"/>
      <c r="AG443" s="14"/>
      <c r="AH443" s="14"/>
      <c r="AI443" s="14"/>
      <c r="AZ443" s="24"/>
    </row>
    <row r="444">
      <c r="B444" s="24"/>
      <c r="E444" s="113"/>
      <c r="F444" s="266"/>
      <c r="G444" s="113"/>
      <c r="K444" s="36"/>
      <c r="L444" s="117"/>
      <c r="M444" s="128"/>
      <c r="N444" s="117"/>
      <c r="R444" s="117"/>
      <c r="T444" s="117"/>
      <c r="V444" s="117"/>
      <c r="X444" s="117"/>
      <c r="Y444" s="10"/>
      <c r="Z444" s="11"/>
      <c r="AA444" s="36"/>
      <c r="AB444" s="36"/>
      <c r="AC444" s="13"/>
      <c r="AD444" s="13"/>
      <c r="AE444" s="37"/>
      <c r="AF444" s="37"/>
      <c r="AG444" s="14"/>
      <c r="AH444" s="14"/>
      <c r="AI444" s="14"/>
      <c r="AZ444" s="24"/>
    </row>
    <row r="445">
      <c r="B445" s="24"/>
      <c r="E445" s="113"/>
      <c r="F445" s="266"/>
      <c r="G445" s="113"/>
      <c r="K445" s="36"/>
      <c r="L445" s="117"/>
      <c r="M445" s="128"/>
      <c r="N445" s="117"/>
      <c r="R445" s="117"/>
      <c r="T445" s="117"/>
      <c r="V445" s="117"/>
      <c r="X445" s="117"/>
      <c r="Y445" s="10"/>
      <c r="Z445" s="11"/>
      <c r="AA445" s="36"/>
      <c r="AB445" s="36"/>
      <c r="AC445" s="13"/>
      <c r="AD445" s="13"/>
      <c r="AE445" s="37"/>
      <c r="AF445" s="37"/>
      <c r="AG445" s="14"/>
      <c r="AH445" s="14"/>
      <c r="AI445" s="14"/>
      <c r="AZ445" s="24"/>
    </row>
    <row r="446">
      <c r="B446" s="24"/>
      <c r="E446" s="113"/>
      <c r="F446" s="266"/>
      <c r="G446" s="113"/>
      <c r="K446" s="36"/>
      <c r="L446" s="117"/>
      <c r="M446" s="128"/>
      <c r="N446" s="117"/>
      <c r="R446" s="117"/>
      <c r="T446" s="117"/>
      <c r="V446" s="117"/>
      <c r="X446" s="117"/>
      <c r="Y446" s="10"/>
      <c r="Z446" s="11"/>
      <c r="AA446" s="36"/>
      <c r="AB446" s="36"/>
      <c r="AC446" s="13"/>
      <c r="AD446" s="13"/>
      <c r="AE446" s="37"/>
      <c r="AF446" s="37"/>
      <c r="AG446" s="14"/>
      <c r="AH446" s="14"/>
      <c r="AI446" s="14"/>
      <c r="AZ446" s="24"/>
    </row>
    <row r="447">
      <c r="B447" s="24"/>
      <c r="E447" s="113"/>
      <c r="F447" s="266"/>
      <c r="G447" s="113"/>
      <c r="K447" s="36"/>
      <c r="L447" s="117"/>
      <c r="M447" s="128"/>
      <c r="N447" s="117"/>
      <c r="R447" s="117"/>
      <c r="T447" s="117"/>
      <c r="V447" s="117"/>
      <c r="X447" s="117"/>
      <c r="Y447" s="10"/>
      <c r="Z447" s="11"/>
      <c r="AA447" s="36"/>
      <c r="AB447" s="36"/>
      <c r="AC447" s="13"/>
      <c r="AD447" s="13"/>
      <c r="AE447" s="37"/>
      <c r="AF447" s="37"/>
      <c r="AG447" s="14"/>
      <c r="AH447" s="14"/>
      <c r="AI447" s="14"/>
      <c r="AZ447" s="24"/>
    </row>
    <row r="448">
      <c r="B448" s="24"/>
      <c r="E448" s="113"/>
      <c r="F448" s="266"/>
      <c r="G448" s="113"/>
      <c r="K448" s="36"/>
      <c r="L448" s="117"/>
      <c r="M448" s="128"/>
      <c r="N448" s="117"/>
      <c r="R448" s="117"/>
      <c r="T448" s="117"/>
      <c r="V448" s="117"/>
      <c r="X448" s="117"/>
      <c r="Y448" s="10"/>
      <c r="Z448" s="11"/>
      <c r="AA448" s="36"/>
      <c r="AB448" s="36"/>
      <c r="AC448" s="13"/>
      <c r="AD448" s="13"/>
      <c r="AE448" s="37"/>
      <c r="AF448" s="37"/>
      <c r="AG448" s="14"/>
      <c r="AH448" s="14"/>
      <c r="AI448" s="14"/>
      <c r="AZ448" s="24"/>
    </row>
    <row r="449">
      <c r="B449" s="24"/>
      <c r="E449" s="113"/>
      <c r="F449" s="266"/>
      <c r="G449" s="113"/>
      <c r="K449" s="36"/>
      <c r="L449" s="117"/>
      <c r="M449" s="128"/>
      <c r="N449" s="117"/>
      <c r="R449" s="117"/>
      <c r="T449" s="117"/>
      <c r="V449" s="117"/>
      <c r="X449" s="117"/>
      <c r="Y449" s="10"/>
      <c r="Z449" s="11"/>
      <c r="AA449" s="36"/>
      <c r="AB449" s="36"/>
      <c r="AC449" s="13"/>
      <c r="AD449" s="13"/>
      <c r="AE449" s="37"/>
      <c r="AF449" s="37"/>
      <c r="AG449" s="14"/>
      <c r="AH449" s="14"/>
      <c r="AI449" s="14"/>
      <c r="AZ449" s="24"/>
    </row>
    <row r="450">
      <c r="B450" s="24"/>
      <c r="E450" s="113"/>
      <c r="F450" s="266"/>
      <c r="G450" s="113"/>
      <c r="K450" s="36"/>
      <c r="L450" s="117"/>
      <c r="M450" s="128"/>
      <c r="N450" s="117"/>
      <c r="R450" s="117"/>
      <c r="T450" s="117"/>
      <c r="V450" s="117"/>
      <c r="X450" s="117"/>
      <c r="Y450" s="10"/>
      <c r="Z450" s="11"/>
      <c r="AA450" s="36"/>
      <c r="AB450" s="36"/>
      <c r="AC450" s="13"/>
      <c r="AD450" s="13"/>
      <c r="AE450" s="37"/>
      <c r="AF450" s="37"/>
      <c r="AG450" s="14"/>
      <c r="AH450" s="14"/>
      <c r="AI450" s="14"/>
      <c r="AZ450" s="24"/>
    </row>
    <row r="451">
      <c r="B451" s="24"/>
      <c r="E451" s="113"/>
      <c r="F451" s="266"/>
      <c r="G451" s="113"/>
      <c r="K451" s="36"/>
      <c r="L451" s="117"/>
      <c r="M451" s="128"/>
      <c r="N451" s="117"/>
      <c r="R451" s="117"/>
      <c r="T451" s="117"/>
      <c r="V451" s="117"/>
      <c r="X451" s="117"/>
      <c r="Y451" s="10"/>
      <c r="Z451" s="11"/>
      <c r="AA451" s="36"/>
      <c r="AB451" s="36"/>
      <c r="AC451" s="13"/>
      <c r="AD451" s="13"/>
      <c r="AE451" s="37"/>
      <c r="AF451" s="37"/>
      <c r="AG451" s="14"/>
      <c r="AH451" s="14"/>
      <c r="AI451" s="14"/>
      <c r="AZ451" s="24"/>
    </row>
    <row r="452">
      <c r="B452" s="24"/>
      <c r="E452" s="113"/>
      <c r="F452" s="266"/>
      <c r="G452" s="113"/>
      <c r="K452" s="36"/>
      <c r="L452" s="117"/>
      <c r="M452" s="128"/>
      <c r="N452" s="117"/>
      <c r="R452" s="117"/>
      <c r="T452" s="117"/>
      <c r="V452" s="117"/>
      <c r="X452" s="117"/>
      <c r="Y452" s="10"/>
      <c r="Z452" s="11"/>
      <c r="AA452" s="36"/>
      <c r="AB452" s="36"/>
      <c r="AC452" s="13"/>
      <c r="AD452" s="13"/>
      <c r="AE452" s="37"/>
      <c r="AF452" s="37"/>
      <c r="AG452" s="14"/>
      <c r="AH452" s="14"/>
      <c r="AI452" s="14"/>
      <c r="AZ452" s="24"/>
    </row>
    <row r="453">
      <c r="B453" s="24"/>
      <c r="E453" s="113"/>
      <c r="F453" s="266"/>
      <c r="G453" s="113"/>
      <c r="K453" s="36"/>
      <c r="L453" s="117"/>
      <c r="M453" s="128"/>
      <c r="N453" s="117"/>
      <c r="R453" s="117"/>
      <c r="T453" s="117"/>
      <c r="V453" s="117"/>
      <c r="X453" s="117"/>
      <c r="Y453" s="10"/>
      <c r="Z453" s="11"/>
      <c r="AA453" s="36"/>
      <c r="AB453" s="36"/>
      <c r="AC453" s="13"/>
      <c r="AD453" s="13"/>
      <c r="AE453" s="37"/>
      <c r="AF453" s="37"/>
      <c r="AG453" s="14"/>
      <c r="AH453" s="14"/>
      <c r="AI453" s="14"/>
      <c r="AZ453" s="24"/>
    </row>
    <row r="454">
      <c r="B454" s="24"/>
      <c r="E454" s="113"/>
      <c r="F454" s="266"/>
      <c r="G454" s="113"/>
      <c r="K454" s="36"/>
      <c r="L454" s="117"/>
      <c r="M454" s="128"/>
      <c r="N454" s="117"/>
      <c r="R454" s="117"/>
      <c r="T454" s="117"/>
      <c r="V454" s="117"/>
      <c r="X454" s="117"/>
      <c r="Y454" s="10"/>
      <c r="Z454" s="11"/>
      <c r="AA454" s="36"/>
      <c r="AB454" s="36"/>
      <c r="AC454" s="13"/>
      <c r="AD454" s="13"/>
      <c r="AE454" s="37"/>
      <c r="AF454" s="37"/>
      <c r="AG454" s="14"/>
      <c r="AH454" s="14"/>
      <c r="AI454" s="14"/>
      <c r="AZ454" s="24"/>
    </row>
    <row r="455">
      <c r="B455" s="24"/>
      <c r="E455" s="113"/>
      <c r="F455" s="266"/>
      <c r="G455" s="113"/>
      <c r="K455" s="36"/>
      <c r="L455" s="117"/>
      <c r="M455" s="128"/>
      <c r="N455" s="117"/>
      <c r="R455" s="117"/>
      <c r="T455" s="117"/>
      <c r="V455" s="117"/>
      <c r="X455" s="117"/>
      <c r="Y455" s="10"/>
      <c r="Z455" s="11"/>
      <c r="AA455" s="36"/>
      <c r="AB455" s="36"/>
      <c r="AC455" s="13"/>
      <c r="AD455" s="13"/>
      <c r="AE455" s="37"/>
      <c r="AF455" s="37"/>
      <c r="AG455" s="14"/>
      <c r="AH455" s="14"/>
      <c r="AI455" s="14"/>
      <c r="AZ455" s="24"/>
    </row>
    <row r="456">
      <c r="B456" s="24"/>
      <c r="E456" s="113"/>
      <c r="F456" s="266"/>
      <c r="G456" s="113"/>
      <c r="K456" s="36"/>
      <c r="L456" s="117"/>
      <c r="M456" s="128"/>
      <c r="N456" s="117"/>
      <c r="R456" s="117"/>
      <c r="T456" s="117"/>
      <c r="V456" s="117"/>
      <c r="X456" s="117"/>
      <c r="Y456" s="10"/>
      <c r="Z456" s="11"/>
      <c r="AA456" s="36"/>
      <c r="AB456" s="36"/>
      <c r="AC456" s="13"/>
      <c r="AD456" s="13"/>
      <c r="AE456" s="37"/>
      <c r="AF456" s="37"/>
      <c r="AG456" s="14"/>
      <c r="AH456" s="14"/>
      <c r="AI456" s="14"/>
      <c r="AZ456" s="24"/>
    </row>
    <row r="457">
      <c r="B457" s="24"/>
      <c r="E457" s="113"/>
      <c r="F457" s="266"/>
      <c r="G457" s="113"/>
      <c r="K457" s="36"/>
      <c r="L457" s="117"/>
      <c r="M457" s="128"/>
      <c r="N457" s="117"/>
      <c r="R457" s="117"/>
      <c r="T457" s="117"/>
      <c r="V457" s="117"/>
      <c r="X457" s="117"/>
      <c r="Y457" s="10"/>
      <c r="Z457" s="11"/>
      <c r="AA457" s="36"/>
      <c r="AB457" s="36"/>
      <c r="AC457" s="13"/>
      <c r="AD457" s="13"/>
      <c r="AE457" s="37"/>
      <c r="AF457" s="37"/>
      <c r="AG457" s="14"/>
      <c r="AH457" s="14"/>
      <c r="AI457" s="14"/>
      <c r="AZ457" s="24"/>
    </row>
    <row r="458">
      <c r="B458" s="24"/>
      <c r="E458" s="113"/>
      <c r="F458" s="266"/>
      <c r="G458" s="113"/>
      <c r="K458" s="36"/>
      <c r="L458" s="117"/>
      <c r="M458" s="128"/>
      <c r="N458" s="117"/>
      <c r="R458" s="117"/>
      <c r="T458" s="117"/>
      <c r="V458" s="117"/>
      <c r="X458" s="117"/>
      <c r="Y458" s="10"/>
      <c r="Z458" s="11"/>
      <c r="AA458" s="36"/>
      <c r="AB458" s="36"/>
      <c r="AC458" s="13"/>
      <c r="AD458" s="13"/>
      <c r="AE458" s="37"/>
      <c r="AF458" s="37"/>
      <c r="AG458" s="14"/>
      <c r="AH458" s="14"/>
      <c r="AI458" s="14"/>
      <c r="AZ458" s="24"/>
    </row>
    <row r="459">
      <c r="B459" s="24"/>
      <c r="E459" s="113"/>
      <c r="F459" s="266"/>
      <c r="G459" s="113"/>
      <c r="K459" s="36"/>
      <c r="L459" s="117"/>
      <c r="M459" s="128"/>
      <c r="N459" s="117"/>
      <c r="R459" s="117"/>
      <c r="T459" s="117"/>
      <c r="V459" s="117"/>
      <c r="X459" s="117"/>
      <c r="Y459" s="10"/>
      <c r="Z459" s="11"/>
      <c r="AA459" s="36"/>
      <c r="AB459" s="36"/>
      <c r="AC459" s="13"/>
      <c r="AD459" s="13"/>
      <c r="AE459" s="37"/>
      <c r="AF459" s="37"/>
      <c r="AG459" s="14"/>
      <c r="AH459" s="14"/>
      <c r="AI459" s="14"/>
      <c r="AZ459" s="24"/>
    </row>
    <row r="460">
      <c r="B460" s="24"/>
      <c r="E460" s="113"/>
      <c r="F460" s="266"/>
      <c r="G460" s="113"/>
      <c r="K460" s="36"/>
      <c r="L460" s="117"/>
      <c r="M460" s="128"/>
      <c r="N460" s="117"/>
      <c r="R460" s="117"/>
      <c r="T460" s="117"/>
      <c r="V460" s="117"/>
      <c r="X460" s="117"/>
      <c r="Y460" s="10"/>
      <c r="Z460" s="11"/>
      <c r="AA460" s="36"/>
      <c r="AB460" s="36"/>
      <c r="AC460" s="13"/>
      <c r="AD460" s="13"/>
      <c r="AE460" s="37"/>
      <c r="AF460" s="37"/>
      <c r="AG460" s="14"/>
      <c r="AH460" s="14"/>
      <c r="AI460" s="14"/>
      <c r="AZ460" s="24"/>
    </row>
    <row r="461">
      <c r="B461" s="24"/>
      <c r="E461" s="113"/>
      <c r="F461" s="266"/>
      <c r="G461" s="113"/>
      <c r="K461" s="36"/>
      <c r="L461" s="117"/>
      <c r="M461" s="128"/>
      <c r="N461" s="117"/>
      <c r="R461" s="117"/>
      <c r="T461" s="117"/>
      <c r="V461" s="117"/>
      <c r="X461" s="117"/>
      <c r="Y461" s="10"/>
      <c r="Z461" s="11"/>
      <c r="AA461" s="36"/>
      <c r="AB461" s="36"/>
      <c r="AC461" s="13"/>
      <c r="AD461" s="13"/>
      <c r="AE461" s="37"/>
      <c r="AF461" s="37"/>
      <c r="AG461" s="14"/>
      <c r="AH461" s="14"/>
      <c r="AI461" s="14"/>
      <c r="AZ461" s="24"/>
    </row>
    <row r="462">
      <c r="B462" s="24"/>
      <c r="E462" s="113"/>
      <c r="F462" s="266"/>
      <c r="G462" s="113"/>
      <c r="K462" s="36"/>
      <c r="L462" s="117"/>
      <c r="M462" s="128"/>
      <c r="N462" s="117"/>
      <c r="R462" s="117"/>
      <c r="T462" s="117"/>
      <c r="V462" s="117"/>
      <c r="X462" s="117"/>
      <c r="Y462" s="10"/>
      <c r="Z462" s="11"/>
      <c r="AA462" s="36"/>
      <c r="AB462" s="36"/>
      <c r="AC462" s="13"/>
      <c r="AD462" s="13"/>
      <c r="AE462" s="37"/>
      <c r="AF462" s="37"/>
      <c r="AG462" s="14"/>
      <c r="AH462" s="14"/>
      <c r="AI462" s="14"/>
      <c r="AZ462" s="24"/>
    </row>
    <row r="463">
      <c r="B463" s="24"/>
      <c r="E463" s="113"/>
      <c r="F463" s="266"/>
      <c r="G463" s="113"/>
      <c r="K463" s="36"/>
      <c r="L463" s="117"/>
      <c r="M463" s="128"/>
      <c r="N463" s="117"/>
      <c r="R463" s="117"/>
      <c r="T463" s="117"/>
      <c r="V463" s="117"/>
      <c r="X463" s="117"/>
      <c r="Y463" s="10"/>
      <c r="Z463" s="11"/>
      <c r="AA463" s="36"/>
      <c r="AB463" s="36"/>
      <c r="AC463" s="13"/>
      <c r="AD463" s="13"/>
      <c r="AE463" s="37"/>
      <c r="AF463" s="37"/>
      <c r="AG463" s="14"/>
      <c r="AH463" s="14"/>
      <c r="AI463" s="14"/>
      <c r="AZ463" s="24"/>
    </row>
    <row r="464">
      <c r="B464" s="24"/>
      <c r="E464" s="113"/>
      <c r="F464" s="266"/>
      <c r="G464" s="113"/>
      <c r="K464" s="36"/>
      <c r="L464" s="117"/>
      <c r="M464" s="128"/>
      <c r="N464" s="117"/>
      <c r="R464" s="117"/>
      <c r="T464" s="117"/>
      <c r="V464" s="117"/>
      <c r="X464" s="117"/>
      <c r="Y464" s="10"/>
      <c r="Z464" s="11"/>
      <c r="AA464" s="36"/>
      <c r="AB464" s="36"/>
      <c r="AC464" s="13"/>
      <c r="AD464" s="13"/>
      <c r="AE464" s="37"/>
      <c r="AF464" s="37"/>
      <c r="AG464" s="14"/>
      <c r="AH464" s="14"/>
      <c r="AI464" s="14"/>
      <c r="AZ464" s="24"/>
    </row>
    <row r="465">
      <c r="B465" s="24"/>
      <c r="E465" s="113"/>
      <c r="F465" s="266"/>
      <c r="G465" s="113"/>
      <c r="K465" s="36"/>
      <c r="L465" s="117"/>
      <c r="M465" s="128"/>
      <c r="N465" s="117"/>
      <c r="R465" s="117"/>
      <c r="T465" s="117"/>
      <c r="V465" s="117"/>
      <c r="X465" s="117"/>
      <c r="Y465" s="10"/>
      <c r="Z465" s="11"/>
      <c r="AA465" s="36"/>
      <c r="AB465" s="36"/>
      <c r="AC465" s="13"/>
      <c r="AD465" s="13"/>
      <c r="AE465" s="37"/>
      <c r="AF465" s="37"/>
      <c r="AG465" s="14"/>
      <c r="AH465" s="14"/>
      <c r="AI465" s="14"/>
      <c r="AZ465" s="24"/>
    </row>
    <row r="466">
      <c r="B466" s="24"/>
      <c r="E466" s="113"/>
      <c r="F466" s="266"/>
      <c r="G466" s="113"/>
      <c r="K466" s="36"/>
      <c r="L466" s="117"/>
      <c r="M466" s="128"/>
      <c r="N466" s="117"/>
      <c r="R466" s="117"/>
      <c r="T466" s="117"/>
      <c r="V466" s="117"/>
      <c r="X466" s="117"/>
      <c r="Y466" s="10"/>
      <c r="Z466" s="11"/>
      <c r="AA466" s="36"/>
      <c r="AB466" s="36"/>
      <c r="AC466" s="13"/>
      <c r="AD466" s="13"/>
      <c r="AE466" s="37"/>
      <c r="AF466" s="37"/>
      <c r="AG466" s="14"/>
      <c r="AH466" s="14"/>
      <c r="AI466" s="14"/>
      <c r="AZ466" s="24"/>
    </row>
    <row r="467">
      <c r="B467" s="24"/>
      <c r="E467" s="113"/>
      <c r="F467" s="266"/>
      <c r="G467" s="113"/>
      <c r="K467" s="36"/>
      <c r="L467" s="117"/>
      <c r="M467" s="128"/>
      <c r="N467" s="117"/>
      <c r="R467" s="117"/>
      <c r="T467" s="117"/>
      <c r="V467" s="117"/>
      <c r="X467" s="117"/>
      <c r="Y467" s="10"/>
      <c r="Z467" s="11"/>
      <c r="AA467" s="36"/>
      <c r="AB467" s="36"/>
      <c r="AC467" s="13"/>
      <c r="AD467" s="13"/>
      <c r="AE467" s="37"/>
      <c r="AF467" s="37"/>
      <c r="AG467" s="14"/>
      <c r="AH467" s="14"/>
      <c r="AI467" s="14"/>
      <c r="AZ467" s="24"/>
    </row>
    <row r="468">
      <c r="B468" s="24"/>
      <c r="E468" s="113"/>
      <c r="F468" s="266"/>
      <c r="G468" s="113"/>
      <c r="K468" s="36"/>
      <c r="L468" s="117"/>
      <c r="M468" s="128"/>
      <c r="N468" s="117"/>
      <c r="R468" s="117"/>
      <c r="T468" s="117"/>
      <c r="V468" s="117"/>
      <c r="X468" s="117"/>
      <c r="Y468" s="10"/>
      <c r="Z468" s="11"/>
      <c r="AA468" s="36"/>
      <c r="AB468" s="36"/>
      <c r="AC468" s="13"/>
      <c r="AD468" s="13"/>
      <c r="AE468" s="37"/>
      <c r="AF468" s="37"/>
      <c r="AG468" s="14"/>
      <c r="AH468" s="14"/>
      <c r="AI468" s="14"/>
      <c r="AZ468" s="24"/>
    </row>
    <row r="469">
      <c r="B469" s="24"/>
      <c r="E469" s="113"/>
      <c r="F469" s="266"/>
      <c r="G469" s="113"/>
      <c r="K469" s="36"/>
      <c r="L469" s="117"/>
      <c r="M469" s="128"/>
      <c r="N469" s="117"/>
      <c r="R469" s="117"/>
      <c r="T469" s="117"/>
      <c r="V469" s="117"/>
      <c r="X469" s="117"/>
      <c r="Y469" s="10"/>
      <c r="Z469" s="11"/>
      <c r="AA469" s="36"/>
      <c r="AB469" s="36"/>
      <c r="AC469" s="13"/>
      <c r="AD469" s="13"/>
      <c r="AE469" s="37"/>
      <c r="AF469" s="37"/>
      <c r="AG469" s="14"/>
      <c r="AH469" s="14"/>
      <c r="AI469" s="14"/>
      <c r="AZ469" s="24"/>
    </row>
    <row r="470">
      <c r="B470" s="24"/>
      <c r="E470" s="113"/>
      <c r="F470" s="266"/>
      <c r="G470" s="113"/>
      <c r="K470" s="36"/>
      <c r="L470" s="117"/>
      <c r="M470" s="128"/>
      <c r="N470" s="117"/>
      <c r="R470" s="117"/>
      <c r="T470" s="117"/>
      <c r="V470" s="117"/>
      <c r="X470" s="117"/>
      <c r="Y470" s="10"/>
      <c r="Z470" s="11"/>
      <c r="AA470" s="36"/>
      <c r="AB470" s="36"/>
      <c r="AC470" s="13"/>
      <c r="AD470" s="13"/>
      <c r="AE470" s="37"/>
      <c r="AF470" s="37"/>
      <c r="AG470" s="14"/>
      <c r="AH470" s="14"/>
      <c r="AI470" s="14"/>
      <c r="AZ470" s="24"/>
    </row>
    <row r="471">
      <c r="B471" s="24"/>
      <c r="E471" s="113"/>
      <c r="F471" s="266"/>
      <c r="G471" s="113"/>
      <c r="K471" s="36"/>
      <c r="L471" s="117"/>
      <c r="M471" s="128"/>
      <c r="N471" s="117"/>
      <c r="R471" s="117"/>
      <c r="T471" s="117"/>
      <c r="V471" s="117"/>
      <c r="X471" s="117"/>
      <c r="Y471" s="10"/>
      <c r="Z471" s="11"/>
      <c r="AA471" s="36"/>
      <c r="AB471" s="36"/>
      <c r="AC471" s="13"/>
      <c r="AD471" s="13"/>
      <c r="AE471" s="37"/>
      <c r="AF471" s="37"/>
      <c r="AG471" s="14"/>
      <c r="AH471" s="14"/>
      <c r="AI471" s="14"/>
      <c r="AZ471" s="24"/>
    </row>
    <row r="472">
      <c r="B472" s="24"/>
      <c r="E472" s="113"/>
      <c r="F472" s="266"/>
      <c r="G472" s="113"/>
      <c r="K472" s="36"/>
      <c r="L472" s="117"/>
      <c r="M472" s="128"/>
      <c r="N472" s="117"/>
      <c r="R472" s="117"/>
      <c r="T472" s="117"/>
      <c r="V472" s="117"/>
      <c r="X472" s="117"/>
      <c r="Y472" s="10"/>
      <c r="Z472" s="11"/>
      <c r="AA472" s="36"/>
      <c r="AB472" s="36"/>
      <c r="AC472" s="13"/>
      <c r="AD472" s="13"/>
      <c r="AE472" s="37"/>
      <c r="AF472" s="37"/>
      <c r="AG472" s="14"/>
      <c r="AH472" s="14"/>
      <c r="AI472" s="14"/>
      <c r="AZ472" s="24"/>
    </row>
    <row r="473">
      <c r="B473" s="24"/>
      <c r="E473" s="113"/>
      <c r="F473" s="266"/>
      <c r="G473" s="113"/>
      <c r="K473" s="36"/>
      <c r="L473" s="117"/>
      <c r="M473" s="128"/>
      <c r="N473" s="117"/>
      <c r="R473" s="117"/>
      <c r="T473" s="117"/>
      <c r="V473" s="117"/>
      <c r="X473" s="117"/>
      <c r="Y473" s="10"/>
      <c r="Z473" s="11"/>
      <c r="AA473" s="36"/>
      <c r="AB473" s="36"/>
      <c r="AC473" s="13"/>
      <c r="AD473" s="13"/>
      <c r="AE473" s="37"/>
      <c r="AF473" s="37"/>
      <c r="AG473" s="14"/>
      <c r="AH473" s="14"/>
      <c r="AI473" s="14"/>
      <c r="AZ473" s="24"/>
    </row>
    <row r="474">
      <c r="B474" s="24"/>
      <c r="E474" s="113"/>
      <c r="F474" s="266"/>
      <c r="G474" s="113"/>
      <c r="K474" s="36"/>
      <c r="L474" s="117"/>
      <c r="M474" s="128"/>
      <c r="N474" s="117"/>
      <c r="R474" s="117"/>
      <c r="T474" s="117"/>
      <c r="V474" s="117"/>
      <c r="X474" s="117"/>
      <c r="Y474" s="10"/>
      <c r="Z474" s="11"/>
      <c r="AA474" s="36"/>
      <c r="AB474" s="36"/>
      <c r="AC474" s="13"/>
      <c r="AD474" s="13"/>
      <c r="AE474" s="37"/>
      <c r="AF474" s="37"/>
      <c r="AG474" s="14"/>
      <c r="AH474" s="14"/>
      <c r="AI474" s="14"/>
      <c r="AZ474" s="24"/>
    </row>
    <row r="475">
      <c r="B475" s="24"/>
      <c r="E475" s="113"/>
      <c r="F475" s="266"/>
      <c r="G475" s="113"/>
      <c r="K475" s="36"/>
      <c r="L475" s="117"/>
      <c r="M475" s="128"/>
      <c r="N475" s="117"/>
      <c r="R475" s="117"/>
      <c r="T475" s="117"/>
      <c r="V475" s="117"/>
      <c r="X475" s="117"/>
      <c r="Y475" s="10"/>
      <c r="Z475" s="11"/>
      <c r="AA475" s="36"/>
      <c r="AB475" s="36"/>
      <c r="AC475" s="13"/>
      <c r="AD475" s="13"/>
      <c r="AE475" s="37"/>
      <c r="AF475" s="37"/>
      <c r="AG475" s="14"/>
      <c r="AH475" s="14"/>
      <c r="AI475" s="14"/>
      <c r="AZ475" s="24"/>
    </row>
    <row r="476">
      <c r="B476" s="24"/>
      <c r="E476" s="113"/>
      <c r="F476" s="266"/>
      <c r="G476" s="113"/>
      <c r="K476" s="36"/>
      <c r="L476" s="117"/>
      <c r="M476" s="128"/>
      <c r="N476" s="117"/>
      <c r="R476" s="117"/>
      <c r="T476" s="117"/>
      <c r="V476" s="117"/>
      <c r="X476" s="117"/>
      <c r="Y476" s="10"/>
      <c r="Z476" s="11"/>
      <c r="AA476" s="36"/>
      <c r="AB476" s="36"/>
      <c r="AC476" s="13"/>
      <c r="AD476" s="13"/>
      <c r="AE476" s="37"/>
      <c r="AF476" s="37"/>
      <c r="AG476" s="14"/>
      <c r="AH476" s="14"/>
      <c r="AI476" s="14"/>
      <c r="AZ476" s="24"/>
    </row>
    <row r="477">
      <c r="B477" s="24"/>
      <c r="E477" s="113"/>
      <c r="F477" s="266"/>
      <c r="G477" s="113"/>
      <c r="K477" s="36"/>
      <c r="L477" s="117"/>
      <c r="M477" s="128"/>
      <c r="N477" s="117"/>
      <c r="R477" s="117"/>
      <c r="T477" s="117"/>
      <c r="V477" s="117"/>
      <c r="X477" s="117"/>
      <c r="Y477" s="10"/>
      <c r="Z477" s="11"/>
      <c r="AA477" s="36"/>
      <c r="AB477" s="36"/>
      <c r="AC477" s="13"/>
      <c r="AD477" s="13"/>
      <c r="AE477" s="37"/>
      <c r="AF477" s="37"/>
      <c r="AG477" s="14"/>
      <c r="AH477" s="14"/>
      <c r="AI477" s="14"/>
      <c r="AZ477" s="24"/>
    </row>
    <row r="478">
      <c r="B478" s="24"/>
      <c r="E478" s="113"/>
      <c r="F478" s="266"/>
      <c r="G478" s="113"/>
      <c r="K478" s="36"/>
      <c r="L478" s="117"/>
      <c r="M478" s="128"/>
      <c r="N478" s="117"/>
      <c r="R478" s="117"/>
      <c r="T478" s="117"/>
      <c r="V478" s="117"/>
      <c r="X478" s="117"/>
      <c r="Y478" s="10"/>
      <c r="Z478" s="11"/>
      <c r="AA478" s="36"/>
      <c r="AB478" s="36"/>
      <c r="AC478" s="13"/>
      <c r="AD478" s="13"/>
      <c r="AE478" s="37"/>
      <c r="AF478" s="37"/>
      <c r="AG478" s="14"/>
      <c r="AH478" s="14"/>
      <c r="AI478" s="14"/>
      <c r="AZ478" s="24"/>
    </row>
    <row r="479">
      <c r="B479" s="24"/>
      <c r="E479" s="113"/>
      <c r="F479" s="266"/>
      <c r="G479" s="113"/>
      <c r="K479" s="36"/>
      <c r="L479" s="117"/>
      <c r="M479" s="128"/>
      <c r="N479" s="117"/>
      <c r="R479" s="117"/>
      <c r="T479" s="117"/>
      <c r="V479" s="117"/>
      <c r="X479" s="117"/>
      <c r="Y479" s="10"/>
      <c r="Z479" s="11"/>
      <c r="AA479" s="36"/>
      <c r="AB479" s="36"/>
      <c r="AC479" s="13"/>
      <c r="AD479" s="13"/>
      <c r="AE479" s="37"/>
      <c r="AF479" s="37"/>
      <c r="AG479" s="14"/>
      <c r="AH479" s="14"/>
      <c r="AI479" s="14"/>
      <c r="AZ479" s="24"/>
    </row>
    <row r="480">
      <c r="B480" s="24"/>
      <c r="E480" s="113"/>
      <c r="F480" s="266"/>
      <c r="G480" s="113"/>
      <c r="K480" s="36"/>
      <c r="L480" s="117"/>
      <c r="M480" s="128"/>
      <c r="N480" s="117"/>
      <c r="R480" s="117"/>
      <c r="T480" s="117"/>
      <c r="V480" s="117"/>
      <c r="X480" s="117"/>
      <c r="Y480" s="10"/>
      <c r="Z480" s="11"/>
      <c r="AA480" s="36"/>
      <c r="AB480" s="36"/>
      <c r="AC480" s="13"/>
      <c r="AD480" s="13"/>
      <c r="AE480" s="37"/>
      <c r="AF480" s="37"/>
      <c r="AG480" s="14"/>
      <c r="AH480" s="14"/>
      <c r="AI480" s="14"/>
      <c r="AZ480" s="24"/>
    </row>
    <row r="481">
      <c r="B481" s="24"/>
      <c r="E481" s="113"/>
      <c r="F481" s="266"/>
      <c r="G481" s="113"/>
      <c r="K481" s="36"/>
      <c r="L481" s="117"/>
      <c r="M481" s="128"/>
      <c r="N481" s="117"/>
      <c r="R481" s="117"/>
      <c r="T481" s="117"/>
      <c r="V481" s="117"/>
      <c r="X481" s="117"/>
      <c r="Y481" s="10"/>
      <c r="Z481" s="11"/>
      <c r="AA481" s="36"/>
      <c r="AB481" s="36"/>
      <c r="AC481" s="13"/>
      <c r="AD481" s="13"/>
      <c r="AE481" s="37"/>
      <c r="AF481" s="37"/>
      <c r="AG481" s="14"/>
      <c r="AH481" s="14"/>
      <c r="AI481" s="14"/>
      <c r="AZ481" s="24"/>
    </row>
    <row r="482">
      <c r="B482" s="24"/>
      <c r="E482" s="113"/>
      <c r="F482" s="266"/>
      <c r="G482" s="113"/>
      <c r="K482" s="36"/>
      <c r="L482" s="117"/>
      <c r="M482" s="128"/>
      <c r="N482" s="117"/>
      <c r="R482" s="117"/>
      <c r="T482" s="117"/>
      <c r="V482" s="117"/>
      <c r="X482" s="117"/>
      <c r="Y482" s="10"/>
      <c r="Z482" s="11"/>
      <c r="AA482" s="36"/>
      <c r="AB482" s="36"/>
      <c r="AC482" s="13"/>
      <c r="AD482" s="13"/>
      <c r="AE482" s="37"/>
      <c r="AF482" s="37"/>
      <c r="AG482" s="14"/>
      <c r="AH482" s="14"/>
      <c r="AI482" s="14"/>
      <c r="AZ482" s="24"/>
    </row>
    <row r="483">
      <c r="B483" s="24"/>
      <c r="E483" s="113"/>
      <c r="F483" s="266"/>
      <c r="G483" s="113"/>
      <c r="K483" s="36"/>
      <c r="L483" s="117"/>
      <c r="M483" s="128"/>
      <c r="N483" s="117"/>
      <c r="R483" s="117"/>
      <c r="T483" s="117"/>
      <c r="V483" s="117"/>
      <c r="X483" s="117"/>
      <c r="Y483" s="10"/>
      <c r="Z483" s="11"/>
      <c r="AA483" s="36"/>
      <c r="AB483" s="36"/>
      <c r="AC483" s="13"/>
      <c r="AD483" s="13"/>
      <c r="AE483" s="37"/>
      <c r="AF483" s="37"/>
      <c r="AG483" s="14"/>
      <c r="AH483" s="14"/>
      <c r="AI483" s="14"/>
      <c r="AZ483" s="24"/>
    </row>
    <row r="484">
      <c r="B484" s="24"/>
      <c r="E484" s="113"/>
      <c r="F484" s="266"/>
      <c r="G484" s="113"/>
      <c r="K484" s="36"/>
      <c r="L484" s="117"/>
      <c r="M484" s="128"/>
      <c r="N484" s="117"/>
      <c r="R484" s="117"/>
      <c r="T484" s="117"/>
      <c r="V484" s="117"/>
      <c r="X484" s="117"/>
      <c r="Y484" s="10"/>
      <c r="Z484" s="11"/>
      <c r="AA484" s="36"/>
      <c r="AB484" s="36"/>
      <c r="AC484" s="13"/>
      <c r="AD484" s="13"/>
      <c r="AE484" s="37"/>
      <c r="AF484" s="37"/>
      <c r="AG484" s="14"/>
      <c r="AH484" s="14"/>
      <c r="AI484" s="14"/>
      <c r="AZ484" s="24"/>
    </row>
    <row r="485">
      <c r="B485" s="24"/>
      <c r="E485" s="113"/>
      <c r="F485" s="266"/>
      <c r="G485" s="113"/>
      <c r="K485" s="36"/>
      <c r="L485" s="117"/>
      <c r="M485" s="128"/>
      <c r="N485" s="117"/>
      <c r="R485" s="117"/>
      <c r="T485" s="117"/>
      <c r="V485" s="117"/>
      <c r="X485" s="117"/>
      <c r="Y485" s="10"/>
      <c r="Z485" s="11"/>
      <c r="AA485" s="36"/>
      <c r="AB485" s="36"/>
      <c r="AC485" s="13"/>
      <c r="AD485" s="13"/>
      <c r="AE485" s="37"/>
      <c r="AF485" s="37"/>
      <c r="AG485" s="14"/>
      <c r="AH485" s="14"/>
      <c r="AI485" s="14"/>
      <c r="AZ485" s="24"/>
    </row>
    <row r="486">
      <c r="B486" s="24"/>
      <c r="E486" s="113"/>
      <c r="F486" s="266"/>
      <c r="G486" s="113"/>
      <c r="K486" s="36"/>
      <c r="L486" s="117"/>
      <c r="M486" s="128"/>
      <c r="N486" s="117"/>
      <c r="R486" s="117"/>
      <c r="T486" s="117"/>
      <c r="V486" s="117"/>
      <c r="X486" s="117"/>
      <c r="Y486" s="10"/>
      <c r="Z486" s="11"/>
      <c r="AA486" s="36"/>
      <c r="AB486" s="36"/>
      <c r="AC486" s="13"/>
      <c r="AD486" s="13"/>
      <c r="AE486" s="37"/>
      <c r="AF486" s="37"/>
      <c r="AG486" s="14"/>
      <c r="AH486" s="14"/>
      <c r="AI486" s="14"/>
      <c r="AZ486" s="24"/>
    </row>
    <row r="487">
      <c r="B487" s="24"/>
      <c r="E487" s="113"/>
      <c r="F487" s="266"/>
      <c r="G487" s="113"/>
      <c r="K487" s="36"/>
      <c r="L487" s="117"/>
      <c r="M487" s="128"/>
      <c r="N487" s="117"/>
      <c r="R487" s="117"/>
      <c r="T487" s="117"/>
      <c r="V487" s="117"/>
      <c r="X487" s="117"/>
      <c r="Y487" s="10"/>
      <c r="Z487" s="11"/>
      <c r="AA487" s="36"/>
      <c r="AB487" s="36"/>
      <c r="AC487" s="13"/>
      <c r="AD487" s="13"/>
      <c r="AE487" s="37"/>
      <c r="AF487" s="37"/>
      <c r="AG487" s="14"/>
      <c r="AH487" s="14"/>
      <c r="AI487" s="14"/>
      <c r="AZ487" s="24"/>
    </row>
    <row r="488">
      <c r="B488" s="24"/>
      <c r="E488" s="113"/>
      <c r="F488" s="266"/>
      <c r="G488" s="113"/>
      <c r="K488" s="36"/>
      <c r="L488" s="117"/>
      <c r="M488" s="128"/>
      <c r="N488" s="117"/>
      <c r="R488" s="117"/>
      <c r="T488" s="117"/>
      <c r="V488" s="117"/>
      <c r="X488" s="117"/>
      <c r="Y488" s="10"/>
      <c r="Z488" s="11"/>
      <c r="AA488" s="36"/>
      <c r="AB488" s="36"/>
      <c r="AC488" s="13"/>
      <c r="AD488" s="13"/>
      <c r="AE488" s="37"/>
      <c r="AF488" s="37"/>
      <c r="AG488" s="14"/>
      <c r="AH488" s="14"/>
      <c r="AI488" s="14"/>
      <c r="AZ488" s="24"/>
    </row>
    <row r="489">
      <c r="B489" s="24"/>
      <c r="E489" s="113"/>
      <c r="F489" s="266"/>
      <c r="G489" s="113"/>
      <c r="K489" s="36"/>
      <c r="L489" s="117"/>
      <c r="M489" s="128"/>
      <c r="N489" s="117"/>
      <c r="R489" s="117"/>
      <c r="T489" s="117"/>
      <c r="V489" s="117"/>
      <c r="X489" s="117"/>
      <c r="Y489" s="10"/>
      <c r="Z489" s="11"/>
      <c r="AA489" s="36"/>
      <c r="AB489" s="36"/>
      <c r="AC489" s="13"/>
      <c r="AD489" s="13"/>
      <c r="AE489" s="37"/>
      <c r="AF489" s="37"/>
      <c r="AG489" s="14"/>
      <c r="AH489" s="14"/>
      <c r="AI489" s="14"/>
      <c r="AZ489" s="24"/>
    </row>
    <row r="490">
      <c r="B490" s="24"/>
      <c r="E490" s="113"/>
      <c r="F490" s="266"/>
      <c r="G490" s="113"/>
      <c r="K490" s="36"/>
      <c r="L490" s="117"/>
      <c r="M490" s="128"/>
      <c r="N490" s="117"/>
      <c r="R490" s="117"/>
      <c r="T490" s="117"/>
      <c r="V490" s="117"/>
      <c r="X490" s="117"/>
      <c r="Y490" s="10"/>
      <c r="Z490" s="11"/>
      <c r="AA490" s="36"/>
      <c r="AB490" s="36"/>
      <c r="AC490" s="13"/>
      <c r="AD490" s="13"/>
      <c r="AE490" s="37"/>
      <c r="AF490" s="37"/>
      <c r="AG490" s="14"/>
      <c r="AH490" s="14"/>
      <c r="AI490" s="14"/>
      <c r="AZ490" s="24"/>
    </row>
    <row r="491">
      <c r="B491" s="24"/>
      <c r="E491" s="113"/>
      <c r="F491" s="266"/>
      <c r="G491" s="113"/>
      <c r="K491" s="36"/>
      <c r="L491" s="117"/>
      <c r="M491" s="128"/>
      <c r="N491" s="117"/>
      <c r="R491" s="117"/>
      <c r="T491" s="117"/>
      <c r="V491" s="117"/>
      <c r="X491" s="117"/>
      <c r="Y491" s="10"/>
      <c r="Z491" s="11"/>
      <c r="AA491" s="36"/>
      <c r="AB491" s="36"/>
      <c r="AC491" s="13"/>
      <c r="AD491" s="13"/>
      <c r="AE491" s="37"/>
      <c r="AF491" s="37"/>
      <c r="AG491" s="14"/>
      <c r="AH491" s="14"/>
      <c r="AI491" s="14"/>
      <c r="AZ491" s="24"/>
    </row>
    <row r="492">
      <c r="B492" s="24"/>
      <c r="E492" s="113"/>
      <c r="F492" s="266"/>
      <c r="G492" s="113"/>
      <c r="K492" s="36"/>
      <c r="L492" s="117"/>
      <c r="M492" s="128"/>
      <c r="N492" s="117"/>
      <c r="R492" s="117"/>
      <c r="T492" s="117"/>
      <c r="V492" s="117"/>
      <c r="X492" s="117"/>
      <c r="Y492" s="10"/>
      <c r="Z492" s="11"/>
      <c r="AA492" s="36"/>
      <c r="AB492" s="36"/>
      <c r="AC492" s="13"/>
      <c r="AD492" s="13"/>
      <c r="AE492" s="37"/>
      <c r="AF492" s="37"/>
      <c r="AG492" s="14"/>
      <c r="AH492" s="14"/>
      <c r="AI492" s="14"/>
      <c r="AZ492" s="24"/>
    </row>
    <row r="493">
      <c r="B493" s="24"/>
      <c r="E493" s="113"/>
      <c r="F493" s="266"/>
      <c r="G493" s="113"/>
      <c r="K493" s="36"/>
      <c r="L493" s="117"/>
      <c r="M493" s="128"/>
      <c r="N493" s="117"/>
      <c r="R493" s="117"/>
      <c r="T493" s="117"/>
      <c r="V493" s="117"/>
      <c r="X493" s="117"/>
      <c r="Y493" s="10"/>
      <c r="Z493" s="11"/>
      <c r="AA493" s="36"/>
      <c r="AB493" s="36"/>
      <c r="AC493" s="13"/>
      <c r="AD493" s="13"/>
      <c r="AE493" s="37"/>
      <c r="AF493" s="37"/>
      <c r="AG493" s="14"/>
      <c r="AH493" s="14"/>
      <c r="AI493" s="14"/>
      <c r="AZ493" s="24"/>
    </row>
    <row r="494">
      <c r="B494" s="24"/>
      <c r="E494" s="113"/>
      <c r="F494" s="266"/>
      <c r="G494" s="113"/>
      <c r="K494" s="36"/>
      <c r="L494" s="117"/>
      <c r="M494" s="128"/>
      <c r="N494" s="117"/>
      <c r="R494" s="117"/>
      <c r="T494" s="117"/>
      <c r="V494" s="117"/>
      <c r="X494" s="117"/>
      <c r="Y494" s="10"/>
      <c r="Z494" s="11"/>
      <c r="AA494" s="36"/>
      <c r="AB494" s="36"/>
      <c r="AC494" s="13"/>
      <c r="AD494" s="13"/>
      <c r="AE494" s="37"/>
      <c r="AF494" s="37"/>
      <c r="AG494" s="14"/>
      <c r="AH494" s="14"/>
      <c r="AI494" s="14"/>
      <c r="AZ494" s="24"/>
    </row>
    <row r="495">
      <c r="B495" s="24"/>
      <c r="E495" s="113"/>
      <c r="F495" s="266"/>
      <c r="G495" s="113"/>
      <c r="K495" s="36"/>
      <c r="L495" s="117"/>
      <c r="M495" s="128"/>
      <c r="N495" s="117"/>
      <c r="R495" s="117"/>
      <c r="T495" s="117"/>
      <c r="V495" s="117"/>
      <c r="X495" s="117"/>
      <c r="Y495" s="10"/>
      <c r="Z495" s="11"/>
      <c r="AA495" s="36"/>
      <c r="AB495" s="36"/>
      <c r="AC495" s="13"/>
      <c r="AD495" s="13"/>
      <c r="AE495" s="37"/>
      <c r="AF495" s="37"/>
      <c r="AG495" s="14"/>
      <c r="AH495" s="14"/>
      <c r="AI495" s="14"/>
      <c r="AZ495" s="24"/>
    </row>
    <row r="496">
      <c r="B496" s="24"/>
      <c r="E496" s="113"/>
      <c r="F496" s="266"/>
      <c r="G496" s="113"/>
      <c r="K496" s="36"/>
      <c r="L496" s="117"/>
      <c r="M496" s="128"/>
      <c r="N496" s="117"/>
      <c r="R496" s="117"/>
      <c r="T496" s="117"/>
      <c r="V496" s="117"/>
      <c r="X496" s="117"/>
      <c r="Y496" s="10"/>
      <c r="Z496" s="11"/>
      <c r="AA496" s="36"/>
      <c r="AB496" s="36"/>
      <c r="AC496" s="13"/>
      <c r="AD496" s="13"/>
      <c r="AE496" s="37"/>
      <c r="AF496" s="37"/>
      <c r="AG496" s="14"/>
      <c r="AH496" s="14"/>
      <c r="AI496" s="14"/>
      <c r="AZ496" s="24"/>
    </row>
    <row r="497">
      <c r="B497" s="24"/>
      <c r="E497" s="113"/>
      <c r="F497" s="266"/>
      <c r="G497" s="113"/>
      <c r="K497" s="36"/>
      <c r="L497" s="117"/>
      <c r="M497" s="128"/>
      <c r="N497" s="117"/>
      <c r="R497" s="117"/>
      <c r="T497" s="117"/>
      <c r="V497" s="117"/>
      <c r="X497" s="117"/>
      <c r="Y497" s="10"/>
      <c r="Z497" s="11"/>
      <c r="AA497" s="36"/>
      <c r="AB497" s="36"/>
      <c r="AC497" s="13"/>
      <c r="AD497" s="13"/>
      <c r="AE497" s="37"/>
      <c r="AF497" s="37"/>
      <c r="AG497" s="14"/>
      <c r="AH497" s="14"/>
      <c r="AI497" s="14"/>
      <c r="AZ497" s="24"/>
    </row>
    <row r="498">
      <c r="B498" s="24"/>
      <c r="E498" s="113"/>
      <c r="F498" s="266"/>
      <c r="G498" s="113"/>
      <c r="K498" s="36"/>
      <c r="L498" s="117"/>
      <c r="M498" s="128"/>
      <c r="N498" s="117"/>
      <c r="R498" s="117"/>
      <c r="T498" s="117"/>
      <c r="V498" s="117"/>
      <c r="X498" s="117"/>
      <c r="Y498" s="10"/>
      <c r="Z498" s="11"/>
      <c r="AA498" s="36"/>
      <c r="AB498" s="36"/>
      <c r="AC498" s="13"/>
      <c r="AD498" s="13"/>
      <c r="AE498" s="37"/>
      <c r="AF498" s="37"/>
      <c r="AG498" s="14"/>
      <c r="AH498" s="14"/>
      <c r="AI498" s="14"/>
      <c r="AZ498" s="24"/>
    </row>
    <row r="499">
      <c r="B499" s="24"/>
      <c r="E499" s="113"/>
      <c r="F499" s="266"/>
      <c r="G499" s="113"/>
      <c r="K499" s="36"/>
      <c r="L499" s="117"/>
      <c r="M499" s="128"/>
      <c r="N499" s="117"/>
      <c r="R499" s="117"/>
      <c r="T499" s="117"/>
      <c r="V499" s="117"/>
      <c r="X499" s="117"/>
      <c r="Y499" s="10"/>
      <c r="Z499" s="11"/>
      <c r="AA499" s="36"/>
      <c r="AB499" s="36"/>
      <c r="AC499" s="13"/>
      <c r="AD499" s="13"/>
      <c r="AE499" s="37"/>
      <c r="AF499" s="37"/>
      <c r="AG499" s="14"/>
      <c r="AH499" s="14"/>
      <c r="AI499" s="14"/>
      <c r="AZ499" s="24"/>
    </row>
    <row r="500">
      <c r="B500" s="24"/>
      <c r="E500" s="113"/>
      <c r="F500" s="266"/>
      <c r="G500" s="113"/>
      <c r="K500" s="36"/>
      <c r="L500" s="117"/>
      <c r="M500" s="128"/>
      <c r="N500" s="117"/>
      <c r="R500" s="117"/>
      <c r="T500" s="117"/>
      <c r="V500" s="117"/>
      <c r="X500" s="117"/>
      <c r="Y500" s="10"/>
      <c r="Z500" s="11"/>
      <c r="AA500" s="36"/>
      <c r="AB500" s="36"/>
      <c r="AC500" s="13"/>
      <c r="AD500" s="13"/>
      <c r="AE500" s="37"/>
      <c r="AF500" s="37"/>
      <c r="AG500" s="14"/>
      <c r="AH500" s="14"/>
      <c r="AI500" s="14"/>
      <c r="AZ500" s="24"/>
    </row>
    <row r="501">
      <c r="B501" s="24"/>
      <c r="E501" s="113"/>
      <c r="F501" s="266"/>
      <c r="G501" s="113"/>
      <c r="K501" s="36"/>
      <c r="L501" s="117"/>
      <c r="M501" s="128"/>
      <c r="N501" s="117"/>
      <c r="R501" s="117"/>
      <c r="T501" s="117"/>
      <c r="V501" s="117"/>
      <c r="X501" s="117"/>
      <c r="Y501" s="10"/>
      <c r="Z501" s="11"/>
      <c r="AA501" s="36"/>
      <c r="AB501" s="36"/>
      <c r="AC501" s="13"/>
      <c r="AD501" s="13"/>
      <c r="AE501" s="37"/>
      <c r="AF501" s="37"/>
      <c r="AG501" s="14"/>
      <c r="AH501" s="14"/>
      <c r="AI501" s="14"/>
      <c r="AZ501" s="24"/>
    </row>
    <row r="502">
      <c r="B502" s="24"/>
      <c r="E502" s="113"/>
      <c r="F502" s="266"/>
      <c r="G502" s="113"/>
      <c r="K502" s="36"/>
      <c r="L502" s="117"/>
      <c r="M502" s="128"/>
      <c r="N502" s="117"/>
      <c r="R502" s="117"/>
      <c r="T502" s="117"/>
      <c r="V502" s="117"/>
      <c r="X502" s="117"/>
      <c r="Y502" s="10"/>
      <c r="Z502" s="11"/>
      <c r="AA502" s="36"/>
      <c r="AB502" s="36"/>
      <c r="AC502" s="13"/>
      <c r="AD502" s="13"/>
      <c r="AE502" s="37"/>
      <c r="AF502" s="37"/>
      <c r="AG502" s="14"/>
      <c r="AH502" s="14"/>
      <c r="AI502" s="14"/>
      <c r="AZ502" s="24"/>
    </row>
    <row r="503">
      <c r="B503" s="24"/>
      <c r="E503" s="113"/>
      <c r="F503" s="266"/>
      <c r="G503" s="113"/>
      <c r="K503" s="36"/>
      <c r="L503" s="117"/>
      <c r="M503" s="128"/>
      <c r="N503" s="117"/>
      <c r="R503" s="117"/>
      <c r="T503" s="117"/>
      <c r="V503" s="117"/>
      <c r="X503" s="117"/>
      <c r="Y503" s="10"/>
      <c r="Z503" s="11"/>
      <c r="AA503" s="36"/>
      <c r="AB503" s="36"/>
      <c r="AC503" s="13"/>
      <c r="AD503" s="13"/>
      <c r="AE503" s="37"/>
      <c r="AF503" s="37"/>
      <c r="AG503" s="14"/>
      <c r="AH503" s="14"/>
      <c r="AI503" s="14"/>
      <c r="AZ503" s="24"/>
    </row>
    <row r="504">
      <c r="B504" s="24"/>
      <c r="E504" s="113"/>
      <c r="F504" s="266"/>
      <c r="G504" s="113"/>
      <c r="K504" s="36"/>
      <c r="L504" s="117"/>
      <c r="M504" s="128"/>
      <c r="N504" s="117"/>
      <c r="R504" s="117"/>
      <c r="T504" s="117"/>
      <c r="V504" s="117"/>
      <c r="X504" s="117"/>
      <c r="Y504" s="10"/>
      <c r="Z504" s="11"/>
      <c r="AA504" s="36"/>
      <c r="AB504" s="36"/>
      <c r="AC504" s="13"/>
      <c r="AD504" s="13"/>
      <c r="AE504" s="37"/>
      <c r="AF504" s="37"/>
      <c r="AG504" s="14"/>
      <c r="AH504" s="14"/>
      <c r="AI504" s="14"/>
      <c r="AZ504" s="24"/>
    </row>
    <row r="505">
      <c r="B505" s="24"/>
      <c r="E505" s="113"/>
      <c r="F505" s="266"/>
      <c r="G505" s="113"/>
      <c r="K505" s="36"/>
      <c r="L505" s="117"/>
      <c r="M505" s="128"/>
      <c r="N505" s="117"/>
      <c r="R505" s="117"/>
      <c r="T505" s="117"/>
      <c r="V505" s="117"/>
      <c r="X505" s="117"/>
      <c r="Y505" s="10"/>
      <c r="Z505" s="11"/>
      <c r="AA505" s="36"/>
      <c r="AB505" s="36"/>
      <c r="AC505" s="13"/>
      <c r="AD505" s="13"/>
      <c r="AE505" s="37"/>
      <c r="AF505" s="37"/>
      <c r="AG505" s="14"/>
      <c r="AH505" s="14"/>
      <c r="AI505" s="14"/>
      <c r="AZ505" s="24"/>
    </row>
    <row r="506">
      <c r="B506" s="24"/>
      <c r="E506" s="113"/>
      <c r="F506" s="266"/>
      <c r="G506" s="113"/>
      <c r="K506" s="36"/>
      <c r="L506" s="117"/>
      <c r="M506" s="128"/>
      <c r="N506" s="117"/>
      <c r="R506" s="117"/>
      <c r="T506" s="117"/>
      <c r="V506" s="117"/>
      <c r="X506" s="117"/>
      <c r="Y506" s="10"/>
      <c r="Z506" s="11"/>
      <c r="AA506" s="36"/>
      <c r="AB506" s="36"/>
      <c r="AC506" s="13"/>
      <c r="AD506" s="13"/>
      <c r="AE506" s="37"/>
      <c r="AF506" s="37"/>
      <c r="AG506" s="14"/>
      <c r="AH506" s="14"/>
      <c r="AI506" s="14"/>
      <c r="AZ506" s="24"/>
    </row>
    <row r="507">
      <c r="B507" s="24"/>
      <c r="E507" s="113"/>
      <c r="F507" s="266"/>
      <c r="G507" s="113"/>
      <c r="K507" s="36"/>
      <c r="L507" s="117"/>
      <c r="M507" s="128"/>
      <c r="N507" s="117"/>
      <c r="R507" s="117"/>
      <c r="T507" s="117"/>
      <c r="V507" s="117"/>
      <c r="X507" s="117"/>
      <c r="Y507" s="10"/>
      <c r="Z507" s="11"/>
      <c r="AA507" s="36"/>
      <c r="AB507" s="36"/>
      <c r="AC507" s="13"/>
      <c r="AD507" s="13"/>
      <c r="AE507" s="37"/>
      <c r="AF507" s="37"/>
      <c r="AG507" s="14"/>
      <c r="AH507" s="14"/>
      <c r="AI507" s="14"/>
      <c r="AZ507" s="24"/>
    </row>
    <row r="508">
      <c r="B508" s="24"/>
      <c r="E508" s="113"/>
      <c r="F508" s="266"/>
      <c r="G508" s="113"/>
      <c r="K508" s="36"/>
      <c r="L508" s="117"/>
      <c r="M508" s="128"/>
      <c r="N508" s="117"/>
      <c r="R508" s="117"/>
      <c r="T508" s="117"/>
      <c r="V508" s="117"/>
      <c r="X508" s="117"/>
      <c r="Y508" s="10"/>
      <c r="Z508" s="11"/>
      <c r="AA508" s="36"/>
      <c r="AB508" s="36"/>
      <c r="AC508" s="13"/>
      <c r="AD508" s="13"/>
      <c r="AE508" s="37"/>
      <c r="AF508" s="37"/>
      <c r="AG508" s="14"/>
      <c r="AH508" s="14"/>
      <c r="AI508" s="14"/>
      <c r="AZ508" s="24"/>
    </row>
    <row r="509">
      <c r="B509" s="24"/>
      <c r="E509" s="113"/>
      <c r="F509" s="266"/>
      <c r="G509" s="113"/>
      <c r="K509" s="36"/>
      <c r="L509" s="117"/>
      <c r="M509" s="128"/>
      <c r="N509" s="117"/>
      <c r="R509" s="117"/>
      <c r="T509" s="117"/>
      <c r="V509" s="117"/>
      <c r="X509" s="117"/>
      <c r="Y509" s="10"/>
      <c r="Z509" s="11"/>
      <c r="AA509" s="36"/>
      <c r="AB509" s="36"/>
      <c r="AC509" s="13"/>
      <c r="AD509" s="13"/>
      <c r="AE509" s="37"/>
      <c r="AF509" s="37"/>
      <c r="AG509" s="14"/>
      <c r="AH509" s="14"/>
      <c r="AI509" s="14"/>
      <c r="AZ509" s="24"/>
    </row>
    <row r="510">
      <c r="B510" s="24"/>
      <c r="E510" s="113"/>
      <c r="F510" s="266"/>
      <c r="G510" s="113"/>
      <c r="K510" s="36"/>
      <c r="L510" s="117"/>
      <c r="M510" s="128"/>
      <c r="N510" s="117"/>
      <c r="R510" s="117"/>
      <c r="T510" s="117"/>
      <c r="V510" s="117"/>
      <c r="X510" s="117"/>
      <c r="Y510" s="10"/>
      <c r="Z510" s="11"/>
      <c r="AA510" s="36"/>
      <c r="AB510" s="36"/>
      <c r="AC510" s="13"/>
      <c r="AD510" s="13"/>
      <c r="AE510" s="37"/>
      <c r="AF510" s="37"/>
      <c r="AG510" s="14"/>
      <c r="AH510" s="14"/>
      <c r="AI510" s="14"/>
      <c r="AZ510" s="24"/>
    </row>
    <row r="511">
      <c r="B511" s="24"/>
      <c r="E511" s="113"/>
      <c r="F511" s="266"/>
      <c r="G511" s="113"/>
      <c r="K511" s="36"/>
      <c r="L511" s="117"/>
      <c r="M511" s="128"/>
      <c r="N511" s="117"/>
      <c r="R511" s="117"/>
      <c r="T511" s="117"/>
      <c r="V511" s="117"/>
      <c r="X511" s="117"/>
      <c r="Y511" s="10"/>
      <c r="Z511" s="11"/>
      <c r="AA511" s="36"/>
      <c r="AB511" s="36"/>
      <c r="AC511" s="13"/>
      <c r="AD511" s="13"/>
      <c r="AE511" s="37"/>
      <c r="AF511" s="37"/>
      <c r="AG511" s="14"/>
      <c r="AH511" s="14"/>
      <c r="AI511" s="14"/>
      <c r="AZ511" s="24"/>
    </row>
    <row r="512">
      <c r="B512" s="24"/>
      <c r="E512" s="113"/>
      <c r="F512" s="266"/>
      <c r="G512" s="113"/>
      <c r="K512" s="36"/>
      <c r="L512" s="117"/>
      <c r="M512" s="128"/>
      <c r="N512" s="117"/>
      <c r="R512" s="117"/>
      <c r="T512" s="117"/>
      <c r="V512" s="117"/>
      <c r="X512" s="117"/>
      <c r="Y512" s="10"/>
      <c r="Z512" s="11"/>
      <c r="AA512" s="36"/>
      <c r="AB512" s="36"/>
      <c r="AC512" s="13"/>
      <c r="AD512" s="13"/>
      <c r="AE512" s="37"/>
      <c r="AF512" s="37"/>
      <c r="AG512" s="14"/>
      <c r="AH512" s="14"/>
      <c r="AI512" s="14"/>
      <c r="AZ512" s="24"/>
    </row>
    <row r="513">
      <c r="B513" s="24"/>
      <c r="E513" s="113"/>
      <c r="F513" s="266"/>
      <c r="G513" s="113"/>
      <c r="K513" s="36"/>
      <c r="L513" s="117"/>
      <c r="M513" s="128"/>
      <c r="N513" s="117"/>
      <c r="R513" s="117"/>
      <c r="T513" s="117"/>
      <c r="V513" s="117"/>
      <c r="X513" s="117"/>
      <c r="Y513" s="10"/>
      <c r="Z513" s="11"/>
      <c r="AA513" s="36"/>
      <c r="AB513" s="36"/>
      <c r="AC513" s="13"/>
      <c r="AD513" s="13"/>
      <c r="AE513" s="37"/>
      <c r="AF513" s="37"/>
      <c r="AG513" s="14"/>
      <c r="AH513" s="14"/>
      <c r="AI513" s="14"/>
      <c r="AZ513" s="24"/>
    </row>
    <row r="514">
      <c r="B514" s="24"/>
      <c r="E514" s="113"/>
      <c r="F514" s="266"/>
      <c r="G514" s="113"/>
      <c r="K514" s="36"/>
      <c r="L514" s="117"/>
      <c r="M514" s="128"/>
      <c r="N514" s="117"/>
      <c r="R514" s="117"/>
      <c r="T514" s="117"/>
      <c r="V514" s="117"/>
      <c r="X514" s="117"/>
      <c r="Y514" s="10"/>
      <c r="Z514" s="11"/>
      <c r="AA514" s="36"/>
      <c r="AB514" s="36"/>
      <c r="AC514" s="13"/>
      <c r="AD514" s="13"/>
      <c r="AE514" s="37"/>
      <c r="AF514" s="37"/>
      <c r="AG514" s="14"/>
      <c r="AH514" s="14"/>
      <c r="AI514" s="14"/>
      <c r="AZ514" s="24"/>
    </row>
    <row r="515">
      <c r="B515" s="24"/>
      <c r="E515" s="113"/>
      <c r="F515" s="266"/>
      <c r="G515" s="113"/>
      <c r="K515" s="36"/>
      <c r="L515" s="117"/>
      <c r="M515" s="128"/>
      <c r="N515" s="117"/>
      <c r="R515" s="117"/>
      <c r="T515" s="117"/>
      <c r="V515" s="117"/>
      <c r="X515" s="117"/>
      <c r="Y515" s="10"/>
      <c r="Z515" s="11"/>
      <c r="AA515" s="36"/>
      <c r="AB515" s="36"/>
      <c r="AC515" s="13"/>
      <c r="AD515" s="13"/>
      <c r="AE515" s="37"/>
      <c r="AF515" s="37"/>
      <c r="AG515" s="14"/>
      <c r="AH515" s="14"/>
      <c r="AI515" s="14"/>
      <c r="AZ515" s="24"/>
    </row>
    <row r="516">
      <c r="B516" s="24"/>
      <c r="E516" s="113"/>
      <c r="F516" s="266"/>
      <c r="G516" s="113"/>
      <c r="K516" s="36"/>
      <c r="L516" s="117"/>
      <c r="M516" s="128"/>
      <c r="N516" s="117"/>
      <c r="R516" s="117"/>
      <c r="T516" s="117"/>
      <c r="V516" s="117"/>
      <c r="X516" s="117"/>
      <c r="Y516" s="10"/>
      <c r="Z516" s="11"/>
      <c r="AA516" s="36"/>
      <c r="AB516" s="36"/>
      <c r="AC516" s="13"/>
      <c r="AD516" s="13"/>
      <c r="AE516" s="37"/>
      <c r="AF516" s="37"/>
      <c r="AG516" s="14"/>
      <c r="AH516" s="14"/>
      <c r="AI516" s="14"/>
      <c r="AZ516" s="24"/>
    </row>
    <row r="517">
      <c r="B517" s="24"/>
      <c r="E517" s="113"/>
      <c r="F517" s="266"/>
      <c r="G517" s="113"/>
      <c r="K517" s="36"/>
      <c r="L517" s="117"/>
      <c r="M517" s="128"/>
      <c r="N517" s="117"/>
      <c r="R517" s="117"/>
      <c r="T517" s="117"/>
      <c r="V517" s="117"/>
      <c r="X517" s="117"/>
      <c r="Y517" s="10"/>
      <c r="Z517" s="11"/>
      <c r="AA517" s="36"/>
      <c r="AB517" s="36"/>
      <c r="AC517" s="13"/>
      <c r="AD517" s="13"/>
      <c r="AE517" s="37"/>
      <c r="AF517" s="37"/>
      <c r="AG517" s="14"/>
      <c r="AH517" s="14"/>
      <c r="AI517" s="14"/>
      <c r="AZ517" s="24"/>
    </row>
    <row r="518">
      <c r="B518" s="24"/>
      <c r="E518" s="113"/>
      <c r="F518" s="266"/>
      <c r="G518" s="113"/>
      <c r="K518" s="36"/>
      <c r="L518" s="117"/>
      <c r="M518" s="128"/>
      <c r="N518" s="117"/>
      <c r="R518" s="117"/>
      <c r="T518" s="117"/>
      <c r="V518" s="117"/>
      <c r="X518" s="117"/>
      <c r="Y518" s="10"/>
      <c r="Z518" s="11"/>
      <c r="AA518" s="36"/>
      <c r="AB518" s="36"/>
      <c r="AC518" s="13"/>
      <c r="AD518" s="13"/>
      <c r="AE518" s="37"/>
      <c r="AF518" s="37"/>
      <c r="AG518" s="14"/>
      <c r="AH518" s="14"/>
      <c r="AI518" s="14"/>
      <c r="AZ518" s="24"/>
    </row>
    <row r="519">
      <c r="B519" s="24"/>
      <c r="E519" s="113"/>
      <c r="F519" s="266"/>
      <c r="G519" s="113"/>
      <c r="K519" s="36"/>
      <c r="L519" s="117"/>
      <c r="M519" s="128"/>
      <c r="N519" s="117"/>
      <c r="R519" s="117"/>
      <c r="T519" s="117"/>
      <c r="V519" s="117"/>
      <c r="X519" s="117"/>
      <c r="Y519" s="10"/>
      <c r="Z519" s="11"/>
      <c r="AA519" s="36"/>
      <c r="AB519" s="36"/>
      <c r="AC519" s="13"/>
      <c r="AD519" s="13"/>
      <c r="AE519" s="37"/>
      <c r="AF519" s="37"/>
      <c r="AG519" s="14"/>
      <c r="AH519" s="14"/>
      <c r="AI519" s="14"/>
      <c r="AZ519" s="24"/>
    </row>
    <row r="520">
      <c r="B520" s="24"/>
      <c r="E520" s="113"/>
      <c r="F520" s="266"/>
      <c r="G520" s="113"/>
      <c r="K520" s="36"/>
      <c r="L520" s="117"/>
      <c r="M520" s="128"/>
      <c r="N520" s="117"/>
      <c r="R520" s="117"/>
      <c r="T520" s="117"/>
      <c r="V520" s="117"/>
      <c r="X520" s="117"/>
      <c r="Y520" s="10"/>
      <c r="Z520" s="11"/>
      <c r="AA520" s="36"/>
      <c r="AB520" s="36"/>
      <c r="AC520" s="13"/>
      <c r="AD520" s="13"/>
      <c r="AE520" s="37"/>
      <c r="AF520" s="37"/>
      <c r="AG520" s="14"/>
      <c r="AH520" s="14"/>
      <c r="AI520" s="14"/>
      <c r="AZ520" s="24"/>
    </row>
    <row r="521">
      <c r="B521" s="24"/>
      <c r="E521" s="113"/>
      <c r="F521" s="266"/>
      <c r="G521" s="113"/>
      <c r="K521" s="36"/>
      <c r="L521" s="117"/>
      <c r="M521" s="128"/>
      <c r="N521" s="117"/>
      <c r="R521" s="117"/>
      <c r="T521" s="117"/>
      <c r="V521" s="117"/>
      <c r="X521" s="117"/>
      <c r="Y521" s="10"/>
      <c r="Z521" s="11"/>
      <c r="AA521" s="36"/>
      <c r="AB521" s="36"/>
      <c r="AC521" s="13"/>
      <c r="AD521" s="13"/>
      <c r="AE521" s="37"/>
      <c r="AF521" s="37"/>
      <c r="AG521" s="14"/>
      <c r="AH521" s="14"/>
      <c r="AI521" s="14"/>
      <c r="AZ521" s="24"/>
    </row>
    <row r="522">
      <c r="B522" s="24"/>
      <c r="E522" s="113"/>
      <c r="F522" s="266"/>
      <c r="G522" s="113"/>
      <c r="K522" s="36"/>
      <c r="L522" s="117"/>
      <c r="M522" s="128"/>
      <c r="N522" s="117"/>
      <c r="R522" s="117"/>
      <c r="T522" s="117"/>
      <c r="V522" s="117"/>
      <c r="X522" s="117"/>
      <c r="Y522" s="10"/>
      <c r="Z522" s="11"/>
      <c r="AA522" s="36"/>
      <c r="AB522" s="36"/>
      <c r="AC522" s="13"/>
      <c r="AD522" s="13"/>
      <c r="AE522" s="37"/>
      <c r="AF522" s="37"/>
      <c r="AG522" s="14"/>
      <c r="AH522" s="14"/>
      <c r="AI522" s="14"/>
      <c r="AZ522" s="24"/>
    </row>
    <row r="523">
      <c r="B523" s="24"/>
      <c r="E523" s="113"/>
      <c r="F523" s="266"/>
      <c r="G523" s="113"/>
      <c r="K523" s="36"/>
      <c r="L523" s="117"/>
      <c r="M523" s="128"/>
      <c r="N523" s="117"/>
      <c r="R523" s="117"/>
      <c r="T523" s="117"/>
      <c r="V523" s="117"/>
      <c r="X523" s="117"/>
      <c r="Y523" s="10"/>
      <c r="Z523" s="11"/>
      <c r="AA523" s="36"/>
      <c r="AB523" s="36"/>
      <c r="AC523" s="13"/>
      <c r="AD523" s="13"/>
      <c r="AE523" s="37"/>
      <c r="AF523" s="37"/>
      <c r="AG523" s="14"/>
      <c r="AH523" s="14"/>
      <c r="AI523" s="14"/>
      <c r="AZ523" s="24"/>
    </row>
    <row r="524">
      <c r="B524" s="24"/>
      <c r="E524" s="113"/>
      <c r="F524" s="266"/>
      <c r="G524" s="113"/>
      <c r="K524" s="36"/>
      <c r="L524" s="117"/>
      <c r="M524" s="128"/>
      <c r="N524" s="117"/>
      <c r="R524" s="117"/>
      <c r="T524" s="117"/>
      <c r="V524" s="117"/>
      <c r="X524" s="117"/>
      <c r="Y524" s="10"/>
      <c r="Z524" s="11"/>
      <c r="AA524" s="36"/>
      <c r="AB524" s="36"/>
      <c r="AC524" s="13"/>
      <c r="AD524" s="13"/>
      <c r="AE524" s="37"/>
      <c r="AF524" s="37"/>
      <c r="AG524" s="14"/>
      <c r="AH524" s="14"/>
      <c r="AI524" s="14"/>
      <c r="AZ524" s="24"/>
    </row>
    <row r="525">
      <c r="B525" s="24"/>
      <c r="E525" s="113"/>
      <c r="F525" s="266"/>
      <c r="G525" s="113"/>
      <c r="K525" s="36"/>
      <c r="L525" s="117"/>
      <c r="M525" s="128"/>
      <c r="N525" s="117"/>
      <c r="R525" s="117"/>
      <c r="T525" s="117"/>
      <c r="V525" s="117"/>
      <c r="X525" s="117"/>
      <c r="Y525" s="10"/>
      <c r="Z525" s="11"/>
      <c r="AA525" s="36"/>
      <c r="AB525" s="36"/>
      <c r="AC525" s="13"/>
      <c r="AD525" s="13"/>
      <c r="AE525" s="37"/>
      <c r="AF525" s="37"/>
      <c r="AG525" s="14"/>
      <c r="AH525" s="14"/>
      <c r="AI525" s="14"/>
      <c r="AZ525" s="24"/>
    </row>
    <row r="526">
      <c r="B526" s="24"/>
      <c r="E526" s="113"/>
      <c r="F526" s="266"/>
      <c r="G526" s="113"/>
      <c r="K526" s="36"/>
      <c r="L526" s="117"/>
      <c r="M526" s="128"/>
      <c r="N526" s="117"/>
      <c r="R526" s="117"/>
      <c r="T526" s="117"/>
      <c r="V526" s="117"/>
      <c r="X526" s="117"/>
      <c r="Y526" s="10"/>
      <c r="Z526" s="11"/>
      <c r="AA526" s="36"/>
      <c r="AB526" s="36"/>
      <c r="AC526" s="13"/>
      <c r="AD526" s="13"/>
      <c r="AE526" s="37"/>
      <c r="AF526" s="37"/>
      <c r="AG526" s="14"/>
      <c r="AH526" s="14"/>
      <c r="AI526" s="14"/>
      <c r="AZ526" s="24"/>
    </row>
    <row r="527">
      <c r="B527" s="24"/>
      <c r="E527" s="113"/>
      <c r="F527" s="266"/>
      <c r="G527" s="113"/>
      <c r="K527" s="36"/>
      <c r="L527" s="117"/>
      <c r="M527" s="128"/>
      <c r="N527" s="117"/>
      <c r="R527" s="117"/>
      <c r="T527" s="117"/>
      <c r="V527" s="117"/>
      <c r="X527" s="117"/>
      <c r="Y527" s="10"/>
      <c r="Z527" s="11"/>
      <c r="AA527" s="36"/>
      <c r="AB527" s="36"/>
      <c r="AC527" s="13"/>
      <c r="AD527" s="13"/>
      <c r="AE527" s="37"/>
      <c r="AF527" s="37"/>
      <c r="AG527" s="14"/>
      <c r="AH527" s="14"/>
      <c r="AI527" s="14"/>
      <c r="AZ527" s="24"/>
    </row>
    <row r="528">
      <c r="B528" s="24"/>
      <c r="E528" s="113"/>
      <c r="F528" s="266"/>
      <c r="G528" s="113"/>
      <c r="K528" s="36"/>
      <c r="L528" s="117"/>
      <c r="M528" s="128"/>
      <c r="N528" s="117"/>
      <c r="R528" s="117"/>
      <c r="T528" s="117"/>
      <c r="V528" s="117"/>
      <c r="X528" s="117"/>
      <c r="Y528" s="10"/>
      <c r="Z528" s="11"/>
      <c r="AA528" s="36"/>
      <c r="AB528" s="36"/>
      <c r="AC528" s="13"/>
      <c r="AD528" s="13"/>
      <c r="AE528" s="37"/>
      <c r="AF528" s="37"/>
      <c r="AG528" s="14"/>
      <c r="AH528" s="14"/>
      <c r="AI528" s="14"/>
      <c r="AZ528" s="24"/>
    </row>
    <row r="529">
      <c r="B529" s="24"/>
      <c r="E529" s="113"/>
      <c r="F529" s="266"/>
      <c r="G529" s="113"/>
      <c r="K529" s="36"/>
      <c r="L529" s="117"/>
      <c r="M529" s="128"/>
      <c r="N529" s="117"/>
      <c r="R529" s="117"/>
      <c r="T529" s="117"/>
      <c r="V529" s="117"/>
      <c r="X529" s="117"/>
      <c r="Y529" s="10"/>
      <c r="Z529" s="11"/>
      <c r="AA529" s="36"/>
      <c r="AB529" s="36"/>
      <c r="AC529" s="13"/>
      <c r="AD529" s="13"/>
      <c r="AE529" s="37"/>
      <c r="AF529" s="37"/>
      <c r="AG529" s="14"/>
      <c r="AH529" s="14"/>
      <c r="AI529" s="14"/>
      <c r="AZ529" s="24"/>
    </row>
    <row r="530">
      <c r="B530" s="24"/>
      <c r="E530" s="113"/>
      <c r="F530" s="266"/>
      <c r="G530" s="113"/>
      <c r="K530" s="36"/>
      <c r="L530" s="117"/>
      <c r="M530" s="128"/>
      <c r="N530" s="117"/>
      <c r="R530" s="117"/>
      <c r="T530" s="117"/>
      <c r="V530" s="117"/>
      <c r="X530" s="117"/>
      <c r="Y530" s="10"/>
      <c r="Z530" s="11"/>
      <c r="AA530" s="36"/>
      <c r="AB530" s="36"/>
      <c r="AC530" s="13"/>
      <c r="AD530" s="13"/>
      <c r="AE530" s="37"/>
      <c r="AF530" s="37"/>
      <c r="AG530" s="14"/>
      <c r="AH530" s="14"/>
      <c r="AI530" s="14"/>
      <c r="AZ530" s="24"/>
    </row>
    <row r="531">
      <c r="B531" s="24"/>
      <c r="E531" s="113"/>
      <c r="F531" s="266"/>
      <c r="G531" s="113"/>
      <c r="K531" s="36"/>
      <c r="L531" s="117"/>
      <c r="M531" s="128"/>
      <c r="N531" s="117"/>
      <c r="R531" s="117"/>
      <c r="T531" s="117"/>
      <c r="V531" s="117"/>
      <c r="X531" s="117"/>
      <c r="Y531" s="10"/>
      <c r="Z531" s="11"/>
      <c r="AA531" s="36"/>
      <c r="AB531" s="36"/>
      <c r="AC531" s="13"/>
      <c r="AD531" s="13"/>
      <c r="AE531" s="37"/>
      <c r="AF531" s="37"/>
      <c r="AG531" s="14"/>
      <c r="AH531" s="14"/>
      <c r="AI531" s="14"/>
      <c r="AZ531" s="24"/>
    </row>
    <row r="532">
      <c r="B532" s="24"/>
      <c r="E532" s="113"/>
      <c r="F532" s="266"/>
      <c r="G532" s="113"/>
      <c r="K532" s="36"/>
      <c r="L532" s="117"/>
      <c r="M532" s="128"/>
      <c r="N532" s="117"/>
      <c r="R532" s="117"/>
      <c r="T532" s="117"/>
      <c r="V532" s="117"/>
      <c r="X532" s="117"/>
      <c r="Y532" s="10"/>
      <c r="Z532" s="11"/>
      <c r="AA532" s="36"/>
      <c r="AB532" s="36"/>
      <c r="AC532" s="13"/>
      <c r="AD532" s="13"/>
      <c r="AE532" s="37"/>
      <c r="AF532" s="37"/>
      <c r="AG532" s="14"/>
      <c r="AH532" s="14"/>
      <c r="AI532" s="14"/>
      <c r="AZ532" s="24"/>
    </row>
    <row r="533">
      <c r="B533" s="24"/>
      <c r="E533" s="113"/>
      <c r="F533" s="266"/>
      <c r="G533" s="113"/>
      <c r="K533" s="36"/>
      <c r="L533" s="117"/>
      <c r="M533" s="128"/>
      <c r="N533" s="117"/>
      <c r="R533" s="117"/>
      <c r="T533" s="117"/>
      <c r="V533" s="117"/>
      <c r="X533" s="117"/>
      <c r="Y533" s="10"/>
      <c r="Z533" s="11"/>
      <c r="AA533" s="36"/>
      <c r="AB533" s="36"/>
      <c r="AC533" s="13"/>
      <c r="AD533" s="13"/>
      <c r="AE533" s="37"/>
      <c r="AF533" s="37"/>
      <c r="AG533" s="14"/>
      <c r="AH533" s="14"/>
      <c r="AI533" s="14"/>
      <c r="AZ533" s="24"/>
    </row>
    <row r="534">
      <c r="B534" s="24"/>
      <c r="E534" s="113"/>
      <c r="F534" s="266"/>
      <c r="G534" s="113"/>
      <c r="K534" s="36"/>
      <c r="L534" s="117"/>
      <c r="M534" s="128"/>
      <c r="N534" s="117"/>
      <c r="R534" s="117"/>
      <c r="T534" s="117"/>
      <c r="V534" s="117"/>
      <c r="X534" s="117"/>
      <c r="Y534" s="10"/>
      <c r="Z534" s="11"/>
      <c r="AA534" s="36"/>
      <c r="AB534" s="36"/>
      <c r="AC534" s="13"/>
      <c r="AD534" s="13"/>
      <c r="AE534" s="37"/>
      <c r="AF534" s="37"/>
      <c r="AG534" s="14"/>
      <c r="AH534" s="14"/>
      <c r="AI534" s="14"/>
      <c r="AZ534" s="24"/>
    </row>
    <row r="535">
      <c r="B535" s="24"/>
      <c r="E535" s="113"/>
      <c r="F535" s="266"/>
      <c r="G535" s="113"/>
      <c r="K535" s="36"/>
      <c r="L535" s="117"/>
      <c r="M535" s="128"/>
      <c r="N535" s="117"/>
      <c r="R535" s="117"/>
      <c r="T535" s="117"/>
      <c r="V535" s="117"/>
      <c r="X535" s="117"/>
      <c r="Y535" s="10"/>
      <c r="Z535" s="11"/>
      <c r="AA535" s="36"/>
      <c r="AB535" s="36"/>
      <c r="AC535" s="13"/>
      <c r="AD535" s="13"/>
      <c r="AE535" s="37"/>
      <c r="AF535" s="37"/>
      <c r="AG535" s="14"/>
      <c r="AH535" s="14"/>
      <c r="AI535" s="14"/>
      <c r="AZ535" s="24"/>
    </row>
    <row r="536">
      <c r="B536" s="24"/>
      <c r="E536" s="113"/>
      <c r="F536" s="266"/>
      <c r="G536" s="113"/>
      <c r="K536" s="36"/>
      <c r="L536" s="117"/>
      <c r="M536" s="128"/>
      <c r="N536" s="117"/>
      <c r="R536" s="117"/>
      <c r="T536" s="117"/>
      <c r="V536" s="117"/>
      <c r="X536" s="117"/>
      <c r="Y536" s="10"/>
      <c r="Z536" s="11"/>
      <c r="AA536" s="36"/>
      <c r="AB536" s="36"/>
      <c r="AC536" s="13"/>
      <c r="AD536" s="13"/>
      <c r="AE536" s="37"/>
      <c r="AF536" s="37"/>
      <c r="AG536" s="14"/>
      <c r="AH536" s="14"/>
      <c r="AI536" s="14"/>
      <c r="AZ536" s="24"/>
    </row>
    <row r="537">
      <c r="B537" s="24"/>
      <c r="E537" s="113"/>
      <c r="F537" s="266"/>
      <c r="G537" s="113"/>
      <c r="K537" s="36"/>
      <c r="L537" s="117"/>
      <c r="M537" s="128"/>
      <c r="N537" s="117"/>
      <c r="R537" s="117"/>
      <c r="T537" s="117"/>
      <c r="V537" s="117"/>
      <c r="X537" s="117"/>
      <c r="Y537" s="10"/>
      <c r="Z537" s="11"/>
      <c r="AA537" s="36"/>
      <c r="AB537" s="36"/>
      <c r="AC537" s="13"/>
      <c r="AD537" s="13"/>
      <c r="AE537" s="37"/>
      <c r="AF537" s="37"/>
      <c r="AG537" s="14"/>
      <c r="AH537" s="14"/>
      <c r="AI537" s="14"/>
      <c r="AZ537" s="24"/>
    </row>
    <row r="538">
      <c r="B538" s="24"/>
      <c r="E538" s="113"/>
      <c r="F538" s="266"/>
      <c r="G538" s="113"/>
      <c r="K538" s="36"/>
      <c r="L538" s="117"/>
      <c r="M538" s="128"/>
      <c r="N538" s="117"/>
      <c r="R538" s="117"/>
      <c r="T538" s="117"/>
      <c r="V538" s="117"/>
      <c r="X538" s="117"/>
      <c r="Y538" s="10"/>
      <c r="Z538" s="11"/>
      <c r="AA538" s="36"/>
      <c r="AB538" s="36"/>
      <c r="AC538" s="13"/>
      <c r="AD538" s="13"/>
      <c r="AE538" s="37"/>
      <c r="AF538" s="37"/>
      <c r="AG538" s="14"/>
      <c r="AH538" s="14"/>
      <c r="AI538" s="14"/>
      <c r="AZ538" s="24"/>
    </row>
    <row r="539">
      <c r="B539" s="24"/>
      <c r="E539" s="113"/>
      <c r="F539" s="266"/>
      <c r="G539" s="113"/>
      <c r="K539" s="36"/>
      <c r="L539" s="117"/>
      <c r="M539" s="128"/>
      <c r="N539" s="117"/>
      <c r="R539" s="117"/>
      <c r="T539" s="117"/>
      <c r="V539" s="117"/>
      <c r="X539" s="117"/>
      <c r="Y539" s="10"/>
      <c r="Z539" s="11"/>
      <c r="AA539" s="36"/>
      <c r="AB539" s="36"/>
      <c r="AC539" s="13"/>
      <c r="AD539" s="13"/>
      <c r="AE539" s="37"/>
      <c r="AF539" s="37"/>
      <c r="AG539" s="14"/>
      <c r="AH539" s="14"/>
      <c r="AI539" s="14"/>
      <c r="AZ539" s="24"/>
    </row>
    <row r="540">
      <c r="B540" s="24"/>
      <c r="E540" s="113"/>
      <c r="F540" s="266"/>
      <c r="G540" s="113"/>
      <c r="K540" s="36"/>
      <c r="L540" s="117"/>
      <c r="M540" s="128"/>
      <c r="N540" s="117"/>
      <c r="R540" s="117"/>
      <c r="T540" s="117"/>
      <c r="V540" s="117"/>
      <c r="X540" s="117"/>
      <c r="Y540" s="10"/>
      <c r="Z540" s="11"/>
      <c r="AA540" s="36"/>
      <c r="AB540" s="36"/>
      <c r="AC540" s="13"/>
      <c r="AD540" s="13"/>
      <c r="AE540" s="37"/>
      <c r="AF540" s="37"/>
      <c r="AG540" s="14"/>
      <c r="AH540" s="14"/>
      <c r="AI540" s="14"/>
      <c r="AZ540" s="24"/>
    </row>
    <row r="541">
      <c r="B541" s="24"/>
      <c r="E541" s="113"/>
      <c r="F541" s="266"/>
      <c r="G541" s="113"/>
      <c r="K541" s="36"/>
      <c r="L541" s="117"/>
      <c r="M541" s="128"/>
      <c r="N541" s="117"/>
      <c r="R541" s="117"/>
      <c r="T541" s="117"/>
      <c r="V541" s="117"/>
      <c r="X541" s="117"/>
      <c r="Y541" s="10"/>
      <c r="Z541" s="11"/>
      <c r="AA541" s="36"/>
      <c r="AB541" s="36"/>
      <c r="AC541" s="13"/>
      <c r="AD541" s="13"/>
      <c r="AE541" s="37"/>
      <c r="AF541" s="37"/>
      <c r="AG541" s="14"/>
      <c r="AH541" s="14"/>
      <c r="AI541" s="14"/>
      <c r="AZ541" s="24"/>
    </row>
    <row r="542">
      <c r="B542" s="24"/>
      <c r="E542" s="113"/>
      <c r="F542" s="266"/>
      <c r="G542" s="113"/>
      <c r="K542" s="36"/>
      <c r="L542" s="117"/>
      <c r="M542" s="128"/>
      <c r="N542" s="117"/>
      <c r="R542" s="117"/>
      <c r="T542" s="117"/>
      <c r="V542" s="117"/>
      <c r="X542" s="117"/>
      <c r="Y542" s="10"/>
      <c r="Z542" s="11"/>
      <c r="AA542" s="36"/>
      <c r="AB542" s="36"/>
      <c r="AC542" s="13"/>
      <c r="AD542" s="13"/>
      <c r="AE542" s="37"/>
      <c r="AF542" s="37"/>
      <c r="AG542" s="14"/>
      <c r="AH542" s="14"/>
      <c r="AI542" s="14"/>
      <c r="AZ542" s="24"/>
    </row>
    <row r="543">
      <c r="B543" s="24"/>
      <c r="E543" s="113"/>
      <c r="F543" s="266"/>
      <c r="G543" s="113"/>
      <c r="K543" s="36"/>
      <c r="L543" s="117"/>
      <c r="M543" s="128"/>
      <c r="N543" s="117"/>
      <c r="R543" s="117"/>
      <c r="T543" s="117"/>
      <c r="V543" s="117"/>
      <c r="X543" s="117"/>
      <c r="Y543" s="10"/>
      <c r="Z543" s="11"/>
      <c r="AA543" s="36"/>
      <c r="AB543" s="36"/>
      <c r="AC543" s="13"/>
      <c r="AD543" s="13"/>
      <c r="AE543" s="37"/>
      <c r="AF543" s="37"/>
      <c r="AG543" s="14"/>
      <c r="AH543" s="14"/>
      <c r="AI543" s="14"/>
      <c r="AZ543" s="24"/>
    </row>
    <row r="544">
      <c r="B544" s="24"/>
      <c r="E544" s="113"/>
      <c r="F544" s="266"/>
      <c r="G544" s="113"/>
      <c r="K544" s="36"/>
      <c r="L544" s="117"/>
      <c r="M544" s="128"/>
      <c r="N544" s="117"/>
      <c r="R544" s="117"/>
      <c r="T544" s="117"/>
      <c r="V544" s="117"/>
      <c r="X544" s="117"/>
      <c r="Y544" s="10"/>
      <c r="Z544" s="11"/>
      <c r="AA544" s="36"/>
      <c r="AB544" s="36"/>
      <c r="AC544" s="13"/>
      <c r="AD544" s="13"/>
      <c r="AE544" s="37"/>
      <c r="AF544" s="37"/>
      <c r="AG544" s="14"/>
      <c r="AH544" s="14"/>
      <c r="AI544" s="14"/>
      <c r="AZ544" s="24"/>
    </row>
    <row r="545">
      <c r="B545" s="24"/>
      <c r="E545" s="113"/>
      <c r="F545" s="266"/>
      <c r="G545" s="113"/>
      <c r="K545" s="36"/>
      <c r="L545" s="117"/>
      <c r="M545" s="128"/>
      <c r="N545" s="117"/>
      <c r="R545" s="117"/>
      <c r="T545" s="117"/>
      <c r="V545" s="117"/>
      <c r="X545" s="117"/>
      <c r="Y545" s="10"/>
      <c r="Z545" s="11"/>
      <c r="AA545" s="36"/>
      <c r="AB545" s="36"/>
      <c r="AC545" s="13"/>
      <c r="AD545" s="13"/>
      <c r="AE545" s="37"/>
      <c r="AF545" s="37"/>
      <c r="AG545" s="14"/>
      <c r="AH545" s="14"/>
      <c r="AI545" s="14"/>
      <c r="AZ545" s="24"/>
    </row>
    <row r="546">
      <c r="B546" s="24"/>
      <c r="E546" s="113"/>
      <c r="F546" s="266"/>
      <c r="G546" s="113"/>
      <c r="K546" s="36"/>
      <c r="L546" s="117"/>
      <c r="M546" s="128"/>
      <c r="N546" s="117"/>
      <c r="R546" s="117"/>
      <c r="T546" s="117"/>
      <c r="V546" s="117"/>
      <c r="X546" s="117"/>
      <c r="Y546" s="10"/>
      <c r="Z546" s="11"/>
      <c r="AA546" s="36"/>
      <c r="AB546" s="36"/>
      <c r="AC546" s="13"/>
      <c r="AD546" s="13"/>
      <c r="AE546" s="37"/>
      <c r="AF546" s="37"/>
      <c r="AG546" s="14"/>
      <c r="AH546" s="14"/>
      <c r="AI546" s="14"/>
      <c r="AZ546" s="24"/>
    </row>
    <row r="547">
      <c r="B547" s="24"/>
      <c r="E547" s="113"/>
      <c r="F547" s="266"/>
      <c r="G547" s="113"/>
      <c r="K547" s="36"/>
      <c r="L547" s="117"/>
      <c r="M547" s="128"/>
      <c r="N547" s="117"/>
      <c r="R547" s="117"/>
      <c r="T547" s="117"/>
      <c r="V547" s="117"/>
      <c r="X547" s="117"/>
      <c r="Y547" s="10"/>
      <c r="Z547" s="11"/>
      <c r="AA547" s="36"/>
      <c r="AB547" s="36"/>
      <c r="AC547" s="13"/>
      <c r="AD547" s="13"/>
      <c r="AE547" s="37"/>
      <c r="AF547" s="37"/>
      <c r="AG547" s="14"/>
      <c r="AH547" s="14"/>
      <c r="AI547" s="14"/>
      <c r="AZ547" s="24"/>
    </row>
    <row r="548">
      <c r="B548" s="24"/>
      <c r="E548" s="113"/>
      <c r="F548" s="266"/>
      <c r="G548" s="113"/>
      <c r="K548" s="36"/>
      <c r="L548" s="117"/>
      <c r="M548" s="128"/>
      <c r="N548" s="117"/>
      <c r="R548" s="117"/>
      <c r="T548" s="117"/>
      <c r="V548" s="117"/>
      <c r="X548" s="117"/>
      <c r="Y548" s="10"/>
      <c r="Z548" s="11"/>
      <c r="AA548" s="36"/>
      <c r="AB548" s="36"/>
      <c r="AC548" s="13"/>
      <c r="AD548" s="13"/>
      <c r="AE548" s="37"/>
      <c r="AF548" s="37"/>
      <c r="AG548" s="14"/>
      <c r="AH548" s="14"/>
      <c r="AI548" s="14"/>
      <c r="AZ548" s="24"/>
    </row>
    <row r="549">
      <c r="B549" s="24"/>
      <c r="E549" s="113"/>
      <c r="F549" s="266"/>
      <c r="G549" s="113"/>
      <c r="K549" s="36"/>
      <c r="L549" s="117"/>
      <c r="M549" s="128"/>
      <c r="N549" s="117"/>
      <c r="R549" s="117"/>
      <c r="T549" s="117"/>
      <c r="V549" s="117"/>
      <c r="X549" s="117"/>
      <c r="Y549" s="10"/>
      <c r="Z549" s="11"/>
      <c r="AA549" s="36"/>
      <c r="AB549" s="36"/>
      <c r="AC549" s="13"/>
      <c r="AD549" s="13"/>
      <c r="AE549" s="37"/>
      <c r="AF549" s="37"/>
      <c r="AG549" s="14"/>
      <c r="AH549" s="14"/>
      <c r="AI549" s="14"/>
      <c r="AZ549" s="24"/>
    </row>
    <row r="550">
      <c r="B550" s="24"/>
      <c r="E550" s="113"/>
      <c r="F550" s="266"/>
      <c r="G550" s="113"/>
      <c r="K550" s="36"/>
      <c r="L550" s="117"/>
      <c r="M550" s="128"/>
      <c r="N550" s="117"/>
      <c r="R550" s="117"/>
      <c r="T550" s="117"/>
      <c r="V550" s="117"/>
      <c r="X550" s="117"/>
      <c r="Y550" s="10"/>
      <c r="Z550" s="11"/>
      <c r="AA550" s="36"/>
      <c r="AB550" s="36"/>
      <c r="AC550" s="13"/>
      <c r="AD550" s="13"/>
      <c r="AE550" s="37"/>
      <c r="AF550" s="37"/>
      <c r="AG550" s="14"/>
      <c r="AH550" s="14"/>
      <c r="AI550" s="14"/>
      <c r="AZ550" s="24"/>
    </row>
    <row r="551">
      <c r="B551" s="24"/>
      <c r="E551" s="113"/>
      <c r="F551" s="266"/>
      <c r="G551" s="113"/>
      <c r="K551" s="36"/>
      <c r="L551" s="117"/>
      <c r="M551" s="128"/>
      <c r="N551" s="117"/>
      <c r="R551" s="117"/>
      <c r="T551" s="117"/>
      <c r="V551" s="117"/>
      <c r="X551" s="117"/>
      <c r="Y551" s="10"/>
      <c r="Z551" s="11"/>
      <c r="AA551" s="36"/>
      <c r="AB551" s="36"/>
      <c r="AC551" s="13"/>
      <c r="AD551" s="13"/>
      <c r="AE551" s="37"/>
      <c r="AF551" s="37"/>
      <c r="AG551" s="14"/>
      <c r="AH551" s="14"/>
      <c r="AI551" s="14"/>
      <c r="AZ551" s="24"/>
    </row>
    <row r="552">
      <c r="B552" s="24"/>
      <c r="E552" s="113"/>
      <c r="F552" s="266"/>
      <c r="G552" s="113"/>
      <c r="K552" s="36"/>
      <c r="L552" s="117"/>
      <c r="M552" s="128"/>
      <c r="N552" s="117"/>
      <c r="R552" s="117"/>
      <c r="T552" s="117"/>
      <c r="V552" s="117"/>
      <c r="X552" s="117"/>
      <c r="Y552" s="10"/>
      <c r="Z552" s="11"/>
      <c r="AA552" s="36"/>
      <c r="AB552" s="36"/>
      <c r="AC552" s="13"/>
      <c r="AD552" s="13"/>
      <c r="AE552" s="37"/>
      <c r="AF552" s="37"/>
      <c r="AG552" s="14"/>
      <c r="AH552" s="14"/>
      <c r="AI552" s="14"/>
      <c r="AZ552" s="24"/>
    </row>
    <row r="553">
      <c r="B553" s="24"/>
      <c r="E553" s="113"/>
      <c r="F553" s="266"/>
      <c r="G553" s="113"/>
      <c r="K553" s="36"/>
      <c r="L553" s="117"/>
      <c r="M553" s="128"/>
      <c r="N553" s="117"/>
      <c r="R553" s="117"/>
      <c r="T553" s="117"/>
      <c r="V553" s="117"/>
      <c r="X553" s="117"/>
      <c r="Y553" s="10"/>
      <c r="Z553" s="11"/>
      <c r="AA553" s="36"/>
      <c r="AB553" s="36"/>
      <c r="AC553" s="13"/>
      <c r="AD553" s="13"/>
      <c r="AE553" s="37"/>
      <c r="AF553" s="37"/>
      <c r="AG553" s="14"/>
      <c r="AH553" s="14"/>
      <c r="AI553" s="14"/>
      <c r="AZ553" s="24"/>
    </row>
    <row r="554">
      <c r="B554" s="24"/>
      <c r="E554" s="113"/>
      <c r="F554" s="266"/>
      <c r="G554" s="113"/>
      <c r="K554" s="36"/>
      <c r="L554" s="117"/>
      <c r="M554" s="128"/>
      <c r="N554" s="117"/>
      <c r="R554" s="117"/>
      <c r="T554" s="117"/>
      <c r="V554" s="117"/>
      <c r="X554" s="117"/>
      <c r="Y554" s="10"/>
      <c r="Z554" s="11"/>
      <c r="AA554" s="36"/>
      <c r="AB554" s="36"/>
      <c r="AC554" s="13"/>
      <c r="AD554" s="13"/>
      <c r="AE554" s="37"/>
      <c r="AF554" s="37"/>
      <c r="AG554" s="14"/>
      <c r="AH554" s="14"/>
      <c r="AI554" s="14"/>
      <c r="AZ554" s="24"/>
    </row>
    <row r="555">
      <c r="B555" s="24"/>
      <c r="E555" s="113"/>
      <c r="F555" s="266"/>
      <c r="G555" s="113"/>
      <c r="K555" s="36"/>
      <c r="L555" s="117"/>
      <c r="M555" s="128"/>
      <c r="N555" s="117"/>
      <c r="R555" s="117"/>
      <c r="T555" s="117"/>
      <c r="V555" s="117"/>
      <c r="X555" s="117"/>
      <c r="Y555" s="10"/>
      <c r="Z555" s="11"/>
      <c r="AA555" s="36"/>
      <c r="AB555" s="36"/>
      <c r="AC555" s="13"/>
      <c r="AD555" s="13"/>
      <c r="AE555" s="37"/>
      <c r="AF555" s="37"/>
      <c r="AG555" s="14"/>
      <c r="AH555" s="14"/>
      <c r="AI555" s="14"/>
      <c r="AZ555" s="24"/>
    </row>
    <row r="556">
      <c r="B556" s="24"/>
      <c r="E556" s="113"/>
      <c r="F556" s="266"/>
      <c r="G556" s="113"/>
      <c r="K556" s="36"/>
      <c r="L556" s="117"/>
      <c r="M556" s="128"/>
      <c r="N556" s="117"/>
      <c r="R556" s="117"/>
      <c r="T556" s="117"/>
      <c r="V556" s="117"/>
      <c r="X556" s="117"/>
      <c r="Y556" s="10"/>
      <c r="Z556" s="11"/>
      <c r="AA556" s="36"/>
      <c r="AB556" s="36"/>
      <c r="AC556" s="13"/>
      <c r="AD556" s="13"/>
      <c r="AE556" s="37"/>
      <c r="AF556" s="37"/>
      <c r="AG556" s="14"/>
      <c r="AH556" s="14"/>
      <c r="AI556" s="14"/>
      <c r="AZ556" s="24"/>
    </row>
    <row r="557">
      <c r="B557" s="24"/>
      <c r="E557" s="113"/>
      <c r="F557" s="266"/>
      <c r="G557" s="113"/>
      <c r="K557" s="36"/>
      <c r="L557" s="117"/>
      <c r="M557" s="128"/>
      <c r="N557" s="117"/>
      <c r="R557" s="117"/>
      <c r="T557" s="117"/>
      <c r="V557" s="117"/>
      <c r="X557" s="117"/>
      <c r="Y557" s="10"/>
      <c r="Z557" s="11"/>
      <c r="AA557" s="36"/>
      <c r="AB557" s="36"/>
      <c r="AC557" s="13"/>
      <c r="AD557" s="13"/>
      <c r="AE557" s="37"/>
      <c r="AF557" s="37"/>
      <c r="AG557" s="14"/>
      <c r="AH557" s="14"/>
      <c r="AI557" s="14"/>
      <c r="AZ557" s="24"/>
    </row>
    <row r="558">
      <c r="B558" s="24"/>
      <c r="E558" s="113"/>
      <c r="F558" s="266"/>
      <c r="G558" s="113"/>
      <c r="K558" s="36"/>
      <c r="L558" s="117"/>
      <c r="M558" s="128"/>
      <c r="N558" s="117"/>
      <c r="R558" s="117"/>
      <c r="T558" s="117"/>
      <c r="V558" s="117"/>
      <c r="X558" s="117"/>
      <c r="Y558" s="10"/>
      <c r="Z558" s="11"/>
      <c r="AA558" s="36"/>
      <c r="AB558" s="36"/>
      <c r="AC558" s="13"/>
      <c r="AD558" s="13"/>
      <c r="AE558" s="37"/>
      <c r="AF558" s="37"/>
      <c r="AG558" s="14"/>
      <c r="AH558" s="14"/>
      <c r="AI558" s="14"/>
      <c r="AZ558" s="24"/>
    </row>
    <row r="559">
      <c r="B559" s="24"/>
      <c r="E559" s="113"/>
      <c r="F559" s="266"/>
      <c r="G559" s="113"/>
      <c r="K559" s="36"/>
      <c r="L559" s="117"/>
      <c r="M559" s="128"/>
      <c r="N559" s="117"/>
      <c r="R559" s="117"/>
      <c r="T559" s="117"/>
      <c r="V559" s="117"/>
      <c r="X559" s="117"/>
      <c r="Y559" s="10"/>
      <c r="Z559" s="11"/>
      <c r="AA559" s="36"/>
      <c r="AB559" s="36"/>
      <c r="AC559" s="13"/>
      <c r="AD559" s="13"/>
      <c r="AE559" s="37"/>
      <c r="AF559" s="37"/>
      <c r="AG559" s="14"/>
      <c r="AH559" s="14"/>
      <c r="AI559" s="14"/>
      <c r="AZ559" s="24"/>
    </row>
    <row r="560">
      <c r="B560" s="24"/>
      <c r="E560" s="113"/>
      <c r="F560" s="266"/>
      <c r="G560" s="113"/>
      <c r="K560" s="36"/>
      <c r="L560" s="117"/>
      <c r="M560" s="128"/>
      <c r="N560" s="117"/>
      <c r="R560" s="117"/>
      <c r="T560" s="117"/>
      <c r="V560" s="117"/>
      <c r="X560" s="117"/>
      <c r="Y560" s="10"/>
      <c r="Z560" s="11"/>
      <c r="AA560" s="36"/>
      <c r="AB560" s="36"/>
      <c r="AC560" s="13"/>
      <c r="AD560" s="13"/>
      <c r="AE560" s="37"/>
      <c r="AF560" s="37"/>
      <c r="AG560" s="14"/>
      <c r="AH560" s="14"/>
      <c r="AI560" s="14"/>
      <c r="AZ560" s="24"/>
    </row>
    <row r="561">
      <c r="B561" s="24"/>
      <c r="E561" s="113"/>
      <c r="F561" s="266"/>
      <c r="G561" s="113"/>
      <c r="K561" s="36"/>
      <c r="L561" s="117"/>
      <c r="M561" s="128"/>
      <c r="N561" s="117"/>
      <c r="R561" s="117"/>
      <c r="T561" s="117"/>
      <c r="V561" s="117"/>
      <c r="X561" s="117"/>
      <c r="Y561" s="10"/>
      <c r="Z561" s="11"/>
      <c r="AA561" s="36"/>
      <c r="AB561" s="36"/>
      <c r="AC561" s="13"/>
      <c r="AD561" s="13"/>
      <c r="AE561" s="37"/>
      <c r="AF561" s="37"/>
      <c r="AG561" s="14"/>
      <c r="AH561" s="14"/>
      <c r="AI561" s="14"/>
      <c r="AZ561" s="24"/>
    </row>
    <row r="562">
      <c r="B562" s="24"/>
      <c r="E562" s="113"/>
      <c r="F562" s="266"/>
      <c r="G562" s="113"/>
      <c r="K562" s="36"/>
      <c r="L562" s="117"/>
      <c r="M562" s="128"/>
      <c r="N562" s="117"/>
      <c r="R562" s="117"/>
      <c r="T562" s="117"/>
      <c r="V562" s="117"/>
      <c r="X562" s="117"/>
      <c r="Y562" s="10"/>
      <c r="Z562" s="11"/>
      <c r="AA562" s="36"/>
      <c r="AB562" s="36"/>
      <c r="AC562" s="13"/>
      <c r="AD562" s="13"/>
      <c r="AE562" s="37"/>
      <c r="AF562" s="37"/>
      <c r="AG562" s="14"/>
      <c r="AH562" s="14"/>
      <c r="AI562" s="14"/>
      <c r="AZ562" s="24"/>
    </row>
    <row r="563">
      <c r="B563" s="24"/>
      <c r="E563" s="113"/>
      <c r="F563" s="266"/>
      <c r="G563" s="113"/>
      <c r="K563" s="36"/>
      <c r="L563" s="117"/>
      <c r="M563" s="128"/>
      <c r="N563" s="117"/>
      <c r="R563" s="117"/>
      <c r="T563" s="117"/>
      <c r="V563" s="117"/>
      <c r="X563" s="117"/>
      <c r="Y563" s="10"/>
      <c r="Z563" s="11"/>
      <c r="AA563" s="36"/>
      <c r="AB563" s="36"/>
      <c r="AC563" s="13"/>
      <c r="AD563" s="13"/>
      <c r="AE563" s="37"/>
      <c r="AF563" s="37"/>
      <c r="AG563" s="14"/>
      <c r="AH563" s="14"/>
      <c r="AI563" s="14"/>
      <c r="AZ563" s="24"/>
    </row>
    <row r="564">
      <c r="B564" s="24"/>
      <c r="E564" s="113"/>
      <c r="F564" s="266"/>
      <c r="G564" s="113"/>
      <c r="K564" s="36"/>
      <c r="L564" s="117"/>
      <c r="M564" s="128"/>
      <c r="N564" s="117"/>
      <c r="R564" s="117"/>
      <c r="T564" s="117"/>
      <c r="V564" s="117"/>
      <c r="X564" s="117"/>
      <c r="Y564" s="10"/>
      <c r="Z564" s="11"/>
      <c r="AA564" s="36"/>
      <c r="AB564" s="36"/>
      <c r="AC564" s="13"/>
      <c r="AD564" s="13"/>
      <c r="AE564" s="37"/>
      <c r="AF564" s="37"/>
      <c r="AG564" s="14"/>
      <c r="AH564" s="14"/>
      <c r="AI564" s="14"/>
      <c r="AZ564" s="24"/>
    </row>
    <row r="565">
      <c r="B565" s="24"/>
      <c r="E565" s="113"/>
      <c r="F565" s="266"/>
      <c r="G565" s="113"/>
      <c r="K565" s="36"/>
      <c r="L565" s="117"/>
      <c r="M565" s="128"/>
      <c r="N565" s="117"/>
      <c r="R565" s="117"/>
      <c r="T565" s="117"/>
      <c r="V565" s="117"/>
      <c r="X565" s="117"/>
      <c r="Y565" s="10"/>
      <c r="Z565" s="11"/>
      <c r="AA565" s="36"/>
      <c r="AB565" s="36"/>
      <c r="AC565" s="13"/>
      <c r="AD565" s="13"/>
      <c r="AE565" s="37"/>
      <c r="AF565" s="37"/>
      <c r="AG565" s="14"/>
      <c r="AH565" s="14"/>
      <c r="AI565" s="14"/>
      <c r="AZ565" s="24"/>
    </row>
    <row r="566">
      <c r="B566" s="24"/>
      <c r="E566" s="113"/>
      <c r="F566" s="266"/>
      <c r="G566" s="113"/>
      <c r="K566" s="36"/>
      <c r="L566" s="117"/>
      <c r="M566" s="128"/>
      <c r="N566" s="117"/>
      <c r="R566" s="117"/>
      <c r="T566" s="117"/>
      <c r="V566" s="117"/>
      <c r="X566" s="117"/>
      <c r="Y566" s="10"/>
      <c r="Z566" s="11"/>
      <c r="AA566" s="36"/>
      <c r="AB566" s="36"/>
      <c r="AC566" s="13"/>
      <c r="AD566" s="13"/>
      <c r="AE566" s="37"/>
      <c r="AF566" s="37"/>
      <c r="AG566" s="14"/>
      <c r="AH566" s="14"/>
      <c r="AI566" s="14"/>
      <c r="AZ566" s="24"/>
    </row>
    <row r="567">
      <c r="B567" s="24"/>
      <c r="E567" s="113"/>
      <c r="F567" s="266"/>
      <c r="G567" s="113"/>
      <c r="K567" s="36"/>
      <c r="L567" s="117"/>
      <c r="M567" s="128"/>
      <c r="N567" s="117"/>
      <c r="R567" s="117"/>
      <c r="T567" s="117"/>
      <c r="V567" s="117"/>
      <c r="X567" s="117"/>
      <c r="Y567" s="10"/>
      <c r="Z567" s="11"/>
      <c r="AA567" s="36"/>
      <c r="AB567" s="36"/>
      <c r="AC567" s="13"/>
      <c r="AD567" s="13"/>
      <c r="AE567" s="37"/>
      <c r="AF567" s="37"/>
      <c r="AG567" s="14"/>
      <c r="AH567" s="14"/>
      <c r="AI567" s="14"/>
      <c r="AZ567" s="24"/>
    </row>
    <row r="568">
      <c r="B568" s="24"/>
      <c r="E568" s="113"/>
      <c r="F568" s="266"/>
      <c r="G568" s="113"/>
      <c r="K568" s="36"/>
      <c r="L568" s="117"/>
      <c r="M568" s="128"/>
      <c r="N568" s="117"/>
      <c r="R568" s="117"/>
      <c r="T568" s="117"/>
      <c r="V568" s="117"/>
      <c r="X568" s="117"/>
      <c r="Y568" s="10"/>
      <c r="Z568" s="11"/>
      <c r="AA568" s="36"/>
      <c r="AB568" s="36"/>
      <c r="AC568" s="13"/>
      <c r="AD568" s="13"/>
      <c r="AE568" s="37"/>
      <c r="AF568" s="37"/>
      <c r="AG568" s="14"/>
      <c r="AH568" s="14"/>
      <c r="AI568" s="14"/>
      <c r="AZ568" s="24"/>
    </row>
    <row r="569">
      <c r="B569" s="24"/>
      <c r="E569" s="113"/>
      <c r="F569" s="266"/>
      <c r="G569" s="113"/>
      <c r="K569" s="36"/>
      <c r="L569" s="117"/>
      <c r="M569" s="128"/>
      <c r="N569" s="117"/>
      <c r="R569" s="117"/>
      <c r="T569" s="117"/>
      <c r="V569" s="117"/>
      <c r="X569" s="117"/>
      <c r="Y569" s="10"/>
      <c r="Z569" s="11"/>
      <c r="AA569" s="36"/>
      <c r="AB569" s="36"/>
      <c r="AC569" s="13"/>
      <c r="AD569" s="13"/>
      <c r="AE569" s="37"/>
      <c r="AF569" s="37"/>
      <c r="AG569" s="14"/>
      <c r="AH569" s="14"/>
      <c r="AI569" s="14"/>
      <c r="AZ569" s="24"/>
    </row>
    <row r="570">
      <c r="B570" s="24"/>
      <c r="E570" s="113"/>
      <c r="F570" s="266"/>
      <c r="G570" s="113"/>
      <c r="K570" s="36"/>
      <c r="L570" s="117"/>
      <c r="M570" s="128"/>
      <c r="N570" s="117"/>
      <c r="R570" s="117"/>
      <c r="T570" s="117"/>
      <c r="V570" s="117"/>
      <c r="X570" s="117"/>
      <c r="Y570" s="10"/>
      <c r="Z570" s="11"/>
      <c r="AA570" s="36"/>
      <c r="AB570" s="36"/>
      <c r="AC570" s="13"/>
      <c r="AD570" s="13"/>
      <c r="AE570" s="37"/>
      <c r="AF570" s="37"/>
      <c r="AG570" s="14"/>
      <c r="AH570" s="14"/>
      <c r="AI570" s="14"/>
      <c r="AZ570" s="24"/>
    </row>
    <row r="571">
      <c r="B571" s="24"/>
      <c r="E571" s="113"/>
      <c r="F571" s="266"/>
      <c r="G571" s="113"/>
      <c r="K571" s="36"/>
      <c r="L571" s="117"/>
      <c r="M571" s="128"/>
      <c r="N571" s="117"/>
      <c r="R571" s="117"/>
      <c r="T571" s="117"/>
      <c r="V571" s="117"/>
      <c r="X571" s="117"/>
      <c r="Y571" s="10"/>
      <c r="Z571" s="11"/>
      <c r="AA571" s="36"/>
      <c r="AB571" s="36"/>
      <c r="AC571" s="13"/>
      <c r="AD571" s="13"/>
      <c r="AE571" s="37"/>
      <c r="AF571" s="37"/>
      <c r="AG571" s="14"/>
      <c r="AH571" s="14"/>
      <c r="AI571" s="14"/>
      <c r="AZ571" s="24"/>
    </row>
    <row r="572">
      <c r="B572" s="24"/>
      <c r="E572" s="113"/>
      <c r="F572" s="266"/>
      <c r="G572" s="113"/>
      <c r="K572" s="36"/>
      <c r="L572" s="117"/>
      <c r="M572" s="128"/>
      <c r="N572" s="117"/>
      <c r="R572" s="117"/>
      <c r="T572" s="117"/>
      <c r="V572" s="117"/>
      <c r="X572" s="117"/>
      <c r="Y572" s="10"/>
      <c r="Z572" s="11"/>
      <c r="AA572" s="36"/>
      <c r="AB572" s="36"/>
      <c r="AC572" s="13"/>
      <c r="AD572" s="13"/>
      <c r="AE572" s="37"/>
      <c r="AF572" s="37"/>
      <c r="AG572" s="14"/>
      <c r="AH572" s="14"/>
      <c r="AI572" s="14"/>
      <c r="AZ572" s="24"/>
    </row>
    <row r="573">
      <c r="B573" s="24"/>
      <c r="E573" s="113"/>
      <c r="F573" s="266"/>
      <c r="G573" s="113"/>
      <c r="K573" s="36"/>
      <c r="L573" s="117"/>
      <c r="M573" s="128"/>
      <c r="N573" s="117"/>
      <c r="R573" s="117"/>
      <c r="T573" s="117"/>
      <c r="V573" s="117"/>
      <c r="X573" s="117"/>
      <c r="Y573" s="10"/>
      <c r="Z573" s="11"/>
      <c r="AA573" s="36"/>
      <c r="AB573" s="36"/>
      <c r="AC573" s="13"/>
      <c r="AD573" s="13"/>
      <c r="AE573" s="37"/>
      <c r="AF573" s="37"/>
      <c r="AG573" s="14"/>
      <c r="AH573" s="14"/>
      <c r="AI573" s="14"/>
      <c r="AZ573" s="24"/>
    </row>
    <row r="574">
      <c r="B574" s="24"/>
      <c r="E574" s="113"/>
      <c r="F574" s="266"/>
      <c r="G574" s="113"/>
      <c r="K574" s="36"/>
      <c r="L574" s="117"/>
      <c r="M574" s="128"/>
      <c r="N574" s="117"/>
      <c r="R574" s="117"/>
      <c r="T574" s="117"/>
      <c r="V574" s="117"/>
      <c r="X574" s="117"/>
      <c r="Y574" s="10"/>
      <c r="Z574" s="11"/>
      <c r="AA574" s="36"/>
      <c r="AB574" s="36"/>
      <c r="AC574" s="13"/>
      <c r="AD574" s="13"/>
      <c r="AE574" s="37"/>
      <c r="AF574" s="37"/>
      <c r="AG574" s="14"/>
      <c r="AH574" s="14"/>
      <c r="AI574" s="14"/>
      <c r="AZ574" s="24"/>
    </row>
    <row r="575">
      <c r="B575" s="24"/>
      <c r="E575" s="113"/>
      <c r="F575" s="266"/>
      <c r="G575" s="113"/>
      <c r="K575" s="36"/>
      <c r="L575" s="117"/>
      <c r="M575" s="128"/>
      <c r="N575" s="117"/>
      <c r="R575" s="117"/>
      <c r="T575" s="117"/>
      <c r="V575" s="117"/>
      <c r="X575" s="117"/>
      <c r="Y575" s="10"/>
      <c r="Z575" s="11"/>
      <c r="AA575" s="36"/>
      <c r="AB575" s="36"/>
      <c r="AC575" s="13"/>
      <c r="AD575" s="13"/>
      <c r="AE575" s="37"/>
      <c r="AF575" s="37"/>
      <c r="AG575" s="14"/>
      <c r="AH575" s="14"/>
      <c r="AI575" s="14"/>
      <c r="AZ575" s="24"/>
    </row>
    <row r="576">
      <c r="B576" s="24"/>
      <c r="E576" s="113"/>
      <c r="F576" s="266"/>
      <c r="G576" s="113"/>
      <c r="K576" s="36"/>
      <c r="L576" s="117"/>
      <c r="M576" s="128"/>
      <c r="N576" s="117"/>
      <c r="R576" s="117"/>
      <c r="T576" s="117"/>
      <c r="V576" s="117"/>
      <c r="X576" s="117"/>
      <c r="Y576" s="10"/>
      <c r="Z576" s="11"/>
      <c r="AA576" s="36"/>
      <c r="AB576" s="36"/>
      <c r="AC576" s="13"/>
      <c r="AD576" s="13"/>
      <c r="AE576" s="37"/>
      <c r="AF576" s="37"/>
      <c r="AG576" s="14"/>
      <c r="AH576" s="14"/>
      <c r="AI576" s="14"/>
      <c r="AZ576" s="24"/>
    </row>
    <row r="577">
      <c r="B577" s="24"/>
      <c r="E577" s="113"/>
      <c r="F577" s="266"/>
      <c r="G577" s="113"/>
      <c r="K577" s="36"/>
      <c r="L577" s="117"/>
      <c r="M577" s="128"/>
      <c r="N577" s="117"/>
      <c r="R577" s="117"/>
      <c r="T577" s="117"/>
      <c r="V577" s="117"/>
      <c r="X577" s="117"/>
      <c r="Y577" s="10"/>
      <c r="Z577" s="11"/>
      <c r="AA577" s="36"/>
      <c r="AB577" s="36"/>
      <c r="AC577" s="13"/>
      <c r="AD577" s="13"/>
      <c r="AE577" s="37"/>
      <c r="AF577" s="37"/>
      <c r="AG577" s="14"/>
      <c r="AH577" s="14"/>
      <c r="AI577" s="14"/>
      <c r="AZ577" s="24"/>
    </row>
    <row r="578">
      <c r="B578" s="24"/>
      <c r="E578" s="113"/>
      <c r="F578" s="266"/>
      <c r="G578" s="113"/>
      <c r="K578" s="36"/>
      <c r="L578" s="117"/>
      <c r="M578" s="128"/>
      <c r="N578" s="117"/>
      <c r="R578" s="117"/>
      <c r="T578" s="117"/>
      <c r="V578" s="117"/>
      <c r="X578" s="117"/>
      <c r="Y578" s="10"/>
      <c r="Z578" s="11"/>
      <c r="AA578" s="36"/>
      <c r="AB578" s="36"/>
      <c r="AC578" s="13"/>
      <c r="AD578" s="13"/>
      <c r="AE578" s="37"/>
      <c r="AF578" s="37"/>
      <c r="AG578" s="14"/>
      <c r="AH578" s="14"/>
      <c r="AI578" s="14"/>
      <c r="AZ578" s="24"/>
    </row>
    <row r="579">
      <c r="B579" s="24"/>
      <c r="E579" s="113"/>
      <c r="F579" s="266"/>
      <c r="G579" s="113"/>
      <c r="K579" s="36"/>
      <c r="L579" s="117"/>
      <c r="M579" s="128"/>
      <c r="N579" s="117"/>
      <c r="R579" s="117"/>
      <c r="T579" s="117"/>
      <c r="V579" s="117"/>
      <c r="X579" s="117"/>
      <c r="Y579" s="10"/>
      <c r="Z579" s="11"/>
      <c r="AA579" s="36"/>
      <c r="AB579" s="36"/>
      <c r="AC579" s="13"/>
      <c r="AD579" s="13"/>
      <c r="AE579" s="37"/>
      <c r="AF579" s="37"/>
      <c r="AG579" s="14"/>
      <c r="AH579" s="14"/>
      <c r="AI579" s="14"/>
      <c r="AZ579" s="24"/>
    </row>
    <row r="580">
      <c r="B580" s="24"/>
      <c r="E580" s="113"/>
      <c r="F580" s="266"/>
      <c r="G580" s="113"/>
      <c r="K580" s="36"/>
      <c r="L580" s="117"/>
      <c r="M580" s="128"/>
      <c r="N580" s="117"/>
      <c r="R580" s="117"/>
      <c r="T580" s="117"/>
      <c r="V580" s="117"/>
      <c r="X580" s="117"/>
      <c r="Y580" s="10"/>
      <c r="Z580" s="11"/>
      <c r="AA580" s="36"/>
      <c r="AB580" s="36"/>
      <c r="AC580" s="13"/>
      <c r="AD580" s="13"/>
      <c r="AE580" s="37"/>
      <c r="AF580" s="37"/>
      <c r="AG580" s="14"/>
      <c r="AH580" s="14"/>
      <c r="AI580" s="14"/>
      <c r="AZ580" s="24"/>
    </row>
    <row r="581">
      <c r="B581" s="24"/>
      <c r="E581" s="113"/>
      <c r="F581" s="266"/>
      <c r="G581" s="113"/>
      <c r="K581" s="36"/>
      <c r="L581" s="117"/>
      <c r="M581" s="128"/>
      <c r="N581" s="117"/>
      <c r="R581" s="117"/>
      <c r="T581" s="117"/>
      <c r="V581" s="117"/>
      <c r="X581" s="117"/>
      <c r="Y581" s="10"/>
      <c r="Z581" s="11"/>
      <c r="AA581" s="36"/>
      <c r="AB581" s="36"/>
      <c r="AC581" s="13"/>
      <c r="AD581" s="13"/>
      <c r="AE581" s="37"/>
      <c r="AF581" s="37"/>
      <c r="AG581" s="14"/>
      <c r="AH581" s="14"/>
      <c r="AI581" s="14"/>
      <c r="AZ581" s="24"/>
    </row>
    <row r="582">
      <c r="B582" s="24"/>
      <c r="E582" s="113"/>
      <c r="F582" s="266"/>
      <c r="G582" s="113"/>
      <c r="K582" s="36"/>
      <c r="L582" s="117"/>
      <c r="M582" s="128"/>
      <c r="N582" s="117"/>
      <c r="R582" s="117"/>
      <c r="T582" s="117"/>
      <c r="V582" s="117"/>
      <c r="X582" s="117"/>
      <c r="Y582" s="10"/>
      <c r="Z582" s="11"/>
      <c r="AA582" s="36"/>
      <c r="AB582" s="36"/>
      <c r="AC582" s="13"/>
      <c r="AD582" s="13"/>
      <c r="AE582" s="37"/>
      <c r="AF582" s="37"/>
      <c r="AG582" s="14"/>
      <c r="AH582" s="14"/>
      <c r="AI582" s="14"/>
      <c r="AZ582" s="24"/>
    </row>
    <row r="583">
      <c r="B583" s="24"/>
      <c r="E583" s="113"/>
      <c r="F583" s="266"/>
      <c r="G583" s="113"/>
      <c r="K583" s="36"/>
      <c r="L583" s="117"/>
      <c r="M583" s="128"/>
      <c r="N583" s="117"/>
      <c r="R583" s="117"/>
      <c r="T583" s="117"/>
      <c r="V583" s="117"/>
      <c r="X583" s="117"/>
      <c r="Y583" s="10"/>
      <c r="Z583" s="11"/>
      <c r="AA583" s="36"/>
      <c r="AB583" s="36"/>
      <c r="AC583" s="13"/>
      <c r="AD583" s="13"/>
      <c r="AE583" s="37"/>
      <c r="AF583" s="37"/>
      <c r="AG583" s="14"/>
      <c r="AH583" s="14"/>
      <c r="AI583" s="14"/>
      <c r="AZ583" s="24"/>
    </row>
    <row r="584">
      <c r="B584" s="24"/>
      <c r="E584" s="113"/>
      <c r="F584" s="266"/>
      <c r="G584" s="113"/>
      <c r="K584" s="36"/>
      <c r="L584" s="117"/>
      <c r="M584" s="128"/>
      <c r="N584" s="117"/>
      <c r="R584" s="117"/>
      <c r="T584" s="117"/>
      <c r="V584" s="117"/>
      <c r="X584" s="117"/>
      <c r="Y584" s="10"/>
      <c r="Z584" s="11"/>
      <c r="AA584" s="36"/>
      <c r="AB584" s="36"/>
      <c r="AC584" s="13"/>
      <c r="AD584" s="13"/>
      <c r="AE584" s="37"/>
      <c r="AF584" s="37"/>
      <c r="AG584" s="14"/>
      <c r="AH584" s="14"/>
      <c r="AI584" s="14"/>
      <c r="AZ584" s="24"/>
    </row>
    <row r="585">
      <c r="B585" s="24"/>
      <c r="E585" s="113"/>
      <c r="F585" s="266"/>
      <c r="G585" s="113"/>
      <c r="K585" s="36"/>
      <c r="L585" s="117"/>
      <c r="M585" s="128"/>
      <c r="N585" s="117"/>
      <c r="R585" s="117"/>
      <c r="T585" s="117"/>
      <c r="V585" s="117"/>
      <c r="X585" s="117"/>
      <c r="Y585" s="10"/>
      <c r="Z585" s="11"/>
      <c r="AA585" s="36"/>
      <c r="AB585" s="36"/>
      <c r="AC585" s="13"/>
      <c r="AD585" s="13"/>
      <c r="AE585" s="37"/>
      <c r="AF585" s="37"/>
      <c r="AG585" s="14"/>
      <c r="AH585" s="14"/>
      <c r="AI585" s="14"/>
      <c r="AZ585" s="24"/>
    </row>
    <row r="586">
      <c r="B586" s="24"/>
      <c r="E586" s="113"/>
      <c r="F586" s="266"/>
      <c r="G586" s="113"/>
      <c r="K586" s="36"/>
      <c r="L586" s="117"/>
      <c r="M586" s="128"/>
      <c r="N586" s="117"/>
      <c r="R586" s="117"/>
      <c r="T586" s="117"/>
      <c r="V586" s="117"/>
      <c r="X586" s="117"/>
      <c r="Y586" s="10"/>
      <c r="Z586" s="11"/>
      <c r="AA586" s="36"/>
      <c r="AB586" s="36"/>
      <c r="AC586" s="13"/>
      <c r="AD586" s="13"/>
      <c r="AE586" s="37"/>
      <c r="AF586" s="37"/>
      <c r="AG586" s="14"/>
      <c r="AH586" s="14"/>
      <c r="AI586" s="14"/>
      <c r="AZ586" s="24"/>
    </row>
    <row r="587">
      <c r="B587" s="24"/>
      <c r="E587" s="113"/>
      <c r="F587" s="266"/>
      <c r="G587" s="113"/>
      <c r="K587" s="36"/>
      <c r="L587" s="117"/>
      <c r="M587" s="128"/>
      <c r="N587" s="117"/>
      <c r="R587" s="117"/>
      <c r="T587" s="117"/>
      <c r="V587" s="117"/>
      <c r="X587" s="117"/>
      <c r="Y587" s="10"/>
      <c r="Z587" s="11"/>
      <c r="AA587" s="36"/>
      <c r="AB587" s="36"/>
      <c r="AC587" s="13"/>
      <c r="AD587" s="13"/>
      <c r="AE587" s="37"/>
      <c r="AF587" s="37"/>
      <c r="AG587" s="14"/>
      <c r="AH587" s="14"/>
      <c r="AI587" s="14"/>
      <c r="AZ587" s="24"/>
    </row>
    <row r="588">
      <c r="B588" s="24"/>
      <c r="E588" s="113"/>
      <c r="F588" s="266"/>
      <c r="G588" s="113"/>
      <c r="K588" s="36"/>
      <c r="L588" s="117"/>
      <c r="M588" s="128"/>
      <c r="N588" s="117"/>
      <c r="R588" s="117"/>
      <c r="T588" s="117"/>
      <c r="V588" s="117"/>
      <c r="X588" s="117"/>
      <c r="Y588" s="10"/>
      <c r="Z588" s="11"/>
      <c r="AA588" s="36"/>
      <c r="AB588" s="36"/>
      <c r="AC588" s="13"/>
      <c r="AD588" s="13"/>
      <c r="AE588" s="37"/>
      <c r="AF588" s="37"/>
      <c r="AG588" s="14"/>
      <c r="AH588" s="14"/>
      <c r="AI588" s="14"/>
      <c r="AZ588" s="24"/>
    </row>
    <row r="589">
      <c r="B589" s="24"/>
      <c r="E589" s="113"/>
      <c r="F589" s="266"/>
      <c r="G589" s="113"/>
      <c r="K589" s="36"/>
      <c r="L589" s="117"/>
      <c r="M589" s="128"/>
      <c r="N589" s="117"/>
      <c r="R589" s="117"/>
      <c r="T589" s="117"/>
      <c r="V589" s="117"/>
      <c r="X589" s="117"/>
      <c r="Y589" s="10"/>
      <c r="Z589" s="11"/>
      <c r="AA589" s="36"/>
      <c r="AB589" s="36"/>
      <c r="AC589" s="13"/>
      <c r="AD589" s="13"/>
      <c r="AE589" s="37"/>
      <c r="AF589" s="37"/>
      <c r="AG589" s="14"/>
      <c r="AH589" s="14"/>
      <c r="AI589" s="14"/>
      <c r="AZ589" s="24"/>
    </row>
    <row r="590">
      <c r="B590" s="24"/>
      <c r="E590" s="113"/>
      <c r="F590" s="266"/>
      <c r="G590" s="113"/>
      <c r="K590" s="36"/>
      <c r="L590" s="117"/>
      <c r="M590" s="128"/>
      <c r="N590" s="117"/>
      <c r="R590" s="117"/>
      <c r="T590" s="117"/>
      <c r="V590" s="117"/>
      <c r="X590" s="117"/>
      <c r="Y590" s="10"/>
      <c r="Z590" s="11"/>
      <c r="AA590" s="36"/>
      <c r="AB590" s="36"/>
      <c r="AC590" s="13"/>
      <c r="AD590" s="13"/>
      <c r="AE590" s="37"/>
      <c r="AF590" s="37"/>
      <c r="AG590" s="14"/>
      <c r="AH590" s="14"/>
      <c r="AI590" s="14"/>
      <c r="AZ590" s="24"/>
    </row>
    <row r="591">
      <c r="B591" s="24"/>
      <c r="E591" s="113"/>
      <c r="F591" s="266"/>
      <c r="G591" s="113"/>
      <c r="K591" s="36"/>
      <c r="L591" s="117"/>
      <c r="M591" s="128"/>
      <c r="N591" s="117"/>
      <c r="R591" s="117"/>
      <c r="T591" s="117"/>
      <c r="V591" s="117"/>
      <c r="X591" s="117"/>
      <c r="Y591" s="10"/>
      <c r="Z591" s="11"/>
      <c r="AA591" s="36"/>
      <c r="AB591" s="36"/>
      <c r="AC591" s="13"/>
      <c r="AD591" s="13"/>
      <c r="AE591" s="37"/>
      <c r="AF591" s="37"/>
      <c r="AG591" s="14"/>
      <c r="AH591" s="14"/>
      <c r="AI591" s="14"/>
      <c r="AZ591" s="24"/>
    </row>
    <row r="592">
      <c r="B592" s="24"/>
      <c r="E592" s="113"/>
      <c r="F592" s="266"/>
      <c r="G592" s="113"/>
      <c r="K592" s="36"/>
      <c r="L592" s="117"/>
      <c r="M592" s="128"/>
      <c r="N592" s="117"/>
      <c r="R592" s="117"/>
      <c r="T592" s="117"/>
      <c r="V592" s="117"/>
      <c r="X592" s="117"/>
      <c r="Y592" s="10"/>
      <c r="Z592" s="11"/>
      <c r="AA592" s="36"/>
      <c r="AB592" s="36"/>
      <c r="AC592" s="13"/>
      <c r="AD592" s="13"/>
      <c r="AE592" s="37"/>
      <c r="AF592" s="37"/>
      <c r="AG592" s="14"/>
      <c r="AH592" s="14"/>
      <c r="AI592" s="14"/>
      <c r="AZ592" s="24"/>
    </row>
    <row r="593">
      <c r="B593" s="24"/>
      <c r="E593" s="113"/>
      <c r="F593" s="266"/>
      <c r="G593" s="113"/>
      <c r="K593" s="36"/>
      <c r="L593" s="117"/>
      <c r="M593" s="128"/>
      <c r="N593" s="117"/>
      <c r="R593" s="117"/>
      <c r="T593" s="117"/>
      <c r="V593" s="117"/>
      <c r="X593" s="117"/>
      <c r="Y593" s="10"/>
      <c r="Z593" s="11"/>
      <c r="AA593" s="36"/>
      <c r="AB593" s="36"/>
      <c r="AC593" s="13"/>
      <c r="AD593" s="13"/>
      <c r="AE593" s="37"/>
      <c r="AF593" s="37"/>
      <c r="AG593" s="14"/>
      <c r="AH593" s="14"/>
      <c r="AI593" s="14"/>
      <c r="AZ593" s="24"/>
    </row>
    <row r="594">
      <c r="B594" s="24"/>
      <c r="E594" s="113"/>
      <c r="F594" s="266"/>
      <c r="G594" s="113"/>
      <c r="K594" s="36"/>
      <c r="L594" s="117"/>
      <c r="M594" s="128"/>
      <c r="N594" s="117"/>
      <c r="R594" s="117"/>
      <c r="T594" s="117"/>
      <c r="V594" s="117"/>
      <c r="X594" s="117"/>
      <c r="Y594" s="10"/>
      <c r="Z594" s="11"/>
      <c r="AA594" s="36"/>
      <c r="AB594" s="36"/>
      <c r="AC594" s="13"/>
      <c r="AD594" s="13"/>
      <c r="AE594" s="37"/>
      <c r="AF594" s="37"/>
      <c r="AG594" s="14"/>
      <c r="AH594" s="14"/>
      <c r="AI594" s="14"/>
      <c r="AZ594" s="24"/>
    </row>
    <row r="595">
      <c r="B595" s="24"/>
      <c r="E595" s="113"/>
      <c r="F595" s="266"/>
      <c r="G595" s="113"/>
      <c r="K595" s="36"/>
      <c r="L595" s="117"/>
      <c r="M595" s="128"/>
      <c r="N595" s="117"/>
      <c r="R595" s="117"/>
      <c r="T595" s="117"/>
      <c r="V595" s="117"/>
      <c r="X595" s="117"/>
      <c r="Y595" s="10"/>
      <c r="Z595" s="11"/>
      <c r="AA595" s="36"/>
      <c r="AB595" s="36"/>
      <c r="AC595" s="13"/>
      <c r="AD595" s="13"/>
      <c r="AE595" s="37"/>
      <c r="AF595" s="37"/>
      <c r="AG595" s="14"/>
      <c r="AH595" s="14"/>
      <c r="AI595" s="14"/>
      <c r="AZ595" s="24"/>
    </row>
    <row r="596">
      <c r="B596" s="24"/>
      <c r="E596" s="113"/>
      <c r="F596" s="266"/>
      <c r="G596" s="113"/>
      <c r="K596" s="36"/>
      <c r="L596" s="117"/>
      <c r="M596" s="128"/>
      <c r="N596" s="117"/>
      <c r="R596" s="117"/>
      <c r="T596" s="117"/>
      <c r="V596" s="117"/>
      <c r="X596" s="117"/>
      <c r="Y596" s="10"/>
      <c r="Z596" s="11"/>
      <c r="AA596" s="36"/>
      <c r="AB596" s="36"/>
      <c r="AC596" s="13"/>
      <c r="AD596" s="13"/>
      <c r="AE596" s="37"/>
      <c r="AF596" s="37"/>
      <c r="AG596" s="14"/>
      <c r="AH596" s="14"/>
      <c r="AI596" s="14"/>
      <c r="AZ596" s="24"/>
    </row>
    <row r="597">
      <c r="B597" s="24"/>
      <c r="E597" s="113"/>
      <c r="F597" s="266"/>
      <c r="G597" s="113"/>
      <c r="K597" s="36"/>
      <c r="L597" s="117"/>
      <c r="M597" s="128"/>
      <c r="N597" s="117"/>
      <c r="R597" s="117"/>
      <c r="T597" s="117"/>
      <c r="V597" s="117"/>
      <c r="X597" s="117"/>
      <c r="Y597" s="10"/>
      <c r="Z597" s="11"/>
      <c r="AA597" s="36"/>
      <c r="AB597" s="36"/>
      <c r="AC597" s="13"/>
      <c r="AD597" s="13"/>
      <c r="AE597" s="37"/>
      <c r="AF597" s="37"/>
      <c r="AG597" s="14"/>
      <c r="AH597" s="14"/>
      <c r="AI597" s="14"/>
      <c r="AZ597" s="24"/>
    </row>
    <row r="598">
      <c r="B598" s="24"/>
      <c r="E598" s="113"/>
      <c r="F598" s="266"/>
      <c r="G598" s="113"/>
      <c r="K598" s="36"/>
      <c r="L598" s="117"/>
      <c r="M598" s="128"/>
      <c r="N598" s="117"/>
      <c r="R598" s="117"/>
      <c r="T598" s="117"/>
      <c r="V598" s="117"/>
      <c r="X598" s="117"/>
      <c r="Y598" s="10"/>
      <c r="Z598" s="11"/>
      <c r="AA598" s="36"/>
      <c r="AB598" s="36"/>
      <c r="AC598" s="13"/>
      <c r="AD598" s="13"/>
      <c r="AE598" s="37"/>
      <c r="AF598" s="37"/>
      <c r="AG598" s="14"/>
      <c r="AH598" s="14"/>
      <c r="AI598" s="14"/>
      <c r="AZ598" s="24"/>
    </row>
    <row r="599">
      <c r="B599" s="24"/>
      <c r="E599" s="113"/>
      <c r="F599" s="266"/>
      <c r="G599" s="113"/>
      <c r="K599" s="36"/>
      <c r="L599" s="117"/>
      <c r="M599" s="128"/>
      <c r="N599" s="117"/>
      <c r="R599" s="117"/>
      <c r="T599" s="117"/>
      <c r="V599" s="117"/>
      <c r="X599" s="117"/>
      <c r="Y599" s="10"/>
      <c r="Z599" s="11"/>
      <c r="AA599" s="36"/>
      <c r="AB599" s="36"/>
      <c r="AC599" s="13"/>
      <c r="AD599" s="13"/>
      <c r="AE599" s="37"/>
      <c r="AF599" s="37"/>
      <c r="AG599" s="14"/>
      <c r="AH599" s="14"/>
      <c r="AI599" s="14"/>
      <c r="AZ599" s="24"/>
    </row>
    <row r="600">
      <c r="B600" s="24"/>
      <c r="E600" s="113"/>
      <c r="F600" s="266"/>
      <c r="G600" s="113"/>
      <c r="K600" s="36"/>
      <c r="L600" s="117"/>
      <c r="M600" s="128"/>
      <c r="N600" s="117"/>
      <c r="R600" s="117"/>
      <c r="T600" s="117"/>
      <c r="V600" s="117"/>
      <c r="X600" s="117"/>
      <c r="Y600" s="10"/>
      <c r="Z600" s="11"/>
      <c r="AA600" s="36"/>
      <c r="AB600" s="36"/>
      <c r="AC600" s="13"/>
      <c r="AD600" s="13"/>
      <c r="AE600" s="37"/>
      <c r="AF600" s="37"/>
      <c r="AG600" s="14"/>
      <c r="AH600" s="14"/>
      <c r="AI600" s="14"/>
      <c r="AZ600" s="24"/>
    </row>
    <row r="601">
      <c r="B601" s="24"/>
      <c r="E601" s="113"/>
      <c r="F601" s="266"/>
      <c r="G601" s="113"/>
      <c r="K601" s="36"/>
      <c r="L601" s="117"/>
      <c r="M601" s="128"/>
      <c r="N601" s="117"/>
      <c r="R601" s="117"/>
      <c r="T601" s="117"/>
      <c r="V601" s="117"/>
      <c r="X601" s="117"/>
      <c r="Y601" s="10"/>
      <c r="Z601" s="11"/>
      <c r="AA601" s="36"/>
      <c r="AB601" s="36"/>
      <c r="AC601" s="13"/>
      <c r="AD601" s="13"/>
      <c r="AE601" s="37"/>
      <c r="AF601" s="37"/>
      <c r="AG601" s="14"/>
      <c r="AH601" s="14"/>
      <c r="AI601" s="14"/>
      <c r="AZ601" s="24"/>
    </row>
    <row r="602">
      <c r="B602" s="24"/>
      <c r="E602" s="113"/>
      <c r="F602" s="266"/>
      <c r="G602" s="113"/>
      <c r="K602" s="36"/>
      <c r="L602" s="117"/>
      <c r="M602" s="128"/>
      <c r="N602" s="117"/>
      <c r="R602" s="117"/>
      <c r="T602" s="117"/>
      <c r="V602" s="117"/>
      <c r="X602" s="117"/>
      <c r="Y602" s="10"/>
      <c r="Z602" s="11"/>
      <c r="AA602" s="36"/>
      <c r="AB602" s="36"/>
      <c r="AC602" s="13"/>
      <c r="AD602" s="13"/>
      <c r="AE602" s="37"/>
      <c r="AF602" s="37"/>
      <c r="AG602" s="14"/>
      <c r="AH602" s="14"/>
      <c r="AI602" s="14"/>
      <c r="AZ602" s="24"/>
    </row>
    <row r="603">
      <c r="B603" s="24"/>
      <c r="E603" s="113"/>
      <c r="F603" s="266"/>
      <c r="G603" s="113"/>
      <c r="K603" s="36"/>
      <c r="L603" s="117"/>
      <c r="M603" s="128"/>
      <c r="N603" s="117"/>
      <c r="R603" s="117"/>
      <c r="T603" s="117"/>
      <c r="V603" s="117"/>
      <c r="X603" s="117"/>
      <c r="Y603" s="10"/>
      <c r="Z603" s="11"/>
      <c r="AA603" s="36"/>
      <c r="AB603" s="36"/>
      <c r="AC603" s="13"/>
      <c r="AD603" s="13"/>
      <c r="AE603" s="37"/>
      <c r="AF603" s="37"/>
      <c r="AG603" s="14"/>
      <c r="AH603" s="14"/>
      <c r="AI603" s="14"/>
      <c r="AZ603" s="24"/>
    </row>
    <row r="604">
      <c r="B604" s="24"/>
      <c r="E604" s="113"/>
      <c r="F604" s="266"/>
      <c r="G604" s="113"/>
      <c r="K604" s="36"/>
      <c r="L604" s="117"/>
      <c r="M604" s="128"/>
      <c r="N604" s="117"/>
      <c r="R604" s="117"/>
      <c r="T604" s="117"/>
      <c r="V604" s="117"/>
      <c r="X604" s="117"/>
      <c r="Y604" s="10"/>
      <c r="Z604" s="11"/>
      <c r="AA604" s="36"/>
      <c r="AB604" s="36"/>
      <c r="AC604" s="13"/>
      <c r="AD604" s="13"/>
      <c r="AE604" s="37"/>
      <c r="AF604" s="37"/>
      <c r="AG604" s="14"/>
      <c r="AH604" s="14"/>
      <c r="AI604" s="14"/>
      <c r="AZ604" s="24"/>
    </row>
    <row r="605">
      <c r="B605" s="24"/>
      <c r="E605" s="113"/>
      <c r="F605" s="266"/>
      <c r="G605" s="113"/>
      <c r="K605" s="36"/>
      <c r="L605" s="117"/>
      <c r="M605" s="128"/>
      <c r="N605" s="117"/>
      <c r="R605" s="117"/>
      <c r="T605" s="117"/>
      <c r="V605" s="117"/>
      <c r="X605" s="117"/>
      <c r="Y605" s="10"/>
      <c r="Z605" s="11"/>
      <c r="AA605" s="36"/>
      <c r="AB605" s="36"/>
      <c r="AC605" s="13"/>
      <c r="AD605" s="13"/>
      <c r="AE605" s="37"/>
      <c r="AF605" s="37"/>
      <c r="AG605" s="14"/>
      <c r="AH605" s="14"/>
      <c r="AI605" s="14"/>
      <c r="AZ605" s="24"/>
    </row>
    <row r="606">
      <c r="B606" s="24"/>
      <c r="E606" s="113"/>
      <c r="F606" s="266"/>
      <c r="G606" s="113"/>
      <c r="K606" s="36"/>
      <c r="L606" s="117"/>
      <c r="M606" s="128"/>
      <c r="N606" s="117"/>
      <c r="R606" s="117"/>
      <c r="T606" s="117"/>
      <c r="V606" s="117"/>
      <c r="X606" s="117"/>
      <c r="Y606" s="10"/>
      <c r="Z606" s="11"/>
      <c r="AA606" s="36"/>
      <c r="AB606" s="36"/>
      <c r="AC606" s="13"/>
      <c r="AD606" s="13"/>
      <c r="AE606" s="37"/>
      <c r="AF606" s="37"/>
      <c r="AG606" s="14"/>
      <c r="AH606" s="14"/>
      <c r="AI606" s="14"/>
      <c r="AZ606" s="24"/>
    </row>
    <row r="607">
      <c r="B607" s="24"/>
      <c r="E607" s="113"/>
      <c r="F607" s="266"/>
      <c r="G607" s="113"/>
      <c r="K607" s="36"/>
      <c r="L607" s="117"/>
      <c r="M607" s="128"/>
      <c r="N607" s="117"/>
      <c r="R607" s="117"/>
      <c r="T607" s="117"/>
      <c r="V607" s="117"/>
      <c r="X607" s="117"/>
      <c r="Y607" s="10"/>
      <c r="Z607" s="11"/>
      <c r="AA607" s="36"/>
      <c r="AB607" s="36"/>
      <c r="AC607" s="13"/>
      <c r="AD607" s="13"/>
      <c r="AE607" s="37"/>
      <c r="AF607" s="37"/>
      <c r="AG607" s="14"/>
      <c r="AH607" s="14"/>
      <c r="AI607" s="14"/>
      <c r="AZ607" s="24"/>
    </row>
    <row r="608">
      <c r="B608" s="24"/>
      <c r="E608" s="113"/>
      <c r="F608" s="266"/>
      <c r="G608" s="113"/>
      <c r="K608" s="36"/>
      <c r="L608" s="117"/>
      <c r="M608" s="128"/>
      <c r="N608" s="117"/>
      <c r="R608" s="117"/>
      <c r="T608" s="117"/>
      <c r="V608" s="117"/>
      <c r="X608" s="117"/>
      <c r="Y608" s="10"/>
      <c r="Z608" s="11"/>
      <c r="AA608" s="36"/>
      <c r="AB608" s="36"/>
      <c r="AC608" s="13"/>
      <c r="AD608" s="13"/>
      <c r="AE608" s="37"/>
      <c r="AF608" s="37"/>
      <c r="AG608" s="14"/>
      <c r="AH608" s="14"/>
      <c r="AI608" s="14"/>
      <c r="AZ608" s="24"/>
    </row>
    <row r="609">
      <c r="B609" s="24"/>
      <c r="E609" s="113"/>
      <c r="F609" s="266"/>
      <c r="G609" s="113"/>
      <c r="K609" s="36"/>
      <c r="L609" s="117"/>
      <c r="M609" s="128"/>
      <c r="N609" s="117"/>
      <c r="R609" s="117"/>
      <c r="T609" s="117"/>
      <c r="V609" s="117"/>
      <c r="X609" s="117"/>
      <c r="Y609" s="10"/>
      <c r="Z609" s="11"/>
      <c r="AA609" s="36"/>
      <c r="AB609" s="36"/>
      <c r="AC609" s="13"/>
      <c r="AD609" s="13"/>
      <c r="AE609" s="37"/>
      <c r="AF609" s="37"/>
      <c r="AG609" s="14"/>
      <c r="AH609" s="14"/>
      <c r="AI609" s="14"/>
      <c r="AZ609" s="24"/>
    </row>
    <row r="610">
      <c r="B610" s="24"/>
      <c r="E610" s="113"/>
      <c r="F610" s="266"/>
      <c r="G610" s="113"/>
      <c r="K610" s="36"/>
      <c r="L610" s="117"/>
      <c r="M610" s="128"/>
      <c r="N610" s="117"/>
      <c r="R610" s="117"/>
      <c r="T610" s="117"/>
      <c r="V610" s="117"/>
      <c r="X610" s="117"/>
      <c r="Y610" s="10"/>
      <c r="Z610" s="11"/>
      <c r="AA610" s="36"/>
      <c r="AB610" s="36"/>
      <c r="AC610" s="13"/>
      <c r="AD610" s="13"/>
      <c r="AE610" s="37"/>
      <c r="AF610" s="37"/>
      <c r="AG610" s="14"/>
      <c r="AH610" s="14"/>
      <c r="AI610" s="14"/>
      <c r="AZ610" s="24"/>
    </row>
    <row r="611">
      <c r="B611" s="24"/>
      <c r="E611" s="113"/>
      <c r="F611" s="266"/>
      <c r="G611" s="113"/>
      <c r="K611" s="36"/>
      <c r="L611" s="117"/>
      <c r="M611" s="128"/>
      <c r="N611" s="117"/>
      <c r="R611" s="117"/>
      <c r="T611" s="117"/>
      <c r="V611" s="117"/>
      <c r="X611" s="117"/>
      <c r="Y611" s="10"/>
      <c r="Z611" s="11"/>
      <c r="AA611" s="36"/>
      <c r="AB611" s="36"/>
      <c r="AC611" s="13"/>
      <c r="AD611" s="13"/>
      <c r="AE611" s="37"/>
      <c r="AF611" s="37"/>
      <c r="AG611" s="14"/>
      <c r="AH611" s="14"/>
      <c r="AI611" s="14"/>
      <c r="AZ611" s="24"/>
    </row>
    <row r="612">
      <c r="B612" s="24"/>
      <c r="E612" s="113"/>
      <c r="F612" s="266"/>
      <c r="G612" s="113"/>
      <c r="K612" s="36"/>
      <c r="L612" s="117"/>
      <c r="M612" s="128"/>
      <c r="N612" s="117"/>
      <c r="R612" s="117"/>
      <c r="T612" s="117"/>
      <c r="V612" s="117"/>
      <c r="X612" s="117"/>
      <c r="Y612" s="10"/>
      <c r="Z612" s="11"/>
      <c r="AA612" s="36"/>
      <c r="AB612" s="36"/>
      <c r="AC612" s="13"/>
      <c r="AD612" s="13"/>
      <c r="AE612" s="37"/>
      <c r="AF612" s="37"/>
      <c r="AG612" s="14"/>
      <c r="AH612" s="14"/>
      <c r="AI612" s="14"/>
      <c r="AZ612" s="24"/>
    </row>
    <row r="613">
      <c r="B613" s="24"/>
      <c r="E613" s="113"/>
      <c r="F613" s="266"/>
      <c r="G613" s="113"/>
      <c r="K613" s="36"/>
      <c r="L613" s="117"/>
      <c r="M613" s="128"/>
      <c r="N613" s="117"/>
      <c r="R613" s="117"/>
      <c r="T613" s="117"/>
      <c r="V613" s="117"/>
      <c r="X613" s="117"/>
      <c r="Y613" s="10"/>
      <c r="Z613" s="11"/>
      <c r="AA613" s="36"/>
      <c r="AB613" s="36"/>
      <c r="AC613" s="13"/>
      <c r="AD613" s="13"/>
      <c r="AE613" s="37"/>
      <c r="AF613" s="37"/>
      <c r="AG613" s="14"/>
      <c r="AH613" s="14"/>
      <c r="AI613" s="14"/>
      <c r="AZ613" s="24"/>
    </row>
    <row r="614">
      <c r="B614" s="24"/>
      <c r="E614" s="113"/>
      <c r="F614" s="266"/>
      <c r="G614" s="113"/>
      <c r="K614" s="36"/>
      <c r="L614" s="117"/>
      <c r="M614" s="128"/>
      <c r="N614" s="117"/>
      <c r="R614" s="117"/>
      <c r="T614" s="117"/>
      <c r="V614" s="117"/>
      <c r="X614" s="117"/>
      <c r="Y614" s="10"/>
      <c r="Z614" s="11"/>
      <c r="AA614" s="36"/>
      <c r="AB614" s="36"/>
      <c r="AC614" s="13"/>
      <c r="AD614" s="13"/>
      <c r="AE614" s="37"/>
      <c r="AF614" s="37"/>
      <c r="AG614" s="14"/>
      <c r="AH614" s="14"/>
      <c r="AI614" s="14"/>
      <c r="AZ614" s="24"/>
    </row>
    <row r="615">
      <c r="B615" s="24"/>
      <c r="E615" s="113"/>
      <c r="F615" s="266"/>
      <c r="G615" s="113"/>
      <c r="K615" s="36"/>
      <c r="L615" s="117"/>
      <c r="M615" s="128"/>
      <c r="N615" s="117"/>
      <c r="R615" s="117"/>
      <c r="T615" s="117"/>
      <c r="V615" s="117"/>
      <c r="X615" s="117"/>
      <c r="Y615" s="10"/>
      <c r="Z615" s="11"/>
      <c r="AA615" s="36"/>
      <c r="AB615" s="36"/>
      <c r="AC615" s="13"/>
      <c r="AD615" s="13"/>
      <c r="AE615" s="37"/>
      <c r="AF615" s="37"/>
      <c r="AG615" s="14"/>
      <c r="AH615" s="14"/>
      <c r="AI615" s="14"/>
      <c r="AZ615" s="24"/>
    </row>
    <row r="616">
      <c r="B616" s="24"/>
      <c r="E616" s="113"/>
      <c r="F616" s="266"/>
      <c r="G616" s="113"/>
      <c r="K616" s="36"/>
      <c r="L616" s="117"/>
      <c r="M616" s="128"/>
      <c r="N616" s="117"/>
      <c r="R616" s="117"/>
      <c r="T616" s="117"/>
      <c r="V616" s="117"/>
      <c r="X616" s="117"/>
      <c r="Y616" s="10"/>
      <c r="Z616" s="11"/>
      <c r="AA616" s="36"/>
      <c r="AB616" s="36"/>
      <c r="AC616" s="13"/>
      <c r="AD616" s="13"/>
      <c r="AE616" s="37"/>
      <c r="AF616" s="37"/>
      <c r="AG616" s="14"/>
      <c r="AH616" s="14"/>
      <c r="AI616" s="14"/>
      <c r="AZ616" s="24"/>
    </row>
    <row r="617">
      <c r="B617" s="24"/>
      <c r="E617" s="113"/>
      <c r="F617" s="266"/>
      <c r="G617" s="113"/>
      <c r="K617" s="36"/>
      <c r="L617" s="117"/>
      <c r="M617" s="128"/>
      <c r="N617" s="117"/>
      <c r="R617" s="117"/>
      <c r="T617" s="117"/>
      <c r="V617" s="117"/>
      <c r="X617" s="117"/>
      <c r="Y617" s="10"/>
      <c r="Z617" s="11"/>
      <c r="AA617" s="36"/>
      <c r="AB617" s="36"/>
      <c r="AC617" s="13"/>
      <c r="AD617" s="13"/>
      <c r="AE617" s="37"/>
      <c r="AF617" s="37"/>
      <c r="AG617" s="14"/>
      <c r="AH617" s="14"/>
      <c r="AI617" s="14"/>
      <c r="AZ617" s="24"/>
    </row>
    <row r="618">
      <c r="B618" s="24"/>
      <c r="E618" s="113"/>
      <c r="F618" s="266"/>
      <c r="G618" s="113"/>
      <c r="K618" s="36"/>
      <c r="L618" s="117"/>
      <c r="M618" s="128"/>
      <c r="N618" s="117"/>
      <c r="R618" s="117"/>
      <c r="T618" s="117"/>
      <c r="V618" s="117"/>
      <c r="X618" s="117"/>
      <c r="Y618" s="10"/>
      <c r="Z618" s="11"/>
      <c r="AA618" s="36"/>
      <c r="AB618" s="36"/>
      <c r="AC618" s="13"/>
      <c r="AD618" s="13"/>
      <c r="AE618" s="37"/>
      <c r="AF618" s="37"/>
      <c r="AG618" s="14"/>
      <c r="AH618" s="14"/>
      <c r="AI618" s="14"/>
      <c r="AZ618" s="24"/>
    </row>
    <row r="619">
      <c r="B619" s="24"/>
      <c r="E619" s="113"/>
      <c r="F619" s="266"/>
      <c r="G619" s="113"/>
      <c r="K619" s="36"/>
      <c r="L619" s="117"/>
      <c r="M619" s="128"/>
      <c r="N619" s="117"/>
      <c r="R619" s="117"/>
      <c r="T619" s="117"/>
      <c r="V619" s="117"/>
      <c r="X619" s="117"/>
      <c r="Y619" s="10"/>
      <c r="Z619" s="11"/>
      <c r="AA619" s="36"/>
      <c r="AB619" s="36"/>
      <c r="AC619" s="13"/>
      <c r="AD619" s="13"/>
      <c r="AE619" s="37"/>
      <c r="AF619" s="37"/>
      <c r="AG619" s="14"/>
      <c r="AH619" s="14"/>
      <c r="AI619" s="14"/>
      <c r="AZ619" s="24"/>
    </row>
    <row r="620">
      <c r="B620" s="24"/>
      <c r="E620" s="113"/>
      <c r="F620" s="266"/>
      <c r="G620" s="113"/>
      <c r="K620" s="36"/>
      <c r="L620" s="117"/>
      <c r="M620" s="128"/>
      <c r="N620" s="117"/>
      <c r="R620" s="117"/>
      <c r="T620" s="117"/>
      <c r="V620" s="117"/>
      <c r="X620" s="117"/>
      <c r="Y620" s="10"/>
      <c r="Z620" s="11"/>
      <c r="AA620" s="36"/>
      <c r="AB620" s="36"/>
      <c r="AC620" s="13"/>
      <c r="AD620" s="13"/>
      <c r="AE620" s="37"/>
      <c r="AF620" s="37"/>
      <c r="AG620" s="14"/>
      <c r="AH620" s="14"/>
      <c r="AI620" s="14"/>
      <c r="AZ620" s="24"/>
    </row>
    <row r="621">
      <c r="B621" s="24"/>
      <c r="E621" s="113"/>
      <c r="F621" s="266"/>
      <c r="G621" s="113"/>
      <c r="K621" s="36"/>
      <c r="L621" s="117"/>
      <c r="M621" s="128"/>
      <c r="N621" s="117"/>
      <c r="R621" s="117"/>
      <c r="T621" s="117"/>
      <c r="V621" s="117"/>
      <c r="X621" s="117"/>
      <c r="Y621" s="10"/>
      <c r="Z621" s="11"/>
      <c r="AA621" s="36"/>
      <c r="AB621" s="36"/>
      <c r="AC621" s="13"/>
      <c r="AD621" s="13"/>
      <c r="AE621" s="37"/>
      <c r="AF621" s="37"/>
      <c r="AG621" s="14"/>
      <c r="AH621" s="14"/>
      <c r="AI621" s="14"/>
      <c r="AZ621" s="24"/>
    </row>
    <row r="622">
      <c r="B622" s="24"/>
      <c r="E622" s="113"/>
      <c r="F622" s="266"/>
      <c r="G622" s="113"/>
      <c r="K622" s="36"/>
      <c r="L622" s="117"/>
      <c r="M622" s="128"/>
      <c r="N622" s="117"/>
      <c r="R622" s="117"/>
      <c r="T622" s="117"/>
      <c r="V622" s="117"/>
      <c r="X622" s="117"/>
      <c r="Y622" s="10"/>
      <c r="Z622" s="11"/>
      <c r="AA622" s="36"/>
      <c r="AB622" s="36"/>
      <c r="AC622" s="13"/>
      <c r="AD622" s="13"/>
      <c r="AE622" s="37"/>
      <c r="AF622" s="37"/>
      <c r="AG622" s="14"/>
      <c r="AH622" s="14"/>
      <c r="AI622" s="14"/>
      <c r="AZ622" s="24"/>
    </row>
    <row r="623">
      <c r="B623" s="24"/>
      <c r="E623" s="113"/>
      <c r="F623" s="266"/>
      <c r="G623" s="113"/>
      <c r="K623" s="36"/>
      <c r="L623" s="117"/>
      <c r="M623" s="128"/>
      <c r="N623" s="117"/>
      <c r="R623" s="117"/>
      <c r="T623" s="117"/>
      <c r="V623" s="117"/>
      <c r="X623" s="117"/>
      <c r="Y623" s="10"/>
      <c r="Z623" s="11"/>
      <c r="AA623" s="36"/>
      <c r="AB623" s="36"/>
      <c r="AC623" s="13"/>
      <c r="AD623" s="13"/>
      <c r="AE623" s="37"/>
      <c r="AF623" s="37"/>
      <c r="AG623" s="14"/>
      <c r="AH623" s="14"/>
      <c r="AI623" s="14"/>
      <c r="AZ623" s="24"/>
    </row>
    <row r="624">
      <c r="B624" s="24"/>
      <c r="E624" s="113"/>
      <c r="F624" s="266"/>
      <c r="G624" s="113"/>
      <c r="K624" s="36"/>
      <c r="L624" s="117"/>
      <c r="M624" s="128"/>
      <c r="N624" s="117"/>
      <c r="R624" s="117"/>
      <c r="T624" s="117"/>
      <c r="V624" s="117"/>
      <c r="X624" s="117"/>
      <c r="Y624" s="10"/>
      <c r="Z624" s="11"/>
      <c r="AA624" s="36"/>
      <c r="AB624" s="36"/>
      <c r="AC624" s="13"/>
      <c r="AD624" s="13"/>
      <c r="AE624" s="37"/>
      <c r="AF624" s="37"/>
      <c r="AG624" s="14"/>
      <c r="AH624" s="14"/>
      <c r="AI624" s="14"/>
      <c r="AZ624" s="24"/>
    </row>
    <row r="625">
      <c r="B625" s="24"/>
      <c r="E625" s="113"/>
      <c r="F625" s="266"/>
      <c r="G625" s="113"/>
      <c r="K625" s="36"/>
      <c r="L625" s="117"/>
      <c r="M625" s="128"/>
      <c r="N625" s="117"/>
      <c r="R625" s="117"/>
      <c r="T625" s="117"/>
      <c r="V625" s="117"/>
      <c r="X625" s="117"/>
      <c r="Y625" s="10"/>
      <c r="Z625" s="11"/>
      <c r="AA625" s="36"/>
      <c r="AB625" s="36"/>
      <c r="AC625" s="13"/>
      <c r="AD625" s="13"/>
      <c r="AE625" s="37"/>
      <c r="AF625" s="37"/>
      <c r="AG625" s="14"/>
      <c r="AH625" s="14"/>
      <c r="AI625" s="14"/>
      <c r="AZ625" s="24"/>
    </row>
    <row r="626">
      <c r="B626" s="24"/>
      <c r="E626" s="113"/>
      <c r="F626" s="266"/>
      <c r="G626" s="113"/>
      <c r="K626" s="36"/>
      <c r="L626" s="117"/>
      <c r="M626" s="128"/>
      <c r="N626" s="117"/>
      <c r="R626" s="117"/>
      <c r="T626" s="117"/>
      <c r="V626" s="117"/>
      <c r="X626" s="117"/>
      <c r="Y626" s="10"/>
      <c r="Z626" s="11"/>
      <c r="AA626" s="36"/>
      <c r="AB626" s="36"/>
      <c r="AC626" s="13"/>
      <c r="AD626" s="13"/>
      <c r="AE626" s="37"/>
      <c r="AF626" s="37"/>
      <c r="AG626" s="14"/>
      <c r="AH626" s="14"/>
      <c r="AI626" s="14"/>
      <c r="AZ626" s="24"/>
    </row>
    <row r="627">
      <c r="B627" s="24"/>
      <c r="E627" s="113"/>
      <c r="F627" s="266"/>
      <c r="G627" s="113"/>
      <c r="K627" s="36"/>
      <c r="L627" s="117"/>
      <c r="M627" s="128"/>
      <c r="N627" s="117"/>
      <c r="R627" s="117"/>
      <c r="T627" s="117"/>
      <c r="V627" s="117"/>
      <c r="X627" s="117"/>
      <c r="Y627" s="10"/>
      <c r="Z627" s="11"/>
      <c r="AA627" s="36"/>
      <c r="AB627" s="36"/>
      <c r="AC627" s="13"/>
      <c r="AD627" s="13"/>
      <c r="AE627" s="37"/>
      <c r="AF627" s="37"/>
      <c r="AG627" s="14"/>
      <c r="AH627" s="14"/>
      <c r="AI627" s="14"/>
      <c r="AZ627" s="24"/>
    </row>
    <row r="628">
      <c r="B628" s="24"/>
      <c r="E628" s="113"/>
      <c r="F628" s="266"/>
      <c r="G628" s="113"/>
      <c r="K628" s="36"/>
      <c r="L628" s="117"/>
      <c r="M628" s="128"/>
      <c r="N628" s="117"/>
      <c r="R628" s="117"/>
      <c r="T628" s="117"/>
      <c r="V628" s="117"/>
      <c r="X628" s="117"/>
      <c r="Y628" s="10"/>
      <c r="Z628" s="11"/>
      <c r="AA628" s="36"/>
      <c r="AB628" s="36"/>
      <c r="AC628" s="13"/>
      <c r="AD628" s="13"/>
      <c r="AE628" s="37"/>
      <c r="AF628" s="37"/>
      <c r="AG628" s="14"/>
      <c r="AH628" s="14"/>
      <c r="AI628" s="14"/>
      <c r="AZ628" s="24"/>
    </row>
    <row r="629">
      <c r="B629" s="24"/>
      <c r="E629" s="113"/>
      <c r="F629" s="266"/>
      <c r="G629" s="113"/>
      <c r="K629" s="36"/>
      <c r="L629" s="117"/>
      <c r="M629" s="128"/>
      <c r="N629" s="117"/>
      <c r="R629" s="117"/>
      <c r="T629" s="117"/>
      <c r="V629" s="117"/>
      <c r="X629" s="117"/>
      <c r="Y629" s="10"/>
      <c r="Z629" s="11"/>
      <c r="AA629" s="36"/>
      <c r="AB629" s="36"/>
      <c r="AC629" s="13"/>
      <c r="AD629" s="13"/>
      <c r="AE629" s="37"/>
      <c r="AF629" s="37"/>
      <c r="AG629" s="14"/>
      <c r="AH629" s="14"/>
      <c r="AI629" s="14"/>
      <c r="AZ629" s="24"/>
    </row>
    <row r="630">
      <c r="B630" s="24"/>
      <c r="E630" s="113"/>
      <c r="F630" s="266"/>
      <c r="G630" s="113"/>
      <c r="K630" s="36"/>
      <c r="L630" s="117"/>
      <c r="M630" s="128"/>
      <c r="N630" s="117"/>
      <c r="R630" s="117"/>
      <c r="T630" s="117"/>
      <c r="V630" s="117"/>
      <c r="X630" s="117"/>
      <c r="Y630" s="10"/>
      <c r="Z630" s="11"/>
      <c r="AA630" s="36"/>
      <c r="AB630" s="36"/>
      <c r="AC630" s="13"/>
      <c r="AD630" s="13"/>
      <c r="AE630" s="37"/>
      <c r="AF630" s="37"/>
      <c r="AG630" s="14"/>
      <c r="AH630" s="14"/>
      <c r="AI630" s="14"/>
      <c r="AZ630" s="24"/>
    </row>
    <row r="631">
      <c r="B631" s="24"/>
      <c r="E631" s="113"/>
      <c r="F631" s="266"/>
      <c r="G631" s="113"/>
      <c r="K631" s="36"/>
      <c r="L631" s="117"/>
      <c r="M631" s="128"/>
      <c r="N631" s="117"/>
      <c r="R631" s="117"/>
      <c r="T631" s="117"/>
      <c r="V631" s="117"/>
      <c r="X631" s="117"/>
      <c r="Y631" s="10"/>
      <c r="Z631" s="11"/>
      <c r="AA631" s="36"/>
      <c r="AB631" s="36"/>
      <c r="AC631" s="13"/>
      <c r="AD631" s="13"/>
      <c r="AE631" s="37"/>
      <c r="AF631" s="37"/>
      <c r="AG631" s="14"/>
      <c r="AH631" s="14"/>
      <c r="AI631" s="14"/>
      <c r="AZ631" s="24"/>
    </row>
    <row r="632">
      <c r="B632" s="24"/>
      <c r="E632" s="113"/>
      <c r="F632" s="266"/>
      <c r="G632" s="113"/>
      <c r="K632" s="36"/>
      <c r="L632" s="117"/>
      <c r="M632" s="128"/>
      <c r="N632" s="117"/>
      <c r="R632" s="117"/>
      <c r="T632" s="117"/>
      <c r="V632" s="117"/>
      <c r="X632" s="117"/>
      <c r="Y632" s="10"/>
      <c r="Z632" s="11"/>
      <c r="AA632" s="36"/>
      <c r="AB632" s="36"/>
      <c r="AC632" s="13"/>
      <c r="AD632" s="13"/>
      <c r="AE632" s="37"/>
      <c r="AF632" s="37"/>
      <c r="AG632" s="14"/>
      <c r="AH632" s="14"/>
      <c r="AI632" s="14"/>
      <c r="AZ632" s="24"/>
    </row>
    <row r="633">
      <c r="B633" s="24"/>
      <c r="E633" s="113"/>
      <c r="F633" s="266"/>
      <c r="G633" s="113"/>
      <c r="K633" s="36"/>
      <c r="L633" s="117"/>
      <c r="M633" s="128"/>
      <c r="N633" s="117"/>
      <c r="R633" s="117"/>
      <c r="T633" s="117"/>
      <c r="V633" s="117"/>
      <c r="X633" s="117"/>
      <c r="Y633" s="10"/>
      <c r="Z633" s="11"/>
      <c r="AA633" s="36"/>
      <c r="AB633" s="36"/>
      <c r="AC633" s="13"/>
      <c r="AD633" s="13"/>
      <c r="AE633" s="37"/>
      <c r="AF633" s="37"/>
      <c r="AG633" s="14"/>
      <c r="AH633" s="14"/>
      <c r="AI633" s="14"/>
      <c r="AZ633" s="24"/>
    </row>
    <row r="634">
      <c r="B634" s="24"/>
      <c r="E634" s="113"/>
      <c r="F634" s="266"/>
      <c r="G634" s="113"/>
      <c r="K634" s="36"/>
      <c r="L634" s="117"/>
      <c r="M634" s="128"/>
      <c r="N634" s="117"/>
      <c r="R634" s="117"/>
      <c r="T634" s="117"/>
      <c r="V634" s="117"/>
      <c r="X634" s="117"/>
      <c r="Y634" s="10"/>
      <c r="Z634" s="11"/>
      <c r="AA634" s="36"/>
      <c r="AB634" s="36"/>
      <c r="AC634" s="13"/>
      <c r="AD634" s="13"/>
      <c r="AE634" s="37"/>
      <c r="AF634" s="37"/>
      <c r="AG634" s="14"/>
      <c r="AH634" s="14"/>
      <c r="AI634" s="14"/>
      <c r="AZ634" s="24"/>
    </row>
    <row r="635">
      <c r="B635" s="24"/>
      <c r="E635" s="113"/>
      <c r="F635" s="266"/>
      <c r="G635" s="113"/>
      <c r="K635" s="36"/>
      <c r="L635" s="117"/>
      <c r="M635" s="128"/>
      <c r="N635" s="117"/>
      <c r="R635" s="117"/>
      <c r="T635" s="117"/>
      <c r="V635" s="117"/>
      <c r="X635" s="117"/>
      <c r="Y635" s="10"/>
      <c r="Z635" s="11"/>
      <c r="AA635" s="36"/>
      <c r="AB635" s="36"/>
      <c r="AC635" s="13"/>
      <c r="AD635" s="13"/>
      <c r="AE635" s="37"/>
      <c r="AF635" s="37"/>
      <c r="AG635" s="14"/>
      <c r="AH635" s="14"/>
      <c r="AI635" s="14"/>
      <c r="AZ635" s="24"/>
    </row>
    <row r="636">
      <c r="B636" s="24"/>
      <c r="E636" s="113"/>
      <c r="F636" s="266"/>
      <c r="G636" s="113"/>
      <c r="K636" s="36"/>
      <c r="L636" s="117"/>
      <c r="M636" s="128"/>
      <c r="N636" s="117"/>
      <c r="R636" s="117"/>
      <c r="T636" s="117"/>
      <c r="V636" s="117"/>
      <c r="X636" s="117"/>
      <c r="Y636" s="10"/>
      <c r="Z636" s="11"/>
      <c r="AA636" s="36"/>
      <c r="AB636" s="36"/>
      <c r="AC636" s="13"/>
      <c r="AD636" s="13"/>
      <c r="AE636" s="37"/>
      <c r="AF636" s="37"/>
      <c r="AG636" s="14"/>
      <c r="AH636" s="14"/>
      <c r="AI636" s="14"/>
      <c r="AZ636" s="24"/>
    </row>
    <row r="637">
      <c r="B637" s="24"/>
      <c r="E637" s="113"/>
      <c r="F637" s="266"/>
      <c r="G637" s="113"/>
      <c r="K637" s="36"/>
      <c r="L637" s="117"/>
      <c r="M637" s="128"/>
      <c r="N637" s="117"/>
      <c r="R637" s="117"/>
      <c r="T637" s="117"/>
      <c r="V637" s="117"/>
      <c r="X637" s="117"/>
      <c r="Y637" s="10"/>
      <c r="Z637" s="11"/>
      <c r="AA637" s="36"/>
      <c r="AB637" s="36"/>
      <c r="AC637" s="13"/>
      <c r="AD637" s="13"/>
      <c r="AE637" s="37"/>
      <c r="AF637" s="37"/>
      <c r="AG637" s="14"/>
      <c r="AH637" s="14"/>
      <c r="AI637" s="14"/>
      <c r="AZ637" s="24"/>
    </row>
    <row r="638">
      <c r="B638" s="24"/>
      <c r="E638" s="113"/>
      <c r="F638" s="266"/>
      <c r="G638" s="113"/>
      <c r="K638" s="36"/>
      <c r="L638" s="117"/>
      <c r="M638" s="128"/>
      <c r="N638" s="117"/>
      <c r="R638" s="117"/>
      <c r="T638" s="117"/>
      <c r="V638" s="117"/>
      <c r="X638" s="117"/>
      <c r="Y638" s="10"/>
      <c r="Z638" s="11"/>
      <c r="AA638" s="36"/>
      <c r="AB638" s="36"/>
      <c r="AC638" s="13"/>
      <c r="AD638" s="13"/>
      <c r="AE638" s="37"/>
      <c r="AF638" s="37"/>
      <c r="AG638" s="14"/>
      <c r="AH638" s="14"/>
      <c r="AI638" s="14"/>
      <c r="AZ638" s="24"/>
    </row>
    <row r="639">
      <c r="B639" s="24"/>
      <c r="E639" s="113"/>
      <c r="F639" s="266"/>
      <c r="G639" s="113"/>
      <c r="K639" s="36"/>
      <c r="L639" s="117"/>
      <c r="M639" s="128"/>
      <c r="N639" s="117"/>
      <c r="R639" s="117"/>
      <c r="T639" s="117"/>
      <c r="V639" s="117"/>
      <c r="X639" s="117"/>
      <c r="Y639" s="10"/>
      <c r="Z639" s="11"/>
      <c r="AA639" s="36"/>
      <c r="AB639" s="36"/>
      <c r="AC639" s="13"/>
      <c r="AD639" s="13"/>
      <c r="AE639" s="37"/>
      <c r="AF639" s="37"/>
      <c r="AG639" s="14"/>
      <c r="AH639" s="14"/>
      <c r="AI639" s="14"/>
      <c r="AZ639" s="24"/>
    </row>
    <row r="640">
      <c r="B640" s="24"/>
      <c r="E640" s="113"/>
      <c r="F640" s="266"/>
      <c r="G640" s="113"/>
      <c r="K640" s="36"/>
      <c r="L640" s="117"/>
      <c r="M640" s="128"/>
      <c r="N640" s="117"/>
      <c r="R640" s="117"/>
      <c r="T640" s="117"/>
      <c r="V640" s="117"/>
      <c r="X640" s="117"/>
      <c r="Y640" s="10"/>
      <c r="Z640" s="11"/>
      <c r="AA640" s="36"/>
      <c r="AB640" s="36"/>
      <c r="AC640" s="13"/>
      <c r="AD640" s="13"/>
      <c r="AE640" s="37"/>
      <c r="AF640" s="37"/>
      <c r="AG640" s="14"/>
      <c r="AH640" s="14"/>
      <c r="AI640" s="14"/>
      <c r="AZ640" s="24"/>
    </row>
    <row r="641">
      <c r="B641" s="24"/>
      <c r="E641" s="113"/>
      <c r="F641" s="266"/>
      <c r="G641" s="113"/>
      <c r="K641" s="36"/>
      <c r="L641" s="117"/>
      <c r="M641" s="128"/>
      <c r="N641" s="117"/>
      <c r="R641" s="117"/>
      <c r="T641" s="117"/>
      <c r="V641" s="117"/>
      <c r="X641" s="117"/>
      <c r="Y641" s="10"/>
      <c r="Z641" s="11"/>
      <c r="AA641" s="36"/>
      <c r="AB641" s="36"/>
      <c r="AC641" s="13"/>
      <c r="AD641" s="13"/>
      <c r="AE641" s="37"/>
      <c r="AF641" s="37"/>
      <c r="AG641" s="14"/>
      <c r="AH641" s="14"/>
      <c r="AI641" s="14"/>
      <c r="AZ641" s="24"/>
    </row>
    <row r="642">
      <c r="B642" s="24"/>
      <c r="E642" s="113"/>
      <c r="F642" s="266"/>
      <c r="G642" s="113"/>
      <c r="K642" s="36"/>
      <c r="L642" s="117"/>
      <c r="M642" s="128"/>
      <c r="N642" s="117"/>
      <c r="R642" s="117"/>
      <c r="T642" s="117"/>
      <c r="V642" s="117"/>
      <c r="X642" s="117"/>
      <c r="Y642" s="10"/>
      <c r="Z642" s="11"/>
      <c r="AA642" s="36"/>
      <c r="AB642" s="36"/>
      <c r="AC642" s="13"/>
      <c r="AD642" s="13"/>
      <c r="AE642" s="37"/>
      <c r="AF642" s="37"/>
      <c r="AG642" s="14"/>
      <c r="AH642" s="14"/>
      <c r="AI642" s="14"/>
      <c r="AZ642" s="24"/>
    </row>
    <row r="643">
      <c r="B643" s="24"/>
      <c r="E643" s="113"/>
      <c r="F643" s="266"/>
      <c r="G643" s="113"/>
      <c r="K643" s="36"/>
      <c r="L643" s="117"/>
      <c r="M643" s="128"/>
      <c r="N643" s="117"/>
      <c r="R643" s="117"/>
      <c r="T643" s="117"/>
      <c r="V643" s="117"/>
      <c r="X643" s="117"/>
      <c r="Y643" s="10"/>
      <c r="Z643" s="11"/>
      <c r="AA643" s="36"/>
      <c r="AB643" s="36"/>
      <c r="AC643" s="13"/>
      <c r="AD643" s="13"/>
      <c r="AE643" s="37"/>
      <c r="AF643" s="37"/>
      <c r="AG643" s="14"/>
      <c r="AH643" s="14"/>
      <c r="AI643" s="14"/>
      <c r="AZ643" s="24"/>
    </row>
    <row r="644">
      <c r="B644" s="24"/>
      <c r="E644" s="113"/>
      <c r="F644" s="266"/>
      <c r="G644" s="113"/>
      <c r="K644" s="36"/>
      <c r="L644" s="117"/>
      <c r="M644" s="128"/>
      <c r="N644" s="117"/>
      <c r="R644" s="117"/>
      <c r="T644" s="117"/>
      <c r="V644" s="117"/>
      <c r="X644" s="117"/>
      <c r="Y644" s="10"/>
      <c r="Z644" s="11"/>
      <c r="AA644" s="36"/>
      <c r="AB644" s="36"/>
      <c r="AC644" s="13"/>
      <c r="AD644" s="13"/>
      <c r="AE644" s="37"/>
      <c r="AF644" s="37"/>
      <c r="AG644" s="14"/>
      <c r="AH644" s="14"/>
      <c r="AI644" s="14"/>
      <c r="AZ644" s="24"/>
    </row>
    <row r="645">
      <c r="B645" s="24"/>
      <c r="E645" s="113"/>
      <c r="F645" s="266"/>
      <c r="G645" s="113"/>
      <c r="K645" s="36"/>
      <c r="L645" s="117"/>
      <c r="M645" s="128"/>
      <c r="N645" s="117"/>
      <c r="R645" s="117"/>
      <c r="T645" s="117"/>
      <c r="V645" s="117"/>
      <c r="X645" s="117"/>
      <c r="Y645" s="10"/>
      <c r="Z645" s="11"/>
      <c r="AA645" s="36"/>
      <c r="AB645" s="36"/>
      <c r="AC645" s="13"/>
      <c r="AD645" s="13"/>
      <c r="AE645" s="37"/>
      <c r="AF645" s="37"/>
      <c r="AG645" s="14"/>
      <c r="AH645" s="14"/>
      <c r="AI645" s="14"/>
      <c r="AZ645" s="24"/>
    </row>
    <row r="646">
      <c r="B646" s="24"/>
      <c r="E646" s="113"/>
      <c r="F646" s="266"/>
      <c r="G646" s="113"/>
      <c r="K646" s="36"/>
      <c r="L646" s="117"/>
      <c r="M646" s="128"/>
      <c r="N646" s="117"/>
      <c r="R646" s="117"/>
      <c r="T646" s="117"/>
      <c r="V646" s="117"/>
      <c r="X646" s="117"/>
      <c r="Y646" s="10"/>
      <c r="Z646" s="11"/>
      <c r="AA646" s="36"/>
      <c r="AB646" s="36"/>
      <c r="AC646" s="13"/>
      <c r="AD646" s="13"/>
      <c r="AE646" s="37"/>
      <c r="AF646" s="37"/>
      <c r="AG646" s="14"/>
      <c r="AH646" s="14"/>
      <c r="AI646" s="14"/>
      <c r="AZ646" s="24"/>
    </row>
    <row r="647">
      <c r="B647" s="24"/>
      <c r="E647" s="113"/>
      <c r="F647" s="266"/>
      <c r="G647" s="113"/>
      <c r="K647" s="36"/>
      <c r="L647" s="117"/>
      <c r="M647" s="128"/>
      <c r="N647" s="117"/>
      <c r="R647" s="117"/>
      <c r="T647" s="117"/>
      <c r="V647" s="117"/>
      <c r="X647" s="117"/>
      <c r="Y647" s="10"/>
      <c r="Z647" s="11"/>
      <c r="AA647" s="36"/>
      <c r="AB647" s="36"/>
      <c r="AC647" s="13"/>
      <c r="AD647" s="13"/>
      <c r="AE647" s="37"/>
      <c r="AF647" s="37"/>
      <c r="AG647" s="14"/>
      <c r="AH647" s="14"/>
      <c r="AI647" s="14"/>
      <c r="AZ647" s="24"/>
    </row>
    <row r="648">
      <c r="B648" s="24"/>
      <c r="E648" s="113"/>
      <c r="F648" s="266"/>
      <c r="G648" s="113"/>
      <c r="K648" s="36"/>
      <c r="L648" s="117"/>
      <c r="M648" s="128"/>
      <c r="N648" s="117"/>
      <c r="R648" s="117"/>
      <c r="T648" s="117"/>
      <c r="V648" s="117"/>
      <c r="X648" s="117"/>
      <c r="Y648" s="10"/>
      <c r="Z648" s="11"/>
      <c r="AA648" s="36"/>
      <c r="AB648" s="36"/>
      <c r="AC648" s="13"/>
      <c r="AD648" s="13"/>
      <c r="AE648" s="37"/>
      <c r="AF648" s="37"/>
      <c r="AG648" s="14"/>
      <c r="AH648" s="14"/>
      <c r="AI648" s="14"/>
      <c r="AZ648" s="24"/>
    </row>
    <row r="649">
      <c r="B649" s="24"/>
      <c r="E649" s="113"/>
      <c r="F649" s="266"/>
      <c r="G649" s="113"/>
      <c r="K649" s="36"/>
      <c r="L649" s="117"/>
      <c r="M649" s="128"/>
      <c r="N649" s="117"/>
      <c r="R649" s="117"/>
      <c r="T649" s="117"/>
      <c r="V649" s="117"/>
      <c r="X649" s="117"/>
      <c r="Y649" s="10"/>
      <c r="Z649" s="11"/>
      <c r="AA649" s="36"/>
      <c r="AB649" s="36"/>
      <c r="AC649" s="13"/>
      <c r="AD649" s="13"/>
      <c r="AE649" s="37"/>
      <c r="AF649" s="37"/>
      <c r="AG649" s="14"/>
      <c r="AH649" s="14"/>
      <c r="AI649" s="14"/>
      <c r="AZ649" s="24"/>
    </row>
    <row r="650">
      <c r="B650" s="24"/>
      <c r="E650" s="113"/>
      <c r="F650" s="266"/>
      <c r="G650" s="113"/>
      <c r="K650" s="36"/>
      <c r="L650" s="117"/>
      <c r="M650" s="128"/>
      <c r="N650" s="117"/>
      <c r="R650" s="117"/>
      <c r="T650" s="117"/>
      <c r="V650" s="117"/>
      <c r="X650" s="117"/>
      <c r="Y650" s="10"/>
      <c r="Z650" s="11"/>
      <c r="AA650" s="36"/>
      <c r="AB650" s="36"/>
      <c r="AC650" s="13"/>
      <c r="AD650" s="13"/>
      <c r="AE650" s="37"/>
      <c r="AF650" s="37"/>
      <c r="AG650" s="14"/>
      <c r="AH650" s="14"/>
      <c r="AI650" s="14"/>
      <c r="AZ650" s="24"/>
    </row>
    <row r="651">
      <c r="B651" s="24"/>
      <c r="E651" s="113"/>
      <c r="F651" s="266"/>
      <c r="G651" s="113"/>
      <c r="K651" s="36"/>
      <c r="L651" s="117"/>
      <c r="M651" s="128"/>
      <c r="N651" s="117"/>
      <c r="R651" s="117"/>
      <c r="T651" s="117"/>
      <c r="V651" s="117"/>
      <c r="X651" s="117"/>
      <c r="Y651" s="10"/>
      <c r="Z651" s="11"/>
      <c r="AA651" s="36"/>
      <c r="AB651" s="36"/>
      <c r="AC651" s="13"/>
      <c r="AD651" s="13"/>
      <c r="AE651" s="37"/>
      <c r="AF651" s="37"/>
      <c r="AG651" s="14"/>
      <c r="AH651" s="14"/>
      <c r="AI651" s="14"/>
      <c r="AZ651" s="24"/>
    </row>
    <row r="652">
      <c r="B652" s="24"/>
      <c r="E652" s="113"/>
      <c r="F652" s="266"/>
      <c r="G652" s="113"/>
      <c r="K652" s="36"/>
      <c r="L652" s="117"/>
      <c r="M652" s="128"/>
      <c r="N652" s="117"/>
      <c r="R652" s="117"/>
      <c r="T652" s="117"/>
      <c r="V652" s="117"/>
      <c r="X652" s="117"/>
      <c r="Y652" s="10"/>
      <c r="Z652" s="11"/>
      <c r="AA652" s="36"/>
      <c r="AB652" s="36"/>
      <c r="AC652" s="13"/>
      <c r="AD652" s="13"/>
      <c r="AE652" s="37"/>
      <c r="AF652" s="37"/>
      <c r="AG652" s="14"/>
      <c r="AH652" s="14"/>
      <c r="AI652" s="14"/>
      <c r="AZ652" s="24"/>
    </row>
    <row r="653">
      <c r="B653" s="24"/>
      <c r="E653" s="113"/>
      <c r="F653" s="266"/>
      <c r="G653" s="113"/>
      <c r="K653" s="36"/>
      <c r="L653" s="117"/>
      <c r="M653" s="128"/>
      <c r="N653" s="117"/>
      <c r="R653" s="117"/>
      <c r="T653" s="117"/>
      <c r="V653" s="117"/>
      <c r="X653" s="117"/>
      <c r="Y653" s="10"/>
      <c r="Z653" s="11"/>
      <c r="AA653" s="36"/>
      <c r="AB653" s="36"/>
      <c r="AC653" s="13"/>
      <c r="AD653" s="13"/>
      <c r="AE653" s="37"/>
      <c r="AF653" s="37"/>
      <c r="AG653" s="14"/>
      <c r="AH653" s="14"/>
      <c r="AI653" s="14"/>
      <c r="AZ653" s="24"/>
    </row>
    <row r="654">
      <c r="B654" s="24"/>
      <c r="E654" s="113"/>
      <c r="F654" s="266"/>
      <c r="G654" s="113"/>
      <c r="K654" s="36"/>
      <c r="L654" s="117"/>
      <c r="M654" s="128"/>
      <c r="N654" s="117"/>
      <c r="R654" s="117"/>
      <c r="T654" s="117"/>
      <c r="V654" s="117"/>
      <c r="X654" s="117"/>
      <c r="Y654" s="10"/>
      <c r="Z654" s="11"/>
      <c r="AA654" s="36"/>
      <c r="AB654" s="36"/>
      <c r="AC654" s="13"/>
      <c r="AD654" s="13"/>
      <c r="AE654" s="37"/>
      <c r="AF654" s="37"/>
      <c r="AG654" s="14"/>
      <c r="AH654" s="14"/>
      <c r="AI654" s="14"/>
      <c r="AZ654" s="24"/>
    </row>
    <row r="655">
      <c r="B655" s="24"/>
      <c r="E655" s="113"/>
      <c r="F655" s="266"/>
      <c r="G655" s="113"/>
      <c r="K655" s="36"/>
      <c r="L655" s="117"/>
      <c r="M655" s="128"/>
      <c r="N655" s="117"/>
      <c r="R655" s="117"/>
      <c r="T655" s="117"/>
      <c r="V655" s="117"/>
      <c r="X655" s="117"/>
      <c r="Y655" s="10"/>
      <c r="Z655" s="11"/>
      <c r="AA655" s="36"/>
      <c r="AB655" s="36"/>
      <c r="AC655" s="13"/>
      <c r="AD655" s="13"/>
      <c r="AE655" s="37"/>
      <c r="AF655" s="37"/>
      <c r="AG655" s="14"/>
      <c r="AH655" s="14"/>
      <c r="AI655" s="14"/>
      <c r="AZ655" s="24"/>
    </row>
    <row r="656">
      <c r="B656" s="24"/>
      <c r="E656" s="113"/>
      <c r="F656" s="266"/>
      <c r="G656" s="113"/>
      <c r="K656" s="36"/>
      <c r="L656" s="117"/>
      <c r="M656" s="128"/>
      <c r="N656" s="117"/>
      <c r="R656" s="117"/>
      <c r="T656" s="117"/>
      <c r="V656" s="117"/>
      <c r="X656" s="117"/>
      <c r="Y656" s="10"/>
      <c r="Z656" s="11"/>
      <c r="AA656" s="36"/>
      <c r="AB656" s="36"/>
      <c r="AC656" s="13"/>
      <c r="AD656" s="13"/>
      <c r="AE656" s="37"/>
      <c r="AF656" s="37"/>
      <c r="AG656" s="14"/>
      <c r="AH656" s="14"/>
      <c r="AI656" s="14"/>
      <c r="AZ656" s="24"/>
    </row>
    <row r="657">
      <c r="B657" s="24"/>
      <c r="E657" s="113"/>
      <c r="F657" s="266"/>
      <c r="G657" s="113"/>
      <c r="K657" s="36"/>
      <c r="L657" s="117"/>
      <c r="M657" s="128"/>
      <c r="N657" s="117"/>
      <c r="R657" s="117"/>
      <c r="T657" s="117"/>
      <c r="V657" s="117"/>
      <c r="X657" s="117"/>
      <c r="Y657" s="10"/>
      <c r="Z657" s="11"/>
      <c r="AA657" s="36"/>
      <c r="AB657" s="36"/>
      <c r="AC657" s="13"/>
      <c r="AD657" s="13"/>
      <c r="AE657" s="37"/>
      <c r="AF657" s="37"/>
      <c r="AG657" s="14"/>
      <c r="AH657" s="14"/>
      <c r="AI657" s="14"/>
      <c r="AZ657" s="24"/>
    </row>
    <row r="658">
      <c r="B658" s="24"/>
      <c r="E658" s="113"/>
      <c r="F658" s="266"/>
      <c r="G658" s="113"/>
      <c r="K658" s="36"/>
      <c r="L658" s="117"/>
      <c r="M658" s="128"/>
      <c r="N658" s="117"/>
      <c r="R658" s="117"/>
      <c r="T658" s="117"/>
      <c r="V658" s="117"/>
      <c r="X658" s="117"/>
      <c r="Y658" s="10"/>
      <c r="Z658" s="11"/>
      <c r="AA658" s="36"/>
      <c r="AB658" s="36"/>
      <c r="AC658" s="13"/>
      <c r="AD658" s="13"/>
      <c r="AE658" s="37"/>
      <c r="AF658" s="37"/>
      <c r="AG658" s="14"/>
      <c r="AH658" s="14"/>
      <c r="AI658" s="14"/>
      <c r="AZ658" s="24"/>
    </row>
    <row r="659">
      <c r="B659" s="24"/>
      <c r="E659" s="113"/>
      <c r="F659" s="266"/>
      <c r="G659" s="113"/>
      <c r="K659" s="36"/>
      <c r="L659" s="117"/>
      <c r="M659" s="128"/>
      <c r="N659" s="117"/>
      <c r="R659" s="117"/>
      <c r="T659" s="117"/>
      <c r="V659" s="117"/>
      <c r="X659" s="117"/>
      <c r="Y659" s="10"/>
      <c r="Z659" s="11"/>
      <c r="AA659" s="36"/>
      <c r="AB659" s="36"/>
      <c r="AC659" s="13"/>
      <c r="AD659" s="13"/>
      <c r="AE659" s="37"/>
      <c r="AF659" s="37"/>
      <c r="AG659" s="14"/>
      <c r="AH659" s="14"/>
      <c r="AI659" s="14"/>
      <c r="AZ659" s="24"/>
    </row>
    <row r="660">
      <c r="B660" s="24"/>
      <c r="E660" s="113"/>
      <c r="F660" s="266"/>
      <c r="G660" s="113"/>
      <c r="K660" s="36"/>
      <c r="L660" s="117"/>
      <c r="M660" s="128"/>
      <c r="N660" s="117"/>
      <c r="R660" s="117"/>
      <c r="T660" s="117"/>
      <c r="V660" s="117"/>
      <c r="X660" s="117"/>
      <c r="Y660" s="10"/>
      <c r="Z660" s="11"/>
      <c r="AA660" s="36"/>
      <c r="AB660" s="36"/>
      <c r="AC660" s="13"/>
      <c r="AD660" s="13"/>
      <c r="AE660" s="37"/>
      <c r="AF660" s="37"/>
      <c r="AG660" s="14"/>
      <c r="AH660" s="14"/>
      <c r="AI660" s="14"/>
      <c r="AZ660" s="24"/>
    </row>
    <row r="661">
      <c r="B661" s="24"/>
      <c r="E661" s="113"/>
      <c r="F661" s="266"/>
      <c r="G661" s="113"/>
      <c r="K661" s="36"/>
      <c r="L661" s="117"/>
      <c r="M661" s="128"/>
      <c r="N661" s="117"/>
      <c r="R661" s="117"/>
      <c r="T661" s="117"/>
      <c r="V661" s="117"/>
      <c r="X661" s="117"/>
      <c r="Y661" s="10"/>
      <c r="Z661" s="11"/>
      <c r="AA661" s="36"/>
      <c r="AB661" s="36"/>
      <c r="AC661" s="13"/>
      <c r="AD661" s="13"/>
      <c r="AE661" s="37"/>
      <c r="AF661" s="37"/>
      <c r="AG661" s="14"/>
      <c r="AH661" s="14"/>
      <c r="AI661" s="14"/>
      <c r="AZ661" s="24"/>
    </row>
    <row r="662">
      <c r="B662" s="24"/>
      <c r="E662" s="113"/>
      <c r="F662" s="266"/>
      <c r="G662" s="113"/>
      <c r="K662" s="36"/>
      <c r="L662" s="117"/>
      <c r="M662" s="128"/>
      <c r="N662" s="117"/>
      <c r="R662" s="117"/>
      <c r="T662" s="117"/>
      <c r="V662" s="117"/>
      <c r="X662" s="117"/>
      <c r="Y662" s="10"/>
      <c r="Z662" s="11"/>
      <c r="AA662" s="36"/>
      <c r="AB662" s="36"/>
      <c r="AC662" s="13"/>
      <c r="AD662" s="13"/>
      <c r="AE662" s="37"/>
      <c r="AF662" s="37"/>
      <c r="AG662" s="14"/>
      <c r="AH662" s="14"/>
      <c r="AI662" s="14"/>
      <c r="AZ662" s="24"/>
    </row>
    <row r="663">
      <c r="B663" s="24"/>
      <c r="E663" s="113"/>
      <c r="F663" s="266"/>
      <c r="G663" s="113"/>
      <c r="K663" s="36"/>
      <c r="L663" s="117"/>
      <c r="M663" s="128"/>
      <c r="N663" s="117"/>
      <c r="R663" s="117"/>
      <c r="T663" s="117"/>
      <c r="V663" s="117"/>
      <c r="X663" s="117"/>
      <c r="Y663" s="10"/>
      <c r="Z663" s="11"/>
      <c r="AA663" s="36"/>
      <c r="AB663" s="36"/>
      <c r="AC663" s="13"/>
      <c r="AD663" s="13"/>
      <c r="AE663" s="37"/>
      <c r="AF663" s="37"/>
      <c r="AG663" s="14"/>
      <c r="AH663" s="14"/>
      <c r="AI663" s="14"/>
      <c r="AZ663" s="24"/>
    </row>
    <row r="664">
      <c r="B664" s="24"/>
      <c r="E664" s="113"/>
      <c r="F664" s="266"/>
      <c r="G664" s="113"/>
      <c r="K664" s="36"/>
      <c r="L664" s="117"/>
      <c r="M664" s="128"/>
      <c r="N664" s="117"/>
      <c r="R664" s="117"/>
      <c r="T664" s="117"/>
      <c r="V664" s="117"/>
      <c r="X664" s="117"/>
      <c r="Y664" s="10"/>
      <c r="Z664" s="11"/>
      <c r="AA664" s="36"/>
      <c r="AB664" s="36"/>
      <c r="AC664" s="13"/>
      <c r="AD664" s="13"/>
      <c r="AE664" s="37"/>
      <c r="AF664" s="37"/>
      <c r="AG664" s="14"/>
      <c r="AH664" s="14"/>
      <c r="AI664" s="14"/>
      <c r="AZ664" s="24"/>
    </row>
    <row r="665">
      <c r="B665" s="24"/>
      <c r="E665" s="113"/>
      <c r="F665" s="266"/>
      <c r="G665" s="113"/>
      <c r="K665" s="36"/>
      <c r="L665" s="117"/>
      <c r="M665" s="128"/>
      <c r="N665" s="117"/>
      <c r="R665" s="117"/>
      <c r="T665" s="117"/>
      <c r="V665" s="117"/>
      <c r="X665" s="117"/>
      <c r="Y665" s="10"/>
      <c r="Z665" s="11"/>
      <c r="AA665" s="36"/>
      <c r="AB665" s="36"/>
      <c r="AC665" s="13"/>
      <c r="AD665" s="13"/>
      <c r="AE665" s="37"/>
      <c r="AF665" s="37"/>
      <c r="AG665" s="14"/>
      <c r="AH665" s="14"/>
      <c r="AI665" s="14"/>
      <c r="AZ665" s="24"/>
    </row>
    <row r="666">
      <c r="B666" s="24"/>
      <c r="E666" s="113"/>
      <c r="F666" s="266"/>
      <c r="G666" s="113"/>
      <c r="K666" s="36"/>
      <c r="L666" s="117"/>
      <c r="M666" s="128"/>
      <c r="N666" s="117"/>
      <c r="R666" s="117"/>
      <c r="T666" s="117"/>
      <c r="V666" s="117"/>
      <c r="X666" s="117"/>
      <c r="Y666" s="10"/>
      <c r="Z666" s="11"/>
      <c r="AA666" s="36"/>
      <c r="AB666" s="36"/>
      <c r="AC666" s="13"/>
      <c r="AD666" s="13"/>
      <c r="AE666" s="37"/>
      <c r="AF666" s="37"/>
      <c r="AG666" s="14"/>
      <c r="AH666" s="14"/>
      <c r="AI666" s="14"/>
      <c r="AZ666" s="24"/>
    </row>
    <row r="667">
      <c r="B667" s="24"/>
      <c r="E667" s="113"/>
      <c r="F667" s="266"/>
      <c r="G667" s="113"/>
      <c r="K667" s="36"/>
      <c r="L667" s="117"/>
      <c r="M667" s="128"/>
      <c r="N667" s="117"/>
      <c r="R667" s="117"/>
      <c r="T667" s="117"/>
      <c r="V667" s="117"/>
      <c r="X667" s="117"/>
      <c r="Y667" s="10"/>
      <c r="Z667" s="11"/>
      <c r="AA667" s="36"/>
      <c r="AB667" s="36"/>
      <c r="AC667" s="13"/>
      <c r="AD667" s="13"/>
      <c r="AE667" s="37"/>
      <c r="AF667" s="37"/>
      <c r="AG667" s="14"/>
      <c r="AH667" s="14"/>
      <c r="AI667" s="14"/>
      <c r="AZ667" s="24"/>
    </row>
    <row r="668">
      <c r="B668" s="24"/>
      <c r="E668" s="113"/>
      <c r="F668" s="266"/>
      <c r="G668" s="113"/>
      <c r="K668" s="36"/>
      <c r="L668" s="117"/>
      <c r="M668" s="128"/>
      <c r="N668" s="117"/>
      <c r="R668" s="117"/>
      <c r="T668" s="117"/>
      <c r="V668" s="117"/>
      <c r="X668" s="117"/>
      <c r="Y668" s="10"/>
      <c r="Z668" s="11"/>
      <c r="AA668" s="36"/>
      <c r="AB668" s="36"/>
      <c r="AC668" s="13"/>
      <c r="AD668" s="13"/>
      <c r="AE668" s="37"/>
      <c r="AF668" s="37"/>
      <c r="AG668" s="14"/>
      <c r="AH668" s="14"/>
      <c r="AI668" s="14"/>
      <c r="AZ668" s="24"/>
    </row>
    <row r="669">
      <c r="B669" s="24"/>
      <c r="E669" s="113"/>
      <c r="F669" s="266"/>
      <c r="G669" s="113"/>
      <c r="K669" s="36"/>
      <c r="L669" s="117"/>
      <c r="M669" s="128"/>
      <c r="N669" s="117"/>
      <c r="R669" s="117"/>
      <c r="T669" s="117"/>
      <c r="V669" s="117"/>
      <c r="X669" s="117"/>
      <c r="Y669" s="10"/>
      <c r="Z669" s="11"/>
      <c r="AA669" s="36"/>
      <c r="AB669" s="36"/>
      <c r="AC669" s="13"/>
      <c r="AD669" s="13"/>
      <c r="AE669" s="37"/>
      <c r="AF669" s="37"/>
      <c r="AG669" s="14"/>
      <c r="AH669" s="14"/>
      <c r="AI669" s="14"/>
      <c r="AZ669" s="24"/>
    </row>
    <row r="670">
      <c r="B670" s="24"/>
      <c r="E670" s="113"/>
      <c r="F670" s="266"/>
      <c r="G670" s="113"/>
      <c r="K670" s="36"/>
      <c r="L670" s="117"/>
      <c r="M670" s="128"/>
      <c r="N670" s="117"/>
      <c r="R670" s="117"/>
      <c r="T670" s="117"/>
      <c r="V670" s="117"/>
      <c r="X670" s="117"/>
      <c r="Y670" s="10"/>
      <c r="Z670" s="11"/>
      <c r="AA670" s="36"/>
      <c r="AB670" s="36"/>
      <c r="AC670" s="13"/>
      <c r="AD670" s="13"/>
      <c r="AE670" s="37"/>
      <c r="AF670" s="37"/>
      <c r="AG670" s="14"/>
      <c r="AH670" s="14"/>
      <c r="AI670" s="14"/>
      <c r="AZ670" s="24"/>
    </row>
    <row r="671">
      <c r="B671" s="24"/>
      <c r="E671" s="113"/>
      <c r="F671" s="266"/>
      <c r="G671" s="113"/>
      <c r="K671" s="36"/>
      <c r="L671" s="117"/>
      <c r="M671" s="128"/>
      <c r="N671" s="117"/>
      <c r="R671" s="117"/>
      <c r="T671" s="117"/>
      <c r="V671" s="117"/>
      <c r="X671" s="117"/>
      <c r="Y671" s="10"/>
      <c r="Z671" s="11"/>
      <c r="AA671" s="36"/>
      <c r="AB671" s="36"/>
      <c r="AC671" s="13"/>
      <c r="AD671" s="13"/>
      <c r="AE671" s="37"/>
      <c r="AF671" s="37"/>
      <c r="AG671" s="14"/>
      <c r="AH671" s="14"/>
      <c r="AI671" s="14"/>
      <c r="AZ671" s="24"/>
    </row>
    <row r="672">
      <c r="B672" s="24"/>
      <c r="E672" s="113"/>
      <c r="F672" s="266"/>
      <c r="G672" s="113"/>
      <c r="K672" s="36"/>
      <c r="L672" s="117"/>
      <c r="M672" s="128"/>
      <c r="N672" s="117"/>
      <c r="R672" s="117"/>
      <c r="T672" s="117"/>
      <c r="V672" s="117"/>
      <c r="X672" s="117"/>
      <c r="Y672" s="10"/>
      <c r="Z672" s="11"/>
      <c r="AA672" s="36"/>
      <c r="AB672" s="36"/>
      <c r="AC672" s="13"/>
      <c r="AD672" s="13"/>
      <c r="AE672" s="37"/>
      <c r="AF672" s="37"/>
      <c r="AG672" s="14"/>
      <c r="AH672" s="14"/>
      <c r="AI672" s="14"/>
      <c r="AZ672" s="24"/>
    </row>
    <row r="673">
      <c r="B673" s="24"/>
      <c r="E673" s="113"/>
      <c r="F673" s="266"/>
      <c r="G673" s="113"/>
      <c r="K673" s="36"/>
      <c r="L673" s="117"/>
      <c r="M673" s="128"/>
      <c r="N673" s="117"/>
      <c r="R673" s="117"/>
      <c r="T673" s="117"/>
      <c r="V673" s="117"/>
      <c r="X673" s="117"/>
      <c r="Y673" s="10"/>
      <c r="Z673" s="11"/>
      <c r="AA673" s="36"/>
      <c r="AB673" s="36"/>
      <c r="AC673" s="13"/>
      <c r="AD673" s="13"/>
      <c r="AE673" s="37"/>
      <c r="AF673" s="37"/>
      <c r="AG673" s="14"/>
      <c r="AH673" s="14"/>
      <c r="AI673" s="14"/>
      <c r="AZ673" s="24"/>
    </row>
    <row r="674">
      <c r="B674" s="24"/>
      <c r="E674" s="113"/>
      <c r="F674" s="266"/>
      <c r="G674" s="113"/>
      <c r="K674" s="36"/>
      <c r="L674" s="117"/>
      <c r="M674" s="128"/>
      <c r="N674" s="117"/>
      <c r="R674" s="117"/>
      <c r="T674" s="117"/>
      <c r="V674" s="117"/>
      <c r="X674" s="117"/>
      <c r="Y674" s="10"/>
      <c r="Z674" s="11"/>
      <c r="AA674" s="36"/>
      <c r="AB674" s="36"/>
      <c r="AC674" s="13"/>
      <c r="AD674" s="13"/>
      <c r="AE674" s="37"/>
      <c r="AF674" s="37"/>
      <c r="AG674" s="14"/>
      <c r="AH674" s="14"/>
      <c r="AI674" s="14"/>
      <c r="AZ674" s="24"/>
    </row>
    <row r="675">
      <c r="B675" s="24"/>
      <c r="E675" s="113"/>
      <c r="F675" s="266"/>
      <c r="G675" s="113"/>
      <c r="K675" s="36"/>
      <c r="L675" s="117"/>
      <c r="M675" s="128"/>
      <c r="N675" s="117"/>
      <c r="R675" s="117"/>
      <c r="T675" s="117"/>
      <c r="V675" s="117"/>
      <c r="X675" s="117"/>
      <c r="Y675" s="10"/>
      <c r="Z675" s="11"/>
      <c r="AA675" s="36"/>
      <c r="AB675" s="36"/>
      <c r="AC675" s="13"/>
      <c r="AD675" s="13"/>
      <c r="AE675" s="37"/>
      <c r="AF675" s="37"/>
      <c r="AG675" s="14"/>
      <c r="AH675" s="14"/>
      <c r="AI675" s="14"/>
      <c r="AZ675" s="24"/>
    </row>
    <row r="676">
      <c r="B676" s="24"/>
      <c r="E676" s="113"/>
      <c r="F676" s="266"/>
      <c r="G676" s="113"/>
      <c r="K676" s="36"/>
      <c r="L676" s="117"/>
      <c r="M676" s="128"/>
      <c r="N676" s="117"/>
      <c r="R676" s="117"/>
      <c r="T676" s="117"/>
      <c r="V676" s="117"/>
      <c r="X676" s="117"/>
      <c r="Y676" s="10"/>
      <c r="Z676" s="11"/>
      <c r="AA676" s="36"/>
      <c r="AB676" s="36"/>
      <c r="AC676" s="13"/>
      <c r="AD676" s="13"/>
      <c r="AE676" s="37"/>
      <c r="AF676" s="37"/>
      <c r="AG676" s="14"/>
      <c r="AH676" s="14"/>
      <c r="AI676" s="14"/>
      <c r="AZ676" s="24"/>
    </row>
    <row r="677">
      <c r="B677" s="24"/>
      <c r="E677" s="113"/>
      <c r="F677" s="266"/>
      <c r="G677" s="113"/>
      <c r="K677" s="36"/>
      <c r="L677" s="117"/>
      <c r="M677" s="128"/>
      <c r="N677" s="117"/>
      <c r="R677" s="117"/>
      <c r="T677" s="117"/>
      <c r="V677" s="117"/>
      <c r="X677" s="117"/>
      <c r="Y677" s="10"/>
      <c r="Z677" s="11"/>
      <c r="AA677" s="36"/>
      <c r="AB677" s="36"/>
      <c r="AC677" s="13"/>
      <c r="AD677" s="13"/>
      <c r="AE677" s="37"/>
      <c r="AF677" s="37"/>
      <c r="AG677" s="14"/>
      <c r="AH677" s="14"/>
      <c r="AI677" s="14"/>
      <c r="AZ677" s="24"/>
    </row>
    <row r="678">
      <c r="B678" s="24"/>
      <c r="E678" s="113"/>
      <c r="F678" s="266"/>
      <c r="G678" s="113"/>
      <c r="K678" s="36"/>
      <c r="L678" s="117"/>
      <c r="M678" s="128"/>
      <c r="N678" s="117"/>
      <c r="R678" s="117"/>
      <c r="T678" s="117"/>
      <c r="V678" s="117"/>
      <c r="X678" s="117"/>
      <c r="Y678" s="10"/>
      <c r="Z678" s="11"/>
      <c r="AA678" s="36"/>
      <c r="AB678" s="36"/>
      <c r="AC678" s="13"/>
      <c r="AD678" s="13"/>
      <c r="AE678" s="37"/>
      <c r="AF678" s="37"/>
      <c r="AG678" s="14"/>
      <c r="AH678" s="14"/>
      <c r="AI678" s="14"/>
      <c r="AZ678" s="24"/>
    </row>
    <row r="679">
      <c r="B679" s="24"/>
      <c r="E679" s="113"/>
      <c r="F679" s="266"/>
      <c r="G679" s="113"/>
      <c r="K679" s="36"/>
      <c r="L679" s="117"/>
      <c r="M679" s="128"/>
      <c r="N679" s="117"/>
      <c r="R679" s="117"/>
      <c r="T679" s="117"/>
      <c r="V679" s="117"/>
      <c r="X679" s="117"/>
      <c r="Y679" s="10"/>
      <c r="Z679" s="11"/>
      <c r="AA679" s="36"/>
      <c r="AB679" s="36"/>
      <c r="AC679" s="13"/>
      <c r="AD679" s="13"/>
      <c r="AE679" s="37"/>
      <c r="AF679" s="37"/>
      <c r="AG679" s="14"/>
      <c r="AH679" s="14"/>
      <c r="AI679" s="14"/>
      <c r="AZ679" s="24"/>
    </row>
    <row r="680">
      <c r="B680" s="24"/>
      <c r="E680" s="113"/>
      <c r="F680" s="266"/>
      <c r="G680" s="113"/>
      <c r="K680" s="36"/>
      <c r="L680" s="117"/>
      <c r="M680" s="128"/>
      <c r="N680" s="117"/>
      <c r="R680" s="117"/>
      <c r="T680" s="117"/>
      <c r="V680" s="117"/>
      <c r="X680" s="117"/>
      <c r="Y680" s="10"/>
      <c r="Z680" s="11"/>
      <c r="AA680" s="36"/>
      <c r="AB680" s="36"/>
      <c r="AC680" s="13"/>
      <c r="AD680" s="13"/>
      <c r="AE680" s="37"/>
      <c r="AF680" s="37"/>
      <c r="AG680" s="14"/>
      <c r="AH680" s="14"/>
      <c r="AI680" s="14"/>
      <c r="AZ680" s="24"/>
    </row>
    <row r="681">
      <c r="B681" s="24"/>
      <c r="E681" s="113"/>
      <c r="F681" s="266"/>
      <c r="G681" s="113"/>
      <c r="K681" s="36"/>
      <c r="L681" s="117"/>
      <c r="M681" s="128"/>
      <c r="N681" s="117"/>
      <c r="R681" s="117"/>
      <c r="T681" s="117"/>
      <c r="V681" s="117"/>
      <c r="X681" s="117"/>
      <c r="Y681" s="10"/>
      <c r="Z681" s="11"/>
      <c r="AA681" s="36"/>
      <c r="AB681" s="36"/>
      <c r="AC681" s="13"/>
      <c r="AD681" s="13"/>
      <c r="AE681" s="37"/>
      <c r="AF681" s="37"/>
      <c r="AG681" s="14"/>
      <c r="AH681" s="14"/>
      <c r="AI681" s="14"/>
      <c r="AZ681" s="24"/>
    </row>
    <row r="682">
      <c r="B682" s="24"/>
      <c r="E682" s="113"/>
      <c r="F682" s="266"/>
      <c r="G682" s="113"/>
      <c r="K682" s="36"/>
      <c r="L682" s="117"/>
      <c r="M682" s="128"/>
      <c r="N682" s="117"/>
      <c r="R682" s="117"/>
      <c r="T682" s="117"/>
      <c r="V682" s="117"/>
      <c r="X682" s="117"/>
      <c r="Y682" s="10"/>
      <c r="Z682" s="11"/>
      <c r="AA682" s="36"/>
      <c r="AB682" s="36"/>
      <c r="AC682" s="13"/>
      <c r="AD682" s="13"/>
      <c r="AE682" s="37"/>
      <c r="AF682" s="37"/>
      <c r="AG682" s="14"/>
      <c r="AH682" s="14"/>
      <c r="AI682" s="14"/>
      <c r="AZ682" s="24"/>
    </row>
    <row r="683">
      <c r="B683" s="24"/>
      <c r="E683" s="113"/>
      <c r="F683" s="266"/>
      <c r="G683" s="113"/>
      <c r="K683" s="36"/>
      <c r="L683" s="117"/>
      <c r="M683" s="128"/>
      <c r="N683" s="117"/>
      <c r="R683" s="117"/>
      <c r="T683" s="117"/>
      <c r="V683" s="117"/>
      <c r="X683" s="117"/>
      <c r="Y683" s="10"/>
      <c r="Z683" s="11"/>
      <c r="AA683" s="36"/>
      <c r="AB683" s="36"/>
      <c r="AC683" s="13"/>
      <c r="AD683" s="13"/>
      <c r="AE683" s="37"/>
      <c r="AF683" s="37"/>
      <c r="AG683" s="14"/>
      <c r="AH683" s="14"/>
      <c r="AI683" s="14"/>
      <c r="AZ683" s="24"/>
    </row>
    <row r="684">
      <c r="B684" s="24"/>
      <c r="E684" s="113"/>
      <c r="F684" s="266"/>
      <c r="G684" s="113"/>
      <c r="K684" s="36"/>
      <c r="L684" s="117"/>
      <c r="M684" s="128"/>
      <c r="N684" s="117"/>
      <c r="R684" s="117"/>
      <c r="T684" s="117"/>
      <c r="V684" s="117"/>
      <c r="X684" s="117"/>
      <c r="Y684" s="10"/>
      <c r="Z684" s="11"/>
      <c r="AA684" s="36"/>
      <c r="AB684" s="36"/>
      <c r="AC684" s="13"/>
      <c r="AD684" s="13"/>
      <c r="AE684" s="37"/>
      <c r="AF684" s="37"/>
      <c r="AG684" s="14"/>
      <c r="AH684" s="14"/>
      <c r="AI684" s="14"/>
      <c r="AZ684" s="24"/>
    </row>
    <row r="685">
      <c r="B685" s="24"/>
      <c r="E685" s="113"/>
      <c r="F685" s="266"/>
      <c r="G685" s="113"/>
      <c r="K685" s="36"/>
      <c r="L685" s="117"/>
      <c r="M685" s="128"/>
      <c r="N685" s="117"/>
      <c r="R685" s="117"/>
      <c r="T685" s="117"/>
      <c r="V685" s="117"/>
      <c r="X685" s="117"/>
      <c r="Y685" s="10"/>
      <c r="Z685" s="11"/>
      <c r="AA685" s="36"/>
      <c r="AB685" s="36"/>
      <c r="AC685" s="13"/>
      <c r="AD685" s="13"/>
      <c r="AE685" s="37"/>
      <c r="AF685" s="37"/>
      <c r="AG685" s="14"/>
      <c r="AH685" s="14"/>
      <c r="AI685" s="14"/>
      <c r="AZ685" s="24"/>
    </row>
    <row r="686">
      <c r="B686" s="24"/>
      <c r="E686" s="113"/>
      <c r="F686" s="266"/>
      <c r="G686" s="113"/>
      <c r="K686" s="36"/>
      <c r="L686" s="117"/>
      <c r="M686" s="128"/>
      <c r="N686" s="117"/>
      <c r="R686" s="117"/>
      <c r="T686" s="117"/>
      <c r="V686" s="117"/>
      <c r="X686" s="117"/>
      <c r="Y686" s="10"/>
      <c r="Z686" s="11"/>
      <c r="AA686" s="36"/>
      <c r="AB686" s="36"/>
      <c r="AC686" s="13"/>
      <c r="AD686" s="13"/>
      <c r="AE686" s="37"/>
      <c r="AF686" s="37"/>
      <c r="AG686" s="14"/>
      <c r="AH686" s="14"/>
      <c r="AI686" s="14"/>
      <c r="AZ686" s="24"/>
    </row>
    <row r="687">
      <c r="B687" s="24"/>
      <c r="E687" s="113"/>
      <c r="F687" s="266"/>
      <c r="G687" s="113"/>
      <c r="K687" s="36"/>
      <c r="L687" s="117"/>
      <c r="M687" s="128"/>
      <c r="N687" s="117"/>
      <c r="R687" s="117"/>
      <c r="T687" s="117"/>
      <c r="V687" s="117"/>
      <c r="X687" s="117"/>
      <c r="Y687" s="10"/>
      <c r="Z687" s="11"/>
      <c r="AA687" s="36"/>
      <c r="AB687" s="36"/>
      <c r="AC687" s="13"/>
      <c r="AD687" s="13"/>
      <c r="AE687" s="37"/>
      <c r="AF687" s="37"/>
      <c r="AG687" s="14"/>
      <c r="AH687" s="14"/>
      <c r="AI687" s="14"/>
      <c r="AZ687" s="24"/>
    </row>
    <row r="688">
      <c r="B688" s="24"/>
      <c r="E688" s="113"/>
      <c r="F688" s="266"/>
      <c r="G688" s="113"/>
      <c r="K688" s="36"/>
      <c r="L688" s="117"/>
      <c r="M688" s="128"/>
      <c r="N688" s="117"/>
      <c r="R688" s="117"/>
      <c r="T688" s="117"/>
      <c r="V688" s="117"/>
      <c r="X688" s="117"/>
      <c r="Y688" s="10"/>
      <c r="Z688" s="11"/>
      <c r="AA688" s="36"/>
      <c r="AB688" s="36"/>
      <c r="AC688" s="13"/>
      <c r="AD688" s="13"/>
      <c r="AE688" s="37"/>
      <c r="AF688" s="37"/>
      <c r="AG688" s="14"/>
      <c r="AH688" s="14"/>
      <c r="AI688" s="14"/>
      <c r="AZ688" s="24"/>
    </row>
    <row r="689">
      <c r="B689" s="24"/>
      <c r="E689" s="113"/>
      <c r="F689" s="266"/>
      <c r="G689" s="113"/>
      <c r="K689" s="36"/>
      <c r="L689" s="117"/>
      <c r="M689" s="128"/>
      <c r="N689" s="117"/>
      <c r="R689" s="117"/>
      <c r="T689" s="117"/>
      <c r="V689" s="117"/>
      <c r="X689" s="117"/>
      <c r="Y689" s="10"/>
      <c r="Z689" s="11"/>
      <c r="AA689" s="36"/>
      <c r="AB689" s="36"/>
      <c r="AC689" s="13"/>
      <c r="AD689" s="13"/>
      <c r="AE689" s="37"/>
      <c r="AF689" s="37"/>
      <c r="AG689" s="14"/>
      <c r="AH689" s="14"/>
      <c r="AI689" s="14"/>
      <c r="AZ689" s="24"/>
    </row>
    <row r="690">
      <c r="B690" s="24"/>
      <c r="E690" s="113"/>
      <c r="F690" s="266"/>
      <c r="G690" s="113"/>
      <c r="K690" s="36"/>
      <c r="L690" s="117"/>
      <c r="M690" s="128"/>
      <c r="N690" s="117"/>
      <c r="R690" s="117"/>
      <c r="T690" s="117"/>
      <c r="V690" s="117"/>
      <c r="X690" s="117"/>
      <c r="Y690" s="10"/>
      <c r="Z690" s="11"/>
      <c r="AA690" s="36"/>
      <c r="AB690" s="36"/>
      <c r="AC690" s="13"/>
      <c r="AD690" s="13"/>
      <c r="AE690" s="37"/>
      <c r="AF690" s="37"/>
      <c r="AG690" s="14"/>
      <c r="AH690" s="14"/>
      <c r="AI690" s="14"/>
      <c r="AZ690" s="24"/>
    </row>
    <row r="691">
      <c r="B691" s="24"/>
      <c r="E691" s="113"/>
      <c r="F691" s="266"/>
      <c r="G691" s="113"/>
      <c r="K691" s="36"/>
      <c r="L691" s="117"/>
      <c r="M691" s="128"/>
      <c r="N691" s="117"/>
      <c r="R691" s="117"/>
      <c r="T691" s="117"/>
      <c r="V691" s="117"/>
      <c r="X691" s="117"/>
      <c r="Y691" s="10"/>
      <c r="Z691" s="11"/>
      <c r="AA691" s="36"/>
      <c r="AB691" s="36"/>
      <c r="AC691" s="13"/>
      <c r="AD691" s="13"/>
      <c r="AE691" s="37"/>
      <c r="AF691" s="37"/>
      <c r="AG691" s="14"/>
      <c r="AH691" s="14"/>
      <c r="AI691" s="14"/>
      <c r="AZ691" s="24"/>
    </row>
    <row r="692">
      <c r="B692" s="24"/>
      <c r="E692" s="113"/>
      <c r="F692" s="266"/>
      <c r="G692" s="113"/>
      <c r="K692" s="36"/>
      <c r="L692" s="117"/>
      <c r="M692" s="128"/>
      <c r="N692" s="117"/>
      <c r="R692" s="117"/>
      <c r="T692" s="117"/>
      <c r="V692" s="117"/>
      <c r="X692" s="117"/>
      <c r="Y692" s="10"/>
      <c r="Z692" s="11"/>
      <c r="AA692" s="36"/>
      <c r="AB692" s="36"/>
      <c r="AC692" s="13"/>
      <c r="AD692" s="13"/>
      <c r="AE692" s="37"/>
      <c r="AF692" s="37"/>
      <c r="AG692" s="14"/>
      <c r="AH692" s="14"/>
      <c r="AI692" s="14"/>
      <c r="AZ692" s="24"/>
    </row>
    <row r="693">
      <c r="B693" s="24"/>
      <c r="E693" s="113"/>
      <c r="F693" s="266"/>
      <c r="G693" s="113"/>
      <c r="K693" s="36"/>
      <c r="L693" s="117"/>
      <c r="M693" s="128"/>
      <c r="N693" s="117"/>
      <c r="R693" s="117"/>
      <c r="T693" s="117"/>
      <c r="V693" s="117"/>
      <c r="X693" s="117"/>
      <c r="Y693" s="10"/>
      <c r="Z693" s="11"/>
      <c r="AA693" s="36"/>
      <c r="AB693" s="36"/>
      <c r="AC693" s="13"/>
      <c r="AD693" s="13"/>
      <c r="AE693" s="37"/>
      <c r="AF693" s="37"/>
      <c r="AG693" s="14"/>
      <c r="AH693" s="14"/>
      <c r="AI693" s="14"/>
      <c r="AZ693" s="24"/>
    </row>
    <row r="694">
      <c r="B694" s="24"/>
      <c r="E694" s="113"/>
      <c r="F694" s="266"/>
      <c r="G694" s="113"/>
      <c r="K694" s="36"/>
      <c r="L694" s="117"/>
      <c r="M694" s="128"/>
      <c r="N694" s="117"/>
      <c r="R694" s="117"/>
      <c r="T694" s="117"/>
      <c r="V694" s="117"/>
      <c r="X694" s="117"/>
      <c r="Y694" s="10"/>
      <c r="Z694" s="11"/>
      <c r="AA694" s="36"/>
      <c r="AB694" s="36"/>
      <c r="AC694" s="13"/>
      <c r="AD694" s="13"/>
      <c r="AE694" s="37"/>
      <c r="AF694" s="37"/>
      <c r="AG694" s="14"/>
      <c r="AH694" s="14"/>
      <c r="AI694" s="14"/>
      <c r="AZ694" s="24"/>
    </row>
    <row r="695">
      <c r="B695" s="24"/>
      <c r="E695" s="113"/>
      <c r="F695" s="266"/>
      <c r="G695" s="113"/>
      <c r="K695" s="36"/>
      <c r="L695" s="117"/>
      <c r="M695" s="128"/>
      <c r="N695" s="117"/>
      <c r="R695" s="117"/>
      <c r="T695" s="117"/>
      <c r="V695" s="117"/>
      <c r="X695" s="117"/>
      <c r="Y695" s="10"/>
      <c r="Z695" s="11"/>
      <c r="AA695" s="36"/>
      <c r="AB695" s="36"/>
      <c r="AC695" s="13"/>
      <c r="AD695" s="13"/>
      <c r="AE695" s="37"/>
      <c r="AF695" s="37"/>
      <c r="AG695" s="14"/>
      <c r="AH695" s="14"/>
      <c r="AI695" s="14"/>
      <c r="AZ695" s="24"/>
    </row>
    <row r="696">
      <c r="B696" s="24"/>
      <c r="E696" s="113"/>
      <c r="F696" s="266"/>
      <c r="G696" s="113"/>
      <c r="K696" s="36"/>
      <c r="L696" s="117"/>
      <c r="M696" s="128"/>
      <c r="N696" s="117"/>
      <c r="R696" s="117"/>
      <c r="T696" s="117"/>
      <c r="V696" s="117"/>
      <c r="X696" s="117"/>
      <c r="Y696" s="10"/>
      <c r="Z696" s="11"/>
      <c r="AA696" s="36"/>
      <c r="AB696" s="36"/>
      <c r="AC696" s="13"/>
      <c r="AD696" s="13"/>
      <c r="AE696" s="37"/>
      <c r="AF696" s="37"/>
      <c r="AG696" s="14"/>
      <c r="AH696" s="14"/>
      <c r="AI696" s="14"/>
      <c r="AZ696" s="24"/>
    </row>
    <row r="697">
      <c r="B697" s="24"/>
      <c r="E697" s="113"/>
      <c r="F697" s="266"/>
      <c r="G697" s="113"/>
      <c r="K697" s="36"/>
      <c r="L697" s="117"/>
      <c r="M697" s="128"/>
      <c r="N697" s="117"/>
      <c r="R697" s="117"/>
      <c r="T697" s="117"/>
      <c r="V697" s="117"/>
      <c r="X697" s="117"/>
      <c r="Y697" s="10"/>
      <c r="Z697" s="11"/>
      <c r="AA697" s="36"/>
      <c r="AB697" s="36"/>
      <c r="AC697" s="13"/>
      <c r="AD697" s="13"/>
      <c r="AE697" s="37"/>
      <c r="AF697" s="37"/>
      <c r="AG697" s="14"/>
      <c r="AH697" s="14"/>
      <c r="AI697" s="14"/>
      <c r="AZ697" s="24"/>
    </row>
    <row r="698">
      <c r="B698" s="24"/>
      <c r="E698" s="113"/>
      <c r="F698" s="266"/>
      <c r="G698" s="113"/>
      <c r="K698" s="36"/>
      <c r="L698" s="117"/>
      <c r="M698" s="128"/>
      <c r="N698" s="117"/>
      <c r="R698" s="117"/>
      <c r="T698" s="117"/>
      <c r="V698" s="117"/>
      <c r="X698" s="117"/>
      <c r="Y698" s="10"/>
      <c r="Z698" s="11"/>
      <c r="AA698" s="36"/>
      <c r="AB698" s="36"/>
      <c r="AC698" s="13"/>
      <c r="AD698" s="13"/>
      <c r="AE698" s="37"/>
      <c r="AF698" s="37"/>
      <c r="AG698" s="14"/>
      <c r="AH698" s="14"/>
      <c r="AI698" s="14"/>
      <c r="AZ698" s="24"/>
    </row>
    <row r="699">
      <c r="B699" s="24"/>
      <c r="E699" s="113"/>
      <c r="F699" s="266"/>
      <c r="G699" s="113"/>
      <c r="K699" s="36"/>
      <c r="L699" s="117"/>
      <c r="M699" s="128"/>
      <c r="N699" s="117"/>
      <c r="R699" s="117"/>
      <c r="T699" s="117"/>
      <c r="V699" s="117"/>
      <c r="X699" s="117"/>
      <c r="Y699" s="10"/>
      <c r="Z699" s="11"/>
      <c r="AA699" s="36"/>
      <c r="AB699" s="36"/>
      <c r="AC699" s="13"/>
      <c r="AD699" s="13"/>
      <c r="AE699" s="37"/>
      <c r="AF699" s="37"/>
      <c r="AG699" s="14"/>
      <c r="AH699" s="14"/>
      <c r="AI699" s="14"/>
      <c r="AZ699" s="24"/>
    </row>
    <row r="700">
      <c r="B700" s="24"/>
      <c r="E700" s="113"/>
      <c r="F700" s="266"/>
      <c r="G700" s="113"/>
      <c r="K700" s="36"/>
      <c r="L700" s="117"/>
      <c r="M700" s="128"/>
      <c r="N700" s="117"/>
      <c r="R700" s="117"/>
      <c r="T700" s="117"/>
      <c r="V700" s="117"/>
      <c r="X700" s="117"/>
      <c r="Y700" s="10"/>
      <c r="Z700" s="11"/>
      <c r="AA700" s="36"/>
      <c r="AB700" s="36"/>
      <c r="AC700" s="13"/>
      <c r="AD700" s="13"/>
      <c r="AE700" s="37"/>
      <c r="AF700" s="37"/>
      <c r="AG700" s="14"/>
      <c r="AH700" s="14"/>
      <c r="AI700" s="14"/>
      <c r="AZ700" s="24"/>
    </row>
    <row r="701">
      <c r="B701" s="24"/>
      <c r="E701" s="113"/>
      <c r="F701" s="266"/>
      <c r="G701" s="113"/>
      <c r="K701" s="36"/>
      <c r="L701" s="117"/>
      <c r="M701" s="128"/>
      <c r="N701" s="117"/>
      <c r="R701" s="117"/>
      <c r="T701" s="117"/>
      <c r="V701" s="117"/>
      <c r="X701" s="117"/>
      <c r="Y701" s="10"/>
      <c r="Z701" s="11"/>
      <c r="AA701" s="36"/>
      <c r="AB701" s="36"/>
      <c r="AC701" s="13"/>
      <c r="AD701" s="13"/>
      <c r="AE701" s="37"/>
      <c r="AF701" s="37"/>
      <c r="AG701" s="14"/>
      <c r="AH701" s="14"/>
      <c r="AI701" s="14"/>
      <c r="AZ701" s="24"/>
    </row>
    <row r="702">
      <c r="B702" s="24"/>
      <c r="E702" s="113"/>
      <c r="F702" s="266"/>
      <c r="G702" s="113"/>
      <c r="K702" s="36"/>
      <c r="L702" s="117"/>
      <c r="M702" s="128"/>
      <c r="N702" s="117"/>
      <c r="R702" s="117"/>
      <c r="T702" s="117"/>
      <c r="V702" s="117"/>
      <c r="X702" s="117"/>
      <c r="Y702" s="10"/>
      <c r="Z702" s="11"/>
      <c r="AA702" s="36"/>
      <c r="AB702" s="36"/>
      <c r="AC702" s="13"/>
      <c r="AD702" s="13"/>
      <c r="AE702" s="37"/>
      <c r="AF702" s="37"/>
      <c r="AG702" s="14"/>
      <c r="AH702" s="14"/>
      <c r="AI702" s="14"/>
      <c r="AZ702" s="24"/>
    </row>
    <row r="703">
      <c r="B703" s="24"/>
      <c r="E703" s="113"/>
      <c r="F703" s="266"/>
      <c r="G703" s="113"/>
      <c r="K703" s="36"/>
      <c r="L703" s="117"/>
      <c r="M703" s="128"/>
      <c r="N703" s="117"/>
      <c r="R703" s="117"/>
      <c r="T703" s="117"/>
      <c r="V703" s="117"/>
      <c r="X703" s="117"/>
      <c r="Y703" s="10"/>
      <c r="Z703" s="11"/>
      <c r="AA703" s="36"/>
      <c r="AB703" s="36"/>
      <c r="AC703" s="13"/>
      <c r="AD703" s="13"/>
      <c r="AE703" s="37"/>
      <c r="AF703" s="37"/>
      <c r="AG703" s="14"/>
      <c r="AH703" s="14"/>
      <c r="AI703" s="14"/>
      <c r="AZ703" s="24"/>
    </row>
    <row r="704">
      <c r="B704" s="24"/>
      <c r="E704" s="113"/>
      <c r="F704" s="266"/>
      <c r="G704" s="113"/>
      <c r="K704" s="36"/>
      <c r="L704" s="117"/>
      <c r="M704" s="128"/>
      <c r="N704" s="117"/>
      <c r="R704" s="117"/>
      <c r="T704" s="117"/>
      <c r="V704" s="117"/>
      <c r="X704" s="117"/>
      <c r="Y704" s="10"/>
      <c r="Z704" s="11"/>
      <c r="AA704" s="36"/>
      <c r="AB704" s="36"/>
      <c r="AC704" s="13"/>
      <c r="AD704" s="13"/>
      <c r="AE704" s="37"/>
      <c r="AF704" s="37"/>
      <c r="AG704" s="14"/>
      <c r="AH704" s="14"/>
      <c r="AI704" s="14"/>
      <c r="AZ704" s="24"/>
    </row>
    <row r="705">
      <c r="B705" s="24"/>
      <c r="E705" s="113"/>
      <c r="F705" s="266"/>
      <c r="G705" s="113"/>
      <c r="K705" s="36"/>
      <c r="L705" s="117"/>
      <c r="M705" s="128"/>
      <c r="N705" s="117"/>
      <c r="R705" s="117"/>
      <c r="T705" s="117"/>
      <c r="V705" s="117"/>
      <c r="X705" s="117"/>
      <c r="Y705" s="10"/>
      <c r="Z705" s="11"/>
      <c r="AA705" s="36"/>
      <c r="AB705" s="36"/>
      <c r="AC705" s="13"/>
      <c r="AD705" s="13"/>
      <c r="AE705" s="37"/>
      <c r="AF705" s="37"/>
      <c r="AG705" s="14"/>
      <c r="AH705" s="14"/>
      <c r="AI705" s="14"/>
      <c r="AZ705" s="24"/>
    </row>
    <row r="706">
      <c r="B706" s="24"/>
      <c r="E706" s="113"/>
      <c r="F706" s="266"/>
      <c r="G706" s="113"/>
      <c r="K706" s="36"/>
      <c r="L706" s="117"/>
      <c r="M706" s="128"/>
      <c r="N706" s="117"/>
      <c r="R706" s="117"/>
      <c r="T706" s="117"/>
      <c r="V706" s="117"/>
      <c r="X706" s="117"/>
      <c r="Y706" s="10"/>
      <c r="Z706" s="11"/>
      <c r="AA706" s="36"/>
      <c r="AB706" s="36"/>
      <c r="AC706" s="13"/>
      <c r="AD706" s="13"/>
      <c r="AE706" s="37"/>
      <c r="AF706" s="37"/>
      <c r="AG706" s="14"/>
      <c r="AH706" s="14"/>
      <c r="AI706" s="14"/>
      <c r="AZ706" s="24"/>
    </row>
    <row r="707">
      <c r="B707" s="24"/>
      <c r="E707" s="113"/>
      <c r="F707" s="266"/>
      <c r="G707" s="113"/>
      <c r="K707" s="36"/>
      <c r="L707" s="117"/>
      <c r="M707" s="128"/>
      <c r="N707" s="117"/>
      <c r="R707" s="117"/>
      <c r="T707" s="117"/>
      <c r="V707" s="117"/>
      <c r="X707" s="117"/>
      <c r="Y707" s="10"/>
      <c r="Z707" s="11"/>
      <c r="AA707" s="36"/>
      <c r="AB707" s="36"/>
      <c r="AC707" s="13"/>
      <c r="AD707" s="13"/>
      <c r="AE707" s="37"/>
      <c r="AF707" s="37"/>
      <c r="AG707" s="14"/>
      <c r="AH707" s="14"/>
      <c r="AI707" s="14"/>
      <c r="AZ707" s="24"/>
    </row>
    <row r="708">
      <c r="B708" s="24"/>
      <c r="E708" s="113"/>
      <c r="F708" s="266"/>
      <c r="G708" s="113"/>
      <c r="K708" s="36"/>
      <c r="L708" s="117"/>
      <c r="M708" s="128"/>
      <c r="N708" s="117"/>
      <c r="R708" s="117"/>
      <c r="T708" s="117"/>
      <c r="V708" s="117"/>
      <c r="X708" s="117"/>
      <c r="Y708" s="10"/>
      <c r="Z708" s="11"/>
      <c r="AA708" s="36"/>
      <c r="AB708" s="36"/>
      <c r="AC708" s="13"/>
      <c r="AD708" s="13"/>
      <c r="AE708" s="37"/>
      <c r="AF708" s="37"/>
      <c r="AG708" s="14"/>
      <c r="AH708" s="14"/>
      <c r="AI708" s="14"/>
      <c r="AZ708" s="24"/>
    </row>
    <row r="709">
      <c r="B709" s="24"/>
      <c r="E709" s="113"/>
      <c r="F709" s="266"/>
      <c r="G709" s="113"/>
      <c r="K709" s="36"/>
      <c r="L709" s="117"/>
      <c r="M709" s="128"/>
      <c r="N709" s="117"/>
      <c r="R709" s="117"/>
      <c r="T709" s="117"/>
      <c r="V709" s="117"/>
      <c r="X709" s="117"/>
      <c r="Y709" s="10"/>
      <c r="Z709" s="11"/>
      <c r="AA709" s="36"/>
      <c r="AB709" s="36"/>
      <c r="AC709" s="13"/>
      <c r="AD709" s="13"/>
      <c r="AE709" s="37"/>
      <c r="AF709" s="37"/>
      <c r="AG709" s="14"/>
      <c r="AH709" s="14"/>
      <c r="AI709" s="14"/>
      <c r="AZ709" s="24"/>
    </row>
    <row r="710">
      <c r="B710" s="24"/>
      <c r="E710" s="113"/>
      <c r="F710" s="266"/>
      <c r="G710" s="113"/>
      <c r="K710" s="36"/>
      <c r="L710" s="117"/>
      <c r="M710" s="128"/>
      <c r="N710" s="117"/>
      <c r="R710" s="117"/>
      <c r="T710" s="117"/>
      <c r="V710" s="117"/>
      <c r="X710" s="117"/>
      <c r="Y710" s="10"/>
      <c r="Z710" s="11"/>
      <c r="AA710" s="36"/>
      <c r="AB710" s="36"/>
      <c r="AC710" s="13"/>
      <c r="AD710" s="13"/>
      <c r="AE710" s="37"/>
      <c r="AF710" s="37"/>
      <c r="AG710" s="14"/>
      <c r="AH710" s="14"/>
      <c r="AI710" s="14"/>
      <c r="AZ710" s="24"/>
    </row>
    <row r="711">
      <c r="B711" s="24"/>
      <c r="E711" s="113"/>
      <c r="F711" s="266"/>
      <c r="G711" s="113"/>
      <c r="K711" s="36"/>
      <c r="L711" s="117"/>
      <c r="M711" s="128"/>
      <c r="N711" s="117"/>
      <c r="R711" s="117"/>
      <c r="T711" s="117"/>
      <c r="V711" s="117"/>
      <c r="X711" s="117"/>
      <c r="Y711" s="10"/>
      <c r="Z711" s="11"/>
      <c r="AA711" s="36"/>
      <c r="AB711" s="36"/>
      <c r="AC711" s="13"/>
      <c r="AD711" s="13"/>
      <c r="AE711" s="37"/>
      <c r="AF711" s="37"/>
      <c r="AG711" s="14"/>
      <c r="AH711" s="14"/>
      <c r="AI711" s="14"/>
      <c r="AZ711" s="24"/>
    </row>
    <row r="712">
      <c r="B712" s="24"/>
      <c r="E712" s="113"/>
      <c r="F712" s="266"/>
      <c r="G712" s="113"/>
      <c r="K712" s="36"/>
      <c r="L712" s="117"/>
      <c r="M712" s="128"/>
      <c r="N712" s="117"/>
      <c r="R712" s="117"/>
      <c r="T712" s="117"/>
      <c r="V712" s="117"/>
      <c r="X712" s="117"/>
      <c r="Y712" s="10"/>
      <c r="Z712" s="11"/>
      <c r="AA712" s="36"/>
      <c r="AB712" s="36"/>
      <c r="AC712" s="13"/>
      <c r="AD712" s="13"/>
      <c r="AE712" s="37"/>
      <c r="AF712" s="37"/>
      <c r="AG712" s="14"/>
      <c r="AH712" s="14"/>
      <c r="AI712" s="14"/>
      <c r="AZ712" s="24"/>
    </row>
    <row r="713">
      <c r="B713" s="24"/>
      <c r="E713" s="113"/>
      <c r="F713" s="266"/>
      <c r="G713" s="113"/>
      <c r="K713" s="36"/>
      <c r="L713" s="117"/>
      <c r="M713" s="128"/>
      <c r="N713" s="117"/>
      <c r="R713" s="117"/>
      <c r="T713" s="117"/>
      <c r="V713" s="117"/>
      <c r="X713" s="117"/>
      <c r="Y713" s="10"/>
      <c r="Z713" s="11"/>
      <c r="AA713" s="36"/>
      <c r="AB713" s="36"/>
      <c r="AC713" s="13"/>
      <c r="AD713" s="13"/>
      <c r="AE713" s="37"/>
      <c r="AF713" s="37"/>
      <c r="AG713" s="14"/>
      <c r="AH713" s="14"/>
      <c r="AI713" s="14"/>
      <c r="AZ713" s="24"/>
    </row>
    <row r="714">
      <c r="B714" s="24"/>
      <c r="E714" s="113"/>
      <c r="F714" s="266"/>
      <c r="G714" s="113"/>
      <c r="K714" s="36"/>
      <c r="L714" s="117"/>
      <c r="M714" s="128"/>
      <c r="N714" s="117"/>
      <c r="R714" s="117"/>
      <c r="T714" s="117"/>
      <c r="V714" s="117"/>
      <c r="X714" s="117"/>
      <c r="Y714" s="10"/>
      <c r="Z714" s="11"/>
      <c r="AA714" s="36"/>
      <c r="AB714" s="36"/>
      <c r="AC714" s="13"/>
      <c r="AD714" s="13"/>
      <c r="AE714" s="37"/>
      <c r="AF714" s="37"/>
      <c r="AG714" s="14"/>
      <c r="AH714" s="14"/>
      <c r="AI714" s="14"/>
      <c r="AZ714" s="24"/>
    </row>
    <row r="715">
      <c r="B715" s="24"/>
      <c r="E715" s="113"/>
      <c r="F715" s="266"/>
      <c r="G715" s="113"/>
      <c r="K715" s="36"/>
      <c r="L715" s="117"/>
      <c r="M715" s="128"/>
      <c r="N715" s="117"/>
      <c r="R715" s="117"/>
      <c r="T715" s="117"/>
      <c r="V715" s="117"/>
      <c r="X715" s="117"/>
      <c r="Y715" s="10"/>
      <c r="Z715" s="11"/>
      <c r="AA715" s="36"/>
      <c r="AB715" s="36"/>
      <c r="AC715" s="13"/>
      <c r="AD715" s="13"/>
      <c r="AE715" s="37"/>
      <c r="AF715" s="37"/>
      <c r="AG715" s="14"/>
      <c r="AH715" s="14"/>
      <c r="AI715" s="14"/>
      <c r="AZ715" s="24"/>
    </row>
    <row r="716">
      <c r="B716" s="24"/>
      <c r="E716" s="113"/>
      <c r="F716" s="266"/>
      <c r="G716" s="113"/>
      <c r="K716" s="36"/>
      <c r="L716" s="117"/>
      <c r="M716" s="128"/>
      <c r="N716" s="117"/>
      <c r="R716" s="117"/>
      <c r="T716" s="117"/>
      <c r="V716" s="117"/>
      <c r="X716" s="117"/>
      <c r="Y716" s="10"/>
      <c r="Z716" s="11"/>
      <c r="AA716" s="36"/>
      <c r="AB716" s="36"/>
      <c r="AC716" s="13"/>
      <c r="AD716" s="13"/>
      <c r="AE716" s="37"/>
      <c r="AF716" s="37"/>
      <c r="AG716" s="14"/>
      <c r="AH716" s="14"/>
      <c r="AI716" s="14"/>
      <c r="AZ716" s="24"/>
    </row>
    <row r="717">
      <c r="B717" s="24"/>
      <c r="E717" s="113"/>
      <c r="F717" s="266"/>
      <c r="G717" s="113"/>
      <c r="K717" s="36"/>
      <c r="L717" s="117"/>
      <c r="M717" s="128"/>
      <c r="N717" s="117"/>
      <c r="R717" s="117"/>
      <c r="T717" s="117"/>
      <c r="V717" s="117"/>
      <c r="X717" s="117"/>
      <c r="Y717" s="10"/>
      <c r="Z717" s="11"/>
      <c r="AA717" s="36"/>
      <c r="AB717" s="36"/>
      <c r="AC717" s="13"/>
      <c r="AD717" s="13"/>
      <c r="AE717" s="37"/>
      <c r="AF717" s="37"/>
      <c r="AG717" s="14"/>
      <c r="AH717" s="14"/>
      <c r="AI717" s="14"/>
      <c r="AZ717" s="24"/>
    </row>
    <row r="718">
      <c r="B718" s="24"/>
      <c r="E718" s="113"/>
      <c r="F718" s="266"/>
      <c r="G718" s="113"/>
      <c r="K718" s="36"/>
      <c r="L718" s="117"/>
      <c r="M718" s="128"/>
      <c r="N718" s="117"/>
      <c r="R718" s="117"/>
      <c r="T718" s="117"/>
      <c r="V718" s="117"/>
      <c r="X718" s="117"/>
      <c r="Y718" s="10"/>
      <c r="Z718" s="11"/>
      <c r="AA718" s="36"/>
      <c r="AB718" s="36"/>
      <c r="AC718" s="13"/>
      <c r="AD718" s="13"/>
      <c r="AE718" s="37"/>
      <c r="AF718" s="37"/>
      <c r="AG718" s="14"/>
      <c r="AH718" s="14"/>
      <c r="AI718" s="14"/>
      <c r="AZ718" s="24"/>
    </row>
    <row r="719">
      <c r="B719" s="24"/>
      <c r="E719" s="113"/>
      <c r="F719" s="266"/>
      <c r="G719" s="113"/>
      <c r="K719" s="36"/>
      <c r="L719" s="117"/>
      <c r="M719" s="128"/>
      <c r="N719" s="117"/>
      <c r="R719" s="117"/>
      <c r="T719" s="117"/>
      <c r="V719" s="117"/>
      <c r="X719" s="117"/>
      <c r="Y719" s="10"/>
      <c r="Z719" s="11"/>
      <c r="AA719" s="36"/>
      <c r="AB719" s="36"/>
      <c r="AC719" s="13"/>
      <c r="AD719" s="13"/>
      <c r="AE719" s="37"/>
      <c r="AF719" s="37"/>
      <c r="AG719" s="14"/>
      <c r="AH719" s="14"/>
      <c r="AI719" s="14"/>
      <c r="AZ719" s="24"/>
    </row>
    <row r="720">
      <c r="B720" s="24"/>
      <c r="E720" s="113"/>
      <c r="F720" s="266"/>
      <c r="G720" s="113"/>
      <c r="K720" s="36"/>
      <c r="L720" s="117"/>
      <c r="M720" s="128"/>
      <c r="N720" s="117"/>
      <c r="R720" s="117"/>
      <c r="T720" s="117"/>
      <c r="V720" s="117"/>
      <c r="X720" s="117"/>
      <c r="Y720" s="10"/>
      <c r="Z720" s="11"/>
      <c r="AA720" s="36"/>
      <c r="AB720" s="36"/>
      <c r="AC720" s="13"/>
      <c r="AD720" s="13"/>
      <c r="AE720" s="37"/>
      <c r="AF720" s="37"/>
      <c r="AG720" s="14"/>
      <c r="AH720" s="14"/>
      <c r="AI720" s="14"/>
      <c r="AZ720" s="24"/>
    </row>
    <row r="721">
      <c r="B721" s="24"/>
      <c r="E721" s="113"/>
      <c r="F721" s="266"/>
      <c r="G721" s="113"/>
      <c r="K721" s="36"/>
      <c r="L721" s="117"/>
      <c r="M721" s="128"/>
      <c r="N721" s="117"/>
      <c r="R721" s="117"/>
      <c r="T721" s="117"/>
      <c r="V721" s="117"/>
      <c r="X721" s="117"/>
      <c r="Y721" s="10"/>
      <c r="Z721" s="11"/>
      <c r="AA721" s="36"/>
      <c r="AB721" s="36"/>
      <c r="AC721" s="13"/>
      <c r="AD721" s="13"/>
      <c r="AE721" s="37"/>
      <c r="AF721" s="37"/>
      <c r="AG721" s="14"/>
      <c r="AH721" s="14"/>
      <c r="AI721" s="14"/>
      <c r="AZ721" s="24"/>
    </row>
    <row r="722">
      <c r="B722" s="24"/>
      <c r="E722" s="113"/>
      <c r="F722" s="266"/>
      <c r="G722" s="113"/>
      <c r="K722" s="36"/>
      <c r="L722" s="117"/>
      <c r="M722" s="128"/>
      <c r="N722" s="117"/>
      <c r="R722" s="117"/>
      <c r="T722" s="117"/>
      <c r="V722" s="117"/>
      <c r="X722" s="117"/>
      <c r="Y722" s="10"/>
      <c r="Z722" s="11"/>
      <c r="AA722" s="36"/>
      <c r="AB722" s="36"/>
      <c r="AC722" s="13"/>
      <c r="AD722" s="13"/>
      <c r="AE722" s="37"/>
      <c r="AF722" s="37"/>
      <c r="AG722" s="14"/>
      <c r="AH722" s="14"/>
      <c r="AI722" s="14"/>
      <c r="AZ722" s="24"/>
    </row>
    <row r="723">
      <c r="B723" s="24"/>
      <c r="E723" s="113"/>
      <c r="F723" s="266"/>
      <c r="G723" s="113"/>
      <c r="K723" s="36"/>
      <c r="L723" s="117"/>
      <c r="M723" s="128"/>
      <c r="N723" s="117"/>
      <c r="R723" s="117"/>
      <c r="T723" s="117"/>
      <c r="V723" s="117"/>
      <c r="X723" s="117"/>
      <c r="Y723" s="10"/>
      <c r="Z723" s="11"/>
      <c r="AA723" s="36"/>
      <c r="AB723" s="36"/>
      <c r="AC723" s="13"/>
      <c r="AD723" s="13"/>
      <c r="AE723" s="37"/>
      <c r="AF723" s="37"/>
      <c r="AG723" s="14"/>
      <c r="AH723" s="14"/>
      <c r="AI723" s="14"/>
      <c r="AZ723" s="24"/>
    </row>
    <row r="724">
      <c r="B724" s="24"/>
      <c r="E724" s="113"/>
      <c r="F724" s="266"/>
      <c r="G724" s="113"/>
      <c r="K724" s="36"/>
      <c r="L724" s="117"/>
      <c r="M724" s="128"/>
      <c r="N724" s="117"/>
      <c r="R724" s="117"/>
      <c r="T724" s="117"/>
      <c r="V724" s="117"/>
      <c r="X724" s="117"/>
      <c r="Y724" s="10"/>
      <c r="Z724" s="11"/>
      <c r="AA724" s="36"/>
      <c r="AB724" s="36"/>
      <c r="AC724" s="13"/>
      <c r="AD724" s="13"/>
      <c r="AE724" s="37"/>
      <c r="AF724" s="37"/>
      <c r="AG724" s="14"/>
      <c r="AH724" s="14"/>
      <c r="AI724" s="14"/>
      <c r="AZ724" s="24"/>
    </row>
    <row r="725">
      <c r="B725" s="24"/>
      <c r="E725" s="113"/>
      <c r="F725" s="266"/>
      <c r="G725" s="113"/>
      <c r="K725" s="36"/>
      <c r="L725" s="117"/>
      <c r="M725" s="128"/>
      <c r="N725" s="117"/>
      <c r="R725" s="117"/>
      <c r="T725" s="117"/>
      <c r="V725" s="117"/>
      <c r="X725" s="117"/>
      <c r="Y725" s="10"/>
      <c r="Z725" s="11"/>
      <c r="AA725" s="36"/>
      <c r="AB725" s="36"/>
      <c r="AC725" s="13"/>
      <c r="AD725" s="13"/>
      <c r="AE725" s="37"/>
      <c r="AF725" s="37"/>
      <c r="AG725" s="14"/>
      <c r="AH725" s="14"/>
      <c r="AI725" s="14"/>
      <c r="AZ725" s="24"/>
    </row>
    <row r="726">
      <c r="B726" s="24"/>
      <c r="E726" s="113"/>
      <c r="F726" s="266"/>
      <c r="G726" s="113"/>
      <c r="K726" s="36"/>
      <c r="L726" s="117"/>
      <c r="M726" s="128"/>
      <c r="N726" s="117"/>
      <c r="R726" s="117"/>
      <c r="T726" s="117"/>
      <c r="V726" s="117"/>
      <c r="X726" s="117"/>
      <c r="Y726" s="10"/>
      <c r="Z726" s="11"/>
      <c r="AA726" s="36"/>
      <c r="AB726" s="36"/>
      <c r="AC726" s="13"/>
      <c r="AD726" s="13"/>
      <c r="AE726" s="37"/>
      <c r="AF726" s="37"/>
      <c r="AG726" s="14"/>
      <c r="AH726" s="14"/>
      <c r="AI726" s="14"/>
      <c r="AZ726" s="24"/>
    </row>
    <row r="727">
      <c r="B727" s="24"/>
      <c r="E727" s="113"/>
      <c r="F727" s="266"/>
      <c r="G727" s="113"/>
      <c r="K727" s="36"/>
      <c r="L727" s="117"/>
      <c r="M727" s="128"/>
      <c r="N727" s="117"/>
      <c r="R727" s="117"/>
      <c r="T727" s="117"/>
      <c r="V727" s="117"/>
      <c r="X727" s="117"/>
      <c r="Y727" s="10"/>
      <c r="Z727" s="11"/>
      <c r="AA727" s="36"/>
      <c r="AB727" s="36"/>
      <c r="AC727" s="13"/>
      <c r="AD727" s="13"/>
      <c r="AE727" s="37"/>
      <c r="AF727" s="37"/>
      <c r="AG727" s="14"/>
      <c r="AH727" s="14"/>
      <c r="AI727" s="14"/>
      <c r="AZ727" s="24"/>
    </row>
    <row r="728">
      <c r="B728" s="24"/>
      <c r="E728" s="113"/>
      <c r="F728" s="266"/>
      <c r="G728" s="113"/>
      <c r="K728" s="36"/>
      <c r="L728" s="117"/>
      <c r="M728" s="128"/>
      <c r="N728" s="117"/>
      <c r="R728" s="117"/>
      <c r="T728" s="117"/>
      <c r="V728" s="117"/>
      <c r="X728" s="117"/>
      <c r="Y728" s="10"/>
      <c r="Z728" s="11"/>
      <c r="AA728" s="36"/>
      <c r="AB728" s="36"/>
      <c r="AC728" s="13"/>
      <c r="AD728" s="13"/>
      <c r="AE728" s="37"/>
      <c r="AF728" s="37"/>
      <c r="AG728" s="14"/>
      <c r="AH728" s="14"/>
      <c r="AI728" s="14"/>
      <c r="AZ728" s="24"/>
    </row>
    <row r="729">
      <c r="B729" s="24"/>
      <c r="E729" s="113"/>
      <c r="F729" s="266"/>
      <c r="G729" s="113"/>
      <c r="K729" s="36"/>
      <c r="L729" s="117"/>
      <c r="M729" s="128"/>
      <c r="N729" s="117"/>
      <c r="R729" s="117"/>
      <c r="T729" s="117"/>
      <c r="V729" s="117"/>
      <c r="X729" s="117"/>
      <c r="Y729" s="10"/>
      <c r="Z729" s="11"/>
      <c r="AA729" s="36"/>
      <c r="AB729" s="36"/>
      <c r="AC729" s="13"/>
      <c r="AD729" s="13"/>
      <c r="AE729" s="37"/>
      <c r="AF729" s="37"/>
      <c r="AG729" s="14"/>
      <c r="AH729" s="14"/>
      <c r="AI729" s="14"/>
      <c r="AZ729" s="24"/>
    </row>
    <row r="730">
      <c r="B730" s="24"/>
      <c r="E730" s="113"/>
      <c r="F730" s="266"/>
      <c r="G730" s="113"/>
      <c r="K730" s="36"/>
      <c r="L730" s="117"/>
      <c r="M730" s="128"/>
      <c r="N730" s="117"/>
      <c r="R730" s="117"/>
      <c r="T730" s="117"/>
      <c r="V730" s="117"/>
      <c r="X730" s="117"/>
      <c r="Y730" s="10"/>
      <c r="Z730" s="11"/>
      <c r="AA730" s="36"/>
      <c r="AB730" s="36"/>
      <c r="AC730" s="13"/>
      <c r="AD730" s="13"/>
      <c r="AE730" s="37"/>
      <c r="AF730" s="37"/>
      <c r="AG730" s="14"/>
      <c r="AH730" s="14"/>
      <c r="AI730" s="14"/>
      <c r="AZ730" s="24"/>
    </row>
    <row r="731">
      <c r="B731" s="24"/>
      <c r="E731" s="113"/>
      <c r="F731" s="266"/>
      <c r="G731" s="113"/>
      <c r="K731" s="36"/>
      <c r="L731" s="117"/>
      <c r="M731" s="128"/>
      <c r="N731" s="117"/>
      <c r="R731" s="117"/>
      <c r="T731" s="117"/>
      <c r="V731" s="117"/>
      <c r="X731" s="117"/>
      <c r="Y731" s="10"/>
      <c r="Z731" s="11"/>
      <c r="AA731" s="36"/>
      <c r="AB731" s="36"/>
      <c r="AC731" s="13"/>
      <c r="AD731" s="13"/>
      <c r="AE731" s="37"/>
      <c r="AF731" s="37"/>
      <c r="AG731" s="14"/>
      <c r="AH731" s="14"/>
      <c r="AI731" s="14"/>
      <c r="AZ731" s="24"/>
    </row>
    <row r="732">
      <c r="B732" s="24"/>
      <c r="E732" s="113"/>
      <c r="F732" s="266"/>
      <c r="G732" s="113"/>
      <c r="K732" s="36"/>
      <c r="L732" s="117"/>
      <c r="M732" s="128"/>
      <c r="N732" s="117"/>
      <c r="R732" s="117"/>
      <c r="T732" s="117"/>
      <c r="V732" s="117"/>
      <c r="X732" s="117"/>
      <c r="Y732" s="10"/>
      <c r="Z732" s="11"/>
      <c r="AA732" s="36"/>
      <c r="AB732" s="36"/>
      <c r="AC732" s="13"/>
      <c r="AD732" s="13"/>
      <c r="AE732" s="37"/>
      <c r="AF732" s="37"/>
      <c r="AG732" s="14"/>
      <c r="AH732" s="14"/>
      <c r="AI732" s="14"/>
      <c r="AZ732" s="24"/>
    </row>
    <row r="733">
      <c r="B733" s="24"/>
      <c r="E733" s="113"/>
      <c r="F733" s="266"/>
      <c r="G733" s="113"/>
      <c r="K733" s="36"/>
      <c r="L733" s="117"/>
      <c r="M733" s="128"/>
      <c r="N733" s="117"/>
      <c r="R733" s="117"/>
      <c r="T733" s="117"/>
      <c r="V733" s="117"/>
      <c r="X733" s="117"/>
      <c r="Y733" s="10"/>
      <c r="Z733" s="11"/>
      <c r="AA733" s="36"/>
      <c r="AB733" s="36"/>
      <c r="AC733" s="13"/>
      <c r="AD733" s="13"/>
      <c r="AE733" s="37"/>
      <c r="AF733" s="37"/>
      <c r="AG733" s="14"/>
      <c r="AH733" s="14"/>
      <c r="AI733" s="14"/>
      <c r="AZ733" s="24"/>
    </row>
    <row r="734">
      <c r="B734" s="24"/>
      <c r="E734" s="113"/>
      <c r="F734" s="266"/>
      <c r="G734" s="113"/>
      <c r="K734" s="36"/>
      <c r="L734" s="117"/>
      <c r="M734" s="128"/>
      <c r="N734" s="117"/>
      <c r="R734" s="117"/>
      <c r="T734" s="117"/>
      <c r="V734" s="117"/>
      <c r="X734" s="117"/>
      <c r="Y734" s="10"/>
      <c r="Z734" s="11"/>
      <c r="AA734" s="36"/>
      <c r="AB734" s="36"/>
      <c r="AC734" s="13"/>
      <c r="AD734" s="13"/>
      <c r="AE734" s="37"/>
      <c r="AF734" s="37"/>
      <c r="AG734" s="14"/>
      <c r="AH734" s="14"/>
      <c r="AI734" s="14"/>
      <c r="AZ734" s="24"/>
    </row>
    <row r="735">
      <c r="B735" s="24"/>
      <c r="E735" s="113"/>
      <c r="F735" s="266"/>
      <c r="G735" s="113"/>
      <c r="K735" s="36"/>
      <c r="L735" s="117"/>
      <c r="M735" s="128"/>
      <c r="N735" s="117"/>
      <c r="R735" s="117"/>
      <c r="T735" s="117"/>
      <c r="V735" s="117"/>
      <c r="X735" s="117"/>
      <c r="Y735" s="10"/>
      <c r="Z735" s="11"/>
      <c r="AA735" s="36"/>
      <c r="AB735" s="36"/>
      <c r="AC735" s="13"/>
      <c r="AD735" s="13"/>
      <c r="AE735" s="37"/>
      <c r="AF735" s="37"/>
      <c r="AG735" s="14"/>
      <c r="AH735" s="14"/>
      <c r="AI735" s="14"/>
      <c r="AZ735" s="24"/>
    </row>
    <row r="736">
      <c r="B736" s="24"/>
      <c r="E736" s="113"/>
      <c r="F736" s="266"/>
      <c r="G736" s="113"/>
      <c r="K736" s="36"/>
      <c r="L736" s="117"/>
      <c r="M736" s="128"/>
      <c r="N736" s="117"/>
      <c r="R736" s="117"/>
      <c r="T736" s="117"/>
      <c r="V736" s="117"/>
      <c r="X736" s="117"/>
      <c r="Y736" s="10"/>
      <c r="Z736" s="11"/>
      <c r="AA736" s="36"/>
      <c r="AB736" s="36"/>
      <c r="AC736" s="13"/>
      <c r="AD736" s="13"/>
      <c r="AE736" s="37"/>
      <c r="AF736" s="37"/>
      <c r="AG736" s="14"/>
      <c r="AH736" s="14"/>
      <c r="AI736" s="14"/>
      <c r="AZ736" s="24"/>
    </row>
    <row r="737">
      <c r="B737" s="24"/>
      <c r="E737" s="113"/>
      <c r="F737" s="266"/>
      <c r="G737" s="113"/>
      <c r="K737" s="36"/>
      <c r="L737" s="117"/>
      <c r="M737" s="128"/>
      <c r="N737" s="117"/>
      <c r="R737" s="117"/>
      <c r="T737" s="117"/>
      <c r="V737" s="117"/>
      <c r="X737" s="117"/>
      <c r="Y737" s="10"/>
      <c r="Z737" s="11"/>
      <c r="AA737" s="36"/>
      <c r="AB737" s="36"/>
      <c r="AC737" s="13"/>
      <c r="AD737" s="13"/>
      <c r="AE737" s="37"/>
      <c r="AF737" s="37"/>
      <c r="AG737" s="14"/>
      <c r="AH737" s="14"/>
      <c r="AI737" s="14"/>
      <c r="AZ737" s="24"/>
    </row>
    <row r="738">
      <c r="B738" s="24"/>
      <c r="E738" s="113"/>
      <c r="F738" s="266"/>
      <c r="G738" s="113"/>
      <c r="K738" s="36"/>
      <c r="L738" s="117"/>
      <c r="M738" s="128"/>
      <c r="N738" s="117"/>
      <c r="R738" s="117"/>
      <c r="T738" s="117"/>
      <c r="V738" s="117"/>
      <c r="X738" s="117"/>
      <c r="Y738" s="10"/>
      <c r="Z738" s="11"/>
      <c r="AA738" s="36"/>
      <c r="AB738" s="36"/>
      <c r="AC738" s="13"/>
      <c r="AD738" s="13"/>
      <c r="AE738" s="37"/>
      <c r="AF738" s="37"/>
      <c r="AG738" s="14"/>
      <c r="AH738" s="14"/>
      <c r="AI738" s="14"/>
      <c r="AZ738" s="24"/>
    </row>
    <row r="739">
      <c r="B739" s="24"/>
      <c r="E739" s="113"/>
      <c r="F739" s="266"/>
      <c r="G739" s="113"/>
      <c r="K739" s="36"/>
      <c r="L739" s="117"/>
      <c r="M739" s="128"/>
      <c r="N739" s="117"/>
      <c r="R739" s="117"/>
      <c r="T739" s="117"/>
      <c r="V739" s="117"/>
      <c r="X739" s="117"/>
      <c r="Y739" s="10"/>
      <c r="Z739" s="11"/>
      <c r="AA739" s="36"/>
      <c r="AB739" s="36"/>
      <c r="AC739" s="13"/>
      <c r="AD739" s="13"/>
      <c r="AE739" s="37"/>
      <c r="AF739" s="37"/>
      <c r="AG739" s="14"/>
      <c r="AH739" s="14"/>
      <c r="AI739" s="14"/>
      <c r="AZ739" s="24"/>
    </row>
    <row r="740">
      <c r="B740" s="24"/>
      <c r="E740" s="113"/>
      <c r="F740" s="266"/>
      <c r="G740" s="113"/>
      <c r="K740" s="36"/>
      <c r="L740" s="117"/>
      <c r="M740" s="128"/>
      <c r="N740" s="117"/>
      <c r="R740" s="117"/>
      <c r="T740" s="117"/>
      <c r="V740" s="117"/>
      <c r="X740" s="117"/>
      <c r="Y740" s="10"/>
      <c r="Z740" s="11"/>
      <c r="AA740" s="36"/>
      <c r="AB740" s="36"/>
      <c r="AC740" s="13"/>
      <c r="AD740" s="13"/>
      <c r="AE740" s="37"/>
      <c r="AF740" s="37"/>
      <c r="AG740" s="14"/>
      <c r="AH740" s="14"/>
      <c r="AI740" s="14"/>
      <c r="AZ740" s="24"/>
    </row>
    <row r="741">
      <c r="B741" s="24"/>
      <c r="E741" s="113"/>
      <c r="F741" s="266"/>
      <c r="G741" s="113"/>
      <c r="K741" s="36"/>
      <c r="L741" s="117"/>
      <c r="M741" s="128"/>
      <c r="N741" s="117"/>
      <c r="R741" s="117"/>
      <c r="T741" s="117"/>
      <c r="V741" s="117"/>
      <c r="X741" s="117"/>
      <c r="Y741" s="10"/>
      <c r="Z741" s="11"/>
      <c r="AA741" s="36"/>
      <c r="AB741" s="36"/>
      <c r="AC741" s="13"/>
      <c r="AD741" s="13"/>
      <c r="AE741" s="37"/>
      <c r="AF741" s="37"/>
      <c r="AG741" s="14"/>
      <c r="AH741" s="14"/>
      <c r="AI741" s="14"/>
      <c r="AZ741" s="24"/>
    </row>
    <row r="742">
      <c r="B742" s="24"/>
      <c r="E742" s="113"/>
      <c r="F742" s="266"/>
      <c r="G742" s="113"/>
      <c r="K742" s="36"/>
      <c r="L742" s="117"/>
      <c r="M742" s="128"/>
      <c r="N742" s="117"/>
      <c r="R742" s="117"/>
      <c r="T742" s="117"/>
      <c r="V742" s="117"/>
      <c r="X742" s="117"/>
      <c r="Y742" s="10"/>
      <c r="Z742" s="11"/>
      <c r="AA742" s="36"/>
      <c r="AB742" s="36"/>
      <c r="AC742" s="13"/>
      <c r="AD742" s="13"/>
      <c r="AE742" s="37"/>
      <c r="AF742" s="37"/>
      <c r="AG742" s="14"/>
      <c r="AH742" s="14"/>
      <c r="AI742" s="14"/>
      <c r="AZ742" s="24"/>
    </row>
    <row r="743">
      <c r="B743" s="24"/>
      <c r="E743" s="113"/>
      <c r="F743" s="266"/>
      <c r="G743" s="113"/>
      <c r="K743" s="36"/>
      <c r="L743" s="117"/>
      <c r="M743" s="128"/>
      <c r="N743" s="117"/>
      <c r="R743" s="117"/>
      <c r="T743" s="117"/>
      <c r="V743" s="117"/>
      <c r="X743" s="117"/>
      <c r="Y743" s="10"/>
      <c r="Z743" s="11"/>
      <c r="AA743" s="36"/>
      <c r="AB743" s="36"/>
      <c r="AC743" s="13"/>
      <c r="AD743" s="13"/>
      <c r="AE743" s="37"/>
      <c r="AF743" s="37"/>
      <c r="AG743" s="14"/>
      <c r="AH743" s="14"/>
      <c r="AI743" s="14"/>
      <c r="AZ743" s="24"/>
    </row>
    <row r="744">
      <c r="B744" s="24"/>
      <c r="E744" s="113"/>
      <c r="F744" s="266"/>
      <c r="G744" s="113"/>
      <c r="K744" s="36"/>
      <c r="L744" s="117"/>
      <c r="M744" s="128"/>
      <c r="N744" s="117"/>
      <c r="R744" s="117"/>
      <c r="T744" s="117"/>
      <c r="V744" s="117"/>
      <c r="X744" s="117"/>
      <c r="Y744" s="10"/>
      <c r="Z744" s="11"/>
      <c r="AA744" s="36"/>
      <c r="AB744" s="36"/>
      <c r="AC744" s="13"/>
      <c r="AD744" s="13"/>
      <c r="AE744" s="37"/>
      <c r="AF744" s="37"/>
      <c r="AG744" s="14"/>
      <c r="AH744" s="14"/>
      <c r="AI744" s="14"/>
      <c r="AZ744" s="24"/>
    </row>
    <row r="745">
      <c r="B745" s="24"/>
      <c r="E745" s="113"/>
      <c r="F745" s="266"/>
      <c r="G745" s="113"/>
      <c r="K745" s="36"/>
      <c r="L745" s="117"/>
      <c r="M745" s="128"/>
      <c r="N745" s="117"/>
      <c r="R745" s="117"/>
      <c r="T745" s="117"/>
      <c r="V745" s="117"/>
      <c r="X745" s="117"/>
      <c r="Y745" s="10"/>
      <c r="Z745" s="11"/>
      <c r="AA745" s="36"/>
      <c r="AB745" s="36"/>
      <c r="AC745" s="13"/>
      <c r="AD745" s="13"/>
      <c r="AE745" s="37"/>
      <c r="AF745" s="37"/>
      <c r="AG745" s="14"/>
      <c r="AH745" s="14"/>
      <c r="AI745" s="14"/>
      <c r="AZ745" s="24"/>
    </row>
    <row r="746">
      <c r="B746" s="24"/>
      <c r="E746" s="113"/>
      <c r="F746" s="266"/>
      <c r="G746" s="113"/>
      <c r="K746" s="36"/>
      <c r="L746" s="117"/>
      <c r="M746" s="128"/>
      <c r="N746" s="117"/>
      <c r="R746" s="117"/>
      <c r="T746" s="117"/>
      <c r="V746" s="117"/>
      <c r="X746" s="117"/>
      <c r="Y746" s="10"/>
      <c r="Z746" s="11"/>
      <c r="AA746" s="36"/>
      <c r="AB746" s="36"/>
      <c r="AC746" s="13"/>
      <c r="AD746" s="13"/>
      <c r="AE746" s="37"/>
      <c r="AF746" s="37"/>
      <c r="AG746" s="14"/>
      <c r="AH746" s="14"/>
      <c r="AI746" s="14"/>
      <c r="AZ746" s="24"/>
    </row>
    <row r="747">
      <c r="B747" s="24"/>
      <c r="E747" s="113"/>
      <c r="F747" s="266"/>
      <c r="G747" s="113"/>
      <c r="K747" s="36"/>
      <c r="L747" s="117"/>
      <c r="M747" s="128"/>
      <c r="N747" s="117"/>
      <c r="R747" s="117"/>
      <c r="T747" s="117"/>
      <c r="V747" s="117"/>
      <c r="X747" s="117"/>
      <c r="Y747" s="10"/>
      <c r="Z747" s="11"/>
      <c r="AA747" s="36"/>
      <c r="AB747" s="36"/>
      <c r="AC747" s="13"/>
      <c r="AD747" s="13"/>
      <c r="AE747" s="37"/>
      <c r="AF747" s="37"/>
      <c r="AG747" s="14"/>
      <c r="AH747" s="14"/>
      <c r="AI747" s="14"/>
      <c r="AZ747" s="24"/>
    </row>
    <row r="748">
      <c r="B748" s="24"/>
      <c r="E748" s="113"/>
      <c r="F748" s="266"/>
      <c r="G748" s="113"/>
      <c r="K748" s="36"/>
      <c r="L748" s="117"/>
      <c r="M748" s="128"/>
      <c r="N748" s="117"/>
      <c r="R748" s="117"/>
      <c r="T748" s="117"/>
      <c r="V748" s="117"/>
      <c r="X748" s="117"/>
      <c r="Y748" s="10"/>
      <c r="Z748" s="11"/>
      <c r="AA748" s="36"/>
      <c r="AB748" s="36"/>
      <c r="AC748" s="13"/>
      <c r="AD748" s="13"/>
      <c r="AE748" s="37"/>
      <c r="AF748" s="37"/>
      <c r="AG748" s="14"/>
      <c r="AH748" s="14"/>
      <c r="AI748" s="14"/>
      <c r="AZ748" s="24"/>
    </row>
    <row r="749">
      <c r="B749" s="24"/>
      <c r="E749" s="113"/>
      <c r="F749" s="266"/>
      <c r="G749" s="113"/>
      <c r="K749" s="36"/>
      <c r="L749" s="117"/>
      <c r="M749" s="128"/>
      <c r="N749" s="117"/>
      <c r="R749" s="117"/>
      <c r="T749" s="117"/>
      <c r="V749" s="117"/>
      <c r="X749" s="117"/>
      <c r="Y749" s="10"/>
      <c r="Z749" s="11"/>
      <c r="AA749" s="36"/>
      <c r="AB749" s="36"/>
      <c r="AC749" s="13"/>
      <c r="AD749" s="13"/>
      <c r="AE749" s="37"/>
      <c r="AF749" s="37"/>
      <c r="AG749" s="14"/>
      <c r="AH749" s="14"/>
      <c r="AI749" s="14"/>
      <c r="AZ749" s="24"/>
    </row>
    <row r="750">
      <c r="B750" s="24"/>
      <c r="E750" s="113"/>
      <c r="F750" s="266"/>
      <c r="G750" s="113"/>
      <c r="K750" s="36"/>
      <c r="L750" s="117"/>
      <c r="M750" s="128"/>
      <c r="N750" s="117"/>
      <c r="R750" s="117"/>
      <c r="T750" s="117"/>
      <c r="V750" s="117"/>
      <c r="X750" s="117"/>
      <c r="Y750" s="10"/>
      <c r="Z750" s="11"/>
      <c r="AA750" s="36"/>
      <c r="AB750" s="36"/>
      <c r="AC750" s="13"/>
      <c r="AD750" s="13"/>
      <c r="AE750" s="37"/>
      <c r="AF750" s="37"/>
      <c r="AG750" s="14"/>
      <c r="AH750" s="14"/>
      <c r="AI750" s="14"/>
      <c r="AZ750" s="24"/>
    </row>
    <row r="751">
      <c r="B751" s="24"/>
      <c r="E751" s="113"/>
      <c r="F751" s="266"/>
      <c r="G751" s="113"/>
      <c r="K751" s="36"/>
      <c r="L751" s="117"/>
      <c r="M751" s="128"/>
      <c r="N751" s="117"/>
      <c r="R751" s="117"/>
      <c r="T751" s="117"/>
      <c r="V751" s="117"/>
      <c r="X751" s="117"/>
      <c r="Y751" s="10"/>
      <c r="Z751" s="11"/>
      <c r="AA751" s="36"/>
      <c r="AB751" s="36"/>
      <c r="AC751" s="13"/>
      <c r="AD751" s="13"/>
      <c r="AE751" s="37"/>
      <c r="AF751" s="37"/>
      <c r="AG751" s="14"/>
      <c r="AH751" s="14"/>
      <c r="AI751" s="14"/>
      <c r="AZ751" s="24"/>
    </row>
    <row r="752">
      <c r="B752" s="24"/>
      <c r="E752" s="113"/>
      <c r="F752" s="266"/>
      <c r="G752" s="113"/>
      <c r="K752" s="36"/>
      <c r="L752" s="117"/>
      <c r="M752" s="128"/>
      <c r="N752" s="117"/>
      <c r="R752" s="117"/>
      <c r="T752" s="117"/>
      <c r="V752" s="117"/>
      <c r="X752" s="117"/>
      <c r="Y752" s="10"/>
      <c r="Z752" s="11"/>
      <c r="AA752" s="36"/>
      <c r="AB752" s="36"/>
      <c r="AC752" s="13"/>
      <c r="AD752" s="13"/>
      <c r="AE752" s="37"/>
      <c r="AF752" s="37"/>
      <c r="AG752" s="14"/>
      <c r="AH752" s="14"/>
      <c r="AI752" s="14"/>
      <c r="AZ752" s="24"/>
    </row>
    <row r="753">
      <c r="B753" s="24"/>
      <c r="E753" s="113"/>
      <c r="F753" s="266"/>
      <c r="G753" s="113"/>
      <c r="K753" s="36"/>
      <c r="L753" s="117"/>
      <c r="M753" s="128"/>
      <c r="N753" s="117"/>
      <c r="R753" s="117"/>
      <c r="T753" s="117"/>
      <c r="V753" s="117"/>
      <c r="X753" s="117"/>
      <c r="Y753" s="10"/>
      <c r="Z753" s="11"/>
      <c r="AA753" s="36"/>
      <c r="AB753" s="36"/>
      <c r="AC753" s="13"/>
      <c r="AD753" s="13"/>
      <c r="AE753" s="37"/>
      <c r="AF753" s="37"/>
      <c r="AG753" s="14"/>
      <c r="AH753" s="14"/>
      <c r="AI753" s="14"/>
      <c r="AZ753" s="24"/>
    </row>
    <row r="754">
      <c r="B754" s="24"/>
      <c r="E754" s="113"/>
      <c r="F754" s="266"/>
      <c r="G754" s="113"/>
      <c r="K754" s="36"/>
      <c r="L754" s="117"/>
      <c r="M754" s="128"/>
      <c r="N754" s="117"/>
      <c r="R754" s="117"/>
      <c r="T754" s="117"/>
      <c r="V754" s="117"/>
      <c r="X754" s="117"/>
      <c r="Y754" s="10"/>
      <c r="Z754" s="11"/>
      <c r="AA754" s="36"/>
      <c r="AB754" s="36"/>
      <c r="AC754" s="13"/>
      <c r="AD754" s="13"/>
      <c r="AE754" s="37"/>
      <c r="AF754" s="37"/>
      <c r="AG754" s="14"/>
      <c r="AH754" s="14"/>
      <c r="AI754" s="14"/>
      <c r="AZ754" s="24"/>
    </row>
    <row r="755">
      <c r="B755" s="24"/>
      <c r="E755" s="113"/>
      <c r="F755" s="266"/>
      <c r="G755" s="113"/>
      <c r="K755" s="36"/>
      <c r="L755" s="117"/>
      <c r="M755" s="128"/>
      <c r="N755" s="117"/>
      <c r="R755" s="117"/>
      <c r="T755" s="117"/>
      <c r="V755" s="117"/>
      <c r="X755" s="117"/>
      <c r="Y755" s="10"/>
      <c r="Z755" s="11"/>
      <c r="AA755" s="36"/>
      <c r="AB755" s="36"/>
      <c r="AC755" s="13"/>
      <c r="AD755" s="13"/>
      <c r="AE755" s="37"/>
      <c r="AF755" s="37"/>
      <c r="AG755" s="14"/>
      <c r="AH755" s="14"/>
      <c r="AI755" s="14"/>
      <c r="AZ755" s="24"/>
    </row>
    <row r="756">
      <c r="B756" s="24"/>
      <c r="E756" s="113"/>
      <c r="F756" s="266"/>
      <c r="G756" s="113"/>
      <c r="K756" s="36"/>
      <c r="L756" s="117"/>
      <c r="M756" s="128"/>
      <c r="N756" s="117"/>
      <c r="R756" s="117"/>
      <c r="T756" s="117"/>
      <c r="V756" s="117"/>
      <c r="X756" s="117"/>
      <c r="Y756" s="10"/>
      <c r="Z756" s="11"/>
      <c r="AA756" s="36"/>
      <c r="AB756" s="36"/>
      <c r="AC756" s="13"/>
      <c r="AD756" s="13"/>
      <c r="AE756" s="37"/>
      <c r="AF756" s="37"/>
      <c r="AG756" s="14"/>
      <c r="AH756" s="14"/>
      <c r="AI756" s="14"/>
      <c r="AZ756" s="24"/>
    </row>
    <row r="757">
      <c r="B757" s="24"/>
      <c r="E757" s="113"/>
      <c r="F757" s="266"/>
      <c r="G757" s="113"/>
      <c r="K757" s="36"/>
      <c r="L757" s="117"/>
      <c r="M757" s="128"/>
      <c r="N757" s="117"/>
      <c r="R757" s="117"/>
      <c r="T757" s="117"/>
      <c r="V757" s="117"/>
      <c r="X757" s="117"/>
      <c r="Y757" s="10"/>
      <c r="Z757" s="11"/>
      <c r="AA757" s="36"/>
      <c r="AB757" s="36"/>
      <c r="AC757" s="13"/>
      <c r="AD757" s="13"/>
      <c r="AE757" s="37"/>
      <c r="AF757" s="37"/>
      <c r="AG757" s="14"/>
      <c r="AH757" s="14"/>
      <c r="AI757" s="14"/>
      <c r="AZ757" s="24"/>
    </row>
    <row r="758">
      <c r="B758" s="24"/>
      <c r="E758" s="113"/>
      <c r="F758" s="266"/>
      <c r="G758" s="113"/>
      <c r="K758" s="36"/>
      <c r="L758" s="117"/>
      <c r="M758" s="128"/>
      <c r="N758" s="117"/>
      <c r="R758" s="117"/>
      <c r="T758" s="117"/>
      <c r="V758" s="117"/>
      <c r="X758" s="117"/>
      <c r="Y758" s="10"/>
      <c r="Z758" s="11"/>
      <c r="AA758" s="36"/>
      <c r="AB758" s="36"/>
      <c r="AC758" s="13"/>
      <c r="AD758" s="13"/>
      <c r="AE758" s="37"/>
      <c r="AF758" s="37"/>
      <c r="AG758" s="14"/>
      <c r="AH758" s="14"/>
      <c r="AI758" s="14"/>
      <c r="AZ758" s="24"/>
    </row>
    <row r="759">
      <c r="B759" s="24"/>
      <c r="E759" s="113"/>
      <c r="F759" s="266"/>
      <c r="G759" s="113"/>
      <c r="K759" s="36"/>
      <c r="L759" s="117"/>
      <c r="M759" s="128"/>
      <c r="N759" s="117"/>
      <c r="R759" s="117"/>
      <c r="T759" s="117"/>
      <c r="V759" s="117"/>
      <c r="X759" s="117"/>
      <c r="Y759" s="10"/>
      <c r="Z759" s="11"/>
      <c r="AA759" s="36"/>
      <c r="AB759" s="36"/>
      <c r="AC759" s="13"/>
      <c r="AD759" s="13"/>
      <c r="AE759" s="37"/>
      <c r="AF759" s="37"/>
      <c r="AG759" s="14"/>
      <c r="AH759" s="14"/>
      <c r="AI759" s="14"/>
      <c r="AZ759" s="24"/>
    </row>
    <row r="760">
      <c r="B760" s="24"/>
      <c r="E760" s="113"/>
      <c r="F760" s="266"/>
      <c r="G760" s="113"/>
      <c r="K760" s="36"/>
      <c r="L760" s="117"/>
      <c r="M760" s="128"/>
      <c r="N760" s="117"/>
      <c r="R760" s="117"/>
      <c r="T760" s="117"/>
      <c r="V760" s="117"/>
      <c r="X760" s="117"/>
      <c r="Y760" s="10"/>
      <c r="Z760" s="11"/>
      <c r="AA760" s="36"/>
      <c r="AB760" s="36"/>
      <c r="AC760" s="13"/>
      <c r="AD760" s="13"/>
      <c r="AE760" s="37"/>
      <c r="AF760" s="37"/>
      <c r="AG760" s="14"/>
      <c r="AH760" s="14"/>
      <c r="AI760" s="14"/>
      <c r="AZ760" s="24"/>
    </row>
    <row r="761">
      <c r="B761" s="24"/>
      <c r="E761" s="113"/>
      <c r="F761" s="266"/>
      <c r="G761" s="113"/>
      <c r="K761" s="36"/>
      <c r="L761" s="117"/>
      <c r="M761" s="128"/>
      <c r="N761" s="117"/>
      <c r="R761" s="117"/>
      <c r="T761" s="117"/>
      <c r="V761" s="117"/>
      <c r="X761" s="117"/>
      <c r="Y761" s="10"/>
      <c r="Z761" s="11"/>
      <c r="AA761" s="36"/>
      <c r="AB761" s="36"/>
      <c r="AC761" s="13"/>
      <c r="AD761" s="13"/>
      <c r="AE761" s="37"/>
      <c r="AF761" s="37"/>
      <c r="AG761" s="14"/>
      <c r="AH761" s="14"/>
      <c r="AI761" s="14"/>
      <c r="AZ761" s="24"/>
    </row>
    <row r="762">
      <c r="B762" s="24"/>
      <c r="E762" s="113"/>
      <c r="F762" s="266"/>
      <c r="G762" s="113"/>
      <c r="K762" s="36"/>
      <c r="L762" s="117"/>
      <c r="M762" s="128"/>
      <c r="N762" s="117"/>
      <c r="R762" s="117"/>
      <c r="T762" s="117"/>
      <c r="V762" s="117"/>
      <c r="X762" s="117"/>
      <c r="Y762" s="10"/>
      <c r="Z762" s="11"/>
      <c r="AA762" s="36"/>
      <c r="AB762" s="36"/>
      <c r="AC762" s="13"/>
      <c r="AD762" s="13"/>
      <c r="AE762" s="37"/>
      <c r="AF762" s="37"/>
      <c r="AG762" s="14"/>
      <c r="AH762" s="14"/>
      <c r="AI762" s="14"/>
      <c r="AZ762" s="24"/>
    </row>
    <row r="763">
      <c r="B763" s="24"/>
      <c r="E763" s="113"/>
      <c r="F763" s="266"/>
      <c r="G763" s="113"/>
      <c r="K763" s="36"/>
      <c r="L763" s="117"/>
      <c r="M763" s="128"/>
      <c r="N763" s="117"/>
      <c r="R763" s="117"/>
      <c r="T763" s="117"/>
      <c r="V763" s="117"/>
      <c r="X763" s="117"/>
      <c r="Y763" s="10"/>
      <c r="Z763" s="11"/>
      <c r="AA763" s="36"/>
      <c r="AB763" s="36"/>
      <c r="AC763" s="13"/>
      <c r="AD763" s="13"/>
      <c r="AE763" s="37"/>
      <c r="AF763" s="37"/>
      <c r="AG763" s="14"/>
      <c r="AH763" s="14"/>
      <c r="AI763" s="14"/>
      <c r="AZ763" s="24"/>
    </row>
    <row r="764">
      <c r="B764" s="24"/>
      <c r="E764" s="113"/>
      <c r="F764" s="266"/>
      <c r="G764" s="113"/>
      <c r="K764" s="36"/>
      <c r="L764" s="117"/>
      <c r="M764" s="128"/>
      <c r="N764" s="117"/>
      <c r="R764" s="117"/>
      <c r="T764" s="117"/>
      <c r="V764" s="117"/>
      <c r="X764" s="117"/>
      <c r="Y764" s="10"/>
      <c r="Z764" s="11"/>
      <c r="AA764" s="36"/>
      <c r="AB764" s="36"/>
      <c r="AC764" s="13"/>
      <c r="AD764" s="13"/>
      <c r="AE764" s="37"/>
      <c r="AF764" s="37"/>
      <c r="AG764" s="14"/>
      <c r="AH764" s="14"/>
      <c r="AI764" s="14"/>
      <c r="AZ764" s="24"/>
    </row>
    <row r="765">
      <c r="B765" s="24"/>
      <c r="E765" s="113"/>
      <c r="F765" s="266"/>
      <c r="G765" s="113"/>
      <c r="K765" s="36"/>
      <c r="L765" s="117"/>
      <c r="M765" s="128"/>
      <c r="N765" s="117"/>
      <c r="R765" s="117"/>
      <c r="T765" s="117"/>
      <c r="V765" s="117"/>
      <c r="X765" s="117"/>
      <c r="Y765" s="10"/>
      <c r="Z765" s="11"/>
      <c r="AA765" s="36"/>
      <c r="AB765" s="36"/>
      <c r="AC765" s="13"/>
      <c r="AD765" s="13"/>
      <c r="AE765" s="37"/>
      <c r="AF765" s="37"/>
      <c r="AG765" s="14"/>
      <c r="AH765" s="14"/>
      <c r="AI765" s="14"/>
      <c r="AZ765" s="24"/>
    </row>
    <row r="766">
      <c r="B766" s="24"/>
      <c r="E766" s="113"/>
      <c r="F766" s="266"/>
      <c r="G766" s="113"/>
      <c r="K766" s="36"/>
      <c r="L766" s="117"/>
      <c r="M766" s="128"/>
      <c r="N766" s="117"/>
      <c r="R766" s="117"/>
      <c r="T766" s="117"/>
      <c r="V766" s="117"/>
      <c r="X766" s="117"/>
      <c r="Y766" s="10"/>
      <c r="Z766" s="11"/>
      <c r="AA766" s="36"/>
      <c r="AB766" s="36"/>
      <c r="AC766" s="13"/>
      <c r="AD766" s="13"/>
      <c r="AE766" s="37"/>
      <c r="AF766" s="37"/>
      <c r="AG766" s="14"/>
      <c r="AH766" s="14"/>
      <c r="AI766" s="14"/>
      <c r="AZ766" s="24"/>
    </row>
    <row r="767">
      <c r="B767" s="24"/>
      <c r="E767" s="113"/>
      <c r="F767" s="266"/>
      <c r="G767" s="113"/>
      <c r="K767" s="36"/>
      <c r="L767" s="117"/>
      <c r="M767" s="128"/>
      <c r="N767" s="117"/>
      <c r="R767" s="117"/>
      <c r="T767" s="117"/>
      <c r="V767" s="117"/>
      <c r="X767" s="117"/>
      <c r="Y767" s="10"/>
      <c r="Z767" s="11"/>
      <c r="AA767" s="36"/>
      <c r="AB767" s="36"/>
      <c r="AC767" s="13"/>
      <c r="AD767" s="13"/>
      <c r="AE767" s="37"/>
      <c r="AF767" s="37"/>
      <c r="AG767" s="14"/>
      <c r="AH767" s="14"/>
      <c r="AI767" s="14"/>
      <c r="AZ767" s="24"/>
    </row>
    <row r="768">
      <c r="B768" s="24"/>
      <c r="E768" s="113"/>
      <c r="F768" s="266"/>
      <c r="G768" s="113"/>
      <c r="K768" s="36"/>
      <c r="L768" s="117"/>
      <c r="M768" s="128"/>
      <c r="N768" s="117"/>
      <c r="R768" s="117"/>
      <c r="T768" s="117"/>
      <c r="V768" s="117"/>
      <c r="X768" s="117"/>
      <c r="Y768" s="10"/>
      <c r="Z768" s="11"/>
      <c r="AA768" s="36"/>
      <c r="AB768" s="36"/>
      <c r="AC768" s="13"/>
      <c r="AD768" s="13"/>
      <c r="AE768" s="37"/>
      <c r="AF768" s="37"/>
      <c r="AG768" s="14"/>
      <c r="AH768" s="14"/>
      <c r="AI768" s="14"/>
      <c r="AZ768" s="24"/>
    </row>
    <row r="769">
      <c r="B769" s="24"/>
      <c r="E769" s="113"/>
      <c r="F769" s="266"/>
      <c r="G769" s="113"/>
      <c r="K769" s="36"/>
      <c r="L769" s="117"/>
      <c r="M769" s="128"/>
      <c r="N769" s="117"/>
      <c r="R769" s="117"/>
      <c r="T769" s="117"/>
      <c r="V769" s="117"/>
      <c r="X769" s="117"/>
      <c r="Y769" s="10"/>
      <c r="Z769" s="11"/>
      <c r="AA769" s="36"/>
      <c r="AB769" s="36"/>
      <c r="AC769" s="13"/>
      <c r="AD769" s="13"/>
      <c r="AE769" s="37"/>
      <c r="AF769" s="37"/>
      <c r="AG769" s="14"/>
      <c r="AH769" s="14"/>
      <c r="AI769" s="14"/>
      <c r="AZ769" s="24"/>
    </row>
    <row r="770">
      <c r="B770" s="24"/>
      <c r="E770" s="113"/>
      <c r="F770" s="266"/>
      <c r="G770" s="113"/>
      <c r="K770" s="36"/>
      <c r="L770" s="117"/>
      <c r="M770" s="128"/>
      <c r="N770" s="117"/>
      <c r="R770" s="117"/>
      <c r="T770" s="117"/>
      <c r="V770" s="117"/>
      <c r="X770" s="117"/>
      <c r="Y770" s="10"/>
      <c r="Z770" s="11"/>
      <c r="AA770" s="36"/>
      <c r="AB770" s="36"/>
      <c r="AC770" s="13"/>
      <c r="AD770" s="13"/>
      <c r="AE770" s="37"/>
      <c r="AF770" s="37"/>
      <c r="AG770" s="14"/>
      <c r="AH770" s="14"/>
      <c r="AI770" s="14"/>
      <c r="AZ770" s="24"/>
    </row>
    <row r="771">
      <c r="B771" s="24"/>
      <c r="E771" s="113"/>
      <c r="F771" s="266"/>
      <c r="G771" s="113"/>
      <c r="K771" s="36"/>
      <c r="L771" s="117"/>
      <c r="M771" s="128"/>
      <c r="N771" s="117"/>
      <c r="R771" s="117"/>
      <c r="T771" s="117"/>
      <c r="V771" s="117"/>
      <c r="X771" s="117"/>
      <c r="Y771" s="10"/>
      <c r="Z771" s="11"/>
      <c r="AA771" s="36"/>
      <c r="AB771" s="36"/>
      <c r="AC771" s="13"/>
      <c r="AD771" s="13"/>
      <c r="AE771" s="37"/>
      <c r="AF771" s="37"/>
      <c r="AG771" s="14"/>
      <c r="AH771" s="14"/>
      <c r="AI771" s="14"/>
      <c r="AZ771" s="24"/>
    </row>
    <row r="772">
      <c r="B772" s="24"/>
      <c r="E772" s="113"/>
      <c r="F772" s="266"/>
      <c r="G772" s="113"/>
      <c r="K772" s="36"/>
      <c r="L772" s="117"/>
      <c r="M772" s="128"/>
      <c r="N772" s="117"/>
      <c r="R772" s="117"/>
      <c r="T772" s="117"/>
      <c r="V772" s="117"/>
      <c r="X772" s="117"/>
      <c r="Y772" s="10"/>
      <c r="Z772" s="11"/>
      <c r="AA772" s="36"/>
      <c r="AB772" s="36"/>
      <c r="AC772" s="13"/>
      <c r="AD772" s="13"/>
      <c r="AE772" s="37"/>
      <c r="AF772" s="37"/>
      <c r="AG772" s="14"/>
      <c r="AH772" s="14"/>
      <c r="AI772" s="14"/>
      <c r="AZ772" s="24"/>
    </row>
    <row r="773">
      <c r="B773" s="24"/>
      <c r="E773" s="113"/>
      <c r="F773" s="266"/>
      <c r="G773" s="113"/>
      <c r="K773" s="36"/>
      <c r="L773" s="117"/>
      <c r="M773" s="128"/>
      <c r="N773" s="117"/>
      <c r="R773" s="117"/>
      <c r="T773" s="117"/>
      <c r="V773" s="117"/>
      <c r="X773" s="117"/>
      <c r="Y773" s="10"/>
      <c r="Z773" s="11"/>
      <c r="AA773" s="36"/>
      <c r="AB773" s="36"/>
      <c r="AC773" s="13"/>
      <c r="AD773" s="13"/>
      <c r="AE773" s="37"/>
      <c r="AF773" s="37"/>
      <c r="AG773" s="14"/>
      <c r="AH773" s="14"/>
      <c r="AI773" s="14"/>
      <c r="AZ773" s="24"/>
    </row>
    <row r="774">
      <c r="B774" s="24"/>
      <c r="E774" s="113"/>
      <c r="F774" s="266"/>
      <c r="G774" s="113"/>
      <c r="K774" s="36"/>
      <c r="L774" s="117"/>
      <c r="M774" s="128"/>
      <c r="N774" s="117"/>
      <c r="R774" s="117"/>
      <c r="T774" s="117"/>
      <c r="V774" s="117"/>
      <c r="X774" s="117"/>
      <c r="Y774" s="10"/>
      <c r="Z774" s="11"/>
      <c r="AA774" s="36"/>
      <c r="AB774" s="36"/>
      <c r="AC774" s="13"/>
      <c r="AD774" s="13"/>
      <c r="AE774" s="37"/>
      <c r="AF774" s="37"/>
      <c r="AG774" s="14"/>
      <c r="AH774" s="14"/>
      <c r="AI774" s="14"/>
      <c r="AZ774" s="24"/>
    </row>
    <row r="775">
      <c r="B775" s="24"/>
      <c r="E775" s="113"/>
      <c r="F775" s="266"/>
      <c r="G775" s="113"/>
      <c r="K775" s="36"/>
      <c r="L775" s="117"/>
      <c r="M775" s="128"/>
      <c r="N775" s="117"/>
      <c r="R775" s="117"/>
      <c r="T775" s="117"/>
      <c r="V775" s="117"/>
      <c r="X775" s="117"/>
      <c r="Y775" s="10"/>
      <c r="Z775" s="11"/>
      <c r="AA775" s="36"/>
      <c r="AB775" s="36"/>
      <c r="AC775" s="13"/>
      <c r="AD775" s="13"/>
      <c r="AE775" s="37"/>
      <c r="AF775" s="37"/>
      <c r="AG775" s="14"/>
      <c r="AH775" s="14"/>
      <c r="AI775" s="14"/>
      <c r="AZ775" s="24"/>
    </row>
    <row r="776">
      <c r="B776" s="24"/>
      <c r="E776" s="113"/>
      <c r="F776" s="266"/>
      <c r="G776" s="113"/>
      <c r="K776" s="36"/>
      <c r="L776" s="117"/>
      <c r="M776" s="128"/>
      <c r="N776" s="117"/>
      <c r="R776" s="117"/>
      <c r="T776" s="117"/>
      <c r="V776" s="117"/>
      <c r="X776" s="117"/>
      <c r="Y776" s="10"/>
      <c r="Z776" s="11"/>
      <c r="AA776" s="36"/>
      <c r="AB776" s="36"/>
      <c r="AC776" s="13"/>
      <c r="AD776" s="13"/>
      <c r="AE776" s="37"/>
      <c r="AF776" s="37"/>
      <c r="AG776" s="14"/>
      <c r="AH776" s="14"/>
      <c r="AI776" s="14"/>
      <c r="AZ776" s="24"/>
    </row>
    <row r="777">
      <c r="B777" s="24"/>
      <c r="E777" s="113"/>
      <c r="F777" s="266"/>
      <c r="G777" s="113"/>
      <c r="K777" s="36"/>
      <c r="L777" s="117"/>
      <c r="M777" s="128"/>
      <c r="N777" s="117"/>
      <c r="R777" s="117"/>
      <c r="T777" s="117"/>
      <c r="V777" s="117"/>
      <c r="X777" s="117"/>
      <c r="Y777" s="10"/>
      <c r="Z777" s="11"/>
      <c r="AA777" s="36"/>
      <c r="AB777" s="36"/>
      <c r="AC777" s="13"/>
      <c r="AD777" s="13"/>
      <c r="AE777" s="37"/>
      <c r="AF777" s="37"/>
      <c r="AG777" s="14"/>
      <c r="AH777" s="14"/>
      <c r="AI777" s="14"/>
      <c r="AZ777" s="24"/>
    </row>
    <row r="778">
      <c r="B778" s="24"/>
      <c r="E778" s="113"/>
      <c r="F778" s="266"/>
      <c r="G778" s="113"/>
      <c r="K778" s="36"/>
      <c r="L778" s="117"/>
      <c r="M778" s="128"/>
      <c r="N778" s="117"/>
      <c r="R778" s="117"/>
      <c r="T778" s="117"/>
      <c r="V778" s="117"/>
      <c r="X778" s="117"/>
      <c r="Y778" s="10"/>
      <c r="Z778" s="11"/>
      <c r="AA778" s="36"/>
      <c r="AB778" s="36"/>
      <c r="AC778" s="13"/>
      <c r="AD778" s="13"/>
      <c r="AE778" s="37"/>
      <c r="AF778" s="37"/>
      <c r="AG778" s="14"/>
      <c r="AH778" s="14"/>
      <c r="AI778" s="14"/>
      <c r="AZ778" s="24"/>
    </row>
    <row r="779">
      <c r="B779" s="24"/>
      <c r="E779" s="113"/>
      <c r="F779" s="266"/>
      <c r="G779" s="113"/>
      <c r="K779" s="36"/>
      <c r="L779" s="117"/>
      <c r="M779" s="128"/>
      <c r="N779" s="117"/>
      <c r="R779" s="117"/>
      <c r="T779" s="117"/>
      <c r="V779" s="117"/>
      <c r="X779" s="117"/>
      <c r="Y779" s="10"/>
      <c r="Z779" s="11"/>
      <c r="AA779" s="36"/>
      <c r="AB779" s="36"/>
      <c r="AC779" s="13"/>
      <c r="AD779" s="13"/>
      <c r="AE779" s="37"/>
      <c r="AF779" s="37"/>
      <c r="AG779" s="14"/>
      <c r="AH779" s="14"/>
      <c r="AI779" s="14"/>
      <c r="AZ779" s="24"/>
    </row>
    <row r="780">
      <c r="B780" s="24"/>
      <c r="E780" s="113"/>
      <c r="F780" s="266"/>
      <c r="G780" s="113"/>
      <c r="K780" s="36"/>
      <c r="L780" s="117"/>
      <c r="M780" s="128"/>
      <c r="N780" s="117"/>
      <c r="R780" s="117"/>
      <c r="T780" s="117"/>
      <c r="V780" s="117"/>
      <c r="X780" s="117"/>
      <c r="Y780" s="10"/>
      <c r="Z780" s="11"/>
      <c r="AA780" s="36"/>
      <c r="AB780" s="36"/>
      <c r="AC780" s="13"/>
      <c r="AD780" s="13"/>
      <c r="AE780" s="37"/>
      <c r="AF780" s="37"/>
      <c r="AG780" s="14"/>
      <c r="AH780" s="14"/>
      <c r="AI780" s="14"/>
      <c r="AZ780" s="24"/>
    </row>
    <row r="781">
      <c r="B781" s="24"/>
      <c r="E781" s="113"/>
      <c r="F781" s="266"/>
      <c r="G781" s="113"/>
      <c r="K781" s="36"/>
      <c r="L781" s="117"/>
      <c r="M781" s="128"/>
      <c r="N781" s="117"/>
      <c r="R781" s="117"/>
      <c r="T781" s="117"/>
      <c r="V781" s="117"/>
      <c r="X781" s="117"/>
      <c r="Y781" s="10"/>
      <c r="Z781" s="11"/>
      <c r="AA781" s="36"/>
      <c r="AB781" s="36"/>
      <c r="AC781" s="13"/>
      <c r="AD781" s="13"/>
      <c r="AE781" s="37"/>
      <c r="AF781" s="37"/>
      <c r="AG781" s="14"/>
      <c r="AH781" s="14"/>
      <c r="AI781" s="14"/>
      <c r="AZ781" s="24"/>
    </row>
    <row r="782">
      <c r="B782" s="24"/>
      <c r="E782" s="113"/>
      <c r="F782" s="266"/>
      <c r="G782" s="113"/>
      <c r="K782" s="36"/>
      <c r="L782" s="117"/>
      <c r="M782" s="128"/>
      <c r="N782" s="117"/>
      <c r="R782" s="117"/>
      <c r="T782" s="117"/>
      <c r="V782" s="117"/>
      <c r="X782" s="117"/>
      <c r="Y782" s="10"/>
      <c r="Z782" s="11"/>
      <c r="AA782" s="36"/>
      <c r="AB782" s="36"/>
      <c r="AC782" s="13"/>
      <c r="AD782" s="13"/>
      <c r="AE782" s="37"/>
      <c r="AF782" s="37"/>
      <c r="AG782" s="14"/>
      <c r="AH782" s="14"/>
      <c r="AI782" s="14"/>
      <c r="AZ782" s="24"/>
    </row>
    <row r="783">
      <c r="B783" s="24"/>
      <c r="E783" s="113"/>
      <c r="F783" s="266"/>
      <c r="G783" s="113"/>
      <c r="K783" s="36"/>
      <c r="L783" s="117"/>
      <c r="M783" s="128"/>
      <c r="N783" s="117"/>
      <c r="R783" s="117"/>
      <c r="T783" s="117"/>
      <c r="V783" s="117"/>
      <c r="X783" s="117"/>
      <c r="Y783" s="10"/>
      <c r="Z783" s="11"/>
      <c r="AA783" s="36"/>
      <c r="AB783" s="36"/>
      <c r="AC783" s="13"/>
      <c r="AD783" s="13"/>
      <c r="AE783" s="37"/>
      <c r="AF783" s="37"/>
      <c r="AG783" s="14"/>
      <c r="AH783" s="14"/>
      <c r="AI783" s="14"/>
      <c r="AZ783" s="24"/>
    </row>
    <row r="784">
      <c r="B784" s="24"/>
      <c r="E784" s="113"/>
      <c r="F784" s="266"/>
      <c r="G784" s="113"/>
      <c r="K784" s="36"/>
      <c r="L784" s="117"/>
      <c r="M784" s="128"/>
      <c r="N784" s="117"/>
      <c r="R784" s="117"/>
      <c r="T784" s="117"/>
      <c r="V784" s="117"/>
      <c r="X784" s="117"/>
      <c r="Y784" s="10"/>
      <c r="Z784" s="11"/>
      <c r="AA784" s="36"/>
      <c r="AB784" s="36"/>
      <c r="AC784" s="13"/>
      <c r="AD784" s="13"/>
      <c r="AE784" s="37"/>
      <c r="AF784" s="37"/>
      <c r="AG784" s="14"/>
      <c r="AH784" s="14"/>
      <c r="AI784" s="14"/>
      <c r="AZ784" s="24"/>
    </row>
    <row r="785">
      <c r="B785" s="24"/>
      <c r="E785" s="113"/>
      <c r="F785" s="266"/>
      <c r="G785" s="113"/>
      <c r="K785" s="36"/>
      <c r="L785" s="117"/>
      <c r="M785" s="128"/>
      <c r="N785" s="117"/>
      <c r="R785" s="117"/>
      <c r="T785" s="117"/>
      <c r="V785" s="117"/>
      <c r="X785" s="117"/>
      <c r="Y785" s="10"/>
      <c r="Z785" s="11"/>
      <c r="AA785" s="36"/>
      <c r="AB785" s="36"/>
      <c r="AC785" s="13"/>
      <c r="AD785" s="13"/>
      <c r="AE785" s="37"/>
      <c r="AF785" s="37"/>
      <c r="AG785" s="14"/>
      <c r="AH785" s="14"/>
      <c r="AI785" s="14"/>
      <c r="AZ785" s="24"/>
    </row>
    <row r="786">
      <c r="B786" s="24"/>
      <c r="E786" s="113"/>
      <c r="F786" s="266"/>
      <c r="G786" s="113"/>
      <c r="K786" s="36"/>
      <c r="L786" s="117"/>
      <c r="M786" s="128"/>
      <c r="N786" s="117"/>
      <c r="R786" s="117"/>
      <c r="T786" s="117"/>
      <c r="V786" s="117"/>
      <c r="X786" s="117"/>
      <c r="Y786" s="10"/>
      <c r="Z786" s="11"/>
      <c r="AA786" s="36"/>
      <c r="AB786" s="36"/>
      <c r="AC786" s="13"/>
      <c r="AD786" s="13"/>
      <c r="AE786" s="37"/>
      <c r="AF786" s="37"/>
      <c r="AG786" s="14"/>
      <c r="AH786" s="14"/>
      <c r="AI786" s="14"/>
      <c r="AZ786" s="24"/>
    </row>
    <row r="787">
      <c r="B787" s="24"/>
      <c r="E787" s="113"/>
      <c r="F787" s="266"/>
      <c r="G787" s="113"/>
      <c r="K787" s="36"/>
      <c r="L787" s="117"/>
      <c r="M787" s="128"/>
      <c r="N787" s="117"/>
      <c r="R787" s="117"/>
      <c r="T787" s="117"/>
      <c r="V787" s="117"/>
      <c r="X787" s="117"/>
      <c r="Y787" s="10"/>
      <c r="Z787" s="11"/>
      <c r="AA787" s="36"/>
      <c r="AB787" s="36"/>
      <c r="AC787" s="13"/>
      <c r="AD787" s="13"/>
      <c r="AE787" s="37"/>
      <c r="AF787" s="37"/>
      <c r="AG787" s="14"/>
      <c r="AH787" s="14"/>
      <c r="AI787" s="14"/>
      <c r="AZ787" s="24"/>
    </row>
    <row r="788">
      <c r="B788" s="24"/>
      <c r="E788" s="113"/>
      <c r="F788" s="266"/>
      <c r="G788" s="113"/>
      <c r="K788" s="36"/>
      <c r="L788" s="117"/>
      <c r="M788" s="128"/>
      <c r="N788" s="117"/>
      <c r="R788" s="117"/>
      <c r="T788" s="117"/>
      <c r="V788" s="117"/>
      <c r="X788" s="117"/>
      <c r="Y788" s="10"/>
      <c r="Z788" s="11"/>
      <c r="AA788" s="36"/>
      <c r="AB788" s="36"/>
      <c r="AC788" s="13"/>
      <c r="AD788" s="13"/>
      <c r="AE788" s="37"/>
      <c r="AF788" s="37"/>
      <c r="AG788" s="14"/>
      <c r="AH788" s="14"/>
      <c r="AI788" s="14"/>
      <c r="AZ788" s="24"/>
    </row>
    <row r="789">
      <c r="B789" s="24"/>
      <c r="E789" s="113"/>
      <c r="F789" s="266"/>
      <c r="G789" s="113"/>
      <c r="K789" s="36"/>
      <c r="L789" s="117"/>
      <c r="M789" s="128"/>
      <c r="N789" s="117"/>
      <c r="R789" s="117"/>
      <c r="T789" s="117"/>
      <c r="V789" s="117"/>
      <c r="X789" s="117"/>
      <c r="Y789" s="10"/>
      <c r="Z789" s="11"/>
      <c r="AA789" s="36"/>
      <c r="AB789" s="36"/>
      <c r="AC789" s="13"/>
      <c r="AD789" s="13"/>
      <c r="AE789" s="37"/>
      <c r="AF789" s="37"/>
      <c r="AG789" s="14"/>
      <c r="AH789" s="14"/>
      <c r="AI789" s="14"/>
      <c r="AZ789" s="24"/>
    </row>
    <row r="790">
      <c r="B790" s="24"/>
      <c r="E790" s="113"/>
      <c r="F790" s="266"/>
      <c r="G790" s="113"/>
      <c r="K790" s="36"/>
      <c r="L790" s="117"/>
      <c r="M790" s="128"/>
      <c r="N790" s="117"/>
      <c r="R790" s="117"/>
      <c r="T790" s="117"/>
      <c r="V790" s="117"/>
      <c r="X790" s="117"/>
      <c r="Y790" s="10"/>
      <c r="Z790" s="11"/>
      <c r="AA790" s="36"/>
      <c r="AB790" s="36"/>
      <c r="AC790" s="13"/>
      <c r="AD790" s="13"/>
      <c r="AE790" s="37"/>
      <c r="AF790" s="37"/>
      <c r="AG790" s="14"/>
      <c r="AH790" s="14"/>
      <c r="AI790" s="14"/>
      <c r="AZ790" s="24"/>
    </row>
    <row r="791">
      <c r="B791" s="24"/>
      <c r="E791" s="113"/>
      <c r="F791" s="266"/>
      <c r="G791" s="113"/>
      <c r="K791" s="36"/>
      <c r="L791" s="117"/>
      <c r="M791" s="128"/>
      <c r="N791" s="117"/>
      <c r="R791" s="117"/>
      <c r="T791" s="117"/>
      <c r="V791" s="117"/>
      <c r="X791" s="117"/>
      <c r="Y791" s="10"/>
      <c r="Z791" s="11"/>
      <c r="AA791" s="36"/>
      <c r="AB791" s="36"/>
      <c r="AC791" s="13"/>
      <c r="AD791" s="13"/>
      <c r="AE791" s="37"/>
      <c r="AF791" s="37"/>
      <c r="AG791" s="14"/>
      <c r="AH791" s="14"/>
      <c r="AI791" s="14"/>
      <c r="AZ791" s="24"/>
    </row>
    <row r="792">
      <c r="B792" s="24"/>
      <c r="E792" s="113"/>
      <c r="F792" s="266"/>
      <c r="G792" s="113"/>
      <c r="K792" s="36"/>
      <c r="L792" s="117"/>
      <c r="M792" s="128"/>
      <c r="N792" s="117"/>
      <c r="R792" s="117"/>
      <c r="T792" s="117"/>
      <c r="V792" s="117"/>
      <c r="X792" s="117"/>
      <c r="Y792" s="10"/>
      <c r="Z792" s="11"/>
      <c r="AA792" s="36"/>
      <c r="AB792" s="36"/>
      <c r="AC792" s="13"/>
      <c r="AD792" s="13"/>
      <c r="AE792" s="37"/>
      <c r="AF792" s="37"/>
      <c r="AG792" s="14"/>
      <c r="AH792" s="14"/>
      <c r="AI792" s="14"/>
      <c r="AZ792" s="24"/>
    </row>
    <row r="793">
      <c r="B793" s="24"/>
      <c r="E793" s="113"/>
      <c r="F793" s="266"/>
      <c r="G793" s="113"/>
      <c r="K793" s="36"/>
      <c r="L793" s="117"/>
      <c r="M793" s="128"/>
      <c r="N793" s="117"/>
      <c r="R793" s="117"/>
      <c r="T793" s="117"/>
      <c r="V793" s="117"/>
      <c r="X793" s="117"/>
      <c r="Y793" s="10"/>
      <c r="Z793" s="11"/>
      <c r="AA793" s="36"/>
      <c r="AB793" s="36"/>
      <c r="AC793" s="13"/>
      <c r="AD793" s="13"/>
      <c r="AE793" s="37"/>
      <c r="AF793" s="37"/>
      <c r="AG793" s="14"/>
      <c r="AH793" s="14"/>
      <c r="AI793" s="14"/>
      <c r="AZ793" s="24"/>
    </row>
    <row r="794">
      <c r="B794" s="24"/>
      <c r="E794" s="113"/>
      <c r="F794" s="266"/>
      <c r="G794" s="113"/>
      <c r="K794" s="36"/>
      <c r="L794" s="117"/>
      <c r="M794" s="128"/>
      <c r="N794" s="117"/>
      <c r="R794" s="117"/>
      <c r="T794" s="117"/>
      <c r="V794" s="117"/>
      <c r="X794" s="117"/>
      <c r="Y794" s="10"/>
      <c r="Z794" s="11"/>
      <c r="AA794" s="36"/>
      <c r="AB794" s="36"/>
      <c r="AC794" s="13"/>
      <c r="AD794" s="13"/>
      <c r="AE794" s="37"/>
      <c r="AF794" s="37"/>
      <c r="AG794" s="14"/>
      <c r="AH794" s="14"/>
      <c r="AI794" s="14"/>
      <c r="AZ794" s="24"/>
    </row>
    <row r="795">
      <c r="B795" s="24"/>
      <c r="E795" s="113"/>
      <c r="F795" s="266"/>
      <c r="G795" s="113"/>
      <c r="K795" s="36"/>
      <c r="L795" s="117"/>
      <c r="M795" s="128"/>
      <c r="N795" s="117"/>
      <c r="R795" s="117"/>
      <c r="T795" s="117"/>
      <c r="V795" s="117"/>
      <c r="X795" s="117"/>
      <c r="Y795" s="10"/>
      <c r="Z795" s="11"/>
      <c r="AA795" s="36"/>
      <c r="AB795" s="36"/>
      <c r="AC795" s="13"/>
      <c r="AD795" s="13"/>
      <c r="AE795" s="37"/>
      <c r="AF795" s="37"/>
      <c r="AG795" s="14"/>
      <c r="AH795" s="14"/>
      <c r="AI795" s="14"/>
      <c r="AZ795" s="24"/>
    </row>
    <row r="796">
      <c r="B796" s="24"/>
      <c r="E796" s="113"/>
      <c r="F796" s="266"/>
      <c r="G796" s="113"/>
      <c r="K796" s="36"/>
      <c r="L796" s="117"/>
      <c r="M796" s="128"/>
      <c r="N796" s="117"/>
      <c r="R796" s="117"/>
      <c r="T796" s="117"/>
      <c r="V796" s="117"/>
      <c r="X796" s="117"/>
      <c r="Y796" s="10"/>
      <c r="Z796" s="11"/>
      <c r="AA796" s="36"/>
      <c r="AB796" s="36"/>
      <c r="AC796" s="13"/>
      <c r="AD796" s="13"/>
      <c r="AE796" s="37"/>
      <c r="AF796" s="37"/>
      <c r="AG796" s="14"/>
      <c r="AH796" s="14"/>
      <c r="AI796" s="14"/>
      <c r="AZ796" s="24"/>
    </row>
    <row r="797">
      <c r="B797" s="24"/>
      <c r="E797" s="113"/>
      <c r="F797" s="266"/>
      <c r="G797" s="113"/>
      <c r="K797" s="36"/>
      <c r="L797" s="117"/>
      <c r="M797" s="128"/>
      <c r="N797" s="117"/>
      <c r="R797" s="117"/>
      <c r="T797" s="117"/>
      <c r="V797" s="117"/>
      <c r="X797" s="117"/>
      <c r="Y797" s="10"/>
      <c r="Z797" s="11"/>
      <c r="AA797" s="36"/>
      <c r="AB797" s="36"/>
      <c r="AC797" s="13"/>
      <c r="AD797" s="13"/>
      <c r="AE797" s="37"/>
      <c r="AF797" s="37"/>
      <c r="AG797" s="14"/>
      <c r="AH797" s="14"/>
      <c r="AI797" s="14"/>
      <c r="AZ797" s="24"/>
    </row>
    <row r="798">
      <c r="B798" s="24"/>
      <c r="E798" s="113"/>
      <c r="F798" s="266"/>
      <c r="G798" s="113"/>
      <c r="K798" s="36"/>
      <c r="L798" s="117"/>
      <c r="M798" s="128"/>
      <c r="N798" s="117"/>
      <c r="R798" s="117"/>
      <c r="T798" s="117"/>
      <c r="V798" s="117"/>
      <c r="X798" s="117"/>
      <c r="Y798" s="10"/>
      <c r="Z798" s="11"/>
      <c r="AA798" s="36"/>
      <c r="AB798" s="36"/>
      <c r="AC798" s="13"/>
      <c r="AD798" s="13"/>
      <c r="AE798" s="37"/>
      <c r="AF798" s="37"/>
      <c r="AG798" s="14"/>
      <c r="AH798" s="14"/>
      <c r="AI798" s="14"/>
      <c r="AZ798" s="24"/>
    </row>
    <row r="799">
      <c r="B799" s="24"/>
      <c r="E799" s="113"/>
      <c r="F799" s="266"/>
      <c r="G799" s="113"/>
      <c r="K799" s="36"/>
      <c r="L799" s="117"/>
      <c r="M799" s="128"/>
      <c r="N799" s="117"/>
      <c r="R799" s="117"/>
      <c r="T799" s="117"/>
      <c r="V799" s="117"/>
      <c r="X799" s="117"/>
      <c r="Y799" s="10"/>
      <c r="Z799" s="11"/>
      <c r="AA799" s="36"/>
      <c r="AB799" s="36"/>
      <c r="AC799" s="13"/>
      <c r="AD799" s="13"/>
      <c r="AE799" s="37"/>
      <c r="AF799" s="37"/>
      <c r="AG799" s="14"/>
      <c r="AH799" s="14"/>
      <c r="AI799" s="14"/>
      <c r="AZ799" s="24"/>
    </row>
    <row r="800">
      <c r="B800" s="24"/>
      <c r="E800" s="113"/>
      <c r="F800" s="266"/>
      <c r="G800" s="113"/>
      <c r="K800" s="36"/>
      <c r="L800" s="117"/>
      <c r="M800" s="128"/>
      <c r="N800" s="117"/>
      <c r="R800" s="117"/>
      <c r="T800" s="117"/>
      <c r="V800" s="117"/>
      <c r="X800" s="117"/>
      <c r="Y800" s="10"/>
      <c r="Z800" s="11"/>
      <c r="AA800" s="36"/>
      <c r="AB800" s="36"/>
      <c r="AC800" s="13"/>
      <c r="AD800" s="13"/>
      <c r="AE800" s="37"/>
      <c r="AF800" s="37"/>
      <c r="AG800" s="14"/>
      <c r="AH800" s="14"/>
      <c r="AI800" s="14"/>
      <c r="AZ800" s="24"/>
    </row>
    <row r="801">
      <c r="B801" s="24"/>
      <c r="E801" s="113"/>
      <c r="F801" s="266"/>
      <c r="G801" s="113"/>
      <c r="K801" s="36"/>
      <c r="L801" s="117"/>
      <c r="M801" s="128"/>
      <c r="N801" s="117"/>
      <c r="R801" s="117"/>
      <c r="T801" s="117"/>
      <c r="V801" s="117"/>
      <c r="X801" s="117"/>
      <c r="Y801" s="10"/>
      <c r="Z801" s="11"/>
      <c r="AA801" s="36"/>
      <c r="AB801" s="36"/>
      <c r="AC801" s="13"/>
      <c r="AD801" s="13"/>
      <c r="AE801" s="37"/>
      <c r="AF801" s="37"/>
      <c r="AG801" s="14"/>
      <c r="AH801" s="14"/>
      <c r="AI801" s="14"/>
      <c r="AZ801" s="24"/>
    </row>
    <row r="802">
      <c r="B802" s="24"/>
      <c r="E802" s="113"/>
      <c r="F802" s="266"/>
      <c r="G802" s="113"/>
      <c r="K802" s="36"/>
      <c r="L802" s="117"/>
      <c r="M802" s="128"/>
      <c r="N802" s="117"/>
      <c r="R802" s="117"/>
      <c r="T802" s="117"/>
      <c r="V802" s="117"/>
      <c r="X802" s="117"/>
      <c r="Y802" s="10"/>
      <c r="Z802" s="11"/>
      <c r="AA802" s="36"/>
      <c r="AB802" s="36"/>
      <c r="AC802" s="13"/>
      <c r="AD802" s="13"/>
      <c r="AE802" s="37"/>
      <c r="AF802" s="37"/>
      <c r="AG802" s="14"/>
      <c r="AH802" s="14"/>
      <c r="AI802" s="14"/>
      <c r="AZ802" s="24"/>
    </row>
    <row r="803">
      <c r="B803" s="24"/>
      <c r="E803" s="113"/>
      <c r="F803" s="266"/>
      <c r="G803" s="113"/>
      <c r="K803" s="36"/>
      <c r="L803" s="117"/>
      <c r="M803" s="128"/>
      <c r="N803" s="117"/>
      <c r="R803" s="117"/>
      <c r="T803" s="117"/>
      <c r="V803" s="117"/>
      <c r="X803" s="117"/>
      <c r="Y803" s="10"/>
      <c r="Z803" s="11"/>
      <c r="AA803" s="36"/>
      <c r="AB803" s="36"/>
      <c r="AC803" s="13"/>
      <c r="AD803" s="13"/>
      <c r="AE803" s="37"/>
      <c r="AF803" s="37"/>
      <c r="AG803" s="14"/>
      <c r="AH803" s="14"/>
      <c r="AI803" s="14"/>
      <c r="AZ803" s="24"/>
    </row>
    <row r="804">
      <c r="B804" s="24"/>
      <c r="E804" s="113"/>
      <c r="F804" s="266"/>
      <c r="G804" s="113"/>
      <c r="K804" s="36"/>
      <c r="L804" s="117"/>
      <c r="M804" s="128"/>
      <c r="N804" s="117"/>
      <c r="R804" s="117"/>
      <c r="T804" s="117"/>
      <c r="V804" s="117"/>
      <c r="X804" s="117"/>
      <c r="Y804" s="10"/>
      <c r="Z804" s="11"/>
      <c r="AA804" s="36"/>
      <c r="AB804" s="36"/>
      <c r="AC804" s="13"/>
      <c r="AD804" s="13"/>
      <c r="AE804" s="37"/>
      <c r="AF804" s="37"/>
      <c r="AG804" s="14"/>
      <c r="AH804" s="14"/>
      <c r="AI804" s="14"/>
      <c r="AZ804" s="24"/>
    </row>
    <row r="805">
      <c r="B805" s="24"/>
      <c r="E805" s="113"/>
      <c r="F805" s="266"/>
      <c r="G805" s="113"/>
      <c r="K805" s="36"/>
      <c r="L805" s="117"/>
      <c r="M805" s="128"/>
      <c r="N805" s="117"/>
      <c r="R805" s="117"/>
      <c r="T805" s="117"/>
      <c r="V805" s="117"/>
      <c r="X805" s="117"/>
      <c r="Y805" s="10"/>
      <c r="Z805" s="11"/>
      <c r="AA805" s="36"/>
      <c r="AB805" s="36"/>
      <c r="AC805" s="13"/>
      <c r="AD805" s="13"/>
      <c r="AE805" s="37"/>
      <c r="AF805" s="37"/>
      <c r="AG805" s="14"/>
      <c r="AH805" s="14"/>
      <c r="AI805" s="14"/>
      <c r="AZ805" s="24"/>
    </row>
    <row r="806">
      <c r="B806" s="24"/>
      <c r="E806" s="113"/>
      <c r="F806" s="266"/>
      <c r="G806" s="113"/>
      <c r="K806" s="36"/>
      <c r="L806" s="117"/>
      <c r="M806" s="128"/>
      <c r="N806" s="117"/>
      <c r="R806" s="117"/>
      <c r="T806" s="117"/>
      <c r="V806" s="117"/>
      <c r="X806" s="117"/>
      <c r="Y806" s="10"/>
      <c r="Z806" s="11"/>
      <c r="AA806" s="36"/>
      <c r="AB806" s="36"/>
      <c r="AC806" s="13"/>
      <c r="AD806" s="13"/>
      <c r="AE806" s="37"/>
      <c r="AF806" s="37"/>
      <c r="AG806" s="14"/>
      <c r="AH806" s="14"/>
      <c r="AI806" s="14"/>
      <c r="AZ806" s="24"/>
    </row>
    <row r="807">
      <c r="B807" s="24"/>
      <c r="E807" s="113"/>
      <c r="F807" s="266"/>
      <c r="G807" s="113"/>
      <c r="K807" s="36"/>
      <c r="L807" s="117"/>
      <c r="M807" s="128"/>
      <c r="N807" s="117"/>
      <c r="R807" s="117"/>
      <c r="T807" s="117"/>
      <c r="V807" s="117"/>
      <c r="X807" s="117"/>
      <c r="Y807" s="10"/>
      <c r="Z807" s="11"/>
      <c r="AA807" s="36"/>
      <c r="AB807" s="36"/>
      <c r="AC807" s="13"/>
      <c r="AD807" s="13"/>
      <c r="AE807" s="37"/>
      <c r="AF807" s="37"/>
      <c r="AG807" s="14"/>
      <c r="AH807" s="14"/>
      <c r="AI807" s="14"/>
      <c r="AZ807" s="24"/>
    </row>
    <row r="808">
      <c r="B808" s="24"/>
      <c r="E808" s="113"/>
      <c r="F808" s="266"/>
      <c r="G808" s="113"/>
      <c r="K808" s="36"/>
      <c r="L808" s="117"/>
      <c r="M808" s="128"/>
      <c r="N808" s="117"/>
      <c r="R808" s="117"/>
      <c r="T808" s="117"/>
      <c r="V808" s="117"/>
      <c r="X808" s="117"/>
      <c r="Y808" s="10"/>
      <c r="Z808" s="11"/>
      <c r="AA808" s="36"/>
      <c r="AB808" s="36"/>
      <c r="AC808" s="13"/>
      <c r="AD808" s="13"/>
      <c r="AE808" s="37"/>
      <c r="AF808" s="37"/>
      <c r="AG808" s="14"/>
      <c r="AH808" s="14"/>
      <c r="AI808" s="14"/>
      <c r="AZ808" s="24"/>
    </row>
    <row r="809">
      <c r="B809" s="24"/>
      <c r="E809" s="113"/>
      <c r="F809" s="266"/>
      <c r="G809" s="113"/>
      <c r="K809" s="36"/>
      <c r="L809" s="117"/>
      <c r="M809" s="128"/>
      <c r="N809" s="117"/>
      <c r="R809" s="117"/>
      <c r="T809" s="117"/>
      <c r="V809" s="117"/>
      <c r="X809" s="117"/>
      <c r="Y809" s="10"/>
      <c r="Z809" s="11"/>
      <c r="AA809" s="36"/>
      <c r="AB809" s="36"/>
      <c r="AC809" s="13"/>
      <c r="AD809" s="13"/>
      <c r="AE809" s="37"/>
      <c r="AF809" s="37"/>
      <c r="AG809" s="14"/>
      <c r="AH809" s="14"/>
      <c r="AI809" s="14"/>
      <c r="AZ809" s="24"/>
    </row>
    <row r="810">
      <c r="B810" s="24"/>
      <c r="E810" s="113"/>
      <c r="F810" s="266"/>
      <c r="G810" s="113"/>
      <c r="K810" s="36"/>
      <c r="L810" s="117"/>
      <c r="M810" s="128"/>
      <c r="N810" s="117"/>
      <c r="R810" s="117"/>
      <c r="T810" s="117"/>
      <c r="V810" s="117"/>
      <c r="X810" s="117"/>
      <c r="Y810" s="10"/>
      <c r="Z810" s="11"/>
      <c r="AA810" s="36"/>
      <c r="AB810" s="36"/>
      <c r="AC810" s="13"/>
      <c r="AD810" s="13"/>
      <c r="AE810" s="37"/>
      <c r="AF810" s="37"/>
      <c r="AG810" s="14"/>
      <c r="AH810" s="14"/>
      <c r="AI810" s="14"/>
      <c r="AZ810" s="24"/>
    </row>
    <row r="811">
      <c r="B811" s="24"/>
      <c r="E811" s="113"/>
      <c r="F811" s="266"/>
      <c r="G811" s="113"/>
      <c r="K811" s="36"/>
      <c r="L811" s="117"/>
      <c r="M811" s="128"/>
      <c r="N811" s="117"/>
      <c r="R811" s="117"/>
      <c r="T811" s="117"/>
      <c r="V811" s="117"/>
      <c r="X811" s="117"/>
      <c r="Y811" s="10"/>
      <c r="Z811" s="11"/>
      <c r="AA811" s="36"/>
      <c r="AB811" s="36"/>
      <c r="AC811" s="13"/>
      <c r="AD811" s="13"/>
      <c r="AE811" s="37"/>
      <c r="AF811" s="37"/>
      <c r="AG811" s="14"/>
      <c r="AH811" s="14"/>
      <c r="AI811" s="14"/>
      <c r="AZ811" s="24"/>
    </row>
    <row r="812">
      <c r="B812" s="24"/>
      <c r="E812" s="113"/>
      <c r="F812" s="266"/>
      <c r="G812" s="113"/>
      <c r="K812" s="36"/>
      <c r="L812" s="117"/>
      <c r="M812" s="128"/>
      <c r="N812" s="117"/>
      <c r="R812" s="117"/>
      <c r="T812" s="117"/>
      <c r="V812" s="117"/>
      <c r="X812" s="117"/>
      <c r="Y812" s="10"/>
      <c r="Z812" s="11"/>
      <c r="AA812" s="36"/>
      <c r="AB812" s="36"/>
      <c r="AC812" s="13"/>
      <c r="AD812" s="13"/>
      <c r="AE812" s="37"/>
      <c r="AF812" s="37"/>
      <c r="AG812" s="14"/>
      <c r="AH812" s="14"/>
      <c r="AI812" s="14"/>
      <c r="AZ812" s="24"/>
    </row>
    <row r="813">
      <c r="B813" s="24"/>
      <c r="E813" s="113"/>
      <c r="F813" s="266"/>
      <c r="G813" s="113"/>
      <c r="K813" s="36"/>
      <c r="L813" s="117"/>
      <c r="M813" s="128"/>
      <c r="N813" s="117"/>
      <c r="R813" s="117"/>
      <c r="T813" s="117"/>
      <c r="V813" s="117"/>
      <c r="X813" s="117"/>
      <c r="Y813" s="10"/>
      <c r="Z813" s="11"/>
      <c r="AA813" s="36"/>
      <c r="AB813" s="36"/>
      <c r="AC813" s="13"/>
      <c r="AD813" s="13"/>
      <c r="AE813" s="37"/>
      <c r="AF813" s="37"/>
      <c r="AG813" s="14"/>
      <c r="AH813" s="14"/>
      <c r="AI813" s="14"/>
      <c r="AZ813" s="24"/>
    </row>
    <row r="814">
      <c r="B814" s="24"/>
      <c r="E814" s="113"/>
      <c r="F814" s="266"/>
      <c r="G814" s="113"/>
      <c r="K814" s="36"/>
      <c r="L814" s="117"/>
      <c r="M814" s="128"/>
      <c r="N814" s="117"/>
      <c r="R814" s="117"/>
      <c r="T814" s="117"/>
      <c r="V814" s="117"/>
      <c r="X814" s="117"/>
      <c r="Y814" s="10"/>
      <c r="Z814" s="11"/>
      <c r="AA814" s="36"/>
      <c r="AB814" s="36"/>
      <c r="AC814" s="13"/>
      <c r="AD814" s="13"/>
      <c r="AE814" s="37"/>
      <c r="AF814" s="37"/>
      <c r="AG814" s="14"/>
      <c r="AH814" s="14"/>
      <c r="AI814" s="14"/>
      <c r="AZ814" s="24"/>
    </row>
    <row r="815">
      <c r="B815" s="24"/>
      <c r="E815" s="113"/>
      <c r="F815" s="266"/>
      <c r="G815" s="113"/>
      <c r="K815" s="36"/>
      <c r="L815" s="117"/>
      <c r="M815" s="128"/>
      <c r="N815" s="117"/>
      <c r="R815" s="117"/>
      <c r="T815" s="117"/>
      <c r="V815" s="117"/>
      <c r="X815" s="117"/>
      <c r="Y815" s="10"/>
      <c r="Z815" s="11"/>
      <c r="AA815" s="36"/>
      <c r="AB815" s="36"/>
      <c r="AC815" s="13"/>
      <c r="AD815" s="13"/>
      <c r="AE815" s="37"/>
      <c r="AF815" s="37"/>
      <c r="AG815" s="14"/>
      <c r="AH815" s="14"/>
      <c r="AI815" s="14"/>
      <c r="AZ815" s="24"/>
    </row>
    <row r="816">
      <c r="B816" s="24"/>
      <c r="E816" s="113"/>
      <c r="F816" s="266"/>
      <c r="G816" s="113"/>
      <c r="K816" s="36"/>
      <c r="L816" s="117"/>
      <c r="M816" s="128"/>
      <c r="N816" s="117"/>
      <c r="R816" s="117"/>
      <c r="T816" s="117"/>
      <c r="V816" s="117"/>
      <c r="X816" s="117"/>
      <c r="Y816" s="10"/>
      <c r="Z816" s="11"/>
      <c r="AA816" s="36"/>
      <c r="AB816" s="36"/>
      <c r="AC816" s="13"/>
      <c r="AD816" s="13"/>
      <c r="AE816" s="37"/>
      <c r="AF816" s="37"/>
      <c r="AG816" s="14"/>
      <c r="AH816" s="14"/>
      <c r="AI816" s="14"/>
      <c r="AZ816" s="24"/>
    </row>
    <row r="817">
      <c r="B817" s="24"/>
      <c r="E817" s="113"/>
      <c r="F817" s="266"/>
      <c r="G817" s="113"/>
      <c r="K817" s="36"/>
      <c r="L817" s="117"/>
      <c r="M817" s="128"/>
      <c r="N817" s="117"/>
      <c r="R817" s="117"/>
      <c r="T817" s="117"/>
      <c r="V817" s="117"/>
      <c r="X817" s="117"/>
      <c r="Y817" s="10"/>
      <c r="Z817" s="11"/>
      <c r="AA817" s="36"/>
      <c r="AB817" s="36"/>
      <c r="AC817" s="13"/>
      <c r="AD817" s="13"/>
      <c r="AE817" s="37"/>
      <c r="AF817" s="37"/>
      <c r="AG817" s="14"/>
      <c r="AH817" s="14"/>
      <c r="AI817" s="14"/>
      <c r="AZ817" s="24"/>
    </row>
    <row r="818">
      <c r="B818" s="24"/>
      <c r="E818" s="113"/>
      <c r="F818" s="266"/>
      <c r="G818" s="113"/>
      <c r="K818" s="36"/>
      <c r="L818" s="117"/>
      <c r="M818" s="128"/>
      <c r="N818" s="117"/>
      <c r="R818" s="117"/>
      <c r="T818" s="117"/>
      <c r="V818" s="117"/>
      <c r="X818" s="117"/>
      <c r="Y818" s="10"/>
      <c r="Z818" s="11"/>
      <c r="AA818" s="36"/>
      <c r="AB818" s="36"/>
      <c r="AC818" s="13"/>
      <c r="AD818" s="13"/>
      <c r="AE818" s="37"/>
      <c r="AF818" s="37"/>
      <c r="AG818" s="14"/>
      <c r="AH818" s="14"/>
      <c r="AI818" s="14"/>
      <c r="AZ818" s="24"/>
    </row>
    <row r="819">
      <c r="B819" s="24"/>
      <c r="E819" s="113"/>
      <c r="F819" s="266"/>
      <c r="G819" s="113"/>
      <c r="K819" s="36"/>
      <c r="L819" s="117"/>
      <c r="M819" s="128"/>
      <c r="N819" s="117"/>
      <c r="R819" s="117"/>
      <c r="T819" s="117"/>
      <c r="V819" s="117"/>
      <c r="X819" s="117"/>
      <c r="Y819" s="10"/>
      <c r="Z819" s="11"/>
      <c r="AA819" s="36"/>
      <c r="AB819" s="36"/>
      <c r="AC819" s="13"/>
      <c r="AD819" s="13"/>
      <c r="AE819" s="37"/>
      <c r="AF819" s="37"/>
      <c r="AG819" s="14"/>
      <c r="AH819" s="14"/>
      <c r="AI819" s="14"/>
      <c r="AZ819" s="24"/>
    </row>
    <row r="820">
      <c r="B820" s="24"/>
      <c r="E820" s="113"/>
      <c r="F820" s="266"/>
      <c r="G820" s="113"/>
      <c r="K820" s="36"/>
      <c r="L820" s="117"/>
      <c r="M820" s="128"/>
      <c r="N820" s="117"/>
      <c r="R820" s="117"/>
      <c r="T820" s="117"/>
      <c r="V820" s="117"/>
      <c r="X820" s="117"/>
      <c r="Y820" s="10"/>
      <c r="Z820" s="11"/>
      <c r="AA820" s="36"/>
      <c r="AB820" s="36"/>
      <c r="AC820" s="13"/>
      <c r="AD820" s="13"/>
      <c r="AE820" s="37"/>
      <c r="AF820" s="37"/>
      <c r="AG820" s="14"/>
      <c r="AH820" s="14"/>
      <c r="AI820" s="14"/>
      <c r="AZ820" s="24"/>
    </row>
    <row r="821">
      <c r="B821" s="24"/>
      <c r="E821" s="113"/>
      <c r="F821" s="266"/>
      <c r="G821" s="113"/>
      <c r="K821" s="36"/>
      <c r="L821" s="117"/>
      <c r="M821" s="128"/>
      <c r="N821" s="117"/>
      <c r="R821" s="117"/>
      <c r="T821" s="117"/>
      <c r="V821" s="117"/>
      <c r="X821" s="117"/>
      <c r="Y821" s="10"/>
      <c r="Z821" s="11"/>
      <c r="AA821" s="36"/>
      <c r="AB821" s="36"/>
      <c r="AC821" s="13"/>
      <c r="AD821" s="13"/>
      <c r="AE821" s="37"/>
      <c r="AF821" s="37"/>
      <c r="AG821" s="14"/>
      <c r="AH821" s="14"/>
      <c r="AI821" s="14"/>
      <c r="AZ821" s="24"/>
    </row>
    <row r="822">
      <c r="B822" s="24"/>
      <c r="E822" s="113"/>
      <c r="F822" s="266"/>
      <c r="G822" s="113"/>
      <c r="K822" s="36"/>
      <c r="L822" s="117"/>
      <c r="M822" s="128"/>
      <c r="N822" s="117"/>
      <c r="R822" s="117"/>
      <c r="T822" s="117"/>
      <c r="V822" s="117"/>
      <c r="X822" s="117"/>
      <c r="Y822" s="10"/>
      <c r="Z822" s="11"/>
      <c r="AA822" s="36"/>
      <c r="AB822" s="36"/>
      <c r="AC822" s="13"/>
      <c r="AD822" s="13"/>
      <c r="AE822" s="37"/>
      <c r="AF822" s="37"/>
      <c r="AG822" s="14"/>
      <c r="AH822" s="14"/>
      <c r="AI822" s="14"/>
      <c r="AZ822" s="24"/>
    </row>
    <row r="823">
      <c r="B823" s="24"/>
      <c r="E823" s="113"/>
      <c r="F823" s="266"/>
      <c r="G823" s="113"/>
      <c r="K823" s="36"/>
      <c r="L823" s="117"/>
      <c r="M823" s="128"/>
      <c r="N823" s="117"/>
      <c r="R823" s="117"/>
      <c r="T823" s="117"/>
      <c r="V823" s="117"/>
      <c r="X823" s="117"/>
      <c r="Y823" s="10"/>
      <c r="Z823" s="11"/>
      <c r="AA823" s="36"/>
      <c r="AB823" s="36"/>
      <c r="AC823" s="13"/>
      <c r="AD823" s="13"/>
      <c r="AE823" s="37"/>
      <c r="AF823" s="37"/>
      <c r="AG823" s="14"/>
      <c r="AH823" s="14"/>
      <c r="AI823" s="14"/>
      <c r="AZ823" s="24"/>
    </row>
    <row r="824">
      <c r="B824" s="24"/>
      <c r="E824" s="113"/>
      <c r="F824" s="266"/>
      <c r="G824" s="113"/>
      <c r="K824" s="36"/>
      <c r="L824" s="117"/>
      <c r="M824" s="128"/>
      <c r="N824" s="117"/>
      <c r="R824" s="117"/>
      <c r="T824" s="117"/>
      <c r="V824" s="117"/>
      <c r="X824" s="117"/>
      <c r="Y824" s="10"/>
      <c r="Z824" s="11"/>
      <c r="AA824" s="36"/>
      <c r="AB824" s="36"/>
      <c r="AC824" s="13"/>
      <c r="AD824" s="13"/>
      <c r="AE824" s="37"/>
      <c r="AF824" s="37"/>
      <c r="AG824" s="14"/>
      <c r="AH824" s="14"/>
      <c r="AI824" s="14"/>
      <c r="AZ824" s="24"/>
    </row>
    <row r="825">
      <c r="B825" s="24"/>
      <c r="E825" s="113"/>
      <c r="F825" s="266"/>
      <c r="G825" s="113"/>
      <c r="K825" s="36"/>
      <c r="L825" s="117"/>
      <c r="M825" s="128"/>
      <c r="N825" s="117"/>
      <c r="R825" s="117"/>
      <c r="T825" s="117"/>
      <c r="V825" s="117"/>
      <c r="X825" s="117"/>
      <c r="Y825" s="10"/>
      <c r="Z825" s="11"/>
      <c r="AA825" s="36"/>
      <c r="AB825" s="36"/>
      <c r="AC825" s="13"/>
      <c r="AD825" s="13"/>
      <c r="AE825" s="37"/>
      <c r="AF825" s="37"/>
      <c r="AG825" s="14"/>
      <c r="AH825" s="14"/>
      <c r="AI825" s="14"/>
      <c r="AZ825" s="24"/>
    </row>
    <row r="826">
      <c r="B826" s="24"/>
      <c r="E826" s="113"/>
      <c r="F826" s="266"/>
      <c r="G826" s="113"/>
      <c r="K826" s="36"/>
      <c r="L826" s="117"/>
      <c r="M826" s="128"/>
      <c r="N826" s="117"/>
      <c r="R826" s="117"/>
      <c r="T826" s="117"/>
      <c r="V826" s="117"/>
      <c r="X826" s="117"/>
      <c r="Y826" s="10"/>
      <c r="Z826" s="11"/>
      <c r="AA826" s="36"/>
      <c r="AB826" s="36"/>
      <c r="AC826" s="13"/>
      <c r="AD826" s="13"/>
      <c r="AE826" s="37"/>
      <c r="AF826" s="37"/>
      <c r="AG826" s="14"/>
      <c r="AH826" s="14"/>
      <c r="AI826" s="14"/>
      <c r="AZ826" s="24"/>
    </row>
    <row r="827">
      <c r="B827" s="24"/>
      <c r="E827" s="113"/>
      <c r="F827" s="266"/>
      <c r="G827" s="113"/>
      <c r="K827" s="36"/>
      <c r="L827" s="117"/>
      <c r="M827" s="128"/>
      <c r="N827" s="117"/>
      <c r="R827" s="117"/>
      <c r="T827" s="117"/>
      <c r="V827" s="117"/>
      <c r="X827" s="117"/>
      <c r="Y827" s="10"/>
      <c r="Z827" s="11"/>
      <c r="AA827" s="36"/>
      <c r="AB827" s="36"/>
      <c r="AC827" s="13"/>
      <c r="AD827" s="13"/>
      <c r="AE827" s="37"/>
      <c r="AF827" s="37"/>
      <c r="AG827" s="14"/>
      <c r="AH827" s="14"/>
      <c r="AI827" s="14"/>
      <c r="AZ827" s="24"/>
    </row>
    <row r="828">
      <c r="B828" s="24"/>
      <c r="E828" s="113"/>
      <c r="F828" s="266"/>
      <c r="G828" s="113"/>
      <c r="K828" s="36"/>
      <c r="L828" s="117"/>
      <c r="M828" s="128"/>
      <c r="N828" s="117"/>
      <c r="R828" s="117"/>
      <c r="T828" s="117"/>
      <c r="V828" s="117"/>
      <c r="X828" s="117"/>
      <c r="Y828" s="10"/>
      <c r="Z828" s="11"/>
      <c r="AA828" s="36"/>
      <c r="AB828" s="36"/>
      <c r="AC828" s="13"/>
      <c r="AD828" s="13"/>
      <c r="AE828" s="37"/>
      <c r="AF828" s="37"/>
      <c r="AG828" s="14"/>
      <c r="AH828" s="14"/>
      <c r="AI828" s="14"/>
      <c r="AZ828" s="24"/>
    </row>
    <row r="829">
      <c r="B829" s="24"/>
      <c r="E829" s="113"/>
      <c r="F829" s="266"/>
      <c r="G829" s="113"/>
      <c r="K829" s="36"/>
      <c r="L829" s="117"/>
      <c r="M829" s="128"/>
      <c r="N829" s="117"/>
      <c r="R829" s="117"/>
      <c r="T829" s="117"/>
      <c r="V829" s="117"/>
      <c r="X829" s="117"/>
      <c r="Y829" s="10"/>
      <c r="Z829" s="11"/>
      <c r="AA829" s="36"/>
      <c r="AB829" s="36"/>
      <c r="AC829" s="13"/>
      <c r="AD829" s="13"/>
      <c r="AE829" s="37"/>
      <c r="AF829" s="37"/>
      <c r="AG829" s="14"/>
      <c r="AH829" s="14"/>
      <c r="AI829" s="14"/>
      <c r="AZ829" s="24"/>
    </row>
    <row r="830">
      <c r="B830" s="24"/>
      <c r="E830" s="113"/>
      <c r="F830" s="266"/>
      <c r="G830" s="113"/>
      <c r="K830" s="36"/>
      <c r="L830" s="117"/>
      <c r="M830" s="128"/>
      <c r="N830" s="117"/>
      <c r="R830" s="117"/>
      <c r="T830" s="117"/>
      <c r="V830" s="117"/>
      <c r="X830" s="117"/>
      <c r="Y830" s="10"/>
      <c r="Z830" s="11"/>
      <c r="AA830" s="36"/>
      <c r="AB830" s="36"/>
      <c r="AC830" s="13"/>
      <c r="AD830" s="13"/>
      <c r="AE830" s="37"/>
      <c r="AF830" s="37"/>
      <c r="AG830" s="14"/>
      <c r="AH830" s="14"/>
      <c r="AI830" s="14"/>
      <c r="AZ830" s="24"/>
    </row>
    <row r="831">
      <c r="B831" s="24"/>
      <c r="E831" s="113"/>
      <c r="F831" s="266"/>
      <c r="G831" s="113"/>
      <c r="K831" s="36"/>
      <c r="L831" s="117"/>
      <c r="M831" s="128"/>
      <c r="N831" s="117"/>
      <c r="R831" s="117"/>
      <c r="T831" s="117"/>
      <c r="V831" s="117"/>
      <c r="X831" s="117"/>
      <c r="Y831" s="10"/>
      <c r="Z831" s="11"/>
      <c r="AA831" s="36"/>
      <c r="AB831" s="36"/>
      <c r="AC831" s="13"/>
      <c r="AD831" s="13"/>
      <c r="AE831" s="37"/>
      <c r="AF831" s="37"/>
      <c r="AG831" s="14"/>
      <c r="AH831" s="14"/>
      <c r="AI831" s="14"/>
      <c r="AZ831" s="24"/>
    </row>
    <row r="832">
      <c r="B832" s="24"/>
      <c r="E832" s="113"/>
      <c r="F832" s="266"/>
      <c r="G832" s="113"/>
      <c r="K832" s="36"/>
      <c r="L832" s="117"/>
      <c r="M832" s="128"/>
      <c r="N832" s="117"/>
      <c r="R832" s="117"/>
      <c r="T832" s="117"/>
      <c r="V832" s="117"/>
      <c r="X832" s="117"/>
      <c r="Y832" s="10"/>
      <c r="Z832" s="11"/>
      <c r="AA832" s="36"/>
      <c r="AB832" s="36"/>
      <c r="AC832" s="13"/>
      <c r="AD832" s="13"/>
      <c r="AE832" s="37"/>
      <c r="AF832" s="37"/>
      <c r="AG832" s="14"/>
      <c r="AH832" s="14"/>
      <c r="AI832" s="14"/>
      <c r="AZ832" s="24"/>
    </row>
    <row r="833">
      <c r="B833" s="24"/>
      <c r="E833" s="113"/>
      <c r="F833" s="266"/>
      <c r="G833" s="113"/>
      <c r="K833" s="36"/>
      <c r="L833" s="117"/>
      <c r="M833" s="128"/>
      <c r="N833" s="117"/>
      <c r="R833" s="117"/>
      <c r="T833" s="117"/>
      <c r="V833" s="117"/>
      <c r="X833" s="117"/>
      <c r="Y833" s="10"/>
      <c r="Z833" s="11"/>
      <c r="AA833" s="36"/>
      <c r="AB833" s="36"/>
      <c r="AC833" s="13"/>
      <c r="AD833" s="13"/>
      <c r="AE833" s="37"/>
      <c r="AF833" s="37"/>
      <c r="AG833" s="14"/>
      <c r="AH833" s="14"/>
      <c r="AI833" s="14"/>
      <c r="AZ833" s="24"/>
    </row>
    <row r="834">
      <c r="B834" s="24"/>
      <c r="E834" s="113"/>
      <c r="F834" s="266"/>
      <c r="G834" s="113"/>
      <c r="K834" s="36"/>
      <c r="L834" s="117"/>
      <c r="M834" s="128"/>
      <c r="N834" s="117"/>
      <c r="R834" s="117"/>
      <c r="T834" s="117"/>
      <c r="V834" s="117"/>
      <c r="X834" s="117"/>
      <c r="Y834" s="10"/>
      <c r="Z834" s="11"/>
      <c r="AA834" s="36"/>
      <c r="AB834" s="36"/>
      <c r="AC834" s="13"/>
      <c r="AD834" s="13"/>
      <c r="AE834" s="37"/>
      <c r="AF834" s="37"/>
      <c r="AG834" s="14"/>
      <c r="AH834" s="14"/>
      <c r="AI834" s="14"/>
      <c r="AZ834" s="24"/>
    </row>
    <row r="835">
      <c r="B835" s="24"/>
      <c r="E835" s="113"/>
      <c r="F835" s="266"/>
      <c r="G835" s="113"/>
      <c r="K835" s="36"/>
      <c r="L835" s="117"/>
      <c r="M835" s="128"/>
      <c r="N835" s="117"/>
      <c r="R835" s="117"/>
      <c r="T835" s="117"/>
      <c r="V835" s="117"/>
      <c r="X835" s="117"/>
      <c r="Y835" s="10"/>
      <c r="Z835" s="11"/>
      <c r="AA835" s="36"/>
      <c r="AB835" s="36"/>
      <c r="AC835" s="13"/>
      <c r="AD835" s="13"/>
      <c r="AE835" s="37"/>
      <c r="AF835" s="37"/>
      <c r="AG835" s="14"/>
      <c r="AH835" s="14"/>
      <c r="AI835" s="14"/>
      <c r="AZ835" s="24"/>
    </row>
    <row r="836">
      <c r="B836" s="24"/>
      <c r="E836" s="113"/>
      <c r="F836" s="266"/>
      <c r="G836" s="113"/>
      <c r="K836" s="36"/>
      <c r="L836" s="117"/>
      <c r="M836" s="128"/>
      <c r="N836" s="117"/>
      <c r="R836" s="117"/>
      <c r="T836" s="117"/>
      <c r="V836" s="117"/>
      <c r="X836" s="117"/>
      <c r="Y836" s="10"/>
      <c r="Z836" s="11"/>
      <c r="AA836" s="36"/>
      <c r="AB836" s="36"/>
      <c r="AC836" s="13"/>
      <c r="AD836" s="13"/>
      <c r="AE836" s="37"/>
      <c r="AF836" s="37"/>
      <c r="AG836" s="14"/>
      <c r="AH836" s="14"/>
      <c r="AI836" s="14"/>
      <c r="AZ836" s="24"/>
    </row>
    <row r="837">
      <c r="B837" s="24"/>
      <c r="E837" s="113"/>
      <c r="F837" s="266"/>
      <c r="G837" s="113"/>
      <c r="K837" s="36"/>
      <c r="L837" s="117"/>
      <c r="M837" s="128"/>
      <c r="N837" s="117"/>
      <c r="R837" s="117"/>
      <c r="T837" s="117"/>
      <c r="V837" s="117"/>
      <c r="X837" s="117"/>
      <c r="Y837" s="10"/>
      <c r="Z837" s="11"/>
      <c r="AA837" s="36"/>
      <c r="AB837" s="36"/>
      <c r="AC837" s="13"/>
      <c r="AD837" s="13"/>
      <c r="AE837" s="37"/>
      <c r="AF837" s="37"/>
      <c r="AG837" s="14"/>
      <c r="AH837" s="14"/>
      <c r="AI837" s="14"/>
      <c r="AZ837" s="24"/>
    </row>
    <row r="838">
      <c r="B838" s="24"/>
      <c r="E838" s="113"/>
      <c r="F838" s="266"/>
      <c r="G838" s="113"/>
      <c r="K838" s="36"/>
      <c r="L838" s="117"/>
      <c r="M838" s="128"/>
      <c r="N838" s="117"/>
      <c r="R838" s="117"/>
      <c r="T838" s="117"/>
      <c r="V838" s="117"/>
      <c r="X838" s="117"/>
      <c r="Y838" s="10"/>
      <c r="Z838" s="11"/>
      <c r="AA838" s="36"/>
      <c r="AB838" s="36"/>
      <c r="AC838" s="13"/>
      <c r="AD838" s="13"/>
      <c r="AE838" s="37"/>
      <c r="AF838" s="37"/>
      <c r="AG838" s="14"/>
      <c r="AH838" s="14"/>
      <c r="AI838" s="14"/>
      <c r="AZ838" s="24"/>
    </row>
    <row r="839">
      <c r="B839" s="24"/>
      <c r="E839" s="113"/>
      <c r="F839" s="266"/>
      <c r="G839" s="113"/>
      <c r="K839" s="36"/>
      <c r="L839" s="117"/>
      <c r="M839" s="128"/>
      <c r="N839" s="117"/>
      <c r="R839" s="117"/>
      <c r="T839" s="117"/>
      <c r="V839" s="117"/>
      <c r="X839" s="117"/>
      <c r="Y839" s="10"/>
      <c r="Z839" s="11"/>
      <c r="AA839" s="36"/>
      <c r="AB839" s="36"/>
      <c r="AC839" s="13"/>
      <c r="AD839" s="13"/>
      <c r="AE839" s="37"/>
      <c r="AF839" s="37"/>
      <c r="AG839" s="14"/>
      <c r="AH839" s="14"/>
      <c r="AI839" s="14"/>
      <c r="AZ839" s="24"/>
    </row>
    <row r="840">
      <c r="B840" s="24"/>
      <c r="E840" s="113"/>
      <c r="F840" s="266"/>
      <c r="G840" s="113"/>
      <c r="K840" s="36"/>
      <c r="L840" s="117"/>
      <c r="M840" s="128"/>
      <c r="N840" s="117"/>
      <c r="R840" s="117"/>
      <c r="T840" s="117"/>
      <c r="V840" s="117"/>
      <c r="X840" s="117"/>
      <c r="Y840" s="10"/>
      <c r="Z840" s="11"/>
      <c r="AA840" s="36"/>
      <c r="AB840" s="36"/>
      <c r="AC840" s="13"/>
      <c r="AD840" s="13"/>
      <c r="AE840" s="37"/>
      <c r="AF840" s="37"/>
      <c r="AG840" s="14"/>
      <c r="AH840" s="14"/>
      <c r="AI840" s="14"/>
      <c r="AZ840" s="24"/>
    </row>
    <row r="841">
      <c r="B841" s="24"/>
      <c r="E841" s="113"/>
      <c r="F841" s="266"/>
      <c r="G841" s="113"/>
      <c r="K841" s="36"/>
      <c r="L841" s="117"/>
      <c r="M841" s="128"/>
      <c r="N841" s="117"/>
      <c r="R841" s="117"/>
      <c r="T841" s="117"/>
      <c r="V841" s="117"/>
      <c r="X841" s="117"/>
      <c r="Y841" s="10"/>
      <c r="Z841" s="11"/>
      <c r="AA841" s="36"/>
      <c r="AB841" s="36"/>
      <c r="AC841" s="13"/>
      <c r="AD841" s="13"/>
      <c r="AE841" s="37"/>
      <c r="AF841" s="37"/>
      <c r="AG841" s="14"/>
      <c r="AH841" s="14"/>
      <c r="AI841" s="14"/>
      <c r="AZ841" s="24"/>
    </row>
    <row r="842">
      <c r="B842" s="24"/>
      <c r="E842" s="113"/>
      <c r="F842" s="266"/>
      <c r="G842" s="113"/>
      <c r="K842" s="36"/>
      <c r="L842" s="117"/>
      <c r="M842" s="128"/>
      <c r="N842" s="117"/>
      <c r="R842" s="117"/>
      <c r="T842" s="117"/>
      <c r="V842" s="117"/>
      <c r="X842" s="117"/>
      <c r="Y842" s="10"/>
      <c r="Z842" s="11"/>
      <c r="AA842" s="36"/>
      <c r="AB842" s="36"/>
      <c r="AC842" s="13"/>
      <c r="AD842" s="13"/>
      <c r="AE842" s="37"/>
      <c r="AF842" s="37"/>
      <c r="AG842" s="14"/>
      <c r="AH842" s="14"/>
      <c r="AI842" s="14"/>
      <c r="AZ842" s="24"/>
    </row>
    <row r="843">
      <c r="B843" s="24"/>
      <c r="E843" s="113"/>
      <c r="F843" s="266"/>
      <c r="G843" s="113"/>
      <c r="K843" s="36"/>
      <c r="L843" s="117"/>
      <c r="M843" s="128"/>
      <c r="N843" s="117"/>
      <c r="R843" s="117"/>
      <c r="T843" s="117"/>
      <c r="V843" s="117"/>
      <c r="X843" s="117"/>
      <c r="Y843" s="10"/>
      <c r="Z843" s="11"/>
      <c r="AA843" s="36"/>
      <c r="AB843" s="36"/>
      <c r="AC843" s="13"/>
      <c r="AD843" s="13"/>
      <c r="AE843" s="37"/>
      <c r="AF843" s="37"/>
      <c r="AG843" s="14"/>
      <c r="AH843" s="14"/>
      <c r="AI843" s="14"/>
      <c r="AZ843" s="24"/>
    </row>
    <row r="844">
      <c r="B844" s="24"/>
      <c r="E844" s="113"/>
      <c r="F844" s="266"/>
      <c r="G844" s="113"/>
      <c r="K844" s="36"/>
      <c r="L844" s="117"/>
      <c r="M844" s="128"/>
      <c r="N844" s="117"/>
      <c r="R844" s="117"/>
      <c r="T844" s="117"/>
      <c r="V844" s="117"/>
      <c r="X844" s="117"/>
      <c r="Y844" s="10"/>
      <c r="Z844" s="11"/>
      <c r="AA844" s="36"/>
      <c r="AB844" s="36"/>
      <c r="AC844" s="13"/>
      <c r="AD844" s="13"/>
      <c r="AE844" s="37"/>
      <c r="AF844" s="37"/>
      <c r="AG844" s="14"/>
      <c r="AH844" s="14"/>
      <c r="AI844" s="14"/>
      <c r="AZ844" s="24"/>
    </row>
    <row r="845">
      <c r="B845" s="24"/>
      <c r="E845" s="113"/>
      <c r="F845" s="266"/>
      <c r="G845" s="113"/>
      <c r="K845" s="36"/>
      <c r="L845" s="117"/>
      <c r="M845" s="128"/>
      <c r="N845" s="117"/>
      <c r="R845" s="117"/>
      <c r="T845" s="117"/>
      <c r="V845" s="117"/>
      <c r="X845" s="117"/>
      <c r="Y845" s="10"/>
      <c r="Z845" s="11"/>
      <c r="AA845" s="36"/>
      <c r="AB845" s="36"/>
      <c r="AC845" s="13"/>
      <c r="AD845" s="13"/>
      <c r="AE845" s="37"/>
      <c r="AF845" s="37"/>
      <c r="AG845" s="14"/>
      <c r="AH845" s="14"/>
      <c r="AI845" s="14"/>
      <c r="AZ845" s="24"/>
    </row>
    <row r="846">
      <c r="B846" s="24"/>
      <c r="E846" s="113"/>
      <c r="F846" s="266"/>
      <c r="G846" s="113"/>
      <c r="K846" s="36"/>
      <c r="L846" s="117"/>
      <c r="M846" s="128"/>
      <c r="N846" s="117"/>
      <c r="R846" s="117"/>
      <c r="T846" s="117"/>
      <c r="V846" s="117"/>
      <c r="X846" s="117"/>
      <c r="Y846" s="10"/>
      <c r="Z846" s="11"/>
      <c r="AA846" s="36"/>
      <c r="AB846" s="36"/>
      <c r="AC846" s="13"/>
      <c r="AD846" s="13"/>
      <c r="AE846" s="37"/>
      <c r="AF846" s="37"/>
      <c r="AG846" s="14"/>
      <c r="AH846" s="14"/>
      <c r="AI846" s="14"/>
      <c r="AZ846" s="24"/>
    </row>
    <row r="847">
      <c r="B847" s="24"/>
      <c r="E847" s="113"/>
      <c r="F847" s="266"/>
      <c r="G847" s="113"/>
      <c r="K847" s="36"/>
      <c r="L847" s="117"/>
      <c r="M847" s="128"/>
      <c r="N847" s="117"/>
      <c r="R847" s="117"/>
      <c r="T847" s="117"/>
      <c r="V847" s="117"/>
      <c r="X847" s="117"/>
      <c r="Y847" s="10"/>
      <c r="Z847" s="11"/>
      <c r="AA847" s="36"/>
      <c r="AB847" s="36"/>
      <c r="AC847" s="13"/>
      <c r="AD847" s="13"/>
      <c r="AE847" s="37"/>
      <c r="AF847" s="37"/>
      <c r="AG847" s="14"/>
      <c r="AH847" s="14"/>
      <c r="AI847" s="14"/>
      <c r="AZ847" s="24"/>
    </row>
    <row r="848">
      <c r="B848" s="24"/>
      <c r="E848" s="113"/>
      <c r="F848" s="266"/>
      <c r="G848" s="113"/>
      <c r="K848" s="36"/>
      <c r="L848" s="117"/>
      <c r="M848" s="128"/>
      <c r="N848" s="117"/>
      <c r="R848" s="117"/>
      <c r="T848" s="117"/>
      <c r="V848" s="117"/>
      <c r="X848" s="117"/>
      <c r="Y848" s="10"/>
      <c r="Z848" s="11"/>
      <c r="AA848" s="36"/>
      <c r="AB848" s="36"/>
      <c r="AC848" s="13"/>
      <c r="AD848" s="13"/>
      <c r="AE848" s="37"/>
      <c r="AF848" s="37"/>
      <c r="AG848" s="14"/>
      <c r="AH848" s="14"/>
      <c r="AI848" s="14"/>
      <c r="AZ848" s="24"/>
    </row>
    <row r="849">
      <c r="B849" s="24"/>
      <c r="E849" s="113"/>
      <c r="F849" s="266"/>
      <c r="G849" s="113"/>
      <c r="K849" s="36"/>
      <c r="L849" s="117"/>
      <c r="M849" s="128"/>
      <c r="N849" s="117"/>
      <c r="R849" s="117"/>
      <c r="T849" s="117"/>
      <c r="V849" s="117"/>
      <c r="X849" s="117"/>
      <c r="Y849" s="10"/>
      <c r="Z849" s="11"/>
      <c r="AA849" s="36"/>
      <c r="AB849" s="36"/>
      <c r="AC849" s="13"/>
      <c r="AD849" s="13"/>
      <c r="AE849" s="37"/>
      <c r="AF849" s="37"/>
      <c r="AG849" s="14"/>
      <c r="AH849" s="14"/>
      <c r="AI849" s="14"/>
      <c r="AZ849" s="24"/>
    </row>
    <row r="850">
      <c r="B850" s="24"/>
      <c r="E850" s="113"/>
      <c r="F850" s="266"/>
      <c r="G850" s="113"/>
      <c r="K850" s="36"/>
      <c r="L850" s="117"/>
      <c r="M850" s="128"/>
      <c r="N850" s="117"/>
      <c r="R850" s="117"/>
      <c r="T850" s="117"/>
      <c r="V850" s="117"/>
      <c r="X850" s="117"/>
      <c r="Y850" s="10"/>
      <c r="Z850" s="11"/>
      <c r="AA850" s="36"/>
      <c r="AB850" s="36"/>
      <c r="AC850" s="13"/>
      <c r="AD850" s="13"/>
      <c r="AE850" s="37"/>
      <c r="AF850" s="37"/>
      <c r="AG850" s="14"/>
      <c r="AH850" s="14"/>
      <c r="AI850" s="14"/>
      <c r="AZ850" s="24"/>
    </row>
    <row r="851">
      <c r="B851" s="24"/>
      <c r="E851" s="113"/>
      <c r="F851" s="266"/>
      <c r="G851" s="113"/>
      <c r="K851" s="36"/>
      <c r="L851" s="117"/>
      <c r="M851" s="128"/>
      <c r="N851" s="117"/>
      <c r="R851" s="117"/>
      <c r="T851" s="117"/>
      <c r="V851" s="117"/>
      <c r="X851" s="117"/>
      <c r="Y851" s="10"/>
      <c r="Z851" s="11"/>
      <c r="AA851" s="36"/>
      <c r="AB851" s="36"/>
      <c r="AC851" s="13"/>
      <c r="AD851" s="13"/>
      <c r="AE851" s="37"/>
      <c r="AF851" s="37"/>
      <c r="AG851" s="14"/>
      <c r="AH851" s="14"/>
      <c r="AI851" s="14"/>
      <c r="AZ851" s="24"/>
    </row>
    <row r="852">
      <c r="B852" s="24"/>
      <c r="E852" s="113"/>
      <c r="F852" s="266"/>
      <c r="G852" s="113"/>
      <c r="K852" s="36"/>
      <c r="L852" s="117"/>
      <c r="M852" s="128"/>
      <c r="N852" s="117"/>
      <c r="R852" s="117"/>
      <c r="T852" s="117"/>
      <c r="V852" s="117"/>
      <c r="X852" s="117"/>
      <c r="Y852" s="10"/>
      <c r="Z852" s="11"/>
      <c r="AA852" s="36"/>
      <c r="AB852" s="36"/>
      <c r="AC852" s="13"/>
      <c r="AD852" s="13"/>
      <c r="AE852" s="37"/>
      <c r="AF852" s="37"/>
      <c r="AG852" s="14"/>
      <c r="AH852" s="14"/>
      <c r="AI852" s="14"/>
      <c r="AZ852" s="24"/>
    </row>
    <row r="853">
      <c r="B853" s="24"/>
      <c r="E853" s="113"/>
      <c r="F853" s="266"/>
      <c r="G853" s="113"/>
      <c r="K853" s="36"/>
      <c r="L853" s="117"/>
      <c r="M853" s="128"/>
      <c r="N853" s="117"/>
      <c r="R853" s="117"/>
      <c r="T853" s="117"/>
      <c r="V853" s="117"/>
      <c r="X853" s="117"/>
      <c r="Y853" s="10"/>
      <c r="Z853" s="11"/>
      <c r="AA853" s="36"/>
      <c r="AB853" s="36"/>
      <c r="AC853" s="13"/>
      <c r="AD853" s="13"/>
      <c r="AE853" s="37"/>
      <c r="AF853" s="37"/>
      <c r="AG853" s="14"/>
      <c r="AH853" s="14"/>
      <c r="AI853" s="14"/>
      <c r="AZ853" s="24"/>
    </row>
    <row r="854">
      <c r="B854" s="24"/>
      <c r="E854" s="113"/>
      <c r="F854" s="266"/>
      <c r="G854" s="113"/>
      <c r="K854" s="36"/>
      <c r="L854" s="117"/>
      <c r="M854" s="128"/>
      <c r="N854" s="117"/>
      <c r="R854" s="117"/>
      <c r="T854" s="117"/>
      <c r="V854" s="117"/>
      <c r="X854" s="117"/>
      <c r="Y854" s="10"/>
      <c r="Z854" s="11"/>
      <c r="AA854" s="36"/>
      <c r="AB854" s="36"/>
      <c r="AC854" s="13"/>
      <c r="AD854" s="13"/>
      <c r="AE854" s="37"/>
      <c r="AF854" s="37"/>
      <c r="AG854" s="14"/>
      <c r="AH854" s="14"/>
      <c r="AI854" s="14"/>
      <c r="AZ854" s="24"/>
    </row>
    <row r="855">
      <c r="B855" s="24"/>
      <c r="E855" s="113"/>
      <c r="F855" s="266"/>
      <c r="G855" s="113"/>
      <c r="K855" s="36"/>
      <c r="L855" s="117"/>
      <c r="M855" s="128"/>
      <c r="N855" s="117"/>
      <c r="R855" s="117"/>
      <c r="T855" s="117"/>
      <c r="V855" s="117"/>
      <c r="X855" s="117"/>
      <c r="Y855" s="10"/>
      <c r="Z855" s="11"/>
      <c r="AA855" s="36"/>
      <c r="AB855" s="36"/>
      <c r="AC855" s="13"/>
      <c r="AD855" s="13"/>
      <c r="AE855" s="37"/>
      <c r="AF855" s="37"/>
      <c r="AG855" s="14"/>
      <c r="AH855" s="14"/>
      <c r="AI855" s="14"/>
      <c r="AZ855" s="24"/>
    </row>
    <row r="856">
      <c r="B856" s="24"/>
      <c r="E856" s="113"/>
      <c r="F856" s="266"/>
      <c r="G856" s="113"/>
      <c r="K856" s="36"/>
      <c r="L856" s="117"/>
      <c r="M856" s="128"/>
      <c r="N856" s="117"/>
      <c r="R856" s="117"/>
      <c r="T856" s="117"/>
      <c r="V856" s="117"/>
      <c r="X856" s="117"/>
      <c r="Y856" s="10"/>
      <c r="Z856" s="11"/>
      <c r="AA856" s="36"/>
      <c r="AB856" s="36"/>
      <c r="AC856" s="13"/>
      <c r="AD856" s="13"/>
      <c r="AE856" s="37"/>
      <c r="AF856" s="37"/>
      <c r="AG856" s="14"/>
      <c r="AH856" s="14"/>
      <c r="AI856" s="14"/>
      <c r="AZ856" s="24"/>
    </row>
    <row r="857">
      <c r="B857" s="24"/>
      <c r="E857" s="113"/>
      <c r="F857" s="266"/>
      <c r="G857" s="113"/>
      <c r="K857" s="36"/>
      <c r="L857" s="117"/>
      <c r="M857" s="128"/>
      <c r="N857" s="117"/>
      <c r="R857" s="117"/>
      <c r="T857" s="117"/>
      <c r="V857" s="117"/>
      <c r="X857" s="117"/>
      <c r="Y857" s="10"/>
      <c r="Z857" s="11"/>
      <c r="AA857" s="36"/>
      <c r="AB857" s="36"/>
      <c r="AC857" s="13"/>
      <c r="AD857" s="13"/>
      <c r="AE857" s="37"/>
      <c r="AF857" s="37"/>
      <c r="AG857" s="14"/>
      <c r="AH857" s="14"/>
      <c r="AI857" s="14"/>
      <c r="AZ857" s="24"/>
    </row>
    <row r="858">
      <c r="B858" s="24"/>
      <c r="E858" s="113"/>
      <c r="F858" s="266"/>
      <c r="G858" s="113"/>
      <c r="K858" s="36"/>
      <c r="L858" s="117"/>
      <c r="M858" s="128"/>
      <c r="N858" s="117"/>
      <c r="R858" s="117"/>
      <c r="T858" s="117"/>
      <c r="V858" s="117"/>
      <c r="X858" s="117"/>
      <c r="Y858" s="10"/>
      <c r="Z858" s="11"/>
      <c r="AA858" s="36"/>
      <c r="AB858" s="36"/>
      <c r="AC858" s="13"/>
      <c r="AD858" s="13"/>
      <c r="AE858" s="37"/>
      <c r="AF858" s="37"/>
      <c r="AG858" s="14"/>
      <c r="AH858" s="14"/>
      <c r="AI858" s="14"/>
      <c r="AZ858" s="24"/>
    </row>
    <row r="859">
      <c r="B859" s="24"/>
      <c r="E859" s="113"/>
      <c r="F859" s="266"/>
      <c r="G859" s="113"/>
      <c r="K859" s="36"/>
      <c r="L859" s="117"/>
      <c r="M859" s="128"/>
      <c r="N859" s="117"/>
      <c r="R859" s="117"/>
      <c r="T859" s="117"/>
      <c r="V859" s="117"/>
      <c r="X859" s="117"/>
      <c r="Y859" s="10"/>
      <c r="Z859" s="11"/>
      <c r="AA859" s="36"/>
      <c r="AB859" s="36"/>
      <c r="AC859" s="13"/>
      <c r="AD859" s="13"/>
      <c r="AE859" s="37"/>
      <c r="AF859" s="37"/>
      <c r="AG859" s="14"/>
      <c r="AH859" s="14"/>
      <c r="AI859" s="14"/>
      <c r="AZ859" s="24"/>
    </row>
    <row r="860">
      <c r="B860" s="24"/>
      <c r="E860" s="113"/>
      <c r="F860" s="266"/>
      <c r="G860" s="113"/>
      <c r="K860" s="36"/>
      <c r="L860" s="117"/>
      <c r="M860" s="128"/>
      <c r="N860" s="117"/>
      <c r="R860" s="117"/>
      <c r="T860" s="117"/>
      <c r="V860" s="117"/>
      <c r="X860" s="117"/>
      <c r="Y860" s="10"/>
      <c r="Z860" s="11"/>
      <c r="AA860" s="36"/>
      <c r="AB860" s="36"/>
      <c r="AC860" s="13"/>
      <c r="AD860" s="13"/>
      <c r="AE860" s="37"/>
      <c r="AF860" s="37"/>
      <c r="AG860" s="14"/>
      <c r="AH860" s="14"/>
      <c r="AI860" s="14"/>
      <c r="AZ860" s="24"/>
    </row>
    <row r="861">
      <c r="B861" s="24"/>
      <c r="E861" s="113"/>
      <c r="F861" s="266"/>
      <c r="G861" s="113"/>
      <c r="K861" s="36"/>
      <c r="L861" s="117"/>
      <c r="M861" s="128"/>
      <c r="N861" s="117"/>
      <c r="R861" s="117"/>
      <c r="T861" s="117"/>
      <c r="V861" s="117"/>
      <c r="X861" s="117"/>
      <c r="Y861" s="10"/>
      <c r="Z861" s="11"/>
      <c r="AA861" s="36"/>
      <c r="AB861" s="36"/>
      <c r="AC861" s="13"/>
      <c r="AD861" s="13"/>
      <c r="AE861" s="37"/>
      <c r="AF861" s="37"/>
      <c r="AG861" s="14"/>
      <c r="AH861" s="14"/>
      <c r="AI861" s="14"/>
      <c r="AZ861" s="24"/>
    </row>
    <row r="862">
      <c r="B862" s="24"/>
      <c r="E862" s="113"/>
      <c r="F862" s="266"/>
      <c r="G862" s="113"/>
      <c r="K862" s="36"/>
      <c r="L862" s="117"/>
      <c r="M862" s="128"/>
      <c r="N862" s="117"/>
      <c r="R862" s="117"/>
      <c r="T862" s="117"/>
      <c r="V862" s="117"/>
      <c r="X862" s="117"/>
      <c r="Y862" s="10"/>
      <c r="Z862" s="11"/>
      <c r="AA862" s="36"/>
      <c r="AB862" s="36"/>
      <c r="AC862" s="13"/>
      <c r="AD862" s="13"/>
      <c r="AE862" s="37"/>
      <c r="AF862" s="37"/>
      <c r="AG862" s="14"/>
      <c r="AH862" s="14"/>
      <c r="AI862" s="14"/>
      <c r="AZ862" s="24"/>
    </row>
    <row r="863">
      <c r="B863" s="24"/>
      <c r="E863" s="113"/>
      <c r="F863" s="266"/>
      <c r="G863" s="113"/>
      <c r="K863" s="36"/>
      <c r="L863" s="117"/>
      <c r="M863" s="128"/>
      <c r="N863" s="117"/>
      <c r="R863" s="117"/>
      <c r="T863" s="117"/>
      <c r="V863" s="117"/>
      <c r="X863" s="117"/>
      <c r="Y863" s="10"/>
      <c r="Z863" s="11"/>
      <c r="AA863" s="36"/>
      <c r="AB863" s="36"/>
      <c r="AC863" s="13"/>
      <c r="AD863" s="13"/>
      <c r="AE863" s="37"/>
      <c r="AF863" s="37"/>
      <c r="AG863" s="14"/>
      <c r="AH863" s="14"/>
      <c r="AI863" s="14"/>
      <c r="AZ863" s="24"/>
    </row>
    <row r="864">
      <c r="B864" s="24"/>
      <c r="E864" s="113"/>
      <c r="F864" s="266"/>
      <c r="G864" s="113"/>
      <c r="K864" s="36"/>
      <c r="L864" s="117"/>
      <c r="M864" s="128"/>
      <c r="N864" s="117"/>
      <c r="R864" s="117"/>
      <c r="T864" s="117"/>
      <c r="V864" s="117"/>
      <c r="X864" s="117"/>
      <c r="Y864" s="10"/>
      <c r="Z864" s="11"/>
      <c r="AA864" s="36"/>
      <c r="AB864" s="36"/>
      <c r="AC864" s="13"/>
      <c r="AD864" s="13"/>
      <c r="AE864" s="37"/>
      <c r="AF864" s="37"/>
      <c r="AG864" s="14"/>
      <c r="AH864" s="14"/>
      <c r="AI864" s="14"/>
      <c r="AZ864" s="24"/>
    </row>
    <row r="865">
      <c r="B865" s="24"/>
      <c r="E865" s="113"/>
      <c r="F865" s="266"/>
      <c r="G865" s="113"/>
      <c r="K865" s="36"/>
      <c r="L865" s="117"/>
      <c r="M865" s="128"/>
      <c r="N865" s="117"/>
      <c r="R865" s="117"/>
      <c r="T865" s="117"/>
      <c r="V865" s="117"/>
      <c r="X865" s="117"/>
      <c r="Y865" s="10"/>
      <c r="Z865" s="11"/>
      <c r="AA865" s="36"/>
      <c r="AB865" s="36"/>
      <c r="AC865" s="13"/>
      <c r="AD865" s="13"/>
      <c r="AE865" s="37"/>
      <c r="AF865" s="37"/>
      <c r="AG865" s="14"/>
      <c r="AH865" s="14"/>
      <c r="AI865" s="14"/>
      <c r="AZ865" s="24"/>
    </row>
    <row r="866">
      <c r="B866" s="24"/>
      <c r="E866" s="113"/>
      <c r="F866" s="266"/>
      <c r="G866" s="113"/>
      <c r="K866" s="36"/>
      <c r="L866" s="117"/>
      <c r="M866" s="128"/>
      <c r="N866" s="117"/>
      <c r="R866" s="117"/>
      <c r="T866" s="117"/>
      <c r="V866" s="117"/>
      <c r="X866" s="117"/>
      <c r="Y866" s="10"/>
      <c r="Z866" s="11"/>
      <c r="AA866" s="36"/>
      <c r="AB866" s="36"/>
      <c r="AC866" s="13"/>
      <c r="AD866" s="13"/>
      <c r="AE866" s="37"/>
      <c r="AF866" s="37"/>
      <c r="AG866" s="14"/>
      <c r="AH866" s="14"/>
      <c r="AI866" s="14"/>
      <c r="AZ866" s="24"/>
    </row>
    <row r="867">
      <c r="B867" s="24"/>
      <c r="E867" s="113"/>
      <c r="F867" s="266"/>
      <c r="G867" s="113"/>
      <c r="K867" s="36"/>
      <c r="L867" s="117"/>
      <c r="M867" s="128"/>
      <c r="N867" s="117"/>
      <c r="R867" s="117"/>
      <c r="T867" s="117"/>
      <c r="V867" s="117"/>
      <c r="X867" s="117"/>
      <c r="Y867" s="10"/>
      <c r="Z867" s="11"/>
      <c r="AA867" s="36"/>
      <c r="AB867" s="36"/>
      <c r="AC867" s="13"/>
      <c r="AD867" s="13"/>
      <c r="AE867" s="37"/>
      <c r="AF867" s="37"/>
      <c r="AG867" s="14"/>
      <c r="AH867" s="14"/>
      <c r="AI867" s="14"/>
      <c r="AZ867" s="24"/>
    </row>
    <row r="868">
      <c r="B868" s="24"/>
      <c r="E868" s="113"/>
      <c r="F868" s="266"/>
      <c r="G868" s="113"/>
      <c r="K868" s="36"/>
      <c r="L868" s="117"/>
      <c r="M868" s="128"/>
      <c r="N868" s="117"/>
      <c r="R868" s="117"/>
      <c r="T868" s="117"/>
      <c r="V868" s="117"/>
      <c r="X868" s="117"/>
      <c r="Y868" s="10"/>
      <c r="Z868" s="11"/>
      <c r="AA868" s="36"/>
      <c r="AB868" s="36"/>
      <c r="AC868" s="13"/>
      <c r="AD868" s="13"/>
      <c r="AE868" s="37"/>
      <c r="AF868" s="37"/>
      <c r="AG868" s="14"/>
      <c r="AH868" s="14"/>
      <c r="AI868" s="14"/>
      <c r="AZ868" s="24"/>
    </row>
    <row r="869">
      <c r="B869" s="24"/>
      <c r="E869" s="113"/>
      <c r="F869" s="266"/>
      <c r="G869" s="113"/>
      <c r="K869" s="36"/>
      <c r="L869" s="117"/>
      <c r="M869" s="128"/>
      <c r="N869" s="117"/>
      <c r="R869" s="117"/>
      <c r="T869" s="117"/>
      <c r="V869" s="117"/>
      <c r="X869" s="117"/>
      <c r="Y869" s="10"/>
      <c r="Z869" s="11"/>
      <c r="AA869" s="36"/>
      <c r="AB869" s="36"/>
      <c r="AC869" s="13"/>
      <c r="AD869" s="13"/>
      <c r="AE869" s="37"/>
      <c r="AF869" s="37"/>
      <c r="AG869" s="14"/>
      <c r="AH869" s="14"/>
      <c r="AI869" s="14"/>
      <c r="AZ869" s="24"/>
    </row>
    <row r="870">
      <c r="B870" s="24"/>
      <c r="E870" s="113"/>
      <c r="F870" s="266"/>
      <c r="G870" s="113"/>
      <c r="K870" s="36"/>
      <c r="L870" s="117"/>
      <c r="M870" s="128"/>
      <c r="N870" s="117"/>
      <c r="R870" s="117"/>
      <c r="T870" s="117"/>
      <c r="V870" s="117"/>
      <c r="X870" s="117"/>
      <c r="Y870" s="10"/>
      <c r="Z870" s="11"/>
      <c r="AA870" s="36"/>
      <c r="AB870" s="36"/>
      <c r="AC870" s="13"/>
      <c r="AD870" s="13"/>
      <c r="AE870" s="37"/>
      <c r="AF870" s="37"/>
      <c r="AG870" s="14"/>
      <c r="AH870" s="14"/>
      <c r="AI870" s="14"/>
      <c r="AZ870" s="24"/>
    </row>
    <row r="871">
      <c r="B871" s="24"/>
      <c r="E871" s="113"/>
      <c r="F871" s="266"/>
      <c r="G871" s="113"/>
      <c r="K871" s="36"/>
      <c r="L871" s="117"/>
      <c r="M871" s="128"/>
      <c r="N871" s="117"/>
      <c r="R871" s="117"/>
      <c r="T871" s="117"/>
      <c r="V871" s="117"/>
      <c r="X871" s="117"/>
      <c r="Y871" s="10"/>
      <c r="Z871" s="11"/>
      <c r="AA871" s="36"/>
      <c r="AB871" s="36"/>
      <c r="AC871" s="13"/>
      <c r="AD871" s="13"/>
      <c r="AE871" s="37"/>
      <c r="AF871" s="37"/>
      <c r="AG871" s="14"/>
      <c r="AH871" s="14"/>
      <c r="AI871" s="14"/>
      <c r="AZ871" s="24"/>
    </row>
    <row r="872">
      <c r="B872" s="24"/>
      <c r="E872" s="113"/>
      <c r="F872" s="266"/>
      <c r="G872" s="113"/>
      <c r="K872" s="36"/>
      <c r="L872" s="117"/>
      <c r="M872" s="128"/>
      <c r="N872" s="117"/>
      <c r="R872" s="117"/>
      <c r="T872" s="117"/>
      <c r="V872" s="117"/>
      <c r="X872" s="117"/>
      <c r="Y872" s="10"/>
      <c r="Z872" s="11"/>
      <c r="AA872" s="36"/>
      <c r="AB872" s="36"/>
      <c r="AC872" s="13"/>
      <c r="AD872" s="13"/>
      <c r="AE872" s="37"/>
      <c r="AF872" s="37"/>
      <c r="AG872" s="14"/>
      <c r="AH872" s="14"/>
      <c r="AI872" s="14"/>
      <c r="AZ872" s="24"/>
    </row>
    <row r="873">
      <c r="B873" s="24"/>
      <c r="E873" s="113"/>
      <c r="F873" s="266"/>
      <c r="G873" s="113"/>
      <c r="K873" s="36"/>
      <c r="L873" s="117"/>
      <c r="M873" s="128"/>
      <c r="N873" s="117"/>
      <c r="R873" s="117"/>
      <c r="T873" s="117"/>
      <c r="V873" s="117"/>
      <c r="X873" s="117"/>
      <c r="Y873" s="10"/>
      <c r="Z873" s="11"/>
      <c r="AA873" s="36"/>
      <c r="AB873" s="36"/>
      <c r="AC873" s="13"/>
      <c r="AD873" s="13"/>
      <c r="AE873" s="37"/>
      <c r="AF873" s="37"/>
      <c r="AG873" s="14"/>
      <c r="AH873" s="14"/>
      <c r="AI873" s="14"/>
      <c r="AZ873" s="24"/>
    </row>
    <row r="874">
      <c r="B874" s="24"/>
      <c r="E874" s="113"/>
      <c r="F874" s="266"/>
      <c r="G874" s="113"/>
      <c r="K874" s="36"/>
      <c r="L874" s="117"/>
      <c r="M874" s="128"/>
      <c r="N874" s="117"/>
      <c r="R874" s="117"/>
      <c r="T874" s="117"/>
      <c r="V874" s="117"/>
      <c r="X874" s="117"/>
      <c r="Y874" s="10"/>
      <c r="Z874" s="11"/>
      <c r="AA874" s="36"/>
      <c r="AB874" s="36"/>
      <c r="AC874" s="13"/>
      <c r="AD874" s="13"/>
      <c r="AE874" s="37"/>
      <c r="AF874" s="37"/>
      <c r="AG874" s="14"/>
      <c r="AH874" s="14"/>
      <c r="AI874" s="14"/>
      <c r="AZ874" s="24"/>
    </row>
    <row r="875">
      <c r="B875" s="24"/>
      <c r="E875" s="113"/>
      <c r="F875" s="266"/>
      <c r="G875" s="113"/>
      <c r="K875" s="36"/>
      <c r="L875" s="117"/>
      <c r="M875" s="128"/>
      <c r="N875" s="117"/>
      <c r="R875" s="117"/>
      <c r="T875" s="117"/>
      <c r="V875" s="117"/>
      <c r="X875" s="117"/>
      <c r="Y875" s="10"/>
      <c r="Z875" s="11"/>
      <c r="AA875" s="36"/>
      <c r="AB875" s="36"/>
      <c r="AC875" s="13"/>
      <c r="AD875" s="13"/>
      <c r="AE875" s="37"/>
      <c r="AF875" s="37"/>
      <c r="AG875" s="14"/>
      <c r="AH875" s="14"/>
      <c r="AI875" s="14"/>
      <c r="AZ875" s="24"/>
    </row>
    <row r="876">
      <c r="B876" s="24"/>
      <c r="E876" s="113"/>
      <c r="F876" s="266"/>
      <c r="G876" s="113"/>
      <c r="K876" s="36"/>
      <c r="L876" s="117"/>
      <c r="M876" s="128"/>
      <c r="N876" s="117"/>
      <c r="R876" s="117"/>
      <c r="T876" s="117"/>
      <c r="V876" s="117"/>
      <c r="X876" s="117"/>
      <c r="Y876" s="10"/>
      <c r="Z876" s="11"/>
      <c r="AA876" s="36"/>
      <c r="AB876" s="36"/>
      <c r="AC876" s="13"/>
      <c r="AD876" s="13"/>
      <c r="AE876" s="37"/>
      <c r="AF876" s="37"/>
      <c r="AG876" s="14"/>
      <c r="AH876" s="14"/>
      <c r="AI876" s="14"/>
      <c r="AZ876" s="24"/>
    </row>
    <row r="877">
      <c r="B877" s="24"/>
      <c r="E877" s="113"/>
      <c r="F877" s="266"/>
      <c r="G877" s="113"/>
      <c r="K877" s="36"/>
      <c r="L877" s="117"/>
      <c r="M877" s="128"/>
      <c r="N877" s="117"/>
      <c r="R877" s="117"/>
      <c r="T877" s="117"/>
      <c r="V877" s="117"/>
      <c r="X877" s="117"/>
      <c r="Y877" s="10"/>
      <c r="Z877" s="11"/>
      <c r="AA877" s="36"/>
      <c r="AB877" s="36"/>
      <c r="AC877" s="13"/>
      <c r="AD877" s="13"/>
      <c r="AE877" s="37"/>
      <c r="AF877" s="37"/>
      <c r="AG877" s="14"/>
      <c r="AH877" s="14"/>
      <c r="AI877" s="14"/>
      <c r="AZ877" s="24"/>
    </row>
    <row r="878">
      <c r="B878" s="24"/>
      <c r="E878" s="113"/>
      <c r="F878" s="266"/>
      <c r="G878" s="113"/>
      <c r="K878" s="36"/>
      <c r="L878" s="117"/>
      <c r="M878" s="128"/>
      <c r="N878" s="117"/>
      <c r="R878" s="117"/>
      <c r="T878" s="117"/>
      <c r="V878" s="117"/>
      <c r="X878" s="117"/>
      <c r="Y878" s="10"/>
      <c r="Z878" s="11"/>
      <c r="AA878" s="36"/>
      <c r="AB878" s="36"/>
      <c r="AC878" s="13"/>
      <c r="AD878" s="13"/>
      <c r="AE878" s="37"/>
      <c r="AF878" s="37"/>
      <c r="AG878" s="14"/>
      <c r="AH878" s="14"/>
      <c r="AI878" s="14"/>
      <c r="AZ878" s="24"/>
    </row>
    <row r="879">
      <c r="B879" s="24"/>
      <c r="E879" s="113"/>
      <c r="F879" s="266"/>
      <c r="G879" s="113"/>
      <c r="K879" s="36"/>
      <c r="L879" s="117"/>
      <c r="M879" s="128"/>
      <c r="N879" s="117"/>
      <c r="R879" s="117"/>
      <c r="T879" s="117"/>
      <c r="V879" s="117"/>
      <c r="X879" s="117"/>
      <c r="Y879" s="10"/>
      <c r="Z879" s="11"/>
      <c r="AA879" s="36"/>
      <c r="AB879" s="36"/>
      <c r="AC879" s="13"/>
      <c r="AD879" s="13"/>
      <c r="AE879" s="37"/>
      <c r="AF879" s="37"/>
      <c r="AG879" s="14"/>
      <c r="AH879" s="14"/>
      <c r="AI879" s="14"/>
      <c r="AZ879" s="24"/>
    </row>
    <row r="880">
      <c r="B880" s="24"/>
      <c r="E880" s="113"/>
      <c r="F880" s="266"/>
      <c r="G880" s="113"/>
      <c r="K880" s="36"/>
      <c r="L880" s="117"/>
      <c r="M880" s="128"/>
      <c r="N880" s="117"/>
      <c r="R880" s="117"/>
      <c r="T880" s="117"/>
      <c r="V880" s="117"/>
      <c r="X880" s="117"/>
      <c r="Y880" s="10"/>
      <c r="Z880" s="11"/>
      <c r="AA880" s="36"/>
      <c r="AB880" s="36"/>
      <c r="AC880" s="13"/>
      <c r="AD880" s="13"/>
      <c r="AE880" s="37"/>
      <c r="AF880" s="37"/>
      <c r="AG880" s="14"/>
      <c r="AH880" s="14"/>
      <c r="AI880" s="14"/>
      <c r="AZ880" s="24"/>
    </row>
    <row r="881">
      <c r="B881" s="24"/>
      <c r="E881" s="113"/>
      <c r="F881" s="266"/>
      <c r="G881" s="113"/>
      <c r="K881" s="36"/>
      <c r="L881" s="117"/>
      <c r="M881" s="128"/>
      <c r="N881" s="117"/>
      <c r="R881" s="117"/>
      <c r="T881" s="117"/>
      <c r="V881" s="117"/>
      <c r="X881" s="117"/>
      <c r="Y881" s="10"/>
      <c r="Z881" s="11"/>
      <c r="AA881" s="36"/>
      <c r="AB881" s="36"/>
      <c r="AC881" s="13"/>
      <c r="AD881" s="13"/>
      <c r="AE881" s="37"/>
      <c r="AF881" s="37"/>
      <c r="AG881" s="14"/>
      <c r="AH881" s="14"/>
      <c r="AI881" s="14"/>
      <c r="AZ881" s="24"/>
    </row>
    <row r="882">
      <c r="B882" s="24"/>
      <c r="E882" s="113"/>
      <c r="F882" s="266"/>
      <c r="G882" s="113"/>
      <c r="K882" s="36"/>
      <c r="L882" s="117"/>
      <c r="M882" s="128"/>
      <c r="N882" s="117"/>
      <c r="R882" s="117"/>
      <c r="T882" s="117"/>
      <c r="V882" s="117"/>
      <c r="X882" s="117"/>
      <c r="Y882" s="10"/>
      <c r="Z882" s="11"/>
      <c r="AA882" s="36"/>
      <c r="AB882" s="36"/>
      <c r="AC882" s="13"/>
      <c r="AD882" s="13"/>
      <c r="AE882" s="37"/>
      <c r="AF882" s="37"/>
      <c r="AG882" s="14"/>
      <c r="AH882" s="14"/>
      <c r="AI882" s="14"/>
      <c r="AZ882" s="24"/>
    </row>
    <row r="883">
      <c r="B883" s="24"/>
      <c r="E883" s="113"/>
      <c r="F883" s="266"/>
      <c r="G883" s="113"/>
      <c r="K883" s="36"/>
      <c r="L883" s="117"/>
      <c r="M883" s="128"/>
      <c r="N883" s="117"/>
      <c r="R883" s="117"/>
      <c r="T883" s="117"/>
      <c r="V883" s="117"/>
      <c r="X883" s="117"/>
      <c r="Y883" s="10"/>
      <c r="Z883" s="11"/>
      <c r="AA883" s="36"/>
      <c r="AB883" s="36"/>
      <c r="AC883" s="13"/>
      <c r="AD883" s="13"/>
      <c r="AE883" s="37"/>
      <c r="AF883" s="37"/>
      <c r="AG883" s="14"/>
      <c r="AH883" s="14"/>
      <c r="AI883" s="14"/>
      <c r="AZ883" s="24"/>
    </row>
    <row r="884">
      <c r="B884" s="24"/>
      <c r="E884" s="113"/>
      <c r="F884" s="266"/>
      <c r="G884" s="113"/>
      <c r="K884" s="36"/>
      <c r="L884" s="117"/>
      <c r="M884" s="128"/>
      <c r="N884" s="117"/>
      <c r="R884" s="117"/>
      <c r="T884" s="117"/>
      <c r="V884" s="117"/>
      <c r="X884" s="117"/>
      <c r="Y884" s="10"/>
      <c r="Z884" s="11"/>
      <c r="AA884" s="36"/>
      <c r="AB884" s="36"/>
      <c r="AC884" s="13"/>
      <c r="AD884" s="13"/>
      <c r="AE884" s="37"/>
      <c r="AF884" s="37"/>
      <c r="AG884" s="14"/>
      <c r="AH884" s="14"/>
      <c r="AI884" s="14"/>
      <c r="AZ884" s="24"/>
    </row>
    <row r="885">
      <c r="B885" s="24"/>
      <c r="E885" s="113"/>
      <c r="F885" s="266"/>
      <c r="G885" s="113"/>
      <c r="K885" s="36"/>
      <c r="L885" s="117"/>
      <c r="M885" s="128"/>
      <c r="N885" s="117"/>
      <c r="R885" s="117"/>
      <c r="T885" s="117"/>
      <c r="V885" s="117"/>
      <c r="X885" s="117"/>
      <c r="Y885" s="10"/>
      <c r="Z885" s="11"/>
      <c r="AA885" s="36"/>
      <c r="AB885" s="36"/>
      <c r="AC885" s="13"/>
      <c r="AD885" s="13"/>
      <c r="AE885" s="37"/>
      <c r="AF885" s="37"/>
      <c r="AG885" s="14"/>
      <c r="AH885" s="14"/>
      <c r="AI885" s="14"/>
      <c r="AZ885" s="24"/>
    </row>
    <row r="886">
      <c r="B886" s="24"/>
      <c r="E886" s="113"/>
      <c r="F886" s="266"/>
      <c r="G886" s="113"/>
      <c r="K886" s="36"/>
      <c r="L886" s="117"/>
      <c r="M886" s="128"/>
      <c r="N886" s="117"/>
      <c r="R886" s="117"/>
      <c r="T886" s="117"/>
      <c r="V886" s="117"/>
      <c r="X886" s="117"/>
      <c r="Y886" s="10"/>
      <c r="Z886" s="11"/>
      <c r="AA886" s="36"/>
      <c r="AB886" s="36"/>
      <c r="AC886" s="13"/>
      <c r="AD886" s="13"/>
      <c r="AE886" s="37"/>
      <c r="AF886" s="37"/>
      <c r="AG886" s="14"/>
      <c r="AH886" s="14"/>
      <c r="AI886" s="14"/>
      <c r="AZ886" s="24"/>
    </row>
    <row r="887">
      <c r="B887" s="24"/>
      <c r="E887" s="113"/>
      <c r="F887" s="266"/>
      <c r="G887" s="113"/>
      <c r="K887" s="36"/>
      <c r="L887" s="117"/>
      <c r="M887" s="128"/>
      <c r="N887" s="117"/>
      <c r="R887" s="117"/>
      <c r="T887" s="117"/>
      <c r="V887" s="117"/>
      <c r="X887" s="117"/>
      <c r="Y887" s="10"/>
      <c r="Z887" s="11"/>
      <c r="AA887" s="36"/>
      <c r="AB887" s="36"/>
      <c r="AC887" s="13"/>
      <c r="AD887" s="13"/>
      <c r="AE887" s="37"/>
      <c r="AF887" s="37"/>
      <c r="AG887" s="14"/>
      <c r="AH887" s="14"/>
      <c r="AI887" s="14"/>
      <c r="AZ887" s="24"/>
    </row>
    <row r="888">
      <c r="B888" s="24"/>
      <c r="E888" s="113"/>
      <c r="F888" s="266"/>
      <c r="G888" s="113"/>
      <c r="K888" s="36"/>
      <c r="L888" s="117"/>
      <c r="M888" s="128"/>
      <c r="N888" s="117"/>
      <c r="R888" s="117"/>
      <c r="T888" s="117"/>
      <c r="V888" s="117"/>
      <c r="X888" s="117"/>
      <c r="Y888" s="10"/>
      <c r="Z888" s="11"/>
      <c r="AA888" s="36"/>
      <c r="AB888" s="36"/>
      <c r="AC888" s="13"/>
      <c r="AD888" s="13"/>
      <c r="AE888" s="37"/>
      <c r="AF888" s="37"/>
      <c r="AG888" s="14"/>
      <c r="AH888" s="14"/>
      <c r="AI888" s="14"/>
      <c r="AZ888" s="24"/>
    </row>
    <row r="889">
      <c r="B889" s="24"/>
      <c r="E889" s="113"/>
      <c r="F889" s="266"/>
      <c r="G889" s="113"/>
      <c r="K889" s="36"/>
      <c r="L889" s="117"/>
      <c r="M889" s="128"/>
      <c r="N889" s="117"/>
      <c r="R889" s="117"/>
      <c r="T889" s="117"/>
      <c r="V889" s="117"/>
      <c r="X889" s="117"/>
      <c r="Y889" s="10"/>
      <c r="Z889" s="11"/>
      <c r="AA889" s="36"/>
      <c r="AB889" s="36"/>
      <c r="AC889" s="13"/>
      <c r="AD889" s="13"/>
      <c r="AE889" s="37"/>
      <c r="AF889" s="37"/>
      <c r="AG889" s="14"/>
      <c r="AH889" s="14"/>
      <c r="AI889" s="14"/>
      <c r="AZ889" s="24"/>
    </row>
    <row r="890">
      <c r="B890" s="24"/>
      <c r="E890" s="113"/>
      <c r="F890" s="266"/>
      <c r="G890" s="113"/>
      <c r="K890" s="36"/>
      <c r="L890" s="117"/>
      <c r="M890" s="128"/>
      <c r="N890" s="117"/>
      <c r="R890" s="117"/>
      <c r="T890" s="117"/>
      <c r="V890" s="117"/>
      <c r="X890" s="117"/>
      <c r="Y890" s="10"/>
      <c r="Z890" s="11"/>
      <c r="AA890" s="36"/>
      <c r="AB890" s="36"/>
      <c r="AC890" s="13"/>
      <c r="AD890" s="13"/>
      <c r="AE890" s="37"/>
      <c r="AF890" s="37"/>
      <c r="AG890" s="14"/>
      <c r="AH890" s="14"/>
      <c r="AI890" s="14"/>
      <c r="AZ890" s="24"/>
    </row>
    <row r="891">
      <c r="B891" s="24"/>
      <c r="E891" s="113"/>
      <c r="F891" s="266"/>
      <c r="G891" s="113"/>
      <c r="K891" s="36"/>
      <c r="L891" s="117"/>
      <c r="M891" s="128"/>
      <c r="N891" s="117"/>
      <c r="R891" s="117"/>
      <c r="T891" s="117"/>
      <c r="V891" s="117"/>
      <c r="X891" s="117"/>
      <c r="Y891" s="10"/>
      <c r="Z891" s="11"/>
      <c r="AA891" s="36"/>
      <c r="AB891" s="36"/>
      <c r="AC891" s="13"/>
      <c r="AD891" s="13"/>
      <c r="AE891" s="37"/>
      <c r="AF891" s="37"/>
      <c r="AG891" s="14"/>
      <c r="AH891" s="14"/>
      <c r="AI891" s="14"/>
      <c r="AZ891" s="24"/>
    </row>
    <row r="892">
      <c r="B892" s="24"/>
      <c r="E892" s="113"/>
      <c r="F892" s="266"/>
      <c r="G892" s="113"/>
      <c r="K892" s="36"/>
      <c r="L892" s="117"/>
      <c r="M892" s="128"/>
      <c r="N892" s="117"/>
      <c r="R892" s="117"/>
      <c r="T892" s="117"/>
      <c r="V892" s="117"/>
      <c r="X892" s="117"/>
      <c r="Y892" s="10"/>
      <c r="Z892" s="11"/>
      <c r="AA892" s="36"/>
      <c r="AB892" s="36"/>
      <c r="AC892" s="13"/>
      <c r="AD892" s="13"/>
      <c r="AE892" s="37"/>
      <c r="AF892" s="37"/>
      <c r="AG892" s="14"/>
      <c r="AH892" s="14"/>
      <c r="AI892" s="14"/>
      <c r="AZ892" s="24"/>
    </row>
    <row r="893">
      <c r="B893" s="24"/>
      <c r="E893" s="113"/>
      <c r="F893" s="266"/>
      <c r="G893" s="113"/>
      <c r="K893" s="36"/>
      <c r="L893" s="117"/>
      <c r="M893" s="128"/>
      <c r="N893" s="117"/>
      <c r="R893" s="117"/>
      <c r="T893" s="117"/>
      <c r="V893" s="117"/>
      <c r="X893" s="117"/>
      <c r="Y893" s="10"/>
      <c r="Z893" s="11"/>
      <c r="AA893" s="36"/>
      <c r="AB893" s="36"/>
      <c r="AC893" s="13"/>
      <c r="AD893" s="13"/>
      <c r="AE893" s="37"/>
      <c r="AF893" s="37"/>
      <c r="AG893" s="14"/>
      <c r="AH893" s="14"/>
      <c r="AI893" s="14"/>
      <c r="AZ893" s="24"/>
    </row>
    <row r="894">
      <c r="B894" s="24"/>
      <c r="E894" s="113"/>
      <c r="F894" s="266"/>
      <c r="G894" s="113"/>
      <c r="K894" s="36"/>
      <c r="L894" s="117"/>
      <c r="M894" s="128"/>
      <c r="N894" s="117"/>
      <c r="R894" s="117"/>
      <c r="T894" s="117"/>
      <c r="V894" s="117"/>
      <c r="X894" s="117"/>
      <c r="Y894" s="10"/>
      <c r="Z894" s="11"/>
      <c r="AA894" s="36"/>
      <c r="AB894" s="36"/>
      <c r="AC894" s="13"/>
      <c r="AD894" s="13"/>
      <c r="AE894" s="37"/>
      <c r="AF894" s="37"/>
      <c r="AG894" s="14"/>
      <c r="AH894" s="14"/>
      <c r="AI894" s="14"/>
      <c r="AZ894" s="24"/>
    </row>
    <row r="895">
      <c r="B895" s="24"/>
      <c r="E895" s="113"/>
      <c r="F895" s="266"/>
      <c r="G895" s="113"/>
      <c r="K895" s="36"/>
      <c r="L895" s="117"/>
      <c r="M895" s="128"/>
      <c r="N895" s="117"/>
      <c r="R895" s="117"/>
      <c r="T895" s="117"/>
      <c r="V895" s="117"/>
      <c r="X895" s="117"/>
      <c r="Y895" s="10"/>
      <c r="Z895" s="11"/>
      <c r="AA895" s="36"/>
      <c r="AB895" s="36"/>
      <c r="AC895" s="13"/>
      <c r="AD895" s="13"/>
      <c r="AE895" s="37"/>
      <c r="AF895" s="37"/>
      <c r="AG895" s="14"/>
      <c r="AH895" s="14"/>
      <c r="AI895" s="14"/>
      <c r="AZ895" s="24"/>
    </row>
    <row r="896">
      <c r="B896" s="24"/>
      <c r="E896" s="113"/>
      <c r="F896" s="266"/>
      <c r="G896" s="113"/>
      <c r="K896" s="36"/>
      <c r="L896" s="117"/>
      <c r="M896" s="128"/>
      <c r="N896" s="117"/>
      <c r="R896" s="117"/>
      <c r="T896" s="117"/>
      <c r="V896" s="117"/>
      <c r="X896" s="117"/>
      <c r="Y896" s="10"/>
      <c r="Z896" s="11"/>
      <c r="AA896" s="36"/>
      <c r="AB896" s="36"/>
      <c r="AC896" s="13"/>
      <c r="AD896" s="13"/>
      <c r="AE896" s="37"/>
      <c r="AF896" s="37"/>
      <c r="AG896" s="14"/>
      <c r="AH896" s="14"/>
      <c r="AI896" s="14"/>
      <c r="AZ896" s="24"/>
    </row>
    <row r="897">
      <c r="B897" s="24"/>
      <c r="E897" s="113"/>
      <c r="F897" s="266"/>
      <c r="G897" s="113"/>
      <c r="K897" s="36"/>
      <c r="L897" s="117"/>
      <c r="M897" s="128"/>
      <c r="N897" s="117"/>
      <c r="R897" s="117"/>
      <c r="T897" s="117"/>
      <c r="V897" s="117"/>
      <c r="X897" s="117"/>
      <c r="Y897" s="10"/>
      <c r="Z897" s="11"/>
      <c r="AA897" s="36"/>
      <c r="AB897" s="36"/>
      <c r="AC897" s="13"/>
      <c r="AD897" s="13"/>
      <c r="AE897" s="37"/>
      <c r="AF897" s="37"/>
      <c r="AG897" s="14"/>
      <c r="AH897" s="14"/>
      <c r="AI897" s="14"/>
      <c r="AZ897" s="24"/>
    </row>
    <row r="898">
      <c r="B898" s="24"/>
      <c r="E898" s="113"/>
      <c r="F898" s="266"/>
      <c r="G898" s="113"/>
      <c r="K898" s="36"/>
      <c r="L898" s="117"/>
      <c r="M898" s="128"/>
      <c r="N898" s="117"/>
      <c r="R898" s="117"/>
      <c r="T898" s="117"/>
      <c r="V898" s="117"/>
      <c r="X898" s="117"/>
      <c r="Y898" s="10"/>
      <c r="Z898" s="11"/>
      <c r="AA898" s="36"/>
      <c r="AB898" s="36"/>
      <c r="AC898" s="13"/>
      <c r="AD898" s="13"/>
      <c r="AE898" s="37"/>
      <c r="AF898" s="37"/>
      <c r="AG898" s="14"/>
      <c r="AH898" s="14"/>
      <c r="AI898" s="14"/>
      <c r="AZ898" s="24"/>
    </row>
    <row r="899">
      <c r="B899" s="24"/>
      <c r="E899" s="113"/>
      <c r="F899" s="266"/>
      <c r="G899" s="113"/>
      <c r="K899" s="36"/>
      <c r="L899" s="117"/>
      <c r="M899" s="128"/>
      <c r="N899" s="117"/>
      <c r="R899" s="117"/>
      <c r="T899" s="117"/>
      <c r="V899" s="117"/>
      <c r="X899" s="117"/>
      <c r="Y899" s="10"/>
      <c r="Z899" s="11"/>
      <c r="AA899" s="36"/>
      <c r="AB899" s="36"/>
      <c r="AC899" s="13"/>
      <c r="AD899" s="13"/>
      <c r="AE899" s="37"/>
      <c r="AF899" s="37"/>
      <c r="AG899" s="14"/>
      <c r="AH899" s="14"/>
      <c r="AI899" s="14"/>
      <c r="AZ899" s="24"/>
    </row>
    <row r="900">
      <c r="B900" s="24"/>
      <c r="E900" s="113"/>
      <c r="F900" s="266"/>
      <c r="G900" s="113"/>
      <c r="K900" s="36"/>
      <c r="L900" s="117"/>
      <c r="M900" s="128"/>
      <c r="N900" s="117"/>
      <c r="R900" s="117"/>
      <c r="T900" s="117"/>
      <c r="V900" s="117"/>
      <c r="X900" s="117"/>
      <c r="Y900" s="10"/>
      <c r="Z900" s="11"/>
      <c r="AA900" s="36"/>
      <c r="AB900" s="36"/>
      <c r="AC900" s="13"/>
      <c r="AD900" s="13"/>
      <c r="AE900" s="37"/>
      <c r="AF900" s="37"/>
      <c r="AG900" s="14"/>
      <c r="AH900" s="14"/>
      <c r="AI900" s="14"/>
      <c r="AZ900" s="24"/>
    </row>
    <row r="901">
      <c r="B901" s="24"/>
      <c r="E901" s="113"/>
      <c r="F901" s="266"/>
      <c r="G901" s="113"/>
      <c r="K901" s="36"/>
      <c r="L901" s="117"/>
      <c r="M901" s="128"/>
      <c r="N901" s="117"/>
      <c r="R901" s="117"/>
      <c r="T901" s="117"/>
      <c r="V901" s="117"/>
      <c r="X901" s="117"/>
      <c r="Y901" s="10"/>
      <c r="Z901" s="11"/>
      <c r="AA901" s="36"/>
      <c r="AB901" s="36"/>
      <c r="AC901" s="13"/>
      <c r="AD901" s="13"/>
      <c r="AE901" s="37"/>
      <c r="AF901" s="37"/>
      <c r="AG901" s="14"/>
      <c r="AH901" s="14"/>
      <c r="AI901" s="14"/>
      <c r="AZ901" s="24"/>
    </row>
    <row r="902">
      <c r="B902" s="24"/>
      <c r="E902" s="113"/>
      <c r="F902" s="266"/>
      <c r="G902" s="113"/>
      <c r="K902" s="36"/>
      <c r="L902" s="117"/>
      <c r="M902" s="128"/>
      <c r="N902" s="117"/>
      <c r="R902" s="117"/>
      <c r="T902" s="117"/>
      <c r="V902" s="117"/>
      <c r="X902" s="117"/>
      <c r="Y902" s="10"/>
      <c r="Z902" s="11"/>
      <c r="AA902" s="36"/>
      <c r="AB902" s="36"/>
      <c r="AC902" s="13"/>
      <c r="AD902" s="13"/>
      <c r="AE902" s="37"/>
      <c r="AF902" s="37"/>
      <c r="AG902" s="14"/>
      <c r="AH902" s="14"/>
      <c r="AI902" s="14"/>
      <c r="AZ902" s="24"/>
    </row>
    <row r="903">
      <c r="B903" s="24"/>
      <c r="E903" s="113"/>
      <c r="F903" s="266"/>
      <c r="G903" s="113"/>
      <c r="K903" s="36"/>
      <c r="L903" s="117"/>
      <c r="M903" s="128"/>
      <c r="N903" s="117"/>
      <c r="R903" s="117"/>
      <c r="T903" s="117"/>
      <c r="V903" s="117"/>
      <c r="X903" s="117"/>
      <c r="Y903" s="10"/>
      <c r="Z903" s="11"/>
      <c r="AA903" s="36"/>
      <c r="AB903" s="36"/>
      <c r="AC903" s="13"/>
      <c r="AD903" s="13"/>
      <c r="AE903" s="37"/>
      <c r="AF903" s="37"/>
      <c r="AG903" s="14"/>
      <c r="AH903" s="14"/>
      <c r="AI903" s="14"/>
      <c r="AZ903" s="24"/>
    </row>
    <row r="904">
      <c r="B904" s="24"/>
      <c r="E904" s="113"/>
      <c r="F904" s="266"/>
      <c r="G904" s="113"/>
      <c r="K904" s="36"/>
      <c r="L904" s="117"/>
      <c r="M904" s="128"/>
      <c r="N904" s="117"/>
      <c r="R904" s="117"/>
      <c r="T904" s="117"/>
      <c r="V904" s="117"/>
      <c r="X904" s="117"/>
      <c r="Y904" s="10"/>
      <c r="Z904" s="11"/>
      <c r="AA904" s="36"/>
      <c r="AB904" s="36"/>
      <c r="AC904" s="13"/>
      <c r="AD904" s="13"/>
      <c r="AE904" s="37"/>
      <c r="AF904" s="37"/>
      <c r="AG904" s="14"/>
      <c r="AH904" s="14"/>
      <c r="AI904" s="14"/>
      <c r="AZ904" s="24"/>
    </row>
    <row r="905">
      <c r="B905" s="24"/>
      <c r="E905" s="113"/>
      <c r="F905" s="266"/>
      <c r="G905" s="113"/>
      <c r="K905" s="36"/>
      <c r="L905" s="117"/>
      <c r="M905" s="128"/>
      <c r="N905" s="117"/>
      <c r="R905" s="117"/>
      <c r="T905" s="117"/>
      <c r="V905" s="117"/>
      <c r="X905" s="117"/>
      <c r="Y905" s="10"/>
      <c r="Z905" s="11"/>
      <c r="AA905" s="36"/>
      <c r="AB905" s="36"/>
      <c r="AC905" s="13"/>
      <c r="AD905" s="13"/>
      <c r="AE905" s="37"/>
      <c r="AF905" s="37"/>
      <c r="AG905" s="14"/>
      <c r="AH905" s="14"/>
      <c r="AI905" s="14"/>
      <c r="AZ905" s="24"/>
    </row>
    <row r="906">
      <c r="B906" s="24"/>
      <c r="E906" s="113"/>
      <c r="F906" s="266"/>
      <c r="G906" s="113"/>
      <c r="K906" s="36"/>
      <c r="L906" s="117"/>
      <c r="M906" s="128"/>
      <c r="N906" s="117"/>
      <c r="R906" s="117"/>
      <c r="T906" s="117"/>
      <c r="V906" s="117"/>
      <c r="X906" s="117"/>
      <c r="Y906" s="10"/>
      <c r="Z906" s="11"/>
      <c r="AA906" s="36"/>
      <c r="AB906" s="36"/>
      <c r="AC906" s="13"/>
      <c r="AD906" s="13"/>
      <c r="AE906" s="37"/>
      <c r="AF906" s="37"/>
      <c r="AG906" s="14"/>
      <c r="AH906" s="14"/>
      <c r="AI906" s="14"/>
      <c r="AZ906" s="24"/>
    </row>
    <row r="907">
      <c r="B907" s="24"/>
      <c r="E907" s="113"/>
      <c r="F907" s="266"/>
      <c r="G907" s="113"/>
      <c r="K907" s="36"/>
      <c r="L907" s="117"/>
      <c r="M907" s="128"/>
      <c r="N907" s="117"/>
      <c r="R907" s="117"/>
      <c r="T907" s="117"/>
      <c r="V907" s="117"/>
      <c r="X907" s="117"/>
      <c r="Y907" s="10"/>
      <c r="Z907" s="11"/>
      <c r="AA907" s="36"/>
      <c r="AB907" s="36"/>
      <c r="AC907" s="13"/>
      <c r="AD907" s="13"/>
      <c r="AE907" s="37"/>
      <c r="AF907" s="37"/>
      <c r="AG907" s="14"/>
      <c r="AH907" s="14"/>
      <c r="AI907" s="14"/>
      <c r="AZ907" s="24"/>
    </row>
    <row r="908">
      <c r="B908" s="24"/>
      <c r="E908" s="113"/>
      <c r="F908" s="266"/>
      <c r="G908" s="113"/>
      <c r="K908" s="36"/>
      <c r="L908" s="117"/>
      <c r="M908" s="128"/>
      <c r="N908" s="117"/>
      <c r="R908" s="117"/>
      <c r="T908" s="117"/>
      <c r="V908" s="117"/>
      <c r="X908" s="117"/>
      <c r="Y908" s="10"/>
      <c r="Z908" s="11"/>
      <c r="AA908" s="36"/>
      <c r="AB908" s="36"/>
      <c r="AC908" s="13"/>
      <c r="AD908" s="13"/>
      <c r="AE908" s="37"/>
      <c r="AF908" s="37"/>
      <c r="AG908" s="14"/>
      <c r="AH908" s="14"/>
      <c r="AI908" s="14"/>
      <c r="AZ908" s="24"/>
    </row>
    <row r="909">
      <c r="B909" s="24"/>
      <c r="E909" s="113"/>
      <c r="F909" s="266"/>
      <c r="G909" s="113"/>
      <c r="K909" s="36"/>
      <c r="L909" s="117"/>
      <c r="M909" s="128"/>
      <c r="N909" s="117"/>
      <c r="R909" s="117"/>
      <c r="T909" s="117"/>
      <c r="V909" s="117"/>
      <c r="X909" s="117"/>
      <c r="Y909" s="10"/>
      <c r="Z909" s="11"/>
      <c r="AA909" s="36"/>
      <c r="AB909" s="36"/>
      <c r="AC909" s="13"/>
      <c r="AD909" s="13"/>
      <c r="AE909" s="37"/>
      <c r="AF909" s="37"/>
      <c r="AG909" s="14"/>
      <c r="AH909" s="14"/>
      <c r="AI909" s="14"/>
      <c r="AZ909" s="24"/>
    </row>
    <row r="910">
      <c r="B910" s="24"/>
      <c r="E910" s="113"/>
      <c r="F910" s="266"/>
      <c r="G910" s="113"/>
      <c r="K910" s="36"/>
      <c r="L910" s="117"/>
      <c r="M910" s="128"/>
      <c r="N910" s="117"/>
      <c r="R910" s="117"/>
      <c r="T910" s="117"/>
      <c r="V910" s="117"/>
      <c r="X910" s="117"/>
      <c r="Y910" s="10"/>
      <c r="Z910" s="11"/>
      <c r="AA910" s="36"/>
      <c r="AB910" s="36"/>
      <c r="AC910" s="13"/>
      <c r="AD910" s="13"/>
      <c r="AE910" s="37"/>
      <c r="AF910" s="37"/>
      <c r="AG910" s="14"/>
      <c r="AH910" s="14"/>
      <c r="AI910" s="14"/>
      <c r="AZ910" s="24"/>
    </row>
    <row r="911">
      <c r="B911" s="24"/>
      <c r="E911" s="113"/>
      <c r="F911" s="266"/>
      <c r="G911" s="113"/>
      <c r="K911" s="36"/>
      <c r="L911" s="117"/>
      <c r="M911" s="128"/>
      <c r="N911" s="117"/>
      <c r="R911" s="117"/>
      <c r="T911" s="117"/>
      <c r="V911" s="117"/>
      <c r="X911" s="117"/>
      <c r="Y911" s="10"/>
      <c r="Z911" s="11"/>
      <c r="AA911" s="36"/>
      <c r="AB911" s="36"/>
      <c r="AC911" s="13"/>
      <c r="AD911" s="13"/>
      <c r="AE911" s="37"/>
      <c r="AF911" s="37"/>
      <c r="AG911" s="14"/>
      <c r="AH911" s="14"/>
      <c r="AI911" s="14"/>
      <c r="AZ911" s="24"/>
    </row>
    <row r="912">
      <c r="B912" s="24"/>
      <c r="E912" s="113"/>
      <c r="F912" s="266"/>
      <c r="G912" s="113"/>
      <c r="K912" s="36"/>
      <c r="L912" s="117"/>
      <c r="M912" s="128"/>
      <c r="N912" s="117"/>
      <c r="R912" s="117"/>
      <c r="T912" s="117"/>
      <c r="V912" s="117"/>
      <c r="X912" s="117"/>
      <c r="Y912" s="10"/>
      <c r="Z912" s="11"/>
      <c r="AA912" s="36"/>
      <c r="AB912" s="36"/>
      <c r="AC912" s="13"/>
      <c r="AD912" s="13"/>
      <c r="AE912" s="37"/>
      <c r="AF912" s="37"/>
      <c r="AG912" s="14"/>
      <c r="AH912" s="14"/>
      <c r="AI912" s="14"/>
      <c r="AZ912" s="24"/>
    </row>
    <row r="913">
      <c r="B913" s="24"/>
      <c r="E913" s="113"/>
      <c r="F913" s="266"/>
      <c r="G913" s="113"/>
      <c r="K913" s="36"/>
      <c r="L913" s="117"/>
      <c r="M913" s="128"/>
      <c r="N913" s="117"/>
      <c r="R913" s="117"/>
      <c r="T913" s="117"/>
      <c r="V913" s="117"/>
      <c r="X913" s="117"/>
      <c r="Y913" s="10"/>
      <c r="Z913" s="11"/>
      <c r="AA913" s="36"/>
      <c r="AB913" s="36"/>
      <c r="AC913" s="13"/>
      <c r="AD913" s="13"/>
      <c r="AE913" s="37"/>
      <c r="AF913" s="37"/>
      <c r="AG913" s="14"/>
      <c r="AH913" s="14"/>
      <c r="AI913" s="14"/>
      <c r="AZ913" s="24"/>
    </row>
    <row r="914">
      <c r="B914" s="24"/>
      <c r="E914" s="113"/>
      <c r="F914" s="266"/>
      <c r="G914" s="113"/>
      <c r="K914" s="36"/>
      <c r="L914" s="117"/>
      <c r="M914" s="128"/>
      <c r="N914" s="117"/>
      <c r="R914" s="117"/>
      <c r="T914" s="117"/>
      <c r="V914" s="117"/>
      <c r="X914" s="117"/>
      <c r="Y914" s="10"/>
      <c r="Z914" s="11"/>
      <c r="AA914" s="36"/>
      <c r="AB914" s="36"/>
      <c r="AC914" s="13"/>
      <c r="AD914" s="13"/>
      <c r="AE914" s="37"/>
      <c r="AF914" s="37"/>
      <c r="AG914" s="14"/>
      <c r="AH914" s="14"/>
      <c r="AI914" s="14"/>
      <c r="AZ914" s="24"/>
    </row>
    <row r="915">
      <c r="B915" s="24"/>
      <c r="E915" s="113"/>
      <c r="F915" s="266"/>
      <c r="G915" s="113"/>
      <c r="K915" s="36"/>
      <c r="L915" s="117"/>
      <c r="M915" s="128"/>
      <c r="N915" s="117"/>
      <c r="R915" s="117"/>
      <c r="T915" s="117"/>
      <c r="V915" s="117"/>
      <c r="X915" s="117"/>
      <c r="Y915" s="10"/>
      <c r="Z915" s="11"/>
      <c r="AA915" s="36"/>
      <c r="AB915" s="36"/>
      <c r="AC915" s="13"/>
      <c r="AD915" s="13"/>
      <c r="AE915" s="37"/>
      <c r="AF915" s="37"/>
      <c r="AG915" s="14"/>
      <c r="AH915" s="14"/>
      <c r="AI915" s="14"/>
      <c r="AZ915" s="24"/>
    </row>
    <row r="916">
      <c r="B916" s="24"/>
      <c r="E916" s="113"/>
      <c r="F916" s="266"/>
      <c r="G916" s="113"/>
      <c r="K916" s="36"/>
      <c r="L916" s="117"/>
      <c r="M916" s="128"/>
      <c r="N916" s="117"/>
      <c r="R916" s="117"/>
      <c r="T916" s="117"/>
      <c r="V916" s="117"/>
      <c r="X916" s="117"/>
      <c r="Y916" s="10"/>
      <c r="Z916" s="11"/>
      <c r="AA916" s="36"/>
      <c r="AB916" s="36"/>
      <c r="AC916" s="13"/>
      <c r="AD916" s="13"/>
      <c r="AE916" s="37"/>
      <c r="AF916" s="37"/>
      <c r="AG916" s="14"/>
      <c r="AH916" s="14"/>
      <c r="AI916" s="14"/>
      <c r="AZ916" s="24"/>
    </row>
    <row r="917">
      <c r="B917" s="24"/>
      <c r="E917" s="113"/>
      <c r="F917" s="266"/>
      <c r="G917" s="113"/>
      <c r="K917" s="36"/>
      <c r="L917" s="117"/>
      <c r="M917" s="128"/>
      <c r="N917" s="117"/>
      <c r="R917" s="117"/>
      <c r="T917" s="117"/>
      <c r="V917" s="117"/>
      <c r="X917" s="117"/>
      <c r="Y917" s="10"/>
      <c r="Z917" s="11"/>
      <c r="AA917" s="36"/>
      <c r="AB917" s="36"/>
      <c r="AC917" s="13"/>
      <c r="AD917" s="13"/>
      <c r="AE917" s="37"/>
      <c r="AF917" s="37"/>
      <c r="AG917" s="14"/>
      <c r="AH917" s="14"/>
      <c r="AI917" s="14"/>
      <c r="AZ917" s="24"/>
    </row>
    <row r="918">
      <c r="B918" s="24"/>
      <c r="E918" s="113"/>
      <c r="F918" s="266"/>
      <c r="G918" s="113"/>
      <c r="K918" s="36"/>
      <c r="L918" s="117"/>
      <c r="M918" s="128"/>
      <c r="N918" s="117"/>
      <c r="R918" s="117"/>
      <c r="T918" s="117"/>
      <c r="V918" s="117"/>
      <c r="X918" s="117"/>
      <c r="Y918" s="10"/>
      <c r="Z918" s="11"/>
      <c r="AA918" s="36"/>
      <c r="AB918" s="36"/>
      <c r="AC918" s="13"/>
      <c r="AD918" s="13"/>
      <c r="AE918" s="37"/>
      <c r="AF918" s="37"/>
      <c r="AG918" s="14"/>
      <c r="AH918" s="14"/>
      <c r="AI918" s="14"/>
      <c r="AZ918" s="24"/>
    </row>
    <row r="919">
      <c r="B919" s="24"/>
      <c r="E919" s="113"/>
      <c r="F919" s="266"/>
      <c r="G919" s="113"/>
      <c r="K919" s="36"/>
      <c r="L919" s="117"/>
      <c r="M919" s="128"/>
      <c r="N919" s="117"/>
      <c r="R919" s="117"/>
      <c r="T919" s="117"/>
      <c r="V919" s="117"/>
      <c r="X919" s="117"/>
      <c r="Y919" s="10"/>
      <c r="Z919" s="11"/>
      <c r="AA919" s="36"/>
      <c r="AB919" s="36"/>
      <c r="AC919" s="13"/>
      <c r="AD919" s="13"/>
      <c r="AE919" s="37"/>
      <c r="AF919" s="37"/>
      <c r="AG919" s="14"/>
      <c r="AH919" s="14"/>
      <c r="AI919" s="14"/>
      <c r="AZ919" s="24"/>
    </row>
    <row r="920">
      <c r="B920" s="24"/>
      <c r="E920" s="113"/>
      <c r="F920" s="266"/>
      <c r="G920" s="113"/>
      <c r="K920" s="36"/>
      <c r="L920" s="117"/>
      <c r="M920" s="128"/>
      <c r="N920" s="117"/>
      <c r="R920" s="117"/>
      <c r="T920" s="117"/>
      <c r="V920" s="117"/>
      <c r="X920" s="117"/>
      <c r="Y920" s="10"/>
      <c r="Z920" s="11"/>
      <c r="AA920" s="36"/>
      <c r="AB920" s="36"/>
      <c r="AC920" s="13"/>
      <c r="AD920" s="13"/>
      <c r="AE920" s="37"/>
      <c r="AF920" s="37"/>
      <c r="AG920" s="14"/>
      <c r="AH920" s="14"/>
      <c r="AI920" s="14"/>
      <c r="AZ920" s="24"/>
    </row>
    <row r="921">
      <c r="B921" s="24"/>
      <c r="E921" s="113"/>
      <c r="F921" s="266"/>
      <c r="G921" s="113"/>
      <c r="K921" s="36"/>
      <c r="L921" s="117"/>
      <c r="M921" s="128"/>
      <c r="N921" s="117"/>
      <c r="R921" s="117"/>
      <c r="T921" s="117"/>
      <c r="V921" s="117"/>
      <c r="X921" s="117"/>
      <c r="Y921" s="10"/>
      <c r="Z921" s="11"/>
      <c r="AA921" s="36"/>
      <c r="AB921" s="36"/>
      <c r="AC921" s="13"/>
      <c r="AD921" s="13"/>
      <c r="AE921" s="37"/>
      <c r="AF921" s="37"/>
      <c r="AG921" s="14"/>
      <c r="AH921" s="14"/>
      <c r="AI921" s="14"/>
      <c r="AZ921" s="24"/>
    </row>
    <row r="922">
      <c r="B922" s="24"/>
      <c r="E922" s="113"/>
      <c r="F922" s="266"/>
      <c r="G922" s="113"/>
      <c r="K922" s="36"/>
      <c r="L922" s="117"/>
      <c r="M922" s="128"/>
      <c r="N922" s="117"/>
      <c r="R922" s="117"/>
      <c r="T922" s="117"/>
      <c r="V922" s="117"/>
      <c r="X922" s="117"/>
      <c r="Y922" s="10"/>
      <c r="Z922" s="11"/>
      <c r="AA922" s="36"/>
      <c r="AB922" s="36"/>
      <c r="AC922" s="13"/>
      <c r="AD922" s="13"/>
      <c r="AE922" s="37"/>
      <c r="AF922" s="37"/>
      <c r="AG922" s="14"/>
      <c r="AH922" s="14"/>
      <c r="AI922" s="14"/>
      <c r="AZ922" s="24"/>
    </row>
    <row r="923">
      <c r="B923" s="24"/>
      <c r="E923" s="113"/>
      <c r="F923" s="266"/>
      <c r="G923" s="113"/>
      <c r="K923" s="36"/>
      <c r="L923" s="117"/>
      <c r="M923" s="128"/>
      <c r="N923" s="117"/>
      <c r="R923" s="117"/>
      <c r="T923" s="117"/>
      <c r="V923" s="117"/>
      <c r="X923" s="117"/>
      <c r="Y923" s="10"/>
      <c r="Z923" s="11"/>
      <c r="AA923" s="36"/>
      <c r="AB923" s="36"/>
      <c r="AC923" s="13"/>
      <c r="AD923" s="13"/>
      <c r="AE923" s="37"/>
      <c r="AF923" s="37"/>
      <c r="AG923" s="14"/>
      <c r="AH923" s="14"/>
      <c r="AI923" s="14"/>
      <c r="AZ923" s="24"/>
    </row>
    <row r="924">
      <c r="B924" s="24"/>
      <c r="E924" s="113"/>
      <c r="F924" s="266"/>
      <c r="G924" s="113"/>
      <c r="K924" s="36"/>
      <c r="L924" s="117"/>
      <c r="M924" s="128"/>
      <c r="N924" s="117"/>
      <c r="R924" s="117"/>
      <c r="T924" s="117"/>
      <c r="V924" s="117"/>
      <c r="X924" s="117"/>
      <c r="Y924" s="10"/>
      <c r="Z924" s="11"/>
      <c r="AA924" s="36"/>
      <c r="AB924" s="36"/>
      <c r="AC924" s="13"/>
      <c r="AD924" s="13"/>
      <c r="AE924" s="37"/>
      <c r="AF924" s="37"/>
      <c r="AG924" s="14"/>
      <c r="AH924" s="14"/>
      <c r="AI924" s="14"/>
      <c r="AZ924" s="24"/>
    </row>
    <row r="925">
      <c r="B925" s="24"/>
      <c r="E925" s="113"/>
      <c r="F925" s="266"/>
      <c r="G925" s="113"/>
      <c r="K925" s="36"/>
      <c r="L925" s="117"/>
      <c r="M925" s="128"/>
      <c r="N925" s="117"/>
      <c r="R925" s="117"/>
      <c r="T925" s="117"/>
      <c r="V925" s="117"/>
      <c r="X925" s="117"/>
      <c r="Y925" s="10"/>
      <c r="Z925" s="11"/>
      <c r="AA925" s="36"/>
      <c r="AB925" s="36"/>
      <c r="AC925" s="13"/>
      <c r="AD925" s="13"/>
      <c r="AE925" s="37"/>
      <c r="AF925" s="37"/>
      <c r="AG925" s="14"/>
      <c r="AH925" s="14"/>
      <c r="AI925" s="14"/>
      <c r="AZ925" s="24"/>
    </row>
    <row r="926">
      <c r="B926" s="24"/>
      <c r="E926" s="113"/>
      <c r="F926" s="266"/>
      <c r="G926" s="113"/>
      <c r="K926" s="36"/>
      <c r="L926" s="117"/>
      <c r="M926" s="128"/>
      <c r="N926" s="117"/>
      <c r="R926" s="117"/>
      <c r="T926" s="117"/>
      <c r="V926" s="117"/>
      <c r="X926" s="117"/>
      <c r="Y926" s="10"/>
      <c r="Z926" s="11"/>
      <c r="AA926" s="36"/>
      <c r="AB926" s="36"/>
      <c r="AC926" s="13"/>
      <c r="AD926" s="13"/>
      <c r="AE926" s="37"/>
      <c r="AF926" s="37"/>
      <c r="AG926" s="14"/>
      <c r="AH926" s="14"/>
      <c r="AI926" s="14"/>
      <c r="AZ926" s="24"/>
    </row>
    <row r="927">
      <c r="B927" s="24"/>
      <c r="E927" s="113"/>
      <c r="F927" s="266"/>
      <c r="G927" s="113"/>
      <c r="K927" s="36"/>
      <c r="L927" s="117"/>
      <c r="M927" s="128"/>
      <c r="N927" s="117"/>
      <c r="R927" s="117"/>
      <c r="T927" s="117"/>
      <c r="V927" s="117"/>
      <c r="X927" s="117"/>
      <c r="Y927" s="10"/>
      <c r="Z927" s="11"/>
      <c r="AA927" s="36"/>
      <c r="AB927" s="36"/>
      <c r="AC927" s="13"/>
      <c r="AD927" s="13"/>
      <c r="AE927" s="37"/>
      <c r="AF927" s="37"/>
      <c r="AG927" s="14"/>
      <c r="AH927" s="14"/>
      <c r="AI927" s="14"/>
      <c r="AZ927" s="24"/>
    </row>
    <row r="928">
      <c r="B928" s="24"/>
      <c r="E928" s="113"/>
      <c r="F928" s="266"/>
      <c r="G928" s="113"/>
      <c r="K928" s="36"/>
      <c r="L928" s="117"/>
      <c r="M928" s="128"/>
      <c r="N928" s="117"/>
      <c r="R928" s="117"/>
      <c r="T928" s="117"/>
      <c r="V928" s="117"/>
      <c r="X928" s="117"/>
      <c r="Y928" s="10"/>
      <c r="Z928" s="11"/>
      <c r="AA928" s="36"/>
      <c r="AB928" s="36"/>
      <c r="AC928" s="13"/>
      <c r="AD928" s="13"/>
      <c r="AE928" s="37"/>
      <c r="AF928" s="37"/>
      <c r="AG928" s="14"/>
      <c r="AH928" s="14"/>
      <c r="AI928" s="14"/>
      <c r="AZ928" s="24"/>
    </row>
    <row r="929">
      <c r="B929" s="24"/>
      <c r="E929" s="113"/>
      <c r="F929" s="266"/>
      <c r="G929" s="113"/>
      <c r="K929" s="36"/>
      <c r="L929" s="117"/>
      <c r="M929" s="128"/>
      <c r="N929" s="117"/>
      <c r="R929" s="117"/>
      <c r="T929" s="117"/>
      <c r="V929" s="117"/>
      <c r="X929" s="117"/>
      <c r="Y929" s="10"/>
      <c r="Z929" s="11"/>
      <c r="AA929" s="36"/>
      <c r="AB929" s="36"/>
      <c r="AC929" s="13"/>
      <c r="AD929" s="13"/>
      <c r="AE929" s="37"/>
      <c r="AF929" s="37"/>
      <c r="AG929" s="14"/>
      <c r="AH929" s="14"/>
      <c r="AI929" s="14"/>
      <c r="AZ929" s="24"/>
    </row>
    <row r="930">
      <c r="B930" s="24"/>
      <c r="E930" s="113"/>
      <c r="F930" s="266"/>
      <c r="G930" s="113"/>
      <c r="K930" s="36"/>
      <c r="L930" s="117"/>
      <c r="M930" s="128"/>
      <c r="N930" s="117"/>
      <c r="R930" s="117"/>
      <c r="T930" s="117"/>
      <c r="V930" s="117"/>
      <c r="X930" s="117"/>
      <c r="Y930" s="10"/>
      <c r="Z930" s="11"/>
      <c r="AA930" s="36"/>
      <c r="AB930" s="36"/>
      <c r="AC930" s="13"/>
      <c r="AD930" s="13"/>
      <c r="AE930" s="37"/>
      <c r="AF930" s="37"/>
      <c r="AG930" s="14"/>
      <c r="AH930" s="14"/>
      <c r="AI930" s="14"/>
      <c r="AZ930" s="24"/>
    </row>
    <row r="931">
      <c r="B931" s="24"/>
      <c r="E931" s="113"/>
      <c r="F931" s="266"/>
      <c r="G931" s="113"/>
      <c r="K931" s="36"/>
      <c r="L931" s="117"/>
      <c r="M931" s="128"/>
      <c r="N931" s="117"/>
      <c r="R931" s="117"/>
      <c r="T931" s="117"/>
      <c r="V931" s="117"/>
      <c r="X931" s="117"/>
      <c r="Y931" s="10"/>
      <c r="Z931" s="11"/>
      <c r="AA931" s="36"/>
      <c r="AB931" s="36"/>
      <c r="AC931" s="13"/>
      <c r="AD931" s="13"/>
      <c r="AE931" s="37"/>
      <c r="AF931" s="37"/>
      <c r="AG931" s="14"/>
      <c r="AH931" s="14"/>
      <c r="AI931" s="14"/>
      <c r="AZ931" s="24"/>
    </row>
    <row r="932">
      <c r="B932" s="24"/>
      <c r="E932" s="113"/>
      <c r="F932" s="266"/>
      <c r="G932" s="113"/>
      <c r="K932" s="36"/>
      <c r="L932" s="117"/>
      <c r="M932" s="128"/>
      <c r="N932" s="117"/>
      <c r="R932" s="117"/>
      <c r="T932" s="117"/>
      <c r="V932" s="117"/>
      <c r="X932" s="117"/>
      <c r="Y932" s="10"/>
      <c r="Z932" s="11"/>
      <c r="AA932" s="36"/>
      <c r="AB932" s="36"/>
      <c r="AC932" s="13"/>
      <c r="AD932" s="13"/>
      <c r="AE932" s="37"/>
      <c r="AF932" s="37"/>
      <c r="AG932" s="14"/>
      <c r="AH932" s="14"/>
      <c r="AI932" s="14"/>
      <c r="AZ932" s="24"/>
    </row>
    <row r="933">
      <c r="B933" s="24"/>
      <c r="E933" s="113"/>
      <c r="F933" s="266"/>
      <c r="G933" s="113"/>
      <c r="K933" s="36"/>
      <c r="L933" s="117"/>
      <c r="M933" s="128"/>
      <c r="N933" s="117"/>
      <c r="R933" s="117"/>
      <c r="T933" s="117"/>
      <c r="V933" s="117"/>
      <c r="X933" s="117"/>
      <c r="Y933" s="10"/>
      <c r="Z933" s="11"/>
      <c r="AA933" s="36"/>
      <c r="AB933" s="36"/>
      <c r="AC933" s="13"/>
      <c r="AD933" s="13"/>
      <c r="AE933" s="37"/>
      <c r="AF933" s="37"/>
      <c r="AG933" s="14"/>
      <c r="AH933" s="14"/>
      <c r="AI933" s="14"/>
      <c r="AZ933" s="24"/>
    </row>
    <row r="934">
      <c r="B934" s="24"/>
      <c r="E934" s="113"/>
      <c r="F934" s="266"/>
      <c r="G934" s="113"/>
      <c r="K934" s="36"/>
      <c r="L934" s="117"/>
      <c r="M934" s="128"/>
      <c r="N934" s="117"/>
      <c r="R934" s="117"/>
      <c r="T934" s="117"/>
      <c r="V934" s="117"/>
      <c r="X934" s="117"/>
      <c r="Y934" s="10"/>
      <c r="Z934" s="11"/>
      <c r="AA934" s="36"/>
      <c r="AB934" s="36"/>
      <c r="AC934" s="13"/>
      <c r="AD934" s="13"/>
      <c r="AE934" s="37"/>
      <c r="AF934" s="37"/>
      <c r="AG934" s="14"/>
      <c r="AH934" s="14"/>
      <c r="AI934" s="14"/>
      <c r="AZ934" s="24"/>
    </row>
    <row r="935">
      <c r="B935" s="24"/>
      <c r="E935" s="113"/>
      <c r="F935" s="266"/>
      <c r="G935" s="113"/>
      <c r="K935" s="36"/>
      <c r="L935" s="117"/>
      <c r="M935" s="128"/>
      <c r="N935" s="117"/>
      <c r="R935" s="117"/>
      <c r="T935" s="117"/>
      <c r="V935" s="117"/>
      <c r="X935" s="117"/>
      <c r="Y935" s="10"/>
      <c r="Z935" s="11"/>
      <c r="AA935" s="36"/>
      <c r="AB935" s="36"/>
      <c r="AC935" s="13"/>
      <c r="AD935" s="13"/>
      <c r="AE935" s="37"/>
      <c r="AF935" s="37"/>
      <c r="AG935" s="14"/>
      <c r="AH935" s="14"/>
      <c r="AI935" s="14"/>
      <c r="AZ935" s="24"/>
    </row>
    <row r="936">
      <c r="B936" s="24"/>
      <c r="E936" s="113"/>
      <c r="F936" s="266"/>
      <c r="G936" s="113"/>
      <c r="K936" s="36"/>
      <c r="L936" s="117"/>
      <c r="M936" s="128"/>
      <c r="N936" s="117"/>
      <c r="R936" s="117"/>
      <c r="T936" s="117"/>
      <c r="V936" s="117"/>
      <c r="X936" s="117"/>
      <c r="Y936" s="10"/>
      <c r="Z936" s="11"/>
      <c r="AA936" s="36"/>
      <c r="AB936" s="36"/>
      <c r="AC936" s="13"/>
      <c r="AD936" s="13"/>
      <c r="AE936" s="37"/>
      <c r="AF936" s="37"/>
      <c r="AG936" s="14"/>
      <c r="AH936" s="14"/>
      <c r="AI936" s="14"/>
      <c r="AZ936" s="24"/>
    </row>
    <row r="937">
      <c r="B937" s="24"/>
      <c r="E937" s="113"/>
      <c r="F937" s="266"/>
      <c r="G937" s="113"/>
      <c r="K937" s="36"/>
      <c r="L937" s="117"/>
      <c r="M937" s="128"/>
      <c r="N937" s="117"/>
      <c r="R937" s="117"/>
      <c r="T937" s="117"/>
      <c r="V937" s="117"/>
      <c r="X937" s="117"/>
      <c r="Y937" s="10"/>
      <c r="Z937" s="11"/>
      <c r="AA937" s="36"/>
      <c r="AB937" s="36"/>
      <c r="AC937" s="13"/>
      <c r="AD937" s="13"/>
      <c r="AE937" s="37"/>
      <c r="AF937" s="37"/>
      <c r="AG937" s="14"/>
      <c r="AH937" s="14"/>
      <c r="AI937" s="14"/>
      <c r="AZ937" s="24"/>
    </row>
    <row r="938">
      <c r="B938" s="24"/>
      <c r="E938" s="113"/>
      <c r="F938" s="266"/>
      <c r="G938" s="113"/>
      <c r="K938" s="36"/>
      <c r="L938" s="117"/>
      <c r="M938" s="128"/>
      <c r="N938" s="117"/>
      <c r="R938" s="117"/>
      <c r="T938" s="117"/>
      <c r="V938" s="117"/>
      <c r="X938" s="117"/>
      <c r="Y938" s="10"/>
      <c r="Z938" s="11"/>
      <c r="AA938" s="36"/>
      <c r="AB938" s="36"/>
      <c r="AC938" s="13"/>
      <c r="AD938" s="13"/>
      <c r="AE938" s="37"/>
      <c r="AF938" s="37"/>
      <c r="AG938" s="14"/>
      <c r="AH938" s="14"/>
      <c r="AI938" s="14"/>
      <c r="AZ938" s="24"/>
    </row>
    <row r="939">
      <c r="B939" s="24"/>
      <c r="E939" s="113"/>
      <c r="F939" s="266"/>
      <c r="G939" s="113"/>
      <c r="K939" s="36"/>
      <c r="L939" s="117"/>
      <c r="M939" s="128"/>
      <c r="N939" s="117"/>
      <c r="R939" s="117"/>
      <c r="T939" s="117"/>
      <c r="V939" s="117"/>
      <c r="X939" s="117"/>
      <c r="Y939" s="10"/>
      <c r="Z939" s="11"/>
      <c r="AA939" s="36"/>
      <c r="AB939" s="36"/>
      <c r="AC939" s="13"/>
      <c r="AD939" s="13"/>
      <c r="AE939" s="37"/>
      <c r="AF939" s="37"/>
      <c r="AG939" s="14"/>
      <c r="AH939" s="14"/>
      <c r="AI939" s="14"/>
      <c r="AZ939" s="24"/>
    </row>
    <row r="940">
      <c r="B940" s="24"/>
      <c r="E940" s="113"/>
      <c r="F940" s="266"/>
      <c r="G940" s="113"/>
      <c r="K940" s="36"/>
      <c r="L940" s="117"/>
      <c r="M940" s="128"/>
      <c r="N940" s="117"/>
      <c r="R940" s="117"/>
      <c r="T940" s="117"/>
      <c r="V940" s="117"/>
      <c r="X940" s="117"/>
      <c r="Y940" s="10"/>
      <c r="Z940" s="11"/>
      <c r="AA940" s="36"/>
      <c r="AB940" s="36"/>
      <c r="AC940" s="13"/>
      <c r="AD940" s="13"/>
      <c r="AE940" s="37"/>
      <c r="AF940" s="37"/>
      <c r="AG940" s="14"/>
      <c r="AH940" s="14"/>
      <c r="AI940" s="14"/>
      <c r="AZ940" s="24"/>
    </row>
    <row r="941">
      <c r="B941" s="24"/>
      <c r="E941" s="113"/>
      <c r="F941" s="266"/>
      <c r="G941" s="113"/>
      <c r="K941" s="36"/>
      <c r="L941" s="117"/>
      <c r="M941" s="128"/>
      <c r="N941" s="117"/>
      <c r="R941" s="117"/>
      <c r="T941" s="117"/>
      <c r="V941" s="117"/>
      <c r="X941" s="117"/>
      <c r="Y941" s="10"/>
      <c r="Z941" s="11"/>
      <c r="AA941" s="36"/>
      <c r="AB941" s="36"/>
      <c r="AC941" s="13"/>
      <c r="AD941" s="13"/>
      <c r="AE941" s="37"/>
      <c r="AF941" s="37"/>
      <c r="AG941" s="14"/>
      <c r="AH941" s="14"/>
      <c r="AI941" s="14"/>
      <c r="AZ941" s="24"/>
    </row>
    <row r="942">
      <c r="B942" s="24"/>
      <c r="E942" s="113"/>
      <c r="F942" s="266"/>
      <c r="G942" s="113"/>
      <c r="K942" s="36"/>
      <c r="L942" s="117"/>
      <c r="M942" s="128"/>
      <c r="N942" s="117"/>
      <c r="R942" s="117"/>
      <c r="T942" s="117"/>
      <c r="V942" s="117"/>
      <c r="X942" s="117"/>
      <c r="Y942" s="10"/>
      <c r="Z942" s="11"/>
      <c r="AA942" s="36"/>
      <c r="AB942" s="36"/>
      <c r="AC942" s="13"/>
      <c r="AD942" s="13"/>
      <c r="AE942" s="37"/>
      <c r="AF942" s="37"/>
      <c r="AG942" s="14"/>
      <c r="AH942" s="14"/>
      <c r="AI942" s="14"/>
      <c r="AZ942" s="24"/>
    </row>
    <row r="943">
      <c r="B943" s="24"/>
      <c r="E943" s="113"/>
      <c r="F943" s="266"/>
      <c r="G943" s="113"/>
      <c r="K943" s="36"/>
      <c r="L943" s="117"/>
      <c r="M943" s="128"/>
      <c r="N943" s="117"/>
      <c r="R943" s="117"/>
      <c r="T943" s="117"/>
      <c r="V943" s="117"/>
      <c r="X943" s="117"/>
      <c r="Y943" s="10"/>
      <c r="Z943" s="11"/>
      <c r="AA943" s="36"/>
      <c r="AB943" s="36"/>
      <c r="AC943" s="13"/>
      <c r="AD943" s="13"/>
      <c r="AE943" s="37"/>
      <c r="AF943" s="37"/>
      <c r="AG943" s="14"/>
      <c r="AH943" s="14"/>
      <c r="AI943" s="14"/>
      <c r="AZ943" s="24"/>
    </row>
    <row r="944">
      <c r="B944" s="24"/>
      <c r="E944" s="113"/>
      <c r="F944" s="266"/>
      <c r="G944" s="113"/>
      <c r="K944" s="36"/>
      <c r="L944" s="117"/>
      <c r="M944" s="128"/>
      <c r="N944" s="117"/>
      <c r="R944" s="117"/>
      <c r="T944" s="117"/>
      <c r="V944" s="117"/>
      <c r="X944" s="117"/>
      <c r="Y944" s="10"/>
      <c r="Z944" s="11"/>
      <c r="AA944" s="36"/>
      <c r="AB944" s="36"/>
      <c r="AC944" s="13"/>
      <c r="AD944" s="13"/>
      <c r="AE944" s="37"/>
      <c r="AF944" s="37"/>
      <c r="AG944" s="14"/>
      <c r="AH944" s="14"/>
      <c r="AI944" s="14"/>
      <c r="AZ944" s="24"/>
    </row>
    <row r="945">
      <c r="B945" s="24"/>
      <c r="E945" s="113"/>
      <c r="F945" s="266"/>
      <c r="G945" s="113"/>
      <c r="K945" s="36"/>
      <c r="L945" s="117"/>
      <c r="M945" s="128"/>
      <c r="N945" s="117"/>
      <c r="R945" s="117"/>
      <c r="T945" s="117"/>
      <c r="V945" s="117"/>
      <c r="X945" s="117"/>
      <c r="Y945" s="10"/>
      <c r="Z945" s="11"/>
      <c r="AA945" s="36"/>
      <c r="AB945" s="36"/>
      <c r="AC945" s="13"/>
      <c r="AD945" s="13"/>
      <c r="AE945" s="37"/>
      <c r="AF945" s="37"/>
      <c r="AG945" s="14"/>
      <c r="AH945" s="14"/>
      <c r="AI945" s="14"/>
      <c r="AZ945" s="24"/>
    </row>
    <row r="946">
      <c r="B946" s="24"/>
      <c r="E946" s="113"/>
      <c r="F946" s="266"/>
      <c r="G946" s="113"/>
      <c r="K946" s="36"/>
      <c r="L946" s="117"/>
      <c r="M946" s="128"/>
      <c r="N946" s="117"/>
      <c r="R946" s="117"/>
      <c r="T946" s="117"/>
      <c r="V946" s="117"/>
      <c r="X946" s="117"/>
      <c r="Y946" s="10"/>
      <c r="Z946" s="11"/>
      <c r="AA946" s="36"/>
      <c r="AB946" s="36"/>
      <c r="AC946" s="13"/>
      <c r="AD946" s="13"/>
      <c r="AE946" s="37"/>
      <c r="AF946" s="37"/>
      <c r="AG946" s="14"/>
      <c r="AH946" s="14"/>
      <c r="AI946" s="14"/>
      <c r="AZ946" s="24"/>
    </row>
    <row r="947">
      <c r="B947" s="24"/>
      <c r="E947" s="113"/>
      <c r="F947" s="266"/>
      <c r="G947" s="113"/>
      <c r="K947" s="36"/>
      <c r="L947" s="117"/>
      <c r="M947" s="128"/>
      <c r="N947" s="117"/>
      <c r="R947" s="117"/>
      <c r="T947" s="117"/>
      <c r="V947" s="117"/>
      <c r="X947" s="117"/>
      <c r="Y947" s="10"/>
      <c r="Z947" s="11"/>
      <c r="AA947" s="36"/>
      <c r="AB947" s="36"/>
      <c r="AC947" s="13"/>
      <c r="AD947" s="13"/>
      <c r="AE947" s="37"/>
      <c r="AF947" s="37"/>
      <c r="AG947" s="14"/>
      <c r="AH947" s="14"/>
      <c r="AI947" s="14"/>
      <c r="AZ947" s="24"/>
    </row>
    <row r="948">
      <c r="B948" s="24"/>
      <c r="E948" s="113"/>
      <c r="F948" s="266"/>
      <c r="G948" s="113"/>
      <c r="K948" s="36"/>
      <c r="L948" s="117"/>
      <c r="M948" s="128"/>
      <c r="N948" s="117"/>
      <c r="R948" s="117"/>
      <c r="T948" s="117"/>
      <c r="V948" s="117"/>
      <c r="X948" s="117"/>
      <c r="Y948" s="10"/>
      <c r="Z948" s="11"/>
      <c r="AA948" s="36"/>
      <c r="AB948" s="36"/>
      <c r="AC948" s="13"/>
      <c r="AD948" s="13"/>
      <c r="AE948" s="37"/>
      <c r="AF948" s="37"/>
      <c r="AG948" s="14"/>
      <c r="AH948" s="14"/>
      <c r="AI948" s="14"/>
      <c r="AZ948" s="24"/>
    </row>
    <row r="949">
      <c r="B949" s="24"/>
      <c r="E949" s="113"/>
      <c r="F949" s="266"/>
      <c r="G949" s="113"/>
      <c r="K949" s="36"/>
      <c r="L949" s="117"/>
      <c r="M949" s="128"/>
      <c r="N949" s="117"/>
      <c r="R949" s="117"/>
      <c r="T949" s="117"/>
      <c r="V949" s="117"/>
      <c r="X949" s="117"/>
      <c r="Y949" s="10"/>
      <c r="Z949" s="11"/>
      <c r="AA949" s="36"/>
      <c r="AB949" s="36"/>
      <c r="AC949" s="13"/>
      <c r="AD949" s="13"/>
      <c r="AE949" s="37"/>
      <c r="AF949" s="37"/>
      <c r="AG949" s="14"/>
      <c r="AH949" s="14"/>
      <c r="AI949" s="14"/>
      <c r="AZ949" s="24"/>
    </row>
    <row r="950">
      <c r="B950" s="24"/>
      <c r="E950" s="113"/>
      <c r="F950" s="266"/>
      <c r="G950" s="113"/>
      <c r="K950" s="36"/>
      <c r="L950" s="117"/>
      <c r="M950" s="128"/>
      <c r="N950" s="117"/>
      <c r="R950" s="117"/>
      <c r="T950" s="117"/>
      <c r="V950" s="117"/>
      <c r="X950" s="117"/>
      <c r="Y950" s="10"/>
      <c r="Z950" s="11"/>
      <c r="AA950" s="36"/>
      <c r="AB950" s="36"/>
      <c r="AC950" s="13"/>
      <c r="AD950" s="13"/>
      <c r="AE950" s="37"/>
      <c r="AF950" s="37"/>
      <c r="AG950" s="14"/>
      <c r="AH950" s="14"/>
      <c r="AI950" s="14"/>
      <c r="AZ950" s="24"/>
    </row>
    <row r="951">
      <c r="B951" s="24"/>
      <c r="E951" s="113"/>
      <c r="F951" s="266"/>
      <c r="G951" s="113"/>
      <c r="K951" s="36"/>
      <c r="L951" s="117"/>
      <c r="M951" s="128"/>
      <c r="N951" s="117"/>
      <c r="R951" s="117"/>
      <c r="T951" s="117"/>
      <c r="V951" s="117"/>
      <c r="X951" s="117"/>
      <c r="Y951" s="10"/>
      <c r="Z951" s="11"/>
      <c r="AA951" s="36"/>
      <c r="AB951" s="36"/>
      <c r="AC951" s="13"/>
      <c r="AD951" s="13"/>
      <c r="AE951" s="37"/>
      <c r="AF951" s="37"/>
      <c r="AG951" s="14"/>
      <c r="AH951" s="14"/>
      <c r="AI951" s="14"/>
      <c r="AZ951" s="24"/>
    </row>
    <row r="952">
      <c r="B952" s="24"/>
      <c r="E952" s="113"/>
      <c r="F952" s="266"/>
      <c r="G952" s="113"/>
      <c r="K952" s="36"/>
      <c r="L952" s="117"/>
      <c r="M952" s="128"/>
      <c r="N952" s="117"/>
      <c r="R952" s="117"/>
      <c r="T952" s="117"/>
      <c r="V952" s="117"/>
      <c r="X952" s="117"/>
      <c r="Y952" s="10"/>
      <c r="Z952" s="11"/>
      <c r="AA952" s="36"/>
      <c r="AB952" s="36"/>
      <c r="AC952" s="13"/>
      <c r="AD952" s="13"/>
      <c r="AE952" s="37"/>
      <c r="AF952" s="37"/>
      <c r="AG952" s="14"/>
      <c r="AH952" s="14"/>
      <c r="AI952" s="14"/>
      <c r="AZ952" s="24"/>
    </row>
    <row r="953">
      <c r="B953" s="24"/>
      <c r="E953" s="113"/>
      <c r="F953" s="266"/>
      <c r="G953" s="113"/>
      <c r="K953" s="36"/>
      <c r="L953" s="117"/>
      <c r="M953" s="128"/>
      <c r="N953" s="117"/>
      <c r="R953" s="117"/>
      <c r="T953" s="117"/>
      <c r="V953" s="117"/>
      <c r="X953" s="117"/>
      <c r="Y953" s="10"/>
      <c r="Z953" s="11"/>
      <c r="AA953" s="36"/>
      <c r="AB953" s="36"/>
      <c r="AC953" s="13"/>
      <c r="AD953" s="13"/>
      <c r="AE953" s="37"/>
      <c r="AF953" s="37"/>
      <c r="AG953" s="14"/>
      <c r="AH953" s="14"/>
      <c r="AI953" s="14"/>
      <c r="AZ953" s="24"/>
    </row>
    <row r="954">
      <c r="B954" s="24"/>
      <c r="E954" s="113"/>
      <c r="F954" s="266"/>
      <c r="G954" s="113"/>
      <c r="K954" s="36"/>
      <c r="L954" s="117"/>
      <c r="M954" s="128"/>
      <c r="N954" s="117"/>
      <c r="R954" s="117"/>
      <c r="T954" s="117"/>
      <c r="V954" s="117"/>
      <c r="X954" s="117"/>
      <c r="Y954" s="10"/>
      <c r="Z954" s="11"/>
      <c r="AA954" s="36"/>
      <c r="AB954" s="36"/>
      <c r="AC954" s="13"/>
      <c r="AD954" s="13"/>
      <c r="AE954" s="37"/>
      <c r="AF954" s="37"/>
      <c r="AG954" s="14"/>
      <c r="AH954" s="14"/>
      <c r="AI954" s="14"/>
      <c r="AZ954" s="24"/>
    </row>
    <row r="955">
      <c r="B955" s="24"/>
      <c r="E955" s="113"/>
      <c r="F955" s="266"/>
      <c r="G955" s="113"/>
      <c r="K955" s="36"/>
      <c r="L955" s="117"/>
      <c r="M955" s="128"/>
      <c r="N955" s="117"/>
      <c r="R955" s="117"/>
      <c r="T955" s="117"/>
      <c r="V955" s="117"/>
      <c r="X955" s="117"/>
      <c r="Y955" s="10"/>
      <c r="Z955" s="11"/>
      <c r="AA955" s="36"/>
      <c r="AB955" s="36"/>
      <c r="AC955" s="13"/>
      <c r="AD955" s="13"/>
      <c r="AE955" s="37"/>
      <c r="AF955" s="37"/>
      <c r="AG955" s="14"/>
      <c r="AH955" s="14"/>
      <c r="AI955" s="14"/>
      <c r="AZ955" s="24"/>
    </row>
    <row r="956">
      <c r="B956" s="24"/>
      <c r="E956" s="113"/>
      <c r="F956" s="266"/>
      <c r="G956" s="113"/>
      <c r="K956" s="36"/>
      <c r="L956" s="117"/>
      <c r="M956" s="128"/>
      <c r="N956" s="117"/>
      <c r="R956" s="117"/>
      <c r="T956" s="117"/>
      <c r="V956" s="117"/>
      <c r="X956" s="117"/>
      <c r="Y956" s="10"/>
      <c r="Z956" s="11"/>
      <c r="AA956" s="36"/>
      <c r="AB956" s="36"/>
      <c r="AC956" s="13"/>
      <c r="AD956" s="13"/>
      <c r="AE956" s="37"/>
      <c r="AF956" s="37"/>
      <c r="AG956" s="14"/>
      <c r="AH956" s="14"/>
      <c r="AI956" s="14"/>
      <c r="AZ956" s="24"/>
    </row>
    <row r="957">
      <c r="B957" s="24"/>
      <c r="E957" s="113"/>
      <c r="F957" s="266"/>
      <c r="G957" s="113"/>
      <c r="K957" s="36"/>
      <c r="L957" s="117"/>
      <c r="M957" s="128"/>
      <c r="N957" s="117"/>
      <c r="R957" s="117"/>
      <c r="T957" s="117"/>
      <c r="V957" s="117"/>
      <c r="X957" s="117"/>
      <c r="Y957" s="10"/>
      <c r="Z957" s="11"/>
      <c r="AA957" s="36"/>
      <c r="AB957" s="36"/>
      <c r="AC957" s="13"/>
      <c r="AD957" s="13"/>
      <c r="AE957" s="37"/>
      <c r="AF957" s="37"/>
      <c r="AG957" s="14"/>
      <c r="AH957" s="14"/>
      <c r="AI957" s="14"/>
      <c r="AZ957" s="24"/>
    </row>
    <row r="958">
      <c r="B958" s="24"/>
      <c r="E958" s="113"/>
      <c r="F958" s="266"/>
      <c r="G958" s="113"/>
      <c r="K958" s="36"/>
      <c r="L958" s="117"/>
      <c r="M958" s="128"/>
      <c r="N958" s="117"/>
      <c r="R958" s="117"/>
      <c r="T958" s="117"/>
      <c r="V958" s="117"/>
      <c r="X958" s="117"/>
      <c r="Y958" s="10"/>
      <c r="Z958" s="11"/>
      <c r="AA958" s="36"/>
      <c r="AB958" s="36"/>
      <c r="AC958" s="13"/>
      <c r="AD958" s="13"/>
      <c r="AE958" s="37"/>
      <c r="AF958" s="37"/>
      <c r="AG958" s="14"/>
      <c r="AH958" s="14"/>
      <c r="AI958" s="14"/>
      <c r="AZ958" s="24"/>
    </row>
    <row r="959">
      <c r="B959" s="24"/>
      <c r="E959" s="113"/>
      <c r="F959" s="266"/>
      <c r="G959" s="113"/>
      <c r="K959" s="36"/>
      <c r="L959" s="117"/>
      <c r="M959" s="128"/>
      <c r="N959" s="117"/>
      <c r="R959" s="117"/>
      <c r="T959" s="117"/>
      <c r="V959" s="117"/>
      <c r="X959" s="117"/>
      <c r="Y959" s="10"/>
      <c r="Z959" s="11"/>
      <c r="AA959" s="36"/>
      <c r="AB959" s="36"/>
      <c r="AC959" s="13"/>
      <c r="AD959" s="13"/>
      <c r="AE959" s="37"/>
      <c r="AF959" s="37"/>
      <c r="AG959" s="14"/>
      <c r="AH959" s="14"/>
      <c r="AI959" s="14"/>
      <c r="AZ959" s="24"/>
    </row>
    <row r="960">
      <c r="B960" s="24"/>
      <c r="E960" s="113"/>
      <c r="F960" s="266"/>
      <c r="G960" s="113"/>
      <c r="K960" s="36"/>
      <c r="L960" s="117"/>
      <c r="M960" s="128"/>
      <c r="N960" s="117"/>
      <c r="R960" s="117"/>
      <c r="T960" s="117"/>
      <c r="V960" s="117"/>
      <c r="X960" s="117"/>
      <c r="Y960" s="10"/>
      <c r="Z960" s="11"/>
      <c r="AA960" s="36"/>
      <c r="AB960" s="36"/>
      <c r="AC960" s="13"/>
      <c r="AD960" s="13"/>
      <c r="AE960" s="37"/>
      <c r="AF960" s="37"/>
      <c r="AG960" s="14"/>
      <c r="AH960" s="14"/>
      <c r="AI960" s="14"/>
      <c r="AZ960" s="24"/>
    </row>
    <row r="961">
      <c r="B961" s="24"/>
      <c r="E961" s="113"/>
      <c r="F961" s="266"/>
      <c r="G961" s="113"/>
      <c r="K961" s="36"/>
      <c r="L961" s="117"/>
      <c r="M961" s="128"/>
      <c r="N961" s="117"/>
      <c r="R961" s="117"/>
      <c r="T961" s="117"/>
      <c r="V961" s="117"/>
      <c r="X961" s="117"/>
      <c r="Y961" s="10"/>
      <c r="Z961" s="11"/>
      <c r="AA961" s="36"/>
      <c r="AB961" s="36"/>
      <c r="AC961" s="13"/>
      <c r="AD961" s="13"/>
      <c r="AE961" s="37"/>
      <c r="AF961" s="37"/>
      <c r="AG961" s="14"/>
      <c r="AH961" s="14"/>
      <c r="AI961" s="14"/>
      <c r="AZ961" s="24"/>
    </row>
    <row r="962">
      <c r="B962" s="24"/>
      <c r="E962" s="113"/>
      <c r="F962" s="266"/>
      <c r="G962" s="113"/>
      <c r="K962" s="36"/>
      <c r="L962" s="117"/>
      <c r="M962" s="128"/>
      <c r="N962" s="117"/>
      <c r="R962" s="117"/>
      <c r="T962" s="117"/>
      <c r="V962" s="117"/>
      <c r="X962" s="117"/>
      <c r="Y962" s="10"/>
      <c r="Z962" s="11"/>
      <c r="AA962" s="36"/>
      <c r="AB962" s="36"/>
      <c r="AC962" s="13"/>
      <c r="AD962" s="13"/>
      <c r="AE962" s="37"/>
      <c r="AF962" s="37"/>
      <c r="AG962" s="14"/>
      <c r="AH962" s="14"/>
      <c r="AI962" s="14"/>
      <c r="AZ962" s="24"/>
    </row>
    <row r="963">
      <c r="B963" s="24"/>
      <c r="E963" s="113"/>
      <c r="F963" s="266"/>
      <c r="G963" s="113"/>
      <c r="K963" s="36"/>
      <c r="L963" s="117"/>
      <c r="M963" s="128"/>
      <c r="N963" s="117"/>
      <c r="R963" s="117"/>
      <c r="T963" s="117"/>
      <c r="V963" s="117"/>
      <c r="X963" s="117"/>
      <c r="Y963" s="10"/>
      <c r="Z963" s="11"/>
      <c r="AA963" s="36"/>
      <c r="AB963" s="36"/>
      <c r="AC963" s="13"/>
      <c r="AD963" s="13"/>
      <c r="AE963" s="37"/>
      <c r="AF963" s="37"/>
      <c r="AG963" s="14"/>
      <c r="AH963" s="14"/>
      <c r="AI963" s="14"/>
      <c r="AZ963" s="24"/>
    </row>
    <row r="964">
      <c r="B964" s="24"/>
      <c r="E964" s="113"/>
      <c r="F964" s="266"/>
      <c r="G964" s="113"/>
      <c r="K964" s="36"/>
      <c r="L964" s="117"/>
      <c r="M964" s="128"/>
      <c r="N964" s="117"/>
      <c r="R964" s="117"/>
      <c r="T964" s="117"/>
      <c r="V964" s="117"/>
      <c r="X964" s="117"/>
      <c r="Y964" s="10"/>
      <c r="Z964" s="11"/>
      <c r="AA964" s="36"/>
      <c r="AB964" s="36"/>
      <c r="AC964" s="13"/>
      <c r="AD964" s="13"/>
      <c r="AE964" s="37"/>
      <c r="AF964" s="37"/>
      <c r="AG964" s="14"/>
      <c r="AH964" s="14"/>
      <c r="AI964" s="14"/>
      <c r="AZ964" s="24"/>
    </row>
    <row r="965">
      <c r="B965" s="24"/>
      <c r="E965" s="113"/>
      <c r="F965" s="266"/>
      <c r="G965" s="113"/>
      <c r="K965" s="36"/>
      <c r="L965" s="117"/>
      <c r="M965" s="128"/>
      <c r="N965" s="117"/>
      <c r="R965" s="117"/>
      <c r="T965" s="117"/>
      <c r="V965" s="117"/>
      <c r="X965" s="117"/>
      <c r="Y965" s="10"/>
      <c r="Z965" s="11"/>
      <c r="AA965" s="36"/>
      <c r="AB965" s="36"/>
      <c r="AC965" s="13"/>
      <c r="AD965" s="13"/>
      <c r="AE965" s="37"/>
      <c r="AF965" s="37"/>
      <c r="AG965" s="14"/>
      <c r="AH965" s="14"/>
      <c r="AI965" s="14"/>
      <c r="AZ965" s="24"/>
    </row>
    <row r="966">
      <c r="B966" s="24"/>
      <c r="E966" s="113"/>
      <c r="F966" s="266"/>
      <c r="G966" s="113"/>
      <c r="K966" s="36"/>
      <c r="L966" s="117"/>
      <c r="M966" s="128"/>
      <c r="N966" s="117"/>
      <c r="R966" s="117"/>
      <c r="T966" s="117"/>
      <c r="V966" s="117"/>
      <c r="X966" s="117"/>
      <c r="Y966" s="10"/>
      <c r="Z966" s="11"/>
      <c r="AA966" s="36"/>
      <c r="AB966" s="36"/>
      <c r="AC966" s="13"/>
      <c r="AD966" s="13"/>
      <c r="AE966" s="37"/>
      <c r="AF966" s="37"/>
      <c r="AG966" s="14"/>
      <c r="AH966" s="14"/>
      <c r="AI966" s="14"/>
      <c r="AZ966" s="24"/>
    </row>
    <row r="967">
      <c r="B967" s="24"/>
      <c r="E967" s="113"/>
      <c r="F967" s="266"/>
      <c r="G967" s="113"/>
      <c r="K967" s="36"/>
      <c r="L967" s="117"/>
      <c r="M967" s="128"/>
      <c r="N967" s="117"/>
      <c r="R967" s="117"/>
      <c r="T967" s="117"/>
      <c r="V967" s="117"/>
      <c r="X967" s="117"/>
      <c r="Y967" s="10"/>
      <c r="Z967" s="11"/>
      <c r="AA967" s="36"/>
      <c r="AB967" s="36"/>
      <c r="AC967" s="13"/>
      <c r="AD967" s="13"/>
      <c r="AE967" s="37"/>
      <c r="AF967" s="37"/>
      <c r="AG967" s="14"/>
      <c r="AH967" s="14"/>
      <c r="AI967" s="14"/>
      <c r="AZ967" s="24"/>
    </row>
    <row r="968">
      <c r="B968" s="24"/>
      <c r="E968" s="113"/>
      <c r="F968" s="266"/>
      <c r="G968" s="113"/>
      <c r="K968" s="36"/>
      <c r="L968" s="117"/>
      <c r="M968" s="128"/>
      <c r="N968" s="117"/>
      <c r="R968" s="117"/>
      <c r="T968" s="117"/>
      <c r="V968" s="117"/>
      <c r="X968" s="117"/>
      <c r="Y968" s="10"/>
      <c r="Z968" s="11"/>
      <c r="AA968" s="36"/>
      <c r="AB968" s="36"/>
      <c r="AC968" s="13"/>
      <c r="AD968" s="13"/>
      <c r="AE968" s="37"/>
      <c r="AF968" s="37"/>
      <c r="AG968" s="14"/>
      <c r="AH968" s="14"/>
      <c r="AI968" s="14"/>
      <c r="AZ968" s="24"/>
    </row>
    <row r="969">
      <c r="B969" s="24"/>
      <c r="E969" s="113"/>
      <c r="F969" s="266"/>
      <c r="G969" s="113"/>
      <c r="K969" s="36"/>
      <c r="L969" s="117"/>
      <c r="M969" s="128"/>
      <c r="N969" s="117"/>
      <c r="R969" s="117"/>
      <c r="T969" s="117"/>
      <c r="V969" s="117"/>
      <c r="X969" s="117"/>
      <c r="Y969" s="10"/>
      <c r="Z969" s="11"/>
      <c r="AA969" s="36"/>
      <c r="AB969" s="36"/>
      <c r="AC969" s="13"/>
      <c r="AD969" s="13"/>
      <c r="AE969" s="37"/>
      <c r="AF969" s="37"/>
      <c r="AG969" s="14"/>
      <c r="AH969" s="14"/>
      <c r="AI969" s="14"/>
      <c r="AZ969" s="24"/>
    </row>
    <row r="970">
      <c r="B970" s="24"/>
      <c r="E970" s="113"/>
      <c r="F970" s="266"/>
      <c r="G970" s="113"/>
      <c r="K970" s="36"/>
      <c r="L970" s="117"/>
      <c r="M970" s="128"/>
      <c r="N970" s="117"/>
      <c r="R970" s="117"/>
      <c r="T970" s="117"/>
      <c r="V970" s="117"/>
      <c r="X970" s="117"/>
      <c r="Y970" s="10"/>
      <c r="Z970" s="11"/>
      <c r="AA970" s="36"/>
      <c r="AB970" s="36"/>
      <c r="AC970" s="13"/>
      <c r="AD970" s="13"/>
      <c r="AE970" s="37"/>
      <c r="AF970" s="37"/>
      <c r="AG970" s="14"/>
      <c r="AH970" s="14"/>
      <c r="AI970" s="14"/>
      <c r="AZ970" s="24"/>
    </row>
    <row r="971">
      <c r="B971" s="24"/>
      <c r="E971" s="113"/>
      <c r="F971" s="266"/>
      <c r="G971" s="113"/>
      <c r="K971" s="36"/>
      <c r="L971" s="117"/>
      <c r="M971" s="128"/>
      <c r="N971" s="117"/>
      <c r="R971" s="117"/>
      <c r="T971" s="117"/>
      <c r="V971" s="117"/>
      <c r="X971" s="117"/>
      <c r="Y971" s="10"/>
      <c r="Z971" s="11"/>
      <c r="AA971" s="36"/>
      <c r="AB971" s="36"/>
      <c r="AC971" s="13"/>
      <c r="AD971" s="13"/>
      <c r="AE971" s="37"/>
      <c r="AF971" s="37"/>
      <c r="AG971" s="14"/>
      <c r="AH971" s="14"/>
      <c r="AI971" s="14"/>
      <c r="AZ971" s="24"/>
    </row>
    <row r="972">
      <c r="B972" s="24"/>
      <c r="E972" s="113"/>
      <c r="F972" s="266"/>
      <c r="G972" s="113"/>
      <c r="K972" s="36"/>
      <c r="L972" s="117"/>
      <c r="M972" s="128"/>
      <c r="N972" s="117"/>
      <c r="R972" s="117"/>
      <c r="T972" s="117"/>
      <c r="V972" s="117"/>
      <c r="X972" s="117"/>
      <c r="Y972" s="10"/>
      <c r="Z972" s="11"/>
      <c r="AA972" s="36"/>
      <c r="AB972" s="36"/>
      <c r="AC972" s="13"/>
      <c r="AD972" s="13"/>
      <c r="AE972" s="37"/>
      <c r="AF972" s="37"/>
      <c r="AG972" s="14"/>
      <c r="AH972" s="14"/>
      <c r="AI972" s="14"/>
      <c r="AZ972" s="24"/>
    </row>
    <row r="973">
      <c r="B973" s="24"/>
      <c r="E973" s="113"/>
      <c r="F973" s="266"/>
      <c r="G973" s="113"/>
      <c r="K973" s="36"/>
      <c r="L973" s="117"/>
      <c r="M973" s="128"/>
      <c r="N973" s="117"/>
      <c r="R973" s="117"/>
      <c r="T973" s="117"/>
      <c r="V973" s="117"/>
      <c r="X973" s="117"/>
      <c r="Y973" s="10"/>
      <c r="Z973" s="11"/>
      <c r="AA973" s="36"/>
      <c r="AB973" s="36"/>
      <c r="AC973" s="13"/>
      <c r="AD973" s="13"/>
      <c r="AE973" s="37"/>
      <c r="AF973" s="37"/>
      <c r="AG973" s="14"/>
      <c r="AH973" s="14"/>
      <c r="AI973" s="14"/>
      <c r="AZ973" s="24"/>
    </row>
    <row r="974">
      <c r="B974" s="24"/>
      <c r="E974" s="113"/>
      <c r="F974" s="266"/>
      <c r="G974" s="113"/>
      <c r="K974" s="36"/>
      <c r="L974" s="117"/>
      <c r="M974" s="128"/>
      <c r="N974" s="117"/>
      <c r="R974" s="117"/>
      <c r="T974" s="117"/>
      <c r="V974" s="117"/>
      <c r="X974" s="117"/>
      <c r="Y974" s="10"/>
      <c r="Z974" s="11"/>
      <c r="AA974" s="36"/>
      <c r="AB974" s="36"/>
      <c r="AC974" s="13"/>
      <c r="AD974" s="13"/>
      <c r="AE974" s="37"/>
      <c r="AF974" s="37"/>
      <c r="AG974" s="14"/>
      <c r="AH974" s="14"/>
      <c r="AI974" s="14"/>
      <c r="AZ974" s="24"/>
    </row>
    <row r="975">
      <c r="B975" s="24"/>
      <c r="E975" s="113"/>
      <c r="F975" s="266"/>
      <c r="G975" s="113"/>
      <c r="K975" s="36"/>
      <c r="L975" s="117"/>
      <c r="M975" s="128"/>
      <c r="N975" s="117"/>
      <c r="R975" s="117"/>
      <c r="T975" s="117"/>
      <c r="V975" s="117"/>
      <c r="X975" s="117"/>
      <c r="Y975" s="10"/>
      <c r="Z975" s="11"/>
      <c r="AA975" s="36"/>
      <c r="AB975" s="36"/>
      <c r="AC975" s="13"/>
      <c r="AD975" s="13"/>
      <c r="AE975" s="37"/>
      <c r="AF975" s="37"/>
      <c r="AG975" s="14"/>
      <c r="AH975" s="14"/>
      <c r="AI975" s="14"/>
      <c r="AZ975" s="24"/>
    </row>
    <row r="976">
      <c r="B976" s="24"/>
      <c r="E976" s="113"/>
      <c r="F976" s="266"/>
      <c r="G976" s="113"/>
      <c r="K976" s="36"/>
      <c r="L976" s="117"/>
      <c r="M976" s="128"/>
      <c r="N976" s="117"/>
      <c r="R976" s="117"/>
      <c r="T976" s="117"/>
      <c r="V976" s="117"/>
      <c r="X976" s="117"/>
      <c r="Y976" s="10"/>
      <c r="Z976" s="11"/>
      <c r="AA976" s="36"/>
      <c r="AB976" s="36"/>
      <c r="AC976" s="13"/>
      <c r="AD976" s="13"/>
      <c r="AE976" s="37"/>
      <c r="AF976" s="37"/>
      <c r="AG976" s="14"/>
      <c r="AH976" s="14"/>
      <c r="AI976" s="14"/>
      <c r="AZ976" s="24"/>
    </row>
    <row r="977">
      <c r="B977" s="24"/>
      <c r="E977" s="113"/>
      <c r="F977" s="266"/>
      <c r="G977" s="113"/>
      <c r="K977" s="36"/>
      <c r="L977" s="117"/>
      <c r="M977" s="128"/>
      <c r="N977" s="117"/>
      <c r="R977" s="117"/>
      <c r="T977" s="117"/>
      <c r="V977" s="117"/>
      <c r="X977" s="117"/>
      <c r="Y977" s="10"/>
      <c r="Z977" s="11"/>
      <c r="AA977" s="36"/>
      <c r="AB977" s="36"/>
      <c r="AC977" s="13"/>
      <c r="AD977" s="13"/>
      <c r="AE977" s="37"/>
      <c r="AF977" s="37"/>
      <c r="AG977" s="14"/>
      <c r="AH977" s="14"/>
      <c r="AI977" s="14"/>
      <c r="AZ977" s="24"/>
    </row>
    <row r="978">
      <c r="B978" s="24"/>
      <c r="E978" s="113"/>
      <c r="F978" s="266"/>
      <c r="G978" s="113"/>
      <c r="K978" s="36"/>
      <c r="L978" s="117"/>
      <c r="M978" s="128"/>
      <c r="N978" s="117"/>
      <c r="R978" s="117"/>
      <c r="T978" s="117"/>
      <c r="V978" s="117"/>
      <c r="X978" s="117"/>
      <c r="Y978" s="10"/>
      <c r="Z978" s="11"/>
      <c r="AA978" s="36"/>
      <c r="AB978" s="36"/>
      <c r="AC978" s="13"/>
      <c r="AD978" s="13"/>
      <c r="AE978" s="37"/>
      <c r="AF978" s="37"/>
      <c r="AG978" s="14"/>
      <c r="AH978" s="14"/>
      <c r="AI978" s="14"/>
      <c r="AZ978" s="24"/>
    </row>
    <row r="979">
      <c r="B979" s="24"/>
      <c r="E979" s="113"/>
      <c r="F979" s="266"/>
      <c r="G979" s="113"/>
      <c r="K979" s="36"/>
      <c r="L979" s="117"/>
      <c r="M979" s="128"/>
      <c r="N979" s="117"/>
      <c r="R979" s="117"/>
      <c r="T979" s="117"/>
      <c r="V979" s="117"/>
      <c r="X979" s="117"/>
      <c r="Y979" s="10"/>
      <c r="Z979" s="11"/>
      <c r="AA979" s="36"/>
      <c r="AB979" s="36"/>
      <c r="AC979" s="13"/>
      <c r="AD979" s="13"/>
      <c r="AE979" s="37"/>
      <c r="AF979" s="37"/>
      <c r="AG979" s="14"/>
      <c r="AH979" s="14"/>
      <c r="AI979" s="14"/>
      <c r="AZ979" s="24"/>
    </row>
    <row r="980">
      <c r="B980" s="24"/>
      <c r="E980" s="113"/>
      <c r="F980" s="266"/>
      <c r="G980" s="113"/>
      <c r="K980" s="36"/>
      <c r="L980" s="117"/>
      <c r="M980" s="128"/>
      <c r="N980" s="117"/>
      <c r="R980" s="117"/>
      <c r="T980" s="117"/>
      <c r="V980" s="117"/>
      <c r="X980" s="117"/>
      <c r="Y980" s="10"/>
      <c r="Z980" s="11"/>
      <c r="AA980" s="36"/>
      <c r="AB980" s="36"/>
      <c r="AC980" s="13"/>
      <c r="AD980" s="13"/>
      <c r="AE980" s="37"/>
      <c r="AF980" s="37"/>
      <c r="AG980" s="14"/>
      <c r="AH980" s="14"/>
      <c r="AI980" s="14"/>
      <c r="AZ980" s="24"/>
    </row>
    <row r="981">
      <c r="B981" s="24"/>
      <c r="E981" s="113"/>
      <c r="F981" s="266"/>
      <c r="G981" s="113"/>
      <c r="K981" s="36"/>
      <c r="L981" s="117"/>
      <c r="M981" s="128"/>
      <c r="N981" s="117"/>
      <c r="R981" s="117"/>
      <c r="T981" s="117"/>
      <c r="V981" s="117"/>
      <c r="X981" s="117"/>
      <c r="Y981" s="10"/>
      <c r="Z981" s="11"/>
      <c r="AA981" s="36"/>
      <c r="AB981" s="36"/>
      <c r="AC981" s="13"/>
      <c r="AD981" s="13"/>
      <c r="AE981" s="37"/>
      <c r="AF981" s="37"/>
      <c r="AG981" s="14"/>
      <c r="AH981" s="14"/>
      <c r="AI981" s="14"/>
      <c r="AZ981" s="24"/>
    </row>
    <row r="982">
      <c r="B982" s="24"/>
      <c r="E982" s="113"/>
      <c r="F982" s="266"/>
      <c r="G982" s="113"/>
      <c r="K982" s="36"/>
      <c r="L982" s="117"/>
      <c r="M982" s="128"/>
      <c r="N982" s="117"/>
      <c r="R982" s="117"/>
      <c r="T982" s="117"/>
      <c r="V982" s="117"/>
      <c r="X982" s="117"/>
      <c r="Y982" s="10"/>
      <c r="Z982" s="11"/>
      <c r="AA982" s="36"/>
      <c r="AB982" s="36"/>
      <c r="AC982" s="13"/>
      <c r="AD982" s="13"/>
      <c r="AE982" s="37"/>
      <c r="AF982" s="37"/>
      <c r="AG982" s="14"/>
      <c r="AH982" s="14"/>
      <c r="AI982" s="14"/>
      <c r="AZ982" s="24"/>
    </row>
    <row r="983">
      <c r="B983" s="24"/>
      <c r="E983" s="113"/>
      <c r="F983" s="266"/>
      <c r="G983" s="113"/>
      <c r="K983" s="36"/>
      <c r="L983" s="117"/>
      <c r="M983" s="128"/>
      <c r="N983" s="117"/>
      <c r="R983" s="117"/>
      <c r="T983" s="117"/>
      <c r="V983" s="117"/>
      <c r="X983" s="117"/>
      <c r="Y983" s="10"/>
      <c r="Z983" s="11"/>
      <c r="AA983" s="36"/>
      <c r="AB983" s="36"/>
      <c r="AC983" s="13"/>
      <c r="AD983" s="13"/>
      <c r="AE983" s="37"/>
      <c r="AF983" s="37"/>
      <c r="AG983" s="14"/>
      <c r="AH983" s="14"/>
      <c r="AI983" s="14"/>
      <c r="AZ983" s="24"/>
    </row>
    <row r="984">
      <c r="B984" s="24"/>
      <c r="E984" s="113"/>
      <c r="F984" s="266"/>
      <c r="G984" s="113"/>
      <c r="K984" s="36"/>
      <c r="L984" s="117"/>
      <c r="M984" s="128"/>
      <c r="N984" s="117"/>
      <c r="R984" s="117"/>
      <c r="T984" s="117"/>
      <c r="V984" s="117"/>
      <c r="X984" s="117"/>
      <c r="Y984" s="10"/>
      <c r="Z984" s="11"/>
      <c r="AA984" s="36"/>
      <c r="AB984" s="36"/>
      <c r="AC984" s="13"/>
      <c r="AD984" s="13"/>
      <c r="AE984" s="37"/>
      <c r="AF984" s="37"/>
      <c r="AG984" s="14"/>
      <c r="AH984" s="14"/>
      <c r="AI984" s="14"/>
      <c r="AZ984" s="24"/>
    </row>
    <row r="985">
      <c r="B985" s="24"/>
      <c r="E985" s="113"/>
      <c r="F985" s="266"/>
      <c r="G985" s="113"/>
      <c r="K985" s="36"/>
      <c r="L985" s="117"/>
      <c r="M985" s="128"/>
      <c r="N985" s="117"/>
      <c r="R985" s="117"/>
      <c r="T985" s="117"/>
      <c r="V985" s="117"/>
      <c r="X985" s="117"/>
      <c r="Y985" s="10"/>
      <c r="Z985" s="11"/>
      <c r="AA985" s="36"/>
      <c r="AB985" s="36"/>
      <c r="AC985" s="13"/>
      <c r="AD985" s="13"/>
      <c r="AE985" s="37"/>
      <c r="AF985" s="37"/>
      <c r="AG985" s="14"/>
      <c r="AH985" s="14"/>
      <c r="AI985" s="14"/>
      <c r="AZ985" s="24"/>
    </row>
    <row r="986">
      <c r="B986" s="24"/>
      <c r="E986" s="113"/>
      <c r="F986" s="266"/>
      <c r="G986" s="113"/>
      <c r="K986" s="36"/>
      <c r="L986" s="117"/>
      <c r="M986" s="128"/>
      <c r="N986" s="117"/>
      <c r="R986" s="117"/>
      <c r="T986" s="117"/>
      <c r="V986" s="117"/>
      <c r="X986" s="117"/>
      <c r="Y986" s="10"/>
      <c r="Z986" s="11"/>
      <c r="AA986" s="36"/>
      <c r="AB986" s="36"/>
      <c r="AC986" s="13"/>
      <c r="AD986" s="13"/>
      <c r="AE986" s="37"/>
      <c r="AF986" s="37"/>
      <c r="AG986" s="14"/>
      <c r="AH986" s="14"/>
      <c r="AI986" s="14"/>
      <c r="AZ986" s="24"/>
    </row>
    <row r="987">
      <c r="B987" s="24"/>
      <c r="E987" s="113"/>
      <c r="F987" s="266"/>
      <c r="G987" s="113"/>
      <c r="K987" s="36"/>
      <c r="L987" s="117"/>
      <c r="M987" s="128"/>
      <c r="N987" s="117"/>
      <c r="R987" s="117"/>
      <c r="T987" s="117"/>
      <c r="V987" s="117"/>
      <c r="X987" s="117"/>
      <c r="Y987" s="10"/>
      <c r="Z987" s="11"/>
      <c r="AA987" s="36"/>
      <c r="AB987" s="36"/>
      <c r="AC987" s="13"/>
      <c r="AD987" s="13"/>
      <c r="AE987" s="37"/>
      <c r="AF987" s="37"/>
      <c r="AG987" s="14"/>
      <c r="AH987" s="14"/>
      <c r="AI987" s="14"/>
      <c r="AZ987" s="24"/>
    </row>
    <row r="988">
      <c r="B988" s="24"/>
      <c r="E988" s="113"/>
      <c r="F988" s="266"/>
      <c r="G988" s="113"/>
      <c r="K988" s="36"/>
      <c r="L988" s="117"/>
      <c r="M988" s="128"/>
      <c r="N988" s="117"/>
      <c r="R988" s="117"/>
      <c r="T988" s="117"/>
      <c r="V988" s="117"/>
      <c r="X988" s="117"/>
      <c r="Y988" s="10"/>
      <c r="Z988" s="11"/>
      <c r="AA988" s="36"/>
      <c r="AB988" s="36"/>
      <c r="AC988" s="13"/>
      <c r="AD988" s="13"/>
      <c r="AE988" s="37"/>
      <c r="AF988" s="37"/>
      <c r="AG988" s="14"/>
      <c r="AH988" s="14"/>
      <c r="AI988" s="14"/>
      <c r="AZ988" s="24"/>
    </row>
    <row r="989">
      <c r="B989" s="24"/>
      <c r="E989" s="113"/>
      <c r="F989" s="266"/>
      <c r="G989" s="113"/>
      <c r="K989" s="36"/>
      <c r="L989" s="117"/>
      <c r="M989" s="128"/>
      <c r="N989" s="117"/>
      <c r="R989" s="117"/>
      <c r="T989" s="117"/>
      <c r="V989" s="117"/>
      <c r="X989" s="117"/>
      <c r="Y989" s="10"/>
      <c r="Z989" s="11"/>
      <c r="AA989" s="36"/>
      <c r="AB989" s="36"/>
      <c r="AC989" s="13"/>
      <c r="AD989" s="13"/>
      <c r="AE989" s="37"/>
      <c r="AF989" s="37"/>
      <c r="AG989" s="14"/>
      <c r="AH989" s="14"/>
      <c r="AI989" s="14"/>
      <c r="AZ989" s="24"/>
    </row>
    <row r="990">
      <c r="B990" s="24"/>
      <c r="E990" s="113"/>
      <c r="F990" s="266"/>
      <c r="G990" s="113"/>
      <c r="K990" s="36"/>
      <c r="L990" s="117"/>
      <c r="M990" s="128"/>
      <c r="N990" s="117"/>
      <c r="R990" s="117"/>
      <c r="T990" s="117"/>
      <c r="V990" s="117"/>
      <c r="X990" s="117"/>
      <c r="Y990" s="10"/>
      <c r="Z990" s="11"/>
      <c r="AA990" s="36"/>
      <c r="AB990" s="36"/>
      <c r="AC990" s="13"/>
      <c r="AD990" s="13"/>
      <c r="AE990" s="37"/>
      <c r="AF990" s="37"/>
      <c r="AG990" s="14"/>
      <c r="AH990" s="14"/>
      <c r="AI990" s="14"/>
      <c r="AZ990" s="24"/>
    </row>
    <row r="991">
      <c r="B991" s="24"/>
      <c r="E991" s="113"/>
      <c r="F991" s="266"/>
      <c r="G991" s="113"/>
      <c r="K991" s="36"/>
      <c r="L991" s="117"/>
      <c r="M991" s="128"/>
      <c r="N991" s="117"/>
      <c r="R991" s="117"/>
      <c r="T991" s="117"/>
      <c r="V991" s="117"/>
      <c r="X991" s="117"/>
      <c r="Y991" s="10"/>
      <c r="Z991" s="11"/>
      <c r="AA991" s="36"/>
      <c r="AB991" s="36"/>
      <c r="AC991" s="13"/>
      <c r="AD991" s="13"/>
      <c r="AE991" s="37"/>
      <c r="AF991" s="37"/>
      <c r="AG991" s="14"/>
      <c r="AH991" s="14"/>
      <c r="AI991" s="14"/>
      <c r="AZ991" s="24"/>
    </row>
    <row r="992">
      <c r="B992" s="24"/>
      <c r="E992" s="113"/>
      <c r="F992" s="266"/>
      <c r="G992" s="113"/>
      <c r="K992" s="36"/>
      <c r="L992" s="117"/>
      <c r="M992" s="128"/>
      <c r="N992" s="117"/>
      <c r="R992" s="117"/>
      <c r="T992" s="117"/>
      <c r="V992" s="117"/>
      <c r="X992" s="117"/>
      <c r="Y992" s="10"/>
      <c r="Z992" s="11"/>
      <c r="AA992" s="36"/>
      <c r="AB992" s="36"/>
      <c r="AC992" s="13"/>
      <c r="AD992" s="13"/>
      <c r="AE992" s="37"/>
      <c r="AF992" s="37"/>
      <c r="AG992" s="14"/>
      <c r="AH992" s="14"/>
      <c r="AI992" s="14"/>
      <c r="AZ992" s="24"/>
    </row>
    <row r="993">
      <c r="B993" s="24"/>
      <c r="E993" s="113"/>
      <c r="F993" s="266"/>
      <c r="G993" s="113"/>
      <c r="K993" s="36"/>
      <c r="L993" s="117"/>
      <c r="M993" s="128"/>
      <c r="N993" s="117"/>
      <c r="R993" s="117"/>
      <c r="T993" s="117"/>
      <c r="V993" s="117"/>
      <c r="X993" s="117"/>
      <c r="Y993" s="10"/>
      <c r="Z993" s="11"/>
      <c r="AA993" s="36"/>
      <c r="AB993" s="36"/>
      <c r="AC993" s="13"/>
      <c r="AD993" s="13"/>
      <c r="AE993" s="37"/>
      <c r="AF993" s="37"/>
      <c r="AG993" s="14"/>
      <c r="AH993" s="14"/>
      <c r="AI993" s="14"/>
      <c r="AZ993" s="24"/>
    </row>
    <row r="994">
      <c r="B994" s="24"/>
      <c r="E994" s="113"/>
      <c r="F994" s="266"/>
      <c r="G994" s="113"/>
      <c r="K994" s="36"/>
      <c r="L994" s="117"/>
      <c r="M994" s="128"/>
      <c r="N994" s="117"/>
      <c r="R994" s="117"/>
      <c r="T994" s="117"/>
      <c r="V994" s="117"/>
      <c r="X994" s="117"/>
      <c r="Y994" s="10"/>
      <c r="Z994" s="11"/>
      <c r="AA994" s="36"/>
      <c r="AB994" s="36"/>
      <c r="AC994" s="13"/>
      <c r="AD994" s="13"/>
      <c r="AE994" s="37"/>
      <c r="AF994" s="37"/>
      <c r="AG994" s="14"/>
      <c r="AH994" s="14"/>
      <c r="AI994" s="14"/>
      <c r="AZ994" s="24"/>
    </row>
    <row r="995">
      <c r="B995" s="24"/>
      <c r="E995" s="113"/>
      <c r="F995" s="266"/>
      <c r="G995" s="113"/>
      <c r="K995" s="36"/>
      <c r="L995" s="117"/>
      <c r="M995" s="128"/>
      <c r="N995" s="117"/>
      <c r="R995" s="117"/>
      <c r="T995" s="117"/>
      <c r="V995" s="117"/>
      <c r="X995" s="117"/>
      <c r="Y995" s="10"/>
      <c r="Z995" s="11"/>
      <c r="AA995" s="36"/>
      <c r="AB995" s="36"/>
      <c r="AC995" s="13"/>
      <c r="AD995" s="13"/>
      <c r="AE995" s="37"/>
      <c r="AF995" s="37"/>
      <c r="AG995" s="14"/>
      <c r="AH995" s="14"/>
      <c r="AI995" s="14"/>
      <c r="AZ995" s="24"/>
    </row>
    <row r="996">
      <c r="B996" s="24"/>
      <c r="E996" s="113"/>
      <c r="F996" s="266"/>
      <c r="G996" s="113"/>
      <c r="K996" s="36"/>
      <c r="L996" s="117"/>
      <c r="M996" s="128"/>
      <c r="N996" s="117"/>
      <c r="R996" s="117"/>
      <c r="T996" s="117"/>
      <c r="V996" s="117"/>
      <c r="X996" s="117"/>
      <c r="Y996" s="10"/>
      <c r="Z996" s="11"/>
      <c r="AA996" s="36"/>
      <c r="AB996" s="36"/>
      <c r="AC996" s="13"/>
      <c r="AD996" s="13"/>
      <c r="AE996" s="37"/>
      <c r="AF996" s="37"/>
      <c r="AG996" s="14"/>
      <c r="AH996" s="14"/>
      <c r="AI996" s="14"/>
      <c r="AZ996" s="24"/>
    </row>
    <row r="997">
      <c r="B997" s="24"/>
      <c r="E997" s="113"/>
      <c r="F997" s="266"/>
      <c r="G997" s="113"/>
      <c r="K997" s="36"/>
      <c r="L997" s="117"/>
      <c r="M997" s="128"/>
      <c r="N997" s="117"/>
      <c r="R997" s="117"/>
      <c r="T997" s="117"/>
      <c r="V997" s="117"/>
      <c r="X997" s="117"/>
      <c r="Y997" s="10"/>
      <c r="Z997" s="11"/>
      <c r="AA997" s="36"/>
      <c r="AB997" s="36"/>
      <c r="AC997" s="13"/>
      <c r="AD997" s="13"/>
      <c r="AE997" s="37"/>
      <c r="AF997" s="37"/>
      <c r="AG997" s="14"/>
      <c r="AH997" s="14"/>
      <c r="AI997" s="14"/>
      <c r="AZ997" s="24"/>
    </row>
    <row r="998">
      <c r="B998" s="24"/>
      <c r="E998" s="113"/>
      <c r="F998" s="266"/>
      <c r="G998" s="113"/>
      <c r="K998" s="36"/>
      <c r="L998" s="117"/>
      <c r="M998" s="128"/>
      <c r="N998" s="117"/>
      <c r="R998" s="117"/>
      <c r="T998" s="117"/>
      <c r="V998" s="117"/>
      <c r="X998" s="117"/>
      <c r="Y998" s="10"/>
      <c r="Z998" s="11"/>
      <c r="AA998" s="36"/>
      <c r="AB998" s="36"/>
      <c r="AC998" s="13"/>
      <c r="AD998" s="13"/>
      <c r="AE998" s="37"/>
      <c r="AF998" s="37"/>
      <c r="AG998" s="14"/>
      <c r="AH998" s="14"/>
      <c r="AI998" s="14"/>
      <c r="AZ998" s="24"/>
    </row>
    <row r="999">
      <c r="B999" s="24"/>
      <c r="E999" s="113"/>
      <c r="F999" s="266"/>
      <c r="G999" s="113"/>
      <c r="K999" s="36"/>
      <c r="L999" s="117"/>
      <c r="M999" s="128"/>
      <c r="N999" s="117"/>
      <c r="R999" s="117"/>
      <c r="T999" s="117"/>
      <c r="V999" s="117"/>
      <c r="X999" s="117"/>
      <c r="Y999" s="10"/>
      <c r="Z999" s="11"/>
      <c r="AA999" s="36"/>
      <c r="AB999" s="36"/>
      <c r="AC999" s="13"/>
      <c r="AD999" s="13"/>
      <c r="AE999" s="37"/>
      <c r="AF999" s="37"/>
      <c r="AG999" s="14"/>
      <c r="AH999" s="14"/>
      <c r="AI999" s="14"/>
      <c r="AZ999" s="24"/>
    </row>
    <row r="1000">
      <c r="B1000" s="24"/>
      <c r="E1000" s="113"/>
      <c r="F1000" s="266"/>
      <c r="G1000" s="113"/>
      <c r="K1000" s="36"/>
      <c r="L1000" s="117"/>
      <c r="M1000" s="128"/>
      <c r="N1000" s="117"/>
      <c r="R1000" s="117"/>
      <c r="T1000" s="117"/>
      <c r="V1000" s="117"/>
      <c r="X1000" s="117"/>
      <c r="Y1000" s="10"/>
      <c r="Z1000" s="11"/>
      <c r="AA1000" s="36"/>
      <c r="AB1000" s="36"/>
      <c r="AC1000" s="13"/>
      <c r="AD1000" s="13"/>
      <c r="AE1000" s="37"/>
      <c r="AF1000" s="37"/>
      <c r="AG1000" s="14"/>
      <c r="AH1000" s="14"/>
      <c r="AI1000" s="14"/>
      <c r="AZ1000" s="24"/>
    </row>
    <row r="1001">
      <c r="B1001" s="24"/>
      <c r="E1001" s="113"/>
      <c r="F1001" s="266"/>
      <c r="G1001" s="113"/>
      <c r="K1001" s="36"/>
      <c r="L1001" s="117"/>
      <c r="M1001" s="128"/>
      <c r="N1001" s="117"/>
      <c r="R1001" s="117"/>
      <c r="T1001" s="117"/>
      <c r="V1001" s="117"/>
      <c r="X1001" s="117"/>
      <c r="Y1001" s="10"/>
      <c r="Z1001" s="11"/>
      <c r="AA1001" s="36"/>
      <c r="AB1001" s="36"/>
      <c r="AC1001" s="13"/>
      <c r="AD1001" s="13"/>
      <c r="AE1001" s="37"/>
      <c r="AF1001" s="37"/>
      <c r="AG1001" s="14"/>
      <c r="AH1001" s="14"/>
      <c r="AI1001" s="14"/>
      <c r="AZ1001" s="24"/>
    </row>
    <row r="1002">
      <c r="B1002" s="24"/>
      <c r="E1002" s="113"/>
      <c r="F1002" s="266"/>
      <c r="G1002" s="113"/>
      <c r="K1002" s="36"/>
      <c r="L1002" s="117"/>
      <c r="M1002" s="128"/>
      <c r="N1002" s="117"/>
      <c r="R1002" s="117"/>
      <c r="T1002" s="117"/>
      <c r="V1002" s="117"/>
      <c r="X1002" s="117"/>
      <c r="Y1002" s="10"/>
      <c r="Z1002" s="11"/>
      <c r="AA1002" s="36"/>
      <c r="AB1002" s="36"/>
      <c r="AC1002" s="13"/>
      <c r="AD1002" s="13"/>
      <c r="AE1002" s="37"/>
      <c r="AF1002" s="37"/>
      <c r="AG1002" s="14"/>
      <c r="AH1002" s="14"/>
      <c r="AI1002" s="14"/>
      <c r="AZ1002" s="24"/>
    </row>
    <row r="1003">
      <c r="B1003" s="24"/>
      <c r="E1003" s="113"/>
      <c r="F1003" s="266"/>
      <c r="G1003" s="113"/>
      <c r="K1003" s="36"/>
      <c r="L1003" s="117"/>
      <c r="M1003" s="128"/>
      <c r="N1003" s="117"/>
      <c r="R1003" s="117"/>
      <c r="T1003" s="117"/>
      <c r="V1003" s="117"/>
      <c r="X1003" s="117"/>
      <c r="Y1003" s="10"/>
      <c r="Z1003" s="11"/>
      <c r="AA1003" s="36"/>
      <c r="AB1003" s="36"/>
      <c r="AC1003" s="13"/>
      <c r="AD1003" s="13"/>
      <c r="AE1003" s="37"/>
      <c r="AF1003" s="37"/>
      <c r="AG1003" s="14"/>
      <c r="AH1003" s="14"/>
      <c r="AI1003" s="14"/>
      <c r="AZ1003" s="24"/>
    </row>
    <row r="1004">
      <c r="B1004" s="24"/>
      <c r="E1004" s="113"/>
      <c r="F1004" s="266"/>
      <c r="G1004" s="113"/>
      <c r="K1004" s="36"/>
      <c r="L1004" s="117"/>
      <c r="M1004" s="128"/>
      <c r="N1004" s="117"/>
      <c r="R1004" s="117"/>
      <c r="T1004" s="117"/>
      <c r="V1004" s="117"/>
      <c r="X1004" s="117"/>
      <c r="Y1004" s="10"/>
      <c r="Z1004" s="11"/>
      <c r="AA1004" s="36"/>
      <c r="AB1004" s="36"/>
      <c r="AC1004" s="13"/>
      <c r="AD1004" s="13"/>
      <c r="AE1004" s="37"/>
      <c r="AF1004" s="37"/>
      <c r="AG1004" s="14"/>
      <c r="AH1004" s="14"/>
      <c r="AI1004" s="14"/>
      <c r="AZ1004" s="24"/>
    </row>
    <row r="1005">
      <c r="B1005" s="24"/>
      <c r="E1005" s="113"/>
      <c r="F1005" s="266"/>
      <c r="G1005" s="113"/>
      <c r="K1005" s="36"/>
      <c r="L1005" s="117"/>
      <c r="M1005" s="128"/>
      <c r="N1005" s="117"/>
      <c r="R1005" s="117"/>
      <c r="T1005" s="117"/>
      <c r="V1005" s="117"/>
      <c r="X1005" s="117"/>
      <c r="Y1005" s="10"/>
      <c r="Z1005" s="11"/>
      <c r="AA1005" s="36"/>
      <c r="AB1005" s="36"/>
      <c r="AC1005" s="13"/>
      <c r="AD1005" s="13"/>
      <c r="AE1005" s="37"/>
      <c r="AF1005" s="37"/>
      <c r="AG1005" s="14"/>
      <c r="AH1005" s="14"/>
      <c r="AI1005" s="14"/>
      <c r="AZ1005" s="24"/>
    </row>
    <row r="1006">
      <c r="B1006" s="24"/>
      <c r="E1006" s="113"/>
      <c r="F1006" s="266"/>
      <c r="G1006" s="113"/>
      <c r="K1006" s="36"/>
      <c r="L1006" s="117"/>
      <c r="M1006" s="128"/>
      <c r="N1006" s="117"/>
      <c r="R1006" s="117"/>
      <c r="T1006" s="117"/>
      <c r="V1006" s="117"/>
      <c r="X1006" s="117"/>
      <c r="Y1006" s="10"/>
      <c r="Z1006" s="11"/>
      <c r="AA1006" s="36"/>
      <c r="AB1006" s="36"/>
      <c r="AC1006" s="13"/>
      <c r="AD1006" s="13"/>
      <c r="AE1006" s="37"/>
      <c r="AF1006" s="37"/>
      <c r="AG1006" s="14"/>
      <c r="AH1006" s="14"/>
      <c r="AI1006" s="14"/>
      <c r="AZ1006" s="24"/>
    </row>
    <row r="1007">
      <c r="B1007" s="24"/>
      <c r="E1007" s="113"/>
      <c r="F1007" s="266"/>
      <c r="G1007" s="113"/>
      <c r="K1007" s="36"/>
      <c r="L1007" s="117"/>
      <c r="M1007" s="128"/>
      <c r="N1007" s="117"/>
      <c r="R1007" s="117"/>
      <c r="T1007" s="117"/>
      <c r="V1007" s="117"/>
      <c r="X1007" s="117"/>
      <c r="Y1007" s="10"/>
      <c r="Z1007" s="11"/>
      <c r="AA1007" s="36"/>
      <c r="AB1007" s="36"/>
      <c r="AC1007" s="13"/>
      <c r="AD1007" s="13"/>
      <c r="AE1007" s="37"/>
      <c r="AF1007" s="37"/>
      <c r="AG1007" s="14"/>
      <c r="AH1007" s="14"/>
      <c r="AI1007" s="14"/>
      <c r="AZ1007" s="24"/>
    </row>
    <row r="1008">
      <c r="B1008" s="24"/>
      <c r="E1008" s="113"/>
      <c r="F1008" s="266"/>
      <c r="G1008" s="113"/>
      <c r="K1008" s="36"/>
      <c r="L1008" s="117"/>
      <c r="M1008" s="128"/>
      <c r="N1008" s="117"/>
      <c r="R1008" s="117"/>
      <c r="T1008" s="117"/>
      <c r="V1008" s="117"/>
      <c r="X1008" s="117"/>
      <c r="Y1008" s="10"/>
      <c r="Z1008" s="11"/>
      <c r="AA1008" s="36"/>
      <c r="AB1008" s="36"/>
      <c r="AC1008" s="13"/>
      <c r="AD1008" s="13"/>
      <c r="AE1008" s="37"/>
      <c r="AF1008" s="37"/>
      <c r="AG1008" s="14"/>
      <c r="AH1008" s="14"/>
      <c r="AI1008" s="14"/>
      <c r="AZ1008" s="24"/>
    </row>
    <row r="1009">
      <c r="B1009" s="24"/>
      <c r="E1009" s="113"/>
      <c r="F1009" s="266"/>
      <c r="G1009" s="113"/>
      <c r="K1009" s="36"/>
      <c r="L1009" s="117"/>
      <c r="M1009" s="128"/>
      <c r="N1009" s="117"/>
      <c r="R1009" s="117"/>
      <c r="T1009" s="117"/>
      <c r="V1009" s="117"/>
      <c r="X1009" s="117"/>
      <c r="Y1009" s="10"/>
      <c r="Z1009" s="11"/>
      <c r="AA1009" s="36"/>
      <c r="AB1009" s="36"/>
      <c r="AC1009" s="13"/>
      <c r="AD1009" s="13"/>
      <c r="AE1009" s="37"/>
      <c r="AF1009" s="37"/>
      <c r="AG1009" s="14"/>
      <c r="AH1009" s="14"/>
      <c r="AI1009" s="14"/>
      <c r="AZ1009" s="24"/>
    </row>
    <row r="1010">
      <c r="B1010" s="24"/>
      <c r="E1010" s="113"/>
      <c r="F1010" s="266"/>
      <c r="G1010" s="113"/>
      <c r="K1010" s="36"/>
      <c r="L1010" s="117"/>
      <c r="M1010" s="128"/>
      <c r="N1010" s="117"/>
      <c r="R1010" s="117"/>
      <c r="T1010" s="117"/>
      <c r="V1010" s="117"/>
      <c r="X1010" s="117"/>
      <c r="Y1010" s="10"/>
      <c r="Z1010" s="11"/>
      <c r="AA1010" s="36"/>
      <c r="AB1010" s="36"/>
      <c r="AC1010" s="13"/>
      <c r="AD1010" s="13"/>
      <c r="AE1010" s="37"/>
      <c r="AF1010" s="37"/>
      <c r="AG1010" s="14"/>
      <c r="AH1010" s="14"/>
      <c r="AI1010" s="14"/>
      <c r="AZ1010" s="24"/>
    </row>
    <row r="1011">
      <c r="B1011" s="24"/>
      <c r="E1011" s="113"/>
      <c r="F1011" s="266"/>
      <c r="G1011" s="113"/>
      <c r="K1011" s="36"/>
      <c r="L1011" s="117"/>
      <c r="M1011" s="128"/>
      <c r="N1011" s="117"/>
      <c r="R1011" s="117"/>
      <c r="T1011" s="117"/>
      <c r="V1011" s="117"/>
      <c r="X1011" s="117"/>
      <c r="Y1011" s="10"/>
      <c r="Z1011" s="11"/>
      <c r="AA1011" s="36"/>
      <c r="AB1011" s="36"/>
      <c r="AC1011" s="13"/>
      <c r="AD1011" s="13"/>
      <c r="AE1011" s="37"/>
      <c r="AF1011" s="37"/>
      <c r="AG1011" s="14"/>
      <c r="AH1011" s="14"/>
      <c r="AI1011" s="14"/>
      <c r="AZ1011" s="24"/>
    </row>
    <row r="1012">
      <c r="B1012" s="24"/>
      <c r="E1012" s="113"/>
      <c r="F1012" s="266"/>
      <c r="G1012" s="113"/>
      <c r="K1012" s="36"/>
      <c r="L1012" s="117"/>
      <c r="M1012" s="128"/>
      <c r="N1012" s="117"/>
      <c r="R1012" s="117"/>
      <c r="T1012" s="117"/>
      <c r="V1012" s="117"/>
      <c r="X1012" s="117"/>
      <c r="Y1012" s="10"/>
      <c r="Z1012" s="11"/>
      <c r="AA1012" s="36"/>
      <c r="AB1012" s="36"/>
      <c r="AC1012" s="13"/>
      <c r="AD1012" s="13"/>
      <c r="AE1012" s="37"/>
      <c r="AF1012" s="37"/>
      <c r="AG1012" s="14"/>
      <c r="AH1012" s="14"/>
      <c r="AI1012" s="14"/>
      <c r="AZ1012" s="24"/>
    </row>
    <row r="1013">
      <c r="B1013" s="24"/>
      <c r="E1013" s="113"/>
      <c r="F1013" s="266"/>
      <c r="G1013" s="113"/>
      <c r="K1013" s="36"/>
      <c r="L1013" s="117"/>
      <c r="M1013" s="128"/>
      <c r="N1013" s="117"/>
      <c r="R1013" s="117"/>
      <c r="T1013" s="117"/>
      <c r="V1013" s="117"/>
      <c r="X1013" s="117"/>
      <c r="Y1013" s="10"/>
      <c r="Z1013" s="11"/>
      <c r="AA1013" s="36"/>
      <c r="AB1013" s="36"/>
      <c r="AC1013" s="13"/>
      <c r="AD1013" s="13"/>
      <c r="AE1013" s="37"/>
      <c r="AF1013" s="37"/>
      <c r="AG1013" s="14"/>
      <c r="AH1013" s="14"/>
      <c r="AI1013" s="14"/>
      <c r="AZ1013" s="24"/>
    </row>
    <row r="1014">
      <c r="B1014" s="24"/>
      <c r="E1014" s="113"/>
      <c r="F1014" s="266"/>
      <c r="G1014" s="113"/>
      <c r="K1014" s="36"/>
      <c r="L1014" s="117"/>
      <c r="M1014" s="128"/>
      <c r="N1014" s="117"/>
      <c r="R1014" s="117"/>
      <c r="T1014" s="117"/>
      <c r="V1014" s="117"/>
      <c r="X1014" s="117"/>
      <c r="Y1014" s="10"/>
      <c r="Z1014" s="11"/>
      <c r="AA1014" s="36"/>
      <c r="AB1014" s="36"/>
      <c r="AC1014" s="13"/>
      <c r="AD1014" s="13"/>
      <c r="AE1014" s="37"/>
      <c r="AF1014" s="37"/>
      <c r="AG1014" s="14"/>
      <c r="AH1014" s="14"/>
      <c r="AI1014" s="14"/>
      <c r="AZ1014" s="24"/>
    </row>
    <row r="1015">
      <c r="B1015" s="24"/>
      <c r="E1015" s="113"/>
      <c r="F1015" s="266"/>
      <c r="G1015" s="113"/>
      <c r="K1015" s="36"/>
      <c r="L1015" s="117"/>
      <c r="M1015" s="128"/>
      <c r="N1015" s="117"/>
      <c r="R1015" s="117"/>
      <c r="T1015" s="117"/>
      <c r="V1015" s="117"/>
      <c r="X1015" s="117"/>
      <c r="Y1015" s="10"/>
      <c r="Z1015" s="11"/>
      <c r="AA1015" s="36"/>
      <c r="AB1015" s="36"/>
      <c r="AC1015" s="13"/>
      <c r="AD1015" s="13"/>
      <c r="AE1015" s="37"/>
      <c r="AF1015" s="37"/>
      <c r="AG1015" s="14"/>
      <c r="AH1015" s="14"/>
      <c r="AI1015" s="14"/>
      <c r="AZ1015" s="24"/>
    </row>
    <row r="1016">
      <c r="B1016" s="24"/>
      <c r="E1016" s="113"/>
      <c r="F1016" s="266"/>
      <c r="G1016" s="113"/>
      <c r="K1016" s="36"/>
      <c r="L1016" s="117"/>
      <c r="M1016" s="128"/>
      <c r="N1016" s="117"/>
      <c r="R1016" s="117"/>
      <c r="T1016" s="117"/>
      <c r="V1016" s="117"/>
      <c r="X1016" s="117"/>
      <c r="Y1016" s="10"/>
      <c r="Z1016" s="11"/>
      <c r="AA1016" s="36"/>
      <c r="AB1016" s="36"/>
      <c r="AC1016" s="13"/>
      <c r="AD1016" s="13"/>
      <c r="AE1016" s="37"/>
      <c r="AF1016" s="37"/>
      <c r="AG1016" s="14"/>
      <c r="AH1016" s="14"/>
      <c r="AI1016" s="14"/>
      <c r="AZ1016" s="24"/>
    </row>
    <row r="1017">
      <c r="B1017" s="24"/>
      <c r="E1017" s="113"/>
      <c r="F1017" s="266"/>
      <c r="G1017" s="113"/>
      <c r="K1017" s="36"/>
      <c r="L1017" s="117"/>
      <c r="M1017" s="128"/>
      <c r="N1017" s="117"/>
      <c r="R1017" s="117"/>
      <c r="T1017" s="117"/>
      <c r="V1017" s="117"/>
      <c r="X1017" s="117"/>
      <c r="Y1017" s="10"/>
      <c r="Z1017" s="11"/>
      <c r="AA1017" s="36"/>
      <c r="AB1017" s="36"/>
      <c r="AC1017" s="13"/>
      <c r="AD1017" s="13"/>
      <c r="AE1017" s="37"/>
      <c r="AF1017" s="37"/>
      <c r="AG1017" s="14"/>
      <c r="AH1017" s="14"/>
      <c r="AI1017" s="14"/>
      <c r="AZ1017" s="24"/>
    </row>
    <row r="1018">
      <c r="B1018" s="24"/>
      <c r="E1018" s="113"/>
      <c r="F1018" s="266"/>
      <c r="G1018" s="113"/>
      <c r="K1018" s="36"/>
      <c r="L1018" s="117"/>
      <c r="M1018" s="128"/>
      <c r="N1018" s="117"/>
      <c r="R1018" s="117"/>
      <c r="T1018" s="117"/>
      <c r="V1018" s="117"/>
      <c r="X1018" s="117"/>
      <c r="Y1018" s="10"/>
      <c r="Z1018" s="11"/>
      <c r="AA1018" s="36"/>
      <c r="AB1018" s="36"/>
      <c r="AC1018" s="13"/>
      <c r="AD1018" s="13"/>
      <c r="AE1018" s="37"/>
      <c r="AF1018" s="37"/>
      <c r="AG1018" s="14"/>
      <c r="AH1018" s="14"/>
      <c r="AI1018" s="14"/>
      <c r="AZ1018" s="24"/>
    </row>
    <row r="1019">
      <c r="B1019" s="24"/>
      <c r="E1019" s="113"/>
      <c r="F1019" s="266"/>
      <c r="G1019" s="113"/>
      <c r="K1019" s="36"/>
      <c r="L1019" s="117"/>
      <c r="M1019" s="128"/>
      <c r="N1019" s="117"/>
      <c r="R1019" s="117"/>
      <c r="T1019" s="117"/>
      <c r="V1019" s="117"/>
      <c r="X1019" s="117"/>
      <c r="Y1019" s="10"/>
      <c r="Z1019" s="11"/>
      <c r="AA1019" s="36"/>
      <c r="AB1019" s="36"/>
      <c r="AC1019" s="13"/>
      <c r="AD1019" s="13"/>
      <c r="AE1019" s="37"/>
      <c r="AF1019" s="37"/>
      <c r="AG1019" s="14"/>
      <c r="AH1019" s="14"/>
      <c r="AI1019" s="14"/>
      <c r="AZ1019" s="24"/>
    </row>
    <row r="1020">
      <c r="B1020" s="24"/>
      <c r="E1020" s="113"/>
      <c r="F1020" s="266"/>
      <c r="G1020" s="113"/>
      <c r="K1020" s="36"/>
      <c r="L1020" s="117"/>
      <c r="M1020" s="128"/>
      <c r="N1020" s="117"/>
      <c r="R1020" s="117"/>
      <c r="T1020" s="117"/>
      <c r="V1020" s="117"/>
      <c r="X1020" s="117"/>
      <c r="Y1020" s="10"/>
      <c r="Z1020" s="11"/>
      <c r="AA1020" s="36"/>
      <c r="AB1020" s="36"/>
      <c r="AC1020" s="13"/>
      <c r="AD1020" s="13"/>
      <c r="AE1020" s="37"/>
      <c r="AF1020" s="37"/>
      <c r="AG1020" s="14"/>
      <c r="AH1020" s="14"/>
      <c r="AI1020" s="14"/>
      <c r="AZ1020" s="24"/>
    </row>
    <row r="1021">
      <c r="B1021" s="24"/>
      <c r="E1021" s="113"/>
      <c r="F1021" s="266"/>
      <c r="G1021" s="113"/>
      <c r="K1021" s="36"/>
      <c r="L1021" s="117"/>
      <c r="M1021" s="128"/>
      <c r="N1021" s="117"/>
      <c r="R1021" s="117"/>
      <c r="T1021" s="117"/>
      <c r="V1021" s="117"/>
      <c r="X1021" s="117"/>
      <c r="Y1021" s="10"/>
      <c r="Z1021" s="11"/>
      <c r="AA1021" s="36"/>
      <c r="AB1021" s="36"/>
      <c r="AC1021" s="13"/>
      <c r="AD1021" s="13"/>
      <c r="AE1021" s="37"/>
      <c r="AF1021" s="37"/>
      <c r="AG1021" s="14"/>
      <c r="AH1021" s="14"/>
      <c r="AI1021" s="14"/>
      <c r="AZ1021" s="24"/>
    </row>
    <row r="1022">
      <c r="B1022" s="24"/>
      <c r="E1022" s="113"/>
      <c r="F1022" s="266"/>
      <c r="G1022" s="113"/>
      <c r="K1022" s="36"/>
      <c r="L1022" s="117"/>
      <c r="M1022" s="128"/>
      <c r="N1022" s="117"/>
      <c r="R1022" s="117"/>
      <c r="T1022" s="117"/>
      <c r="V1022" s="117"/>
      <c r="X1022" s="117"/>
      <c r="Y1022" s="10"/>
      <c r="Z1022" s="11"/>
      <c r="AA1022" s="36"/>
      <c r="AB1022" s="36"/>
      <c r="AC1022" s="13"/>
      <c r="AD1022" s="13"/>
      <c r="AE1022" s="37"/>
      <c r="AF1022" s="37"/>
      <c r="AG1022" s="14"/>
      <c r="AH1022" s="14"/>
      <c r="AI1022" s="14"/>
      <c r="AZ1022" s="24"/>
    </row>
    <row r="1023">
      <c r="B1023" s="24"/>
      <c r="E1023" s="113"/>
      <c r="F1023" s="266"/>
      <c r="G1023" s="113"/>
      <c r="K1023" s="36"/>
      <c r="L1023" s="117"/>
      <c r="M1023" s="128"/>
      <c r="N1023" s="117"/>
      <c r="R1023" s="117"/>
      <c r="T1023" s="117"/>
      <c r="V1023" s="117"/>
      <c r="X1023" s="117"/>
      <c r="Y1023" s="10"/>
      <c r="Z1023" s="11"/>
      <c r="AA1023" s="36"/>
      <c r="AB1023" s="36"/>
      <c r="AC1023" s="13"/>
      <c r="AD1023" s="13"/>
      <c r="AE1023" s="37"/>
      <c r="AF1023" s="37"/>
      <c r="AG1023" s="14"/>
      <c r="AH1023" s="14"/>
      <c r="AI1023" s="14"/>
      <c r="AZ1023" s="24"/>
    </row>
    <row r="1024">
      <c r="B1024" s="24"/>
      <c r="E1024" s="113"/>
      <c r="F1024" s="266"/>
      <c r="G1024" s="113"/>
      <c r="K1024" s="36"/>
      <c r="L1024" s="117"/>
      <c r="M1024" s="128"/>
      <c r="N1024" s="117"/>
      <c r="R1024" s="117"/>
      <c r="T1024" s="117"/>
      <c r="V1024" s="117"/>
      <c r="X1024" s="117"/>
      <c r="Y1024" s="10"/>
      <c r="Z1024" s="11"/>
      <c r="AA1024" s="36"/>
      <c r="AB1024" s="36"/>
      <c r="AC1024" s="13"/>
      <c r="AD1024" s="13"/>
      <c r="AE1024" s="37"/>
      <c r="AF1024" s="37"/>
      <c r="AG1024" s="14"/>
      <c r="AH1024" s="14"/>
      <c r="AI1024" s="14"/>
      <c r="AZ1024" s="24"/>
    </row>
    <row r="1025">
      <c r="B1025" s="24"/>
      <c r="E1025" s="113"/>
      <c r="F1025" s="266"/>
      <c r="G1025" s="113"/>
      <c r="K1025" s="36"/>
      <c r="L1025" s="117"/>
      <c r="M1025" s="128"/>
      <c r="N1025" s="117"/>
      <c r="R1025" s="117"/>
      <c r="T1025" s="117"/>
      <c r="V1025" s="117"/>
      <c r="X1025" s="117"/>
      <c r="Y1025" s="10"/>
      <c r="Z1025" s="11"/>
      <c r="AA1025" s="36"/>
      <c r="AB1025" s="36"/>
      <c r="AC1025" s="13"/>
      <c r="AD1025" s="13"/>
      <c r="AE1025" s="37"/>
      <c r="AF1025" s="37"/>
      <c r="AG1025" s="14"/>
      <c r="AH1025" s="14"/>
      <c r="AI1025" s="14"/>
      <c r="AZ1025" s="24"/>
    </row>
    <row r="1026">
      <c r="B1026" s="24"/>
      <c r="E1026" s="113"/>
      <c r="F1026" s="266"/>
      <c r="G1026" s="113"/>
      <c r="K1026" s="36"/>
      <c r="L1026" s="117"/>
      <c r="M1026" s="128"/>
      <c r="N1026" s="117"/>
      <c r="R1026" s="117"/>
      <c r="T1026" s="117"/>
      <c r="V1026" s="117"/>
      <c r="X1026" s="117"/>
      <c r="Y1026" s="10"/>
      <c r="Z1026" s="11"/>
      <c r="AA1026" s="36"/>
      <c r="AB1026" s="36"/>
      <c r="AC1026" s="13"/>
      <c r="AD1026" s="13"/>
      <c r="AE1026" s="37"/>
      <c r="AF1026" s="37"/>
      <c r="AG1026" s="14"/>
      <c r="AH1026" s="14"/>
      <c r="AI1026" s="14"/>
      <c r="AZ1026" s="24"/>
    </row>
    <row r="1027">
      <c r="B1027" s="24"/>
      <c r="E1027" s="113"/>
      <c r="F1027" s="266"/>
      <c r="G1027" s="113"/>
      <c r="K1027" s="36"/>
      <c r="L1027" s="117"/>
      <c r="M1027" s="128"/>
      <c r="N1027" s="117"/>
      <c r="R1027" s="117"/>
      <c r="T1027" s="117"/>
      <c r="V1027" s="117"/>
      <c r="X1027" s="117"/>
      <c r="Y1027" s="10"/>
      <c r="Z1027" s="11"/>
      <c r="AA1027" s="36"/>
      <c r="AB1027" s="36"/>
      <c r="AC1027" s="13"/>
      <c r="AD1027" s="13"/>
      <c r="AE1027" s="37"/>
      <c r="AF1027" s="37"/>
      <c r="AG1027" s="14"/>
      <c r="AH1027" s="14"/>
      <c r="AI1027" s="14"/>
      <c r="AZ1027" s="24"/>
    </row>
    <row r="1028">
      <c r="B1028" s="24"/>
      <c r="E1028" s="113"/>
      <c r="F1028" s="266"/>
      <c r="G1028" s="113"/>
      <c r="K1028" s="36"/>
      <c r="L1028" s="117"/>
      <c r="M1028" s="128"/>
      <c r="N1028" s="117"/>
      <c r="R1028" s="117"/>
      <c r="T1028" s="117"/>
      <c r="V1028" s="117"/>
      <c r="X1028" s="117"/>
      <c r="Y1028" s="10"/>
      <c r="Z1028" s="11"/>
      <c r="AA1028" s="36"/>
      <c r="AB1028" s="36"/>
      <c r="AC1028" s="13"/>
      <c r="AD1028" s="13"/>
      <c r="AE1028" s="37"/>
      <c r="AF1028" s="37"/>
      <c r="AG1028" s="14"/>
      <c r="AH1028" s="14"/>
      <c r="AI1028" s="14"/>
      <c r="AZ1028" s="24"/>
    </row>
    <row r="1029">
      <c r="B1029" s="24"/>
      <c r="E1029" s="113"/>
      <c r="F1029" s="266"/>
      <c r="G1029" s="113"/>
      <c r="K1029" s="36"/>
      <c r="L1029" s="117"/>
      <c r="M1029" s="128"/>
      <c r="N1029" s="117"/>
      <c r="R1029" s="117"/>
      <c r="T1029" s="117"/>
      <c r="V1029" s="117"/>
      <c r="X1029" s="117"/>
      <c r="Y1029" s="10"/>
      <c r="Z1029" s="11"/>
      <c r="AA1029" s="36"/>
      <c r="AB1029" s="36"/>
      <c r="AC1029" s="13"/>
      <c r="AD1029" s="13"/>
      <c r="AE1029" s="37"/>
      <c r="AF1029" s="37"/>
      <c r="AG1029" s="14"/>
      <c r="AH1029" s="14"/>
      <c r="AI1029" s="14"/>
      <c r="AZ1029" s="24"/>
    </row>
    <row r="1030">
      <c r="B1030" s="24"/>
      <c r="E1030" s="113"/>
      <c r="F1030" s="266"/>
      <c r="G1030" s="113"/>
      <c r="K1030" s="36"/>
      <c r="L1030" s="117"/>
      <c r="M1030" s="128"/>
      <c r="N1030" s="117"/>
      <c r="R1030" s="117"/>
      <c r="T1030" s="117"/>
      <c r="V1030" s="117"/>
      <c r="X1030" s="117"/>
      <c r="Y1030" s="10"/>
      <c r="Z1030" s="11"/>
      <c r="AA1030" s="36"/>
      <c r="AB1030" s="36"/>
      <c r="AC1030" s="13"/>
      <c r="AD1030" s="13"/>
      <c r="AE1030" s="37"/>
      <c r="AF1030" s="37"/>
      <c r="AG1030" s="14"/>
      <c r="AH1030" s="14"/>
      <c r="AI1030" s="14"/>
      <c r="AZ1030" s="24"/>
    </row>
    <row r="1031">
      <c r="B1031" s="24"/>
      <c r="E1031" s="113"/>
      <c r="F1031" s="266"/>
      <c r="G1031" s="113"/>
      <c r="K1031" s="36"/>
      <c r="L1031" s="117"/>
      <c r="M1031" s="128"/>
      <c r="N1031" s="117"/>
      <c r="R1031" s="117"/>
      <c r="T1031" s="117"/>
      <c r="V1031" s="117"/>
      <c r="X1031" s="117"/>
      <c r="Y1031" s="10"/>
      <c r="Z1031" s="11"/>
      <c r="AA1031" s="36"/>
      <c r="AB1031" s="36"/>
      <c r="AC1031" s="13"/>
      <c r="AD1031" s="13"/>
      <c r="AE1031" s="37"/>
      <c r="AF1031" s="37"/>
      <c r="AG1031" s="14"/>
      <c r="AH1031" s="14"/>
      <c r="AI1031" s="14"/>
      <c r="AZ1031" s="24"/>
    </row>
    <row r="1032">
      <c r="B1032" s="24"/>
      <c r="E1032" s="113"/>
      <c r="F1032" s="266"/>
      <c r="G1032" s="113"/>
      <c r="K1032" s="36"/>
      <c r="L1032" s="117"/>
      <c r="M1032" s="128"/>
      <c r="N1032" s="117"/>
      <c r="R1032" s="117"/>
      <c r="T1032" s="117"/>
      <c r="V1032" s="117"/>
      <c r="X1032" s="117"/>
      <c r="Y1032" s="10"/>
      <c r="Z1032" s="11"/>
      <c r="AA1032" s="36"/>
      <c r="AB1032" s="36"/>
      <c r="AC1032" s="13"/>
      <c r="AD1032" s="13"/>
      <c r="AE1032" s="37"/>
      <c r="AF1032" s="37"/>
      <c r="AG1032" s="14"/>
      <c r="AH1032" s="14"/>
      <c r="AI1032" s="14"/>
      <c r="AZ1032" s="24"/>
    </row>
    <row r="1033">
      <c r="B1033" s="24"/>
      <c r="E1033" s="113"/>
      <c r="F1033" s="266"/>
      <c r="G1033" s="113"/>
      <c r="K1033" s="36"/>
      <c r="L1033" s="117"/>
      <c r="M1033" s="128"/>
      <c r="N1033" s="117"/>
      <c r="R1033" s="117"/>
      <c r="T1033" s="117"/>
      <c r="V1033" s="117"/>
      <c r="X1033" s="117"/>
      <c r="Y1033" s="10"/>
      <c r="Z1033" s="11"/>
      <c r="AA1033" s="36"/>
      <c r="AB1033" s="36"/>
      <c r="AC1033" s="13"/>
      <c r="AD1033" s="13"/>
      <c r="AE1033" s="37"/>
      <c r="AF1033" s="37"/>
      <c r="AG1033" s="14"/>
      <c r="AH1033" s="14"/>
      <c r="AI1033" s="14"/>
      <c r="AZ1033" s="24"/>
    </row>
    <row r="1034">
      <c r="B1034" s="24"/>
      <c r="E1034" s="113"/>
      <c r="F1034" s="266"/>
      <c r="G1034" s="113"/>
      <c r="K1034" s="36"/>
      <c r="L1034" s="117"/>
      <c r="M1034" s="128"/>
      <c r="N1034" s="117"/>
      <c r="R1034" s="117"/>
      <c r="T1034" s="117"/>
      <c r="V1034" s="117"/>
      <c r="X1034" s="117"/>
      <c r="Y1034" s="10"/>
      <c r="Z1034" s="11"/>
      <c r="AA1034" s="36"/>
      <c r="AB1034" s="36"/>
      <c r="AC1034" s="13"/>
      <c r="AD1034" s="13"/>
      <c r="AE1034" s="37"/>
      <c r="AF1034" s="37"/>
      <c r="AG1034" s="14"/>
      <c r="AH1034" s="14"/>
      <c r="AI1034" s="14"/>
      <c r="AZ1034" s="24"/>
    </row>
    <row r="1035">
      <c r="B1035" s="24"/>
      <c r="E1035" s="113"/>
      <c r="F1035" s="266"/>
      <c r="G1035" s="113"/>
      <c r="K1035" s="36"/>
      <c r="L1035" s="117"/>
      <c r="M1035" s="128"/>
      <c r="N1035" s="117"/>
      <c r="R1035" s="117"/>
      <c r="T1035" s="117"/>
      <c r="V1035" s="117"/>
      <c r="X1035" s="117"/>
      <c r="Y1035" s="10"/>
      <c r="Z1035" s="11"/>
      <c r="AA1035" s="36"/>
      <c r="AB1035" s="36"/>
      <c r="AC1035" s="13"/>
      <c r="AD1035" s="13"/>
      <c r="AE1035" s="37"/>
      <c r="AF1035" s="37"/>
      <c r="AG1035" s="14"/>
      <c r="AH1035" s="14"/>
      <c r="AI1035" s="14"/>
      <c r="AZ1035" s="24"/>
    </row>
    <row r="1036">
      <c r="B1036" s="24"/>
      <c r="E1036" s="113"/>
      <c r="F1036" s="266"/>
      <c r="G1036" s="113"/>
      <c r="K1036" s="36"/>
      <c r="L1036" s="117"/>
      <c r="M1036" s="128"/>
      <c r="N1036" s="117"/>
      <c r="R1036" s="117"/>
      <c r="T1036" s="117"/>
      <c r="V1036" s="117"/>
      <c r="X1036" s="117"/>
      <c r="Y1036" s="10"/>
      <c r="Z1036" s="11"/>
      <c r="AA1036" s="36"/>
      <c r="AB1036" s="36"/>
      <c r="AC1036" s="13"/>
      <c r="AD1036" s="13"/>
      <c r="AE1036" s="37"/>
      <c r="AF1036" s="37"/>
      <c r="AG1036" s="14"/>
      <c r="AH1036" s="14"/>
      <c r="AI1036" s="14"/>
      <c r="AZ1036" s="24"/>
    </row>
    <row r="1037">
      <c r="B1037" s="24"/>
      <c r="E1037" s="113"/>
      <c r="F1037" s="266"/>
      <c r="G1037" s="113"/>
      <c r="K1037" s="36"/>
      <c r="L1037" s="117"/>
      <c r="M1037" s="128"/>
      <c r="N1037" s="117"/>
      <c r="R1037" s="117"/>
      <c r="T1037" s="117"/>
      <c r="V1037" s="117"/>
      <c r="X1037" s="117"/>
      <c r="Y1037" s="10"/>
      <c r="Z1037" s="11"/>
      <c r="AA1037" s="36"/>
      <c r="AB1037" s="36"/>
      <c r="AC1037" s="13"/>
      <c r="AD1037" s="13"/>
      <c r="AE1037" s="37"/>
      <c r="AF1037" s="37"/>
      <c r="AG1037" s="14"/>
      <c r="AH1037" s="14"/>
      <c r="AI1037" s="14"/>
      <c r="AZ1037" s="24"/>
    </row>
    <row r="1038">
      <c r="B1038" s="24"/>
      <c r="E1038" s="113"/>
      <c r="F1038" s="266"/>
      <c r="G1038" s="113"/>
      <c r="K1038" s="36"/>
      <c r="L1038" s="117"/>
      <c r="M1038" s="128"/>
      <c r="N1038" s="117"/>
      <c r="R1038" s="117"/>
      <c r="T1038" s="117"/>
      <c r="V1038" s="117"/>
      <c r="X1038" s="117"/>
      <c r="Y1038" s="10"/>
      <c r="Z1038" s="11"/>
      <c r="AA1038" s="36"/>
      <c r="AB1038" s="36"/>
      <c r="AC1038" s="13"/>
      <c r="AD1038" s="13"/>
      <c r="AE1038" s="37"/>
      <c r="AF1038" s="37"/>
      <c r="AG1038" s="14"/>
      <c r="AH1038" s="14"/>
      <c r="AI1038" s="14"/>
      <c r="AZ1038" s="24"/>
    </row>
    <row r="1039">
      <c r="B1039" s="24"/>
      <c r="E1039" s="113"/>
      <c r="F1039" s="266"/>
      <c r="G1039" s="113"/>
      <c r="K1039" s="36"/>
      <c r="L1039" s="117"/>
      <c r="M1039" s="128"/>
      <c r="N1039" s="117"/>
      <c r="R1039" s="117"/>
      <c r="T1039" s="117"/>
      <c r="V1039" s="117"/>
      <c r="X1039" s="117"/>
      <c r="Y1039" s="10"/>
      <c r="Z1039" s="11"/>
      <c r="AA1039" s="36"/>
      <c r="AB1039" s="36"/>
      <c r="AC1039" s="13"/>
      <c r="AD1039" s="13"/>
      <c r="AE1039" s="37"/>
      <c r="AF1039" s="37"/>
      <c r="AG1039" s="14"/>
      <c r="AH1039" s="14"/>
      <c r="AI1039" s="14"/>
      <c r="AZ1039" s="24"/>
    </row>
    <row r="1040">
      <c r="B1040" s="24"/>
      <c r="E1040" s="113"/>
      <c r="F1040" s="266"/>
      <c r="G1040" s="113"/>
      <c r="K1040" s="36"/>
      <c r="L1040" s="117"/>
      <c r="M1040" s="128"/>
      <c r="N1040" s="117"/>
      <c r="R1040" s="117"/>
      <c r="T1040" s="117"/>
      <c r="V1040" s="117"/>
      <c r="X1040" s="117"/>
      <c r="Y1040" s="10"/>
      <c r="Z1040" s="11"/>
      <c r="AA1040" s="36"/>
      <c r="AB1040" s="36"/>
      <c r="AC1040" s="13"/>
      <c r="AD1040" s="13"/>
      <c r="AE1040" s="37"/>
      <c r="AF1040" s="37"/>
      <c r="AG1040" s="14"/>
      <c r="AH1040" s="14"/>
      <c r="AI1040" s="14"/>
      <c r="AZ1040" s="24"/>
    </row>
    <row r="1041">
      <c r="B1041" s="24"/>
      <c r="E1041" s="113"/>
      <c r="F1041" s="266"/>
      <c r="G1041" s="113"/>
      <c r="K1041" s="36"/>
      <c r="L1041" s="117"/>
      <c r="M1041" s="128"/>
      <c r="N1041" s="117"/>
      <c r="R1041" s="117"/>
      <c r="T1041" s="117"/>
      <c r="V1041" s="117"/>
      <c r="X1041" s="117"/>
      <c r="Y1041" s="10"/>
      <c r="Z1041" s="11"/>
      <c r="AA1041" s="36"/>
      <c r="AB1041" s="36"/>
      <c r="AC1041" s="13"/>
      <c r="AD1041" s="13"/>
      <c r="AE1041" s="37"/>
      <c r="AF1041" s="37"/>
      <c r="AG1041" s="14"/>
      <c r="AH1041" s="14"/>
      <c r="AI1041" s="14"/>
      <c r="AZ1041" s="24"/>
    </row>
    <row r="1042">
      <c r="B1042" s="24"/>
      <c r="E1042" s="113"/>
      <c r="F1042" s="266"/>
      <c r="G1042" s="113"/>
      <c r="K1042" s="36"/>
      <c r="L1042" s="117"/>
      <c r="M1042" s="128"/>
      <c r="N1042" s="117"/>
      <c r="R1042" s="117"/>
      <c r="T1042" s="117"/>
      <c r="V1042" s="117"/>
      <c r="X1042" s="117"/>
      <c r="Y1042" s="10"/>
      <c r="Z1042" s="11"/>
      <c r="AA1042" s="36"/>
      <c r="AB1042" s="36"/>
      <c r="AC1042" s="13"/>
      <c r="AD1042" s="13"/>
      <c r="AE1042" s="37"/>
      <c r="AF1042" s="37"/>
      <c r="AG1042" s="14"/>
      <c r="AH1042" s="14"/>
      <c r="AI1042" s="14"/>
      <c r="AZ1042" s="24"/>
    </row>
    <row r="1043">
      <c r="B1043" s="24"/>
      <c r="E1043" s="113"/>
      <c r="F1043" s="266"/>
      <c r="G1043" s="113"/>
      <c r="K1043" s="36"/>
      <c r="L1043" s="117"/>
      <c r="M1043" s="128"/>
      <c r="N1043" s="117"/>
      <c r="R1043" s="117"/>
      <c r="T1043" s="117"/>
      <c r="V1043" s="117"/>
      <c r="X1043" s="117"/>
      <c r="Y1043" s="10"/>
      <c r="Z1043" s="11"/>
      <c r="AA1043" s="36"/>
      <c r="AB1043" s="36"/>
      <c r="AC1043" s="13"/>
      <c r="AD1043" s="13"/>
      <c r="AE1043" s="37"/>
      <c r="AF1043" s="37"/>
      <c r="AG1043" s="14"/>
      <c r="AH1043" s="14"/>
      <c r="AI1043" s="14"/>
      <c r="AZ1043" s="24"/>
    </row>
    <row r="1044">
      <c r="B1044" s="24"/>
      <c r="E1044" s="113"/>
      <c r="F1044" s="266"/>
      <c r="G1044" s="113"/>
      <c r="K1044" s="36"/>
      <c r="L1044" s="117"/>
      <c r="M1044" s="128"/>
      <c r="N1044" s="117"/>
      <c r="R1044" s="117"/>
      <c r="T1044" s="117"/>
      <c r="V1044" s="117"/>
      <c r="X1044" s="117"/>
      <c r="Y1044" s="10"/>
      <c r="Z1044" s="11"/>
      <c r="AA1044" s="36"/>
      <c r="AB1044" s="36"/>
      <c r="AC1044" s="13"/>
      <c r="AD1044" s="13"/>
      <c r="AE1044" s="37"/>
      <c r="AF1044" s="37"/>
      <c r="AG1044" s="14"/>
      <c r="AH1044" s="14"/>
      <c r="AI1044" s="14"/>
      <c r="AZ1044" s="24"/>
    </row>
    <row r="1045">
      <c r="B1045" s="24"/>
      <c r="E1045" s="113"/>
      <c r="F1045" s="266"/>
      <c r="G1045" s="113"/>
      <c r="K1045" s="36"/>
      <c r="L1045" s="117"/>
      <c r="M1045" s="128"/>
      <c r="N1045" s="117"/>
      <c r="R1045" s="117"/>
      <c r="T1045" s="117"/>
      <c r="V1045" s="117"/>
      <c r="X1045" s="117"/>
      <c r="Y1045" s="10"/>
      <c r="Z1045" s="11"/>
      <c r="AA1045" s="36"/>
      <c r="AB1045" s="36"/>
      <c r="AC1045" s="13"/>
      <c r="AD1045" s="13"/>
      <c r="AE1045" s="37"/>
      <c r="AF1045" s="37"/>
      <c r="AG1045" s="14"/>
      <c r="AH1045" s="14"/>
      <c r="AI1045" s="14"/>
      <c r="AZ1045" s="24"/>
    </row>
    <row r="1046">
      <c r="B1046" s="24"/>
      <c r="E1046" s="113"/>
      <c r="F1046" s="266"/>
      <c r="G1046" s="113"/>
      <c r="K1046" s="36"/>
      <c r="L1046" s="117"/>
      <c r="M1046" s="128"/>
      <c r="N1046" s="117"/>
      <c r="R1046" s="117"/>
      <c r="T1046" s="117"/>
      <c r="V1046" s="117"/>
      <c r="X1046" s="117"/>
      <c r="Y1046" s="10"/>
      <c r="Z1046" s="11"/>
      <c r="AA1046" s="36"/>
      <c r="AB1046" s="36"/>
      <c r="AC1046" s="13"/>
      <c r="AD1046" s="13"/>
      <c r="AE1046" s="37"/>
      <c r="AF1046" s="37"/>
      <c r="AG1046" s="14"/>
      <c r="AH1046" s="14"/>
      <c r="AI1046" s="14"/>
      <c r="AZ1046" s="24"/>
    </row>
    <row r="1047">
      <c r="B1047" s="24"/>
      <c r="E1047" s="113"/>
      <c r="F1047" s="266"/>
      <c r="G1047" s="113"/>
      <c r="K1047" s="36"/>
      <c r="L1047" s="117"/>
      <c r="M1047" s="128"/>
      <c r="N1047" s="117"/>
      <c r="R1047" s="117"/>
      <c r="T1047" s="117"/>
      <c r="V1047" s="117"/>
      <c r="X1047" s="117"/>
      <c r="Y1047" s="10"/>
      <c r="Z1047" s="11"/>
      <c r="AA1047" s="36"/>
      <c r="AB1047" s="36"/>
      <c r="AC1047" s="13"/>
      <c r="AD1047" s="13"/>
      <c r="AE1047" s="37"/>
      <c r="AF1047" s="37"/>
      <c r="AG1047" s="14"/>
      <c r="AH1047" s="14"/>
      <c r="AI1047" s="14"/>
      <c r="AZ1047" s="24"/>
    </row>
    <row r="1048">
      <c r="B1048" s="24"/>
      <c r="E1048" s="113"/>
      <c r="F1048" s="266"/>
      <c r="G1048" s="113"/>
      <c r="K1048" s="36"/>
      <c r="L1048" s="117"/>
      <c r="M1048" s="128"/>
      <c r="N1048" s="117"/>
      <c r="R1048" s="117"/>
      <c r="T1048" s="117"/>
      <c r="V1048" s="117"/>
      <c r="X1048" s="117"/>
      <c r="Y1048" s="10"/>
      <c r="Z1048" s="11"/>
      <c r="AA1048" s="36"/>
      <c r="AB1048" s="36"/>
      <c r="AC1048" s="13"/>
      <c r="AD1048" s="13"/>
      <c r="AE1048" s="37"/>
      <c r="AF1048" s="37"/>
      <c r="AG1048" s="14"/>
      <c r="AH1048" s="14"/>
      <c r="AI1048" s="14"/>
      <c r="AZ1048" s="24"/>
    </row>
    <row r="1049">
      <c r="B1049" s="24"/>
      <c r="E1049" s="113"/>
      <c r="F1049" s="266"/>
      <c r="G1049" s="113"/>
      <c r="K1049" s="36"/>
      <c r="L1049" s="117"/>
      <c r="M1049" s="128"/>
      <c r="N1049" s="117"/>
      <c r="R1049" s="117"/>
      <c r="T1049" s="117"/>
      <c r="V1049" s="117"/>
      <c r="X1049" s="117"/>
      <c r="Y1049" s="10"/>
      <c r="Z1049" s="11"/>
      <c r="AA1049" s="36"/>
      <c r="AB1049" s="36"/>
      <c r="AC1049" s="13"/>
      <c r="AD1049" s="13"/>
      <c r="AE1049" s="37"/>
      <c r="AF1049" s="37"/>
      <c r="AG1049" s="14"/>
      <c r="AH1049" s="14"/>
      <c r="AI1049" s="14"/>
      <c r="AZ1049" s="24"/>
    </row>
    <row r="1050">
      <c r="B1050" s="24"/>
      <c r="E1050" s="113"/>
      <c r="F1050" s="266"/>
      <c r="G1050" s="113"/>
      <c r="K1050" s="36"/>
      <c r="L1050" s="117"/>
      <c r="M1050" s="128"/>
      <c r="N1050" s="117"/>
      <c r="R1050" s="117"/>
      <c r="T1050" s="117"/>
      <c r="V1050" s="117"/>
      <c r="X1050" s="117"/>
      <c r="Y1050" s="10"/>
      <c r="Z1050" s="11"/>
      <c r="AA1050" s="36"/>
      <c r="AB1050" s="36"/>
      <c r="AC1050" s="13"/>
      <c r="AD1050" s="13"/>
      <c r="AE1050" s="37"/>
      <c r="AF1050" s="37"/>
      <c r="AG1050" s="14"/>
      <c r="AH1050" s="14"/>
      <c r="AI1050" s="14"/>
      <c r="AZ1050" s="24"/>
    </row>
    <row r="1051">
      <c r="B1051" s="24"/>
      <c r="E1051" s="113"/>
      <c r="F1051" s="266"/>
      <c r="G1051" s="113"/>
      <c r="K1051" s="36"/>
      <c r="L1051" s="117"/>
      <c r="M1051" s="128"/>
      <c r="N1051" s="117"/>
      <c r="R1051" s="117"/>
      <c r="T1051" s="117"/>
      <c r="V1051" s="117"/>
      <c r="X1051" s="117"/>
      <c r="Y1051" s="10"/>
      <c r="Z1051" s="11"/>
      <c r="AA1051" s="36"/>
      <c r="AB1051" s="36"/>
      <c r="AC1051" s="13"/>
      <c r="AD1051" s="13"/>
      <c r="AE1051" s="37"/>
      <c r="AF1051" s="37"/>
      <c r="AG1051" s="14"/>
      <c r="AH1051" s="14"/>
      <c r="AI1051" s="14"/>
      <c r="AZ1051" s="24"/>
    </row>
    <row r="1052">
      <c r="B1052" s="24"/>
      <c r="E1052" s="113"/>
      <c r="F1052" s="266"/>
      <c r="G1052" s="113"/>
      <c r="K1052" s="36"/>
      <c r="L1052" s="117"/>
      <c r="M1052" s="128"/>
      <c r="N1052" s="117"/>
      <c r="R1052" s="117"/>
      <c r="T1052" s="117"/>
      <c r="V1052" s="117"/>
      <c r="X1052" s="117"/>
      <c r="Y1052" s="10"/>
      <c r="Z1052" s="11"/>
      <c r="AA1052" s="36"/>
      <c r="AB1052" s="36"/>
      <c r="AC1052" s="13"/>
      <c r="AD1052" s="13"/>
      <c r="AE1052" s="37"/>
      <c r="AF1052" s="37"/>
      <c r="AG1052" s="14"/>
      <c r="AH1052" s="14"/>
      <c r="AI1052" s="14"/>
      <c r="AZ1052" s="24"/>
    </row>
    <row r="1053">
      <c r="B1053" s="24"/>
      <c r="E1053" s="113"/>
      <c r="F1053" s="266"/>
      <c r="G1053" s="113"/>
      <c r="K1053" s="36"/>
      <c r="L1053" s="117"/>
      <c r="M1053" s="128"/>
      <c r="N1053" s="117"/>
      <c r="R1053" s="117"/>
      <c r="T1053" s="117"/>
      <c r="V1053" s="117"/>
      <c r="X1053" s="117"/>
      <c r="Y1053" s="10"/>
      <c r="Z1053" s="11"/>
      <c r="AA1053" s="36"/>
      <c r="AB1053" s="36"/>
      <c r="AC1053" s="13"/>
      <c r="AD1053" s="13"/>
      <c r="AE1053" s="37"/>
      <c r="AF1053" s="37"/>
      <c r="AG1053" s="14"/>
      <c r="AH1053" s="14"/>
      <c r="AI1053" s="14"/>
      <c r="AZ1053" s="24"/>
    </row>
    <row r="1054">
      <c r="B1054" s="24"/>
      <c r="E1054" s="113"/>
      <c r="F1054" s="266"/>
      <c r="G1054" s="113"/>
      <c r="K1054" s="36"/>
      <c r="L1054" s="117"/>
      <c r="M1054" s="128"/>
      <c r="N1054" s="117"/>
      <c r="R1054" s="117"/>
      <c r="T1054" s="117"/>
      <c r="V1054" s="117"/>
      <c r="X1054" s="117"/>
      <c r="Y1054" s="10"/>
      <c r="Z1054" s="11"/>
      <c r="AA1054" s="36"/>
      <c r="AB1054" s="36"/>
      <c r="AC1054" s="13"/>
      <c r="AD1054" s="13"/>
      <c r="AE1054" s="37"/>
      <c r="AF1054" s="37"/>
      <c r="AG1054" s="14"/>
      <c r="AH1054" s="14"/>
      <c r="AI1054" s="14"/>
      <c r="AZ1054" s="24"/>
    </row>
    <row r="1055">
      <c r="B1055" s="24"/>
      <c r="E1055" s="113"/>
      <c r="F1055" s="266"/>
      <c r="G1055" s="113"/>
      <c r="K1055" s="36"/>
      <c r="L1055" s="117"/>
      <c r="M1055" s="128"/>
      <c r="N1055" s="117"/>
      <c r="R1055" s="117"/>
      <c r="T1055" s="117"/>
      <c r="V1055" s="117"/>
      <c r="X1055" s="117"/>
      <c r="Y1055" s="10"/>
      <c r="Z1055" s="11"/>
      <c r="AA1055" s="36"/>
      <c r="AB1055" s="36"/>
      <c r="AC1055" s="13"/>
      <c r="AD1055" s="13"/>
      <c r="AE1055" s="37"/>
      <c r="AF1055" s="37"/>
      <c r="AG1055" s="14"/>
      <c r="AH1055" s="14"/>
      <c r="AI1055" s="14"/>
      <c r="AZ1055" s="24"/>
    </row>
    <row r="1056">
      <c r="B1056" s="24"/>
      <c r="E1056" s="113"/>
      <c r="F1056" s="266"/>
      <c r="G1056" s="113"/>
      <c r="K1056" s="36"/>
      <c r="L1056" s="117"/>
      <c r="M1056" s="128"/>
      <c r="N1056" s="117"/>
      <c r="R1056" s="117"/>
      <c r="T1056" s="117"/>
      <c r="V1056" s="117"/>
      <c r="X1056" s="117"/>
      <c r="Y1056" s="10"/>
      <c r="Z1056" s="11"/>
      <c r="AA1056" s="36"/>
      <c r="AB1056" s="36"/>
      <c r="AC1056" s="13"/>
      <c r="AD1056" s="13"/>
      <c r="AE1056" s="37"/>
      <c r="AF1056" s="37"/>
      <c r="AG1056" s="14"/>
      <c r="AH1056" s="14"/>
      <c r="AI1056" s="14"/>
      <c r="AZ1056" s="24"/>
    </row>
    <row r="1057">
      <c r="B1057" s="24"/>
      <c r="E1057" s="113"/>
      <c r="F1057" s="266"/>
      <c r="G1057" s="113"/>
      <c r="K1057" s="36"/>
      <c r="L1057" s="117"/>
      <c r="M1057" s="128"/>
      <c r="N1057" s="117"/>
      <c r="R1057" s="117"/>
      <c r="T1057" s="117"/>
      <c r="V1057" s="117"/>
      <c r="X1057" s="117"/>
      <c r="Y1057" s="10"/>
      <c r="Z1057" s="11"/>
      <c r="AA1057" s="36"/>
      <c r="AB1057" s="36"/>
      <c r="AC1057" s="13"/>
      <c r="AD1057" s="13"/>
      <c r="AE1057" s="37"/>
      <c r="AF1057" s="37"/>
      <c r="AG1057" s="14"/>
      <c r="AH1057" s="14"/>
      <c r="AI1057" s="14"/>
      <c r="AZ1057" s="24"/>
    </row>
    <row r="1058">
      <c r="B1058" s="24"/>
      <c r="E1058" s="113"/>
      <c r="F1058" s="266"/>
      <c r="G1058" s="113"/>
      <c r="K1058" s="36"/>
      <c r="L1058" s="117"/>
      <c r="M1058" s="128"/>
      <c r="N1058" s="117"/>
      <c r="R1058" s="117"/>
      <c r="T1058" s="117"/>
      <c r="V1058" s="117"/>
      <c r="X1058" s="117"/>
      <c r="Y1058" s="10"/>
      <c r="Z1058" s="11"/>
      <c r="AA1058" s="36"/>
      <c r="AB1058" s="36"/>
      <c r="AC1058" s="13"/>
      <c r="AD1058" s="13"/>
      <c r="AE1058" s="37"/>
      <c r="AF1058" s="37"/>
      <c r="AG1058" s="14"/>
      <c r="AH1058" s="14"/>
      <c r="AI1058" s="14"/>
      <c r="AZ1058" s="24"/>
    </row>
    <row r="1059">
      <c r="B1059" s="24"/>
      <c r="E1059" s="113"/>
      <c r="F1059" s="266"/>
      <c r="G1059" s="113"/>
      <c r="K1059" s="36"/>
      <c r="L1059" s="117"/>
      <c r="M1059" s="128"/>
      <c r="N1059" s="117"/>
      <c r="R1059" s="117"/>
      <c r="T1059" s="117"/>
      <c r="V1059" s="117"/>
      <c r="X1059" s="117"/>
      <c r="Y1059" s="10"/>
      <c r="Z1059" s="11"/>
      <c r="AA1059" s="36"/>
      <c r="AB1059" s="36"/>
      <c r="AC1059" s="13"/>
      <c r="AD1059" s="13"/>
      <c r="AE1059" s="37"/>
      <c r="AF1059" s="37"/>
      <c r="AG1059" s="14"/>
      <c r="AH1059" s="14"/>
      <c r="AI1059" s="14"/>
      <c r="AZ1059" s="24"/>
    </row>
    <row r="1060">
      <c r="B1060" s="24"/>
      <c r="E1060" s="113"/>
      <c r="F1060" s="266"/>
      <c r="G1060" s="113"/>
      <c r="K1060" s="36"/>
      <c r="L1060" s="117"/>
      <c r="M1060" s="128"/>
      <c r="N1060" s="117"/>
      <c r="R1060" s="117"/>
      <c r="T1060" s="117"/>
      <c r="V1060" s="117"/>
      <c r="X1060" s="117"/>
      <c r="Y1060" s="10"/>
      <c r="Z1060" s="11"/>
      <c r="AA1060" s="36"/>
      <c r="AB1060" s="36"/>
      <c r="AC1060" s="13"/>
      <c r="AD1060" s="13"/>
      <c r="AE1060" s="37"/>
      <c r="AF1060" s="37"/>
      <c r="AG1060" s="14"/>
      <c r="AH1060" s="14"/>
      <c r="AI1060" s="14"/>
      <c r="AZ1060" s="24"/>
    </row>
    <row r="1061">
      <c r="B1061" s="24"/>
      <c r="E1061" s="113"/>
      <c r="F1061" s="266"/>
      <c r="G1061" s="113"/>
      <c r="K1061" s="36"/>
      <c r="L1061" s="117"/>
      <c r="M1061" s="128"/>
      <c r="N1061" s="117"/>
      <c r="R1061" s="117"/>
      <c r="T1061" s="117"/>
      <c r="V1061" s="117"/>
      <c r="X1061" s="117"/>
      <c r="Y1061" s="10"/>
      <c r="Z1061" s="11"/>
      <c r="AA1061" s="36"/>
      <c r="AB1061" s="36"/>
      <c r="AC1061" s="13"/>
      <c r="AD1061" s="13"/>
      <c r="AE1061" s="37"/>
      <c r="AF1061" s="37"/>
      <c r="AG1061" s="14"/>
      <c r="AH1061" s="14"/>
      <c r="AI1061" s="14"/>
      <c r="AZ1061" s="24"/>
    </row>
    <row r="1062">
      <c r="B1062" s="24"/>
      <c r="E1062" s="113"/>
      <c r="F1062" s="266"/>
      <c r="G1062" s="113"/>
      <c r="K1062" s="36"/>
      <c r="L1062" s="117"/>
      <c r="M1062" s="128"/>
      <c r="N1062" s="117"/>
      <c r="R1062" s="117"/>
      <c r="T1062" s="117"/>
      <c r="V1062" s="117"/>
      <c r="X1062" s="117"/>
      <c r="Y1062" s="10"/>
      <c r="Z1062" s="11"/>
      <c r="AA1062" s="36"/>
      <c r="AB1062" s="36"/>
      <c r="AC1062" s="13"/>
      <c r="AD1062" s="13"/>
      <c r="AE1062" s="37"/>
      <c r="AF1062" s="37"/>
      <c r="AG1062" s="14"/>
      <c r="AH1062" s="14"/>
      <c r="AI1062" s="14"/>
      <c r="AZ1062" s="24"/>
    </row>
    <row r="1063">
      <c r="B1063" s="24"/>
      <c r="E1063" s="113"/>
      <c r="F1063" s="266"/>
      <c r="G1063" s="113"/>
      <c r="K1063" s="36"/>
      <c r="L1063" s="117"/>
      <c r="M1063" s="128"/>
      <c r="N1063" s="117"/>
      <c r="R1063" s="117"/>
      <c r="T1063" s="117"/>
      <c r="V1063" s="117"/>
      <c r="X1063" s="117"/>
      <c r="Y1063" s="10"/>
      <c r="Z1063" s="11"/>
      <c r="AA1063" s="36"/>
      <c r="AB1063" s="36"/>
      <c r="AC1063" s="13"/>
      <c r="AD1063" s="13"/>
      <c r="AE1063" s="37"/>
      <c r="AF1063" s="37"/>
      <c r="AG1063" s="14"/>
      <c r="AH1063" s="14"/>
      <c r="AI1063" s="14"/>
      <c r="AZ1063" s="24"/>
    </row>
    <row r="1064">
      <c r="B1064" s="24"/>
      <c r="E1064" s="113"/>
      <c r="F1064" s="266"/>
      <c r="G1064" s="113"/>
      <c r="K1064" s="36"/>
      <c r="L1064" s="117"/>
      <c r="M1064" s="128"/>
      <c r="N1064" s="117"/>
      <c r="R1064" s="117"/>
      <c r="T1064" s="117"/>
      <c r="V1064" s="117"/>
      <c r="X1064" s="117"/>
      <c r="Y1064" s="10"/>
      <c r="Z1064" s="11"/>
      <c r="AA1064" s="36"/>
      <c r="AB1064" s="36"/>
      <c r="AC1064" s="13"/>
      <c r="AD1064" s="13"/>
      <c r="AE1064" s="37"/>
      <c r="AF1064" s="37"/>
      <c r="AG1064" s="14"/>
      <c r="AH1064" s="14"/>
      <c r="AI1064" s="14"/>
      <c r="AZ1064" s="24"/>
    </row>
    <row r="1065">
      <c r="B1065" s="24"/>
      <c r="E1065" s="113"/>
      <c r="F1065" s="266"/>
      <c r="G1065" s="113"/>
      <c r="K1065" s="36"/>
      <c r="L1065" s="117"/>
      <c r="M1065" s="128"/>
      <c r="N1065" s="117"/>
      <c r="R1065" s="117"/>
      <c r="T1065" s="117"/>
      <c r="V1065" s="117"/>
      <c r="X1065" s="117"/>
      <c r="Y1065" s="10"/>
      <c r="Z1065" s="11"/>
      <c r="AA1065" s="36"/>
      <c r="AB1065" s="36"/>
      <c r="AC1065" s="13"/>
      <c r="AD1065" s="13"/>
      <c r="AE1065" s="37"/>
      <c r="AF1065" s="37"/>
      <c r="AG1065" s="14"/>
      <c r="AH1065" s="14"/>
      <c r="AI1065" s="14"/>
      <c r="AZ1065" s="24"/>
    </row>
    <row r="1066">
      <c r="B1066" s="24"/>
      <c r="E1066" s="113"/>
      <c r="F1066" s="266"/>
      <c r="G1066" s="113"/>
      <c r="K1066" s="36"/>
      <c r="L1066" s="117"/>
      <c r="M1066" s="128"/>
      <c r="N1066" s="117"/>
      <c r="R1066" s="117"/>
      <c r="T1066" s="117"/>
      <c r="V1066" s="117"/>
      <c r="X1066" s="117"/>
      <c r="Y1066" s="10"/>
      <c r="Z1066" s="11"/>
      <c r="AA1066" s="36"/>
      <c r="AB1066" s="36"/>
      <c r="AC1066" s="13"/>
      <c r="AD1066" s="13"/>
      <c r="AE1066" s="37"/>
      <c r="AF1066" s="37"/>
      <c r="AG1066" s="14"/>
      <c r="AH1066" s="14"/>
      <c r="AI1066" s="14"/>
      <c r="AZ1066" s="24"/>
    </row>
    <row r="1067">
      <c r="B1067" s="24"/>
      <c r="E1067" s="113"/>
      <c r="F1067" s="266"/>
      <c r="G1067" s="113"/>
      <c r="K1067" s="36"/>
      <c r="L1067" s="117"/>
      <c r="M1067" s="128"/>
      <c r="N1067" s="117"/>
      <c r="R1067" s="117"/>
      <c r="T1067" s="117"/>
      <c r="V1067" s="117"/>
      <c r="X1067" s="117"/>
      <c r="Y1067" s="10"/>
      <c r="Z1067" s="11"/>
      <c r="AA1067" s="36"/>
      <c r="AB1067" s="36"/>
      <c r="AC1067" s="13"/>
      <c r="AD1067" s="13"/>
      <c r="AE1067" s="37"/>
      <c r="AF1067" s="37"/>
      <c r="AG1067" s="14"/>
      <c r="AH1067" s="14"/>
      <c r="AI1067" s="14"/>
      <c r="AZ1067" s="24"/>
    </row>
    <row r="1068">
      <c r="B1068" s="24"/>
      <c r="E1068" s="113"/>
      <c r="F1068" s="266"/>
      <c r="G1068" s="113"/>
      <c r="K1068" s="36"/>
      <c r="L1068" s="117"/>
      <c r="M1068" s="128"/>
      <c r="N1068" s="117"/>
      <c r="R1068" s="117"/>
      <c r="T1068" s="117"/>
      <c r="V1068" s="117"/>
      <c r="X1068" s="117"/>
      <c r="Y1068" s="10"/>
      <c r="Z1068" s="11"/>
      <c r="AA1068" s="36"/>
      <c r="AB1068" s="36"/>
      <c r="AC1068" s="13"/>
      <c r="AD1068" s="13"/>
      <c r="AE1068" s="37"/>
      <c r="AF1068" s="37"/>
      <c r="AG1068" s="14"/>
      <c r="AH1068" s="14"/>
      <c r="AI1068" s="14"/>
      <c r="AZ1068" s="24"/>
    </row>
    <row r="1069">
      <c r="B1069" s="24"/>
      <c r="E1069" s="113"/>
      <c r="F1069" s="266"/>
      <c r="G1069" s="113"/>
      <c r="K1069" s="36"/>
      <c r="L1069" s="117"/>
      <c r="M1069" s="128"/>
      <c r="N1069" s="117"/>
      <c r="R1069" s="117"/>
      <c r="T1069" s="117"/>
      <c r="V1069" s="117"/>
      <c r="X1069" s="117"/>
      <c r="Y1069" s="10"/>
      <c r="Z1069" s="11"/>
      <c r="AA1069" s="36"/>
      <c r="AB1069" s="36"/>
      <c r="AC1069" s="13"/>
      <c r="AD1069" s="13"/>
      <c r="AE1069" s="37"/>
      <c r="AF1069" s="37"/>
      <c r="AG1069" s="14"/>
      <c r="AH1069" s="14"/>
      <c r="AI1069" s="14"/>
      <c r="AZ1069" s="24"/>
    </row>
    <row r="1070">
      <c r="B1070" s="24"/>
      <c r="E1070" s="113"/>
      <c r="F1070" s="266"/>
      <c r="G1070" s="113"/>
      <c r="K1070" s="36"/>
      <c r="L1070" s="117"/>
      <c r="M1070" s="128"/>
      <c r="N1070" s="117"/>
      <c r="R1070" s="117"/>
      <c r="T1070" s="117"/>
      <c r="V1070" s="117"/>
      <c r="X1070" s="117"/>
      <c r="Y1070" s="10"/>
      <c r="Z1070" s="11"/>
      <c r="AA1070" s="36"/>
      <c r="AB1070" s="36"/>
      <c r="AC1070" s="13"/>
      <c r="AD1070" s="13"/>
      <c r="AE1070" s="37"/>
      <c r="AF1070" s="37"/>
      <c r="AG1070" s="14"/>
      <c r="AH1070" s="14"/>
      <c r="AI1070" s="14"/>
      <c r="AZ1070" s="24"/>
    </row>
    <row r="1071">
      <c r="B1071" s="24"/>
      <c r="E1071" s="113"/>
      <c r="F1071" s="266"/>
      <c r="G1071" s="113"/>
      <c r="K1071" s="36"/>
      <c r="L1071" s="117"/>
      <c r="M1071" s="128"/>
      <c r="N1071" s="117"/>
      <c r="R1071" s="117"/>
      <c r="T1071" s="117"/>
      <c r="V1071" s="117"/>
      <c r="X1071" s="117"/>
      <c r="Y1071" s="10"/>
      <c r="Z1071" s="11"/>
      <c r="AA1071" s="36"/>
      <c r="AB1071" s="36"/>
      <c r="AC1071" s="13"/>
      <c r="AD1071" s="13"/>
      <c r="AE1071" s="37"/>
      <c r="AF1071" s="37"/>
      <c r="AG1071" s="14"/>
      <c r="AH1071" s="14"/>
      <c r="AI1071" s="14"/>
      <c r="AZ1071" s="24"/>
    </row>
    <row r="1072">
      <c r="B1072" s="24"/>
      <c r="E1072" s="113"/>
      <c r="F1072" s="266"/>
      <c r="G1072" s="113"/>
      <c r="K1072" s="36"/>
      <c r="L1072" s="117"/>
      <c r="M1072" s="128"/>
      <c r="N1072" s="117"/>
      <c r="R1072" s="117"/>
      <c r="T1072" s="117"/>
      <c r="V1072" s="117"/>
      <c r="X1072" s="117"/>
      <c r="Y1072" s="10"/>
      <c r="Z1072" s="11"/>
      <c r="AA1072" s="36"/>
      <c r="AB1072" s="36"/>
      <c r="AC1072" s="13"/>
      <c r="AD1072" s="13"/>
      <c r="AE1072" s="37"/>
      <c r="AF1072" s="37"/>
      <c r="AG1072" s="14"/>
      <c r="AH1072" s="14"/>
      <c r="AI1072" s="14"/>
      <c r="AZ1072" s="24"/>
    </row>
    <row r="1073">
      <c r="B1073" s="24"/>
      <c r="E1073" s="113"/>
      <c r="F1073" s="266"/>
      <c r="G1073" s="113"/>
      <c r="K1073" s="36"/>
      <c r="L1073" s="117"/>
      <c r="M1073" s="128"/>
      <c r="N1073" s="117"/>
      <c r="R1073" s="117"/>
      <c r="T1073" s="117"/>
      <c r="V1073" s="117"/>
      <c r="X1073" s="117"/>
      <c r="Y1073" s="10"/>
      <c r="Z1073" s="11"/>
      <c r="AA1073" s="36"/>
      <c r="AB1073" s="36"/>
      <c r="AC1073" s="13"/>
      <c r="AD1073" s="13"/>
      <c r="AE1073" s="37"/>
      <c r="AF1073" s="37"/>
      <c r="AG1073" s="14"/>
      <c r="AH1073" s="14"/>
      <c r="AI1073" s="14"/>
      <c r="AZ1073" s="24"/>
    </row>
    <row r="1074">
      <c r="B1074" s="24"/>
      <c r="E1074" s="113"/>
      <c r="F1074" s="266"/>
      <c r="G1074" s="113"/>
      <c r="K1074" s="36"/>
      <c r="L1074" s="117"/>
      <c r="M1074" s="128"/>
      <c r="N1074" s="117"/>
      <c r="R1074" s="117"/>
      <c r="T1074" s="117"/>
      <c r="V1074" s="117"/>
      <c r="X1074" s="117"/>
      <c r="Y1074" s="10"/>
      <c r="Z1074" s="11"/>
      <c r="AA1074" s="36"/>
      <c r="AB1074" s="36"/>
      <c r="AC1074" s="13"/>
      <c r="AD1074" s="13"/>
      <c r="AE1074" s="37"/>
      <c r="AF1074" s="37"/>
      <c r="AG1074" s="14"/>
      <c r="AH1074" s="14"/>
      <c r="AI1074" s="14"/>
      <c r="AZ1074" s="24"/>
    </row>
    <row r="1075">
      <c r="B1075" s="24"/>
      <c r="E1075" s="113"/>
      <c r="F1075" s="266"/>
      <c r="G1075" s="113"/>
      <c r="K1075" s="36"/>
      <c r="L1075" s="117"/>
      <c r="M1075" s="128"/>
      <c r="N1075" s="117"/>
      <c r="R1075" s="117"/>
      <c r="T1075" s="117"/>
      <c r="V1075" s="117"/>
      <c r="X1075" s="117"/>
      <c r="Y1075" s="10"/>
      <c r="Z1075" s="11"/>
      <c r="AA1075" s="36"/>
      <c r="AB1075" s="36"/>
      <c r="AC1075" s="13"/>
      <c r="AD1075" s="13"/>
      <c r="AE1075" s="37"/>
      <c r="AF1075" s="37"/>
      <c r="AG1075" s="14"/>
      <c r="AH1075" s="14"/>
      <c r="AI1075" s="14"/>
      <c r="AZ1075" s="24"/>
    </row>
    <row r="1076">
      <c r="B1076" s="24"/>
      <c r="E1076" s="113"/>
      <c r="F1076" s="266"/>
      <c r="G1076" s="113"/>
      <c r="K1076" s="36"/>
      <c r="L1076" s="117"/>
      <c r="M1076" s="128"/>
      <c r="N1076" s="117"/>
      <c r="R1076" s="117"/>
      <c r="T1076" s="117"/>
      <c r="V1076" s="117"/>
      <c r="X1076" s="117"/>
      <c r="Y1076" s="10"/>
      <c r="Z1076" s="11"/>
      <c r="AA1076" s="36"/>
      <c r="AB1076" s="36"/>
      <c r="AC1076" s="13"/>
      <c r="AD1076" s="13"/>
      <c r="AE1076" s="37"/>
      <c r="AF1076" s="37"/>
      <c r="AG1076" s="14"/>
      <c r="AH1076" s="14"/>
      <c r="AI1076" s="14"/>
      <c r="AZ1076" s="24"/>
    </row>
    <row r="1077">
      <c r="B1077" s="24"/>
      <c r="E1077" s="113"/>
      <c r="F1077" s="266"/>
      <c r="G1077" s="113"/>
      <c r="K1077" s="36"/>
      <c r="L1077" s="117"/>
      <c r="M1077" s="128"/>
      <c r="N1077" s="117"/>
      <c r="R1077" s="117"/>
      <c r="T1077" s="117"/>
      <c r="V1077" s="117"/>
      <c r="X1077" s="117"/>
      <c r="Y1077" s="10"/>
      <c r="Z1077" s="11"/>
      <c r="AA1077" s="36"/>
      <c r="AB1077" s="36"/>
      <c r="AC1077" s="13"/>
      <c r="AD1077" s="13"/>
      <c r="AE1077" s="37"/>
      <c r="AF1077" s="37"/>
      <c r="AG1077" s="14"/>
      <c r="AH1077" s="14"/>
      <c r="AI1077" s="14"/>
      <c r="AZ1077" s="24"/>
    </row>
    <row r="1078">
      <c r="B1078" s="24"/>
      <c r="E1078" s="113"/>
      <c r="F1078" s="266"/>
      <c r="G1078" s="113"/>
      <c r="K1078" s="36"/>
      <c r="L1078" s="117"/>
      <c r="M1078" s="128"/>
      <c r="N1078" s="117"/>
      <c r="R1078" s="117"/>
      <c r="T1078" s="117"/>
      <c r="V1078" s="117"/>
      <c r="X1078" s="117"/>
      <c r="Y1078" s="10"/>
      <c r="Z1078" s="11"/>
      <c r="AA1078" s="36"/>
      <c r="AB1078" s="36"/>
      <c r="AC1078" s="13"/>
      <c r="AD1078" s="13"/>
      <c r="AE1078" s="37"/>
      <c r="AF1078" s="37"/>
      <c r="AG1078" s="14"/>
      <c r="AH1078" s="14"/>
      <c r="AI1078" s="14"/>
      <c r="AZ1078" s="24"/>
    </row>
    <row r="1079">
      <c r="B1079" s="24"/>
      <c r="E1079" s="113"/>
      <c r="F1079" s="266"/>
      <c r="G1079" s="113"/>
      <c r="K1079" s="36"/>
      <c r="L1079" s="117"/>
      <c r="M1079" s="128"/>
      <c r="N1079" s="117"/>
      <c r="R1079" s="117"/>
      <c r="T1079" s="117"/>
      <c r="V1079" s="117"/>
      <c r="X1079" s="117"/>
      <c r="Y1079" s="10"/>
      <c r="Z1079" s="11"/>
      <c r="AA1079" s="36"/>
      <c r="AB1079" s="36"/>
      <c r="AC1079" s="13"/>
      <c r="AD1079" s="13"/>
      <c r="AE1079" s="37"/>
      <c r="AF1079" s="37"/>
      <c r="AG1079" s="14"/>
      <c r="AH1079" s="14"/>
      <c r="AI1079" s="14"/>
      <c r="AZ1079" s="24"/>
    </row>
    <row r="1080">
      <c r="B1080" s="24"/>
      <c r="E1080" s="113"/>
      <c r="F1080" s="266"/>
      <c r="G1080" s="113"/>
      <c r="K1080" s="36"/>
      <c r="L1080" s="117"/>
      <c r="M1080" s="128"/>
      <c r="N1080" s="117"/>
      <c r="R1080" s="117"/>
      <c r="T1080" s="117"/>
      <c r="V1080" s="117"/>
      <c r="X1080" s="117"/>
      <c r="Y1080" s="10"/>
      <c r="Z1080" s="11"/>
      <c r="AA1080" s="36"/>
      <c r="AB1080" s="36"/>
      <c r="AC1080" s="13"/>
      <c r="AD1080" s="13"/>
      <c r="AE1080" s="37"/>
      <c r="AF1080" s="37"/>
      <c r="AG1080" s="14"/>
      <c r="AH1080" s="14"/>
      <c r="AI1080" s="14"/>
      <c r="AZ1080" s="24"/>
    </row>
    <row r="1081">
      <c r="B1081" s="24"/>
      <c r="E1081" s="113"/>
      <c r="F1081" s="266"/>
      <c r="G1081" s="113"/>
      <c r="K1081" s="36"/>
      <c r="L1081" s="117"/>
      <c r="M1081" s="128"/>
      <c r="N1081" s="117"/>
      <c r="R1081" s="117"/>
      <c r="T1081" s="117"/>
      <c r="V1081" s="117"/>
      <c r="X1081" s="117"/>
      <c r="Y1081" s="10"/>
      <c r="Z1081" s="11"/>
      <c r="AA1081" s="36"/>
      <c r="AB1081" s="36"/>
      <c r="AC1081" s="13"/>
      <c r="AD1081" s="13"/>
      <c r="AE1081" s="37"/>
      <c r="AF1081" s="37"/>
      <c r="AG1081" s="14"/>
      <c r="AH1081" s="14"/>
      <c r="AI1081" s="14"/>
      <c r="AZ1081" s="24"/>
    </row>
    <row r="1082">
      <c r="B1082" s="24"/>
      <c r="E1082" s="113"/>
      <c r="F1082" s="266"/>
      <c r="G1082" s="113"/>
      <c r="K1082" s="36"/>
      <c r="L1082" s="117"/>
      <c r="M1082" s="128"/>
      <c r="N1082" s="117"/>
      <c r="R1082" s="117"/>
      <c r="T1082" s="117"/>
      <c r="V1082" s="117"/>
      <c r="X1082" s="117"/>
      <c r="Y1082" s="10"/>
      <c r="Z1082" s="11"/>
      <c r="AA1082" s="36"/>
      <c r="AB1082" s="36"/>
      <c r="AC1082" s="13"/>
      <c r="AD1082" s="13"/>
      <c r="AE1082" s="37"/>
      <c r="AF1082" s="37"/>
      <c r="AG1082" s="14"/>
      <c r="AH1082" s="14"/>
      <c r="AI1082" s="14"/>
      <c r="AZ1082" s="24"/>
    </row>
    <row r="1083">
      <c r="B1083" s="24"/>
      <c r="E1083" s="113"/>
      <c r="F1083" s="266"/>
      <c r="G1083" s="113"/>
      <c r="K1083" s="36"/>
      <c r="L1083" s="117"/>
      <c r="M1083" s="128"/>
      <c r="N1083" s="117"/>
      <c r="R1083" s="117"/>
      <c r="T1083" s="117"/>
      <c r="V1083" s="117"/>
      <c r="X1083" s="117"/>
      <c r="Y1083" s="10"/>
      <c r="Z1083" s="11"/>
      <c r="AA1083" s="36"/>
      <c r="AB1083" s="36"/>
      <c r="AC1083" s="13"/>
      <c r="AD1083" s="13"/>
      <c r="AE1083" s="37"/>
      <c r="AF1083" s="37"/>
      <c r="AG1083" s="14"/>
      <c r="AH1083" s="14"/>
      <c r="AI1083" s="14"/>
      <c r="AZ1083" s="24"/>
    </row>
    <row r="1084">
      <c r="B1084" s="24"/>
      <c r="E1084" s="113"/>
      <c r="F1084" s="266"/>
      <c r="G1084" s="113"/>
      <c r="K1084" s="36"/>
      <c r="L1084" s="117"/>
      <c r="M1084" s="128"/>
      <c r="N1084" s="117"/>
      <c r="R1084" s="117"/>
      <c r="T1084" s="117"/>
      <c r="V1084" s="117"/>
      <c r="X1084" s="117"/>
      <c r="Y1084" s="10"/>
      <c r="Z1084" s="11"/>
      <c r="AA1084" s="36"/>
      <c r="AB1084" s="36"/>
      <c r="AC1084" s="13"/>
      <c r="AD1084" s="13"/>
      <c r="AE1084" s="37"/>
      <c r="AF1084" s="37"/>
      <c r="AG1084" s="14"/>
      <c r="AH1084" s="14"/>
      <c r="AI1084" s="14"/>
      <c r="AZ1084" s="24"/>
    </row>
    <row r="1085">
      <c r="B1085" s="24"/>
      <c r="E1085" s="113"/>
      <c r="F1085" s="266"/>
      <c r="G1085" s="113"/>
      <c r="K1085" s="36"/>
      <c r="L1085" s="117"/>
      <c r="M1085" s="128"/>
      <c r="N1085" s="117"/>
      <c r="R1085" s="117"/>
      <c r="T1085" s="117"/>
      <c r="V1085" s="117"/>
      <c r="X1085" s="117"/>
      <c r="Y1085" s="10"/>
      <c r="Z1085" s="11"/>
      <c r="AA1085" s="36"/>
      <c r="AB1085" s="36"/>
      <c r="AC1085" s="13"/>
      <c r="AD1085" s="13"/>
      <c r="AE1085" s="37"/>
      <c r="AF1085" s="37"/>
      <c r="AG1085" s="14"/>
      <c r="AH1085" s="14"/>
      <c r="AI1085" s="14"/>
      <c r="AZ1085" s="24"/>
    </row>
    <row r="1086">
      <c r="B1086" s="24"/>
      <c r="E1086" s="113"/>
      <c r="F1086" s="266"/>
      <c r="G1086" s="113"/>
      <c r="K1086" s="36"/>
      <c r="L1086" s="117"/>
      <c r="M1086" s="128"/>
      <c r="N1086" s="117"/>
      <c r="R1086" s="117"/>
      <c r="T1086" s="117"/>
      <c r="V1086" s="117"/>
      <c r="X1086" s="117"/>
      <c r="Y1086" s="10"/>
      <c r="Z1086" s="11"/>
      <c r="AA1086" s="36"/>
      <c r="AB1086" s="36"/>
      <c r="AC1086" s="13"/>
      <c r="AD1086" s="13"/>
      <c r="AE1086" s="37"/>
      <c r="AF1086" s="37"/>
      <c r="AG1086" s="14"/>
      <c r="AH1086" s="14"/>
      <c r="AI1086" s="14"/>
      <c r="AZ1086" s="24"/>
    </row>
    <row r="1087">
      <c r="B1087" s="24"/>
      <c r="E1087" s="113"/>
      <c r="F1087" s="266"/>
      <c r="G1087" s="113"/>
      <c r="K1087" s="36"/>
      <c r="L1087" s="117"/>
      <c r="M1087" s="128"/>
      <c r="N1087" s="117"/>
      <c r="R1087" s="117"/>
      <c r="T1087" s="117"/>
      <c r="V1087" s="117"/>
      <c r="X1087" s="117"/>
      <c r="Y1087" s="10"/>
      <c r="Z1087" s="11"/>
      <c r="AA1087" s="36"/>
      <c r="AB1087" s="36"/>
      <c r="AC1087" s="13"/>
      <c r="AD1087" s="13"/>
      <c r="AE1087" s="37"/>
      <c r="AF1087" s="37"/>
      <c r="AG1087" s="14"/>
      <c r="AH1087" s="14"/>
      <c r="AI1087" s="14"/>
      <c r="AZ1087" s="24"/>
    </row>
    <row r="1088">
      <c r="B1088" s="24"/>
      <c r="E1088" s="113"/>
      <c r="F1088" s="266"/>
      <c r="G1088" s="113"/>
      <c r="K1088" s="36"/>
      <c r="L1088" s="117"/>
      <c r="M1088" s="128"/>
      <c r="N1088" s="117"/>
      <c r="R1088" s="117"/>
      <c r="T1088" s="117"/>
      <c r="V1088" s="117"/>
      <c r="X1088" s="117"/>
      <c r="Y1088" s="10"/>
      <c r="Z1088" s="11"/>
      <c r="AA1088" s="36"/>
      <c r="AB1088" s="36"/>
      <c r="AC1088" s="13"/>
      <c r="AD1088" s="13"/>
      <c r="AE1088" s="37"/>
      <c r="AF1088" s="37"/>
      <c r="AG1088" s="14"/>
      <c r="AH1088" s="14"/>
      <c r="AI1088" s="14"/>
      <c r="AZ1088" s="24"/>
    </row>
    <row r="1089">
      <c r="B1089" s="24"/>
      <c r="E1089" s="113"/>
      <c r="F1089" s="266"/>
      <c r="G1089" s="113"/>
      <c r="K1089" s="36"/>
      <c r="L1089" s="117"/>
      <c r="M1089" s="128"/>
      <c r="N1089" s="117"/>
      <c r="R1089" s="117"/>
      <c r="T1089" s="117"/>
      <c r="V1089" s="117"/>
      <c r="X1089" s="117"/>
      <c r="Y1089" s="10"/>
      <c r="Z1089" s="11"/>
      <c r="AA1089" s="36"/>
      <c r="AB1089" s="36"/>
      <c r="AC1089" s="13"/>
      <c r="AD1089" s="13"/>
      <c r="AE1089" s="37"/>
      <c r="AF1089" s="37"/>
      <c r="AG1089" s="14"/>
      <c r="AH1089" s="14"/>
      <c r="AI1089" s="14"/>
      <c r="AZ1089" s="24"/>
    </row>
    <row r="1090">
      <c r="B1090" s="24"/>
      <c r="E1090" s="113"/>
      <c r="F1090" s="266"/>
      <c r="G1090" s="113"/>
      <c r="K1090" s="36"/>
      <c r="L1090" s="117"/>
      <c r="M1090" s="128"/>
      <c r="N1090" s="117"/>
      <c r="R1090" s="117"/>
      <c r="T1090" s="117"/>
      <c r="V1090" s="117"/>
      <c r="X1090" s="117"/>
      <c r="Y1090" s="10"/>
      <c r="Z1090" s="11"/>
      <c r="AA1090" s="36"/>
      <c r="AB1090" s="36"/>
      <c r="AC1090" s="13"/>
      <c r="AD1090" s="13"/>
      <c r="AE1090" s="37"/>
      <c r="AF1090" s="37"/>
      <c r="AG1090" s="14"/>
      <c r="AH1090" s="14"/>
      <c r="AI1090" s="14"/>
      <c r="AZ1090" s="24"/>
    </row>
    <row r="1091">
      <c r="B1091" s="24"/>
      <c r="E1091" s="113"/>
      <c r="F1091" s="266"/>
      <c r="G1091" s="113"/>
      <c r="K1091" s="36"/>
      <c r="L1091" s="117"/>
      <c r="M1091" s="128"/>
      <c r="N1091" s="117"/>
      <c r="R1091" s="117"/>
      <c r="T1091" s="117"/>
      <c r="V1091" s="117"/>
      <c r="X1091" s="117"/>
      <c r="Y1091" s="10"/>
      <c r="Z1091" s="11"/>
      <c r="AA1091" s="36"/>
      <c r="AB1091" s="36"/>
      <c r="AC1091" s="13"/>
      <c r="AD1091" s="13"/>
      <c r="AE1091" s="37"/>
      <c r="AF1091" s="37"/>
      <c r="AG1091" s="14"/>
      <c r="AH1091" s="14"/>
      <c r="AI1091" s="14"/>
      <c r="AZ1091" s="24"/>
    </row>
    <row r="1092">
      <c r="B1092" s="24"/>
      <c r="E1092" s="113"/>
      <c r="F1092" s="266"/>
      <c r="G1092" s="113"/>
      <c r="K1092" s="36"/>
      <c r="L1092" s="117"/>
      <c r="M1092" s="128"/>
      <c r="N1092" s="117"/>
      <c r="R1092" s="117"/>
      <c r="T1092" s="117"/>
      <c r="V1092" s="117"/>
      <c r="X1092" s="117"/>
      <c r="Y1092" s="10"/>
      <c r="Z1092" s="11"/>
      <c r="AA1092" s="36"/>
      <c r="AB1092" s="36"/>
      <c r="AC1092" s="13"/>
      <c r="AD1092" s="13"/>
      <c r="AE1092" s="37"/>
      <c r="AF1092" s="37"/>
      <c r="AG1092" s="14"/>
      <c r="AH1092" s="14"/>
      <c r="AI1092" s="14"/>
      <c r="AZ1092" s="24"/>
    </row>
    <row r="1093">
      <c r="B1093" s="24"/>
      <c r="E1093" s="113"/>
      <c r="F1093" s="266"/>
      <c r="G1093" s="113"/>
      <c r="K1093" s="36"/>
      <c r="L1093" s="117"/>
      <c r="M1093" s="128"/>
      <c r="N1093" s="117"/>
      <c r="R1093" s="117"/>
      <c r="T1093" s="117"/>
      <c r="V1093" s="117"/>
      <c r="X1093" s="117"/>
      <c r="Y1093" s="10"/>
      <c r="Z1093" s="11"/>
      <c r="AA1093" s="36"/>
      <c r="AB1093" s="36"/>
      <c r="AC1093" s="13"/>
      <c r="AD1093" s="13"/>
      <c r="AE1093" s="37"/>
      <c r="AF1093" s="37"/>
      <c r="AG1093" s="14"/>
      <c r="AH1093" s="14"/>
      <c r="AI1093" s="14"/>
      <c r="AZ1093" s="24"/>
    </row>
    <row r="1094">
      <c r="B1094" s="24"/>
      <c r="E1094" s="113"/>
      <c r="F1094" s="266"/>
      <c r="G1094" s="113"/>
      <c r="K1094" s="36"/>
      <c r="L1094" s="117"/>
      <c r="M1094" s="128"/>
      <c r="N1094" s="117"/>
      <c r="R1094" s="117"/>
      <c r="T1094" s="117"/>
      <c r="V1094" s="117"/>
      <c r="X1094" s="117"/>
      <c r="Y1094" s="10"/>
      <c r="Z1094" s="11"/>
      <c r="AA1094" s="36"/>
      <c r="AB1094" s="36"/>
      <c r="AC1094" s="13"/>
      <c r="AD1094" s="13"/>
      <c r="AE1094" s="37"/>
      <c r="AF1094" s="37"/>
      <c r="AG1094" s="14"/>
      <c r="AH1094" s="14"/>
      <c r="AI1094" s="14"/>
      <c r="AZ1094" s="24"/>
    </row>
    <row r="1095">
      <c r="B1095" s="24"/>
      <c r="E1095" s="113"/>
      <c r="F1095" s="266"/>
      <c r="G1095" s="113"/>
      <c r="K1095" s="36"/>
      <c r="L1095" s="117"/>
      <c r="M1095" s="128"/>
      <c r="N1095" s="117"/>
      <c r="R1095" s="117"/>
      <c r="T1095" s="117"/>
      <c r="V1095" s="117"/>
      <c r="X1095" s="117"/>
      <c r="Y1095" s="10"/>
      <c r="Z1095" s="11"/>
      <c r="AA1095" s="36"/>
      <c r="AB1095" s="36"/>
      <c r="AC1095" s="13"/>
      <c r="AD1095" s="13"/>
      <c r="AE1095" s="37"/>
      <c r="AF1095" s="37"/>
      <c r="AG1095" s="14"/>
      <c r="AH1095" s="14"/>
      <c r="AI1095" s="14"/>
      <c r="AZ1095" s="24"/>
    </row>
    <row r="1096">
      <c r="B1096" s="24"/>
      <c r="E1096" s="113"/>
      <c r="F1096" s="266"/>
      <c r="G1096" s="113"/>
      <c r="K1096" s="36"/>
      <c r="L1096" s="117"/>
      <c r="M1096" s="128"/>
      <c r="N1096" s="117"/>
      <c r="R1096" s="117"/>
      <c r="T1096" s="117"/>
      <c r="V1096" s="117"/>
      <c r="X1096" s="117"/>
      <c r="Y1096" s="10"/>
      <c r="Z1096" s="11"/>
      <c r="AA1096" s="36"/>
      <c r="AB1096" s="36"/>
      <c r="AC1096" s="13"/>
      <c r="AD1096" s="13"/>
      <c r="AE1096" s="37"/>
      <c r="AF1096" s="37"/>
      <c r="AG1096" s="14"/>
      <c r="AH1096" s="14"/>
      <c r="AI1096" s="14"/>
      <c r="AZ1096" s="24"/>
    </row>
    <row r="1097">
      <c r="B1097" s="24"/>
      <c r="E1097" s="113"/>
      <c r="F1097" s="266"/>
      <c r="G1097" s="113"/>
      <c r="K1097" s="36"/>
      <c r="L1097" s="117"/>
      <c r="M1097" s="128"/>
      <c r="N1097" s="117"/>
      <c r="R1097" s="117"/>
      <c r="T1097" s="117"/>
      <c r="V1097" s="117"/>
      <c r="X1097" s="117"/>
      <c r="Y1097" s="10"/>
      <c r="Z1097" s="11"/>
      <c r="AA1097" s="36"/>
      <c r="AB1097" s="36"/>
      <c r="AC1097" s="13"/>
      <c r="AD1097" s="13"/>
      <c r="AE1097" s="37"/>
      <c r="AF1097" s="37"/>
      <c r="AG1097" s="14"/>
      <c r="AH1097" s="14"/>
      <c r="AI1097" s="14"/>
      <c r="AZ1097" s="24"/>
    </row>
    <row r="1098">
      <c r="B1098" s="24"/>
      <c r="E1098" s="113"/>
      <c r="F1098" s="266"/>
      <c r="G1098" s="113"/>
      <c r="K1098" s="36"/>
      <c r="L1098" s="117"/>
      <c r="M1098" s="128"/>
      <c r="N1098" s="117"/>
      <c r="R1098" s="117"/>
      <c r="T1098" s="117"/>
      <c r="V1098" s="117"/>
      <c r="X1098" s="117"/>
      <c r="Y1098" s="10"/>
      <c r="Z1098" s="11"/>
      <c r="AA1098" s="36"/>
      <c r="AB1098" s="36"/>
      <c r="AC1098" s="13"/>
      <c r="AD1098" s="13"/>
      <c r="AE1098" s="37"/>
      <c r="AF1098" s="37"/>
      <c r="AG1098" s="14"/>
      <c r="AH1098" s="14"/>
      <c r="AI1098" s="14"/>
      <c r="AZ1098" s="24"/>
    </row>
    <row r="1099">
      <c r="B1099" s="24"/>
      <c r="E1099" s="113"/>
      <c r="F1099" s="266"/>
      <c r="G1099" s="113"/>
      <c r="K1099" s="36"/>
      <c r="L1099" s="117"/>
      <c r="M1099" s="128"/>
      <c r="N1099" s="117"/>
      <c r="R1099" s="117"/>
      <c r="T1099" s="117"/>
      <c r="V1099" s="117"/>
      <c r="X1099" s="117"/>
      <c r="Y1099" s="10"/>
      <c r="Z1099" s="11"/>
      <c r="AA1099" s="36"/>
      <c r="AB1099" s="36"/>
      <c r="AC1099" s="13"/>
      <c r="AD1099" s="13"/>
      <c r="AE1099" s="37"/>
      <c r="AF1099" s="37"/>
      <c r="AG1099" s="14"/>
      <c r="AH1099" s="14"/>
      <c r="AI1099" s="14"/>
      <c r="AZ1099" s="24"/>
    </row>
    <row r="1100">
      <c r="B1100" s="24"/>
      <c r="E1100" s="113"/>
      <c r="F1100" s="266"/>
      <c r="G1100" s="113"/>
      <c r="K1100" s="36"/>
      <c r="L1100" s="117"/>
      <c r="M1100" s="128"/>
      <c r="N1100" s="117"/>
      <c r="R1100" s="117"/>
      <c r="T1100" s="117"/>
      <c r="V1100" s="117"/>
      <c r="X1100" s="117"/>
      <c r="Y1100" s="10"/>
      <c r="Z1100" s="11"/>
      <c r="AA1100" s="36"/>
      <c r="AB1100" s="36"/>
      <c r="AC1100" s="13"/>
      <c r="AD1100" s="13"/>
      <c r="AE1100" s="37"/>
      <c r="AF1100" s="37"/>
      <c r="AG1100" s="14"/>
      <c r="AH1100" s="14"/>
      <c r="AI1100" s="14"/>
      <c r="AZ1100" s="24"/>
    </row>
    <row r="1101">
      <c r="B1101" s="24"/>
      <c r="E1101" s="113"/>
      <c r="F1101" s="266"/>
      <c r="G1101" s="113"/>
      <c r="K1101" s="36"/>
      <c r="L1101" s="117"/>
      <c r="M1101" s="128"/>
      <c r="N1101" s="117"/>
      <c r="R1101" s="117"/>
      <c r="T1101" s="117"/>
      <c r="V1101" s="117"/>
      <c r="X1101" s="117"/>
      <c r="Y1101" s="10"/>
      <c r="Z1101" s="11"/>
      <c r="AA1101" s="36"/>
      <c r="AB1101" s="36"/>
      <c r="AC1101" s="13"/>
      <c r="AD1101" s="13"/>
      <c r="AE1101" s="37"/>
      <c r="AF1101" s="37"/>
      <c r="AG1101" s="14"/>
      <c r="AH1101" s="14"/>
      <c r="AI1101" s="14"/>
      <c r="AZ1101" s="24"/>
    </row>
    <row r="1102">
      <c r="B1102" s="24"/>
      <c r="E1102" s="113"/>
      <c r="F1102" s="266"/>
      <c r="G1102" s="113"/>
      <c r="K1102" s="36"/>
      <c r="L1102" s="117"/>
      <c r="M1102" s="128"/>
      <c r="N1102" s="117"/>
      <c r="R1102" s="117"/>
      <c r="T1102" s="117"/>
      <c r="V1102" s="117"/>
      <c r="X1102" s="117"/>
      <c r="Y1102" s="10"/>
      <c r="Z1102" s="11"/>
      <c r="AA1102" s="36"/>
      <c r="AB1102" s="36"/>
      <c r="AC1102" s="13"/>
      <c r="AD1102" s="13"/>
      <c r="AE1102" s="37"/>
      <c r="AF1102" s="37"/>
      <c r="AG1102" s="14"/>
      <c r="AH1102" s="14"/>
      <c r="AI1102" s="14"/>
      <c r="AZ1102" s="24"/>
    </row>
    <row r="1103">
      <c r="B1103" s="24"/>
      <c r="E1103" s="113"/>
      <c r="F1103" s="266"/>
      <c r="G1103" s="113"/>
      <c r="K1103" s="36"/>
      <c r="L1103" s="117"/>
      <c r="M1103" s="128"/>
      <c r="N1103" s="117"/>
      <c r="R1103" s="117"/>
      <c r="T1103" s="117"/>
      <c r="V1103" s="117"/>
      <c r="X1103" s="117"/>
      <c r="Y1103" s="10"/>
      <c r="Z1103" s="11"/>
      <c r="AA1103" s="36"/>
      <c r="AB1103" s="36"/>
      <c r="AC1103" s="13"/>
      <c r="AD1103" s="13"/>
      <c r="AE1103" s="37"/>
      <c r="AF1103" s="37"/>
      <c r="AG1103" s="14"/>
      <c r="AH1103" s="14"/>
      <c r="AI1103" s="14"/>
      <c r="AZ1103" s="24"/>
    </row>
    <row r="1104">
      <c r="B1104" s="24"/>
      <c r="E1104" s="113"/>
      <c r="F1104" s="266"/>
      <c r="G1104" s="113"/>
      <c r="K1104" s="36"/>
      <c r="L1104" s="117"/>
      <c r="M1104" s="128"/>
      <c r="N1104" s="117"/>
      <c r="R1104" s="117"/>
      <c r="T1104" s="117"/>
      <c r="V1104" s="117"/>
      <c r="X1104" s="117"/>
      <c r="Y1104" s="10"/>
      <c r="Z1104" s="11"/>
      <c r="AA1104" s="36"/>
      <c r="AB1104" s="36"/>
      <c r="AC1104" s="13"/>
      <c r="AD1104" s="13"/>
      <c r="AE1104" s="37"/>
      <c r="AF1104" s="37"/>
      <c r="AG1104" s="14"/>
      <c r="AH1104" s="14"/>
      <c r="AI1104" s="14"/>
      <c r="AZ1104" s="24"/>
    </row>
    <row r="1105">
      <c r="B1105" s="24"/>
      <c r="E1105" s="113"/>
      <c r="F1105" s="266"/>
      <c r="G1105" s="113"/>
      <c r="K1105" s="36"/>
      <c r="L1105" s="117"/>
      <c r="M1105" s="128"/>
      <c r="N1105" s="117"/>
      <c r="R1105" s="117"/>
      <c r="T1105" s="117"/>
      <c r="V1105" s="117"/>
      <c r="X1105" s="117"/>
      <c r="Y1105" s="10"/>
      <c r="Z1105" s="11"/>
      <c r="AA1105" s="36"/>
      <c r="AB1105" s="36"/>
      <c r="AC1105" s="13"/>
      <c r="AD1105" s="13"/>
      <c r="AE1105" s="37"/>
      <c r="AF1105" s="37"/>
      <c r="AG1105" s="14"/>
      <c r="AH1105" s="14"/>
      <c r="AI1105" s="14"/>
      <c r="AZ1105" s="24"/>
    </row>
    <row r="1106">
      <c r="B1106" s="24"/>
      <c r="E1106" s="113"/>
      <c r="F1106" s="266"/>
      <c r="G1106" s="113"/>
      <c r="K1106" s="36"/>
      <c r="L1106" s="117"/>
      <c r="M1106" s="128"/>
      <c r="N1106" s="117"/>
      <c r="R1106" s="117"/>
      <c r="T1106" s="117"/>
      <c r="V1106" s="117"/>
      <c r="X1106" s="117"/>
      <c r="Y1106" s="10"/>
      <c r="Z1106" s="11"/>
      <c r="AA1106" s="36"/>
      <c r="AB1106" s="36"/>
      <c r="AC1106" s="13"/>
      <c r="AD1106" s="13"/>
      <c r="AE1106" s="37"/>
      <c r="AF1106" s="37"/>
      <c r="AG1106" s="14"/>
      <c r="AH1106" s="14"/>
      <c r="AI1106" s="14"/>
      <c r="AZ1106" s="24"/>
    </row>
    <row r="1107">
      <c r="B1107" s="24"/>
      <c r="E1107" s="113"/>
      <c r="F1107" s="266"/>
      <c r="G1107" s="113"/>
      <c r="K1107" s="36"/>
      <c r="L1107" s="117"/>
      <c r="M1107" s="128"/>
      <c r="N1107" s="117"/>
      <c r="R1107" s="117"/>
      <c r="T1107" s="117"/>
      <c r="V1107" s="117"/>
      <c r="X1107" s="117"/>
      <c r="Y1107" s="10"/>
      <c r="Z1107" s="11"/>
      <c r="AA1107" s="36"/>
      <c r="AB1107" s="36"/>
      <c r="AC1107" s="13"/>
      <c r="AD1107" s="13"/>
      <c r="AE1107" s="37"/>
      <c r="AF1107" s="37"/>
      <c r="AG1107" s="14"/>
      <c r="AH1107" s="14"/>
      <c r="AI1107" s="14"/>
      <c r="AZ1107" s="24"/>
    </row>
    <row r="1108">
      <c r="B1108" s="24"/>
      <c r="E1108" s="113"/>
      <c r="F1108" s="266"/>
      <c r="G1108" s="113"/>
      <c r="K1108" s="36"/>
      <c r="L1108" s="117"/>
      <c r="M1108" s="128"/>
      <c r="N1108" s="117"/>
      <c r="R1108" s="117"/>
      <c r="T1108" s="117"/>
      <c r="V1108" s="117"/>
      <c r="X1108" s="117"/>
      <c r="Y1108" s="10"/>
      <c r="Z1108" s="11"/>
      <c r="AA1108" s="36"/>
      <c r="AB1108" s="36"/>
      <c r="AC1108" s="13"/>
      <c r="AD1108" s="13"/>
      <c r="AE1108" s="37"/>
      <c r="AF1108" s="37"/>
      <c r="AG1108" s="14"/>
      <c r="AH1108" s="14"/>
      <c r="AI1108" s="14"/>
      <c r="AZ1108" s="24"/>
    </row>
    <row r="1109">
      <c r="B1109" s="24"/>
      <c r="E1109" s="113"/>
      <c r="F1109" s="266"/>
      <c r="G1109" s="113"/>
      <c r="K1109" s="36"/>
      <c r="L1109" s="117"/>
      <c r="M1109" s="128"/>
      <c r="N1109" s="117"/>
      <c r="R1109" s="117"/>
      <c r="T1109" s="117"/>
      <c r="V1109" s="117"/>
      <c r="X1109" s="117"/>
      <c r="Y1109" s="10"/>
      <c r="Z1109" s="11"/>
      <c r="AA1109" s="36"/>
      <c r="AB1109" s="36"/>
      <c r="AC1109" s="13"/>
      <c r="AD1109" s="13"/>
      <c r="AE1109" s="37"/>
      <c r="AF1109" s="37"/>
      <c r="AG1109" s="14"/>
      <c r="AH1109" s="14"/>
      <c r="AI1109" s="14"/>
      <c r="AZ1109" s="24"/>
    </row>
    <row r="1110">
      <c r="B1110" s="24"/>
      <c r="E1110" s="113"/>
      <c r="F1110" s="266"/>
      <c r="G1110" s="113"/>
      <c r="K1110" s="36"/>
      <c r="L1110" s="117"/>
      <c r="M1110" s="128"/>
      <c r="N1110" s="117"/>
      <c r="R1110" s="117"/>
      <c r="T1110" s="117"/>
      <c r="V1110" s="117"/>
      <c r="X1110" s="117"/>
      <c r="Y1110" s="10"/>
      <c r="Z1110" s="11"/>
      <c r="AA1110" s="36"/>
      <c r="AB1110" s="36"/>
      <c r="AC1110" s="13"/>
      <c r="AD1110" s="13"/>
      <c r="AE1110" s="37"/>
      <c r="AF1110" s="37"/>
      <c r="AG1110" s="14"/>
      <c r="AH1110" s="14"/>
      <c r="AI1110" s="14"/>
      <c r="AZ1110" s="24"/>
    </row>
    <row r="1111">
      <c r="B1111" s="24"/>
      <c r="E1111" s="113"/>
      <c r="F1111" s="266"/>
      <c r="G1111" s="113"/>
      <c r="K1111" s="36"/>
      <c r="L1111" s="117"/>
      <c r="M1111" s="128"/>
      <c r="N1111" s="117"/>
      <c r="R1111" s="117"/>
      <c r="T1111" s="117"/>
      <c r="V1111" s="117"/>
      <c r="X1111" s="117"/>
      <c r="Y1111" s="10"/>
      <c r="Z1111" s="11"/>
      <c r="AA1111" s="36"/>
      <c r="AB1111" s="36"/>
      <c r="AC1111" s="13"/>
      <c r="AD1111" s="13"/>
      <c r="AE1111" s="37"/>
      <c r="AF1111" s="37"/>
      <c r="AG1111" s="14"/>
      <c r="AH1111" s="14"/>
      <c r="AI1111" s="14"/>
      <c r="AZ1111" s="24"/>
    </row>
    <row r="1112">
      <c r="B1112" s="24"/>
      <c r="E1112" s="113"/>
      <c r="F1112" s="266"/>
      <c r="G1112" s="113"/>
      <c r="K1112" s="36"/>
      <c r="L1112" s="117"/>
      <c r="M1112" s="128"/>
      <c r="N1112" s="117"/>
      <c r="R1112" s="117"/>
      <c r="T1112" s="117"/>
      <c r="V1112" s="117"/>
      <c r="X1112" s="117"/>
      <c r="Y1112" s="10"/>
      <c r="Z1112" s="11"/>
      <c r="AA1112" s="36"/>
      <c r="AB1112" s="36"/>
      <c r="AC1112" s="13"/>
      <c r="AD1112" s="13"/>
      <c r="AE1112" s="37"/>
      <c r="AF1112" s="37"/>
      <c r="AG1112" s="14"/>
      <c r="AH1112" s="14"/>
      <c r="AI1112" s="14"/>
      <c r="AZ1112" s="24"/>
    </row>
    <row r="1113">
      <c r="B1113" s="24"/>
      <c r="E1113" s="113"/>
      <c r="F1113" s="266"/>
      <c r="G1113" s="113"/>
      <c r="K1113" s="36"/>
      <c r="L1113" s="117"/>
      <c r="M1113" s="128"/>
      <c r="N1113" s="117"/>
      <c r="R1113" s="117"/>
      <c r="T1113" s="117"/>
      <c r="V1113" s="117"/>
      <c r="X1113" s="117"/>
      <c r="Y1113" s="10"/>
      <c r="Z1113" s="11"/>
      <c r="AA1113" s="36"/>
      <c r="AB1113" s="36"/>
      <c r="AC1113" s="13"/>
      <c r="AD1113" s="13"/>
      <c r="AE1113" s="37"/>
      <c r="AF1113" s="37"/>
      <c r="AG1113" s="14"/>
      <c r="AH1113" s="14"/>
      <c r="AI1113" s="14"/>
      <c r="AZ1113" s="24"/>
    </row>
    <row r="1114">
      <c r="B1114" s="24"/>
      <c r="E1114" s="113"/>
      <c r="F1114" s="266"/>
      <c r="G1114" s="113"/>
      <c r="K1114" s="36"/>
      <c r="L1114" s="117"/>
      <c r="M1114" s="128"/>
      <c r="N1114" s="117"/>
      <c r="R1114" s="117"/>
      <c r="T1114" s="117"/>
      <c r="V1114" s="117"/>
      <c r="X1114" s="117"/>
      <c r="Y1114" s="10"/>
      <c r="Z1114" s="11"/>
      <c r="AA1114" s="36"/>
      <c r="AB1114" s="36"/>
      <c r="AC1114" s="13"/>
      <c r="AD1114" s="13"/>
      <c r="AE1114" s="37"/>
      <c r="AF1114" s="37"/>
      <c r="AG1114" s="14"/>
      <c r="AH1114" s="14"/>
      <c r="AI1114" s="14"/>
      <c r="AZ1114" s="24"/>
    </row>
    <row r="1115">
      <c r="B1115" s="24"/>
      <c r="E1115" s="113"/>
      <c r="F1115" s="266"/>
      <c r="G1115" s="113"/>
      <c r="K1115" s="36"/>
      <c r="L1115" s="117"/>
      <c r="M1115" s="128"/>
      <c r="N1115" s="117"/>
      <c r="R1115" s="117"/>
      <c r="T1115" s="117"/>
      <c r="V1115" s="117"/>
      <c r="X1115" s="117"/>
      <c r="Y1115" s="10"/>
      <c r="Z1115" s="11"/>
      <c r="AA1115" s="36"/>
      <c r="AB1115" s="36"/>
      <c r="AC1115" s="13"/>
      <c r="AD1115" s="13"/>
      <c r="AE1115" s="37"/>
      <c r="AF1115" s="37"/>
      <c r="AG1115" s="14"/>
      <c r="AH1115" s="14"/>
      <c r="AI1115" s="14"/>
      <c r="AZ1115" s="24"/>
    </row>
    <row r="1116">
      <c r="B1116" s="24"/>
      <c r="E1116" s="113"/>
      <c r="F1116" s="266"/>
      <c r="G1116" s="113"/>
      <c r="K1116" s="36"/>
      <c r="L1116" s="117"/>
      <c r="M1116" s="128"/>
      <c r="N1116" s="117"/>
      <c r="R1116" s="117"/>
      <c r="T1116" s="117"/>
      <c r="V1116" s="117"/>
      <c r="X1116" s="117"/>
      <c r="Y1116" s="10"/>
      <c r="Z1116" s="11"/>
      <c r="AA1116" s="36"/>
      <c r="AB1116" s="36"/>
      <c r="AC1116" s="13"/>
      <c r="AD1116" s="13"/>
      <c r="AE1116" s="37"/>
      <c r="AF1116" s="37"/>
      <c r="AG1116" s="14"/>
      <c r="AH1116" s="14"/>
      <c r="AI1116" s="14"/>
      <c r="AZ1116" s="24"/>
    </row>
    <row r="1117">
      <c r="B1117" s="24"/>
      <c r="E1117" s="113"/>
      <c r="F1117" s="266"/>
      <c r="G1117" s="113"/>
      <c r="K1117" s="36"/>
      <c r="L1117" s="117"/>
      <c r="M1117" s="128"/>
      <c r="N1117" s="117"/>
      <c r="R1117" s="117"/>
      <c r="T1117" s="117"/>
      <c r="V1117" s="117"/>
      <c r="X1117" s="117"/>
      <c r="Y1117" s="10"/>
      <c r="Z1117" s="11"/>
      <c r="AA1117" s="36"/>
      <c r="AB1117" s="36"/>
      <c r="AC1117" s="13"/>
      <c r="AD1117" s="13"/>
      <c r="AE1117" s="37"/>
      <c r="AF1117" s="37"/>
      <c r="AG1117" s="14"/>
      <c r="AH1117" s="14"/>
      <c r="AI1117" s="14"/>
      <c r="AZ1117" s="24"/>
    </row>
    <row r="1118">
      <c r="B1118" s="24"/>
      <c r="E1118" s="113"/>
      <c r="F1118" s="266"/>
      <c r="G1118" s="113"/>
      <c r="K1118" s="36"/>
      <c r="L1118" s="117"/>
      <c r="M1118" s="128"/>
      <c r="N1118" s="117"/>
      <c r="R1118" s="117"/>
      <c r="T1118" s="117"/>
      <c r="V1118" s="117"/>
      <c r="X1118" s="117"/>
      <c r="Y1118" s="10"/>
      <c r="Z1118" s="11"/>
      <c r="AA1118" s="36"/>
      <c r="AB1118" s="36"/>
      <c r="AC1118" s="13"/>
      <c r="AD1118" s="13"/>
      <c r="AE1118" s="37"/>
      <c r="AF1118" s="37"/>
      <c r="AG1118" s="14"/>
      <c r="AH1118" s="14"/>
      <c r="AI1118" s="14"/>
      <c r="AZ1118" s="24"/>
    </row>
    <row r="1119">
      <c r="B1119" s="24"/>
      <c r="E1119" s="113"/>
      <c r="F1119" s="266"/>
      <c r="G1119" s="113"/>
      <c r="K1119" s="36"/>
      <c r="L1119" s="117"/>
      <c r="M1119" s="128"/>
      <c r="N1119" s="117"/>
      <c r="R1119" s="117"/>
      <c r="T1119" s="117"/>
      <c r="V1119" s="117"/>
      <c r="X1119" s="117"/>
      <c r="Y1119" s="10"/>
      <c r="Z1119" s="11"/>
      <c r="AA1119" s="36"/>
      <c r="AB1119" s="36"/>
      <c r="AC1119" s="13"/>
      <c r="AD1119" s="13"/>
      <c r="AE1119" s="37"/>
      <c r="AF1119" s="37"/>
      <c r="AG1119" s="14"/>
      <c r="AH1119" s="14"/>
      <c r="AI1119" s="14"/>
      <c r="AZ1119" s="24"/>
    </row>
    <row r="1120">
      <c r="B1120" s="24"/>
      <c r="E1120" s="113"/>
      <c r="F1120" s="266"/>
      <c r="G1120" s="113"/>
      <c r="K1120" s="36"/>
      <c r="L1120" s="117"/>
      <c r="M1120" s="128"/>
      <c r="N1120" s="117"/>
      <c r="R1120" s="117"/>
      <c r="T1120" s="117"/>
      <c r="V1120" s="117"/>
      <c r="X1120" s="117"/>
      <c r="Y1120" s="10"/>
      <c r="Z1120" s="11"/>
      <c r="AA1120" s="36"/>
      <c r="AB1120" s="36"/>
      <c r="AC1120" s="13"/>
      <c r="AD1120" s="13"/>
      <c r="AE1120" s="37"/>
      <c r="AF1120" s="37"/>
      <c r="AG1120" s="14"/>
      <c r="AH1120" s="14"/>
      <c r="AI1120" s="14"/>
      <c r="AZ1120" s="24"/>
    </row>
    <row r="1121">
      <c r="B1121" s="24"/>
      <c r="E1121" s="113"/>
      <c r="F1121" s="266"/>
      <c r="G1121" s="113"/>
      <c r="K1121" s="36"/>
      <c r="L1121" s="117"/>
      <c r="M1121" s="128"/>
      <c r="N1121" s="117"/>
      <c r="R1121" s="117"/>
      <c r="T1121" s="117"/>
      <c r="V1121" s="117"/>
      <c r="X1121" s="117"/>
      <c r="Y1121" s="10"/>
      <c r="Z1121" s="11"/>
      <c r="AA1121" s="36"/>
      <c r="AB1121" s="36"/>
      <c r="AC1121" s="13"/>
      <c r="AD1121" s="13"/>
      <c r="AE1121" s="37"/>
      <c r="AF1121" s="37"/>
      <c r="AG1121" s="14"/>
      <c r="AH1121" s="14"/>
      <c r="AI1121" s="14"/>
      <c r="AZ1121" s="24"/>
    </row>
    <row r="1122">
      <c r="B1122" s="24"/>
      <c r="E1122" s="113"/>
      <c r="F1122" s="266"/>
      <c r="G1122" s="113"/>
      <c r="K1122" s="36"/>
      <c r="L1122" s="117"/>
      <c r="M1122" s="128"/>
      <c r="N1122" s="117"/>
      <c r="R1122" s="117"/>
      <c r="T1122" s="117"/>
      <c r="V1122" s="117"/>
      <c r="X1122" s="117"/>
      <c r="Y1122" s="10"/>
      <c r="Z1122" s="11"/>
      <c r="AA1122" s="36"/>
      <c r="AB1122" s="36"/>
      <c r="AC1122" s="13"/>
      <c r="AD1122" s="13"/>
      <c r="AE1122" s="37"/>
      <c r="AF1122" s="37"/>
      <c r="AG1122" s="14"/>
      <c r="AH1122" s="14"/>
      <c r="AI1122" s="14"/>
      <c r="AZ1122" s="24"/>
    </row>
    <row r="1123">
      <c r="B1123" s="24"/>
      <c r="E1123" s="113"/>
      <c r="F1123" s="266"/>
      <c r="G1123" s="113"/>
      <c r="K1123" s="36"/>
      <c r="L1123" s="117"/>
      <c r="M1123" s="128"/>
      <c r="N1123" s="117"/>
      <c r="R1123" s="117"/>
      <c r="T1123" s="117"/>
      <c r="V1123" s="117"/>
      <c r="X1123" s="117"/>
      <c r="Y1123" s="10"/>
      <c r="Z1123" s="11"/>
      <c r="AA1123" s="36"/>
      <c r="AB1123" s="36"/>
      <c r="AC1123" s="13"/>
      <c r="AD1123" s="13"/>
      <c r="AE1123" s="37"/>
      <c r="AF1123" s="37"/>
      <c r="AG1123" s="14"/>
      <c r="AH1123" s="14"/>
      <c r="AI1123" s="14"/>
      <c r="AZ1123" s="24"/>
    </row>
    <row r="1124">
      <c r="B1124" s="24"/>
      <c r="E1124" s="113"/>
      <c r="F1124" s="266"/>
      <c r="G1124" s="113"/>
      <c r="K1124" s="36"/>
      <c r="L1124" s="117"/>
      <c r="M1124" s="128"/>
      <c r="N1124" s="117"/>
      <c r="R1124" s="117"/>
      <c r="T1124" s="117"/>
      <c r="V1124" s="117"/>
      <c r="X1124" s="117"/>
      <c r="Y1124" s="10"/>
      <c r="Z1124" s="11"/>
      <c r="AA1124" s="36"/>
      <c r="AB1124" s="36"/>
      <c r="AC1124" s="13"/>
      <c r="AD1124" s="13"/>
      <c r="AE1124" s="37"/>
      <c r="AF1124" s="37"/>
      <c r="AG1124" s="14"/>
      <c r="AH1124" s="14"/>
      <c r="AI1124" s="14"/>
      <c r="AZ1124" s="24"/>
    </row>
    <row r="1125">
      <c r="B1125" s="24"/>
      <c r="E1125" s="113"/>
      <c r="F1125" s="266"/>
      <c r="G1125" s="113"/>
      <c r="K1125" s="36"/>
      <c r="L1125" s="117"/>
      <c r="M1125" s="128"/>
      <c r="N1125" s="117"/>
      <c r="R1125" s="117"/>
      <c r="T1125" s="117"/>
      <c r="V1125" s="117"/>
      <c r="X1125" s="117"/>
      <c r="Y1125" s="10"/>
      <c r="Z1125" s="11"/>
      <c r="AA1125" s="36"/>
      <c r="AB1125" s="36"/>
      <c r="AC1125" s="13"/>
      <c r="AD1125" s="13"/>
      <c r="AE1125" s="37"/>
      <c r="AF1125" s="37"/>
      <c r="AG1125" s="14"/>
      <c r="AH1125" s="14"/>
      <c r="AI1125" s="14"/>
      <c r="AZ1125" s="24"/>
    </row>
    <row r="1126">
      <c r="B1126" s="24"/>
      <c r="E1126" s="113"/>
      <c r="F1126" s="266"/>
      <c r="G1126" s="113"/>
      <c r="K1126" s="36"/>
      <c r="L1126" s="117"/>
      <c r="M1126" s="128"/>
      <c r="N1126" s="117"/>
      <c r="R1126" s="117"/>
      <c r="T1126" s="117"/>
      <c r="V1126" s="117"/>
      <c r="X1126" s="117"/>
      <c r="Y1126" s="10"/>
      <c r="Z1126" s="11"/>
      <c r="AA1126" s="36"/>
      <c r="AB1126" s="36"/>
      <c r="AC1126" s="13"/>
      <c r="AD1126" s="13"/>
      <c r="AE1126" s="37"/>
      <c r="AF1126" s="37"/>
      <c r="AG1126" s="14"/>
      <c r="AH1126" s="14"/>
      <c r="AI1126" s="14"/>
      <c r="AZ1126" s="24"/>
    </row>
    <row r="1127">
      <c r="B1127" s="24"/>
      <c r="E1127" s="113"/>
      <c r="F1127" s="266"/>
      <c r="G1127" s="113"/>
      <c r="K1127" s="36"/>
      <c r="L1127" s="117"/>
      <c r="M1127" s="128"/>
      <c r="N1127" s="117"/>
      <c r="R1127" s="117"/>
      <c r="T1127" s="117"/>
      <c r="V1127" s="117"/>
      <c r="X1127" s="117"/>
      <c r="Y1127" s="10"/>
      <c r="Z1127" s="11"/>
      <c r="AA1127" s="36"/>
      <c r="AB1127" s="36"/>
      <c r="AC1127" s="13"/>
      <c r="AD1127" s="13"/>
      <c r="AE1127" s="37"/>
      <c r="AF1127" s="37"/>
      <c r="AG1127" s="14"/>
      <c r="AH1127" s="14"/>
      <c r="AI1127" s="14"/>
      <c r="AZ1127" s="24"/>
    </row>
    <row r="1128">
      <c r="B1128" s="24"/>
      <c r="E1128" s="113"/>
      <c r="F1128" s="266"/>
      <c r="G1128" s="113"/>
      <c r="K1128" s="36"/>
      <c r="L1128" s="117"/>
      <c r="M1128" s="128"/>
      <c r="N1128" s="117"/>
      <c r="R1128" s="117"/>
      <c r="T1128" s="117"/>
      <c r="V1128" s="117"/>
      <c r="X1128" s="117"/>
      <c r="Y1128" s="10"/>
      <c r="Z1128" s="11"/>
      <c r="AA1128" s="36"/>
      <c r="AB1128" s="36"/>
      <c r="AC1128" s="13"/>
      <c r="AD1128" s="13"/>
      <c r="AE1128" s="37"/>
      <c r="AF1128" s="37"/>
      <c r="AG1128" s="14"/>
      <c r="AH1128" s="14"/>
      <c r="AI1128" s="14"/>
      <c r="AZ1128" s="24"/>
    </row>
    <row r="1129">
      <c r="B1129" s="24"/>
      <c r="E1129" s="113"/>
      <c r="F1129" s="266"/>
      <c r="G1129" s="113"/>
      <c r="K1129" s="36"/>
      <c r="L1129" s="117"/>
      <c r="M1129" s="128"/>
      <c r="N1129" s="117"/>
      <c r="R1129" s="117"/>
      <c r="T1129" s="117"/>
      <c r="V1129" s="117"/>
      <c r="X1129" s="117"/>
      <c r="Y1129" s="10"/>
      <c r="Z1129" s="11"/>
      <c r="AA1129" s="36"/>
      <c r="AB1129" s="36"/>
      <c r="AC1129" s="13"/>
      <c r="AD1129" s="13"/>
      <c r="AE1129" s="37"/>
      <c r="AF1129" s="37"/>
      <c r="AG1129" s="14"/>
      <c r="AH1129" s="14"/>
      <c r="AI1129" s="14"/>
      <c r="AZ1129" s="24"/>
    </row>
    <row r="1130">
      <c r="B1130" s="24"/>
      <c r="E1130" s="113"/>
      <c r="F1130" s="266"/>
      <c r="G1130" s="113"/>
      <c r="K1130" s="36"/>
      <c r="L1130" s="117"/>
      <c r="M1130" s="128"/>
      <c r="N1130" s="117"/>
      <c r="R1130" s="117"/>
      <c r="T1130" s="117"/>
      <c r="V1130" s="117"/>
      <c r="X1130" s="117"/>
      <c r="Y1130" s="10"/>
      <c r="Z1130" s="11"/>
      <c r="AA1130" s="36"/>
      <c r="AB1130" s="36"/>
      <c r="AC1130" s="13"/>
      <c r="AD1130" s="13"/>
      <c r="AE1130" s="37"/>
      <c r="AF1130" s="37"/>
      <c r="AG1130" s="14"/>
      <c r="AH1130" s="14"/>
      <c r="AI1130" s="14"/>
      <c r="AZ1130" s="24"/>
    </row>
    <row r="1131">
      <c r="B1131" s="24"/>
      <c r="K1131" s="36"/>
      <c r="M1131" s="128"/>
      <c r="Y1131" s="10"/>
      <c r="Z1131" s="11"/>
      <c r="AA1131" s="36"/>
      <c r="AB1131" s="36"/>
      <c r="AC1131" s="13"/>
      <c r="AD1131" s="13"/>
      <c r="AE1131" s="37"/>
      <c r="AF1131" s="37"/>
      <c r="AG1131" s="14"/>
      <c r="AH1131" s="14"/>
      <c r="AI1131" s="14"/>
      <c r="AZ1131" s="24"/>
    </row>
    <row r="1132">
      <c r="B1132" s="24"/>
      <c r="K1132" s="36"/>
      <c r="M1132" s="128"/>
      <c r="Y1132" s="10"/>
      <c r="Z1132" s="11"/>
      <c r="AE1132" s="37"/>
      <c r="AF1132" s="37"/>
      <c r="AG1132" s="14"/>
      <c r="AH1132" s="14"/>
      <c r="AI1132" s="14"/>
      <c r="AZ1132" s="24"/>
    </row>
    <row r="1133">
      <c r="B1133" s="24"/>
      <c r="K1133" s="36"/>
      <c r="M1133" s="128"/>
      <c r="Y1133" s="10"/>
      <c r="Z1133" s="11"/>
      <c r="AE1133" s="37"/>
      <c r="AF1133" s="37"/>
      <c r="AG1133" s="14"/>
      <c r="AH1133" s="14"/>
      <c r="AI1133" s="14"/>
      <c r="AZ1133" s="24"/>
    </row>
    <row r="1134">
      <c r="B1134" s="24"/>
      <c r="K1134" s="36"/>
      <c r="M1134" s="128"/>
      <c r="Y1134" s="10"/>
      <c r="Z1134" s="11"/>
      <c r="AG1134" s="14"/>
      <c r="AH1134" s="14"/>
      <c r="AI1134" s="14"/>
      <c r="AZ1134" s="24"/>
    </row>
    <row r="1135">
      <c r="B1135" s="24"/>
      <c r="K1135" s="36"/>
      <c r="M1135" s="128"/>
      <c r="Y1135" s="10"/>
      <c r="Z1135" s="11"/>
      <c r="AG1135" s="14"/>
      <c r="AH1135" s="14"/>
      <c r="AI1135" s="14"/>
      <c r="AZ1135" s="24"/>
    </row>
    <row r="1136">
      <c r="B1136" s="24"/>
      <c r="K1136" s="36"/>
      <c r="M1136" s="128"/>
      <c r="Y1136" s="10"/>
      <c r="Z1136" s="11"/>
      <c r="AZ1136" s="24"/>
    </row>
    <row r="1137">
      <c r="B1137" s="24"/>
      <c r="K1137" s="36"/>
      <c r="M1137" s="128"/>
      <c r="Y1137" s="10"/>
      <c r="Z1137" s="11"/>
      <c r="AZ1137" s="24"/>
    </row>
    <row r="1138">
      <c r="B1138" s="24"/>
      <c r="K1138" s="36"/>
      <c r="M1138" s="128"/>
      <c r="AZ1138" s="24"/>
    </row>
    <row r="1139">
      <c r="B1139" s="24"/>
      <c r="K1139" s="36"/>
      <c r="M1139" s="128"/>
      <c r="AZ1139" s="24"/>
    </row>
  </sheetData>
  <mergeCells count="642">
    <mergeCell ref="AL1:AL2"/>
    <mergeCell ref="AN1:AN2"/>
    <mergeCell ref="AP1:AP2"/>
    <mergeCell ref="AR1:AR2"/>
    <mergeCell ref="AT1:AT2"/>
    <mergeCell ref="AV1:AV2"/>
    <mergeCell ref="AX1:AX2"/>
    <mergeCell ref="Y5:Z5"/>
    <mergeCell ref="AA5:AB5"/>
    <mergeCell ref="AC5:AD5"/>
    <mergeCell ref="AG5:AI5"/>
    <mergeCell ref="AJ1:AJ2"/>
    <mergeCell ref="E2:F2"/>
    <mergeCell ref="I2:J2"/>
    <mergeCell ref="AA2:AB2"/>
    <mergeCell ref="G3:H3"/>
    <mergeCell ref="I3:J3"/>
    <mergeCell ref="I4:J4"/>
    <mergeCell ref="U7:V7"/>
    <mergeCell ref="W7:X7"/>
    <mergeCell ref="G4:H4"/>
    <mergeCell ref="G5:H5"/>
    <mergeCell ref="I5:J5"/>
    <mergeCell ref="E7:F7"/>
    <mergeCell ref="M7:N7"/>
    <mergeCell ref="O7:R7"/>
    <mergeCell ref="S7:T7"/>
    <mergeCell ref="M13:N13"/>
    <mergeCell ref="O13:R13"/>
    <mergeCell ref="S13:T13"/>
    <mergeCell ref="U13:V13"/>
    <mergeCell ref="W13:X13"/>
    <mergeCell ref="C14:D14"/>
    <mergeCell ref="E14:F14"/>
    <mergeCell ref="G14:H14"/>
    <mergeCell ref="I14:J14"/>
    <mergeCell ref="C8:D8"/>
    <mergeCell ref="E8:F8"/>
    <mergeCell ref="G8:H8"/>
    <mergeCell ref="I8:J8"/>
    <mergeCell ref="E9:F9"/>
    <mergeCell ref="G9:H9"/>
    <mergeCell ref="I9:J9"/>
    <mergeCell ref="C9:D10"/>
    <mergeCell ref="C11:D11"/>
    <mergeCell ref="C12:D12"/>
    <mergeCell ref="E12:F12"/>
    <mergeCell ref="G12:H12"/>
    <mergeCell ref="I12:J12"/>
    <mergeCell ref="E13:F13"/>
    <mergeCell ref="E18:F18"/>
    <mergeCell ref="E19:F19"/>
    <mergeCell ref="M19:N19"/>
    <mergeCell ref="O19:R19"/>
    <mergeCell ref="S19:T19"/>
    <mergeCell ref="U19:V19"/>
    <mergeCell ref="W19:X19"/>
    <mergeCell ref="C15:D16"/>
    <mergeCell ref="E15:F15"/>
    <mergeCell ref="G15:H15"/>
    <mergeCell ref="I15:J15"/>
    <mergeCell ref="C17:D17"/>
    <mergeCell ref="G18:H18"/>
    <mergeCell ref="I18:J18"/>
    <mergeCell ref="C20:D20"/>
    <mergeCell ref="E20:F20"/>
    <mergeCell ref="G20:H20"/>
    <mergeCell ref="I20:J20"/>
    <mergeCell ref="E21:F21"/>
    <mergeCell ref="G21:H21"/>
    <mergeCell ref="I21:J21"/>
    <mergeCell ref="M25:N25"/>
    <mergeCell ref="O25:R25"/>
    <mergeCell ref="S25:T25"/>
    <mergeCell ref="U25:V25"/>
    <mergeCell ref="W25:X25"/>
    <mergeCell ref="C27:D28"/>
    <mergeCell ref="C29:D29"/>
    <mergeCell ref="C21:D22"/>
    <mergeCell ref="C23:D23"/>
    <mergeCell ref="C24:D24"/>
    <mergeCell ref="E24:F24"/>
    <mergeCell ref="G24:H24"/>
    <mergeCell ref="I24:J24"/>
    <mergeCell ref="E25:F25"/>
    <mergeCell ref="C26:D26"/>
    <mergeCell ref="E26:F26"/>
    <mergeCell ref="G26:H26"/>
    <mergeCell ref="I26:J26"/>
    <mergeCell ref="E27:F27"/>
    <mergeCell ref="G27:H27"/>
    <mergeCell ref="I27:J27"/>
    <mergeCell ref="U32:V32"/>
    <mergeCell ref="W32:X32"/>
    <mergeCell ref="E31:F31"/>
    <mergeCell ref="G31:H31"/>
    <mergeCell ref="I31:J31"/>
    <mergeCell ref="E32:F32"/>
    <mergeCell ref="M32:N32"/>
    <mergeCell ref="O32:R32"/>
    <mergeCell ref="S32:T32"/>
    <mergeCell ref="C33:D33"/>
    <mergeCell ref="E33:F33"/>
    <mergeCell ref="G33:H33"/>
    <mergeCell ref="I33:J33"/>
    <mergeCell ref="E34:F34"/>
    <mergeCell ref="G34:H34"/>
    <mergeCell ref="I34:J34"/>
    <mergeCell ref="O38:R38"/>
    <mergeCell ref="S38:T38"/>
    <mergeCell ref="U38:V38"/>
    <mergeCell ref="W38:X38"/>
    <mergeCell ref="C34:D35"/>
    <mergeCell ref="C36:D36"/>
    <mergeCell ref="E37:F37"/>
    <mergeCell ref="G37:H37"/>
    <mergeCell ref="I37:J37"/>
    <mergeCell ref="E38:F38"/>
    <mergeCell ref="M38:N38"/>
    <mergeCell ref="C39:D39"/>
    <mergeCell ref="E39:F39"/>
    <mergeCell ref="G39:H39"/>
    <mergeCell ref="I39:J39"/>
    <mergeCell ref="C40:D41"/>
    <mergeCell ref="G40:H40"/>
    <mergeCell ref="I40:J40"/>
    <mergeCell ref="O44:R44"/>
    <mergeCell ref="S44:T44"/>
    <mergeCell ref="U44:V44"/>
    <mergeCell ref="W44:X44"/>
    <mergeCell ref="E40:F40"/>
    <mergeCell ref="E43:F43"/>
    <mergeCell ref="G43:H43"/>
    <mergeCell ref="I43:J43"/>
    <mergeCell ref="C44:D44"/>
    <mergeCell ref="E44:F44"/>
    <mergeCell ref="M44:N44"/>
    <mergeCell ref="C45:D45"/>
    <mergeCell ref="E45:F45"/>
    <mergeCell ref="G45:H45"/>
    <mergeCell ref="I45:J45"/>
    <mergeCell ref="C46:D47"/>
    <mergeCell ref="G46:H46"/>
    <mergeCell ref="I46:J46"/>
    <mergeCell ref="S50:T50"/>
    <mergeCell ref="U50:V50"/>
    <mergeCell ref="W50:X50"/>
    <mergeCell ref="E46:F46"/>
    <mergeCell ref="E49:F49"/>
    <mergeCell ref="G49:H49"/>
    <mergeCell ref="I49:J49"/>
    <mergeCell ref="E50:F50"/>
    <mergeCell ref="M50:N50"/>
    <mergeCell ref="O50:R50"/>
    <mergeCell ref="M56:N56"/>
    <mergeCell ref="O56:R56"/>
    <mergeCell ref="S56:T56"/>
    <mergeCell ref="U56:V56"/>
    <mergeCell ref="W56:X56"/>
    <mergeCell ref="C51:D51"/>
    <mergeCell ref="E51:F51"/>
    <mergeCell ref="G51:H51"/>
    <mergeCell ref="I51:J51"/>
    <mergeCell ref="C52:D53"/>
    <mergeCell ref="G52:H52"/>
    <mergeCell ref="I52:J52"/>
    <mergeCell ref="E52:F52"/>
    <mergeCell ref="E55:F55"/>
    <mergeCell ref="G55:H55"/>
    <mergeCell ref="I55:J55"/>
    <mergeCell ref="E56:F56"/>
    <mergeCell ref="G56:H56"/>
    <mergeCell ref="I56:J56"/>
    <mergeCell ref="C57:D57"/>
    <mergeCell ref="E57:F57"/>
    <mergeCell ref="G57:H57"/>
    <mergeCell ref="I57:J57"/>
    <mergeCell ref="C58:D59"/>
    <mergeCell ref="G58:H58"/>
    <mergeCell ref="I58:J58"/>
    <mergeCell ref="M62:N62"/>
    <mergeCell ref="O62:R62"/>
    <mergeCell ref="S62:T62"/>
    <mergeCell ref="U62:V62"/>
    <mergeCell ref="W62:X62"/>
    <mergeCell ref="E58:F58"/>
    <mergeCell ref="E61:F61"/>
    <mergeCell ref="G61:H61"/>
    <mergeCell ref="I61:J61"/>
    <mergeCell ref="E62:F62"/>
    <mergeCell ref="G62:H62"/>
    <mergeCell ref="I62:J62"/>
    <mergeCell ref="G69:H69"/>
    <mergeCell ref="I69:J69"/>
    <mergeCell ref="M69:N69"/>
    <mergeCell ref="O69:R69"/>
    <mergeCell ref="S69:T69"/>
    <mergeCell ref="U69:V69"/>
    <mergeCell ref="W69:X69"/>
    <mergeCell ref="C70:D70"/>
    <mergeCell ref="E70:F70"/>
    <mergeCell ref="G70:H70"/>
    <mergeCell ref="I70:J70"/>
    <mergeCell ref="C63:D63"/>
    <mergeCell ref="E63:F63"/>
    <mergeCell ref="G63:H63"/>
    <mergeCell ref="I63:J63"/>
    <mergeCell ref="E64:F64"/>
    <mergeCell ref="G64:H64"/>
    <mergeCell ref="I64:J64"/>
    <mergeCell ref="C64:D65"/>
    <mergeCell ref="C66:D66"/>
    <mergeCell ref="G67:H67"/>
    <mergeCell ref="I67:J67"/>
    <mergeCell ref="E68:F68"/>
    <mergeCell ref="G68:H68"/>
    <mergeCell ref="E69:F69"/>
    <mergeCell ref="U75:V75"/>
    <mergeCell ref="W75:X75"/>
    <mergeCell ref="E74:F74"/>
    <mergeCell ref="E75:F75"/>
    <mergeCell ref="G75:H75"/>
    <mergeCell ref="I75:J75"/>
    <mergeCell ref="M75:N75"/>
    <mergeCell ref="O75:R75"/>
    <mergeCell ref="S75:T75"/>
    <mergeCell ref="C71:D72"/>
    <mergeCell ref="E71:F71"/>
    <mergeCell ref="G71:H71"/>
    <mergeCell ref="I71:J71"/>
    <mergeCell ref="C73:D73"/>
    <mergeCell ref="G74:H74"/>
    <mergeCell ref="I74:J74"/>
    <mergeCell ref="I81:J81"/>
    <mergeCell ref="M81:N81"/>
    <mergeCell ref="O81:R81"/>
    <mergeCell ref="S81:T81"/>
    <mergeCell ref="U81:V81"/>
    <mergeCell ref="W81:X81"/>
    <mergeCell ref="C82:D82"/>
    <mergeCell ref="E82:F82"/>
    <mergeCell ref="G82:H82"/>
    <mergeCell ref="I82:J82"/>
    <mergeCell ref="C101:D101"/>
    <mergeCell ref="E101:F101"/>
    <mergeCell ref="G101:H101"/>
    <mergeCell ref="I101:J101"/>
    <mergeCell ref="C102:D103"/>
    <mergeCell ref="G102:H102"/>
    <mergeCell ref="I102:J102"/>
    <mergeCell ref="E102:F102"/>
    <mergeCell ref="E106:F106"/>
    <mergeCell ref="G106:H106"/>
    <mergeCell ref="I106:J106"/>
    <mergeCell ref="E107:F107"/>
    <mergeCell ref="G107:H107"/>
    <mergeCell ref="I107:J107"/>
    <mergeCell ref="C156:D156"/>
    <mergeCell ref="E156:F156"/>
    <mergeCell ref="G156:H156"/>
    <mergeCell ref="I156:J156"/>
    <mergeCell ref="E157:F157"/>
    <mergeCell ref="G157:H157"/>
    <mergeCell ref="I157:J157"/>
    <mergeCell ref="C157:D158"/>
    <mergeCell ref="C159:D159"/>
    <mergeCell ref="E161:F161"/>
    <mergeCell ref="G161:H161"/>
    <mergeCell ref="I161:J161"/>
    <mergeCell ref="E162:F162"/>
    <mergeCell ref="G162:H162"/>
    <mergeCell ref="U168:V168"/>
    <mergeCell ref="W168:X168"/>
    <mergeCell ref="E167:F167"/>
    <mergeCell ref="E168:F168"/>
    <mergeCell ref="G168:H168"/>
    <mergeCell ref="I168:J168"/>
    <mergeCell ref="M168:N168"/>
    <mergeCell ref="O168:R168"/>
    <mergeCell ref="S168:T168"/>
    <mergeCell ref="C164:D165"/>
    <mergeCell ref="E164:F164"/>
    <mergeCell ref="G164:H164"/>
    <mergeCell ref="I164:J164"/>
    <mergeCell ref="C166:D166"/>
    <mergeCell ref="G167:H167"/>
    <mergeCell ref="I167:J167"/>
    <mergeCell ref="I174:J174"/>
    <mergeCell ref="M174:N174"/>
    <mergeCell ref="O174:R174"/>
    <mergeCell ref="S174:T174"/>
    <mergeCell ref="U174:V174"/>
    <mergeCell ref="W174:X174"/>
    <mergeCell ref="C175:D175"/>
    <mergeCell ref="E175:F175"/>
    <mergeCell ref="G175:H175"/>
    <mergeCell ref="I175:J175"/>
    <mergeCell ref="C189:D189"/>
    <mergeCell ref="E189:F189"/>
    <mergeCell ref="G189:H189"/>
    <mergeCell ref="I189:J189"/>
    <mergeCell ref="E190:F190"/>
    <mergeCell ref="G190:H190"/>
    <mergeCell ref="I190:J190"/>
    <mergeCell ref="C190:D191"/>
    <mergeCell ref="C192:D192"/>
    <mergeCell ref="E193:F193"/>
    <mergeCell ref="G193:H193"/>
    <mergeCell ref="I193:J193"/>
    <mergeCell ref="E194:F194"/>
    <mergeCell ref="M194:N194"/>
    <mergeCell ref="C195:D195"/>
    <mergeCell ref="E195:F195"/>
    <mergeCell ref="G195:H195"/>
    <mergeCell ref="I195:J195"/>
    <mergeCell ref="E196:F196"/>
    <mergeCell ref="G196:H196"/>
    <mergeCell ref="I196:J196"/>
    <mergeCell ref="O200:R200"/>
    <mergeCell ref="S200:T200"/>
    <mergeCell ref="U200:V200"/>
    <mergeCell ref="W200:X200"/>
    <mergeCell ref="C196:D197"/>
    <mergeCell ref="C198:D198"/>
    <mergeCell ref="E199:F199"/>
    <mergeCell ref="G199:H199"/>
    <mergeCell ref="I199:J199"/>
    <mergeCell ref="E200:F200"/>
    <mergeCell ref="M200:N200"/>
    <mergeCell ref="C202:D203"/>
    <mergeCell ref="C204:D204"/>
    <mergeCell ref="C205:D205"/>
    <mergeCell ref="E205:F205"/>
    <mergeCell ref="G205:H205"/>
    <mergeCell ref="I205:J205"/>
    <mergeCell ref="E206:F206"/>
    <mergeCell ref="E207:F207"/>
    <mergeCell ref="C201:D201"/>
    <mergeCell ref="E201:F201"/>
    <mergeCell ref="G201:H201"/>
    <mergeCell ref="I201:J201"/>
    <mergeCell ref="E202:F202"/>
    <mergeCell ref="G202:H202"/>
    <mergeCell ref="I202:J202"/>
    <mergeCell ref="C169:D169"/>
    <mergeCell ref="E169:F169"/>
    <mergeCell ref="G169:H169"/>
    <mergeCell ref="I169:J169"/>
    <mergeCell ref="E170:F170"/>
    <mergeCell ref="G170:H170"/>
    <mergeCell ref="I170:J170"/>
    <mergeCell ref="C170:D171"/>
    <mergeCell ref="C172:D172"/>
    <mergeCell ref="E173:F173"/>
    <mergeCell ref="G173:H173"/>
    <mergeCell ref="I173:J173"/>
    <mergeCell ref="E174:F174"/>
    <mergeCell ref="G174:H174"/>
    <mergeCell ref="U181:V181"/>
    <mergeCell ref="W181:X181"/>
    <mergeCell ref="E180:F180"/>
    <mergeCell ref="E181:F181"/>
    <mergeCell ref="G181:H181"/>
    <mergeCell ref="I181:J181"/>
    <mergeCell ref="M181:N181"/>
    <mergeCell ref="O181:R181"/>
    <mergeCell ref="S181:T181"/>
    <mergeCell ref="C176:D177"/>
    <mergeCell ref="E176:F176"/>
    <mergeCell ref="G176:H176"/>
    <mergeCell ref="I176:J176"/>
    <mergeCell ref="C178:D178"/>
    <mergeCell ref="G180:H180"/>
    <mergeCell ref="I180:J180"/>
    <mergeCell ref="O188:R188"/>
    <mergeCell ref="S188:T188"/>
    <mergeCell ref="U188:V188"/>
    <mergeCell ref="W188:X188"/>
    <mergeCell ref="O194:R194"/>
    <mergeCell ref="S194:T194"/>
    <mergeCell ref="U194:V194"/>
    <mergeCell ref="W194:X194"/>
    <mergeCell ref="C76:D76"/>
    <mergeCell ref="E76:F76"/>
    <mergeCell ref="G76:H76"/>
    <mergeCell ref="I76:J76"/>
    <mergeCell ref="E77:F77"/>
    <mergeCell ref="G77:H77"/>
    <mergeCell ref="I77:J77"/>
    <mergeCell ref="C77:D78"/>
    <mergeCell ref="C79:D79"/>
    <mergeCell ref="E80:F80"/>
    <mergeCell ref="G80:H80"/>
    <mergeCell ref="I80:J80"/>
    <mergeCell ref="E81:F81"/>
    <mergeCell ref="G81:H81"/>
    <mergeCell ref="U88:V88"/>
    <mergeCell ref="W88:X88"/>
    <mergeCell ref="E87:F87"/>
    <mergeCell ref="E88:F88"/>
    <mergeCell ref="G88:H88"/>
    <mergeCell ref="I88:J88"/>
    <mergeCell ref="M88:N88"/>
    <mergeCell ref="O88:R88"/>
    <mergeCell ref="S88:T88"/>
    <mergeCell ref="C83:D84"/>
    <mergeCell ref="E83:F83"/>
    <mergeCell ref="G83:H83"/>
    <mergeCell ref="I83:J83"/>
    <mergeCell ref="C85:D85"/>
    <mergeCell ref="G87:H87"/>
    <mergeCell ref="I87:J87"/>
    <mergeCell ref="I94:J94"/>
    <mergeCell ref="M94:N94"/>
    <mergeCell ref="O94:R94"/>
    <mergeCell ref="S94:T94"/>
    <mergeCell ref="U94:V94"/>
    <mergeCell ref="W94:X94"/>
    <mergeCell ref="C95:D95"/>
    <mergeCell ref="E95:F95"/>
    <mergeCell ref="G95:H95"/>
    <mergeCell ref="I95:J95"/>
    <mergeCell ref="C89:D89"/>
    <mergeCell ref="E89:F89"/>
    <mergeCell ref="G89:H89"/>
    <mergeCell ref="I89:J89"/>
    <mergeCell ref="E90:F90"/>
    <mergeCell ref="G90:H90"/>
    <mergeCell ref="I90:J90"/>
    <mergeCell ref="C90:D91"/>
    <mergeCell ref="C92:D92"/>
    <mergeCell ref="E93:F93"/>
    <mergeCell ref="G93:H93"/>
    <mergeCell ref="I93:J93"/>
    <mergeCell ref="E94:F94"/>
    <mergeCell ref="G94:H94"/>
    <mergeCell ref="U100:V100"/>
    <mergeCell ref="W100:X100"/>
    <mergeCell ref="E99:F99"/>
    <mergeCell ref="E100:F100"/>
    <mergeCell ref="G100:H100"/>
    <mergeCell ref="I100:J100"/>
    <mergeCell ref="M100:N100"/>
    <mergeCell ref="O100:R100"/>
    <mergeCell ref="S100:T100"/>
    <mergeCell ref="C96:D97"/>
    <mergeCell ref="E96:F96"/>
    <mergeCell ref="G96:H96"/>
    <mergeCell ref="I96:J96"/>
    <mergeCell ref="C98:D98"/>
    <mergeCell ref="G99:H99"/>
    <mergeCell ref="I99:J99"/>
    <mergeCell ref="M107:N107"/>
    <mergeCell ref="O107:R107"/>
    <mergeCell ref="S107:T107"/>
    <mergeCell ref="U107:V107"/>
    <mergeCell ref="W107:X107"/>
    <mergeCell ref="I113:J113"/>
    <mergeCell ref="M113:N113"/>
    <mergeCell ref="O113:R113"/>
    <mergeCell ref="S113:T113"/>
    <mergeCell ref="U113:V113"/>
    <mergeCell ref="W113:X113"/>
    <mergeCell ref="C108:D108"/>
    <mergeCell ref="E108:F108"/>
    <mergeCell ref="G108:H108"/>
    <mergeCell ref="I108:J108"/>
    <mergeCell ref="E109:F109"/>
    <mergeCell ref="G109:H109"/>
    <mergeCell ref="I109:J109"/>
    <mergeCell ref="C109:D110"/>
    <mergeCell ref="C111:D111"/>
    <mergeCell ref="E112:F112"/>
    <mergeCell ref="G112:H112"/>
    <mergeCell ref="I112:J112"/>
    <mergeCell ref="E113:F113"/>
    <mergeCell ref="G113:H113"/>
    <mergeCell ref="C114:D114"/>
    <mergeCell ref="E114:F114"/>
    <mergeCell ref="G114:H114"/>
    <mergeCell ref="I114:J114"/>
    <mergeCell ref="E115:F115"/>
    <mergeCell ref="G115:H115"/>
    <mergeCell ref="I115:J115"/>
    <mergeCell ref="G119:H119"/>
    <mergeCell ref="I119:J119"/>
    <mergeCell ref="M119:N119"/>
    <mergeCell ref="O119:R119"/>
    <mergeCell ref="S119:T119"/>
    <mergeCell ref="U119:V119"/>
    <mergeCell ref="W119:X119"/>
    <mergeCell ref="C115:D116"/>
    <mergeCell ref="C117:D117"/>
    <mergeCell ref="C118:D118"/>
    <mergeCell ref="E118:F118"/>
    <mergeCell ref="G118:H118"/>
    <mergeCell ref="I118:J118"/>
    <mergeCell ref="E119:F119"/>
    <mergeCell ref="I125:J125"/>
    <mergeCell ref="M125:N125"/>
    <mergeCell ref="O125:R125"/>
    <mergeCell ref="S125:T125"/>
    <mergeCell ref="U125:V125"/>
    <mergeCell ref="W125:X125"/>
    <mergeCell ref="C126:D126"/>
    <mergeCell ref="E126:F126"/>
    <mergeCell ref="G126:H126"/>
    <mergeCell ref="I126:J126"/>
    <mergeCell ref="C120:D120"/>
    <mergeCell ref="E120:F120"/>
    <mergeCell ref="G120:H120"/>
    <mergeCell ref="I120:J120"/>
    <mergeCell ref="E121:F121"/>
    <mergeCell ref="G121:H121"/>
    <mergeCell ref="I121:J121"/>
    <mergeCell ref="C121:D122"/>
    <mergeCell ref="C123:D123"/>
    <mergeCell ref="E124:F124"/>
    <mergeCell ref="G124:H124"/>
    <mergeCell ref="I124:J124"/>
    <mergeCell ref="E125:F125"/>
    <mergeCell ref="G125:H125"/>
    <mergeCell ref="U131:V131"/>
    <mergeCell ref="W131:X131"/>
    <mergeCell ref="E130:F130"/>
    <mergeCell ref="E131:F131"/>
    <mergeCell ref="G131:H131"/>
    <mergeCell ref="I131:J131"/>
    <mergeCell ref="M131:N131"/>
    <mergeCell ref="O131:R131"/>
    <mergeCell ref="S131:T131"/>
    <mergeCell ref="C127:D128"/>
    <mergeCell ref="E127:F127"/>
    <mergeCell ref="G127:H127"/>
    <mergeCell ref="I127:J127"/>
    <mergeCell ref="C129:D129"/>
    <mergeCell ref="G130:H130"/>
    <mergeCell ref="I130:J130"/>
    <mergeCell ref="I137:J137"/>
    <mergeCell ref="M137:N137"/>
    <mergeCell ref="O137:R137"/>
    <mergeCell ref="S137:T137"/>
    <mergeCell ref="U137:V137"/>
    <mergeCell ref="W137:X137"/>
    <mergeCell ref="C138:D138"/>
    <mergeCell ref="E138:F138"/>
    <mergeCell ref="G138:H138"/>
    <mergeCell ref="I138:J138"/>
    <mergeCell ref="C132:D132"/>
    <mergeCell ref="E132:F132"/>
    <mergeCell ref="G132:H132"/>
    <mergeCell ref="I132:J132"/>
    <mergeCell ref="E133:F133"/>
    <mergeCell ref="G133:H133"/>
    <mergeCell ref="I133:J133"/>
    <mergeCell ref="C133:D134"/>
    <mergeCell ref="C135:D135"/>
    <mergeCell ref="E136:F136"/>
    <mergeCell ref="G136:H136"/>
    <mergeCell ref="I136:J136"/>
    <mergeCell ref="E137:F137"/>
    <mergeCell ref="G137:H137"/>
    <mergeCell ref="U143:V143"/>
    <mergeCell ref="W143:X143"/>
    <mergeCell ref="E142:F142"/>
    <mergeCell ref="E143:F143"/>
    <mergeCell ref="G143:H143"/>
    <mergeCell ref="I143:J143"/>
    <mergeCell ref="M143:N143"/>
    <mergeCell ref="O143:R143"/>
    <mergeCell ref="S143:T143"/>
    <mergeCell ref="C139:D140"/>
    <mergeCell ref="E139:F139"/>
    <mergeCell ref="G139:H139"/>
    <mergeCell ref="I139:J139"/>
    <mergeCell ref="C141:D141"/>
    <mergeCell ref="G142:H142"/>
    <mergeCell ref="I142:J142"/>
    <mergeCell ref="I149:J149"/>
    <mergeCell ref="M149:N149"/>
    <mergeCell ref="O149:R149"/>
    <mergeCell ref="S149:T149"/>
    <mergeCell ref="U149:V149"/>
    <mergeCell ref="W149:X149"/>
    <mergeCell ref="C150:D150"/>
    <mergeCell ref="E150:F150"/>
    <mergeCell ref="G150:H150"/>
    <mergeCell ref="I150:J150"/>
    <mergeCell ref="C144:D144"/>
    <mergeCell ref="E144:F144"/>
    <mergeCell ref="G144:H144"/>
    <mergeCell ref="I144:J144"/>
    <mergeCell ref="E145:F145"/>
    <mergeCell ref="G145:H145"/>
    <mergeCell ref="I145:J145"/>
    <mergeCell ref="C145:D146"/>
    <mergeCell ref="C147:D147"/>
    <mergeCell ref="E148:F148"/>
    <mergeCell ref="G148:H148"/>
    <mergeCell ref="I148:J148"/>
    <mergeCell ref="E149:F149"/>
    <mergeCell ref="G149:H149"/>
    <mergeCell ref="U155:V155"/>
    <mergeCell ref="W155:X155"/>
    <mergeCell ref="E154:F154"/>
    <mergeCell ref="E155:F155"/>
    <mergeCell ref="G155:H155"/>
    <mergeCell ref="I155:J155"/>
    <mergeCell ref="M155:N155"/>
    <mergeCell ref="O155:R155"/>
    <mergeCell ref="S155:T155"/>
    <mergeCell ref="C151:D152"/>
    <mergeCell ref="E151:F151"/>
    <mergeCell ref="G151:H151"/>
    <mergeCell ref="I151:J151"/>
    <mergeCell ref="C153:D153"/>
    <mergeCell ref="G154:H154"/>
    <mergeCell ref="I154:J154"/>
    <mergeCell ref="I162:J162"/>
    <mergeCell ref="M162:N162"/>
    <mergeCell ref="O162:R162"/>
    <mergeCell ref="S162:T162"/>
    <mergeCell ref="U162:V162"/>
    <mergeCell ref="W162:X162"/>
    <mergeCell ref="C163:D163"/>
    <mergeCell ref="E163:F163"/>
    <mergeCell ref="G163:H163"/>
    <mergeCell ref="I163:J163"/>
    <mergeCell ref="C182:D182"/>
    <mergeCell ref="E182:F182"/>
    <mergeCell ref="G182:H182"/>
    <mergeCell ref="I182:J182"/>
    <mergeCell ref="E183:F183"/>
    <mergeCell ref="G183:H183"/>
    <mergeCell ref="I183:J183"/>
    <mergeCell ref="C183:D184"/>
    <mergeCell ref="C185:D185"/>
    <mergeCell ref="E187:F187"/>
    <mergeCell ref="G187:H187"/>
    <mergeCell ref="I187:J187"/>
    <mergeCell ref="E188:F188"/>
    <mergeCell ref="M188:N188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topLeftCell="G1" activePane="topRight" state="frozen"/>
      <selection activeCell="H2" sqref="H2" pane="topRight"/>
    </sheetView>
  </sheetViews>
  <sheetFormatPr customHeight="1" defaultColWidth="12.63" defaultRowHeight="15.75"/>
  <cols>
    <col customWidth="1" min="1" max="1" width="18.88"/>
    <col customWidth="1" min="2" max="2" width="0.88"/>
    <col customWidth="1" min="3" max="3" width="6.25"/>
    <col customWidth="1" min="4" max="4" width="5.5"/>
    <col customWidth="1" min="5" max="5" width="5.0"/>
    <col customWidth="1" min="6" max="6" width="4.88"/>
    <col customWidth="1" min="7" max="7" width="5.38"/>
    <col customWidth="1" min="8" max="8" width="5.13"/>
    <col customWidth="1" min="9" max="9" width="4.13"/>
    <col customWidth="1" min="10" max="10" width="5.5"/>
    <col customWidth="1" min="11" max="11" width="9.38"/>
    <col customWidth="1" min="12" max="12" width="10.88"/>
    <col customWidth="1" min="13" max="15" width="3.63"/>
    <col customWidth="1" min="16" max="16" width="3.75"/>
    <col customWidth="1" min="17" max="17" width="3.63"/>
    <col customWidth="1" min="18" max="20" width="4.5"/>
    <col customWidth="1" min="21" max="21" width="3.25"/>
    <col customWidth="1" min="22" max="22" width="4.25"/>
    <col customWidth="1" min="23" max="23" width="3.88"/>
    <col customWidth="1" min="24" max="24" width="3.75"/>
    <col customWidth="1" min="25" max="25" width="6.88"/>
    <col customWidth="1" min="26" max="26" width="16.38"/>
    <col customWidth="1" min="27" max="27" width="4.38"/>
    <col customWidth="1" min="28" max="28" width="23.0"/>
    <col customWidth="1" min="29" max="29" width="5.63"/>
    <col customWidth="1" min="30" max="30" width="20.38"/>
    <col customWidth="1" min="33" max="33" width="6.38"/>
    <col customWidth="1" min="34" max="34" width="5.13"/>
    <col customWidth="1" min="35" max="35" width="16.13"/>
    <col customWidth="1" min="36" max="36" width="6.88"/>
    <col customWidth="1" min="38" max="38" width="5.88"/>
    <col customWidth="1" min="40" max="40" width="5.38"/>
    <col customWidth="1" min="42" max="42" width="5.63"/>
    <col customWidth="1" min="44" max="44" width="6.63"/>
    <col customWidth="1" min="46" max="46" width="5.13"/>
    <col customWidth="1" min="48" max="48" width="4.63"/>
    <col customWidth="1" min="50" max="50" width="4.75"/>
    <col customWidth="1" min="52" max="52" width="1.25"/>
  </cols>
  <sheetData>
    <row r="1">
      <c r="A1" s="1"/>
      <c r="B1" s="2"/>
      <c r="C1" s="1"/>
      <c r="D1" s="1"/>
      <c r="E1" s="3"/>
      <c r="F1" s="3"/>
      <c r="G1" s="4"/>
      <c r="H1" s="4"/>
      <c r="I1" s="5"/>
      <c r="J1" s="5"/>
      <c r="K1" s="6"/>
      <c r="L1" s="7"/>
      <c r="M1" s="114"/>
      <c r="N1" s="8"/>
      <c r="O1" s="8"/>
      <c r="P1" s="8"/>
      <c r="Q1" s="8"/>
      <c r="R1" s="8"/>
      <c r="S1" s="8"/>
      <c r="T1" s="8"/>
      <c r="U1" s="9"/>
      <c r="V1" s="9"/>
      <c r="W1" s="9"/>
      <c r="X1" s="9"/>
      <c r="Y1" s="10"/>
      <c r="Z1" s="11"/>
      <c r="AA1" s="12"/>
      <c r="AB1" s="12"/>
      <c r="AC1" s="13"/>
      <c r="AD1" s="13"/>
      <c r="AE1" s="1"/>
      <c r="AF1" s="1"/>
      <c r="AG1" s="14"/>
      <c r="AH1" s="14"/>
      <c r="AI1" s="14"/>
      <c r="AJ1" s="15" t="s">
        <v>0</v>
      </c>
      <c r="AK1" s="16" t="s">
        <v>1</v>
      </c>
      <c r="AL1" s="17" t="s">
        <v>2</v>
      </c>
      <c r="AM1" s="16" t="s">
        <v>3</v>
      </c>
      <c r="AN1" s="18" t="s">
        <v>4</v>
      </c>
      <c r="AO1" s="16" t="s">
        <v>5</v>
      </c>
      <c r="AP1" s="19" t="s">
        <v>6</v>
      </c>
      <c r="AQ1" s="16" t="s">
        <v>7</v>
      </c>
      <c r="AR1" s="20" t="s">
        <v>8</v>
      </c>
      <c r="AS1" s="16" t="s">
        <v>9</v>
      </c>
      <c r="AT1" s="21" t="s">
        <v>10</v>
      </c>
      <c r="AU1" s="16" t="s">
        <v>11</v>
      </c>
      <c r="AV1" s="22" t="s">
        <v>12</v>
      </c>
      <c r="AW1" s="16" t="s">
        <v>13</v>
      </c>
      <c r="AX1" s="23" t="s">
        <v>14</v>
      </c>
      <c r="AY1" s="16" t="s">
        <v>15</v>
      </c>
      <c r="AZ1" s="24"/>
    </row>
    <row r="2">
      <c r="A2" s="1"/>
      <c r="B2" s="2"/>
      <c r="C2" s="1"/>
      <c r="D2" s="1"/>
      <c r="E2" s="3"/>
      <c r="G2" s="4" t="s">
        <v>340</v>
      </c>
      <c r="H2" s="4"/>
      <c r="I2" s="5" t="s">
        <v>17</v>
      </c>
      <c r="K2" s="6"/>
      <c r="L2" s="7"/>
      <c r="M2" s="114"/>
      <c r="N2" s="8"/>
      <c r="O2" s="8"/>
      <c r="P2" s="8"/>
      <c r="Q2" s="8"/>
      <c r="R2" s="8"/>
      <c r="S2" s="8"/>
      <c r="T2" s="8"/>
      <c r="U2" s="9"/>
      <c r="V2" s="9"/>
      <c r="W2" s="9"/>
      <c r="X2" s="9"/>
      <c r="Y2" s="10"/>
      <c r="Z2" s="11"/>
      <c r="AA2" s="12" t="s">
        <v>18</v>
      </c>
      <c r="AC2" s="13"/>
      <c r="AD2" s="25" t="s">
        <v>19</v>
      </c>
      <c r="AE2" s="1" t="s">
        <v>20</v>
      </c>
      <c r="AF2" s="1" t="s">
        <v>21</v>
      </c>
      <c r="AG2" s="14"/>
      <c r="AH2" s="14"/>
      <c r="AI2" s="14"/>
      <c r="AK2" s="16" t="s">
        <v>22</v>
      </c>
      <c r="AM2" s="16" t="s">
        <v>23</v>
      </c>
      <c r="AO2" s="16" t="s">
        <v>24</v>
      </c>
      <c r="AQ2" s="16" t="s">
        <v>25</v>
      </c>
      <c r="AS2" s="16" t="s">
        <v>26</v>
      </c>
      <c r="AU2" s="16" t="s">
        <v>27</v>
      </c>
      <c r="AW2" s="16" t="s">
        <v>28</v>
      </c>
      <c r="AY2" s="16" t="s">
        <v>29</v>
      </c>
      <c r="AZ2" s="24"/>
    </row>
    <row r="3">
      <c r="A3" s="1"/>
      <c r="B3" s="2"/>
      <c r="C3" s="1"/>
      <c r="D3" s="1"/>
      <c r="E3" s="26"/>
      <c r="F3" s="26"/>
      <c r="G3" s="369" t="s">
        <v>222</v>
      </c>
      <c r="I3" s="291" t="s">
        <v>147</v>
      </c>
      <c r="K3" s="6"/>
      <c r="L3" s="7"/>
      <c r="M3" s="114"/>
      <c r="N3" s="8"/>
      <c r="O3" s="8"/>
      <c r="P3" s="8"/>
      <c r="Q3" s="8"/>
      <c r="R3" s="8"/>
      <c r="S3" s="8"/>
      <c r="T3" s="8"/>
      <c r="U3" s="9"/>
      <c r="V3" s="9"/>
      <c r="W3" s="9"/>
      <c r="X3" s="9"/>
      <c r="Y3" s="10"/>
      <c r="Z3" s="11"/>
      <c r="AA3" s="29" t="s">
        <v>171</v>
      </c>
      <c r="AB3" s="29" t="s">
        <v>172</v>
      </c>
      <c r="AC3" s="13"/>
      <c r="AD3" s="1" t="s">
        <v>35</v>
      </c>
      <c r="AE3" s="1" t="s">
        <v>144</v>
      </c>
      <c r="AF3" s="1" t="s">
        <v>34</v>
      </c>
      <c r="AG3" s="14"/>
      <c r="AH3" s="14"/>
      <c r="AI3" s="14"/>
      <c r="AJ3" s="30" t="s">
        <v>43</v>
      </c>
      <c r="AK3" s="16" t="s">
        <v>46</v>
      </c>
      <c r="AL3" s="22" t="s">
        <v>45</v>
      </c>
      <c r="AM3" s="16" t="s">
        <v>48</v>
      </c>
      <c r="AN3" s="32" t="s">
        <v>47</v>
      </c>
      <c r="AO3" s="16" t="s">
        <v>50</v>
      </c>
      <c r="AP3" s="30" t="s">
        <v>49</v>
      </c>
      <c r="AQ3" s="16" t="s">
        <v>52</v>
      </c>
      <c r="AR3" s="33" t="s">
        <v>51</v>
      </c>
      <c r="AS3" s="16" t="s">
        <v>38</v>
      </c>
      <c r="AT3" s="30" t="s">
        <v>37</v>
      </c>
      <c r="AU3" s="16" t="s">
        <v>40</v>
      </c>
      <c r="AV3" s="31" t="s">
        <v>39</v>
      </c>
      <c r="AW3" s="16" t="s">
        <v>42</v>
      </c>
      <c r="AX3" s="22" t="s">
        <v>41</v>
      </c>
      <c r="AY3" s="16" t="s">
        <v>44</v>
      </c>
      <c r="AZ3" s="24"/>
    </row>
    <row r="4">
      <c r="A4" s="1"/>
      <c r="B4" s="2"/>
      <c r="C4" s="1"/>
      <c r="D4" s="1"/>
      <c r="E4" s="26"/>
      <c r="F4" s="26"/>
      <c r="G4" s="293" t="s">
        <v>202</v>
      </c>
      <c r="I4" s="293" t="s">
        <v>202</v>
      </c>
      <c r="K4" s="6"/>
      <c r="L4" s="7"/>
      <c r="M4" s="114"/>
      <c r="N4" s="8"/>
      <c r="O4" s="8"/>
      <c r="P4" s="8"/>
      <c r="Q4" s="8"/>
      <c r="R4" s="8"/>
      <c r="S4" s="8"/>
      <c r="T4" s="8"/>
      <c r="U4" s="9"/>
      <c r="V4" s="9"/>
      <c r="W4" s="9"/>
      <c r="X4" s="9"/>
      <c r="Y4" s="10"/>
      <c r="Z4" s="11"/>
      <c r="AA4" s="36"/>
      <c r="AB4" s="36"/>
      <c r="AC4" s="13"/>
      <c r="AD4" s="13"/>
      <c r="AE4" s="37"/>
      <c r="AF4" s="37"/>
      <c r="AG4" s="14"/>
      <c r="AH4" s="14"/>
      <c r="AI4" s="14"/>
      <c r="AJ4" s="33" t="s">
        <v>51</v>
      </c>
      <c r="AK4" s="16" t="s">
        <v>40</v>
      </c>
      <c r="AL4" s="30" t="s">
        <v>37</v>
      </c>
      <c r="AM4" s="16" t="s">
        <v>42</v>
      </c>
      <c r="AN4" s="31" t="s">
        <v>39</v>
      </c>
      <c r="AO4" s="16" t="s">
        <v>44</v>
      </c>
      <c r="AP4" s="22" t="s">
        <v>41</v>
      </c>
      <c r="AQ4" s="16" t="s">
        <v>46</v>
      </c>
      <c r="AR4" s="30" t="s">
        <v>43</v>
      </c>
      <c r="AS4" s="16" t="s">
        <v>48</v>
      </c>
      <c r="AT4" s="22" t="s">
        <v>45</v>
      </c>
      <c r="AU4" s="16" t="s">
        <v>50</v>
      </c>
      <c r="AV4" s="32" t="s">
        <v>47</v>
      </c>
      <c r="AW4" s="16" t="s">
        <v>52</v>
      </c>
      <c r="AX4" s="30" t="s">
        <v>49</v>
      </c>
      <c r="AY4" s="16" t="s">
        <v>38</v>
      </c>
      <c r="AZ4" s="24"/>
    </row>
    <row r="5">
      <c r="A5" s="1"/>
      <c r="B5" s="2"/>
      <c r="C5" s="1"/>
      <c r="D5" s="1"/>
      <c r="E5" s="26"/>
      <c r="F5" s="26"/>
      <c r="G5" s="38" t="s">
        <v>304</v>
      </c>
      <c r="I5" s="39" t="s">
        <v>305</v>
      </c>
      <c r="K5" s="6"/>
      <c r="L5" s="7"/>
      <c r="M5" s="114"/>
      <c r="N5" s="8"/>
      <c r="O5" s="8"/>
      <c r="P5" s="8"/>
      <c r="Q5" s="8"/>
      <c r="R5" s="8"/>
      <c r="S5" s="8"/>
      <c r="T5" s="8"/>
      <c r="U5" s="9"/>
      <c r="V5" s="9"/>
      <c r="W5" s="9"/>
      <c r="X5" s="9"/>
      <c r="Y5" s="40" t="s">
        <v>57</v>
      </c>
      <c r="Z5" s="41"/>
      <c r="AA5" s="42" t="s">
        <v>58</v>
      </c>
      <c r="AB5" s="41"/>
      <c r="AC5" s="40" t="s">
        <v>59</v>
      </c>
      <c r="AD5" s="41"/>
      <c r="AE5" s="43" t="s">
        <v>60</v>
      </c>
      <c r="AF5" s="43" t="s">
        <v>61</v>
      </c>
      <c r="AG5" s="42" t="s">
        <v>306</v>
      </c>
      <c r="AH5" s="44"/>
      <c r="AI5" s="41"/>
      <c r="AJ5" s="45"/>
      <c r="AK5" s="16"/>
      <c r="AL5" s="45"/>
      <c r="AM5" s="16"/>
      <c r="AN5" s="45"/>
      <c r="AO5" s="16"/>
      <c r="AP5" s="45"/>
      <c r="AQ5" s="16"/>
      <c r="AR5" s="46"/>
      <c r="AS5" s="16"/>
      <c r="AT5" s="46"/>
      <c r="AU5" s="16"/>
      <c r="AV5" s="47"/>
      <c r="AW5" s="16"/>
      <c r="AX5" s="47"/>
      <c r="AY5" s="16"/>
      <c r="AZ5" s="48"/>
      <c r="BA5" s="16"/>
      <c r="BB5" s="16"/>
    </row>
    <row r="6" ht="3.75" customHeight="1">
      <c r="A6" s="2"/>
      <c r="B6" s="2"/>
      <c r="C6" s="2"/>
      <c r="D6" s="2"/>
      <c r="E6" s="49"/>
      <c r="F6" s="49"/>
      <c r="G6" s="49"/>
      <c r="H6" s="49"/>
      <c r="I6" s="49"/>
      <c r="J6" s="49"/>
      <c r="K6" s="50"/>
      <c r="L6" s="51"/>
      <c r="M6" s="294"/>
      <c r="N6" s="52"/>
      <c r="O6" s="52"/>
      <c r="P6" s="52"/>
      <c r="Q6" s="52"/>
      <c r="R6" s="52"/>
      <c r="S6" s="52"/>
      <c r="T6" s="52"/>
      <c r="U6" s="53"/>
      <c r="V6" s="53"/>
      <c r="W6" s="53"/>
      <c r="X6" s="53"/>
      <c r="Y6" s="54"/>
      <c r="Z6" s="55"/>
      <c r="AA6" s="56"/>
      <c r="AB6" s="56"/>
      <c r="AC6" s="57"/>
      <c r="AD6" s="57"/>
      <c r="AE6" s="58"/>
      <c r="AF6" s="58"/>
      <c r="AG6" s="59"/>
      <c r="AH6" s="59"/>
      <c r="AI6" s="59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60"/>
      <c r="AY6" s="24"/>
      <c r="AZ6" s="24"/>
      <c r="BA6" s="24"/>
      <c r="BB6" s="24"/>
      <c r="BC6" s="24"/>
      <c r="BD6" s="24"/>
      <c r="BE6" s="24"/>
    </row>
    <row r="7">
      <c r="A7" s="188" t="s">
        <v>186</v>
      </c>
      <c r="B7" s="62"/>
      <c r="C7" s="63"/>
      <c r="D7" s="63"/>
      <c r="E7" s="358">
        <f>(O8+P8+Q8+R8)/(O9+P9+Q9+R9)</f>
        <v>0.675</v>
      </c>
      <c r="F7" s="65"/>
      <c r="G7" s="66"/>
      <c r="H7" s="66"/>
      <c r="I7" s="67"/>
      <c r="J7" s="67"/>
      <c r="K7" s="68"/>
      <c r="L7" s="69"/>
      <c r="M7" s="63" t="s">
        <v>64</v>
      </c>
      <c r="N7" s="70"/>
      <c r="O7" s="71" t="s">
        <v>65</v>
      </c>
      <c r="P7" s="72"/>
      <c r="Q7" s="72"/>
      <c r="R7" s="70"/>
      <c r="S7" s="71" t="s">
        <v>66</v>
      </c>
      <c r="T7" s="70"/>
      <c r="U7" s="71" t="s">
        <v>67</v>
      </c>
      <c r="V7" s="70"/>
      <c r="W7" s="71" t="s">
        <v>68</v>
      </c>
      <c r="X7" s="70"/>
      <c r="Y7" s="134" t="s">
        <v>116</v>
      </c>
      <c r="Z7" s="74" t="s">
        <v>140</v>
      </c>
      <c r="AA7" s="75" t="s">
        <v>201</v>
      </c>
      <c r="AB7" s="75" t="s">
        <v>240</v>
      </c>
      <c r="AC7" s="135" t="s">
        <v>142</v>
      </c>
      <c r="AD7" s="74" t="s">
        <v>143</v>
      </c>
      <c r="AE7" s="63" t="s">
        <v>75</v>
      </c>
      <c r="AF7" s="78" t="s">
        <v>34</v>
      </c>
      <c r="AG7" s="79" t="s">
        <v>32</v>
      </c>
      <c r="AH7" s="79">
        <v>270.0</v>
      </c>
      <c r="AI7" s="79" t="s">
        <v>145</v>
      </c>
      <c r="AJ7" s="80" t="str">
        <f>AJ1</f>
        <v>開</v>
      </c>
      <c r="AK7" s="81" t="s">
        <v>38</v>
      </c>
      <c r="AL7" s="82" t="str">
        <f>AL1</f>
        <v>休</v>
      </c>
      <c r="AM7" s="81" t="s">
        <v>40</v>
      </c>
      <c r="AN7" s="82" t="s">
        <v>4</v>
      </c>
      <c r="AO7" s="81" t="s">
        <v>42</v>
      </c>
      <c r="AP7" s="82" t="str">
        <f>AP1</f>
        <v>傷</v>
      </c>
      <c r="AQ7" s="81" t="s">
        <v>44</v>
      </c>
      <c r="AR7" s="82" t="s">
        <v>8</v>
      </c>
      <c r="AS7" s="81" t="s">
        <v>46</v>
      </c>
      <c r="AT7" s="82" t="str">
        <f>AT1</f>
        <v>景</v>
      </c>
      <c r="AU7" s="81" t="s">
        <v>48</v>
      </c>
      <c r="AV7" s="82" t="str">
        <f>AV1</f>
        <v>死</v>
      </c>
      <c r="AW7" s="81" t="s">
        <v>50</v>
      </c>
      <c r="AX7" s="82" t="str">
        <f>AX1</f>
        <v>驚</v>
      </c>
      <c r="AY7" s="81" t="s">
        <v>52</v>
      </c>
      <c r="AZ7" s="83"/>
      <c r="BA7" s="84"/>
      <c r="BB7" s="84"/>
      <c r="BC7" s="84"/>
    </row>
    <row r="8">
      <c r="A8" s="85">
        <v>1.0</v>
      </c>
      <c r="B8" s="86"/>
      <c r="C8" s="12" t="s">
        <v>270</v>
      </c>
      <c r="E8" s="214" t="s">
        <v>147</v>
      </c>
      <c r="F8" s="88"/>
      <c r="G8" s="316" t="s">
        <v>171</v>
      </c>
      <c r="I8" s="268" t="str">
        <f t="shared" ref="I8:I9" si="1">I3:J3</f>
        <v>丙</v>
      </c>
      <c r="K8" s="90">
        <f>L8/L9</f>
        <v>0.645</v>
      </c>
      <c r="L8" s="91">
        <f t="shared" ref="L8:L9" si="2">O8+P8+Q8+U8+V8+W8+X8+R8+M8+N8+S8+T8</f>
        <v>645</v>
      </c>
      <c r="M8" s="92">
        <v>0.0</v>
      </c>
      <c r="N8" s="93">
        <v>0.0</v>
      </c>
      <c r="O8" s="92">
        <v>110.0</v>
      </c>
      <c r="P8" s="92">
        <v>70.0</v>
      </c>
      <c r="Q8" s="92">
        <v>60.0</v>
      </c>
      <c r="R8" s="93">
        <v>30.0</v>
      </c>
      <c r="S8" s="92">
        <v>0.0</v>
      </c>
      <c r="T8" s="93">
        <v>100.0</v>
      </c>
      <c r="U8" s="92">
        <v>65.0</v>
      </c>
      <c r="V8" s="93">
        <v>40.0</v>
      </c>
      <c r="W8" s="92">
        <v>110.0</v>
      </c>
      <c r="X8" s="93">
        <v>60.0</v>
      </c>
      <c r="Y8" s="73" t="s">
        <v>126</v>
      </c>
      <c r="Z8" s="94" t="s">
        <v>70</v>
      </c>
      <c r="AA8" s="36"/>
      <c r="AB8" s="29"/>
      <c r="AC8" s="139" t="s">
        <v>148</v>
      </c>
      <c r="AD8" s="96" t="s">
        <v>149</v>
      </c>
      <c r="AE8" s="37"/>
      <c r="AF8" s="97"/>
      <c r="AG8" s="12" t="s">
        <v>97</v>
      </c>
      <c r="AH8" s="12">
        <v>330.0</v>
      </c>
      <c r="AI8" s="12" t="s">
        <v>150</v>
      </c>
      <c r="AJ8" s="98" t="s">
        <v>51</v>
      </c>
      <c r="AK8" s="101" t="s">
        <v>95</v>
      </c>
      <c r="AL8" s="100" t="s">
        <v>86</v>
      </c>
      <c r="AM8" s="99" t="s">
        <v>87</v>
      </c>
      <c r="AN8" s="100" t="s">
        <v>88</v>
      </c>
      <c r="AO8" s="101" t="s">
        <v>89</v>
      </c>
      <c r="AP8" s="100" t="s">
        <v>45</v>
      </c>
      <c r="AQ8" s="102" t="s">
        <v>90</v>
      </c>
      <c r="AR8" s="100" t="s">
        <v>43</v>
      </c>
      <c r="AS8" s="101" t="s">
        <v>91</v>
      </c>
      <c r="AT8" s="100" t="s">
        <v>41</v>
      </c>
      <c r="AU8" s="103" t="s">
        <v>92</v>
      </c>
      <c r="AV8" s="100" t="s">
        <v>39</v>
      </c>
      <c r="AW8" s="99" t="s">
        <v>93</v>
      </c>
      <c r="AX8" s="100" t="s">
        <v>37</v>
      </c>
      <c r="AY8" s="99" t="s">
        <v>94</v>
      </c>
      <c r="AZ8" s="24"/>
      <c r="BA8" s="47" t="s">
        <v>86</v>
      </c>
      <c r="BB8" s="104" t="s">
        <v>87</v>
      </c>
      <c r="BC8" s="47" t="s">
        <v>88</v>
      </c>
      <c r="BD8" s="105" t="s">
        <v>89</v>
      </c>
      <c r="BE8" s="47"/>
    </row>
    <row r="9">
      <c r="A9" s="344" t="str">
        <f>G2</f>
        <v>มิถุนายน</v>
      </c>
      <c r="B9" s="86"/>
      <c r="C9" s="360" t="s">
        <v>231</v>
      </c>
      <c r="E9" s="201" t="s">
        <v>202</v>
      </c>
      <c r="F9" s="88"/>
      <c r="G9" s="293" t="s">
        <v>54</v>
      </c>
      <c r="I9" s="35" t="str">
        <f t="shared" si="1"/>
        <v>午</v>
      </c>
      <c r="K9" s="36"/>
      <c r="L9" s="109">
        <f t="shared" si="2"/>
        <v>1000</v>
      </c>
      <c r="M9" s="9">
        <v>0.0</v>
      </c>
      <c r="N9" s="110">
        <v>0.0</v>
      </c>
      <c r="O9" s="9">
        <v>100.0</v>
      </c>
      <c r="P9" s="9">
        <v>100.0</v>
      </c>
      <c r="Q9" s="9">
        <v>100.0</v>
      </c>
      <c r="R9" s="110">
        <v>100.0</v>
      </c>
      <c r="S9" s="9">
        <v>100.0</v>
      </c>
      <c r="T9" s="110">
        <v>100.0</v>
      </c>
      <c r="U9" s="9">
        <v>100.0</v>
      </c>
      <c r="V9" s="110">
        <v>100.0</v>
      </c>
      <c r="W9" s="9">
        <v>100.0</v>
      </c>
      <c r="X9" s="110">
        <v>100.0</v>
      </c>
      <c r="Y9" s="73" t="s">
        <v>69</v>
      </c>
      <c r="Z9" s="94" t="s">
        <v>152</v>
      </c>
      <c r="AA9" s="36"/>
      <c r="AB9" s="36"/>
      <c r="AC9" s="111"/>
      <c r="AD9" s="112"/>
      <c r="AE9" s="37"/>
      <c r="AF9" s="97"/>
      <c r="AG9" s="14"/>
      <c r="AH9" s="14"/>
      <c r="AI9" s="14"/>
      <c r="AJ9" s="113"/>
      <c r="AK9" s="105" t="s">
        <v>107</v>
      </c>
      <c r="AM9" s="104" t="s">
        <v>100</v>
      </c>
      <c r="AO9" s="114" t="s">
        <v>101</v>
      </c>
      <c r="AQ9" s="105" t="s">
        <v>102</v>
      </c>
      <c r="AS9" s="105" t="s">
        <v>103</v>
      </c>
      <c r="AU9" s="104" t="s">
        <v>104</v>
      </c>
      <c r="AW9" s="104" t="s">
        <v>105</v>
      </c>
      <c r="AY9" s="104" t="s">
        <v>106</v>
      </c>
      <c r="AZ9" s="24"/>
      <c r="BB9" s="104" t="s">
        <v>100</v>
      </c>
      <c r="BD9" s="114" t="s">
        <v>101</v>
      </c>
    </row>
    <row r="10">
      <c r="A10" s="85">
        <v>2569.0</v>
      </c>
      <c r="B10" s="86"/>
      <c r="E10" s="115" t="s">
        <v>204</v>
      </c>
      <c r="F10" s="116" t="s">
        <v>80</v>
      </c>
      <c r="G10" s="9" t="s">
        <v>110</v>
      </c>
      <c r="H10" s="9" t="s">
        <v>218</v>
      </c>
      <c r="I10" s="9" t="s">
        <v>204</v>
      </c>
      <c r="J10" s="9" t="s">
        <v>214</v>
      </c>
      <c r="K10" s="36"/>
      <c r="L10" s="117"/>
      <c r="M10" s="118" t="str">
        <f t="shared" ref="M10:P10" si="3">C10</f>
        <v/>
      </c>
      <c r="N10" s="119" t="str">
        <f t="shared" si="3"/>
        <v/>
      </c>
      <c r="O10" s="118" t="str">
        <f t="shared" si="3"/>
        <v>A5</v>
      </c>
      <c r="P10" s="118" t="str">
        <f t="shared" si="3"/>
        <v>B1</v>
      </c>
      <c r="Q10" s="118" t="str">
        <f t="shared" ref="Q10:R10" si="4">E11</f>
        <v>B11</v>
      </c>
      <c r="R10" s="119" t="str">
        <f t="shared" si="4"/>
        <v>C2</v>
      </c>
      <c r="S10" s="9" t="s">
        <v>114</v>
      </c>
      <c r="T10" s="110" t="s">
        <v>213</v>
      </c>
      <c r="U10" s="9" t="str">
        <f>G10</f>
        <v>A11</v>
      </c>
      <c r="V10" s="110" t="s">
        <v>218</v>
      </c>
      <c r="W10" s="118" t="str">
        <f t="shared" ref="W10:X10" si="5">I10</f>
        <v>A5</v>
      </c>
      <c r="X10" s="120" t="str">
        <f t="shared" si="5"/>
        <v>B11</v>
      </c>
      <c r="Y10" s="73" t="s">
        <v>80</v>
      </c>
      <c r="Z10" s="94" t="s">
        <v>153</v>
      </c>
      <c r="AA10" s="36"/>
      <c r="AB10" s="36"/>
      <c r="AC10" s="111"/>
      <c r="AD10" s="112"/>
      <c r="AE10" s="37"/>
      <c r="AF10" s="97"/>
      <c r="AG10" s="14"/>
      <c r="AH10" s="14"/>
      <c r="AI10" s="14"/>
      <c r="AJ10" s="113"/>
      <c r="AK10" s="105" t="s">
        <v>125</v>
      </c>
      <c r="AM10" s="104" t="s">
        <v>118</v>
      </c>
      <c r="AO10" s="114" t="s">
        <v>119</v>
      </c>
      <c r="AQ10" s="105" t="s">
        <v>120</v>
      </c>
      <c r="AS10" s="105" t="s">
        <v>121</v>
      </c>
      <c r="AU10" s="104" t="s">
        <v>122</v>
      </c>
      <c r="AW10" s="104" t="s">
        <v>123</v>
      </c>
      <c r="AY10" s="104" t="s">
        <v>124</v>
      </c>
      <c r="AZ10" s="24"/>
      <c r="BB10" s="104" t="s">
        <v>118</v>
      </c>
      <c r="BD10" s="114" t="s">
        <v>119</v>
      </c>
    </row>
    <row r="11">
      <c r="A11" s="85">
        <f>A10-543</f>
        <v>2026</v>
      </c>
      <c r="B11" s="86"/>
      <c r="C11" s="347"/>
      <c r="E11" s="115" t="s">
        <v>214</v>
      </c>
      <c r="F11" s="116" t="s">
        <v>167</v>
      </c>
      <c r="G11" s="9"/>
      <c r="H11" s="118"/>
      <c r="I11" s="118"/>
      <c r="J11" s="118"/>
      <c r="K11" s="36"/>
      <c r="L11" s="117"/>
      <c r="M11" s="8"/>
      <c r="N11" s="121"/>
      <c r="O11" s="8"/>
      <c r="P11" s="8"/>
      <c r="Q11" s="8"/>
      <c r="R11" s="121"/>
      <c r="S11" s="8"/>
      <c r="T11" s="121"/>
      <c r="U11" s="9"/>
      <c r="V11" s="110"/>
      <c r="W11" s="9"/>
      <c r="X11" s="110"/>
      <c r="Y11" s="73" t="s">
        <v>98</v>
      </c>
      <c r="Z11" s="94" t="s">
        <v>155</v>
      </c>
      <c r="AA11" s="36"/>
      <c r="AB11" s="36"/>
      <c r="AC11" s="111"/>
      <c r="AD11" s="112"/>
      <c r="AE11" s="37"/>
      <c r="AF11" s="97"/>
      <c r="AG11" s="14"/>
      <c r="AH11" s="14"/>
      <c r="AI11" s="14"/>
      <c r="AJ11" s="113"/>
      <c r="AK11" s="105" t="s">
        <v>136</v>
      </c>
      <c r="AM11" s="104" t="s">
        <v>129</v>
      </c>
      <c r="AO11" s="114" t="s">
        <v>130</v>
      </c>
      <c r="AQ11" s="105" t="s">
        <v>131</v>
      </c>
      <c r="AS11" s="105" t="s">
        <v>132</v>
      </c>
      <c r="AU11" s="104" t="s">
        <v>133</v>
      </c>
      <c r="AW11" s="104" t="s">
        <v>134</v>
      </c>
      <c r="AY11" s="104" t="s">
        <v>135</v>
      </c>
      <c r="AZ11" s="24"/>
      <c r="BB11" s="104" t="s">
        <v>129</v>
      </c>
      <c r="BD11" s="114" t="s">
        <v>130</v>
      </c>
    </row>
    <row r="12">
      <c r="A12" s="370"/>
      <c r="B12" s="2"/>
      <c r="C12" s="1"/>
      <c r="D12" s="123"/>
      <c r="E12" s="124" t="s">
        <v>185</v>
      </c>
      <c r="F12" s="125"/>
      <c r="G12" s="39" t="s">
        <v>55</v>
      </c>
      <c r="I12" s="39" t="str">
        <f>I5</f>
        <v>อสูรปี N</v>
      </c>
      <c r="K12" s="90"/>
      <c r="L12" s="126"/>
      <c r="M12" s="8"/>
      <c r="N12" s="121"/>
      <c r="O12" s="8"/>
      <c r="P12" s="8"/>
      <c r="Q12" s="8"/>
      <c r="R12" s="121"/>
      <c r="S12" s="8"/>
      <c r="T12" s="121"/>
      <c r="U12" s="9"/>
      <c r="V12" s="110"/>
      <c r="W12" s="9"/>
      <c r="X12" s="110"/>
      <c r="Y12" s="127"/>
      <c r="Z12" s="155"/>
      <c r="AA12" s="36"/>
      <c r="AB12" s="36"/>
      <c r="AC12" s="235"/>
      <c r="AD12" s="236"/>
      <c r="AE12" s="237"/>
      <c r="AF12" s="238"/>
      <c r="AG12" s="239"/>
      <c r="AH12" s="239"/>
      <c r="AI12" s="239"/>
      <c r="AJ12" s="113"/>
      <c r="AY12" s="128"/>
      <c r="AZ12" s="24"/>
      <c r="BB12" s="129"/>
      <c r="BD12" s="128"/>
    </row>
    <row r="13">
      <c r="A13" s="188" t="s">
        <v>191</v>
      </c>
      <c r="B13" s="62"/>
      <c r="C13" s="63"/>
      <c r="D13" s="63"/>
      <c r="E13" s="358">
        <f>(O14+P14+Q14+R14)/(O15+P15+Q15+R15)</f>
        <v>0.725</v>
      </c>
      <c r="F13" s="65"/>
      <c r="G13" s="133"/>
      <c r="H13" s="66"/>
      <c r="I13" s="67"/>
      <c r="J13" s="67"/>
      <c r="K13" s="68"/>
      <c r="L13" s="69"/>
      <c r="M13" s="63" t="s">
        <v>64</v>
      </c>
      <c r="N13" s="70"/>
      <c r="O13" s="71" t="s">
        <v>65</v>
      </c>
      <c r="P13" s="72"/>
      <c r="Q13" s="72"/>
      <c r="R13" s="70"/>
      <c r="S13" s="71" t="s">
        <v>66</v>
      </c>
      <c r="T13" s="70"/>
      <c r="U13" s="71" t="s">
        <v>67</v>
      </c>
      <c r="V13" s="70"/>
      <c r="W13" s="71" t="s">
        <v>68</v>
      </c>
      <c r="X13" s="70"/>
      <c r="Y13" s="134" t="s">
        <v>116</v>
      </c>
      <c r="Z13" s="74" t="s">
        <v>159</v>
      </c>
      <c r="AA13" s="75" t="s">
        <v>32</v>
      </c>
      <c r="AB13" s="75" t="s">
        <v>33</v>
      </c>
      <c r="AC13" s="135" t="s">
        <v>142</v>
      </c>
      <c r="AD13" s="74" t="s">
        <v>143</v>
      </c>
      <c r="AE13" s="63" t="s">
        <v>75</v>
      </c>
      <c r="AF13" s="78" t="s">
        <v>75</v>
      </c>
      <c r="AG13" s="79" t="s">
        <v>97</v>
      </c>
      <c r="AH13" s="79">
        <v>330.0</v>
      </c>
      <c r="AI13" s="79" t="s">
        <v>150</v>
      </c>
      <c r="AJ13" s="80" t="str">
        <f>AJ7</f>
        <v>開</v>
      </c>
      <c r="AK13" s="81" t="s">
        <v>48</v>
      </c>
      <c r="AL13" s="82" t="str">
        <f>AL7</f>
        <v>休</v>
      </c>
      <c r="AM13" s="81" t="s">
        <v>50</v>
      </c>
      <c r="AN13" s="82" t="s">
        <v>4</v>
      </c>
      <c r="AO13" s="81" t="s">
        <v>52</v>
      </c>
      <c r="AP13" s="82" t="str">
        <f>AP7</f>
        <v>傷</v>
      </c>
      <c r="AQ13" s="81" t="s">
        <v>38</v>
      </c>
      <c r="AR13" s="82" t="s">
        <v>8</v>
      </c>
      <c r="AS13" s="81" t="s">
        <v>40</v>
      </c>
      <c r="AT13" s="82" t="str">
        <f>AT7</f>
        <v>景</v>
      </c>
      <c r="AU13" s="81" t="s">
        <v>42</v>
      </c>
      <c r="AV13" s="82" t="str">
        <f>AV7</f>
        <v>死</v>
      </c>
      <c r="AW13" s="81" t="s">
        <v>44</v>
      </c>
      <c r="AX13" s="82" t="str">
        <f>AX7</f>
        <v>驚</v>
      </c>
      <c r="AY13" s="81" t="s">
        <v>46</v>
      </c>
      <c r="AZ13" s="83"/>
      <c r="BA13" s="84"/>
      <c r="BB13" s="84"/>
      <c r="BC13" s="84"/>
    </row>
    <row r="14">
      <c r="A14" s="85">
        <f>A8+1</f>
        <v>2</v>
      </c>
      <c r="B14" s="86"/>
      <c r="C14" s="12" t="s">
        <v>260</v>
      </c>
      <c r="E14" s="160" t="s">
        <v>161</v>
      </c>
      <c r="F14" s="88"/>
      <c r="G14" s="324" t="str">
        <f t="shared" ref="G14:G15" si="7">G8:H8</f>
        <v>癸</v>
      </c>
      <c r="I14" s="275" t="str">
        <f t="shared" ref="I14:I15" si="8">I8:J8</f>
        <v>丙</v>
      </c>
      <c r="K14" s="90">
        <f>L14/L15</f>
        <v>0.72</v>
      </c>
      <c r="L14" s="126">
        <f t="shared" ref="L14:L15" si="9">O14+P14+Q14+U14+V14+W14+X14+R14+M14+N14+S14+T14</f>
        <v>720</v>
      </c>
      <c r="M14" s="92">
        <v>0.0</v>
      </c>
      <c r="N14" s="93">
        <v>0.0</v>
      </c>
      <c r="O14" s="92">
        <v>90.0</v>
      </c>
      <c r="P14" s="92">
        <v>80.0</v>
      </c>
      <c r="Q14" s="92">
        <v>40.0</v>
      </c>
      <c r="R14" s="93">
        <v>80.0</v>
      </c>
      <c r="S14" s="92">
        <v>45.0</v>
      </c>
      <c r="T14" s="93">
        <v>110.0</v>
      </c>
      <c r="U14" s="92">
        <f t="shared" ref="U14:X14" si="6">U8</f>
        <v>65</v>
      </c>
      <c r="V14" s="93">
        <f t="shared" si="6"/>
        <v>40</v>
      </c>
      <c r="W14" s="92">
        <f t="shared" si="6"/>
        <v>110</v>
      </c>
      <c r="X14" s="93">
        <f t="shared" si="6"/>
        <v>60</v>
      </c>
      <c r="Y14" s="73" t="s">
        <v>126</v>
      </c>
      <c r="Z14" s="94" t="s">
        <v>152</v>
      </c>
      <c r="AA14" s="29"/>
      <c r="AB14" s="29"/>
      <c r="AC14" s="139" t="s">
        <v>148</v>
      </c>
      <c r="AD14" s="96" t="s">
        <v>149</v>
      </c>
      <c r="AE14" s="37"/>
      <c r="AF14" s="97"/>
      <c r="AG14" s="12" t="s">
        <v>32</v>
      </c>
      <c r="AH14" s="12">
        <v>270.0</v>
      </c>
      <c r="AI14" s="12" t="s">
        <v>145</v>
      </c>
      <c r="AJ14" s="98" t="s">
        <v>51</v>
      </c>
      <c r="AK14" s="101" t="s">
        <v>95</v>
      </c>
      <c r="AL14" s="100" t="s">
        <v>86</v>
      </c>
      <c r="AM14" s="99" t="s">
        <v>87</v>
      </c>
      <c r="AN14" s="100" t="s">
        <v>88</v>
      </c>
      <c r="AO14" s="101" t="s">
        <v>89</v>
      </c>
      <c r="AP14" s="100" t="s">
        <v>45</v>
      </c>
      <c r="AQ14" s="102" t="s">
        <v>90</v>
      </c>
      <c r="AR14" s="100" t="s">
        <v>43</v>
      </c>
      <c r="AS14" s="101" t="s">
        <v>91</v>
      </c>
      <c r="AT14" s="100" t="s">
        <v>41</v>
      </c>
      <c r="AU14" s="103" t="s">
        <v>92</v>
      </c>
      <c r="AV14" s="100" t="s">
        <v>39</v>
      </c>
      <c r="AW14" s="99" t="s">
        <v>93</v>
      </c>
      <c r="AX14" s="100" t="s">
        <v>37</v>
      </c>
      <c r="AY14" s="99" t="s">
        <v>94</v>
      </c>
      <c r="AZ14" s="24"/>
    </row>
    <row r="15">
      <c r="A15" s="344" t="str">
        <f t="shared" ref="A15:A17" si="10">A9</f>
        <v>มิถุนายน</v>
      </c>
      <c r="B15" s="86"/>
      <c r="C15" s="371" t="s">
        <v>235</v>
      </c>
      <c r="E15" s="162" t="s">
        <v>71</v>
      </c>
      <c r="G15" s="223" t="str">
        <f t="shared" si="7"/>
        <v>巳</v>
      </c>
      <c r="I15" s="142" t="str">
        <f t="shared" si="8"/>
        <v>午</v>
      </c>
      <c r="K15" s="36"/>
      <c r="L15" s="109">
        <f t="shared" si="9"/>
        <v>1000</v>
      </c>
      <c r="M15" s="9">
        <v>0.0</v>
      </c>
      <c r="N15" s="110">
        <v>0.0</v>
      </c>
      <c r="O15" s="9">
        <v>100.0</v>
      </c>
      <c r="P15" s="9">
        <v>100.0</v>
      </c>
      <c r="Q15" s="9">
        <v>100.0</v>
      </c>
      <c r="R15" s="110">
        <v>100.0</v>
      </c>
      <c r="S15" s="9">
        <v>100.0</v>
      </c>
      <c r="T15" s="110">
        <v>100.0</v>
      </c>
      <c r="U15" s="9">
        <v>100.0</v>
      </c>
      <c r="V15" s="110">
        <v>100.0</v>
      </c>
      <c r="W15" s="9">
        <v>100.0</v>
      </c>
      <c r="X15" s="110">
        <v>100.0</v>
      </c>
      <c r="Y15" s="73" t="s">
        <v>69</v>
      </c>
      <c r="Z15" s="94" t="s">
        <v>163</v>
      </c>
      <c r="AA15" s="36"/>
      <c r="AB15" s="36"/>
      <c r="AC15" s="111"/>
      <c r="AD15" s="112"/>
      <c r="AE15" s="37"/>
      <c r="AF15" s="97"/>
      <c r="AG15" s="14"/>
      <c r="AH15" s="14"/>
      <c r="AI15" s="14"/>
      <c r="AJ15" s="113"/>
      <c r="AK15" s="105" t="s">
        <v>107</v>
      </c>
      <c r="AM15" s="104" t="s">
        <v>100</v>
      </c>
      <c r="AO15" s="114" t="s">
        <v>101</v>
      </c>
      <c r="AQ15" s="105" t="s">
        <v>102</v>
      </c>
      <c r="AS15" s="105" t="s">
        <v>103</v>
      </c>
      <c r="AU15" s="104" t="s">
        <v>104</v>
      </c>
      <c r="AW15" s="104" t="s">
        <v>105</v>
      </c>
      <c r="AY15" s="104" t="s">
        <v>106</v>
      </c>
      <c r="AZ15" s="24"/>
    </row>
    <row r="16">
      <c r="A16" s="85">
        <f t="shared" si="10"/>
        <v>2569</v>
      </c>
      <c r="B16" s="86"/>
      <c r="E16" s="115" t="s">
        <v>219</v>
      </c>
      <c r="F16" s="116" t="s">
        <v>98</v>
      </c>
      <c r="G16" s="115" t="str">
        <f t="shared" ref="G16:H16" si="11">G10</f>
        <v>A11</v>
      </c>
      <c r="H16" s="9" t="str">
        <f t="shared" si="11"/>
        <v>B10</v>
      </c>
      <c r="I16" s="9" t="s">
        <v>204</v>
      </c>
      <c r="J16" s="9" t="s">
        <v>214</v>
      </c>
      <c r="K16" s="36"/>
      <c r="L16" s="117"/>
      <c r="M16" s="118" t="str">
        <f t="shared" ref="M16:P16" si="12">C16</f>
        <v/>
      </c>
      <c r="N16" s="119" t="str">
        <f t="shared" si="12"/>
        <v/>
      </c>
      <c r="O16" s="118" t="str">
        <f t="shared" si="12"/>
        <v>A3</v>
      </c>
      <c r="P16" s="118" t="str">
        <f t="shared" si="12"/>
        <v>B2</v>
      </c>
      <c r="Q16" s="118" t="str">
        <f t="shared" ref="Q16:R16" si="13">E17</f>
        <v>B10</v>
      </c>
      <c r="R16" s="119" t="str">
        <f t="shared" si="13"/>
        <v>C3</v>
      </c>
      <c r="S16" s="9" t="s">
        <v>164</v>
      </c>
      <c r="T16" s="110" t="s">
        <v>204</v>
      </c>
      <c r="U16" s="9" t="str">
        <f t="shared" ref="U16:V16" si="14">U10</f>
        <v>A11</v>
      </c>
      <c r="V16" s="119" t="str">
        <f t="shared" si="14"/>
        <v>B10</v>
      </c>
      <c r="W16" s="118" t="str">
        <f>I16</f>
        <v>A5</v>
      </c>
      <c r="X16" s="120" t="str">
        <f>X10</f>
        <v>B11</v>
      </c>
      <c r="Y16" s="73" t="s">
        <v>80</v>
      </c>
      <c r="Z16" s="94" t="s">
        <v>117</v>
      </c>
      <c r="AA16" s="36"/>
      <c r="AB16" s="36"/>
      <c r="AC16" s="111"/>
      <c r="AD16" s="112"/>
      <c r="AE16" s="37"/>
      <c r="AF16" s="97"/>
      <c r="AG16" s="14"/>
      <c r="AH16" s="14"/>
      <c r="AI16" s="14"/>
      <c r="AJ16" s="113"/>
      <c r="AK16" s="105" t="s">
        <v>125</v>
      </c>
      <c r="AM16" s="104" t="s">
        <v>118</v>
      </c>
      <c r="AO16" s="114" t="s">
        <v>119</v>
      </c>
      <c r="AQ16" s="105" t="s">
        <v>120</v>
      </c>
      <c r="AS16" s="105" t="s">
        <v>121</v>
      </c>
      <c r="AU16" s="104" t="s">
        <v>122</v>
      </c>
      <c r="AW16" s="104" t="s">
        <v>123</v>
      </c>
      <c r="AY16" s="104" t="s">
        <v>124</v>
      </c>
      <c r="AZ16" s="24"/>
    </row>
    <row r="17">
      <c r="A17" s="85">
        <f t="shared" si="10"/>
        <v>2026</v>
      </c>
      <c r="B17" s="86"/>
      <c r="C17" s="304"/>
      <c r="E17" s="115" t="s">
        <v>218</v>
      </c>
      <c r="F17" s="116" t="s">
        <v>184</v>
      </c>
      <c r="G17" s="115"/>
      <c r="H17" s="118"/>
      <c r="I17" s="118"/>
      <c r="J17" s="118"/>
      <c r="K17" s="36"/>
      <c r="L17" s="117"/>
      <c r="M17" s="8"/>
      <c r="N17" s="121"/>
      <c r="O17" s="8"/>
      <c r="P17" s="8"/>
      <c r="Q17" s="8"/>
      <c r="R17" s="121"/>
      <c r="S17" s="8"/>
      <c r="T17" s="121"/>
      <c r="U17" s="9"/>
      <c r="V17" s="110"/>
      <c r="W17" s="9"/>
      <c r="X17" s="110"/>
      <c r="Y17" s="73" t="s">
        <v>98</v>
      </c>
      <c r="Z17" s="94" t="s">
        <v>128</v>
      </c>
      <c r="AA17" s="36"/>
      <c r="AB17" s="36"/>
      <c r="AC17" s="111"/>
      <c r="AD17" s="112"/>
      <c r="AE17" s="37"/>
      <c r="AF17" s="97"/>
      <c r="AG17" s="14"/>
      <c r="AH17" s="14"/>
      <c r="AI17" s="14"/>
      <c r="AJ17" s="113"/>
      <c r="AK17" s="105" t="s">
        <v>136</v>
      </c>
      <c r="AM17" s="104" t="s">
        <v>129</v>
      </c>
      <c r="AO17" s="114" t="s">
        <v>130</v>
      </c>
      <c r="AQ17" s="105" t="s">
        <v>131</v>
      </c>
      <c r="AS17" s="105" t="s">
        <v>132</v>
      </c>
      <c r="AU17" s="104" t="s">
        <v>133</v>
      </c>
      <c r="AW17" s="104" t="s">
        <v>134</v>
      </c>
      <c r="AY17" s="104" t="s">
        <v>135</v>
      </c>
      <c r="AZ17" s="24"/>
    </row>
    <row r="18">
      <c r="A18" s="365" t="s">
        <v>156</v>
      </c>
      <c r="B18" s="144"/>
      <c r="C18" s="1"/>
      <c r="D18" s="123"/>
      <c r="E18" s="145" t="s">
        <v>137</v>
      </c>
      <c r="F18" s="88"/>
      <c r="G18" s="146" t="str">
        <f>G12</f>
        <v>อสูรเดือน E</v>
      </c>
      <c r="H18" s="147"/>
      <c r="I18" s="148" t="str">
        <f>I12:J12</f>
        <v>อสูรปี N</v>
      </c>
      <c r="J18" s="147"/>
      <c r="K18" s="149"/>
      <c r="L18" s="150"/>
      <c r="M18" s="151"/>
      <c r="N18" s="152"/>
      <c r="O18" s="151"/>
      <c r="P18" s="151"/>
      <c r="Q18" s="151"/>
      <c r="R18" s="152"/>
      <c r="S18" s="8"/>
      <c r="T18" s="121"/>
      <c r="U18" s="153"/>
      <c r="V18" s="154"/>
      <c r="W18" s="153"/>
      <c r="X18" s="154"/>
      <c r="Y18" s="127"/>
      <c r="Z18" s="155"/>
      <c r="AA18" s="36"/>
      <c r="AB18" s="36"/>
      <c r="AC18" s="111"/>
      <c r="AD18" s="112"/>
      <c r="AE18" s="37"/>
      <c r="AF18" s="97"/>
      <c r="AG18" s="14"/>
      <c r="AH18" s="14"/>
      <c r="AI18" s="14"/>
      <c r="AJ18" s="113"/>
      <c r="AY18" s="128"/>
      <c r="AZ18" s="159"/>
      <c r="BA18" s="158"/>
      <c r="BB18" s="158"/>
      <c r="BC18" s="158"/>
    </row>
    <row r="19">
      <c r="A19" s="188" t="s">
        <v>199</v>
      </c>
      <c r="B19" s="62"/>
      <c r="C19" s="63"/>
      <c r="D19" s="63"/>
      <c r="E19" s="358">
        <f>(O20+P20+Q20+R20)/(O21+P21+Q21+R21)</f>
        <v>0.375</v>
      </c>
      <c r="F19" s="65"/>
      <c r="G19" s="133"/>
      <c r="H19" s="66"/>
      <c r="I19" s="67"/>
      <c r="J19" s="67"/>
      <c r="K19" s="68"/>
      <c r="L19" s="69"/>
      <c r="M19" s="63" t="s">
        <v>64</v>
      </c>
      <c r="N19" s="70"/>
      <c r="O19" s="71" t="s">
        <v>65</v>
      </c>
      <c r="P19" s="72"/>
      <c r="Q19" s="72"/>
      <c r="R19" s="70"/>
      <c r="S19" s="71" t="s">
        <v>66</v>
      </c>
      <c r="T19" s="70"/>
      <c r="U19" s="71" t="s">
        <v>67</v>
      </c>
      <c r="V19" s="70"/>
      <c r="W19" s="71" t="s">
        <v>68</v>
      </c>
      <c r="X19" s="70"/>
      <c r="Y19" s="134" t="s">
        <v>80</v>
      </c>
      <c r="Z19" s="74" t="s">
        <v>170</v>
      </c>
      <c r="AA19" s="75" t="s">
        <v>171</v>
      </c>
      <c r="AB19" s="75" t="s">
        <v>172</v>
      </c>
      <c r="AC19" s="167" t="s">
        <v>173</v>
      </c>
      <c r="AD19" s="74" t="s">
        <v>174</v>
      </c>
      <c r="AE19" s="63" t="s">
        <v>34</v>
      </c>
      <c r="AF19" s="78" t="s">
        <v>144</v>
      </c>
      <c r="AG19" s="79" t="s">
        <v>71</v>
      </c>
      <c r="AH19" s="79">
        <v>210.0</v>
      </c>
      <c r="AI19" s="79" t="s">
        <v>175</v>
      </c>
      <c r="AJ19" s="80" t="str">
        <f>AJ13</f>
        <v>開</v>
      </c>
      <c r="AK19" s="81" t="s">
        <v>50</v>
      </c>
      <c r="AL19" s="82" t="str">
        <f>AL13</f>
        <v>休</v>
      </c>
      <c r="AM19" s="81" t="s">
        <v>52</v>
      </c>
      <c r="AN19" s="82" t="s">
        <v>4</v>
      </c>
      <c r="AO19" s="81" t="s">
        <v>38</v>
      </c>
      <c r="AP19" s="82" t="str">
        <f>AP13</f>
        <v>傷</v>
      </c>
      <c r="AQ19" s="81" t="s">
        <v>40</v>
      </c>
      <c r="AR19" s="82" t="s">
        <v>8</v>
      </c>
      <c r="AS19" s="81" t="s">
        <v>42</v>
      </c>
      <c r="AT19" s="82" t="str">
        <f>AT13</f>
        <v>景</v>
      </c>
      <c r="AU19" s="81" t="s">
        <v>44</v>
      </c>
      <c r="AV19" s="82" t="str">
        <f>AV13</f>
        <v>死</v>
      </c>
      <c r="AW19" s="81" t="s">
        <v>46</v>
      </c>
      <c r="AX19" s="82" t="str">
        <f>AX13</f>
        <v>驚</v>
      </c>
      <c r="AY19" s="81" t="s">
        <v>48</v>
      </c>
      <c r="AZ19" s="83"/>
      <c r="BA19" s="84"/>
      <c r="BB19" s="84"/>
      <c r="BC19" s="84"/>
    </row>
    <row r="20">
      <c r="A20" s="85">
        <f>A14+1</f>
        <v>3</v>
      </c>
      <c r="B20" s="86"/>
      <c r="C20" s="12" t="s">
        <v>187</v>
      </c>
      <c r="E20" s="168" t="s">
        <v>79</v>
      </c>
      <c r="G20" s="324" t="str">
        <f t="shared" ref="G20:G21" si="16">G8:H8</f>
        <v>癸</v>
      </c>
      <c r="I20" s="275" t="str">
        <f t="shared" ref="I20:I21" si="17">I8:J8</f>
        <v>丙</v>
      </c>
      <c r="K20" s="90">
        <f>L20/L21</f>
        <v>0.535</v>
      </c>
      <c r="L20" s="126">
        <f t="shared" ref="L20:L21" si="18">O20+P20+Q20+U20+V20+W20+X20+R20+M20+N20+S20+T20</f>
        <v>535</v>
      </c>
      <c r="M20" s="92">
        <v>0.0</v>
      </c>
      <c r="N20" s="93">
        <v>0.0</v>
      </c>
      <c r="O20" s="92">
        <v>20.0</v>
      </c>
      <c r="P20" s="92">
        <v>30.0</v>
      </c>
      <c r="Q20" s="92">
        <v>50.0</v>
      </c>
      <c r="R20" s="93">
        <v>50.0</v>
      </c>
      <c r="S20" s="92">
        <v>10.0</v>
      </c>
      <c r="T20" s="93">
        <v>100.0</v>
      </c>
      <c r="U20" s="92">
        <f t="shared" ref="U20:X20" si="15">U8</f>
        <v>65</v>
      </c>
      <c r="V20" s="93">
        <f t="shared" si="15"/>
        <v>40</v>
      </c>
      <c r="W20" s="92">
        <f t="shared" si="15"/>
        <v>110</v>
      </c>
      <c r="X20" s="92">
        <f t="shared" si="15"/>
        <v>60</v>
      </c>
      <c r="Y20" s="73" t="s">
        <v>98</v>
      </c>
      <c r="Z20" s="94" t="s">
        <v>70</v>
      </c>
      <c r="AA20" s="36"/>
      <c r="AB20" s="169" t="s">
        <v>177</v>
      </c>
      <c r="AC20" s="170" t="s">
        <v>73</v>
      </c>
      <c r="AD20" s="94" t="s">
        <v>74</v>
      </c>
      <c r="AE20" s="37"/>
      <c r="AF20" s="97"/>
      <c r="AG20" s="12" t="s">
        <v>53</v>
      </c>
      <c r="AH20" s="12">
        <v>30.0</v>
      </c>
      <c r="AI20" s="12" t="s">
        <v>178</v>
      </c>
      <c r="AJ20" s="98" t="s">
        <v>86</v>
      </c>
      <c r="AK20" s="99" t="s">
        <v>87</v>
      </c>
      <c r="AL20" s="100" t="s">
        <v>88</v>
      </c>
      <c r="AM20" s="101" t="s">
        <v>89</v>
      </c>
      <c r="AN20" s="100" t="s">
        <v>45</v>
      </c>
      <c r="AO20" s="102" t="s">
        <v>90</v>
      </c>
      <c r="AP20" s="100" t="s">
        <v>43</v>
      </c>
      <c r="AQ20" s="101" t="s">
        <v>91</v>
      </c>
      <c r="AR20" s="100" t="s">
        <v>41</v>
      </c>
      <c r="AS20" s="103" t="s">
        <v>92</v>
      </c>
      <c r="AT20" s="100" t="s">
        <v>39</v>
      </c>
      <c r="AU20" s="99" t="s">
        <v>93</v>
      </c>
      <c r="AV20" s="100" t="s">
        <v>37</v>
      </c>
      <c r="AW20" s="99" t="s">
        <v>94</v>
      </c>
      <c r="AX20" s="100" t="s">
        <v>51</v>
      </c>
      <c r="AY20" s="101" t="s">
        <v>95</v>
      </c>
      <c r="AZ20" s="24"/>
    </row>
    <row r="21">
      <c r="A21" s="344" t="str">
        <f>A15</f>
        <v>มิถุนายน</v>
      </c>
      <c r="B21" s="86"/>
      <c r="C21" s="140" t="s">
        <v>239</v>
      </c>
      <c r="E21" s="209" t="s">
        <v>76</v>
      </c>
      <c r="G21" s="223" t="str">
        <f t="shared" si="16"/>
        <v>巳</v>
      </c>
      <c r="I21" s="142" t="str">
        <f t="shared" si="17"/>
        <v>午</v>
      </c>
      <c r="K21" s="36"/>
      <c r="L21" s="109">
        <f t="shared" si="18"/>
        <v>1000</v>
      </c>
      <c r="M21" s="9">
        <v>0.0</v>
      </c>
      <c r="N21" s="110">
        <v>0.0</v>
      </c>
      <c r="O21" s="9">
        <v>100.0</v>
      </c>
      <c r="P21" s="9">
        <v>100.0</v>
      </c>
      <c r="Q21" s="9">
        <v>100.0</v>
      </c>
      <c r="R21" s="110">
        <v>100.0</v>
      </c>
      <c r="S21" s="9">
        <v>100.0</v>
      </c>
      <c r="T21" s="110">
        <v>100.0</v>
      </c>
      <c r="U21" s="9">
        <v>100.0</v>
      </c>
      <c r="V21" s="110">
        <v>100.0</v>
      </c>
      <c r="W21" s="9">
        <v>100.0</v>
      </c>
      <c r="X21" s="110">
        <v>100.0</v>
      </c>
      <c r="Y21" s="73" t="s">
        <v>116</v>
      </c>
      <c r="Z21" s="94" t="s">
        <v>181</v>
      </c>
      <c r="AA21" s="36"/>
      <c r="AB21" s="36"/>
      <c r="AC21" s="111"/>
      <c r="AD21" s="112"/>
      <c r="AE21" s="37"/>
      <c r="AF21" s="97"/>
      <c r="AG21" s="14"/>
      <c r="AH21" s="14"/>
      <c r="AI21" s="14"/>
      <c r="AJ21" s="113"/>
      <c r="AK21" s="104" t="s">
        <v>100</v>
      </c>
      <c r="AM21" s="114" t="s">
        <v>101</v>
      </c>
      <c r="AO21" s="105" t="s">
        <v>102</v>
      </c>
      <c r="AQ21" s="105" t="s">
        <v>103</v>
      </c>
      <c r="AS21" s="104" t="s">
        <v>104</v>
      </c>
      <c r="AU21" s="104" t="s">
        <v>105</v>
      </c>
      <c r="AW21" s="104" t="s">
        <v>106</v>
      </c>
      <c r="AY21" s="105" t="s">
        <v>107</v>
      </c>
      <c r="AZ21" s="24"/>
    </row>
    <row r="22">
      <c r="A22" s="85">
        <f>A10</f>
        <v>2569</v>
      </c>
      <c r="B22" s="86"/>
      <c r="E22" s="115" t="s">
        <v>115</v>
      </c>
      <c r="F22" s="116" t="s">
        <v>183</v>
      </c>
      <c r="G22" s="115" t="str">
        <f t="shared" ref="G22:J22" si="19">G10</f>
        <v>A11</v>
      </c>
      <c r="H22" s="9" t="str">
        <f t="shared" si="19"/>
        <v>B10</v>
      </c>
      <c r="I22" s="9" t="str">
        <f t="shared" si="19"/>
        <v>A5</v>
      </c>
      <c r="J22" s="9" t="str">
        <f t="shared" si="19"/>
        <v>B11</v>
      </c>
      <c r="K22" s="36"/>
      <c r="L22" s="117"/>
      <c r="M22" s="118" t="str">
        <f t="shared" ref="M22:P22" si="20">C22</f>
        <v/>
      </c>
      <c r="N22" s="119" t="str">
        <f t="shared" si="20"/>
        <v/>
      </c>
      <c r="O22" s="118" t="str">
        <f t="shared" si="20"/>
        <v>A7</v>
      </c>
      <c r="P22" s="118" t="str">
        <f t="shared" si="20"/>
        <v>B3</v>
      </c>
      <c r="Q22" s="118" t="str">
        <f t="shared" ref="Q22:R22" si="21">E23</f>
        <v>B9</v>
      </c>
      <c r="R22" s="119" t="str">
        <f t="shared" si="21"/>
        <v>C4</v>
      </c>
      <c r="S22" s="9" t="s">
        <v>108</v>
      </c>
      <c r="T22" s="110" t="s">
        <v>213</v>
      </c>
      <c r="U22" s="9" t="str">
        <f t="shared" ref="U22:V22" si="22">U10</f>
        <v>A11</v>
      </c>
      <c r="V22" s="119" t="str">
        <f t="shared" si="22"/>
        <v>B10</v>
      </c>
      <c r="W22" s="118" t="str">
        <f t="shared" ref="W22:X22" si="23">I22</f>
        <v>A5</v>
      </c>
      <c r="X22" s="120" t="str">
        <f t="shared" si="23"/>
        <v>B11</v>
      </c>
      <c r="Y22" s="73" t="s">
        <v>126</v>
      </c>
      <c r="Z22" s="94" t="s">
        <v>163</v>
      </c>
      <c r="AA22" s="36"/>
      <c r="AB22" s="36"/>
      <c r="AC22" s="111"/>
      <c r="AD22" s="112"/>
      <c r="AE22" s="37"/>
      <c r="AF22" s="97"/>
      <c r="AG22" s="14"/>
      <c r="AH22" s="14"/>
      <c r="AI22" s="14"/>
      <c r="AJ22" s="113"/>
      <c r="AK22" s="104" t="s">
        <v>118</v>
      </c>
      <c r="AM22" s="114" t="s">
        <v>119</v>
      </c>
      <c r="AO22" s="105" t="s">
        <v>120</v>
      </c>
      <c r="AQ22" s="105" t="s">
        <v>121</v>
      </c>
      <c r="AS22" s="104" t="s">
        <v>122</v>
      </c>
      <c r="AU22" s="104" t="s">
        <v>123</v>
      </c>
      <c r="AW22" s="104" t="s">
        <v>124</v>
      </c>
      <c r="AY22" s="105" t="s">
        <v>125</v>
      </c>
      <c r="AZ22" s="24"/>
    </row>
    <row r="23">
      <c r="A23" s="85">
        <f>A22-543</f>
        <v>2026</v>
      </c>
      <c r="B23" s="86"/>
      <c r="C23" s="163"/>
      <c r="E23" s="115" t="s">
        <v>212</v>
      </c>
      <c r="F23" s="116" t="s">
        <v>190</v>
      </c>
      <c r="G23" s="115"/>
      <c r="H23" s="118"/>
      <c r="I23" s="118"/>
      <c r="J23" s="118"/>
      <c r="K23" s="36"/>
      <c r="L23" s="117"/>
      <c r="M23" s="8"/>
      <c r="N23" s="121"/>
      <c r="O23" s="8"/>
      <c r="P23" s="8"/>
      <c r="Q23" s="8"/>
      <c r="R23" s="121"/>
      <c r="S23" s="8"/>
      <c r="T23" s="121"/>
      <c r="U23" s="9"/>
      <c r="V23" s="110"/>
      <c r="W23" s="9"/>
      <c r="X23" s="110"/>
      <c r="Y23" s="73" t="s">
        <v>69</v>
      </c>
      <c r="Z23" s="94" t="s">
        <v>99</v>
      </c>
      <c r="AA23" s="36"/>
      <c r="AB23" s="36"/>
      <c r="AC23" s="111"/>
      <c r="AD23" s="112"/>
      <c r="AE23" s="37"/>
      <c r="AF23" s="97"/>
      <c r="AG23" s="14"/>
      <c r="AH23" s="14"/>
      <c r="AI23" s="14"/>
      <c r="AJ23" s="113"/>
      <c r="AK23" s="104" t="s">
        <v>129</v>
      </c>
      <c r="AM23" s="114" t="s">
        <v>130</v>
      </c>
      <c r="AO23" s="105" t="s">
        <v>131</v>
      </c>
      <c r="AQ23" s="105" t="s">
        <v>132</v>
      </c>
      <c r="AS23" s="104" t="s">
        <v>133</v>
      </c>
      <c r="AU23" s="104" t="s">
        <v>134</v>
      </c>
      <c r="AW23" s="104" t="s">
        <v>135</v>
      </c>
      <c r="AY23" s="105" t="s">
        <v>136</v>
      </c>
      <c r="AZ23" s="24"/>
    </row>
    <row r="24">
      <c r="A24" s="372" t="s">
        <v>341</v>
      </c>
      <c r="B24" s="2"/>
      <c r="C24" s="304"/>
      <c r="E24" s="164" t="s">
        <v>157</v>
      </c>
      <c r="F24" s="88"/>
      <c r="G24" s="165" t="str">
        <f>G12:H12</f>
        <v>อสูรเดือน E</v>
      </c>
      <c r="I24" s="166" t="str">
        <f>I12:J12</f>
        <v>อสูรปี N</v>
      </c>
      <c r="K24" s="90"/>
      <c r="L24" s="126"/>
      <c r="M24" s="8"/>
      <c r="N24" s="121"/>
      <c r="O24" s="8"/>
      <c r="P24" s="8"/>
      <c r="Q24" s="8"/>
      <c r="R24" s="121"/>
      <c r="S24" s="8"/>
      <c r="T24" s="121"/>
      <c r="U24" s="9"/>
      <c r="V24" s="110"/>
      <c r="W24" s="9"/>
      <c r="X24" s="110"/>
      <c r="Y24" s="127"/>
      <c r="Z24" s="155"/>
      <c r="AA24" s="156"/>
      <c r="AB24" s="156"/>
      <c r="AC24" s="111"/>
      <c r="AD24" s="112"/>
      <c r="AE24" s="37"/>
      <c r="AF24" s="97"/>
      <c r="AG24" s="14"/>
      <c r="AH24" s="14"/>
      <c r="AI24" s="14"/>
      <c r="AJ24" s="113"/>
      <c r="AK24" s="128"/>
      <c r="AM24" s="128"/>
      <c r="AO24" s="128"/>
      <c r="AQ24" s="129"/>
      <c r="AS24" s="130"/>
      <c r="AU24" s="131"/>
      <c r="AW24" s="131"/>
      <c r="AY24" s="131"/>
      <c r="AZ24" s="24"/>
    </row>
    <row r="25">
      <c r="A25" s="188" t="s">
        <v>63</v>
      </c>
      <c r="B25" s="62"/>
      <c r="C25" s="63"/>
      <c r="D25" s="63"/>
      <c r="E25" s="358">
        <f>(O26+P26+Q26+R26)/(O27+P27+Q27+R27)</f>
        <v>0.7</v>
      </c>
      <c r="F25" s="65"/>
      <c r="G25" s="133"/>
      <c r="H25" s="66"/>
      <c r="I25" s="67"/>
      <c r="J25" s="67"/>
      <c r="K25" s="68"/>
      <c r="L25" s="69"/>
      <c r="M25" s="63" t="s">
        <v>64</v>
      </c>
      <c r="N25" s="70"/>
      <c r="O25" s="71" t="s">
        <v>65</v>
      </c>
      <c r="P25" s="72"/>
      <c r="Q25" s="72"/>
      <c r="R25" s="70"/>
      <c r="S25" s="71" t="s">
        <v>66</v>
      </c>
      <c r="T25" s="70"/>
      <c r="U25" s="71" t="s">
        <v>67</v>
      </c>
      <c r="V25" s="70"/>
      <c r="W25" s="71" t="s">
        <v>68</v>
      </c>
      <c r="X25" s="70"/>
      <c r="Y25" s="134" t="s">
        <v>80</v>
      </c>
      <c r="Z25" s="74" t="s">
        <v>159</v>
      </c>
      <c r="AA25" s="75" t="s">
        <v>54</v>
      </c>
      <c r="AB25" s="75" t="s">
        <v>309</v>
      </c>
      <c r="AC25" s="167" t="s">
        <v>173</v>
      </c>
      <c r="AD25" s="74" t="s">
        <v>174</v>
      </c>
      <c r="AE25" s="63" t="s">
        <v>34</v>
      </c>
      <c r="AF25" s="78" t="s">
        <v>36</v>
      </c>
      <c r="AG25" s="79" t="s">
        <v>71</v>
      </c>
      <c r="AH25" s="79">
        <v>210.0</v>
      </c>
      <c r="AI25" s="79" t="s">
        <v>175</v>
      </c>
      <c r="AJ25" s="80" t="str">
        <f>AJ19</f>
        <v>開</v>
      </c>
      <c r="AK25" s="81" t="s">
        <v>48</v>
      </c>
      <c r="AL25" s="82" t="str">
        <f>AL19</f>
        <v>休</v>
      </c>
      <c r="AM25" s="81" t="s">
        <v>50</v>
      </c>
      <c r="AN25" s="82" t="s">
        <v>4</v>
      </c>
      <c r="AO25" s="81" t="s">
        <v>52</v>
      </c>
      <c r="AP25" s="82" t="str">
        <f>AP19</f>
        <v>傷</v>
      </c>
      <c r="AQ25" s="81" t="s">
        <v>38</v>
      </c>
      <c r="AR25" s="82" t="s">
        <v>8</v>
      </c>
      <c r="AS25" s="81" t="s">
        <v>40</v>
      </c>
      <c r="AT25" s="82" t="str">
        <f>AT19</f>
        <v>景</v>
      </c>
      <c r="AU25" s="81" t="s">
        <v>42</v>
      </c>
      <c r="AV25" s="82" t="str">
        <f>AV19</f>
        <v>死</v>
      </c>
      <c r="AW25" s="81" t="s">
        <v>44</v>
      </c>
      <c r="AX25" s="82" t="str">
        <f>AX19</f>
        <v>驚</v>
      </c>
      <c r="AY25" s="81" t="s">
        <v>46</v>
      </c>
      <c r="AZ25" s="83"/>
      <c r="BA25" s="84"/>
      <c r="BB25" s="84"/>
      <c r="BC25" s="84"/>
    </row>
    <row r="26">
      <c r="A26" s="85">
        <f>A20+1</f>
        <v>4</v>
      </c>
      <c r="B26" s="86"/>
      <c r="C26" s="12" t="s">
        <v>176</v>
      </c>
      <c r="E26" s="168" t="s">
        <v>30</v>
      </c>
      <c r="F26" s="88"/>
      <c r="G26" s="324" t="str">
        <f t="shared" ref="G26:G27" si="25">G8:H8</f>
        <v>癸</v>
      </c>
      <c r="I26" s="275" t="str">
        <f t="shared" ref="I26:I27" si="26">I8:J8</f>
        <v>丙</v>
      </c>
      <c r="K26" s="90">
        <f>L26/L27</f>
        <v>0.685</v>
      </c>
      <c r="L26" s="126">
        <f t="shared" ref="L26:L27" si="27">O26+P26+Q26+U26+V26+W26+X26+R26+M26+N26+S26+T26</f>
        <v>685</v>
      </c>
      <c r="M26" s="92">
        <v>0.0</v>
      </c>
      <c r="N26" s="93">
        <v>0.0</v>
      </c>
      <c r="O26" s="92">
        <v>80.0</v>
      </c>
      <c r="P26" s="92">
        <v>30.0</v>
      </c>
      <c r="Q26" s="92">
        <v>90.0</v>
      </c>
      <c r="R26" s="93">
        <v>80.0</v>
      </c>
      <c r="S26" s="92">
        <v>20.0</v>
      </c>
      <c r="T26" s="93">
        <v>110.0</v>
      </c>
      <c r="U26" s="92">
        <f t="shared" ref="U26:X26" si="24">U8</f>
        <v>65</v>
      </c>
      <c r="V26" s="93">
        <f t="shared" si="24"/>
        <v>40</v>
      </c>
      <c r="W26" s="92">
        <f t="shared" si="24"/>
        <v>110</v>
      </c>
      <c r="X26" s="93">
        <f t="shared" si="24"/>
        <v>60</v>
      </c>
      <c r="Y26" s="73" t="s">
        <v>98</v>
      </c>
      <c r="Z26" s="94" t="s">
        <v>152</v>
      </c>
      <c r="AA26" s="36"/>
      <c r="AB26" s="169"/>
      <c r="AC26" s="170" t="s">
        <v>73</v>
      </c>
      <c r="AD26" s="94" t="s">
        <v>74</v>
      </c>
      <c r="AE26" s="37"/>
      <c r="AF26" s="97"/>
      <c r="AG26" s="12" t="s">
        <v>53</v>
      </c>
      <c r="AH26" s="12">
        <v>30.0</v>
      </c>
      <c r="AI26" s="12" t="s">
        <v>178</v>
      </c>
      <c r="AJ26" s="98" t="s">
        <v>51</v>
      </c>
      <c r="AK26" s="101" t="s">
        <v>95</v>
      </c>
      <c r="AL26" s="100" t="s">
        <v>86</v>
      </c>
      <c r="AM26" s="99" t="s">
        <v>87</v>
      </c>
      <c r="AN26" s="100" t="s">
        <v>88</v>
      </c>
      <c r="AO26" s="101" t="s">
        <v>89</v>
      </c>
      <c r="AP26" s="100" t="s">
        <v>45</v>
      </c>
      <c r="AQ26" s="102" t="s">
        <v>90</v>
      </c>
      <c r="AR26" s="100" t="s">
        <v>43</v>
      </c>
      <c r="AS26" s="101" t="s">
        <v>91</v>
      </c>
      <c r="AT26" s="100" t="s">
        <v>41</v>
      </c>
      <c r="AU26" s="103" t="s">
        <v>92</v>
      </c>
      <c r="AV26" s="100" t="s">
        <v>39</v>
      </c>
      <c r="AW26" s="99" t="s">
        <v>93</v>
      </c>
      <c r="AX26" s="100" t="s">
        <v>37</v>
      </c>
      <c r="AY26" s="99" t="s">
        <v>94</v>
      </c>
      <c r="AZ26" s="24"/>
    </row>
    <row r="27">
      <c r="A27" s="344" t="str">
        <f>A15</f>
        <v>มิถุนายน</v>
      </c>
      <c r="B27" s="86"/>
      <c r="C27" s="106" t="s">
        <v>96</v>
      </c>
      <c r="E27" s="209" t="s">
        <v>32</v>
      </c>
      <c r="G27" s="223" t="str">
        <f t="shared" si="25"/>
        <v>巳</v>
      </c>
      <c r="I27" s="142" t="str">
        <f t="shared" si="26"/>
        <v>午</v>
      </c>
      <c r="K27" s="36"/>
      <c r="L27" s="109">
        <f t="shared" si="27"/>
        <v>1000</v>
      </c>
      <c r="M27" s="9">
        <v>0.0</v>
      </c>
      <c r="N27" s="110">
        <v>0.0</v>
      </c>
      <c r="O27" s="9">
        <v>100.0</v>
      </c>
      <c r="P27" s="9">
        <v>100.0</v>
      </c>
      <c r="Q27" s="9">
        <v>100.0</v>
      </c>
      <c r="R27" s="110">
        <v>100.0</v>
      </c>
      <c r="S27" s="9">
        <v>100.0</v>
      </c>
      <c r="T27" s="110">
        <v>100.0</v>
      </c>
      <c r="U27" s="9">
        <v>100.0</v>
      </c>
      <c r="V27" s="110">
        <v>100.0</v>
      </c>
      <c r="W27" s="9">
        <v>100.0</v>
      </c>
      <c r="X27" s="110">
        <v>100.0</v>
      </c>
      <c r="Y27" s="73" t="s">
        <v>116</v>
      </c>
      <c r="Z27" s="94" t="s">
        <v>81</v>
      </c>
      <c r="AA27" s="36"/>
      <c r="AB27" s="36"/>
      <c r="AC27" s="111"/>
      <c r="AD27" s="112"/>
      <c r="AE27" s="37"/>
      <c r="AF27" s="97"/>
      <c r="AG27" s="14"/>
      <c r="AH27" s="14"/>
      <c r="AI27" s="14"/>
      <c r="AJ27" s="113"/>
      <c r="AK27" s="105" t="s">
        <v>107</v>
      </c>
      <c r="AM27" s="104" t="s">
        <v>100</v>
      </c>
      <c r="AO27" s="114" t="s">
        <v>101</v>
      </c>
      <c r="AQ27" s="105" t="s">
        <v>102</v>
      </c>
      <c r="AS27" s="105" t="s">
        <v>103</v>
      </c>
      <c r="AU27" s="104" t="s">
        <v>104</v>
      </c>
      <c r="AW27" s="104" t="s">
        <v>105</v>
      </c>
      <c r="AY27" s="104" t="s">
        <v>106</v>
      </c>
      <c r="AZ27" s="24"/>
    </row>
    <row r="28">
      <c r="A28" s="85">
        <f>A10</f>
        <v>2569</v>
      </c>
      <c r="B28" s="86"/>
      <c r="E28" s="115" t="s">
        <v>182</v>
      </c>
      <c r="F28" s="116" t="s">
        <v>109</v>
      </c>
      <c r="G28" s="115" t="str">
        <f t="shared" ref="G28:J28" si="28">G10</f>
        <v>A11</v>
      </c>
      <c r="H28" s="9" t="str">
        <f t="shared" si="28"/>
        <v>B10</v>
      </c>
      <c r="I28" s="9" t="str">
        <f t="shared" si="28"/>
        <v>A5</v>
      </c>
      <c r="J28" s="9" t="str">
        <f t="shared" si="28"/>
        <v>B11</v>
      </c>
      <c r="K28" s="36"/>
      <c r="L28" s="117"/>
      <c r="M28" s="118" t="str">
        <f t="shared" ref="M28:P28" si="29">C28</f>
        <v/>
      </c>
      <c r="N28" s="119" t="str">
        <f t="shared" si="29"/>
        <v/>
      </c>
      <c r="O28" s="118" t="str">
        <f t="shared" si="29"/>
        <v>A1</v>
      </c>
      <c r="P28" s="118" t="str">
        <f t="shared" si="29"/>
        <v>B4</v>
      </c>
      <c r="Q28" s="118" t="str">
        <f t="shared" ref="Q28:R28" si="30">E29</f>
        <v>B8</v>
      </c>
      <c r="R28" s="119" t="str">
        <f t="shared" si="30"/>
        <v>C5</v>
      </c>
      <c r="S28" s="9" t="s">
        <v>115</v>
      </c>
      <c r="T28" s="110" t="s">
        <v>204</v>
      </c>
      <c r="U28" s="9" t="str">
        <f t="shared" ref="U28:V28" si="31">U10</f>
        <v>A11</v>
      </c>
      <c r="V28" s="119" t="str">
        <f t="shared" si="31"/>
        <v>B10</v>
      </c>
      <c r="W28" s="118" t="str">
        <f t="shared" ref="W28:X28" si="32">I28</f>
        <v>A5</v>
      </c>
      <c r="X28" s="120" t="str">
        <f t="shared" si="32"/>
        <v>B11</v>
      </c>
      <c r="Y28" s="73" t="s">
        <v>126</v>
      </c>
      <c r="Z28" s="94" t="s">
        <v>99</v>
      </c>
      <c r="AA28" s="36"/>
      <c r="AB28" s="36"/>
      <c r="AC28" s="111"/>
      <c r="AD28" s="112"/>
      <c r="AE28" s="37"/>
      <c r="AF28" s="97"/>
      <c r="AG28" s="14"/>
      <c r="AH28" s="14"/>
      <c r="AI28" s="14"/>
      <c r="AJ28" s="113"/>
      <c r="AK28" s="105" t="s">
        <v>125</v>
      </c>
      <c r="AM28" s="104" t="s">
        <v>118</v>
      </c>
      <c r="AO28" s="114" t="s">
        <v>119</v>
      </c>
      <c r="AQ28" s="105" t="s">
        <v>120</v>
      </c>
      <c r="AS28" s="105" t="s">
        <v>121</v>
      </c>
      <c r="AU28" s="104" t="s">
        <v>122</v>
      </c>
      <c r="AW28" s="104" t="s">
        <v>123</v>
      </c>
      <c r="AY28" s="104" t="s">
        <v>124</v>
      </c>
      <c r="AZ28" s="24"/>
    </row>
    <row r="29">
      <c r="A29" s="85">
        <f>A28-543</f>
        <v>2026</v>
      </c>
      <c r="B29" s="86"/>
      <c r="E29" s="115" t="s">
        <v>69</v>
      </c>
      <c r="F29" s="116" t="s">
        <v>205</v>
      </c>
      <c r="G29" s="115"/>
      <c r="H29" s="118"/>
      <c r="I29" s="118"/>
      <c r="J29" s="118"/>
      <c r="K29" s="36"/>
      <c r="L29" s="117"/>
      <c r="M29" s="8"/>
      <c r="N29" s="121"/>
      <c r="O29" s="8"/>
      <c r="P29" s="8"/>
      <c r="Q29" s="8"/>
      <c r="R29" s="121"/>
      <c r="S29" s="8"/>
      <c r="T29" s="121"/>
      <c r="U29" s="9"/>
      <c r="V29" s="110"/>
      <c r="W29" s="9"/>
      <c r="X29" s="110"/>
      <c r="Y29" s="73" t="s">
        <v>69</v>
      </c>
      <c r="Z29" s="94" t="s">
        <v>155</v>
      </c>
      <c r="AA29" s="36"/>
      <c r="AB29" s="36"/>
      <c r="AC29" s="111"/>
      <c r="AD29" s="112"/>
      <c r="AE29" s="37"/>
      <c r="AF29" s="97"/>
      <c r="AG29" s="14"/>
      <c r="AH29" s="14"/>
      <c r="AI29" s="14"/>
      <c r="AJ29" s="113"/>
      <c r="AK29" s="105" t="s">
        <v>136</v>
      </c>
      <c r="AM29" s="104" t="s">
        <v>129</v>
      </c>
      <c r="AO29" s="114" t="s">
        <v>130</v>
      </c>
      <c r="AQ29" s="105" t="s">
        <v>131</v>
      </c>
      <c r="AS29" s="105" t="s">
        <v>132</v>
      </c>
      <c r="AU29" s="104" t="s">
        <v>133</v>
      </c>
      <c r="AW29" s="104" t="s">
        <v>134</v>
      </c>
      <c r="AY29" s="104" t="s">
        <v>135</v>
      </c>
      <c r="AZ29" s="24"/>
    </row>
    <row r="30">
      <c r="A30" s="373"/>
      <c r="B30" s="144"/>
      <c r="C30" s="1"/>
      <c r="D30" s="123"/>
      <c r="E30" s="164" t="s">
        <v>168</v>
      </c>
      <c r="F30" s="88"/>
      <c r="G30" s="173" t="str">
        <f>G12:H12</f>
        <v>อสูรเดือน E</v>
      </c>
      <c r="H30" s="147"/>
      <c r="I30" s="174" t="str">
        <f>I12:J12</f>
        <v>อสูรปี N</v>
      </c>
      <c r="J30" s="147"/>
      <c r="K30" s="149"/>
      <c r="L30" s="150"/>
      <c r="M30" s="151"/>
      <c r="N30" s="152"/>
      <c r="O30" s="151"/>
      <c r="P30" s="151"/>
      <c r="Q30" s="151"/>
      <c r="R30" s="152"/>
      <c r="S30" s="151"/>
      <c r="T30" s="152"/>
      <c r="U30" s="153"/>
      <c r="V30" s="154"/>
      <c r="W30" s="153"/>
      <c r="X30" s="154"/>
      <c r="Y30" s="127"/>
      <c r="Z30" s="155"/>
      <c r="AA30" s="36"/>
      <c r="AB30" s="36"/>
      <c r="AC30" s="111"/>
      <c r="AD30" s="112"/>
      <c r="AE30" s="37"/>
      <c r="AF30" s="97"/>
      <c r="AG30" s="14"/>
      <c r="AH30" s="14"/>
      <c r="AI30" s="14"/>
      <c r="AJ30" s="113"/>
      <c r="AY30" s="128"/>
      <c r="AZ30" s="24"/>
    </row>
    <row r="31">
      <c r="A31" s="188" t="s">
        <v>139</v>
      </c>
      <c r="B31" s="83"/>
      <c r="C31" s="63"/>
      <c r="D31" s="63"/>
      <c r="E31" s="358">
        <f>(O32+P32+Q32+R32)/(O33+P33+Q33+R33)</f>
        <v>0.4</v>
      </c>
      <c r="F31" s="65"/>
      <c r="G31" s="66"/>
      <c r="H31" s="66"/>
      <c r="I31" s="67"/>
      <c r="J31" s="67"/>
      <c r="K31" s="177"/>
      <c r="L31" s="178"/>
      <c r="M31" s="63" t="s">
        <v>64</v>
      </c>
      <c r="N31" s="70"/>
      <c r="O31" s="71" t="s">
        <v>65</v>
      </c>
      <c r="P31" s="72"/>
      <c r="Q31" s="72"/>
      <c r="R31" s="70"/>
      <c r="S31" s="71" t="s">
        <v>66</v>
      </c>
      <c r="T31" s="70"/>
      <c r="U31" s="71" t="s">
        <v>67</v>
      </c>
      <c r="V31" s="70"/>
      <c r="W31" s="71" t="s">
        <v>68</v>
      </c>
      <c r="X31" s="70"/>
      <c r="Y31" s="134" t="s">
        <v>80</v>
      </c>
      <c r="Z31" s="74" t="s">
        <v>181</v>
      </c>
      <c r="AA31" s="75" t="s">
        <v>197</v>
      </c>
      <c r="AB31" s="75" t="s">
        <v>311</v>
      </c>
      <c r="AC31" s="190" t="s">
        <v>173</v>
      </c>
      <c r="AD31" s="77" t="s">
        <v>193</v>
      </c>
      <c r="AE31" s="63" t="s">
        <v>36</v>
      </c>
      <c r="AF31" s="78" t="s">
        <v>34</v>
      </c>
      <c r="AG31" s="79" t="s">
        <v>53</v>
      </c>
      <c r="AH31" s="79">
        <v>30.0</v>
      </c>
      <c r="AI31" s="79" t="s">
        <v>178</v>
      </c>
      <c r="AJ31" s="80" t="str">
        <f>AJ25</f>
        <v>開</v>
      </c>
      <c r="AK31" s="81" t="s">
        <v>50</v>
      </c>
      <c r="AL31" s="82" t="str">
        <f>AL25</f>
        <v>休</v>
      </c>
      <c r="AM31" s="81" t="s">
        <v>52</v>
      </c>
      <c r="AN31" s="82" t="s">
        <v>4</v>
      </c>
      <c r="AO31" s="81" t="s">
        <v>38</v>
      </c>
      <c r="AP31" s="82" t="str">
        <f>AP25</f>
        <v>傷</v>
      </c>
      <c r="AQ31" s="81" t="s">
        <v>40</v>
      </c>
      <c r="AR31" s="82" t="s">
        <v>8</v>
      </c>
      <c r="AS31" s="81" t="s">
        <v>42</v>
      </c>
      <c r="AT31" s="82" t="str">
        <f>AT25</f>
        <v>景</v>
      </c>
      <c r="AU31" s="81" t="s">
        <v>44</v>
      </c>
      <c r="AV31" s="82" t="str">
        <f>AV25</f>
        <v>死</v>
      </c>
      <c r="AW31" s="81" t="s">
        <v>46</v>
      </c>
      <c r="AX31" s="82" t="str">
        <f>AX25</f>
        <v>驚</v>
      </c>
      <c r="AY31" s="81" t="s">
        <v>48</v>
      </c>
      <c r="AZ31" s="83"/>
      <c r="BA31" s="84"/>
      <c r="BB31" s="84"/>
      <c r="BC31" s="84"/>
    </row>
    <row r="32">
      <c r="A32" s="179">
        <f>A26+1</f>
        <v>5</v>
      </c>
      <c r="B32" s="86"/>
      <c r="C32" s="12" t="s">
        <v>248</v>
      </c>
      <c r="E32" s="194" t="s">
        <v>195</v>
      </c>
      <c r="G32" s="324" t="str">
        <f t="shared" ref="G32:G33" si="34">G8:H8</f>
        <v>癸</v>
      </c>
      <c r="I32" s="268" t="str">
        <f t="shared" ref="I32:I33" si="35">I8:J8</f>
        <v>丙</v>
      </c>
      <c r="K32" s="90">
        <f>L32/L33</f>
        <v>0.545</v>
      </c>
      <c r="L32" s="126">
        <f t="shared" ref="L32:L33" si="36">O32+P32+Q32+U32+V32+W32+X32+R32+M32+N32+S32+T32</f>
        <v>545</v>
      </c>
      <c r="M32" s="92">
        <v>0.0</v>
      </c>
      <c r="N32" s="93">
        <v>0.0</v>
      </c>
      <c r="O32" s="92">
        <v>30.0</v>
      </c>
      <c r="P32" s="92">
        <v>100.0</v>
      </c>
      <c r="Q32" s="92">
        <v>0.0</v>
      </c>
      <c r="R32" s="93">
        <v>30.0</v>
      </c>
      <c r="S32" s="92">
        <v>30.0</v>
      </c>
      <c r="T32" s="93">
        <v>80.0</v>
      </c>
      <c r="U32" s="92">
        <f t="shared" ref="U32:V32" si="33">U8</f>
        <v>65</v>
      </c>
      <c r="V32" s="93">
        <f t="shared" si="33"/>
        <v>40</v>
      </c>
      <c r="W32" s="92">
        <v>110.0</v>
      </c>
      <c r="X32" s="93">
        <v>60.0</v>
      </c>
      <c r="Y32" s="73" t="s">
        <v>98</v>
      </c>
      <c r="Z32" s="94" t="s">
        <v>163</v>
      </c>
      <c r="AA32" s="36"/>
      <c r="AB32" s="169"/>
      <c r="AC32" s="195" t="s">
        <v>196</v>
      </c>
      <c r="AD32" s="96" t="s">
        <v>149</v>
      </c>
      <c r="AE32" s="37"/>
      <c r="AF32" s="97"/>
      <c r="AG32" s="12" t="s">
        <v>71</v>
      </c>
      <c r="AH32" s="12">
        <v>210.0</v>
      </c>
      <c r="AI32" s="12" t="s">
        <v>175</v>
      </c>
      <c r="AJ32" s="98" t="s">
        <v>51</v>
      </c>
      <c r="AK32" s="101" t="s">
        <v>95</v>
      </c>
      <c r="AL32" s="100" t="s">
        <v>86</v>
      </c>
      <c r="AM32" s="99" t="s">
        <v>87</v>
      </c>
      <c r="AN32" s="100" t="s">
        <v>88</v>
      </c>
      <c r="AO32" s="101" t="s">
        <v>89</v>
      </c>
      <c r="AP32" s="100" t="s">
        <v>45</v>
      </c>
      <c r="AQ32" s="102" t="s">
        <v>90</v>
      </c>
      <c r="AR32" s="100" t="s">
        <v>43</v>
      </c>
      <c r="AS32" s="101" t="s">
        <v>91</v>
      </c>
      <c r="AT32" s="100" t="s">
        <v>41</v>
      </c>
      <c r="AU32" s="103" t="s">
        <v>92</v>
      </c>
      <c r="AV32" s="100" t="s">
        <v>39</v>
      </c>
      <c r="AW32" s="99" t="s">
        <v>93</v>
      </c>
      <c r="AX32" s="100" t="s">
        <v>37</v>
      </c>
      <c r="AY32" s="99" t="s">
        <v>94</v>
      </c>
      <c r="AZ32" s="24"/>
    </row>
    <row r="33">
      <c r="A33" s="344" t="str">
        <f>A27</f>
        <v>มิถุนายน</v>
      </c>
      <c r="B33" s="86"/>
      <c r="C33" s="175" t="s">
        <v>151</v>
      </c>
      <c r="E33" s="162" t="s">
        <v>206</v>
      </c>
      <c r="G33" s="223" t="str">
        <f t="shared" si="34"/>
        <v>巳</v>
      </c>
      <c r="I33" s="35" t="str">
        <f t="shared" si="35"/>
        <v>午</v>
      </c>
      <c r="K33" s="36"/>
      <c r="L33" s="109">
        <f t="shared" si="36"/>
        <v>1000</v>
      </c>
      <c r="M33" s="9">
        <v>0.0</v>
      </c>
      <c r="N33" s="110">
        <v>0.0</v>
      </c>
      <c r="O33" s="9">
        <v>100.0</v>
      </c>
      <c r="P33" s="9">
        <v>100.0</v>
      </c>
      <c r="Q33" s="9">
        <v>100.0</v>
      </c>
      <c r="R33" s="110">
        <v>100.0</v>
      </c>
      <c r="S33" s="9">
        <v>100.0</v>
      </c>
      <c r="T33" s="110">
        <v>100.0</v>
      </c>
      <c r="U33" s="9">
        <v>100.0</v>
      </c>
      <c r="V33" s="110">
        <v>100.0</v>
      </c>
      <c r="W33" s="9">
        <v>100.0</v>
      </c>
      <c r="X33" s="110">
        <v>100.0</v>
      </c>
      <c r="Y33" s="73" t="s">
        <v>116</v>
      </c>
      <c r="Z33" s="94" t="s">
        <v>153</v>
      </c>
      <c r="AA33" s="36"/>
      <c r="AB33" s="36"/>
      <c r="AC33" s="111"/>
      <c r="AD33" s="112"/>
      <c r="AE33" s="37"/>
      <c r="AF33" s="97"/>
      <c r="AG33" s="14"/>
      <c r="AH33" s="14"/>
      <c r="AI33" s="14"/>
      <c r="AJ33" s="113"/>
      <c r="AK33" s="105" t="s">
        <v>107</v>
      </c>
      <c r="AM33" s="104" t="s">
        <v>100</v>
      </c>
      <c r="AO33" s="114" t="s">
        <v>101</v>
      </c>
      <c r="AQ33" s="105" t="s">
        <v>102</v>
      </c>
      <c r="AS33" s="105" t="s">
        <v>103</v>
      </c>
      <c r="AU33" s="104" t="s">
        <v>104</v>
      </c>
      <c r="AW33" s="104" t="s">
        <v>105</v>
      </c>
      <c r="AY33" s="104" t="s">
        <v>106</v>
      </c>
      <c r="AZ33" s="24"/>
    </row>
    <row r="34">
      <c r="A34" s="85">
        <f>A10</f>
        <v>2569</v>
      </c>
      <c r="B34" s="86"/>
      <c r="E34" s="115" t="s">
        <v>198</v>
      </c>
      <c r="F34" s="116" t="s">
        <v>116</v>
      </c>
      <c r="G34" s="9" t="str">
        <f t="shared" ref="G34:H34" si="37">G10</f>
        <v>A11</v>
      </c>
      <c r="H34" s="9" t="str">
        <f t="shared" si="37"/>
        <v>B10</v>
      </c>
      <c r="I34" s="9" t="s">
        <v>204</v>
      </c>
      <c r="J34" s="9" t="s">
        <v>214</v>
      </c>
      <c r="K34" s="36"/>
      <c r="L34" s="117"/>
      <c r="M34" s="118" t="str">
        <f t="shared" ref="M34:P34" si="38">C34</f>
        <v/>
      </c>
      <c r="N34" s="119" t="str">
        <f t="shared" si="38"/>
        <v/>
      </c>
      <c r="O34" s="118" t="str">
        <f t="shared" si="38"/>
        <v>A6</v>
      </c>
      <c r="P34" s="118" t="str">
        <f t="shared" si="38"/>
        <v>B5</v>
      </c>
      <c r="Q34" s="118" t="str">
        <f t="shared" ref="Q34:R34" si="39">E35</f>
        <v>B7</v>
      </c>
      <c r="R34" s="119" t="str">
        <f t="shared" si="39"/>
        <v>C6</v>
      </c>
      <c r="S34" s="9" t="s">
        <v>198</v>
      </c>
      <c r="T34" s="110" t="s">
        <v>182</v>
      </c>
      <c r="U34" s="9" t="str">
        <f t="shared" ref="U34:V34" si="40">U10</f>
        <v>A11</v>
      </c>
      <c r="V34" s="110" t="str">
        <f t="shared" si="40"/>
        <v>B10</v>
      </c>
      <c r="W34" s="118" t="str">
        <f t="shared" ref="W34:X34" si="41">I34</f>
        <v>A5</v>
      </c>
      <c r="X34" s="120" t="str">
        <f t="shared" si="41"/>
        <v>B11</v>
      </c>
      <c r="Y34" s="73" t="s">
        <v>126</v>
      </c>
      <c r="Z34" s="94" t="s">
        <v>155</v>
      </c>
      <c r="AA34" s="36"/>
      <c r="AB34" s="36"/>
      <c r="AC34" s="111"/>
      <c r="AD34" s="112"/>
      <c r="AE34" s="37"/>
      <c r="AF34" s="97"/>
      <c r="AG34" s="14"/>
      <c r="AH34" s="14"/>
      <c r="AI34" s="14"/>
      <c r="AJ34" s="113"/>
      <c r="AK34" s="105" t="s">
        <v>125</v>
      </c>
      <c r="AM34" s="104" t="s">
        <v>118</v>
      </c>
      <c r="AO34" s="114" t="s">
        <v>119</v>
      </c>
      <c r="AQ34" s="105" t="s">
        <v>120</v>
      </c>
      <c r="AS34" s="105" t="s">
        <v>121</v>
      </c>
      <c r="AU34" s="104" t="s">
        <v>122</v>
      </c>
      <c r="AW34" s="104" t="s">
        <v>123</v>
      </c>
      <c r="AY34" s="104" t="s">
        <v>124</v>
      </c>
      <c r="AZ34" s="24"/>
    </row>
    <row r="35">
      <c r="A35" s="85">
        <f>A34-543</f>
        <v>2026</v>
      </c>
      <c r="B35" s="86"/>
      <c r="C35" s="181"/>
      <c r="E35" s="115" t="s">
        <v>111</v>
      </c>
      <c r="F35" s="116" t="s">
        <v>215</v>
      </c>
      <c r="G35" s="9"/>
      <c r="H35" s="118"/>
      <c r="I35" s="118"/>
      <c r="J35" s="118"/>
      <c r="K35" s="182"/>
      <c r="L35" s="183"/>
      <c r="M35" s="8"/>
      <c r="N35" s="121"/>
      <c r="O35" s="8"/>
      <c r="P35" s="8"/>
      <c r="Q35" s="8"/>
      <c r="R35" s="121"/>
      <c r="S35" s="8"/>
      <c r="T35" s="121"/>
      <c r="U35" s="9"/>
      <c r="V35" s="110"/>
      <c r="W35" s="9"/>
      <c r="X35" s="110"/>
      <c r="Y35" s="73" t="s">
        <v>69</v>
      </c>
      <c r="Z35" s="94" t="s">
        <v>128</v>
      </c>
      <c r="AA35" s="36"/>
      <c r="AB35" s="36"/>
      <c r="AC35" s="111"/>
      <c r="AD35" s="112"/>
      <c r="AE35" s="37"/>
      <c r="AF35" s="97"/>
      <c r="AG35" s="14"/>
      <c r="AH35" s="14"/>
      <c r="AI35" s="14"/>
      <c r="AJ35" s="113"/>
      <c r="AK35" s="105" t="s">
        <v>136</v>
      </c>
      <c r="AM35" s="104" t="s">
        <v>129</v>
      </c>
      <c r="AO35" s="114" t="s">
        <v>130</v>
      </c>
      <c r="AQ35" s="105" t="s">
        <v>131</v>
      </c>
      <c r="AS35" s="105" t="s">
        <v>132</v>
      </c>
      <c r="AU35" s="104" t="s">
        <v>133</v>
      </c>
      <c r="AW35" s="104" t="s">
        <v>134</v>
      </c>
      <c r="AY35" s="104" t="s">
        <v>135</v>
      </c>
      <c r="AZ35" s="24"/>
    </row>
    <row r="36">
      <c r="A36" s="184">
        <v>0.95</v>
      </c>
      <c r="B36" s="2"/>
      <c r="C36" s="185"/>
      <c r="D36" s="186"/>
      <c r="E36" s="198" t="s">
        <v>185</v>
      </c>
      <c r="F36" s="88"/>
      <c r="G36" s="39" t="str">
        <f>G24</f>
        <v>อสูรเดือน E</v>
      </c>
      <c r="I36" s="166" t="str">
        <f>I12:J12</f>
        <v>อสูรปี N</v>
      </c>
      <c r="K36" s="90"/>
      <c r="L36" s="126"/>
      <c r="M36" s="8"/>
      <c r="N36" s="121"/>
      <c r="O36" s="8"/>
      <c r="P36" s="8"/>
      <c r="Q36" s="8"/>
      <c r="R36" s="121"/>
      <c r="S36" s="8"/>
      <c r="T36" s="121"/>
      <c r="U36" s="9"/>
      <c r="V36" s="110"/>
      <c r="W36" s="9"/>
      <c r="X36" s="110"/>
      <c r="Y36" s="127"/>
      <c r="Z36" s="155"/>
      <c r="AA36" s="36"/>
      <c r="AB36" s="36"/>
      <c r="AC36" s="111"/>
      <c r="AD36" s="112"/>
      <c r="AE36" s="37"/>
      <c r="AF36" s="97"/>
      <c r="AG36" s="14"/>
      <c r="AH36" s="14"/>
      <c r="AI36" s="14"/>
      <c r="AJ36" s="113"/>
      <c r="AY36" s="128"/>
      <c r="AZ36" s="24"/>
    </row>
    <row r="37">
      <c r="A37" s="188" t="s">
        <v>139</v>
      </c>
      <c r="B37" s="83"/>
      <c r="C37" s="63"/>
      <c r="D37" s="63"/>
      <c r="E37" s="358">
        <f>(O38+P38+Q38+R38)/(O39+P39+Q39+R39)</f>
        <v>0.325</v>
      </c>
      <c r="F37" s="65"/>
      <c r="G37" s="66"/>
      <c r="H37" s="66"/>
      <c r="I37" s="67"/>
      <c r="J37" s="67"/>
      <c r="K37" s="177"/>
      <c r="L37" s="178"/>
      <c r="M37" s="63" t="s">
        <v>64</v>
      </c>
      <c r="N37" s="70"/>
      <c r="O37" s="71" t="s">
        <v>65</v>
      </c>
      <c r="P37" s="72"/>
      <c r="Q37" s="72"/>
      <c r="R37" s="70"/>
      <c r="S37" s="71" t="s">
        <v>66</v>
      </c>
      <c r="T37" s="70"/>
      <c r="U37" s="71" t="s">
        <v>67</v>
      </c>
      <c r="V37" s="70"/>
      <c r="W37" s="71" t="s">
        <v>68</v>
      </c>
      <c r="X37" s="70"/>
      <c r="Y37" s="134" t="s">
        <v>80</v>
      </c>
      <c r="Z37" s="74" t="s">
        <v>181</v>
      </c>
      <c r="AA37" s="75" t="s">
        <v>197</v>
      </c>
      <c r="AB37" s="75" t="s">
        <v>311</v>
      </c>
      <c r="AC37" s="190" t="s">
        <v>173</v>
      </c>
      <c r="AD37" s="77" t="s">
        <v>193</v>
      </c>
      <c r="AE37" s="63" t="s">
        <v>36</v>
      </c>
      <c r="AF37" s="78" t="s">
        <v>34</v>
      </c>
      <c r="AG37" s="79" t="s">
        <v>53</v>
      </c>
      <c r="AH37" s="79">
        <v>30.0</v>
      </c>
      <c r="AI37" s="79" t="s">
        <v>178</v>
      </c>
      <c r="AJ37" s="80" t="str">
        <f>AJ31</f>
        <v>開</v>
      </c>
      <c r="AK37" s="81" t="s">
        <v>50</v>
      </c>
      <c r="AL37" s="82" t="str">
        <f>AL31</f>
        <v>休</v>
      </c>
      <c r="AM37" s="81" t="s">
        <v>52</v>
      </c>
      <c r="AN37" s="82" t="s">
        <v>4</v>
      </c>
      <c r="AO37" s="81" t="s">
        <v>38</v>
      </c>
      <c r="AP37" s="82" t="str">
        <f>AP31</f>
        <v>傷</v>
      </c>
      <c r="AQ37" s="81" t="s">
        <v>40</v>
      </c>
      <c r="AR37" s="82" t="s">
        <v>8</v>
      </c>
      <c r="AS37" s="81" t="s">
        <v>42</v>
      </c>
      <c r="AT37" s="82" t="str">
        <f>AT31</f>
        <v>景</v>
      </c>
      <c r="AU37" s="81" t="s">
        <v>44</v>
      </c>
      <c r="AV37" s="82" t="str">
        <f>AV31</f>
        <v>死</v>
      </c>
      <c r="AW37" s="81" t="s">
        <v>46</v>
      </c>
      <c r="AX37" s="82" t="str">
        <f>AX31</f>
        <v>驚</v>
      </c>
      <c r="AY37" s="81" t="s">
        <v>48</v>
      </c>
      <c r="AZ37" s="83"/>
      <c r="BA37" s="84"/>
      <c r="BB37" s="84"/>
      <c r="BC37" s="84"/>
    </row>
    <row r="38">
      <c r="A38" s="179">
        <f t="shared" ref="A38:A39" si="42">A32</f>
        <v>5</v>
      </c>
      <c r="B38" s="86"/>
      <c r="C38" s="12" t="s">
        <v>248</v>
      </c>
      <c r="E38" s="194" t="s">
        <v>195</v>
      </c>
      <c r="G38" s="374" t="str">
        <f t="shared" ref="G38:G39" si="43">G3:H3</f>
        <v>甲</v>
      </c>
      <c r="I38" s="268" t="str">
        <f t="shared" ref="I38:I39" si="44">I3:J3</f>
        <v>丙</v>
      </c>
      <c r="K38" s="90">
        <f>L38/L39</f>
        <v>0.475</v>
      </c>
      <c r="L38" s="126">
        <f t="shared" ref="L38:L39" si="45">O38+P38+Q38+U38+V38+W38+X38+R38+M38+N38+S38+T38</f>
        <v>475</v>
      </c>
      <c r="M38" s="92">
        <v>0.0</v>
      </c>
      <c r="N38" s="93">
        <v>0.0</v>
      </c>
      <c r="O38" s="92">
        <v>30.0</v>
      </c>
      <c r="P38" s="92">
        <v>20.0</v>
      </c>
      <c r="Q38" s="92">
        <v>0.0</v>
      </c>
      <c r="R38" s="93">
        <v>80.0</v>
      </c>
      <c r="S38" s="92">
        <v>70.0</v>
      </c>
      <c r="T38" s="93">
        <v>40.0</v>
      </c>
      <c r="U38" s="92">
        <v>5.0</v>
      </c>
      <c r="V38" s="93">
        <v>60.0</v>
      </c>
      <c r="W38" s="92">
        <v>110.0</v>
      </c>
      <c r="X38" s="93">
        <v>60.0</v>
      </c>
      <c r="Y38" s="73" t="s">
        <v>98</v>
      </c>
      <c r="Z38" s="94" t="s">
        <v>163</v>
      </c>
      <c r="AA38" s="36"/>
      <c r="AB38" s="169"/>
      <c r="AC38" s="195" t="s">
        <v>196</v>
      </c>
      <c r="AD38" s="96" t="s">
        <v>149</v>
      </c>
      <c r="AE38" s="37"/>
      <c r="AF38" s="97"/>
      <c r="AG38" s="12" t="s">
        <v>71</v>
      </c>
      <c r="AH38" s="12">
        <v>210.0</v>
      </c>
      <c r="AI38" s="12" t="s">
        <v>175</v>
      </c>
      <c r="AJ38" s="98" t="s">
        <v>51</v>
      </c>
      <c r="AK38" s="101" t="s">
        <v>95</v>
      </c>
      <c r="AL38" s="100" t="s">
        <v>86</v>
      </c>
      <c r="AM38" s="99" t="s">
        <v>87</v>
      </c>
      <c r="AN38" s="100" t="s">
        <v>88</v>
      </c>
      <c r="AO38" s="101" t="s">
        <v>89</v>
      </c>
      <c r="AP38" s="100" t="s">
        <v>45</v>
      </c>
      <c r="AQ38" s="102" t="s">
        <v>90</v>
      </c>
      <c r="AR38" s="100" t="s">
        <v>43</v>
      </c>
      <c r="AS38" s="101" t="s">
        <v>91</v>
      </c>
      <c r="AT38" s="100" t="s">
        <v>41</v>
      </c>
      <c r="AU38" s="103" t="s">
        <v>92</v>
      </c>
      <c r="AV38" s="100" t="s">
        <v>39</v>
      </c>
      <c r="AW38" s="99" t="s">
        <v>93</v>
      </c>
      <c r="AX38" s="100" t="s">
        <v>37</v>
      </c>
      <c r="AY38" s="99" t="s">
        <v>94</v>
      </c>
      <c r="AZ38" s="24"/>
    </row>
    <row r="39">
      <c r="A39" s="344" t="str">
        <f t="shared" si="42"/>
        <v>มิถุนายน</v>
      </c>
      <c r="B39" s="86"/>
      <c r="C39" s="106" t="s">
        <v>342</v>
      </c>
      <c r="E39" s="162" t="s">
        <v>206</v>
      </c>
      <c r="G39" s="223" t="str">
        <f t="shared" si="43"/>
        <v>午</v>
      </c>
      <c r="I39" s="35" t="str">
        <f t="shared" si="44"/>
        <v>午</v>
      </c>
      <c r="K39" s="36"/>
      <c r="L39" s="109">
        <f t="shared" si="45"/>
        <v>1000</v>
      </c>
      <c r="M39" s="9">
        <v>0.0</v>
      </c>
      <c r="N39" s="110">
        <v>0.0</v>
      </c>
      <c r="O39" s="9">
        <v>100.0</v>
      </c>
      <c r="P39" s="9">
        <v>100.0</v>
      </c>
      <c r="Q39" s="9">
        <v>100.0</v>
      </c>
      <c r="R39" s="110">
        <v>100.0</v>
      </c>
      <c r="S39" s="9">
        <v>100.0</v>
      </c>
      <c r="T39" s="110">
        <v>100.0</v>
      </c>
      <c r="U39" s="9">
        <v>100.0</v>
      </c>
      <c r="V39" s="110">
        <v>100.0</v>
      </c>
      <c r="W39" s="9">
        <v>100.0</v>
      </c>
      <c r="X39" s="110">
        <v>100.0</v>
      </c>
      <c r="Y39" s="73" t="s">
        <v>116</v>
      </c>
      <c r="Z39" s="94" t="s">
        <v>153</v>
      </c>
      <c r="AA39" s="36"/>
      <c r="AB39" s="36"/>
      <c r="AC39" s="111"/>
      <c r="AD39" s="112"/>
      <c r="AE39" s="37"/>
      <c r="AF39" s="97"/>
      <c r="AG39" s="14"/>
      <c r="AH39" s="14"/>
      <c r="AI39" s="14"/>
      <c r="AJ39" s="113"/>
      <c r="AK39" s="105" t="s">
        <v>107</v>
      </c>
      <c r="AM39" s="104" t="s">
        <v>100</v>
      </c>
      <c r="AO39" s="114" t="s">
        <v>101</v>
      </c>
      <c r="AQ39" s="105" t="s">
        <v>102</v>
      </c>
      <c r="AS39" s="105" t="s">
        <v>103</v>
      </c>
      <c r="AU39" s="104" t="s">
        <v>104</v>
      </c>
      <c r="AW39" s="104" t="s">
        <v>105</v>
      </c>
      <c r="AY39" s="104" t="s">
        <v>106</v>
      </c>
      <c r="AZ39" s="24"/>
    </row>
    <row r="40">
      <c r="A40" s="85">
        <f>A16</f>
        <v>2569</v>
      </c>
      <c r="B40" s="86"/>
      <c r="E40" s="115" t="s">
        <v>198</v>
      </c>
      <c r="F40" s="116" t="s">
        <v>183</v>
      </c>
      <c r="G40" s="9" t="s">
        <v>108</v>
      </c>
      <c r="H40" s="9" t="s">
        <v>214</v>
      </c>
      <c r="I40" s="9" t="s">
        <v>204</v>
      </c>
      <c r="J40" s="9" t="s">
        <v>214</v>
      </c>
      <c r="K40" s="36"/>
      <c r="L40" s="117"/>
      <c r="M40" s="118" t="str">
        <f t="shared" ref="M40:P40" si="46">C40</f>
        <v/>
      </c>
      <c r="N40" s="119" t="str">
        <f t="shared" si="46"/>
        <v/>
      </c>
      <c r="O40" s="118" t="str">
        <f t="shared" si="46"/>
        <v>A6</v>
      </c>
      <c r="P40" s="118" t="str">
        <f t="shared" si="46"/>
        <v>B3</v>
      </c>
      <c r="Q40" s="118" t="str">
        <f t="shared" ref="Q40:R40" si="47">E41</f>
        <v>B7</v>
      </c>
      <c r="R40" s="119" t="str">
        <f t="shared" si="47"/>
        <v>C5</v>
      </c>
      <c r="S40" s="9" t="s">
        <v>165</v>
      </c>
      <c r="T40" s="110" t="s">
        <v>112</v>
      </c>
      <c r="U40" s="9" t="str">
        <f t="shared" ref="U40:X40" si="48">G40</f>
        <v>A8</v>
      </c>
      <c r="V40" s="110" t="str">
        <f t="shared" si="48"/>
        <v>B11</v>
      </c>
      <c r="W40" s="118" t="str">
        <f t="shared" si="48"/>
        <v>A5</v>
      </c>
      <c r="X40" s="120" t="str">
        <f t="shared" si="48"/>
        <v>B11</v>
      </c>
      <c r="Y40" s="73" t="s">
        <v>126</v>
      </c>
      <c r="Z40" s="94" t="s">
        <v>155</v>
      </c>
      <c r="AA40" s="36"/>
      <c r="AB40" s="36"/>
      <c r="AC40" s="111"/>
      <c r="AD40" s="112"/>
      <c r="AE40" s="37"/>
      <c r="AF40" s="97"/>
      <c r="AG40" s="14"/>
      <c r="AH40" s="14"/>
      <c r="AI40" s="14"/>
      <c r="AJ40" s="113"/>
      <c r="AK40" s="105" t="s">
        <v>125</v>
      </c>
      <c r="AM40" s="104" t="s">
        <v>118</v>
      </c>
      <c r="AO40" s="114" t="s">
        <v>119</v>
      </c>
      <c r="AQ40" s="105" t="s">
        <v>120</v>
      </c>
      <c r="AS40" s="105" t="s">
        <v>121</v>
      </c>
      <c r="AU40" s="104" t="s">
        <v>122</v>
      </c>
      <c r="AW40" s="104" t="s">
        <v>123</v>
      </c>
      <c r="AY40" s="104" t="s">
        <v>124</v>
      </c>
      <c r="AZ40" s="24"/>
    </row>
    <row r="41">
      <c r="A41" s="85">
        <f>A40-543</f>
        <v>2026</v>
      </c>
      <c r="B41" s="86"/>
      <c r="C41" s="140"/>
      <c r="D41" s="140"/>
      <c r="E41" s="115" t="s">
        <v>111</v>
      </c>
      <c r="F41" s="116" t="s">
        <v>205</v>
      </c>
      <c r="G41" s="9"/>
      <c r="H41" s="118"/>
      <c r="I41" s="118"/>
      <c r="J41" s="118"/>
      <c r="K41" s="182"/>
      <c r="L41" s="183"/>
      <c r="M41" s="8"/>
      <c r="N41" s="121"/>
      <c r="O41" s="8"/>
      <c r="P41" s="8"/>
      <c r="Q41" s="8"/>
      <c r="R41" s="121"/>
      <c r="S41" s="8"/>
      <c r="T41" s="121"/>
      <c r="U41" s="9"/>
      <c r="V41" s="110"/>
      <c r="W41" s="9"/>
      <c r="X41" s="110"/>
      <c r="Y41" s="73" t="s">
        <v>69</v>
      </c>
      <c r="Z41" s="94" t="s">
        <v>128</v>
      </c>
      <c r="AA41" s="36"/>
      <c r="AB41" s="36"/>
      <c r="AC41" s="111"/>
      <c r="AD41" s="112"/>
      <c r="AE41" s="37"/>
      <c r="AF41" s="97"/>
      <c r="AG41" s="14"/>
      <c r="AH41" s="14"/>
      <c r="AI41" s="14"/>
      <c r="AJ41" s="113"/>
      <c r="AK41" s="105" t="s">
        <v>136</v>
      </c>
      <c r="AM41" s="104" t="s">
        <v>129</v>
      </c>
      <c r="AO41" s="114" t="s">
        <v>130</v>
      </c>
      <c r="AQ41" s="105" t="s">
        <v>131</v>
      </c>
      <c r="AS41" s="105" t="s">
        <v>132</v>
      </c>
      <c r="AU41" s="104" t="s">
        <v>133</v>
      </c>
      <c r="AW41" s="104" t="s">
        <v>134</v>
      </c>
      <c r="AY41" s="104" t="s">
        <v>135</v>
      </c>
      <c r="AZ41" s="24"/>
    </row>
    <row r="42">
      <c r="A42" s="184">
        <v>0.95</v>
      </c>
      <c r="B42" s="2"/>
      <c r="C42" s="185"/>
      <c r="D42" s="186"/>
      <c r="E42" s="198" t="s">
        <v>185</v>
      </c>
      <c r="F42" s="88"/>
      <c r="G42" s="39" t="str">
        <f>G5</f>
        <v>อสูรเดือน N</v>
      </c>
      <c r="I42" s="166" t="str">
        <f>I18:J18</f>
        <v>อสูรปี N</v>
      </c>
      <c r="K42" s="90"/>
      <c r="L42" s="126"/>
      <c r="M42" s="8"/>
      <c r="N42" s="121"/>
      <c r="O42" s="8"/>
      <c r="P42" s="8"/>
      <c r="Q42" s="8"/>
      <c r="R42" s="121"/>
      <c r="S42" s="8"/>
      <c r="T42" s="121"/>
      <c r="U42" s="9"/>
      <c r="V42" s="110"/>
      <c r="W42" s="9"/>
      <c r="X42" s="110"/>
      <c r="Y42" s="127"/>
      <c r="Z42" s="155"/>
      <c r="AA42" s="36"/>
      <c r="AB42" s="36"/>
      <c r="AC42" s="111"/>
      <c r="AD42" s="112"/>
      <c r="AE42" s="37"/>
      <c r="AF42" s="97"/>
      <c r="AG42" s="14"/>
      <c r="AH42" s="14"/>
      <c r="AI42" s="14"/>
      <c r="AJ42" s="113"/>
      <c r="AY42" s="128"/>
      <c r="AZ42" s="24"/>
    </row>
    <row r="43">
      <c r="A43" s="188" t="s">
        <v>158</v>
      </c>
      <c r="B43" s="189"/>
      <c r="C43" s="63"/>
      <c r="D43" s="72"/>
      <c r="E43" s="358">
        <f>(O44+P44+Q44+R44)/(O45+P45+Q45+R45)</f>
        <v>0.6</v>
      </c>
      <c r="F43" s="65"/>
      <c r="G43" s="133"/>
      <c r="H43" s="66"/>
      <c r="I43" s="67"/>
      <c r="J43" s="67"/>
      <c r="K43" s="68"/>
      <c r="L43" s="69"/>
      <c r="M43" s="63" t="s">
        <v>64</v>
      </c>
      <c r="N43" s="70"/>
      <c r="O43" s="71" t="s">
        <v>65</v>
      </c>
      <c r="P43" s="72"/>
      <c r="Q43" s="72"/>
      <c r="R43" s="70"/>
      <c r="S43" s="71" t="s">
        <v>66</v>
      </c>
      <c r="T43" s="70"/>
      <c r="U43" s="71" t="s">
        <v>67</v>
      </c>
      <c r="V43" s="70"/>
      <c r="W43" s="71" t="s">
        <v>68</v>
      </c>
      <c r="X43" s="70"/>
      <c r="Y43" s="134" t="s">
        <v>69</v>
      </c>
      <c r="Z43" s="74" t="s">
        <v>70</v>
      </c>
      <c r="AA43" s="75" t="s">
        <v>180</v>
      </c>
      <c r="AB43" s="75" t="s">
        <v>312</v>
      </c>
      <c r="AC43" s="190" t="s">
        <v>173</v>
      </c>
      <c r="AD43" s="77" t="s">
        <v>193</v>
      </c>
      <c r="AE43" s="63" t="s">
        <v>36</v>
      </c>
      <c r="AF43" s="78" t="s">
        <v>75</v>
      </c>
      <c r="AG43" s="79" t="s">
        <v>180</v>
      </c>
      <c r="AH43" s="79">
        <v>60.0</v>
      </c>
      <c r="AI43" s="79" t="s">
        <v>200</v>
      </c>
      <c r="AJ43" s="80" t="str">
        <f>AJ31</f>
        <v>開</v>
      </c>
      <c r="AK43" s="81" t="s">
        <v>44</v>
      </c>
      <c r="AL43" s="82" t="str">
        <f>AL31</f>
        <v>休</v>
      </c>
      <c r="AM43" s="81" t="s">
        <v>46</v>
      </c>
      <c r="AN43" s="82" t="s">
        <v>4</v>
      </c>
      <c r="AO43" s="81" t="s">
        <v>48</v>
      </c>
      <c r="AP43" s="82" t="str">
        <f>AP31</f>
        <v>傷</v>
      </c>
      <c r="AQ43" s="81" t="s">
        <v>50</v>
      </c>
      <c r="AR43" s="82" t="s">
        <v>8</v>
      </c>
      <c r="AS43" s="81" t="s">
        <v>52</v>
      </c>
      <c r="AT43" s="82" t="str">
        <f>AT31</f>
        <v>景</v>
      </c>
      <c r="AU43" s="81" t="s">
        <v>38</v>
      </c>
      <c r="AV43" s="82" t="str">
        <f>AV31</f>
        <v>死</v>
      </c>
      <c r="AW43" s="81" t="s">
        <v>40</v>
      </c>
      <c r="AX43" s="82" t="str">
        <f>AX31</f>
        <v>驚</v>
      </c>
      <c r="AY43" s="81" t="s">
        <v>42</v>
      </c>
      <c r="AZ43" s="191"/>
      <c r="BA43" s="84"/>
      <c r="BB43" s="84"/>
      <c r="BC43" s="84"/>
    </row>
    <row r="44">
      <c r="A44" s="192">
        <f>A32+1</f>
        <v>6</v>
      </c>
      <c r="B44" s="193"/>
      <c r="C44" s="12" t="s">
        <v>249</v>
      </c>
      <c r="E44" s="199" t="s">
        <v>201</v>
      </c>
      <c r="G44" s="374" t="str">
        <f t="shared" ref="G44:G45" si="51">G3:H3</f>
        <v>甲</v>
      </c>
      <c r="I44" s="275" t="str">
        <f t="shared" ref="I44:I45" si="52">I32:J32</f>
        <v>丙</v>
      </c>
      <c r="K44" s="90">
        <f>L44/L45</f>
        <v>0.575</v>
      </c>
      <c r="L44" s="126">
        <f t="shared" ref="L44:L45" si="53">O44+P44+Q44+U44+V44+W44+X44+R44+M44+N44+S44+T44</f>
        <v>575</v>
      </c>
      <c r="M44" s="92">
        <v>0.0</v>
      </c>
      <c r="N44" s="93">
        <v>0.0</v>
      </c>
      <c r="O44" s="92">
        <v>40.0</v>
      </c>
      <c r="P44" s="92">
        <v>30.0</v>
      </c>
      <c r="Q44" s="92">
        <v>90.0</v>
      </c>
      <c r="R44" s="93">
        <v>80.0</v>
      </c>
      <c r="S44" s="92">
        <v>80.0</v>
      </c>
      <c r="T44" s="93">
        <v>20.0</v>
      </c>
      <c r="U44" s="92">
        <f t="shared" ref="U44:V44" si="49">U38</f>
        <v>5</v>
      </c>
      <c r="V44" s="93">
        <f t="shared" si="49"/>
        <v>60</v>
      </c>
      <c r="W44" s="92">
        <f t="shared" ref="W44:X44" si="50">W32</f>
        <v>110</v>
      </c>
      <c r="X44" s="93">
        <f t="shared" si="50"/>
        <v>60</v>
      </c>
      <c r="Y44" s="73" t="s">
        <v>80</v>
      </c>
      <c r="Z44" s="94" t="s">
        <v>81</v>
      </c>
      <c r="AA44" s="36"/>
      <c r="AB44" s="36"/>
      <c r="AC44" s="195" t="s">
        <v>196</v>
      </c>
      <c r="AD44" s="96" t="s">
        <v>149</v>
      </c>
      <c r="AE44" s="37"/>
      <c r="AF44" s="97"/>
      <c r="AG44" s="12" t="s">
        <v>202</v>
      </c>
      <c r="AH44" s="12">
        <v>180.0</v>
      </c>
      <c r="AI44" s="12" t="s">
        <v>203</v>
      </c>
      <c r="AJ44" s="98" t="s">
        <v>88</v>
      </c>
      <c r="AK44" s="101" t="s">
        <v>89</v>
      </c>
      <c r="AL44" s="100" t="s">
        <v>45</v>
      </c>
      <c r="AM44" s="102" t="s">
        <v>90</v>
      </c>
      <c r="AN44" s="100" t="s">
        <v>43</v>
      </c>
      <c r="AO44" s="101" t="s">
        <v>91</v>
      </c>
      <c r="AP44" s="100" t="s">
        <v>41</v>
      </c>
      <c r="AQ44" s="103" t="s">
        <v>92</v>
      </c>
      <c r="AR44" s="100" t="s">
        <v>39</v>
      </c>
      <c r="AS44" s="99" t="s">
        <v>93</v>
      </c>
      <c r="AT44" s="100" t="s">
        <v>37</v>
      </c>
      <c r="AU44" s="99" t="s">
        <v>94</v>
      </c>
      <c r="AV44" s="100" t="s">
        <v>51</v>
      </c>
      <c r="AW44" s="101" t="s">
        <v>95</v>
      </c>
      <c r="AX44" s="100" t="s">
        <v>86</v>
      </c>
      <c r="AY44" s="99" t="s">
        <v>87</v>
      </c>
      <c r="AZ44" s="24"/>
    </row>
    <row r="45">
      <c r="A45" s="200" t="str">
        <f>A33</f>
        <v>มิถุนายน</v>
      </c>
      <c r="B45" s="193"/>
      <c r="C45" s="106" t="s">
        <v>96</v>
      </c>
      <c r="E45" s="107" t="s">
        <v>97</v>
      </c>
      <c r="G45" s="223" t="str">
        <f t="shared" si="51"/>
        <v>午</v>
      </c>
      <c r="I45" s="142" t="str">
        <f t="shared" si="52"/>
        <v>午</v>
      </c>
      <c r="K45" s="36"/>
      <c r="L45" s="109">
        <f t="shared" si="53"/>
        <v>1000</v>
      </c>
      <c r="M45" s="9">
        <v>0.0</v>
      </c>
      <c r="N45" s="110">
        <v>0.0</v>
      </c>
      <c r="O45" s="9">
        <v>100.0</v>
      </c>
      <c r="P45" s="9">
        <v>100.0</v>
      </c>
      <c r="Q45" s="9">
        <v>100.0</v>
      </c>
      <c r="R45" s="110">
        <v>100.0</v>
      </c>
      <c r="S45" s="9">
        <v>100.0</v>
      </c>
      <c r="T45" s="110">
        <v>100.0</v>
      </c>
      <c r="U45" s="9">
        <v>100.0</v>
      </c>
      <c r="V45" s="110">
        <v>100.0</v>
      </c>
      <c r="W45" s="9">
        <v>100.0</v>
      </c>
      <c r="X45" s="110">
        <v>100.0</v>
      </c>
      <c r="Y45" s="73" t="s">
        <v>98</v>
      </c>
      <c r="Z45" s="94" t="s">
        <v>99</v>
      </c>
      <c r="AA45" s="36"/>
      <c r="AB45" s="36"/>
      <c r="AC45" s="111"/>
      <c r="AD45" s="112"/>
      <c r="AE45" s="37"/>
      <c r="AF45" s="97"/>
      <c r="AG45" s="14"/>
      <c r="AH45" s="14"/>
      <c r="AI45" s="14"/>
      <c r="AJ45" s="113"/>
      <c r="AK45" s="114" t="s">
        <v>101</v>
      </c>
      <c r="AM45" s="105" t="s">
        <v>102</v>
      </c>
      <c r="AO45" s="105" t="s">
        <v>103</v>
      </c>
      <c r="AQ45" s="104" t="s">
        <v>104</v>
      </c>
      <c r="AS45" s="104" t="s">
        <v>105</v>
      </c>
      <c r="AU45" s="104" t="s">
        <v>106</v>
      </c>
      <c r="AW45" s="105" t="s">
        <v>107</v>
      </c>
      <c r="AY45" s="104" t="s">
        <v>100</v>
      </c>
      <c r="AZ45" s="24"/>
    </row>
    <row r="46">
      <c r="A46" s="192">
        <f>A10</f>
        <v>2569</v>
      </c>
      <c r="B46" s="193"/>
      <c r="E46" s="115" t="s">
        <v>112</v>
      </c>
      <c r="F46" s="116" t="s">
        <v>109</v>
      </c>
      <c r="G46" s="115" t="str">
        <f t="shared" ref="G46:H46" si="54">G40</f>
        <v>A8</v>
      </c>
      <c r="H46" s="9" t="str">
        <f t="shared" si="54"/>
        <v>B11</v>
      </c>
      <c r="I46" s="9" t="str">
        <f t="shared" ref="I46:J46" si="55">I34</f>
        <v>A5</v>
      </c>
      <c r="J46" s="9" t="str">
        <f t="shared" si="55"/>
        <v>B11</v>
      </c>
      <c r="K46" s="36"/>
      <c r="L46" s="117"/>
      <c r="M46" s="118" t="str">
        <f t="shared" ref="M46:P46" si="56">C46</f>
        <v/>
      </c>
      <c r="N46" s="119" t="str">
        <f t="shared" si="56"/>
        <v/>
      </c>
      <c r="O46" s="118" t="str">
        <f t="shared" si="56"/>
        <v>A2</v>
      </c>
      <c r="P46" s="118" t="str">
        <f t="shared" si="56"/>
        <v>B4</v>
      </c>
      <c r="Q46" s="118" t="str">
        <f t="shared" ref="Q46:R46" si="57">E47</f>
        <v>B6</v>
      </c>
      <c r="R46" s="119" t="str">
        <f t="shared" si="57"/>
        <v>C6</v>
      </c>
      <c r="S46" s="9" t="s">
        <v>182</v>
      </c>
      <c r="T46" s="110" t="s">
        <v>115</v>
      </c>
      <c r="U46" s="9" t="str">
        <f t="shared" ref="U46:X46" si="58">G46</f>
        <v>A8</v>
      </c>
      <c r="V46" s="119" t="str">
        <f t="shared" si="58"/>
        <v>B11</v>
      </c>
      <c r="W46" s="118" t="str">
        <f t="shared" si="58"/>
        <v>A5</v>
      </c>
      <c r="X46" s="120" t="str">
        <f t="shared" si="58"/>
        <v>B11</v>
      </c>
      <c r="Y46" s="73" t="s">
        <v>116</v>
      </c>
      <c r="Z46" s="94" t="s">
        <v>117</v>
      </c>
      <c r="AA46" s="36"/>
      <c r="AB46" s="36"/>
      <c r="AC46" s="111"/>
      <c r="AD46" s="112"/>
      <c r="AE46" s="37"/>
      <c r="AF46" s="97"/>
      <c r="AG46" s="14"/>
      <c r="AH46" s="14"/>
      <c r="AI46" s="14"/>
      <c r="AJ46" s="113"/>
      <c r="AK46" s="114" t="s">
        <v>119</v>
      </c>
      <c r="AM46" s="105" t="s">
        <v>120</v>
      </c>
      <c r="AO46" s="105" t="s">
        <v>121</v>
      </c>
      <c r="AQ46" s="104" t="s">
        <v>122</v>
      </c>
      <c r="AS46" s="104" t="s">
        <v>123</v>
      </c>
      <c r="AU46" s="104" t="s">
        <v>124</v>
      </c>
      <c r="AW46" s="105" t="s">
        <v>125</v>
      </c>
      <c r="AY46" s="104" t="s">
        <v>118</v>
      </c>
      <c r="AZ46" s="24"/>
    </row>
    <row r="47">
      <c r="A47" s="192">
        <f>A46-543</f>
        <v>2026</v>
      </c>
      <c r="B47" s="193"/>
      <c r="C47" s="140"/>
      <c r="D47" s="140"/>
      <c r="E47" s="115" t="s">
        <v>126</v>
      </c>
      <c r="F47" s="116" t="s">
        <v>215</v>
      </c>
      <c r="G47" s="115"/>
      <c r="H47" s="118"/>
      <c r="I47" s="118"/>
      <c r="J47" s="118"/>
      <c r="K47" s="36"/>
      <c r="L47" s="117"/>
      <c r="M47" s="8"/>
      <c r="N47" s="121"/>
      <c r="O47" s="8"/>
      <c r="P47" s="8"/>
      <c r="Q47" s="8"/>
      <c r="R47" s="121"/>
      <c r="S47" s="8"/>
      <c r="T47" s="121"/>
      <c r="U47" s="9"/>
      <c r="V47" s="110"/>
      <c r="W47" s="9"/>
      <c r="X47" s="110"/>
      <c r="Y47" s="73" t="s">
        <v>126</v>
      </c>
      <c r="Z47" s="94" t="s">
        <v>128</v>
      </c>
      <c r="AA47" s="36"/>
      <c r="AB47" s="36"/>
      <c r="AC47" s="111"/>
      <c r="AD47" s="112"/>
      <c r="AE47" s="37"/>
      <c r="AF47" s="97"/>
      <c r="AG47" s="14"/>
      <c r="AH47" s="14"/>
      <c r="AI47" s="14"/>
      <c r="AJ47" s="113"/>
      <c r="AK47" s="114" t="s">
        <v>130</v>
      </c>
      <c r="AM47" s="105" t="s">
        <v>131</v>
      </c>
      <c r="AO47" s="105" t="s">
        <v>132</v>
      </c>
      <c r="AQ47" s="104" t="s">
        <v>133</v>
      </c>
      <c r="AS47" s="104" t="s">
        <v>134</v>
      </c>
      <c r="AU47" s="104" t="s">
        <v>135</v>
      </c>
      <c r="AW47" s="105" t="s">
        <v>136</v>
      </c>
      <c r="AY47" s="104" t="s">
        <v>129</v>
      </c>
      <c r="AZ47" s="24"/>
    </row>
    <row r="48">
      <c r="A48" s="318"/>
      <c r="B48" s="197"/>
      <c r="C48" s="123"/>
      <c r="D48" s="123"/>
      <c r="E48" s="164" t="s">
        <v>137</v>
      </c>
      <c r="F48" s="88"/>
      <c r="G48" s="165" t="str">
        <f>G5</f>
        <v>อสูรเดือน N</v>
      </c>
      <c r="I48" s="166" t="str">
        <f>I12:J12</f>
        <v>อสูรปี N</v>
      </c>
      <c r="K48" s="90"/>
      <c r="L48" s="126"/>
      <c r="M48" s="8"/>
      <c r="N48" s="121"/>
      <c r="O48" s="8"/>
      <c r="P48" s="8"/>
      <c r="Q48" s="8"/>
      <c r="R48" s="121"/>
      <c r="S48" s="8"/>
      <c r="T48" s="121"/>
      <c r="U48" s="9"/>
      <c r="V48" s="110"/>
      <c r="W48" s="9"/>
      <c r="X48" s="110"/>
      <c r="Y48" s="127"/>
      <c r="Z48" s="155"/>
      <c r="AA48" s="36"/>
      <c r="AB48" s="36"/>
      <c r="AC48" s="111"/>
      <c r="AD48" s="112"/>
      <c r="AE48" s="37"/>
      <c r="AF48" s="97"/>
      <c r="AG48" s="14"/>
      <c r="AH48" s="14"/>
      <c r="AI48" s="14"/>
      <c r="AJ48" s="113"/>
      <c r="AU48" s="128"/>
      <c r="AZ48" s="24"/>
    </row>
    <row r="49">
      <c r="A49" s="188" t="s">
        <v>169</v>
      </c>
      <c r="B49" s="189"/>
      <c r="C49" s="63"/>
      <c r="D49" s="63"/>
      <c r="E49" s="358">
        <f>(O50+P50+Q50+R50)/(O51+P51+Q51+R51)</f>
        <v>0.8</v>
      </c>
      <c r="F49" s="65"/>
      <c r="G49" s="133"/>
      <c r="H49" s="66"/>
      <c r="I49" s="67"/>
      <c r="J49" s="67"/>
      <c r="K49" s="68"/>
      <c r="L49" s="69"/>
      <c r="M49" s="63" t="s">
        <v>64</v>
      </c>
      <c r="N49" s="70"/>
      <c r="O49" s="71" t="s">
        <v>65</v>
      </c>
      <c r="P49" s="72"/>
      <c r="Q49" s="72"/>
      <c r="R49" s="70"/>
      <c r="S49" s="71" t="s">
        <v>66</v>
      </c>
      <c r="T49" s="70"/>
      <c r="U49" s="71" t="s">
        <v>67</v>
      </c>
      <c r="V49" s="70"/>
      <c r="W49" s="71" t="s">
        <v>68</v>
      </c>
      <c r="X49" s="70"/>
      <c r="Y49" s="134" t="s">
        <v>116</v>
      </c>
      <c r="Z49" s="74" t="s">
        <v>140</v>
      </c>
      <c r="AA49" s="75" t="s">
        <v>76</v>
      </c>
      <c r="AB49" s="75" t="s">
        <v>243</v>
      </c>
      <c r="AC49" s="202" t="s">
        <v>142</v>
      </c>
      <c r="AD49" s="74" t="s">
        <v>143</v>
      </c>
      <c r="AE49" s="63" t="s">
        <v>144</v>
      </c>
      <c r="AF49" s="78" t="s">
        <v>144</v>
      </c>
      <c r="AG49" s="79" t="s">
        <v>189</v>
      </c>
      <c r="AH49" s="79">
        <v>90.0</v>
      </c>
      <c r="AI49" s="79" t="s">
        <v>208</v>
      </c>
      <c r="AJ49" s="80" t="str">
        <f>AJ37</f>
        <v>開</v>
      </c>
      <c r="AK49" s="81" t="s">
        <v>44</v>
      </c>
      <c r="AL49" s="82" t="str">
        <f>AL37</f>
        <v>休</v>
      </c>
      <c r="AM49" s="81" t="s">
        <v>46</v>
      </c>
      <c r="AN49" s="82" t="s">
        <v>4</v>
      </c>
      <c r="AO49" s="81" t="s">
        <v>48</v>
      </c>
      <c r="AP49" s="82" t="str">
        <f>AP37</f>
        <v>傷</v>
      </c>
      <c r="AQ49" s="81" t="s">
        <v>50</v>
      </c>
      <c r="AR49" s="82" t="s">
        <v>8</v>
      </c>
      <c r="AS49" s="81" t="s">
        <v>52</v>
      </c>
      <c r="AT49" s="82" t="str">
        <f>AT37</f>
        <v>景</v>
      </c>
      <c r="AU49" s="81" t="s">
        <v>38</v>
      </c>
      <c r="AV49" s="82" t="str">
        <f>AV37</f>
        <v>死</v>
      </c>
      <c r="AW49" s="81" t="s">
        <v>40</v>
      </c>
      <c r="AX49" s="82" t="str">
        <f>AX37</f>
        <v>驚</v>
      </c>
      <c r="AY49" s="81" t="s">
        <v>42</v>
      </c>
      <c r="AZ49" s="83"/>
      <c r="BA49" s="84"/>
      <c r="BB49" s="84"/>
      <c r="BC49" s="84"/>
    </row>
    <row r="50">
      <c r="A50" s="192">
        <f>A44+1</f>
        <v>7</v>
      </c>
      <c r="B50" s="193"/>
      <c r="C50" s="12" t="s">
        <v>270</v>
      </c>
      <c r="E50" s="203" t="s">
        <v>209</v>
      </c>
      <c r="G50" s="374" t="str">
        <f t="shared" ref="G50:G51" si="61">G3:H3</f>
        <v>甲</v>
      </c>
      <c r="I50" s="268" t="str">
        <f t="shared" ref="I50:I51" si="62">I32:J32</f>
        <v>丙</v>
      </c>
      <c r="K50" s="90">
        <f>L50/L51</f>
        <v>0.66</v>
      </c>
      <c r="L50" s="126">
        <f t="shared" ref="L50:L51" si="63">O50+P50+Q50+U50+V50+W50+X50+R50+M50+N50+S50+T50</f>
        <v>660</v>
      </c>
      <c r="M50" s="92">
        <v>0.0</v>
      </c>
      <c r="N50" s="93">
        <v>0.0</v>
      </c>
      <c r="O50" s="92">
        <v>110.0</v>
      </c>
      <c r="P50" s="92">
        <v>100.0</v>
      </c>
      <c r="Q50" s="92">
        <v>100.0</v>
      </c>
      <c r="R50" s="93">
        <v>10.0</v>
      </c>
      <c r="S50" s="92">
        <v>40.0</v>
      </c>
      <c r="T50" s="93">
        <v>65.0</v>
      </c>
      <c r="U50" s="92">
        <f t="shared" ref="U50:V50" si="59">U38</f>
        <v>5</v>
      </c>
      <c r="V50" s="93">
        <f t="shared" si="59"/>
        <v>60</v>
      </c>
      <c r="W50" s="92">
        <f t="shared" ref="W50:X50" si="60">W32</f>
        <v>110</v>
      </c>
      <c r="X50" s="93">
        <f t="shared" si="60"/>
        <v>60</v>
      </c>
      <c r="Y50" s="73" t="s">
        <v>126</v>
      </c>
      <c r="Z50" s="94" t="s">
        <v>70</v>
      </c>
      <c r="AA50" s="36"/>
      <c r="AB50" s="169"/>
      <c r="AC50" s="204" t="s">
        <v>82</v>
      </c>
      <c r="AD50" s="96" t="s">
        <v>83</v>
      </c>
      <c r="AE50" s="37"/>
      <c r="AF50" s="97"/>
      <c r="AG50" s="12" t="s">
        <v>54</v>
      </c>
      <c r="AH50" s="12">
        <v>150.0</v>
      </c>
      <c r="AI50" s="12" t="s">
        <v>210</v>
      </c>
      <c r="AJ50" s="98" t="s">
        <v>86</v>
      </c>
      <c r="AK50" s="99" t="s">
        <v>87</v>
      </c>
      <c r="AL50" s="100" t="s">
        <v>88</v>
      </c>
      <c r="AM50" s="101" t="s">
        <v>89</v>
      </c>
      <c r="AN50" s="100" t="s">
        <v>45</v>
      </c>
      <c r="AO50" s="102" t="s">
        <v>90</v>
      </c>
      <c r="AP50" s="100" t="s">
        <v>43</v>
      </c>
      <c r="AQ50" s="101" t="s">
        <v>91</v>
      </c>
      <c r="AR50" s="100" t="s">
        <v>41</v>
      </c>
      <c r="AS50" s="103" t="s">
        <v>92</v>
      </c>
      <c r="AT50" s="100" t="s">
        <v>39</v>
      </c>
      <c r="AU50" s="99" t="s">
        <v>93</v>
      </c>
      <c r="AV50" s="100" t="s">
        <v>37</v>
      </c>
      <c r="AW50" s="99" t="s">
        <v>94</v>
      </c>
      <c r="AX50" s="100" t="s">
        <v>51</v>
      </c>
      <c r="AY50" s="101" t="s">
        <v>95</v>
      </c>
      <c r="AZ50" s="24"/>
    </row>
    <row r="51">
      <c r="A51" s="200" t="str">
        <f>G2</f>
        <v>มิถุนายน</v>
      </c>
      <c r="B51" s="193"/>
      <c r="C51" s="175" t="s">
        <v>151</v>
      </c>
      <c r="E51" s="107" t="s">
        <v>84</v>
      </c>
      <c r="G51" s="223" t="str">
        <f t="shared" si="61"/>
        <v>午</v>
      </c>
      <c r="I51" s="142" t="str">
        <f t="shared" si="62"/>
        <v>午</v>
      </c>
      <c r="K51" s="36"/>
      <c r="L51" s="109">
        <f t="shared" si="63"/>
        <v>1000</v>
      </c>
      <c r="M51" s="9">
        <v>0.0</v>
      </c>
      <c r="N51" s="110">
        <v>0.0</v>
      </c>
      <c r="O51" s="9">
        <v>100.0</v>
      </c>
      <c r="P51" s="9">
        <v>100.0</v>
      </c>
      <c r="Q51" s="9">
        <v>100.0</v>
      </c>
      <c r="R51" s="110">
        <v>100.0</v>
      </c>
      <c r="S51" s="9">
        <v>100.0</v>
      </c>
      <c r="T51" s="110">
        <v>100.0</v>
      </c>
      <c r="U51" s="9">
        <v>100.0</v>
      </c>
      <c r="V51" s="110">
        <v>100.0</v>
      </c>
      <c r="W51" s="9">
        <v>100.0</v>
      </c>
      <c r="X51" s="110">
        <v>100.0</v>
      </c>
      <c r="Y51" s="73" t="s">
        <v>69</v>
      </c>
      <c r="Z51" s="94" t="s">
        <v>152</v>
      </c>
      <c r="AA51" s="36"/>
      <c r="AB51" s="36"/>
      <c r="AC51" s="111"/>
      <c r="AD51" s="112"/>
      <c r="AE51" s="37"/>
      <c r="AF51" s="97"/>
      <c r="AG51" s="14"/>
      <c r="AH51" s="14"/>
      <c r="AI51" s="14"/>
      <c r="AJ51" s="113"/>
      <c r="AK51" s="104" t="s">
        <v>100</v>
      </c>
      <c r="AM51" s="114" t="s">
        <v>101</v>
      </c>
      <c r="AO51" s="105" t="s">
        <v>102</v>
      </c>
      <c r="AQ51" s="105" t="s">
        <v>103</v>
      </c>
      <c r="AS51" s="104" t="s">
        <v>104</v>
      </c>
      <c r="AU51" s="104" t="s">
        <v>105</v>
      </c>
      <c r="AW51" s="104" t="s">
        <v>106</v>
      </c>
      <c r="AY51" s="105" t="s">
        <v>107</v>
      </c>
      <c r="AZ51" s="24"/>
    </row>
    <row r="52">
      <c r="A52" s="192">
        <f>A10</f>
        <v>2569</v>
      </c>
      <c r="B52" s="193"/>
      <c r="E52" s="115" t="s">
        <v>204</v>
      </c>
      <c r="F52" s="116" t="s">
        <v>116</v>
      </c>
      <c r="G52" s="115" t="str">
        <f t="shared" ref="G52:H52" si="64">G40</f>
        <v>A8</v>
      </c>
      <c r="H52" s="9" t="str">
        <f t="shared" si="64"/>
        <v>B11</v>
      </c>
      <c r="I52" s="9" t="str">
        <f t="shared" ref="I52:J52" si="65">I34</f>
        <v>A5</v>
      </c>
      <c r="J52" s="9" t="str">
        <f t="shared" si="65"/>
        <v>B11</v>
      </c>
      <c r="K52" s="36"/>
      <c r="L52" s="117"/>
      <c r="M52" s="118" t="str">
        <f t="shared" ref="M52:P52" si="66">C52</f>
        <v/>
      </c>
      <c r="N52" s="119" t="str">
        <f t="shared" si="66"/>
        <v/>
      </c>
      <c r="O52" s="118" t="str">
        <f t="shared" si="66"/>
        <v>A5</v>
      </c>
      <c r="P52" s="118" t="str">
        <f t="shared" si="66"/>
        <v>B5</v>
      </c>
      <c r="Q52" s="118" t="str">
        <f t="shared" ref="Q52:R52" si="67">E53</f>
        <v>B5</v>
      </c>
      <c r="R52" s="119" t="str">
        <f t="shared" si="67"/>
        <v>C7</v>
      </c>
      <c r="S52" s="9" t="s">
        <v>112</v>
      </c>
      <c r="T52" s="110" t="s">
        <v>110</v>
      </c>
      <c r="U52" s="9" t="str">
        <f t="shared" ref="U52:X52" si="68">G52</f>
        <v>A8</v>
      </c>
      <c r="V52" s="119" t="str">
        <f t="shared" si="68"/>
        <v>B11</v>
      </c>
      <c r="W52" s="118" t="str">
        <f t="shared" si="68"/>
        <v>A5</v>
      </c>
      <c r="X52" s="120" t="str">
        <f t="shared" si="68"/>
        <v>B11</v>
      </c>
      <c r="Y52" s="73" t="s">
        <v>80</v>
      </c>
      <c r="Z52" s="94" t="s">
        <v>153</v>
      </c>
      <c r="AA52" s="36"/>
      <c r="AB52" s="36"/>
      <c r="AC52" s="111"/>
      <c r="AD52" s="112"/>
      <c r="AE52" s="37"/>
      <c r="AF52" s="97"/>
      <c r="AG52" s="14"/>
      <c r="AH52" s="14"/>
      <c r="AI52" s="14"/>
      <c r="AJ52" s="113"/>
      <c r="AK52" s="104" t="s">
        <v>118</v>
      </c>
      <c r="AM52" s="114" t="s">
        <v>119</v>
      </c>
      <c r="AO52" s="105" t="s">
        <v>120</v>
      </c>
      <c r="AQ52" s="105" t="s">
        <v>121</v>
      </c>
      <c r="AS52" s="104" t="s">
        <v>122</v>
      </c>
      <c r="AU52" s="104" t="s">
        <v>123</v>
      </c>
      <c r="AW52" s="104" t="s">
        <v>124</v>
      </c>
      <c r="AY52" s="105" t="s">
        <v>125</v>
      </c>
      <c r="AZ52" s="24"/>
    </row>
    <row r="53">
      <c r="A53" s="192">
        <f>A52-543</f>
        <v>2026</v>
      </c>
      <c r="B53" s="193"/>
      <c r="C53" s="140"/>
      <c r="D53" s="140"/>
      <c r="E53" s="115" t="s">
        <v>116</v>
      </c>
      <c r="F53" s="116" t="s">
        <v>220</v>
      </c>
      <c r="G53" s="115"/>
      <c r="H53" s="118"/>
      <c r="I53" s="118"/>
      <c r="J53" s="118"/>
      <c r="K53" s="36"/>
      <c r="L53" s="117"/>
      <c r="M53" s="326"/>
      <c r="N53" s="327"/>
      <c r="O53" s="118"/>
      <c r="P53" s="118"/>
      <c r="Q53" s="118"/>
      <c r="R53" s="119"/>
      <c r="S53" s="118"/>
      <c r="T53" s="119"/>
      <c r="V53" s="117"/>
      <c r="X53" s="117"/>
      <c r="Y53" s="73" t="s">
        <v>98</v>
      </c>
      <c r="Z53" s="94" t="s">
        <v>155</v>
      </c>
      <c r="AA53" s="36"/>
      <c r="AB53" s="36"/>
      <c r="AC53" s="111"/>
      <c r="AD53" s="112"/>
      <c r="AE53" s="37"/>
      <c r="AF53" s="97"/>
      <c r="AG53" s="14"/>
      <c r="AH53" s="14"/>
      <c r="AI53" s="14"/>
      <c r="AJ53" s="113"/>
      <c r="AK53" s="104" t="s">
        <v>129</v>
      </c>
      <c r="AM53" s="114" t="s">
        <v>130</v>
      </c>
      <c r="AO53" s="105" t="s">
        <v>131</v>
      </c>
      <c r="AQ53" s="105" t="s">
        <v>132</v>
      </c>
      <c r="AS53" s="104" t="s">
        <v>133</v>
      </c>
      <c r="AU53" s="104" t="s">
        <v>134</v>
      </c>
      <c r="AW53" s="104" t="s">
        <v>135</v>
      </c>
      <c r="AY53" s="105" t="s">
        <v>136</v>
      </c>
      <c r="AZ53" s="24"/>
    </row>
    <row r="54">
      <c r="A54" s="196"/>
      <c r="B54" s="197"/>
      <c r="C54" s="123"/>
      <c r="D54" s="123"/>
      <c r="E54" s="164" t="s">
        <v>157</v>
      </c>
      <c r="F54" s="88"/>
      <c r="G54" s="165" t="str">
        <f>G5</f>
        <v>อสูรเดือน N</v>
      </c>
      <c r="I54" s="166" t="str">
        <f>I12:J12</f>
        <v>อสูรปี N</v>
      </c>
      <c r="K54" s="90"/>
      <c r="L54" s="126"/>
      <c r="M54" s="8"/>
      <c r="N54" s="121"/>
      <c r="O54" s="9"/>
      <c r="P54" s="9"/>
      <c r="Q54" s="9"/>
      <c r="R54" s="110"/>
      <c r="S54" s="9"/>
      <c r="T54" s="110"/>
      <c r="U54" s="9"/>
      <c r="V54" s="110"/>
      <c r="W54" s="9"/>
      <c r="X54" s="110"/>
      <c r="Y54" s="127"/>
      <c r="Z54" s="155"/>
      <c r="AA54" s="36"/>
      <c r="AB54" s="36"/>
      <c r="AC54" s="111"/>
      <c r="AD54" s="112"/>
      <c r="AE54" s="37"/>
      <c r="AF54" s="97"/>
      <c r="AG54" s="14"/>
      <c r="AH54" s="14"/>
      <c r="AI54" s="14"/>
      <c r="AJ54" s="113"/>
      <c r="AK54" s="128"/>
      <c r="AM54" s="128"/>
      <c r="AO54" s="128"/>
      <c r="AQ54" s="129"/>
      <c r="AS54" s="130"/>
      <c r="AU54" s="131"/>
      <c r="AW54" s="131"/>
      <c r="AY54" s="131"/>
      <c r="AZ54" s="24"/>
    </row>
    <row r="55">
      <c r="A55" s="188" t="s">
        <v>186</v>
      </c>
      <c r="B55" s="189"/>
      <c r="C55" s="63"/>
      <c r="D55" s="63"/>
      <c r="E55" s="358">
        <f>(O56+P56+Q56+R56)/(O57+P57+Q57+R57)</f>
        <v>0.55</v>
      </c>
      <c r="F55" s="65"/>
      <c r="G55" s="133"/>
      <c r="H55" s="72"/>
      <c r="I55" s="67"/>
      <c r="J55" s="72"/>
      <c r="K55" s="68"/>
      <c r="L55" s="69"/>
      <c r="M55" s="63" t="s">
        <v>64</v>
      </c>
      <c r="N55" s="70"/>
      <c r="O55" s="71" t="s">
        <v>65</v>
      </c>
      <c r="P55" s="72"/>
      <c r="Q55" s="72"/>
      <c r="R55" s="70"/>
      <c r="S55" s="71" t="s">
        <v>66</v>
      </c>
      <c r="T55" s="70"/>
      <c r="U55" s="71" t="s">
        <v>67</v>
      </c>
      <c r="V55" s="70"/>
      <c r="W55" s="71" t="s">
        <v>68</v>
      </c>
      <c r="X55" s="70"/>
      <c r="Y55" s="134" t="s">
        <v>116</v>
      </c>
      <c r="Z55" s="74" t="s">
        <v>159</v>
      </c>
      <c r="AA55" s="75" t="s">
        <v>54</v>
      </c>
      <c r="AB55" s="75" t="s">
        <v>309</v>
      </c>
      <c r="AC55" s="202" t="s">
        <v>142</v>
      </c>
      <c r="AD55" s="74" t="s">
        <v>143</v>
      </c>
      <c r="AE55" s="63" t="s">
        <v>144</v>
      </c>
      <c r="AF55" s="78" t="s">
        <v>36</v>
      </c>
      <c r="AG55" s="79" t="s">
        <v>54</v>
      </c>
      <c r="AH55" s="79">
        <v>150.0</v>
      </c>
      <c r="AI55" s="79" t="s">
        <v>210</v>
      </c>
      <c r="AJ55" s="80" t="str">
        <f>AJ49</f>
        <v>開</v>
      </c>
      <c r="AK55" s="81" t="s">
        <v>52</v>
      </c>
      <c r="AL55" s="82" t="str">
        <f>AL49</f>
        <v>休</v>
      </c>
      <c r="AM55" s="81" t="s">
        <v>38</v>
      </c>
      <c r="AN55" s="82" t="s">
        <v>4</v>
      </c>
      <c r="AO55" s="81" t="s">
        <v>40</v>
      </c>
      <c r="AP55" s="82" t="str">
        <f>AP49</f>
        <v>傷</v>
      </c>
      <c r="AQ55" s="81" t="s">
        <v>42</v>
      </c>
      <c r="AR55" s="82" t="str">
        <f>AR49</f>
        <v>杜</v>
      </c>
      <c r="AS55" s="81" t="s">
        <v>44</v>
      </c>
      <c r="AT55" s="82" t="str">
        <f>AT49</f>
        <v>景</v>
      </c>
      <c r="AU55" s="81" t="s">
        <v>46</v>
      </c>
      <c r="AV55" s="82" t="str">
        <f>AV49</f>
        <v>死</v>
      </c>
      <c r="AW55" s="81" t="s">
        <v>48</v>
      </c>
      <c r="AX55" s="82" t="str">
        <f>AX49</f>
        <v>驚</v>
      </c>
      <c r="AY55" s="81" t="s">
        <v>50</v>
      </c>
      <c r="AZ55" s="83"/>
      <c r="BA55" s="84"/>
      <c r="BB55" s="84"/>
      <c r="BC55" s="84"/>
    </row>
    <row r="56">
      <c r="A56" s="192">
        <f>A50+1</f>
        <v>8</v>
      </c>
      <c r="B56" s="193"/>
      <c r="C56" s="12" t="s">
        <v>260</v>
      </c>
      <c r="E56" s="203" t="s">
        <v>171</v>
      </c>
      <c r="G56" s="374" t="str">
        <f t="shared" ref="G56:G57" si="71">G3:H3</f>
        <v>甲</v>
      </c>
      <c r="I56" s="268" t="str">
        <f t="shared" ref="I56:I57" si="72">I32:J32</f>
        <v>丙</v>
      </c>
      <c r="K56" s="90">
        <f>L56/L57</f>
        <v>0.54</v>
      </c>
      <c r="L56" s="126">
        <f t="shared" ref="L56:L57" si="73">O56+P56+Q56+U56+V56+W56+X56+R56+M56+N56+S56+T56</f>
        <v>540</v>
      </c>
      <c r="M56" s="92">
        <v>0.0</v>
      </c>
      <c r="N56" s="93">
        <v>0.0</v>
      </c>
      <c r="O56" s="92">
        <v>80.0</v>
      </c>
      <c r="P56" s="92">
        <v>90.0</v>
      </c>
      <c r="Q56" s="92">
        <v>30.0</v>
      </c>
      <c r="R56" s="93">
        <v>20.0</v>
      </c>
      <c r="S56" s="92">
        <v>85.0</v>
      </c>
      <c r="T56" s="93">
        <v>0.0</v>
      </c>
      <c r="U56" s="92">
        <f t="shared" ref="U56:V56" si="69">U38</f>
        <v>5</v>
      </c>
      <c r="V56" s="93">
        <f t="shared" si="69"/>
        <v>60</v>
      </c>
      <c r="W56" s="92">
        <f t="shared" ref="W56:X56" si="70">W32</f>
        <v>110</v>
      </c>
      <c r="X56" s="93">
        <f t="shared" si="70"/>
        <v>60</v>
      </c>
      <c r="Y56" s="73" t="s">
        <v>126</v>
      </c>
      <c r="Z56" s="94" t="s">
        <v>152</v>
      </c>
      <c r="AA56" s="36"/>
      <c r="AB56" s="29"/>
      <c r="AC56" s="204" t="s">
        <v>82</v>
      </c>
      <c r="AD56" s="96" t="s">
        <v>83</v>
      </c>
      <c r="AE56" s="37"/>
      <c r="AF56" s="97"/>
      <c r="AG56" s="12" t="s">
        <v>189</v>
      </c>
      <c r="AH56" s="12">
        <v>90.0</v>
      </c>
      <c r="AI56" s="12" t="s">
        <v>208</v>
      </c>
      <c r="AJ56" s="98" t="s">
        <v>37</v>
      </c>
      <c r="AK56" s="99" t="s">
        <v>94</v>
      </c>
      <c r="AL56" s="100" t="s">
        <v>51</v>
      </c>
      <c r="AM56" s="101" t="s">
        <v>95</v>
      </c>
      <c r="AN56" s="100" t="s">
        <v>86</v>
      </c>
      <c r="AO56" s="99" t="s">
        <v>87</v>
      </c>
      <c r="AP56" s="100" t="s">
        <v>88</v>
      </c>
      <c r="AQ56" s="101" t="s">
        <v>89</v>
      </c>
      <c r="AR56" s="100" t="s">
        <v>45</v>
      </c>
      <c r="AS56" s="102" t="s">
        <v>90</v>
      </c>
      <c r="AT56" s="100" t="s">
        <v>43</v>
      </c>
      <c r="AU56" s="101" t="s">
        <v>91</v>
      </c>
      <c r="AV56" s="100" t="s">
        <v>41</v>
      </c>
      <c r="AW56" s="103" t="s">
        <v>92</v>
      </c>
      <c r="AX56" s="100" t="s">
        <v>39</v>
      </c>
      <c r="AY56" s="99" t="s">
        <v>93</v>
      </c>
      <c r="AZ56" s="24"/>
    </row>
    <row r="57">
      <c r="A57" s="200" t="str">
        <f>G2</f>
        <v>มิถุนายน</v>
      </c>
      <c r="B57" s="193"/>
      <c r="C57" s="175" t="s">
        <v>162</v>
      </c>
      <c r="E57" s="162" t="s">
        <v>53</v>
      </c>
      <c r="G57" s="223" t="str">
        <f t="shared" si="71"/>
        <v>午</v>
      </c>
      <c r="I57" s="142" t="str">
        <f t="shared" si="72"/>
        <v>午</v>
      </c>
      <c r="K57" s="36"/>
      <c r="L57" s="109">
        <f t="shared" si="73"/>
        <v>1000</v>
      </c>
      <c r="M57" s="9">
        <v>0.0</v>
      </c>
      <c r="N57" s="110">
        <v>0.0</v>
      </c>
      <c r="O57" s="9">
        <v>100.0</v>
      </c>
      <c r="P57" s="9">
        <v>100.0</v>
      </c>
      <c r="Q57" s="9">
        <v>100.0</v>
      </c>
      <c r="R57" s="110">
        <v>100.0</v>
      </c>
      <c r="S57" s="9">
        <v>100.0</v>
      </c>
      <c r="T57" s="110">
        <v>100.0</v>
      </c>
      <c r="U57" s="9">
        <v>100.0</v>
      </c>
      <c r="V57" s="110">
        <v>100.0</v>
      </c>
      <c r="W57" s="9">
        <v>100.0</v>
      </c>
      <c r="X57" s="110">
        <v>100.0</v>
      </c>
      <c r="Y57" s="73" t="s">
        <v>69</v>
      </c>
      <c r="Z57" s="94" t="s">
        <v>163</v>
      </c>
      <c r="AA57" s="36"/>
      <c r="AB57" s="36"/>
      <c r="AC57" s="111"/>
      <c r="AD57" s="112"/>
      <c r="AE57" s="37"/>
      <c r="AF57" s="97"/>
      <c r="AG57" s="14"/>
      <c r="AH57" s="14"/>
      <c r="AI57" s="14"/>
      <c r="AJ57" s="113"/>
      <c r="AK57" s="104" t="s">
        <v>106</v>
      </c>
      <c r="AM57" s="105" t="s">
        <v>107</v>
      </c>
      <c r="AO57" s="104" t="s">
        <v>100</v>
      </c>
      <c r="AQ57" s="114" t="s">
        <v>101</v>
      </c>
      <c r="AS57" s="105" t="s">
        <v>102</v>
      </c>
      <c r="AU57" s="105" t="s">
        <v>103</v>
      </c>
      <c r="AW57" s="104" t="s">
        <v>104</v>
      </c>
      <c r="AY57" s="104" t="s">
        <v>105</v>
      </c>
      <c r="AZ57" s="24"/>
    </row>
    <row r="58">
      <c r="A58" s="192">
        <f>A10</f>
        <v>2569</v>
      </c>
      <c r="B58" s="193"/>
      <c r="E58" s="115" t="s">
        <v>219</v>
      </c>
      <c r="F58" s="116" t="s">
        <v>126</v>
      </c>
      <c r="G58" s="115" t="str">
        <f t="shared" ref="G58:H58" si="74">G40</f>
        <v>A8</v>
      </c>
      <c r="H58" s="9" t="str">
        <f t="shared" si="74"/>
        <v>B11</v>
      </c>
      <c r="I58" s="9" t="str">
        <f t="shared" ref="I58:J58" si="75">I34</f>
        <v>A5</v>
      </c>
      <c r="J58" s="9" t="str">
        <f t="shared" si="75"/>
        <v>B11</v>
      </c>
      <c r="K58" s="36"/>
      <c r="L58" s="117"/>
      <c r="M58" s="118" t="str">
        <f t="shared" ref="M58:P58" si="76">C58</f>
        <v/>
      </c>
      <c r="N58" s="119" t="str">
        <f t="shared" si="76"/>
        <v/>
      </c>
      <c r="O58" s="118" t="str">
        <f t="shared" si="76"/>
        <v>A3</v>
      </c>
      <c r="P58" s="118" t="str">
        <f t="shared" si="76"/>
        <v>B6</v>
      </c>
      <c r="Q58" s="118" t="str">
        <f t="shared" ref="Q58:R58" si="77">E59</f>
        <v>B4</v>
      </c>
      <c r="R58" s="119" t="str">
        <f t="shared" si="77"/>
        <v>C8</v>
      </c>
      <c r="S58" s="9" t="s">
        <v>219</v>
      </c>
      <c r="T58" s="110" t="s">
        <v>114</v>
      </c>
      <c r="U58" s="9" t="str">
        <f t="shared" ref="U58:X58" si="78">G58</f>
        <v>A8</v>
      </c>
      <c r="V58" s="119" t="str">
        <f t="shared" si="78"/>
        <v>B11</v>
      </c>
      <c r="W58" s="118" t="str">
        <f t="shared" si="78"/>
        <v>A5</v>
      </c>
      <c r="X58" s="120" t="str">
        <f t="shared" si="78"/>
        <v>B11</v>
      </c>
      <c r="Y58" s="73" t="s">
        <v>80</v>
      </c>
      <c r="Z58" s="94" t="s">
        <v>117</v>
      </c>
      <c r="AA58" s="36"/>
      <c r="AB58" s="36"/>
      <c r="AC58" s="111"/>
      <c r="AD58" s="112"/>
      <c r="AE58" s="37"/>
      <c r="AF58" s="97"/>
      <c r="AG58" s="14"/>
      <c r="AH58" s="14"/>
      <c r="AI58" s="14"/>
      <c r="AJ58" s="113"/>
      <c r="AK58" s="104" t="s">
        <v>124</v>
      </c>
      <c r="AM58" s="105" t="s">
        <v>125</v>
      </c>
      <c r="AO58" s="104" t="s">
        <v>118</v>
      </c>
      <c r="AQ58" s="114" t="s">
        <v>119</v>
      </c>
      <c r="AS58" s="105" t="s">
        <v>120</v>
      </c>
      <c r="AU58" s="105" t="s">
        <v>121</v>
      </c>
      <c r="AW58" s="104" t="s">
        <v>122</v>
      </c>
      <c r="AY58" s="104" t="s">
        <v>123</v>
      </c>
      <c r="AZ58" s="24"/>
    </row>
    <row r="59">
      <c r="A59" s="192">
        <f>A58-543</f>
        <v>2026</v>
      </c>
      <c r="B59" s="193"/>
      <c r="C59" s="331" t="s">
        <v>335</v>
      </c>
      <c r="E59" s="115" t="s">
        <v>109</v>
      </c>
      <c r="F59" s="116" t="s">
        <v>225</v>
      </c>
      <c r="G59" s="115"/>
      <c r="H59" s="118"/>
      <c r="I59" s="118"/>
      <c r="J59" s="118"/>
      <c r="K59" s="36"/>
      <c r="L59" s="117"/>
      <c r="M59" s="326"/>
      <c r="N59" s="327"/>
      <c r="R59" s="117"/>
      <c r="T59" s="117"/>
      <c r="V59" s="117"/>
      <c r="X59" s="117"/>
      <c r="Y59" s="73" t="s">
        <v>98</v>
      </c>
      <c r="Z59" s="94" t="s">
        <v>128</v>
      </c>
      <c r="AA59" s="36"/>
      <c r="AB59" s="36"/>
      <c r="AC59" s="111"/>
      <c r="AD59" s="112"/>
      <c r="AE59" s="37"/>
      <c r="AF59" s="97"/>
      <c r="AG59" s="14"/>
      <c r="AH59" s="14"/>
      <c r="AI59" s="14"/>
      <c r="AJ59" s="113"/>
      <c r="AK59" s="104" t="s">
        <v>135</v>
      </c>
      <c r="AM59" s="105" t="s">
        <v>136</v>
      </c>
      <c r="AO59" s="104" t="s">
        <v>129</v>
      </c>
      <c r="AQ59" s="114" t="s">
        <v>130</v>
      </c>
      <c r="AS59" s="105" t="s">
        <v>131</v>
      </c>
      <c r="AU59" s="105" t="s">
        <v>132</v>
      </c>
      <c r="AW59" s="104" t="s">
        <v>133</v>
      </c>
      <c r="AY59" s="104" t="s">
        <v>134</v>
      </c>
      <c r="AZ59" s="24"/>
    </row>
    <row r="60">
      <c r="A60" s="351"/>
      <c r="B60" s="197"/>
      <c r="C60" s="123"/>
      <c r="D60" s="123"/>
      <c r="E60" s="198" t="s">
        <v>168</v>
      </c>
      <c r="F60" s="88"/>
      <c r="G60" s="165" t="str">
        <f>G5</f>
        <v>อสูรเดือน N</v>
      </c>
      <c r="I60" s="166" t="str">
        <f>I12:J12</f>
        <v>อสูรปี N</v>
      </c>
      <c r="K60" s="90"/>
      <c r="L60" s="126"/>
      <c r="M60" s="8"/>
      <c r="N60" s="121"/>
      <c r="O60" s="8"/>
      <c r="P60" s="8"/>
      <c r="Q60" s="8"/>
      <c r="R60" s="121"/>
      <c r="S60" s="8"/>
      <c r="T60" s="121"/>
      <c r="U60" s="9"/>
      <c r="V60" s="110"/>
      <c r="W60" s="9"/>
      <c r="X60" s="110"/>
      <c r="Y60" s="127"/>
      <c r="Z60" s="155"/>
      <c r="AA60" s="36"/>
      <c r="AB60" s="36"/>
      <c r="AC60" s="111"/>
      <c r="AD60" s="112"/>
      <c r="AE60" s="37"/>
      <c r="AF60" s="97"/>
      <c r="AG60" s="14"/>
      <c r="AH60" s="14"/>
      <c r="AI60" s="14"/>
      <c r="AJ60" s="113"/>
      <c r="AY60" s="128"/>
      <c r="AZ60" s="24"/>
    </row>
    <row r="61">
      <c r="A61" s="188" t="s">
        <v>191</v>
      </c>
      <c r="B61" s="189"/>
      <c r="C61" s="63"/>
      <c r="D61" s="63"/>
      <c r="E61" s="358">
        <f>(O62+P62+Q62+R62)/(O63+P63+Q63+R63)</f>
        <v>0.5</v>
      </c>
      <c r="F61" s="65"/>
      <c r="G61" s="133"/>
      <c r="H61" s="72"/>
      <c r="I61" s="67"/>
      <c r="J61" s="72"/>
      <c r="K61" s="68"/>
      <c r="L61" s="69"/>
      <c r="M61" s="63" t="s">
        <v>64</v>
      </c>
      <c r="N61" s="70"/>
      <c r="O61" s="71" t="s">
        <v>65</v>
      </c>
      <c r="P61" s="72"/>
      <c r="Q61" s="72"/>
      <c r="R61" s="70"/>
      <c r="S61" s="71" t="s">
        <v>66</v>
      </c>
      <c r="T61" s="70"/>
      <c r="U61" s="71" t="s">
        <v>67</v>
      </c>
      <c r="V61" s="70"/>
      <c r="W61" s="71" t="s">
        <v>68</v>
      </c>
      <c r="X61" s="70"/>
      <c r="Y61" s="134" t="s">
        <v>80</v>
      </c>
      <c r="Z61" s="74" t="s">
        <v>170</v>
      </c>
      <c r="AA61" s="75" t="s">
        <v>71</v>
      </c>
      <c r="AB61" s="75" t="s">
        <v>72</v>
      </c>
      <c r="AC61" s="135" t="s">
        <v>142</v>
      </c>
      <c r="AD61" s="74" t="s">
        <v>143</v>
      </c>
      <c r="AE61" s="63" t="s">
        <v>35</v>
      </c>
      <c r="AF61" s="78" t="s">
        <v>34</v>
      </c>
      <c r="AG61" s="79" t="s">
        <v>71</v>
      </c>
      <c r="AH61" s="79">
        <v>210.0</v>
      </c>
      <c r="AI61" s="79" t="s">
        <v>175</v>
      </c>
      <c r="AJ61" s="80" t="str">
        <f>AJ55</f>
        <v>開</v>
      </c>
      <c r="AK61" s="81" t="s">
        <v>48</v>
      </c>
      <c r="AL61" s="82" t="str">
        <f>AL55</f>
        <v>休</v>
      </c>
      <c r="AM61" s="81" t="s">
        <v>50</v>
      </c>
      <c r="AN61" s="82" t="s">
        <v>4</v>
      </c>
      <c r="AO61" s="81" t="s">
        <v>52</v>
      </c>
      <c r="AP61" s="82" t="str">
        <f>AP55</f>
        <v>傷</v>
      </c>
      <c r="AQ61" s="81" t="s">
        <v>38</v>
      </c>
      <c r="AR61" s="82" t="s">
        <v>8</v>
      </c>
      <c r="AS61" s="81" t="s">
        <v>40</v>
      </c>
      <c r="AT61" s="82" t="str">
        <f>AT55</f>
        <v>景</v>
      </c>
      <c r="AU61" s="81" t="s">
        <v>42</v>
      </c>
      <c r="AV61" s="82" t="str">
        <f>AV55</f>
        <v>死</v>
      </c>
      <c r="AW61" s="81" t="s">
        <v>44</v>
      </c>
      <c r="AX61" s="82" t="str">
        <f>AX55</f>
        <v>驚</v>
      </c>
      <c r="AY61" s="81" t="s">
        <v>46</v>
      </c>
      <c r="AZ61" s="83"/>
      <c r="BA61" s="84"/>
      <c r="BB61" s="84"/>
      <c r="BC61" s="84"/>
    </row>
    <row r="62">
      <c r="A62" s="192">
        <f>A56+1</f>
        <v>9</v>
      </c>
      <c r="B62" s="193"/>
      <c r="C62" s="12" t="s">
        <v>265</v>
      </c>
      <c r="E62" s="87" t="s">
        <v>222</v>
      </c>
      <c r="G62" s="374" t="str">
        <f t="shared" ref="G62:G63" si="81">G3:H3</f>
        <v>甲</v>
      </c>
      <c r="I62" s="275" t="str">
        <f t="shared" ref="I62:I63" si="82">I32:J32</f>
        <v>丙</v>
      </c>
      <c r="K62" s="90">
        <f>L62/L63</f>
        <v>0.545</v>
      </c>
      <c r="L62" s="126">
        <f t="shared" ref="L62:L63" si="83">O62+P62+Q62+U62+V62+W62+X62+R62+M62+N62+S62+T62</f>
        <v>545</v>
      </c>
      <c r="M62" s="92">
        <v>0.0</v>
      </c>
      <c r="N62" s="93">
        <v>0.0</v>
      </c>
      <c r="O62" s="92">
        <v>100.0</v>
      </c>
      <c r="P62" s="92">
        <v>0.0</v>
      </c>
      <c r="Q62" s="92">
        <v>20.0</v>
      </c>
      <c r="R62" s="93">
        <v>80.0</v>
      </c>
      <c r="S62" s="92">
        <v>100.0</v>
      </c>
      <c r="T62" s="93">
        <v>10.0</v>
      </c>
      <c r="U62" s="92">
        <f t="shared" ref="U62:V62" si="79">U38</f>
        <v>5</v>
      </c>
      <c r="V62" s="93">
        <f t="shared" si="79"/>
        <v>60</v>
      </c>
      <c r="W62" s="92">
        <f t="shared" ref="W62:X62" si="80">W32</f>
        <v>110</v>
      </c>
      <c r="X62" s="93">
        <f t="shared" si="80"/>
        <v>60</v>
      </c>
      <c r="Y62" s="73" t="s">
        <v>98</v>
      </c>
      <c r="Z62" s="94" t="s">
        <v>70</v>
      </c>
      <c r="AA62" s="276" t="s">
        <v>53</v>
      </c>
      <c r="AB62" s="277" t="s">
        <v>245</v>
      </c>
      <c r="AC62" s="278" t="s">
        <v>148</v>
      </c>
      <c r="AD62" s="96" t="s">
        <v>149</v>
      </c>
      <c r="AE62" s="37"/>
      <c r="AF62" s="97"/>
      <c r="AG62" s="12" t="s">
        <v>53</v>
      </c>
      <c r="AH62" s="12">
        <v>30.0</v>
      </c>
      <c r="AI62" s="12" t="s">
        <v>178</v>
      </c>
      <c r="AJ62" s="98" t="s">
        <v>43</v>
      </c>
      <c r="AK62" s="101" t="s">
        <v>91</v>
      </c>
      <c r="AL62" s="100" t="s">
        <v>41</v>
      </c>
      <c r="AM62" s="103" t="s">
        <v>92</v>
      </c>
      <c r="AN62" s="100" t="s">
        <v>39</v>
      </c>
      <c r="AO62" s="99" t="s">
        <v>93</v>
      </c>
      <c r="AP62" s="100" t="s">
        <v>37</v>
      </c>
      <c r="AQ62" s="99" t="s">
        <v>94</v>
      </c>
      <c r="AR62" s="100" t="s">
        <v>51</v>
      </c>
      <c r="AS62" s="101" t="s">
        <v>95</v>
      </c>
      <c r="AT62" s="100" t="s">
        <v>86</v>
      </c>
      <c r="AU62" s="99" t="s">
        <v>87</v>
      </c>
      <c r="AV62" s="100" t="s">
        <v>88</v>
      </c>
      <c r="AW62" s="101" t="s">
        <v>89</v>
      </c>
      <c r="AX62" s="100" t="s">
        <v>45</v>
      </c>
      <c r="AY62" s="102" t="s">
        <v>90</v>
      </c>
      <c r="AZ62" s="24"/>
    </row>
    <row r="63">
      <c r="A63" s="200" t="str">
        <f>A51</f>
        <v>มิถุนายน</v>
      </c>
      <c r="B63" s="193"/>
      <c r="C63" s="106" t="s">
        <v>179</v>
      </c>
      <c r="E63" s="218" t="s">
        <v>180</v>
      </c>
      <c r="G63" s="223" t="str">
        <f t="shared" si="81"/>
        <v>午</v>
      </c>
      <c r="I63" s="142" t="str">
        <f t="shared" si="82"/>
        <v>午</v>
      </c>
      <c r="K63" s="36"/>
      <c r="L63" s="109">
        <f t="shared" si="83"/>
        <v>1000</v>
      </c>
      <c r="M63" s="9">
        <v>0.0</v>
      </c>
      <c r="N63" s="110">
        <v>0.0</v>
      </c>
      <c r="O63" s="9">
        <v>100.0</v>
      </c>
      <c r="P63" s="9">
        <v>100.0</v>
      </c>
      <c r="Q63" s="9">
        <v>100.0</v>
      </c>
      <c r="R63" s="110">
        <v>100.0</v>
      </c>
      <c r="S63" s="9">
        <v>100.0</v>
      </c>
      <c r="T63" s="110">
        <v>100.0</v>
      </c>
      <c r="U63" s="9">
        <v>100.0</v>
      </c>
      <c r="V63" s="110">
        <v>100.0</v>
      </c>
      <c r="W63" s="9">
        <v>100.0</v>
      </c>
      <c r="X63" s="110">
        <v>100.0</v>
      </c>
      <c r="Y63" s="73" t="s">
        <v>116</v>
      </c>
      <c r="Z63" s="94" t="s">
        <v>181</v>
      </c>
      <c r="AA63" s="36"/>
      <c r="AB63" s="36"/>
      <c r="AC63" s="111"/>
      <c r="AD63" s="112"/>
      <c r="AE63" s="37"/>
      <c r="AF63" s="97"/>
      <c r="AG63" s="14"/>
      <c r="AH63" s="14"/>
      <c r="AI63" s="14"/>
      <c r="AJ63" s="113"/>
      <c r="AK63" s="105" t="s">
        <v>103</v>
      </c>
      <c r="AM63" s="104" t="s">
        <v>104</v>
      </c>
      <c r="AO63" s="104" t="s">
        <v>105</v>
      </c>
      <c r="AQ63" s="104" t="s">
        <v>106</v>
      </c>
      <c r="AS63" s="105" t="s">
        <v>107</v>
      </c>
      <c r="AU63" s="104" t="s">
        <v>100</v>
      </c>
      <c r="AW63" s="114" t="s">
        <v>101</v>
      </c>
      <c r="AY63" s="105" t="s">
        <v>102</v>
      </c>
      <c r="AZ63" s="24"/>
    </row>
    <row r="64">
      <c r="A64" s="192">
        <f>A10</f>
        <v>2569</v>
      </c>
      <c r="B64" s="193"/>
      <c r="E64" s="115" t="s">
        <v>213</v>
      </c>
      <c r="F64" s="116" t="s">
        <v>111</v>
      </c>
      <c r="G64" s="115" t="str">
        <f t="shared" ref="G64:H64" si="84">G40</f>
        <v>A8</v>
      </c>
      <c r="H64" s="9" t="str">
        <f t="shared" si="84"/>
        <v>B11</v>
      </c>
      <c r="I64" s="9" t="str">
        <f t="shared" ref="I64:J64" si="85">I34</f>
        <v>A5</v>
      </c>
      <c r="J64" s="9" t="str">
        <f t="shared" si="85"/>
        <v>B11</v>
      </c>
      <c r="K64" s="36"/>
      <c r="L64" s="117"/>
      <c r="M64" s="118" t="str">
        <f t="shared" ref="M64:P64" si="86">C64</f>
        <v/>
      </c>
      <c r="N64" s="119" t="str">
        <f t="shared" si="86"/>
        <v/>
      </c>
      <c r="O64" s="118" t="str">
        <f t="shared" si="86"/>
        <v>A4</v>
      </c>
      <c r="P64" s="118" t="str">
        <f t="shared" si="86"/>
        <v>B7</v>
      </c>
      <c r="Q64" s="118" t="str">
        <f t="shared" ref="Q64:R64" si="87">E65</f>
        <v>B3</v>
      </c>
      <c r="R64" s="119" t="str">
        <f t="shared" si="87"/>
        <v>C9</v>
      </c>
      <c r="S64" s="9" t="s">
        <v>213</v>
      </c>
      <c r="T64" s="110" t="s">
        <v>108</v>
      </c>
      <c r="U64" s="9" t="str">
        <f t="shared" ref="U64:X64" si="88">G64</f>
        <v>A8</v>
      </c>
      <c r="V64" s="119" t="str">
        <f t="shared" si="88"/>
        <v>B11</v>
      </c>
      <c r="W64" s="118" t="str">
        <f t="shared" si="88"/>
        <v>A5</v>
      </c>
      <c r="X64" s="120" t="str">
        <f t="shared" si="88"/>
        <v>B11</v>
      </c>
      <c r="Y64" s="73" t="s">
        <v>126</v>
      </c>
      <c r="Z64" s="94" t="s">
        <v>163</v>
      </c>
      <c r="AA64" s="36"/>
      <c r="AB64" s="36"/>
      <c r="AC64" s="111"/>
      <c r="AD64" s="112"/>
      <c r="AE64" s="37"/>
      <c r="AF64" s="97"/>
      <c r="AG64" s="14"/>
      <c r="AH64" s="14"/>
      <c r="AI64" s="14"/>
      <c r="AJ64" s="113"/>
      <c r="AK64" s="105" t="s">
        <v>121</v>
      </c>
      <c r="AM64" s="104" t="s">
        <v>122</v>
      </c>
      <c r="AO64" s="104" t="s">
        <v>123</v>
      </c>
      <c r="AQ64" s="104" t="s">
        <v>124</v>
      </c>
      <c r="AS64" s="105" t="s">
        <v>125</v>
      </c>
      <c r="AU64" s="104" t="s">
        <v>118</v>
      </c>
      <c r="AW64" s="114" t="s">
        <v>119</v>
      </c>
      <c r="AY64" s="105" t="s">
        <v>120</v>
      </c>
      <c r="AZ64" s="24"/>
    </row>
    <row r="65">
      <c r="A65" s="192">
        <f>A64-543</f>
        <v>2026</v>
      </c>
      <c r="B65" s="193"/>
      <c r="C65" s="375"/>
      <c r="E65" s="115" t="s">
        <v>183</v>
      </c>
      <c r="F65" s="116" t="s">
        <v>229</v>
      </c>
      <c r="G65" s="115"/>
      <c r="H65" s="118"/>
      <c r="I65" s="118"/>
      <c r="J65" s="118"/>
      <c r="K65" s="36"/>
      <c r="L65" s="117"/>
      <c r="M65" s="326"/>
      <c r="N65" s="327"/>
      <c r="R65" s="117"/>
      <c r="T65" s="117"/>
      <c r="V65" s="117"/>
      <c r="X65" s="117"/>
      <c r="Y65" s="73" t="s">
        <v>69</v>
      </c>
      <c r="Z65" s="94" t="s">
        <v>99</v>
      </c>
      <c r="AA65" s="36"/>
      <c r="AB65" s="36"/>
      <c r="AC65" s="111"/>
      <c r="AD65" s="112"/>
      <c r="AE65" s="37"/>
      <c r="AF65" s="97"/>
      <c r="AG65" s="14"/>
      <c r="AH65" s="14"/>
      <c r="AI65" s="14"/>
      <c r="AJ65" s="113"/>
      <c r="AK65" s="105" t="s">
        <v>132</v>
      </c>
      <c r="AM65" s="104" t="s">
        <v>133</v>
      </c>
      <c r="AO65" s="104" t="s">
        <v>134</v>
      </c>
      <c r="AQ65" s="104" t="s">
        <v>135</v>
      </c>
      <c r="AS65" s="105" t="s">
        <v>136</v>
      </c>
      <c r="AU65" s="104" t="s">
        <v>129</v>
      </c>
      <c r="AW65" s="114" t="s">
        <v>130</v>
      </c>
      <c r="AY65" s="105" t="s">
        <v>131</v>
      </c>
      <c r="AZ65" s="24"/>
    </row>
    <row r="66">
      <c r="A66" s="376" t="s">
        <v>331</v>
      </c>
      <c r="B66" s="206"/>
      <c r="C66" s="123"/>
      <c r="D66" s="123"/>
      <c r="E66" s="176" t="s">
        <v>185</v>
      </c>
      <c r="F66" s="88"/>
      <c r="G66" s="207" t="str">
        <f>G5:H5</f>
        <v>อสูรเดือน N</v>
      </c>
      <c r="I66" s="208" t="str">
        <f>I5:J5</f>
        <v>อสูรปี N</v>
      </c>
      <c r="K66" s="36"/>
      <c r="L66" s="117"/>
      <c r="M66" s="128"/>
      <c r="N66" s="117"/>
      <c r="R66" s="117"/>
      <c r="S66" s="8"/>
      <c r="T66" s="121"/>
      <c r="V66" s="117"/>
      <c r="X66" s="117"/>
      <c r="Y66" s="127"/>
      <c r="Z66" s="155"/>
      <c r="AA66" s="36"/>
      <c r="AB66" s="36"/>
      <c r="AC66" s="111"/>
      <c r="AD66" s="112"/>
      <c r="AE66" s="37"/>
      <c r="AF66" s="97"/>
      <c r="AG66" s="14"/>
      <c r="AH66" s="14"/>
      <c r="AI66" s="14"/>
      <c r="AJ66" s="113"/>
      <c r="AQ66" s="128"/>
      <c r="AZ66" s="24"/>
    </row>
    <row r="67">
      <c r="A67" s="188" t="s">
        <v>199</v>
      </c>
      <c r="B67" s="189"/>
      <c r="C67" s="63"/>
      <c r="D67" s="63"/>
      <c r="E67" s="358">
        <f>(O68+P68+Q68+R68)/(O69+P69+Q69+R69)</f>
        <v>0.75</v>
      </c>
      <c r="F67" s="65"/>
      <c r="G67" s="133"/>
      <c r="H67" s="72"/>
      <c r="I67" s="67"/>
      <c r="J67" s="72"/>
      <c r="K67" s="68"/>
      <c r="L67" s="69"/>
      <c r="M67" s="63" t="s">
        <v>64</v>
      </c>
      <c r="N67" s="70"/>
      <c r="O67" s="71" t="s">
        <v>65</v>
      </c>
      <c r="P67" s="72"/>
      <c r="Q67" s="72"/>
      <c r="R67" s="70"/>
      <c r="S67" s="71" t="s">
        <v>66</v>
      </c>
      <c r="T67" s="70"/>
      <c r="U67" s="71" t="s">
        <v>67</v>
      </c>
      <c r="V67" s="70"/>
      <c r="W67" s="71" t="s">
        <v>68</v>
      </c>
      <c r="X67" s="70"/>
      <c r="Y67" s="134" t="s">
        <v>80</v>
      </c>
      <c r="Z67" s="74" t="s">
        <v>159</v>
      </c>
      <c r="AA67" s="75" t="s">
        <v>206</v>
      </c>
      <c r="AB67" s="75" t="s">
        <v>207</v>
      </c>
      <c r="AC67" s="135" t="s">
        <v>142</v>
      </c>
      <c r="AD67" s="74" t="s">
        <v>143</v>
      </c>
      <c r="AE67" s="63" t="s">
        <v>35</v>
      </c>
      <c r="AF67" s="78" t="s">
        <v>75</v>
      </c>
      <c r="AG67" s="79" t="s">
        <v>76</v>
      </c>
      <c r="AH67" s="79">
        <v>240.0</v>
      </c>
      <c r="AI67" s="79" t="s">
        <v>77</v>
      </c>
      <c r="AJ67" s="80" t="str">
        <f>AJ61</f>
        <v>開</v>
      </c>
      <c r="AK67" s="81" t="s">
        <v>38</v>
      </c>
      <c r="AL67" s="82" t="str">
        <f>AL61</f>
        <v>休</v>
      </c>
      <c r="AM67" s="81" t="s">
        <v>40</v>
      </c>
      <c r="AN67" s="82" t="s">
        <v>4</v>
      </c>
      <c r="AO67" s="81" t="s">
        <v>42</v>
      </c>
      <c r="AP67" s="82" t="str">
        <f>AP61</f>
        <v>傷</v>
      </c>
      <c r="AQ67" s="81" t="s">
        <v>44</v>
      </c>
      <c r="AR67" s="82" t="s">
        <v>8</v>
      </c>
      <c r="AS67" s="81" t="s">
        <v>46</v>
      </c>
      <c r="AT67" s="82" t="str">
        <f>AT61</f>
        <v>景</v>
      </c>
      <c r="AU67" s="81" t="s">
        <v>48</v>
      </c>
      <c r="AV67" s="82" t="str">
        <f>AV61</f>
        <v>死</v>
      </c>
      <c r="AW67" s="81" t="s">
        <v>50</v>
      </c>
      <c r="AX67" s="82" t="str">
        <f>AX61</f>
        <v>驚</v>
      </c>
      <c r="AY67" s="81" t="s">
        <v>52</v>
      </c>
      <c r="AZ67" s="83"/>
      <c r="BA67" s="84"/>
      <c r="BB67" s="84"/>
      <c r="BC67" s="84"/>
    </row>
    <row r="68">
      <c r="A68" s="192">
        <f>A62+1</f>
        <v>10</v>
      </c>
      <c r="B68" s="193"/>
      <c r="C68" s="12" t="s">
        <v>265</v>
      </c>
      <c r="E68" s="87" t="s">
        <v>31</v>
      </c>
      <c r="G68" s="374" t="str">
        <f t="shared" ref="G68:G69" si="91">G3:H3</f>
        <v>甲</v>
      </c>
      <c r="I68" s="275" t="str">
        <f t="shared" ref="I68:I69" si="92">I32:J32</f>
        <v>丙</v>
      </c>
      <c r="K68" s="90">
        <f>L68/L69</f>
        <v>0.725</v>
      </c>
      <c r="L68" s="126">
        <f t="shared" ref="L68:L69" si="93">O68+P68+Q68+U68+V68+W68+X68+R68+M68+N68+S68+T68</f>
        <v>725</v>
      </c>
      <c r="M68" s="92">
        <v>0.0</v>
      </c>
      <c r="N68" s="93">
        <v>0.0</v>
      </c>
      <c r="O68" s="92">
        <v>100.0</v>
      </c>
      <c r="P68" s="92">
        <v>90.0</v>
      </c>
      <c r="Q68" s="92">
        <v>80.0</v>
      </c>
      <c r="R68" s="93">
        <v>30.0</v>
      </c>
      <c r="S68" s="92">
        <v>110.0</v>
      </c>
      <c r="T68" s="93">
        <v>80.0</v>
      </c>
      <c r="U68" s="92">
        <f t="shared" ref="U68:V68" si="89">U38</f>
        <v>5</v>
      </c>
      <c r="V68" s="93">
        <f t="shared" si="89"/>
        <v>60</v>
      </c>
      <c r="W68" s="92">
        <f t="shared" ref="W68:X68" si="90">W32</f>
        <v>110</v>
      </c>
      <c r="X68" s="93">
        <f t="shared" si="90"/>
        <v>60</v>
      </c>
      <c r="Y68" s="73" t="s">
        <v>98</v>
      </c>
      <c r="Z68" s="94" t="s">
        <v>152</v>
      </c>
      <c r="AA68" s="276"/>
      <c r="AB68" s="277"/>
      <c r="AC68" s="278" t="s">
        <v>148</v>
      </c>
      <c r="AD68" s="96" t="s">
        <v>149</v>
      </c>
      <c r="AE68" s="37"/>
      <c r="AF68" s="97"/>
      <c r="AG68" s="12" t="s">
        <v>84</v>
      </c>
      <c r="AH68" s="12">
        <v>0.0</v>
      </c>
      <c r="AI68" s="12" t="s">
        <v>85</v>
      </c>
      <c r="AJ68" s="98" t="s">
        <v>86</v>
      </c>
      <c r="AK68" s="99" t="s">
        <v>87</v>
      </c>
      <c r="AL68" s="100" t="s">
        <v>88</v>
      </c>
      <c r="AM68" s="101" t="s">
        <v>89</v>
      </c>
      <c r="AN68" s="100" t="s">
        <v>45</v>
      </c>
      <c r="AO68" s="102" t="s">
        <v>90</v>
      </c>
      <c r="AP68" s="100" t="s">
        <v>43</v>
      </c>
      <c r="AQ68" s="101" t="s">
        <v>91</v>
      </c>
      <c r="AR68" s="100" t="s">
        <v>41</v>
      </c>
      <c r="AS68" s="103" t="s">
        <v>92</v>
      </c>
      <c r="AT68" s="100" t="s">
        <v>39</v>
      </c>
      <c r="AU68" s="99" t="s">
        <v>93</v>
      </c>
      <c r="AV68" s="100" t="s">
        <v>37</v>
      </c>
      <c r="AW68" s="99" t="s">
        <v>94</v>
      </c>
      <c r="AX68" s="100" t="s">
        <v>51</v>
      </c>
      <c r="AY68" s="101" t="s">
        <v>95</v>
      </c>
      <c r="AZ68" s="24"/>
    </row>
    <row r="69">
      <c r="A69" s="200" t="str">
        <f>G2</f>
        <v>มิถุนายน</v>
      </c>
      <c r="B69" s="193"/>
      <c r="C69" s="175" t="s">
        <v>188</v>
      </c>
      <c r="E69" s="171" t="s">
        <v>189</v>
      </c>
      <c r="G69" s="223" t="str">
        <f t="shared" si="91"/>
        <v>午</v>
      </c>
      <c r="I69" s="142" t="str">
        <f t="shared" si="92"/>
        <v>午</v>
      </c>
      <c r="K69" s="36"/>
      <c r="L69" s="109">
        <f t="shared" si="93"/>
        <v>1000</v>
      </c>
      <c r="M69" s="9">
        <v>0.0</v>
      </c>
      <c r="N69" s="110">
        <v>0.0</v>
      </c>
      <c r="O69" s="9">
        <v>100.0</v>
      </c>
      <c r="P69" s="9">
        <v>100.0</v>
      </c>
      <c r="Q69" s="9">
        <v>100.0</v>
      </c>
      <c r="R69" s="110">
        <v>100.0</v>
      </c>
      <c r="S69" s="9">
        <v>100.0</v>
      </c>
      <c r="T69" s="110">
        <v>100.0</v>
      </c>
      <c r="U69" s="9">
        <v>100.0</v>
      </c>
      <c r="V69" s="110">
        <v>100.0</v>
      </c>
      <c r="W69" s="9">
        <v>100.0</v>
      </c>
      <c r="X69" s="110">
        <v>100.0</v>
      </c>
      <c r="Y69" s="73" t="s">
        <v>116</v>
      </c>
      <c r="Z69" s="94" t="s">
        <v>81</v>
      </c>
      <c r="AA69" s="36"/>
      <c r="AB69" s="36"/>
      <c r="AC69" s="111"/>
      <c r="AD69" s="112"/>
      <c r="AE69" s="37"/>
      <c r="AF69" s="97"/>
      <c r="AG69" s="14"/>
      <c r="AH69" s="14"/>
      <c r="AI69" s="14"/>
      <c r="AJ69" s="113"/>
      <c r="AK69" s="104" t="s">
        <v>100</v>
      </c>
      <c r="AM69" s="114" t="s">
        <v>101</v>
      </c>
      <c r="AO69" s="105" t="s">
        <v>102</v>
      </c>
      <c r="AQ69" s="105" t="s">
        <v>103</v>
      </c>
      <c r="AS69" s="104" t="s">
        <v>104</v>
      </c>
      <c r="AU69" s="104" t="s">
        <v>105</v>
      </c>
      <c r="AW69" s="104" t="s">
        <v>106</v>
      </c>
      <c r="AY69" s="105" t="s">
        <v>107</v>
      </c>
      <c r="AZ69" s="24"/>
    </row>
    <row r="70">
      <c r="A70" s="192">
        <f>A10</f>
        <v>2569</v>
      </c>
      <c r="B70" s="193"/>
      <c r="E70" s="115" t="s">
        <v>213</v>
      </c>
      <c r="F70" s="116" t="s">
        <v>69</v>
      </c>
      <c r="G70" s="115" t="str">
        <f t="shared" ref="G70:H70" si="94">G40</f>
        <v>A8</v>
      </c>
      <c r="H70" s="9" t="str">
        <f t="shared" si="94"/>
        <v>B11</v>
      </c>
      <c r="I70" s="9" t="str">
        <f t="shared" ref="I70:J70" si="95">I34</f>
        <v>A5</v>
      </c>
      <c r="J70" s="9" t="str">
        <f t="shared" si="95"/>
        <v>B11</v>
      </c>
      <c r="K70" s="36"/>
      <c r="L70" s="117"/>
      <c r="M70" s="118" t="str">
        <f t="shared" ref="M70:P70" si="96">C70</f>
        <v/>
      </c>
      <c r="N70" s="119" t="str">
        <f t="shared" si="96"/>
        <v/>
      </c>
      <c r="O70" s="118" t="str">
        <f t="shared" si="96"/>
        <v>A4</v>
      </c>
      <c r="P70" s="118" t="str">
        <f t="shared" si="96"/>
        <v>B8</v>
      </c>
      <c r="Q70" s="118" t="str">
        <f t="shared" ref="Q70:R70" si="97">E71</f>
        <v>B2</v>
      </c>
      <c r="R70" s="119" t="str">
        <f t="shared" si="97"/>
        <v>C10</v>
      </c>
      <c r="S70" s="9" t="s">
        <v>204</v>
      </c>
      <c r="T70" s="110" t="s">
        <v>182</v>
      </c>
      <c r="U70" s="9" t="str">
        <f t="shared" ref="U70:X70" si="98">G70</f>
        <v>A8</v>
      </c>
      <c r="V70" s="119" t="str">
        <f t="shared" si="98"/>
        <v>B11</v>
      </c>
      <c r="W70" s="118" t="str">
        <f t="shared" si="98"/>
        <v>A5</v>
      </c>
      <c r="X70" s="120" t="str">
        <f t="shared" si="98"/>
        <v>B11</v>
      </c>
      <c r="Y70" s="73" t="s">
        <v>126</v>
      </c>
      <c r="Z70" s="94" t="s">
        <v>99</v>
      </c>
      <c r="AA70" s="36"/>
      <c r="AB70" s="36"/>
      <c r="AC70" s="111"/>
      <c r="AD70" s="112"/>
      <c r="AE70" s="37"/>
      <c r="AF70" s="97"/>
      <c r="AG70" s="14"/>
      <c r="AH70" s="14"/>
      <c r="AI70" s="14"/>
      <c r="AJ70" s="113"/>
      <c r="AK70" s="104" t="s">
        <v>118</v>
      </c>
      <c r="AM70" s="114" t="s">
        <v>119</v>
      </c>
      <c r="AO70" s="105" t="s">
        <v>120</v>
      </c>
      <c r="AQ70" s="105" t="s">
        <v>121</v>
      </c>
      <c r="AS70" s="104" t="s">
        <v>122</v>
      </c>
      <c r="AU70" s="104" t="s">
        <v>123</v>
      </c>
      <c r="AW70" s="104" t="s">
        <v>124</v>
      </c>
      <c r="AY70" s="105" t="s">
        <v>125</v>
      </c>
      <c r="AZ70" s="24"/>
    </row>
    <row r="71">
      <c r="A71" s="192">
        <f>A70-543</f>
        <v>2026</v>
      </c>
      <c r="B71" s="193"/>
      <c r="C71" s="331"/>
      <c r="E71" s="115" t="s">
        <v>98</v>
      </c>
      <c r="F71" s="116" t="s">
        <v>232</v>
      </c>
      <c r="G71" s="115"/>
      <c r="H71" s="118"/>
      <c r="I71" s="118"/>
      <c r="J71" s="118"/>
      <c r="K71" s="36"/>
      <c r="L71" s="117"/>
      <c r="M71" s="326"/>
      <c r="N71" s="327"/>
      <c r="R71" s="117"/>
      <c r="T71" s="117"/>
      <c r="V71" s="117"/>
      <c r="X71" s="117"/>
      <c r="Y71" s="73" t="s">
        <v>69</v>
      </c>
      <c r="Z71" s="94" t="s">
        <v>155</v>
      </c>
      <c r="AA71" s="36"/>
      <c r="AB71" s="36"/>
      <c r="AC71" s="111"/>
      <c r="AD71" s="112"/>
      <c r="AE71" s="37"/>
      <c r="AF71" s="97"/>
      <c r="AG71" s="14"/>
      <c r="AH71" s="14"/>
      <c r="AI71" s="14"/>
      <c r="AJ71" s="113"/>
      <c r="AK71" s="104" t="s">
        <v>129</v>
      </c>
      <c r="AM71" s="114" t="s">
        <v>130</v>
      </c>
      <c r="AO71" s="105" t="s">
        <v>131</v>
      </c>
      <c r="AQ71" s="105" t="s">
        <v>132</v>
      </c>
      <c r="AS71" s="104" t="s">
        <v>133</v>
      </c>
      <c r="AU71" s="104" t="s">
        <v>134</v>
      </c>
      <c r="AW71" s="104" t="s">
        <v>135</v>
      </c>
      <c r="AY71" s="105" t="s">
        <v>136</v>
      </c>
      <c r="AZ71" s="24"/>
    </row>
    <row r="72">
      <c r="A72" s="113"/>
      <c r="B72" s="206"/>
      <c r="C72" s="123"/>
      <c r="D72" s="123"/>
      <c r="E72" s="164" t="s">
        <v>137</v>
      </c>
      <c r="F72" s="88"/>
      <c r="G72" s="210" t="str">
        <f>G5:H5</f>
        <v>อสูรเดือน N</v>
      </c>
      <c r="I72" s="211" t="str">
        <f>I5:J5</f>
        <v>อสูรปี N</v>
      </c>
      <c r="K72" s="36"/>
      <c r="L72" s="117"/>
      <c r="M72" s="326"/>
      <c r="N72" s="327"/>
      <c r="R72" s="117"/>
      <c r="S72" s="8"/>
      <c r="T72" s="121"/>
      <c r="V72" s="117"/>
      <c r="X72" s="117"/>
      <c r="Y72" s="127"/>
      <c r="Z72" s="155"/>
      <c r="AA72" s="36"/>
      <c r="AB72" s="36"/>
      <c r="AC72" s="111"/>
      <c r="AD72" s="112"/>
      <c r="AE72" s="37"/>
      <c r="AF72" s="97"/>
      <c r="AG72" s="14"/>
      <c r="AH72" s="14"/>
      <c r="AI72" s="14"/>
      <c r="AJ72" s="113"/>
      <c r="AK72" s="128"/>
      <c r="AM72" s="128"/>
      <c r="AO72" s="128"/>
      <c r="AQ72" s="129"/>
      <c r="AS72" s="130"/>
      <c r="AU72" s="131"/>
      <c r="AW72" s="131"/>
      <c r="AY72" s="131"/>
      <c r="AZ72" s="24"/>
    </row>
    <row r="73">
      <c r="A73" s="188" t="s">
        <v>63</v>
      </c>
      <c r="B73" s="189"/>
      <c r="C73" s="63"/>
      <c r="D73" s="63"/>
      <c r="E73" s="358">
        <f>(O74+P74+Q74+R74)/(O75+P75+Q75+R75)</f>
        <v>0.6875</v>
      </c>
      <c r="F73" s="65"/>
      <c r="G73" s="133"/>
      <c r="H73" s="72"/>
      <c r="I73" s="67"/>
      <c r="J73" s="72"/>
      <c r="K73" s="68"/>
      <c r="L73" s="69"/>
      <c r="M73" s="63" t="s">
        <v>64</v>
      </c>
      <c r="N73" s="70"/>
      <c r="O73" s="71" t="s">
        <v>65</v>
      </c>
      <c r="P73" s="72"/>
      <c r="Q73" s="72"/>
      <c r="R73" s="70"/>
      <c r="S73" s="71" t="s">
        <v>66</v>
      </c>
      <c r="T73" s="70"/>
      <c r="U73" s="71" t="s">
        <v>67</v>
      </c>
      <c r="V73" s="70"/>
      <c r="W73" s="71" t="s">
        <v>68</v>
      </c>
      <c r="X73" s="70"/>
      <c r="Y73" s="134" t="s">
        <v>80</v>
      </c>
      <c r="Z73" s="74" t="s">
        <v>181</v>
      </c>
      <c r="AA73" s="75" t="s">
        <v>32</v>
      </c>
      <c r="AB73" s="75" t="s">
        <v>33</v>
      </c>
      <c r="AC73" s="167" t="s">
        <v>173</v>
      </c>
      <c r="AD73" s="74" t="s">
        <v>174</v>
      </c>
      <c r="AE73" s="63" t="s">
        <v>75</v>
      </c>
      <c r="AF73" s="78" t="s">
        <v>144</v>
      </c>
      <c r="AG73" s="79" t="s">
        <v>32</v>
      </c>
      <c r="AH73" s="79">
        <v>270.0</v>
      </c>
      <c r="AI73" s="79" t="s">
        <v>145</v>
      </c>
      <c r="AJ73" s="80" t="str">
        <f>AJ67</f>
        <v>開</v>
      </c>
      <c r="AK73" s="81" t="s">
        <v>38</v>
      </c>
      <c r="AL73" s="82" t="str">
        <f>AL67</f>
        <v>休</v>
      </c>
      <c r="AM73" s="81" t="s">
        <v>40</v>
      </c>
      <c r="AN73" s="82" t="s">
        <v>4</v>
      </c>
      <c r="AO73" s="81" t="s">
        <v>42</v>
      </c>
      <c r="AP73" s="82" t="str">
        <f>AP67</f>
        <v>傷</v>
      </c>
      <c r="AQ73" s="81" t="s">
        <v>44</v>
      </c>
      <c r="AR73" s="82" t="s">
        <v>8</v>
      </c>
      <c r="AS73" s="81" t="s">
        <v>46</v>
      </c>
      <c r="AT73" s="82" t="str">
        <f>AT67</f>
        <v>景</v>
      </c>
      <c r="AU73" s="81" t="s">
        <v>48</v>
      </c>
      <c r="AV73" s="82" t="str">
        <f>AV67</f>
        <v>死</v>
      </c>
      <c r="AW73" s="81" t="s">
        <v>50</v>
      </c>
      <c r="AX73" s="82" t="str">
        <f>AX67</f>
        <v>驚</v>
      </c>
      <c r="AY73" s="81" t="s">
        <v>52</v>
      </c>
      <c r="AZ73" s="83"/>
      <c r="BA73" s="84"/>
      <c r="BB73" s="84"/>
      <c r="BC73" s="84"/>
    </row>
    <row r="74">
      <c r="A74" s="192">
        <f>A68+1</f>
        <v>11</v>
      </c>
      <c r="B74" s="193"/>
      <c r="C74" s="12" t="s">
        <v>260</v>
      </c>
      <c r="E74" s="214" t="s">
        <v>147</v>
      </c>
      <c r="G74" s="374" t="str">
        <f t="shared" ref="G74:G75" si="101">G3:H3</f>
        <v>甲</v>
      </c>
      <c r="I74" s="275" t="str">
        <f t="shared" ref="I74:I75" si="102">I32:J32</f>
        <v>丙</v>
      </c>
      <c r="K74" s="90">
        <f>L74/L75</f>
        <v>0.655</v>
      </c>
      <c r="L74" s="126">
        <f t="shared" ref="L74:L75" si="103">O74+P74+Q74+U74+V74+W74+X74+R74+M74+N74+S74+T74</f>
        <v>655</v>
      </c>
      <c r="M74" s="92">
        <v>0.0</v>
      </c>
      <c r="N74" s="93">
        <v>0.0</v>
      </c>
      <c r="O74" s="92">
        <v>75.0</v>
      </c>
      <c r="P74" s="92">
        <v>50.0</v>
      </c>
      <c r="Q74" s="92">
        <v>70.0</v>
      </c>
      <c r="R74" s="93">
        <v>80.0</v>
      </c>
      <c r="S74" s="92">
        <v>35.0</v>
      </c>
      <c r="T74" s="93">
        <v>110.0</v>
      </c>
      <c r="U74" s="92">
        <f t="shared" ref="U74:V74" si="99">U38</f>
        <v>5</v>
      </c>
      <c r="V74" s="93">
        <f t="shared" si="99"/>
        <v>60</v>
      </c>
      <c r="W74" s="92">
        <f t="shared" ref="W74:X74" si="100">W32</f>
        <v>110</v>
      </c>
      <c r="X74" s="93">
        <f t="shared" si="100"/>
        <v>60</v>
      </c>
      <c r="Y74" s="73" t="s">
        <v>98</v>
      </c>
      <c r="Z74" s="94" t="s">
        <v>163</v>
      </c>
      <c r="AA74" s="36"/>
      <c r="AB74" s="29" t="s">
        <v>234</v>
      </c>
      <c r="AC74" s="170" t="s">
        <v>73</v>
      </c>
      <c r="AD74" s="25" t="s">
        <v>74</v>
      </c>
      <c r="AE74" s="37"/>
      <c r="AF74" s="97"/>
      <c r="AG74" s="12" t="s">
        <v>97</v>
      </c>
      <c r="AH74" s="12">
        <v>330.0</v>
      </c>
      <c r="AI74" s="12" t="s">
        <v>150</v>
      </c>
      <c r="AJ74" s="98" t="s">
        <v>37</v>
      </c>
      <c r="AK74" s="99" t="s">
        <v>94</v>
      </c>
      <c r="AL74" s="100" t="s">
        <v>51</v>
      </c>
      <c r="AM74" s="101" t="s">
        <v>95</v>
      </c>
      <c r="AN74" s="100" t="s">
        <v>86</v>
      </c>
      <c r="AO74" s="99" t="s">
        <v>87</v>
      </c>
      <c r="AP74" s="100" t="s">
        <v>88</v>
      </c>
      <c r="AQ74" s="101" t="s">
        <v>89</v>
      </c>
      <c r="AR74" s="100" t="s">
        <v>45</v>
      </c>
      <c r="AS74" s="102" t="s">
        <v>90</v>
      </c>
      <c r="AT74" s="100" t="s">
        <v>43</v>
      </c>
      <c r="AU74" s="101" t="s">
        <v>91</v>
      </c>
      <c r="AV74" s="100" t="s">
        <v>41</v>
      </c>
      <c r="AW74" s="103" t="s">
        <v>92</v>
      </c>
      <c r="AX74" s="100" t="s">
        <v>39</v>
      </c>
      <c r="AY74" s="99" t="s">
        <v>93</v>
      </c>
      <c r="AZ74" s="24"/>
    </row>
    <row r="75">
      <c r="A75" s="200" t="str">
        <f>A51</f>
        <v>มิถุนายน</v>
      </c>
      <c r="B75" s="193"/>
      <c r="C75" s="332" t="s">
        <v>211</v>
      </c>
      <c r="E75" s="162" t="s">
        <v>197</v>
      </c>
      <c r="G75" s="223" t="str">
        <f t="shared" si="101"/>
        <v>午</v>
      </c>
      <c r="I75" s="142" t="str">
        <f t="shared" si="102"/>
        <v>午</v>
      </c>
      <c r="K75" s="36"/>
      <c r="L75" s="109">
        <f t="shared" si="103"/>
        <v>1000</v>
      </c>
      <c r="M75" s="9">
        <v>0.0</v>
      </c>
      <c r="N75" s="110">
        <v>0.0</v>
      </c>
      <c r="O75" s="9">
        <v>100.0</v>
      </c>
      <c r="P75" s="9">
        <v>100.0</v>
      </c>
      <c r="Q75" s="9">
        <v>100.0</v>
      </c>
      <c r="R75" s="110">
        <v>100.0</v>
      </c>
      <c r="S75" s="9">
        <v>100.0</v>
      </c>
      <c r="T75" s="110">
        <v>100.0</v>
      </c>
      <c r="U75" s="9">
        <v>100.0</v>
      </c>
      <c r="V75" s="110">
        <v>100.0</v>
      </c>
      <c r="W75" s="9">
        <v>100.0</v>
      </c>
      <c r="X75" s="110">
        <v>100.0</v>
      </c>
      <c r="Y75" s="73" t="s">
        <v>116</v>
      </c>
      <c r="Z75" s="94" t="s">
        <v>153</v>
      </c>
      <c r="AA75" s="36"/>
      <c r="AB75" s="36"/>
      <c r="AC75" s="111"/>
      <c r="AD75" s="112"/>
      <c r="AE75" s="37"/>
      <c r="AF75" s="97"/>
      <c r="AG75" s="14"/>
      <c r="AH75" s="14"/>
      <c r="AI75" s="14"/>
      <c r="AJ75" s="113"/>
      <c r="AK75" s="104" t="s">
        <v>106</v>
      </c>
      <c r="AM75" s="105" t="s">
        <v>107</v>
      </c>
      <c r="AO75" s="104" t="s">
        <v>100</v>
      </c>
      <c r="AQ75" s="114" t="s">
        <v>101</v>
      </c>
      <c r="AS75" s="105" t="s">
        <v>102</v>
      </c>
      <c r="AU75" s="105" t="s">
        <v>103</v>
      </c>
      <c r="AW75" s="104" t="s">
        <v>104</v>
      </c>
      <c r="AY75" s="104" t="s">
        <v>105</v>
      </c>
      <c r="AZ75" s="24"/>
    </row>
    <row r="76">
      <c r="A76" s="192">
        <f>A10</f>
        <v>2569</v>
      </c>
      <c r="B76" s="193"/>
      <c r="E76" s="115" t="s">
        <v>219</v>
      </c>
      <c r="F76" s="116" t="s">
        <v>212</v>
      </c>
      <c r="G76" s="115" t="str">
        <f t="shared" ref="G76:H76" si="104">G40</f>
        <v>A8</v>
      </c>
      <c r="H76" s="9" t="str">
        <f t="shared" si="104"/>
        <v>B11</v>
      </c>
      <c r="I76" s="9" t="str">
        <f t="shared" ref="I76:J76" si="105">I34</f>
        <v>A5</v>
      </c>
      <c r="J76" s="9" t="str">
        <f t="shared" si="105"/>
        <v>B11</v>
      </c>
      <c r="K76" s="36"/>
      <c r="L76" s="117"/>
      <c r="M76" s="118" t="str">
        <f t="shared" ref="M76:P76" si="106">C76</f>
        <v/>
      </c>
      <c r="N76" s="119" t="str">
        <f t="shared" si="106"/>
        <v/>
      </c>
      <c r="O76" s="118" t="str">
        <f t="shared" si="106"/>
        <v>A3</v>
      </c>
      <c r="P76" s="118" t="str">
        <f t="shared" si="106"/>
        <v>B9</v>
      </c>
      <c r="Q76" s="118" t="str">
        <f t="shared" ref="Q76:R76" si="107">E77</f>
        <v>B1</v>
      </c>
      <c r="R76" s="119" t="str">
        <f t="shared" si="107"/>
        <v>C11</v>
      </c>
      <c r="S76" s="9" t="s">
        <v>198</v>
      </c>
      <c r="T76" s="110" t="s">
        <v>182</v>
      </c>
      <c r="U76" s="9" t="str">
        <f t="shared" ref="U76:X76" si="108">G76</f>
        <v>A8</v>
      </c>
      <c r="V76" s="119" t="str">
        <f t="shared" si="108"/>
        <v>B11</v>
      </c>
      <c r="W76" s="118" t="str">
        <f t="shared" si="108"/>
        <v>A5</v>
      </c>
      <c r="X76" s="120" t="str">
        <f t="shared" si="108"/>
        <v>B11</v>
      </c>
      <c r="Y76" s="73" t="s">
        <v>126</v>
      </c>
      <c r="Z76" s="94" t="s">
        <v>155</v>
      </c>
      <c r="AA76" s="36"/>
      <c r="AB76" s="36"/>
      <c r="AC76" s="111"/>
      <c r="AD76" s="112"/>
      <c r="AE76" s="37"/>
      <c r="AF76" s="97"/>
      <c r="AG76" s="14"/>
      <c r="AH76" s="14"/>
      <c r="AI76" s="14"/>
      <c r="AJ76" s="113"/>
      <c r="AK76" s="104" t="s">
        <v>124</v>
      </c>
      <c r="AM76" s="105" t="s">
        <v>125</v>
      </c>
      <c r="AO76" s="104" t="s">
        <v>118</v>
      </c>
      <c r="AQ76" s="114" t="s">
        <v>119</v>
      </c>
      <c r="AS76" s="105" t="s">
        <v>120</v>
      </c>
      <c r="AU76" s="105" t="s">
        <v>121</v>
      </c>
      <c r="AW76" s="104" t="s">
        <v>122</v>
      </c>
      <c r="AY76" s="104" t="s">
        <v>123</v>
      </c>
      <c r="AZ76" s="24"/>
    </row>
    <row r="77">
      <c r="A77" s="192">
        <f>A76-543</f>
        <v>2026</v>
      </c>
      <c r="B77" s="193"/>
      <c r="C77" s="163"/>
      <c r="E77" s="115" t="s">
        <v>80</v>
      </c>
      <c r="F77" s="116" t="s">
        <v>236</v>
      </c>
      <c r="G77" s="115"/>
      <c r="H77" s="118"/>
      <c r="I77" s="118"/>
      <c r="J77" s="118"/>
      <c r="K77" s="36"/>
      <c r="L77" s="117"/>
      <c r="M77" s="326"/>
      <c r="N77" s="327"/>
      <c r="O77" s="377" t="s">
        <v>259</v>
      </c>
      <c r="P77" s="377" t="s">
        <v>287</v>
      </c>
      <c r="Q77" s="377" t="s">
        <v>343</v>
      </c>
      <c r="R77" s="378" t="s">
        <v>296</v>
      </c>
      <c r="T77" s="117"/>
      <c r="V77" s="117"/>
      <c r="X77" s="117"/>
      <c r="Y77" s="73" t="s">
        <v>69</v>
      </c>
      <c r="Z77" s="94" t="s">
        <v>128</v>
      </c>
      <c r="AA77" s="36"/>
      <c r="AB77" s="36"/>
      <c r="AC77" s="111"/>
      <c r="AD77" s="112"/>
      <c r="AE77" s="37"/>
      <c r="AF77" s="97"/>
      <c r="AG77" s="14"/>
      <c r="AH77" s="14"/>
      <c r="AI77" s="14"/>
      <c r="AJ77" s="113"/>
      <c r="AK77" s="104" t="s">
        <v>135</v>
      </c>
      <c r="AM77" s="105" t="s">
        <v>136</v>
      </c>
      <c r="AO77" s="104" t="s">
        <v>129</v>
      </c>
      <c r="AQ77" s="114" t="s">
        <v>130</v>
      </c>
      <c r="AS77" s="105" t="s">
        <v>131</v>
      </c>
      <c r="AU77" s="105" t="s">
        <v>132</v>
      </c>
      <c r="AW77" s="104" t="s">
        <v>133</v>
      </c>
      <c r="AY77" s="104" t="s">
        <v>134</v>
      </c>
      <c r="AZ77" s="24"/>
    </row>
    <row r="78">
      <c r="A78" s="279"/>
      <c r="B78" s="206"/>
      <c r="C78" s="123"/>
      <c r="D78" s="123"/>
      <c r="E78" s="164" t="s">
        <v>157</v>
      </c>
      <c r="F78" s="88"/>
      <c r="G78" s="207" t="str">
        <f>G5:H5</f>
        <v>อสูรเดือน N</v>
      </c>
      <c r="I78" s="208" t="str">
        <f>I5:J5</f>
        <v>อสูรปี N</v>
      </c>
      <c r="K78" s="36"/>
      <c r="L78" s="117"/>
      <c r="M78" s="326"/>
      <c r="N78" s="327"/>
      <c r="R78" s="117"/>
      <c r="T78" s="117"/>
      <c r="V78" s="117"/>
      <c r="X78" s="117"/>
      <c r="Y78" s="127"/>
      <c r="Z78" s="155"/>
      <c r="AA78" s="36"/>
      <c r="AB78" s="36"/>
      <c r="AC78" s="111"/>
      <c r="AD78" s="112"/>
      <c r="AE78" s="37"/>
      <c r="AF78" s="97"/>
      <c r="AG78" s="14"/>
      <c r="AH78" s="14"/>
      <c r="AI78" s="14"/>
      <c r="AJ78" s="113"/>
      <c r="AO78" s="128"/>
      <c r="AZ78" s="24"/>
    </row>
    <row r="79">
      <c r="A79" s="188" t="s">
        <v>139</v>
      </c>
      <c r="B79" s="189"/>
      <c r="C79" s="63"/>
      <c r="D79" s="63"/>
      <c r="E79" s="358">
        <f>(O80+P80+Q80+R80)/(O81+P81+Q81+R81)</f>
        <v>0.475</v>
      </c>
      <c r="F79" s="65"/>
      <c r="G79" s="133"/>
      <c r="H79" s="72"/>
      <c r="I79" s="67"/>
      <c r="J79" s="72"/>
      <c r="K79" s="68"/>
      <c r="L79" s="69"/>
      <c r="M79" s="63" t="s">
        <v>64</v>
      </c>
      <c r="N79" s="70"/>
      <c r="O79" s="71" t="s">
        <v>65</v>
      </c>
      <c r="P79" s="72"/>
      <c r="Q79" s="72"/>
      <c r="R79" s="70"/>
      <c r="S79" s="71" t="s">
        <v>66</v>
      </c>
      <c r="T79" s="70"/>
      <c r="U79" s="71" t="s">
        <v>67</v>
      </c>
      <c r="V79" s="70"/>
      <c r="W79" s="71" t="s">
        <v>68</v>
      </c>
      <c r="X79" s="70"/>
      <c r="Y79" s="134" t="s">
        <v>69</v>
      </c>
      <c r="Z79" s="74" t="s">
        <v>70</v>
      </c>
      <c r="AA79" s="75" t="s">
        <v>32</v>
      </c>
      <c r="AB79" s="75" t="s">
        <v>33</v>
      </c>
      <c r="AC79" s="167" t="s">
        <v>173</v>
      </c>
      <c r="AD79" s="74" t="s">
        <v>174</v>
      </c>
      <c r="AE79" s="63" t="s">
        <v>75</v>
      </c>
      <c r="AF79" s="78" t="s">
        <v>36</v>
      </c>
      <c r="AG79" s="79" t="s">
        <v>97</v>
      </c>
      <c r="AH79" s="79">
        <v>330.0</v>
      </c>
      <c r="AI79" s="79" t="s">
        <v>150</v>
      </c>
      <c r="AJ79" s="80" t="str">
        <f>AJ73</f>
        <v>開</v>
      </c>
      <c r="AK79" s="81" t="s">
        <v>40</v>
      </c>
      <c r="AL79" s="82" t="str">
        <f>AL73</f>
        <v>休</v>
      </c>
      <c r="AM79" s="81" t="s">
        <v>42</v>
      </c>
      <c r="AN79" s="82" t="s">
        <v>4</v>
      </c>
      <c r="AO79" s="81" t="s">
        <v>44</v>
      </c>
      <c r="AP79" s="82" t="str">
        <f>AP73</f>
        <v>傷</v>
      </c>
      <c r="AQ79" s="81" t="s">
        <v>46</v>
      </c>
      <c r="AR79" s="82" t="s">
        <v>8</v>
      </c>
      <c r="AS79" s="81" t="s">
        <v>48</v>
      </c>
      <c r="AT79" s="82" t="str">
        <f>AT73</f>
        <v>景</v>
      </c>
      <c r="AU79" s="81" t="s">
        <v>50</v>
      </c>
      <c r="AV79" s="82" t="str">
        <f>AV73</f>
        <v>死</v>
      </c>
      <c r="AW79" s="81" t="s">
        <v>52</v>
      </c>
      <c r="AX79" s="82" t="str">
        <f>AX73</f>
        <v>驚</v>
      </c>
      <c r="AY79" s="81" t="s">
        <v>38</v>
      </c>
      <c r="AZ79" s="83"/>
      <c r="BA79" s="84"/>
      <c r="BB79" s="84"/>
      <c r="BC79" s="84"/>
    </row>
    <row r="80">
      <c r="A80" s="192">
        <f>A74+1</f>
        <v>12</v>
      </c>
      <c r="B80" s="193"/>
      <c r="C80" s="12" t="s">
        <v>270</v>
      </c>
      <c r="E80" s="160" t="s">
        <v>161</v>
      </c>
      <c r="G80" s="374" t="str">
        <f t="shared" ref="G80:G81" si="111">G3:H3</f>
        <v>甲</v>
      </c>
      <c r="I80" s="275" t="str">
        <f t="shared" ref="I80:I81" si="112">I32:J32</f>
        <v>丙</v>
      </c>
      <c r="K80" s="90">
        <f>L80/L81</f>
        <v>0.545</v>
      </c>
      <c r="L80" s="126">
        <f t="shared" ref="L80:L81" si="113">O80+P80+Q80+U80+V80+W80+X80+R80+M80+N80+S80+T80</f>
        <v>545</v>
      </c>
      <c r="M80" s="92">
        <v>0.0</v>
      </c>
      <c r="N80" s="93">
        <v>0.0</v>
      </c>
      <c r="O80" s="92">
        <v>110.0</v>
      </c>
      <c r="P80" s="92">
        <v>40.0</v>
      </c>
      <c r="Q80" s="92">
        <v>10.0</v>
      </c>
      <c r="R80" s="93">
        <v>30.0</v>
      </c>
      <c r="S80" s="92">
        <v>20.0</v>
      </c>
      <c r="T80" s="93">
        <v>100.0</v>
      </c>
      <c r="U80" s="92">
        <f t="shared" ref="U80:V80" si="109">U38</f>
        <v>5</v>
      </c>
      <c r="V80" s="93">
        <f t="shared" si="109"/>
        <v>60</v>
      </c>
      <c r="W80" s="92">
        <f t="shared" ref="W80:X80" si="110">W32</f>
        <v>110</v>
      </c>
      <c r="X80" s="93">
        <f t="shared" si="110"/>
        <v>60</v>
      </c>
      <c r="Y80" s="73" t="s">
        <v>80</v>
      </c>
      <c r="Z80" s="94" t="s">
        <v>81</v>
      </c>
      <c r="AA80" s="36"/>
      <c r="AB80" s="29" t="s">
        <v>234</v>
      </c>
      <c r="AC80" s="170" t="s">
        <v>73</v>
      </c>
      <c r="AD80" s="25" t="s">
        <v>74</v>
      </c>
      <c r="AE80" s="97"/>
      <c r="AF80" s="97"/>
      <c r="AG80" s="12" t="s">
        <v>32</v>
      </c>
      <c r="AH80" s="12">
        <v>270.0</v>
      </c>
      <c r="AI80" s="12" t="s">
        <v>145</v>
      </c>
      <c r="AJ80" s="98" t="s">
        <v>86</v>
      </c>
      <c r="AK80" s="99" t="s">
        <v>87</v>
      </c>
      <c r="AL80" s="100" t="s">
        <v>88</v>
      </c>
      <c r="AM80" s="101" t="s">
        <v>89</v>
      </c>
      <c r="AN80" s="100" t="s">
        <v>45</v>
      </c>
      <c r="AO80" s="102" t="s">
        <v>90</v>
      </c>
      <c r="AP80" s="100" t="s">
        <v>43</v>
      </c>
      <c r="AQ80" s="101" t="s">
        <v>91</v>
      </c>
      <c r="AR80" s="100" t="s">
        <v>41</v>
      </c>
      <c r="AS80" s="103" t="s">
        <v>92</v>
      </c>
      <c r="AT80" s="100" t="s">
        <v>39</v>
      </c>
      <c r="AU80" s="99" t="s">
        <v>93</v>
      </c>
      <c r="AV80" s="100" t="s">
        <v>37</v>
      </c>
      <c r="AW80" s="99" t="s">
        <v>94</v>
      </c>
      <c r="AX80" s="100" t="s">
        <v>51</v>
      </c>
      <c r="AY80" s="101" t="s">
        <v>95</v>
      </c>
      <c r="AZ80" s="24"/>
    </row>
    <row r="81">
      <c r="A81" s="215" t="str">
        <f>G2</f>
        <v>มิถุนายน</v>
      </c>
      <c r="B81" s="193"/>
      <c r="C81" s="140" t="s">
        <v>217</v>
      </c>
      <c r="E81" s="201" t="s">
        <v>54</v>
      </c>
      <c r="G81" s="223" t="str">
        <f t="shared" si="111"/>
        <v>午</v>
      </c>
      <c r="I81" s="142" t="str">
        <f t="shared" si="112"/>
        <v>午</v>
      </c>
      <c r="K81" s="36"/>
      <c r="L81" s="109">
        <f t="shared" si="113"/>
        <v>1000</v>
      </c>
      <c r="M81" s="9">
        <v>0.0</v>
      </c>
      <c r="N81" s="110">
        <v>0.0</v>
      </c>
      <c r="O81" s="9">
        <v>100.0</v>
      </c>
      <c r="P81" s="9">
        <v>100.0</v>
      </c>
      <c r="Q81" s="9">
        <v>100.0</v>
      </c>
      <c r="R81" s="110">
        <v>100.0</v>
      </c>
      <c r="S81" s="9">
        <v>100.0</v>
      </c>
      <c r="T81" s="110">
        <v>100.0</v>
      </c>
      <c r="U81" s="9">
        <v>100.0</v>
      </c>
      <c r="V81" s="110">
        <v>100.0</v>
      </c>
      <c r="W81" s="9">
        <v>100.0</v>
      </c>
      <c r="X81" s="110">
        <v>100.0</v>
      </c>
      <c r="Y81" s="73" t="s">
        <v>98</v>
      </c>
      <c r="Z81" s="94" t="s">
        <v>99</v>
      </c>
      <c r="AA81" s="36"/>
      <c r="AB81" s="36"/>
      <c r="AC81" s="111"/>
      <c r="AD81" s="13"/>
      <c r="AE81" s="280"/>
      <c r="AF81" s="280"/>
      <c r="AG81" s="14"/>
      <c r="AH81" s="14"/>
      <c r="AI81" s="14"/>
      <c r="AJ81" s="113"/>
      <c r="AK81" s="104" t="s">
        <v>100</v>
      </c>
      <c r="AM81" s="114" t="s">
        <v>101</v>
      </c>
      <c r="AO81" s="105" t="s">
        <v>102</v>
      </c>
      <c r="AQ81" s="105" t="s">
        <v>103</v>
      </c>
      <c r="AS81" s="104" t="s">
        <v>104</v>
      </c>
      <c r="AU81" s="104" t="s">
        <v>105</v>
      </c>
      <c r="AW81" s="104" t="s">
        <v>106</v>
      </c>
      <c r="AY81" s="105" t="s">
        <v>107</v>
      </c>
      <c r="AZ81" s="24"/>
    </row>
    <row r="82">
      <c r="A82" s="192">
        <f>A10</f>
        <v>2569</v>
      </c>
      <c r="B82" s="193"/>
      <c r="E82" s="115" t="s">
        <v>204</v>
      </c>
      <c r="F82" s="116" t="s">
        <v>218</v>
      </c>
      <c r="G82" s="115" t="str">
        <f t="shared" ref="G82:H82" si="114">G40</f>
        <v>A8</v>
      </c>
      <c r="H82" s="9" t="str">
        <f t="shared" si="114"/>
        <v>B11</v>
      </c>
      <c r="I82" s="9" t="str">
        <f t="shared" ref="I82:J82" si="115">I34</f>
        <v>A5</v>
      </c>
      <c r="J82" s="9" t="str">
        <f t="shared" si="115"/>
        <v>B11</v>
      </c>
      <c r="K82" s="36"/>
      <c r="L82" s="117"/>
      <c r="M82" s="118" t="str">
        <f t="shared" ref="M82:P82" si="116">C82</f>
        <v/>
      </c>
      <c r="N82" s="119" t="str">
        <f t="shared" si="116"/>
        <v/>
      </c>
      <c r="O82" s="118" t="str">
        <f t="shared" si="116"/>
        <v>A5</v>
      </c>
      <c r="P82" s="118" t="str">
        <f t="shared" si="116"/>
        <v>B10</v>
      </c>
      <c r="Q82" s="118" t="str">
        <f t="shared" ref="Q82:R82" si="117">E83</f>
        <v>B12</v>
      </c>
      <c r="R82" s="119" t="str">
        <f t="shared" si="117"/>
        <v>C12</v>
      </c>
      <c r="S82" s="9" t="s">
        <v>115</v>
      </c>
      <c r="T82" s="110" t="s">
        <v>213</v>
      </c>
      <c r="U82" s="9" t="str">
        <f t="shared" ref="U82:X82" si="118">G82</f>
        <v>A8</v>
      </c>
      <c r="V82" s="119" t="str">
        <f t="shared" si="118"/>
        <v>B11</v>
      </c>
      <c r="W82" s="118" t="str">
        <f t="shared" si="118"/>
        <v>A5</v>
      </c>
      <c r="X82" s="120" t="str">
        <f t="shared" si="118"/>
        <v>B11</v>
      </c>
      <c r="Y82" s="73" t="s">
        <v>116</v>
      </c>
      <c r="Z82" s="94" t="s">
        <v>117</v>
      </c>
      <c r="AA82" s="36"/>
      <c r="AB82" s="36"/>
      <c r="AC82" s="111"/>
      <c r="AD82" s="112"/>
      <c r="AE82" s="37"/>
      <c r="AF82" s="97"/>
      <c r="AG82" s="14"/>
      <c r="AH82" s="14"/>
      <c r="AI82" s="14"/>
      <c r="AJ82" s="113"/>
      <c r="AK82" s="104" t="s">
        <v>118</v>
      </c>
      <c r="AM82" s="114" t="s">
        <v>119</v>
      </c>
      <c r="AO82" s="105" t="s">
        <v>120</v>
      </c>
      <c r="AQ82" s="105" t="s">
        <v>121</v>
      </c>
      <c r="AS82" s="104" t="s">
        <v>122</v>
      </c>
      <c r="AU82" s="104" t="s">
        <v>123</v>
      </c>
      <c r="AW82" s="104" t="s">
        <v>124</v>
      </c>
      <c r="AY82" s="105" t="s">
        <v>125</v>
      </c>
      <c r="AZ82" s="24"/>
    </row>
    <row r="83">
      <c r="A83" s="192">
        <f>A82-543</f>
        <v>2026</v>
      </c>
      <c r="B83" s="193"/>
      <c r="C83" s="12"/>
      <c r="E83" s="115" t="s">
        <v>113</v>
      </c>
      <c r="F83" s="116" t="s">
        <v>127</v>
      </c>
      <c r="G83" s="115"/>
      <c r="H83" s="118"/>
      <c r="I83" s="118"/>
      <c r="J83" s="118"/>
      <c r="K83" s="36"/>
      <c r="L83" s="117"/>
      <c r="M83" s="326"/>
      <c r="N83" s="327"/>
      <c r="R83" s="117"/>
      <c r="T83" s="117"/>
      <c r="V83" s="117"/>
      <c r="X83" s="117"/>
      <c r="Y83" s="73"/>
      <c r="Z83" s="94"/>
      <c r="AA83" s="36"/>
      <c r="AB83" s="36"/>
      <c r="AC83" s="111"/>
      <c r="AD83" s="112"/>
      <c r="AE83" s="37"/>
      <c r="AF83" s="97"/>
      <c r="AG83" s="14"/>
      <c r="AH83" s="14"/>
      <c r="AI83" s="14"/>
      <c r="AJ83" s="113"/>
      <c r="AK83" s="104" t="s">
        <v>129</v>
      </c>
      <c r="AM83" s="114" t="s">
        <v>130</v>
      </c>
      <c r="AO83" s="105" t="s">
        <v>131</v>
      </c>
      <c r="AQ83" s="105" t="s">
        <v>132</v>
      </c>
      <c r="AS83" s="104" t="s">
        <v>133</v>
      </c>
      <c r="AU83" s="104" t="s">
        <v>134</v>
      </c>
      <c r="AW83" s="104" t="s">
        <v>135</v>
      </c>
      <c r="AY83" s="105" t="s">
        <v>136</v>
      </c>
      <c r="AZ83" s="24"/>
    </row>
    <row r="84">
      <c r="A84" s="351"/>
      <c r="B84" s="206"/>
      <c r="C84" s="123"/>
      <c r="D84" s="123"/>
      <c r="E84" s="176" t="s">
        <v>168</v>
      </c>
      <c r="F84" s="88"/>
      <c r="G84" s="207" t="str">
        <f>G5:H5</f>
        <v>อสูรเดือน N</v>
      </c>
      <c r="I84" s="208" t="str">
        <f>I5:J5</f>
        <v>อสูรปี N</v>
      </c>
      <c r="K84" s="36"/>
      <c r="L84" s="117"/>
      <c r="M84" s="128"/>
      <c r="N84" s="117"/>
      <c r="R84" s="117"/>
      <c r="T84" s="117"/>
      <c r="V84" s="117"/>
      <c r="X84" s="117"/>
      <c r="Y84" s="127"/>
      <c r="Z84" s="155"/>
      <c r="AA84" s="36"/>
      <c r="AB84" s="36"/>
      <c r="AC84" s="111"/>
      <c r="AD84" s="112"/>
      <c r="AE84" s="37"/>
      <c r="AF84" s="97"/>
      <c r="AG84" s="14"/>
      <c r="AH84" s="14"/>
      <c r="AI84" s="14"/>
      <c r="AJ84" s="113"/>
      <c r="AY84" s="128"/>
      <c r="AZ84" s="24"/>
    </row>
    <row r="85">
      <c r="A85" s="188" t="s">
        <v>158</v>
      </c>
      <c r="B85" s="189"/>
      <c r="C85" s="63"/>
      <c r="D85" s="63"/>
      <c r="E85" s="358">
        <f>(O86+P86+Q86+R86)/(O87+P87+Q87+R87)</f>
        <v>0.7</v>
      </c>
      <c r="F85" s="65"/>
      <c r="G85" s="133"/>
      <c r="H85" s="72"/>
      <c r="I85" s="67"/>
      <c r="J85" s="72"/>
      <c r="K85" s="68"/>
      <c r="L85" s="69"/>
      <c r="M85" s="63" t="s">
        <v>64</v>
      </c>
      <c r="N85" s="70"/>
      <c r="O85" s="71" t="s">
        <v>65</v>
      </c>
      <c r="P85" s="72"/>
      <c r="Q85" s="72"/>
      <c r="R85" s="70"/>
      <c r="S85" s="71" t="s">
        <v>66</v>
      </c>
      <c r="T85" s="70"/>
      <c r="U85" s="71" t="s">
        <v>67</v>
      </c>
      <c r="V85" s="70"/>
      <c r="W85" s="71" t="s">
        <v>68</v>
      </c>
      <c r="X85" s="70"/>
      <c r="Y85" s="134" t="s">
        <v>116</v>
      </c>
      <c r="Z85" s="74" t="s">
        <v>140</v>
      </c>
      <c r="AA85" s="75" t="s">
        <v>197</v>
      </c>
      <c r="AB85" s="75" t="s">
        <v>311</v>
      </c>
      <c r="AC85" s="76" t="s">
        <v>73</v>
      </c>
      <c r="AD85" s="77" t="s">
        <v>74</v>
      </c>
      <c r="AE85" s="63" t="s">
        <v>34</v>
      </c>
      <c r="AF85" s="78" t="s">
        <v>34</v>
      </c>
      <c r="AG85" s="79" t="s">
        <v>71</v>
      </c>
      <c r="AH85" s="79">
        <v>210.0</v>
      </c>
      <c r="AI85" s="79" t="s">
        <v>175</v>
      </c>
      <c r="AJ85" s="80" t="str">
        <f>AJ79</f>
        <v>開</v>
      </c>
      <c r="AK85" s="81" t="s">
        <v>46</v>
      </c>
      <c r="AL85" s="82" t="str">
        <f>AL79</f>
        <v>休</v>
      </c>
      <c r="AM85" s="81" t="s">
        <v>48</v>
      </c>
      <c r="AN85" s="82" t="s">
        <v>4</v>
      </c>
      <c r="AO85" s="81" t="s">
        <v>50</v>
      </c>
      <c r="AP85" s="82" t="str">
        <f>AP79</f>
        <v>傷</v>
      </c>
      <c r="AQ85" s="81" t="s">
        <v>52</v>
      </c>
      <c r="AR85" s="82" t="s">
        <v>8</v>
      </c>
      <c r="AS85" s="81" t="s">
        <v>38</v>
      </c>
      <c r="AT85" s="82" t="str">
        <f>AT79</f>
        <v>景</v>
      </c>
      <c r="AU85" s="81" t="s">
        <v>40</v>
      </c>
      <c r="AV85" s="82" t="str">
        <f>AV79</f>
        <v>死</v>
      </c>
      <c r="AW85" s="81" t="s">
        <v>42</v>
      </c>
      <c r="AX85" s="82" t="str">
        <f>AX79</f>
        <v>驚</v>
      </c>
      <c r="AY85" s="81" t="s">
        <v>44</v>
      </c>
      <c r="AZ85" s="83"/>
      <c r="BA85" s="84"/>
      <c r="BB85" s="84"/>
      <c r="BC85" s="84"/>
    </row>
    <row r="86">
      <c r="A86" s="192">
        <f>A80+1</f>
        <v>13</v>
      </c>
      <c r="B86" s="193"/>
      <c r="C86" s="12" t="s">
        <v>270</v>
      </c>
      <c r="E86" s="168" t="s">
        <v>79</v>
      </c>
      <c r="G86" s="374" t="str">
        <f t="shared" ref="G86:G87" si="121">G3:H3</f>
        <v>甲</v>
      </c>
      <c r="I86" s="275" t="str">
        <f t="shared" ref="I86:I87" si="122">I32:J32</f>
        <v>丙</v>
      </c>
      <c r="K86" s="90">
        <f>L86/L87</f>
        <v>0.63</v>
      </c>
      <c r="L86" s="126">
        <f t="shared" ref="L86:L87" si="123">O86+P86+Q86+U86+V86+W86+X86+R86+M86+N86+S86+T86</f>
        <v>630</v>
      </c>
      <c r="M86" s="92">
        <v>0.0</v>
      </c>
      <c r="N86" s="93">
        <v>0.0</v>
      </c>
      <c r="O86" s="92">
        <v>110.0</v>
      </c>
      <c r="P86" s="92">
        <v>60.0</v>
      </c>
      <c r="Q86" s="92">
        <v>60.0</v>
      </c>
      <c r="R86" s="93">
        <v>50.0</v>
      </c>
      <c r="S86" s="92">
        <v>5.0</v>
      </c>
      <c r="T86" s="93">
        <v>110.0</v>
      </c>
      <c r="U86" s="92">
        <f t="shared" ref="U86:V86" si="119">U38</f>
        <v>5</v>
      </c>
      <c r="V86" s="93">
        <f t="shared" si="119"/>
        <v>60</v>
      </c>
      <c r="W86" s="92">
        <f t="shared" ref="W86:X86" si="120">W32</f>
        <v>110</v>
      </c>
      <c r="X86" s="93">
        <f t="shared" si="120"/>
        <v>60</v>
      </c>
      <c r="Y86" s="73" t="s">
        <v>126</v>
      </c>
      <c r="Z86" s="94" t="s">
        <v>70</v>
      </c>
      <c r="AA86" s="36"/>
      <c r="AB86" s="29"/>
      <c r="AC86" s="95" t="s">
        <v>82</v>
      </c>
      <c r="AD86" s="96" t="s">
        <v>83</v>
      </c>
      <c r="AE86" s="37"/>
      <c r="AF86" s="97"/>
      <c r="AG86" s="12" t="s">
        <v>53</v>
      </c>
      <c r="AH86" s="12">
        <v>30.0</v>
      </c>
      <c r="AI86" s="12" t="s">
        <v>178</v>
      </c>
      <c r="AJ86" s="98" t="s">
        <v>43</v>
      </c>
      <c r="AK86" s="101" t="s">
        <v>91</v>
      </c>
      <c r="AL86" s="100" t="s">
        <v>41</v>
      </c>
      <c r="AM86" s="103" t="s">
        <v>92</v>
      </c>
      <c r="AN86" s="100" t="s">
        <v>39</v>
      </c>
      <c r="AO86" s="99" t="s">
        <v>93</v>
      </c>
      <c r="AP86" s="100" t="s">
        <v>37</v>
      </c>
      <c r="AQ86" s="99" t="s">
        <v>94</v>
      </c>
      <c r="AR86" s="100" t="s">
        <v>51</v>
      </c>
      <c r="AS86" s="101" t="s">
        <v>95</v>
      </c>
      <c r="AT86" s="100" t="s">
        <v>86</v>
      </c>
      <c r="AU86" s="99" t="s">
        <v>87</v>
      </c>
      <c r="AV86" s="100" t="s">
        <v>88</v>
      </c>
      <c r="AW86" s="101" t="s">
        <v>89</v>
      </c>
      <c r="AX86" s="100" t="s">
        <v>45</v>
      </c>
      <c r="AY86" s="102" t="s">
        <v>90</v>
      </c>
      <c r="AZ86" s="24"/>
    </row>
    <row r="87">
      <c r="A87" s="215" t="str">
        <f>G2</f>
        <v>มิถุนายน</v>
      </c>
      <c r="B87" s="193"/>
      <c r="C87" s="161" t="s">
        <v>223</v>
      </c>
      <c r="E87" s="223" t="s">
        <v>202</v>
      </c>
      <c r="G87" s="223" t="str">
        <f t="shared" si="121"/>
        <v>午</v>
      </c>
      <c r="I87" s="142" t="str">
        <f t="shared" si="122"/>
        <v>午</v>
      </c>
      <c r="K87" s="36"/>
      <c r="L87" s="109">
        <f t="shared" si="123"/>
        <v>1000</v>
      </c>
      <c r="M87" s="9">
        <v>0.0</v>
      </c>
      <c r="N87" s="110">
        <v>0.0</v>
      </c>
      <c r="O87" s="9">
        <v>100.0</v>
      </c>
      <c r="P87" s="9">
        <v>100.0</v>
      </c>
      <c r="Q87" s="9">
        <v>100.0</v>
      </c>
      <c r="R87" s="110">
        <v>100.0</v>
      </c>
      <c r="S87" s="9">
        <v>100.0</v>
      </c>
      <c r="T87" s="110">
        <v>100.0</v>
      </c>
      <c r="U87" s="9">
        <v>100.0</v>
      </c>
      <c r="V87" s="110">
        <v>100.0</v>
      </c>
      <c r="W87" s="9">
        <v>100.0</v>
      </c>
      <c r="X87" s="110">
        <v>100.0</v>
      </c>
      <c r="Y87" s="73" t="s">
        <v>69</v>
      </c>
      <c r="Z87" s="94" t="s">
        <v>152</v>
      </c>
      <c r="AA87" s="36"/>
      <c r="AB87" s="36"/>
      <c r="AC87" s="111"/>
      <c r="AD87" s="112"/>
      <c r="AE87" s="37"/>
      <c r="AF87" s="97"/>
      <c r="AG87" s="14"/>
      <c r="AH87" s="14"/>
      <c r="AI87" s="14"/>
      <c r="AJ87" s="113"/>
      <c r="AK87" s="105" t="s">
        <v>103</v>
      </c>
      <c r="AM87" s="104" t="s">
        <v>104</v>
      </c>
      <c r="AO87" s="104" t="s">
        <v>105</v>
      </c>
      <c r="AQ87" s="104" t="s">
        <v>106</v>
      </c>
      <c r="AS87" s="105" t="s">
        <v>107</v>
      </c>
      <c r="AU87" s="104" t="s">
        <v>100</v>
      </c>
      <c r="AW87" s="114" t="s">
        <v>101</v>
      </c>
      <c r="AY87" s="105" t="s">
        <v>102</v>
      </c>
      <c r="AZ87" s="24"/>
    </row>
    <row r="88">
      <c r="A88" s="192">
        <f>A10</f>
        <v>2569</v>
      </c>
      <c r="B88" s="193"/>
      <c r="E88" s="115" t="s">
        <v>204</v>
      </c>
      <c r="F88" s="116" t="s">
        <v>214</v>
      </c>
      <c r="G88" s="115" t="str">
        <f t="shared" ref="G88:H88" si="124">G40</f>
        <v>A8</v>
      </c>
      <c r="H88" s="9" t="str">
        <f t="shared" si="124"/>
        <v>B11</v>
      </c>
      <c r="I88" s="9" t="str">
        <f t="shared" ref="I88:J88" si="125">I34</f>
        <v>A5</v>
      </c>
      <c r="J88" s="9" t="str">
        <f t="shared" si="125"/>
        <v>B11</v>
      </c>
      <c r="K88" s="36"/>
      <c r="L88" s="117"/>
      <c r="M88" s="118" t="str">
        <f t="shared" ref="M88:P88" si="126">C88</f>
        <v/>
      </c>
      <c r="N88" s="119" t="str">
        <f t="shared" si="126"/>
        <v/>
      </c>
      <c r="O88" s="118" t="str">
        <f t="shared" si="126"/>
        <v>A5</v>
      </c>
      <c r="P88" s="118" t="str">
        <f t="shared" si="126"/>
        <v>B11</v>
      </c>
      <c r="Q88" s="118" t="str">
        <f t="shared" ref="Q88:R88" si="127">E89</f>
        <v>B11</v>
      </c>
      <c r="R88" s="119" t="str">
        <f t="shared" si="127"/>
        <v>C1</v>
      </c>
      <c r="S88" s="9" t="s">
        <v>108</v>
      </c>
      <c r="T88" s="110" t="s">
        <v>204</v>
      </c>
      <c r="U88" s="9" t="str">
        <f t="shared" ref="U88:X88" si="128">G88</f>
        <v>A8</v>
      </c>
      <c r="V88" s="119" t="str">
        <f t="shared" si="128"/>
        <v>B11</v>
      </c>
      <c r="W88" s="118" t="str">
        <f t="shared" si="128"/>
        <v>A5</v>
      </c>
      <c r="X88" s="120" t="str">
        <f t="shared" si="128"/>
        <v>B11</v>
      </c>
      <c r="Y88" s="73" t="s">
        <v>80</v>
      </c>
      <c r="Z88" s="94" t="s">
        <v>153</v>
      </c>
      <c r="AA88" s="36"/>
      <c r="AB88" s="36"/>
      <c r="AC88" s="111"/>
      <c r="AD88" s="112"/>
      <c r="AE88" s="37"/>
      <c r="AF88" s="97"/>
      <c r="AG88" s="14"/>
      <c r="AH88" s="14"/>
      <c r="AI88" s="14"/>
      <c r="AJ88" s="113"/>
      <c r="AK88" s="105" t="s">
        <v>121</v>
      </c>
      <c r="AM88" s="104" t="s">
        <v>122</v>
      </c>
      <c r="AO88" s="104" t="s">
        <v>123</v>
      </c>
      <c r="AQ88" s="104" t="s">
        <v>124</v>
      </c>
      <c r="AS88" s="105" t="s">
        <v>125</v>
      </c>
      <c r="AU88" s="104" t="s">
        <v>118</v>
      </c>
      <c r="AW88" s="114" t="s">
        <v>119</v>
      </c>
      <c r="AY88" s="105" t="s">
        <v>120</v>
      </c>
      <c r="AZ88" s="24"/>
    </row>
    <row r="89">
      <c r="A89" s="192">
        <f>A88-543</f>
        <v>2026</v>
      </c>
      <c r="B89" s="193"/>
      <c r="C89" s="181"/>
      <c r="E89" s="115" t="s">
        <v>214</v>
      </c>
      <c r="F89" s="116" t="s">
        <v>154</v>
      </c>
      <c r="G89" s="115"/>
      <c r="H89" s="118"/>
      <c r="I89" s="118"/>
      <c r="J89" s="118"/>
      <c r="K89" s="36"/>
      <c r="L89" s="117"/>
      <c r="M89" s="326"/>
      <c r="N89" s="327"/>
      <c r="R89" s="117"/>
      <c r="T89" s="117"/>
      <c r="V89" s="117"/>
      <c r="X89" s="117"/>
      <c r="Y89" s="73" t="s">
        <v>98</v>
      </c>
      <c r="Z89" s="94" t="s">
        <v>155</v>
      </c>
      <c r="AA89" s="36"/>
      <c r="AB89" s="36"/>
      <c r="AC89" s="111"/>
      <c r="AD89" s="112"/>
      <c r="AE89" s="37"/>
      <c r="AF89" s="97"/>
      <c r="AG89" s="14"/>
      <c r="AH89" s="14"/>
      <c r="AI89" s="14"/>
      <c r="AJ89" s="113"/>
      <c r="AK89" s="105" t="s">
        <v>132</v>
      </c>
      <c r="AM89" s="104" t="s">
        <v>133</v>
      </c>
      <c r="AO89" s="104" t="s">
        <v>134</v>
      </c>
      <c r="AQ89" s="104" t="s">
        <v>135</v>
      </c>
      <c r="AS89" s="105" t="s">
        <v>136</v>
      </c>
      <c r="AU89" s="104" t="s">
        <v>129</v>
      </c>
      <c r="AW89" s="114" t="s">
        <v>130</v>
      </c>
      <c r="AY89" s="105" t="s">
        <v>131</v>
      </c>
      <c r="AZ89" s="24"/>
    </row>
    <row r="90">
      <c r="A90" s="363"/>
      <c r="B90" s="206"/>
      <c r="C90" s="123"/>
      <c r="D90" s="123"/>
      <c r="E90" s="176" t="s">
        <v>185</v>
      </c>
      <c r="F90" s="88"/>
      <c r="G90" s="207" t="str">
        <f>G5:H5</f>
        <v>อสูรเดือน N</v>
      </c>
      <c r="I90" s="208" t="str">
        <f>I5:J5</f>
        <v>อสูรปี N</v>
      </c>
      <c r="K90" s="36"/>
      <c r="L90" s="117"/>
      <c r="M90" s="326"/>
      <c r="N90" s="327"/>
      <c r="R90" s="117"/>
      <c r="T90" s="117"/>
      <c r="V90" s="117"/>
      <c r="X90" s="117"/>
      <c r="Y90" s="127"/>
      <c r="Z90" s="155"/>
      <c r="AA90" s="36"/>
      <c r="AB90" s="36"/>
      <c r="AC90" s="111"/>
      <c r="AD90" s="112"/>
      <c r="AE90" s="37"/>
      <c r="AF90" s="97"/>
      <c r="AG90" s="14"/>
      <c r="AH90" s="14"/>
      <c r="AI90" s="14"/>
      <c r="AJ90" s="113"/>
      <c r="AQ90" s="128"/>
      <c r="AZ90" s="24"/>
    </row>
    <row r="91">
      <c r="A91" s="188" t="s">
        <v>169</v>
      </c>
      <c r="B91" s="189"/>
      <c r="C91" s="63"/>
      <c r="D91" s="63"/>
      <c r="E91" s="358">
        <f>(O92+P92+Q92+R92)/(O93+P93+Q93+R93)</f>
        <v>0.425</v>
      </c>
      <c r="F91" s="65"/>
      <c r="G91" s="133"/>
      <c r="H91" s="72"/>
      <c r="I91" s="67"/>
      <c r="J91" s="72"/>
      <c r="K91" s="68"/>
      <c r="L91" s="69"/>
      <c r="M91" s="63" t="s">
        <v>64</v>
      </c>
      <c r="N91" s="70"/>
      <c r="O91" s="71" t="s">
        <v>65</v>
      </c>
      <c r="P91" s="72"/>
      <c r="Q91" s="72"/>
      <c r="R91" s="70"/>
      <c r="S91" s="71" t="s">
        <v>66</v>
      </c>
      <c r="T91" s="70"/>
      <c r="U91" s="71" t="s">
        <v>67</v>
      </c>
      <c r="V91" s="70"/>
      <c r="W91" s="71" t="s">
        <v>68</v>
      </c>
      <c r="X91" s="70"/>
      <c r="Y91" s="134" t="s">
        <v>116</v>
      </c>
      <c r="Z91" s="74" t="s">
        <v>159</v>
      </c>
      <c r="AA91" s="75" t="s">
        <v>32</v>
      </c>
      <c r="AB91" s="75" t="s">
        <v>233</v>
      </c>
      <c r="AC91" s="76" t="s">
        <v>73</v>
      </c>
      <c r="AD91" s="77" t="s">
        <v>74</v>
      </c>
      <c r="AE91" s="63" t="s">
        <v>34</v>
      </c>
      <c r="AF91" s="78" t="s">
        <v>36</v>
      </c>
      <c r="AG91" s="79" t="s">
        <v>84</v>
      </c>
      <c r="AH91" s="79">
        <v>0.0</v>
      </c>
      <c r="AI91" s="79" t="s">
        <v>85</v>
      </c>
      <c r="AJ91" s="80" t="str">
        <f>AJ85</f>
        <v>開</v>
      </c>
      <c r="AK91" s="81" t="s">
        <v>46</v>
      </c>
      <c r="AL91" s="82" t="str">
        <f>AL85</f>
        <v>休</v>
      </c>
      <c r="AM91" s="81" t="s">
        <v>48</v>
      </c>
      <c r="AN91" s="82" t="s">
        <v>4</v>
      </c>
      <c r="AO91" s="81" t="s">
        <v>50</v>
      </c>
      <c r="AP91" s="82" t="str">
        <f>AP85</f>
        <v>傷</v>
      </c>
      <c r="AQ91" s="81" t="s">
        <v>52</v>
      </c>
      <c r="AR91" s="82" t="s">
        <v>8</v>
      </c>
      <c r="AS91" s="81" t="s">
        <v>38</v>
      </c>
      <c r="AT91" s="82" t="str">
        <f>AT85</f>
        <v>景</v>
      </c>
      <c r="AU91" s="81" t="s">
        <v>40</v>
      </c>
      <c r="AV91" s="82" t="str">
        <f>AV85</f>
        <v>死</v>
      </c>
      <c r="AW91" s="81" t="s">
        <v>42</v>
      </c>
      <c r="AX91" s="82" t="str">
        <f>AX85</f>
        <v>驚</v>
      </c>
      <c r="AY91" s="81" t="s">
        <v>44</v>
      </c>
      <c r="AZ91" s="83"/>
      <c r="BA91" s="84"/>
      <c r="BB91" s="84"/>
      <c r="BC91" s="84"/>
    </row>
    <row r="92">
      <c r="A92" s="192">
        <f>A86+1</f>
        <v>14</v>
      </c>
      <c r="B92" s="193"/>
      <c r="C92" s="12" t="s">
        <v>260</v>
      </c>
      <c r="E92" s="168" t="s">
        <v>30</v>
      </c>
      <c r="G92" s="374" t="str">
        <f t="shared" ref="G92:G93" si="131">G3:H3</f>
        <v>甲</v>
      </c>
      <c r="I92" s="275" t="str">
        <f t="shared" ref="I92:I93" si="132">I32:J32</f>
        <v>丙</v>
      </c>
      <c r="K92" s="90">
        <f>L92/L93</f>
        <v>0.56</v>
      </c>
      <c r="L92" s="126">
        <f t="shared" ref="L92:L93" si="133">O92+P92+Q92+U92+V92+W92+X92+R92+M92+N92+S92+T92</f>
        <v>560</v>
      </c>
      <c r="M92" s="92">
        <v>0.0</v>
      </c>
      <c r="N92" s="93">
        <v>0.0</v>
      </c>
      <c r="O92" s="92">
        <v>90.0</v>
      </c>
      <c r="P92" s="92">
        <v>10.0</v>
      </c>
      <c r="Q92" s="92">
        <v>40.0</v>
      </c>
      <c r="R92" s="93">
        <v>30.0</v>
      </c>
      <c r="S92" s="92">
        <v>55.0</v>
      </c>
      <c r="T92" s="93">
        <v>100.0</v>
      </c>
      <c r="U92" s="92">
        <f t="shared" ref="U92:V92" si="129">U38</f>
        <v>5</v>
      </c>
      <c r="V92" s="93">
        <f t="shared" si="129"/>
        <v>60</v>
      </c>
      <c r="W92" s="92">
        <f t="shared" ref="W92:X92" si="130">W32</f>
        <v>110</v>
      </c>
      <c r="X92" s="93">
        <f t="shared" si="130"/>
        <v>60</v>
      </c>
      <c r="Y92" s="73" t="s">
        <v>126</v>
      </c>
      <c r="Z92" s="94" t="s">
        <v>152</v>
      </c>
      <c r="AA92" s="36"/>
      <c r="AB92" s="29" t="s">
        <v>234</v>
      </c>
      <c r="AC92" s="95" t="s">
        <v>82</v>
      </c>
      <c r="AD92" s="96" t="s">
        <v>83</v>
      </c>
      <c r="AE92" s="37"/>
      <c r="AF92" s="97"/>
      <c r="AG92" s="12" t="s">
        <v>76</v>
      </c>
      <c r="AH92" s="12">
        <v>240.0</v>
      </c>
      <c r="AI92" s="12" t="s">
        <v>77</v>
      </c>
      <c r="AJ92" s="98" t="s">
        <v>43</v>
      </c>
      <c r="AK92" s="101" t="s">
        <v>91</v>
      </c>
      <c r="AL92" s="100" t="s">
        <v>41</v>
      </c>
      <c r="AM92" s="103" t="s">
        <v>92</v>
      </c>
      <c r="AN92" s="100" t="s">
        <v>39</v>
      </c>
      <c r="AO92" s="99" t="s">
        <v>93</v>
      </c>
      <c r="AP92" s="100" t="s">
        <v>37</v>
      </c>
      <c r="AQ92" s="99" t="s">
        <v>94</v>
      </c>
      <c r="AR92" s="100" t="s">
        <v>51</v>
      </c>
      <c r="AS92" s="101" t="s">
        <v>95</v>
      </c>
      <c r="AT92" s="100" t="s">
        <v>86</v>
      </c>
      <c r="AU92" s="99" t="s">
        <v>87</v>
      </c>
      <c r="AV92" s="100" t="s">
        <v>88</v>
      </c>
      <c r="AW92" s="101" t="s">
        <v>89</v>
      </c>
      <c r="AX92" s="100" t="s">
        <v>45</v>
      </c>
      <c r="AY92" s="102" t="s">
        <v>90</v>
      </c>
      <c r="AZ92" s="24"/>
    </row>
    <row r="93">
      <c r="A93" s="215" t="str">
        <f>G2</f>
        <v>มิถุนายน</v>
      </c>
      <c r="B93" s="193"/>
      <c r="C93" s="212" t="s">
        <v>228</v>
      </c>
      <c r="E93" s="162" t="s">
        <v>71</v>
      </c>
      <c r="G93" s="223" t="str">
        <f t="shared" si="131"/>
        <v>午</v>
      </c>
      <c r="I93" s="142" t="str">
        <f t="shared" si="132"/>
        <v>午</v>
      </c>
      <c r="K93" s="36"/>
      <c r="L93" s="109">
        <f t="shared" si="133"/>
        <v>1000</v>
      </c>
      <c r="M93" s="9">
        <v>0.0</v>
      </c>
      <c r="N93" s="110">
        <v>0.0</v>
      </c>
      <c r="O93" s="9">
        <v>100.0</v>
      </c>
      <c r="P93" s="9">
        <v>100.0</v>
      </c>
      <c r="Q93" s="9">
        <v>100.0</v>
      </c>
      <c r="R93" s="110">
        <v>100.0</v>
      </c>
      <c r="S93" s="9">
        <v>100.0</v>
      </c>
      <c r="T93" s="110">
        <v>100.0</v>
      </c>
      <c r="U93" s="9">
        <v>100.0</v>
      </c>
      <c r="V93" s="110">
        <v>100.0</v>
      </c>
      <c r="W93" s="9">
        <v>100.0</v>
      </c>
      <c r="X93" s="110">
        <v>100.0</v>
      </c>
      <c r="Y93" s="73" t="s">
        <v>69</v>
      </c>
      <c r="Z93" s="94" t="s">
        <v>163</v>
      </c>
      <c r="AA93" s="36"/>
      <c r="AB93" s="36"/>
      <c r="AC93" s="111"/>
      <c r="AD93" s="112"/>
      <c r="AE93" s="37"/>
      <c r="AF93" s="97"/>
      <c r="AG93" s="14"/>
      <c r="AH93" s="14"/>
      <c r="AI93" s="14"/>
      <c r="AJ93" s="113"/>
      <c r="AK93" s="105" t="s">
        <v>103</v>
      </c>
      <c r="AM93" s="104" t="s">
        <v>104</v>
      </c>
      <c r="AO93" s="104" t="s">
        <v>105</v>
      </c>
      <c r="AQ93" s="104" t="s">
        <v>106</v>
      </c>
      <c r="AS93" s="105" t="s">
        <v>107</v>
      </c>
      <c r="AU93" s="104" t="s">
        <v>100</v>
      </c>
      <c r="AW93" s="114" t="s">
        <v>101</v>
      </c>
      <c r="AY93" s="105" t="s">
        <v>102</v>
      </c>
      <c r="AZ93" s="24"/>
    </row>
    <row r="94">
      <c r="A94" s="192">
        <f>A10</f>
        <v>2569</v>
      </c>
      <c r="B94" s="193"/>
      <c r="E94" s="115" t="s">
        <v>219</v>
      </c>
      <c r="F94" s="116" t="s">
        <v>113</v>
      </c>
      <c r="G94" s="115" t="str">
        <f t="shared" ref="G94:H94" si="134">G40</f>
        <v>A8</v>
      </c>
      <c r="H94" s="9" t="str">
        <f t="shared" si="134"/>
        <v>B11</v>
      </c>
      <c r="I94" s="9" t="str">
        <f t="shared" ref="I94:J94" si="135">I34</f>
        <v>A5</v>
      </c>
      <c r="J94" s="9" t="str">
        <f t="shared" si="135"/>
        <v>B11</v>
      </c>
      <c r="K94" s="36"/>
      <c r="L94" s="117"/>
      <c r="M94" s="118" t="str">
        <f t="shared" ref="M94:P94" si="136">C94</f>
        <v/>
      </c>
      <c r="N94" s="119" t="str">
        <f t="shared" si="136"/>
        <v/>
      </c>
      <c r="O94" s="118" t="str">
        <f t="shared" si="136"/>
        <v>A3</v>
      </c>
      <c r="P94" s="118" t="str">
        <f t="shared" si="136"/>
        <v>B12</v>
      </c>
      <c r="Q94" s="118" t="str">
        <f t="shared" ref="Q94:R94" si="137">E95</f>
        <v>B10</v>
      </c>
      <c r="R94" s="119" t="str">
        <f t="shared" si="137"/>
        <v>C2</v>
      </c>
      <c r="S94" s="9" t="s">
        <v>164</v>
      </c>
      <c r="T94" s="110" t="s">
        <v>213</v>
      </c>
      <c r="U94" s="9" t="str">
        <f t="shared" ref="U94:X94" si="138">G94</f>
        <v>A8</v>
      </c>
      <c r="V94" s="119" t="str">
        <f t="shared" si="138"/>
        <v>B11</v>
      </c>
      <c r="W94" s="118" t="str">
        <f t="shared" si="138"/>
        <v>A5</v>
      </c>
      <c r="X94" s="120" t="str">
        <f t="shared" si="138"/>
        <v>B11</v>
      </c>
      <c r="Y94" s="73" t="s">
        <v>80</v>
      </c>
      <c r="Z94" s="94" t="s">
        <v>117</v>
      </c>
      <c r="AA94" s="36"/>
      <c r="AB94" s="36"/>
      <c r="AC94" s="111"/>
      <c r="AD94" s="112"/>
      <c r="AE94" s="37"/>
      <c r="AF94" s="97"/>
      <c r="AG94" s="14"/>
      <c r="AH94" s="14"/>
      <c r="AI94" s="14"/>
      <c r="AJ94" s="113"/>
      <c r="AK94" s="105" t="s">
        <v>121</v>
      </c>
      <c r="AM94" s="104" t="s">
        <v>122</v>
      </c>
      <c r="AO94" s="104" t="s">
        <v>123</v>
      </c>
      <c r="AQ94" s="104" t="s">
        <v>124</v>
      </c>
      <c r="AS94" s="105" t="s">
        <v>125</v>
      </c>
      <c r="AU94" s="104" t="s">
        <v>118</v>
      </c>
      <c r="AW94" s="114" t="s">
        <v>119</v>
      </c>
      <c r="AY94" s="105" t="s">
        <v>120</v>
      </c>
      <c r="AZ94" s="24"/>
    </row>
    <row r="95">
      <c r="A95" s="192">
        <f>A94-543</f>
        <v>2026</v>
      </c>
      <c r="B95" s="193"/>
      <c r="C95" s="331" t="s">
        <v>335</v>
      </c>
      <c r="E95" s="115" t="s">
        <v>218</v>
      </c>
      <c r="F95" s="116" t="s">
        <v>167</v>
      </c>
      <c r="G95" s="115"/>
      <c r="H95" s="118"/>
      <c r="I95" s="118"/>
      <c r="J95" s="118"/>
      <c r="K95" s="36"/>
      <c r="L95" s="117"/>
      <c r="M95" s="326"/>
      <c r="N95" s="327"/>
      <c r="R95" s="117"/>
      <c r="T95" s="117"/>
      <c r="V95" s="117"/>
      <c r="X95" s="117"/>
      <c r="Y95" s="73" t="s">
        <v>98</v>
      </c>
      <c r="Z95" s="94" t="s">
        <v>128</v>
      </c>
      <c r="AA95" s="36"/>
      <c r="AB95" s="36"/>
      <c r="AC95" s="111"/>
      <c r="AD95" s="112"/>
      <c r="AE95" s="37"/>
      <c r="AF95" s="97"/>
      <c r="AG95" s="14"/>
      <c r="AH95" s="14"/>
      <c r="AI95" s="14"/>
      <c r="AJ95" s="113"/>
      <c r="AK95" s="105" t="s">
        <v>132</v>
      </c>
      <c r="AM95" s="104" t="s">
        <v>133</v>
      </c>
      <c r="AO95" s="104" t="s">
        <v>134</v>
      </c>
      <c r="AQ95" s="104" t="s">
        <v>135</v>
      </c>
      <c r="AS95" s="105" t="s">
        <v>136</v>
      </c>
      <c r="AU95" s="104" t="s">
        <v>129</v>
      </c>
      <c r="AW95" s="114" t="s">
        <v>130</v>
      </c>
      <c r="AY95" s="105" t="s">
        <v>131</v>
      </c>
      <c r="AZ95" s="24"/>
    </row>
    <row r="96">
      <c r="A96" s="363"/>
      <c r="B96" s="206"/>
      <c r="C96" s="123"/>
      <c r="D96" s="123"/>
      <c r="E96" s="164" t="s">
        <v>137</v>
      </c>
      <c r="F96" s="88"/>
      <c r="G96" s="210" t="str">
        <f>G5:H5</f>
        <v>อสูรเดือน N</v>
      </c>
      <c r="I96" s="334"/>
      <c r="K96" s="36"/>
      <c r="L96" s="117"/>
      <c r="M96" s="326"/>
      <c r="N96" s="327"/>
      <c r="R96" s="117"/>
      <c r="T96" s="117"/>
      <c r="V96" s="117"/>
      <c r="X96" s="117"/>
      <c r="Y96" s="127"/>
      <c r="Z96" s="155"/>
      <c r="AA96" s="36"/>
      <c r="AB96" s="36"/>
      <c r="AC96" s="111"/>
      <c r="AD96" s="112"/>
      <c r="AE96" s="37"/>
      <c r="AF96" s="97"/>
      <c r="AG96" s="14"/>
      <c r="AH96" s="14"/>
      <c r="AI96" s="14"/>
      <c r="AJ96" s="113"/>
      <c r="AM96" s="128"/>
      <c r="AZ96" s="24"/>
    </row>
    <row r="97">
      <c r="A97" s="188" t="s">
        <v>186</v>
      </c>
      <c r="B97" s="189"/>
      <c r="C97" s="63"/>
      <c r="D97" s="63"/>
      <c r="E97" s="216">
        <f>(O98+P98+Q98+R98)/(O99+P99+Q99+R99)</f>
        <v>0.75</v>
      </c>
      <c r="F97" s="65"/>
      <c r="G97" s="133"/>
      <c r="H97" s="72"/>
      <c r="I97" s="67"/>
      <c r="J97" s="72"/>
      <c r="K97" s="68"/>
      <c r="L97" s="69"/>
      <c r="M97" s="63" t="s">
        <v>64</v>
      </c>
      <c r="N97" s="70"/>
      <c r="O97" s="71" t="s">
        <v>65</v>
      </c>
      <c r="P97" s="72"/>
      <c r="Q97" s="72"/>
      <c r="R97" s="70"/>
      <c r="S97" s="71" t="s">
        <v>66</v>
      </c>
      <c r="T97" s="70"/>
      <c r="U97" s="71" t="s">
        <v>67</v>
      </c>
      <c r="V97" s="70"/>
      <c r="W97" s="71" t="s">
        <v>68</v>
      </c>
      <c r="X97" s="70"/>
      <c r="Y97" s="134" t="s">
        <v>80</v>
      </c>
      <c r="Z97" s="74" t="s">
        <v>170</v>
      </c>
      <c r="AA97" s="75" t="s">
        <v>71</v>
      </c>
      <c r="AB97" s="75" t="s">
        <v>72</v>
      </c>
      <c r="AC97" s="202" t="s">
        <v>142</v>
      </c>
      <c r="AD97" s="74" t="s">
        <v>143</v>
      </c>
      <c r="AE97" s="63" t="s">
        <v>36</v>
      </c>
      <c r="AF97" s="78" t="s">
        <v>144</v>
      </c>
      <c r="AG97" s="79" t="s">
        <v>53</v>
      </c>
      <c r="AH97" s="79">
        <v>30.0</v>
      </c>
      <c r="AI97" s="79" t="s">
        <v>178</v>
      </c>
      <c r="AJ97" s="80" t="str">
        <f>AJ91</f>
        <v>開</v>
      </c>
      <c r="AK97" s="81" t="s">
        <v>40</v>
      </c>
      <c r="AL97" s="82" t="str">
        <f>AL91</f>
        <v>休</v>
      </c>
      <c r="AM97" s="81" t="s">
        <v>42</v>
      </c>
      <c r="AN97" s="82" t="s">
        <v>4</v>
      </c>
      <c r="AO97" s="81" t="s">
        <v>44</v>
      </c>
      <c r="AP97" s="82" t="str">
        <f>AP91</f>
        <v>傷</v>
      </c>
      <c r="AQ97" s="81" t="s">
        <v>46</v>
      </c>
      <c r="AR97" s="82" t="s">
        <v>8</v>
      </c>
      <c r="AS97" s="81" t="s">
        <v>48</v>
      </c>
      <c r="AT97" s="82" t="str">
        <f>AT91</f>
        <v>景</v>
      </c>
      <c r="AU97" s="81" t="s">
        <v>50</v>
      </c>
      <c r="AV97" s="82" t="str">
        <f>AV91</f>
        <v>死</v>
      </c>
      <c r="AW97" s="81" t="s">
        <v>52</v>
      </c>
      <c r="AX97" s="82" t="str">
        <f>AX91</f>
        <v>驚</v>
      </c>
      <c r="AY97" s="81" t="s">
        <v>38</v>
      </c>
      <c r="AZ97" s="83"/>
      <c r="BA97" s="84"/>
      <c r="BB97" s="84"/>
      <c r="BC97" s="84"/>
    </row>
    <row r="98">
      <c r="A98" s="192">
        <f>A92+1</f>
        <v>15</v>
      </c>
      <c r="B98" s="193"/>
      <c r="C98" s="12" t="s">
        <v>265</v>
      </c>
      <c r="E98" s="194" t="s">
        <v>195</v>
      </c>
      <c r="G98" s="374" t="str">
        <f t="shared" ref="G98:G99" si="141">G3:H3</f>
        <v>甲</v>
      </c>
      <c r="I98" s="275" t="str">
        <f t="shared" ref="I98:I99" si="142">I32:J32</f>
        <v>丙</v>
      </c>
      <c r="K98" s="90">
        <f>L98/L99</f>
        <v>0.57</v>
      </c>
      <c r="L98" s="126">
        <f t="shared" ref="L98:L99" si="143">O98+P98+Q98+U98+V98+W98+X98+R98+M98+N98+S98+T98</f>
        <v>570</v>
      </c>
      <c r="M98" s="92">
        <v>0.0</v>
      </c>
      <c r="N98" s="93">
        <v>0.0</v>
      </c>
      <c r="O98" s="92">
        <v>100.0</v>
      </c>
      <c r="P98" s="92">
        <v>70.0</v>
      </c>
      <c r="Q98" s="92">
        <v>50.0</v>
      </c>
      <c r="R98" s="93">
        <v>80.0</v>
      </c>
      <c r="S98" s="92">
        <v>0.0</v>
      </c>
      <c r="T98" s="93">
        <v>35.0</v>
      </c>
      <c r="U98" s="92">
        <f t="shared" ref="U98:V98" si="139">U38</f>
        <v>5</v>
      </c>
      <c r="V98" s="93">
        <f t="shared" si="139"/>
        <v>60</v>
      </c>
      <c r="W98" s="92">
        <f t="shared" ref="W98:X98" si="140">W32</f>
        <v>110</v>
      </c>
      <c r="X98" s="93">
        <f t="shared" si="140"/>
        <v>60</v>
      </c>
      <c r="Y98" s="73" t="s">
        <v>98</v>
      </c>
      <c r="Z98" s="94" t="s">
        <v>70</v>
      </c>
      <c r="AA98" s="36"/>
      <c r="AB98" s="29"/>
      <c r="AC98" s="204" t="s">
        <v>82</v>
      </c>
      <c r="AD98" s="96" t="s">
        <v>83</v>
      </c>
      <c r="AE98" s="37"/>
      <c r="AF98" s="97"/>
      <c r="AG98" s="12" t="s">
        <v>71</v>
      </c>
      <c r="AH98" s="12">
        <v>210.0</v>
      </c>
      <c r="AI98" s="12" t="s">
        <v>175</v>
      </c>
      <c r="AJ98" s="98" t="s">
        <v>88</v>
      </c>
      <c r="AK98" s="101" t="s">
        <v>89</v>
      </c>
      <c r="AL98" s="100" t="s">
        <v>45</v>
      </c>
      <c r="AM98" s="102" t="s">
        <v>90</v>
      </c>
      <c r="AN98" s="100" t="s">
        <v>43</v>
      </c>
      <c r="AO98" s="101" t="s">
        <v>91</v>
      </c>
      <c r="AP98" s="100" t="s">
        <v>41</v>
      </c>
      <c r="AQ98" s="103" t="s">
        <v>92</v>
      </c>
      <c r="AR98" s="100" t="s">
        <v>39</v>
      </c>
      <c r="AS98" s="99" t="s">
        <v>93</v>
      </c>
      <c r="AT98" s="100" t="s">
        <v>37</v>
      </c>
      <c r="AU98" s="99" t="s">
        <v>94</v>
      </c>
      <c r="AV98" s="100" t="s">
        <v>51</v>
      </c>
      <c r="AW98" s="101" t="s">
        <v>95</v>
      </c>
      <c r="AX98" s="100" t="s">
        <v>86</v>
      </c>
      <c r="AY98" s="99" t="s">
        <v>87</v>
      </c>
      <c r="AZ98" s="24"/>
    </row>
    <row r="99">
      <c r="A99" s="215" t="str">
        <f>G2</f>
        <v>มิถุนายน</v>
      </c>
      <c r="B99" s="193"/>
      <c r="C99" s="360" t="s">
        <v>231</v>
      </c>
      <c r="E99" s="209" t="s">
        <v>76</v>
      </c>
      <c r="G99" s="223" t="str">
        <f t="shared" si="141"/>
        <v>午</v>
      </c>
      <c r="I99" s="142" t="str">
        <f t="shared" si="142"/>
        <v>午</v>
      </c>
      <c r="K99" s="36"/>
      <c r="L99" s="109">
        <f t="shared" si="143"/>
        <v>1000</v>
      </c>
      <c r="M99" s="9">
        <v>0.0</v>
      </c>
      <c r="N99" s="110">
        <v>0.0</v>
      </c>
      <c r="O99" s="9">
        <v>100.0</v>
      </c>
      <c r="P99" s="9">
        <v>100.0</v>
      </c>
      <c r="Q99" s="9">
        <v>100.0</v>
      </c>
      <c r="R99" s="110">
        <v>100.0</v>
      </c>
      <c r="S99" s="9">
        <v>100.0</v>
      </c>
      <c r="T99" s="110">
        <v>100.0</v>
      </c>
      <c r="U99" s="9">
        <v>100.0</v>
      </c>
      <c r="V99" s="110">
        <v>100.0</v>
      </c>
      <c r="W99" s="9">
        <v>100.0</v>
      </c>
      <c r="X99" s="110">
        <v>100.0</v>
      </c>
      <c r="Y99" s="73" t="s">
        <v>116</v>
      </c>
      <c r="Z99" s="94" t="s">
        <v>181</v>
      </c>
      <c r="AA99" s="36"/>
      <c r="AB99" s="36"/>
      <c r="AC99" s="111"/>
      <c r="AD99" s="112"/>
      <c r="AE99" s="37"/>
      <c r="AF99" s="97"/>
      <c r="AG99" s="14"/>
      <c r="AH99" s="14"/>
      <c r="AI99" s="14"/>
      <c r="AJ99" s="113"/>
      <c r="AK99" s="114" t="s">
        <v>101</v>
      </c>
      <c r="AM99" s="105" t="s">
        <v>102</v>
      </c>
      <c r="AO99" s="105" t="s">
        <v>103</v>
      </c>
      <c r="AQ99" s="104" t="s">
        <v>104</v>
      </c>
      <c r="AS99" s="104" t="s">
        <v>105</v>
      </c>
      <c r="AU99" s="104" t="s">
        <v>106</v>
      </c>
      <c r="AW99" s="105" t="s">
        <v>107</v>
      </c>
      <c r="AY99" s="104" t="s">
        <v>100</v>
      </c>
      <c r="AZ99" s="24"/>
    </row>
    <row r="100">
      <c r="A100" s="192">
        <v>2569.0</v>
      </c>
      <c r="B100" s="193"/>
      <c r="E100" s="115" t="s">
        <v>213</v>
      </c>
      <c r="F100" s="116" t="s">
        <v>80</v>
      </c>
      <c r="G100" s="115" t="str">
        <f t="shared" ref="G100:H100" si="144">G40</f>
        <v>A8</v>
      </c>
      <c r="H100" s="9" t="str">
        <f t="shared" si="144"/>
        <v>B11</v>
      </c>
      <c r="I100" s="9" t="str">
        <f t="shared" ref="I100:J100" si="145">I34</f>
        <v>A5</v>
      </c>
      <c r="J100" s="9" t="str">
        <f t="shared" si="145"/>
        <v>B11</v>
      </c>
      <c r="K100" s="36"/>
      <c r="L100" s="117"/>
      <c r="M100" s="118" t="str">
        <f t="shared" ref="M100:P100" si="146">C100</f>
        <v/>
      </c>
      <c r="N100" s="119" t="str">
        <f t="shared" si="146"/>
        <v/>
      </c>
      <c r="O100" s="118" t="str">
        <f t="shared" si="146"/>
        <v>A4</v>
      </c>
      <c r="P100" s="118" t="str">
        <f t="shared" si="146"/>
        <v>B1</v>
      </c>
      <c r="Q100" s="118" t="str">
        <f t="shared" ref="Q100:R100" si="147">E101</f>
        <v>B9</v>
      </c>
      <c r="R100" s="119" t="str">
        <f t="shared" si="147"/>
        <v>C3</v>
      </c>
      <c r="S100" s="9" t="s">
        <v>114</v>
      </c>
      <c r="T100" s="110" t="s">
        <v>112</v>
      </c>
      <c r="U100" s="9" t="str">
        <f t="shared" ref="U100:X100" si="148">G100</f>
        <v>A8</v>
      </c>
      <c r="V100" s="119" t="str">
        <f t="shared" si="148"/>
        <v>B11</v>
      </c>
      <c r="W100" s="118" t="str">
        <f t="shared" si="148"/>
        <v>A5</v>
      </c>
      <c r="X100" s="120" t="str">
        <f t="shared" si="148"/>
        <v>B11</v>
      </c>
      <c r="Y100" s="73" t="s">
        <v>126</v>
      </c>
      <c r="Z100" s="94" t="s">
        <v>163</v>
      </c>
      <c r="AA100" s="36"/>
      <c r="AB100" s="36"/>
      <c r="AC100" s="111"/>
      <c r="AD100" s="112"/>
      <c r="AE100" s="37"/>
      <c r="AF100" s="97"/>
      <c r="AG100" s="14"/>
      <c r="AH100" s="14"/>
      <c r="AI100" s="14"/>
      <c r="AJ100" s="113"/>
      <c r="AK100" s="114" t="s">
        <v>119</v>
      </c>
      <c r="AM100" s="105" t="s">
        <v>120</v>
      </c>
      <c r="AO100" s="105" t="s">
        <v>121</v>
      </c>
      <c r="AQ100" s="104" t="s">
        <v>122</v>
      </c>
      <c r="AS100" s="104" t="s">
        <v>123</v>
      </c>
      <c r="AU100" s="104" t="s">
        <v>124</v>
      </c>
      <c r="AW100" s="105" t="s">
        <v>125</v>
      </c>
      <c r="AY100" s="104" t="s">
        <v>118</v>
      </c>
      <c r="AZ100" s="24"/>
    </row>
    <row r="101">
      <c r="A101" s="192">
        <f>A100-543</f>
        <v>2026</v>
      </c>
      <c r="B101" s="193"/>
      <c r="E101" s="115" t="s">
        <v>212</v>
      </c>
      <c r="F101" s="116" t="s">
        <v>184</v>
      </c>
      <c r="G101" s="115"/>
      <c r="H101" s="118"/>
      <c r="I101" s="118"/>
      <c r="J101" s="118"/>
      <c r="K101" s="36"/>
      <c r="L101" s="117"/>
      <c r="M101" s="326"/>
      <c r="N101" s="327"/>
      <c r="R101" s="117"/>
      <c r="T101" s="117"/>
      <c r="V101" s="117"/>
      <c r="X101" s="117"/>
      <c r="Y101" s="73" t="s">
        <v>69</v>
      </c>
      <c r="Z101" s="94" t="s">
        <v>99</v>
      </c>
      <c r="AA101" s="36"/>
      <c r="AB101" s="36"/>
      <c r="AC101" s="111"/>
      <c r="AD101" s="112"/>
      <c r="AE101" s="37"/>
      <c r="AF101" s="97"/>
      <c r="AG101" s="14"/>
      <c r="AH101" s="14"/>
      <c r="AI101" s="14"/>
      <c r="AJ101" s="113"/>
      <c r="AK101" s="114" t="s">
        <v>130</v>
      </c>
      <c r="AM101" s="105" t="s">
        <v>131</v>
      </c>
      <c r="AO101" s="105" t="s">
        <v>132</v>
      </c>
      <c r="AQ101" s="104" t="s">
        <v>133</v>
      </c>
      <c r="AS101" s="104" t="s">
        <v>134</v>
      </c>
      <c r="AU101" s="104" t="s">
        <v>135</v>
      </c>
      <c r="AW101" s="105" t="s">
        <v>136</v>
      </c>
      <c r="AY101" s="104" t="s">
        <v>129</v>
      </c>
      <c r="AZ101" s="24"/>
    </row>
    <row r="102">
      <c r="A102" s="365" t="s">
        <v>156</v>
      </c>
      <c r="B102" s="206"/>
      <c r="C102" s="123" t="s">
        <v>336</v>
      </c>
      <c r="E102" s="164" t="s">
        <v>157</v>
      </c>
      <c r="F102" s="88"/>
      <c r="G102" s="207" t="str">
        <f>G5:H5</f>
        <v>อสูรเดือน N</v>
      </c>
      <c r="I102" s="208" t="str">
        <f>I5:J5</f>
        <v>อสูรปี N</v>
      </c>
      <c r="K102" s="36"/>
      <c r="L102" s="117"/>
      <c r="M102" s="128"/>
      <c r="N102" s="117"/>
      <c r="R102" s="117"/>
      <c r="T102" s="117"/>
      <c r="V102" s="117"/>
      <c r="X102" s="117"/>
      <c r="Y102" s="127"/>
      <c r="Z102" s="155"/>
      <c r="AA102" s="36"/>
      <c r="AB102" s="36"/>
      <c r="AC102" s="111"/>
      <c r="AD102" s="112"/>
      <c r="AE102" s="37"/>
      <c r="AF102" s="97"/>
      <c r="AG102" s="14"/>
      <c r="AH102" s="14"/>
      <c r="AI102" s="14"/>
      <c r="AJ102" s="113"/>
      <c r="AU102" s="128"/>
      <c r="AZ102" s="24"/>
    </row>
    <row r="103">
      <c r="A103" s="188" t="s">
        <v>191</v>
      </c>
      <c r="B103" s="189"/>
      <c r="C103" s="63"/>
      <c r="D103" s="63"/>
      <c r="E103" s="216">
        <f>(O104+P104+Q104+R104)/(O105+P105+Q105+R105)</f>
        <v>0.8</v>
      </c>
      <c r="F103" s="65"/>
      <c r="G103" s="133"/>
      <c r="H103" s="72"/>
      <c r="I103" s="67"/>
      <c r="J103" s="72"/>
      <c r="K103" s="68"/>
      <c r="L103" s="69"/>
      <c r="M103" s="63" t="s">
        <v>64</v>
      </c>
      <c r="N103" s="70"/>
      <c r="O103" s="71" t="s">
        <v>65</v>
      </c>
      <c r="P103" s="72"/>
      <c r="Q103" s="72"/>
      <c r="R103" s="70"/>
      <c r="S103" s="71" t="s">
        <v>66</v>
      </c>
      <c r="T103" s="70"/>
      <c r="U103" s="71" t="s">
        <v>67</v>
      </c>
      <c r="V103" s="70"/>
      <c r="W103" s="71" t="s">
        <v>68</v>
      </c>
      <c r="X103" s="70"/>
      <c r="Y103" s="134" t="s">
        <v>80</v>
      </c>
      <c r="Z103" s="74" t="s">
        <v>159</v>
      </c>
      <c r="AA103" s="75" t="s">
        <v>180</v>
      </c>
      <c r="AB103" s="75" t="s">
        <v>312</v>
      </c>
      <c r="AC103" s="202" t="s">
        <v>142</v>
      </c>
      <c r="AD103" s="74" t="s">
        <v>143</v>
      </c>
      <c r="AE103" s="63" t="s">
        <v>36</v>
      </c>
      <c r="AF103" s="78" t="s">
        <v>36</v>
      </c>
      <c r="AG103" s="79" t="s">
        <v>53</v>
      </c>
      <c r="AH103" s="79">
        <v>30.0</v>
      </c>
      <c r="AI103" s="79" t="s">
        <v>178</v>
      </c>
      <c r="AJ103" s="80" t="str">
        <f>AJ97</f>
        <v>開</v>
      </c>
      <c r="AK103" s="81" t="s">
        <v>46</v>
      </c>
      <c r="AL103" s="82" t="str">
        <f>AL97</f>
        <v>休</v>
      </c>
      <c r="AM103" s="81" t="s">
        <v>48</v>
      </c>
      <c r="AN103" s="82" t="str">
        <f>AN97</f>
        <v>生</v>
      </c>
      <c r="AO103" s="81" t="s">
        <v>50</v>
      </c>
      <c r="AP103" s="82" t="str">
        <f>AP97</f>
        <v>傷</v>
      </c>
      <c r="AQ103" s="81" t="s">
        <v>52</v>
      </c>
      <c r="AR103" s="82" t="str">
        <f>AR97</f>
        <v>杜</v>
      </c>
      <c r="AS103" s="81" t="s">
        <v>38</v>
      </c>
      <c r="AT103" s="82" t="str">
        <f>AT97</f>
        <v>景</v>
      </c>
      <c r="AU103" s="81" t="s">
        <v>40</v>
      </c>
      <c r="AV103" s="82" t="str">
        <f>AV97</f>
        <v>死</v>
      </c>
      <c r="AW103" s="81" t="s">
        <v>42</v>
      </c>
      <c r="AX103" s="82" t="str">
        <f>AX97</f>
        <v>驚</v>
      </c>
      <c r="AY103" s="81" t="s">
        <v>44</v>
      </c>
      <c r="AZ103" s="83"/>
      <c r="BA103" s="84"/>
      <c r="BB103" s="84"/>
      <c r="BC103" s="84"/>
    </row>
    <row r="104">
      <c r="A104" s="192">
        <f>A98+1</f>
        <v>16</v>
      </c>
      <c r="B104" s="193"/>
      <c r="C104" s="12" t="s">
        <v>265</v>
      </c>
      <c r="E104" s="199" t="s">
        <v>201</v>
      </c>
      <c r="G104" s="374" t="str">
        <f t="shared" ref="G104:G105" si="151">G3:H3</f>
        <v>甲</v>
      </c>
      <c r="I104" s="275" t="str">
        <f t="shared" ref="I104:I105" si="152">I32:J32</f>
        <v>丙</v>
      </c>
      <c r="K104" s="90">
        <f>L104/L105</f>
        <v>0.645</v>
      </c>
      <c r="L104" s="126">
        <f t="shared" ref="L104:L105" si="153">O104+P104+Q104+U104+V104+W104+X104+R104+M104+N104+S104+T104</f>
        <v>645</v>
      </c>
      <c r="M104" s="92">
        <v>0.0</v>
      </c>
      <c r="N104" s="93">
        <v>0.0</v>
      </c>
      <c r="O104" s="92">
        <v>100.0</v>
      </c>
      <c r="P104" s="92">
        <v>80.0</v>
      </c>
      <c r="Q104" s="92">
        <v>90.0</v>
      </c>
      <c r="R104" s="93">
        <v>50.0</v>
      </c>
      <c r="S104" s="92">
        <v>55.0</v>
      </c>
      <c r="T104" s="93">
        <v>35.0</v>
      </c>
      <c r="U104" s="92">
        <f t="shared" ref="U104:V104" si="149">U38</f>
        <v>5</v>
      </c>
      <c r="V104" s="93">
        <f t="shared" si="149"/>
        <v>60</v>
      </c>
      <c r="W104" s="92">
        <f t="shared" ref="W104:X104" si="150">W32</f>
        <v>110</v>
      </c>
      <c r="X104" s="93">
        <f t="shared" si="150"/>
        <v>60</v>
      </c>
      <c r="Y104" s="73" t="s">
        <v>98</v>
      </c>
      <c r="Z104" s="94" t="s">
        <v>152</v>
      </c>
      <c r="AA104" s="36"/>
      <c r="AB104" s="36"/>
      <c r="AC104" s="204" t="s">
        <v>82</v>
      </c>
      <c r="AD104" s="96" t="s">
        <v>83</v>
      </c>
      <c r="AE104" s="37"/>
      <c r="AF104" s="97"/>
      <c r="AG104" s="12" t="s">
        <v>71</v>
      </c>
      <c r="AH104" s="12">
        <v>210.0</v>
      </c>
      <c r="AI104" s="12" t="s">
        <v>175</v>
      </c>
      <c r="AJ104" s="98" t="s">
        <v>86</v>
      </c>
      <c r="AK104" s="99" t="s">
        <v>87</v>
      </c>
      <c r="AL104" s="100" t="s">
        <v>88</v>
      </c>
      <c r="AM104" s="101" t="s">
        <v>89</v>
      </c>
      <c r="AN104" s="100" t="s">
        <v>45</v>
      </c>
      <c r="AO104" s="102" t="s">
        <v>90</v>
      </c>
      <c r="AP104" s="100" t="s">
        <v>43</v>
      </c>
      <c r="AQ104" s="101" t="s">
        <v>91</v>
      </c>
      <c r="AR104" s="100" t="s">
        <v>41</v>
      </c>
      <c r="AS104" s="103" t="s">
        <v>92</v>
      </c>
      <c r="AT104" s="100" t="s">
        <v>39</v>
      </c>
      <c r="AU104" s="99" t="s">
        <v>93</v>
      </c>
      <c r="AV104" s="100" t="s">
        <v>37</v>
      </c>
      <c r="AW104" s="99" t="s">
        <v>94</v>
      </c>
      <c r="AX104" s="100" t="s">
        <v>51</v>
      </c>
      <c r="AY104" s="101" t="s">
        <v>95</v>
      </c>
      <c r="AZ104" s="24"/>
    </row>
    <row r="105">
      <c r="A105" s="215" t="str">
        <f>G2</f>
        <v>มิถุนายน</v>
      </c>
      <c r="B105" s="193"/>
      <c r="C105" s="140" t="s">
        <v>235</v>
      </c>
      <c r="E105" s="209" t="s">
        <v>32</v>
      </c>
      <c r="G105" s="223" t="str">
        <f t="shared" si="151"/>
        <v>午</v>
      </c>
      <c r="I105" s="142" t="str">
        <f t="shared" si="152"/>
        <v>午</v>
      </c>
      <c r="K105" s="36"/>
      <c r="L105" s="109">
        <f t="shared" si="153"/>
        <v>1000</v>
      </c>
      <c r="M105" s="9">
        <v>0.0</v>
      </c>
      <c r="N105" s="110">
        <v>0.0</v>
      </c>
      <c r="O105" s="9">
        <v>100.0</v>
      </c>
      <c r="P105" s="9">
        <v>100.0</v>
      </c>
      <c r="Q105" s="9">
        <v>100.0</v>
      </c>
      <c r="R105" s="110">
        <v>100.0</v>
      </c>
      <c r="S105" s="9">
        <v>100.0</v>
      </c>
      <c r="T105" s="110">
        <v>100.0</v>
      </c>
      <c r="U105" s="9">
        <v>100.0</v>
      </c>
      <c r="V105" s="110">
        <v>100.0</v>
      </c>
      <c r="W105" s="9">
        <v>100.0</v>
      </c>
      <c r="X105" s="110">
        <v>100.0</v>
      </c>
      <c r="Y105" s="73" t="s">
        <v>116</v>
      </c>
      <c r="Z105" s="94" t="s">
        <v>81</v>
      </c>
      <c r="AA105" s="36"/>
      <c r="AB105" s="36"/>
      <c r="AC105" s="111"/>
      <c r="AD105" s="112"/>
      <c r="AE105" s="37"/>
      <c r="AF105" s="97"/>
      <c r="AG105" s="14"/>
      <c r="AH105" s="14"/>
      <c r="AI105" s="14"/>
      <c r="AJ105" s="113"/>
      <c r="AK105" s="104" t="s">
        <v>100</v>
      </c>
      <c r="AM105" s="114" t="s">
        <v>101</v>
      </c>
      <c r="AO105" s="105" t="s">
        <v>102</v>
      </c>
      <c r="AQ105" s="105" t="s">
        <v>103</v>
      </c>
      <c r="AS105" s="104" t="s">
        <v>104</v>
      </c>
      <c r="AU105" s="104" t="s">
        <v>105</v>
      </c>
      <c r="AW105" s="104" t="s">
        <v>106</v>
      </c>
      <c r="AY105" s="105" t="s">
        <v>107</v>
      </c>
      <c r="AZ105" s="24"/>
    </row>
    <row r="106">
      <c r="A106" s="192">
        <v>2569.0</v>
      </c>
      <c r="B106" s="193"/>
      <c r="E106" s="115" t="s">
        <v>213</v>
      </c>
      <c r="F106" s="116" t="s">
        <v>98</v>
      </c>
      <c r="G106" s="115" t="str">
        <f t="shared" ref="G106:H106" si="154">G40</f>
        <v>A8</v>
      </c>
      <c r="H106" s="9" t="str">
        <f t="shared" si="154"/>
        <v>B11</v>
      </c>
      <c r="I106" s="9" t="str">
        <f t="shared" ref="I106:J106" si="155">I34</f>
        <v>A5</v>
      </c>
      <c r="J106" s="9" t="str">
        <f t="shared" si="155"/>
        <v>B11</v>
      </c>
      <c r="K106" s="36"/>
      <c r="L106" s="117"/>
      <c r="M106" s="118" t="str">
        <f t="shared" ref="M106:P106" si="156">C106</f>
        <v/>
      </c>
      <c r="N106" s="119" t="str">
        <f t="shared" si="156"/>
        <v/>
      </c>
      <c r="O106" s="118" t="str">
        <f t="shared" si="156"/>
        <v>A4</v>
      </c>
      <c r="P106" s="118" t="str">
        <f t="shared" si="156"/>
        <v>B2</v>
      </c>
      <c r="Q106" s="118" t="str">
        <f t="shared" ref="Q106:R106" si="157">E107</f>
        <v>B8</v>
      </c>
      <c r="R106" s="119" t="str">
        <f t="shared" si="157"/>
        <v>C4</v>
      </c>
      <c r="S106" s="9" t="s">
        <v>110</v>
      </c>
      <c r="T106" s="110" t="s">
        <v>115</v>
      </c>
      <c r="U106" s="9" t="str">
        <f t="shared" ref="U106:X106" si="158">G106</f>
        <v>A8</v>
      </c>
      <c r="V106" s="119" t="str">
        <f t="shared" si="158"/>
        <v>B11</v>
      </c>
      <c r="W106" s="118" t="str">
        <f t="shared" si="158"/>
        <v>A5</v>
      </c>
      <c r="X106" s="120" t="str">
        <f t="shared" si="158"/>
        <v>B11</v>
      </c>
      <c r="Y106" s="73" t="s">
        <v>126</v>
      </c>
      <c r="Z106" s="94" t="s">
        <v>99</v>
      </c>
      <c r="AA106" s="36"/>
      <c r="AB106" s="36"/>
      <c r="AC106" s="111"/>
      <c r="AD106" s="112"/>
      <c r="AE106" s="37"/>
      <c r="AF106" s="97"/>
      <c r="AG106" s="14"/>
      <c r="AH106" s="14"/>
      <c r="AI106" s="14"/>
      <c r="AJ106" s="113"/>
      <c r="AK106" s="104" t="s">
        <v>118</v>
      </c>
      <c r="AM106" s="114" t="s">
        <v>119</v>
      </c>
      <c r="AO106" s="105" t="s">
        <v>120</v>
      </c>
      <c r="AQ106" s="105" t="s">
        <v>121</v>
      </c>
      <c r="AS106" s="104" t="s">
        <v>122</v>
      </c>
      <c r="AU106" s="104" t="s">
        <v>123</v>
      </c>
      <c r="AW106" s="104" t="s">
        <v>124</v>
      </c>
      <c r="AY106" s="105" t="s">
        <v>125</v>
      </c>
      <c r="AZ106" s="24"/>
    </row>
    <row r="107">
      <c r="A107" s="192">
        <f>A106-543</f>
        <v>2026</v>
      </c>
      <c r="B107" s="193"/>
      <c r="C107" s="379"/>
      <c r="E107" s="115" t="s">
        <v>69</v>
      </c>
      <c r="F107" s="116" t="s">
        <v>190</v>
      </c>
      <c r="G107" s="115"/>
      <c r="H107" s="118"/>
      <c r="I107" s="118"/>
      <c r="J107" s="118"/>
      <c r="K107" s="36"/>
      <c r="L107" s="117"/>
      <c r="M107" s="326"/>
      <c r="N107" s="327"/>
      <c r="R107" s="117"/>
      <c r="T107" s="117"/>
      <c r="V107" s="117"/>
      <c r="X107" s="117"/>
      <c r="Y107" s="73" t="s">
        <v>69</v>
      </c>
      <c r="Z107" s="94" t="s">
        <v>155</v>
      </c>
      <c r="AA107" s="36"/>
      <c r="AB107" s="36"/>
      <c r="AC107" s="111"/>
      <c r="AD107" s="112"/>
      <c r="AE107" s="37"/>
      <c r="AF107" s="97"/>
      <c r="AG107" s="14"/>
      <c r="AH107" s="14"/>
      <c r="AI107" s="14"/>
      <c r="AJ107" s="113"/>
      <c r="AK107" s="104" t="s">
        <v>129</v>
      </c>
      <c r="AM107" s="114" t="s">
        <v>130</v>
      </c>
      <c r="AO107" s="105" t="s">
        <v>131</v>
      </c>
      <c r="AQ107" s="105" t="s">
        <v>132</v>
      </c>
      <c r="AS107" s="104" t="s">
        <v>133</v>
      </c>
      <c r="AU107" s="104" t="s">
        <v>134</v>
      </c>
      <c r="AW107" s="104" t="s">
        <v>135</v>
      </c>
      <c r="AY107" s="105" t="s">
        <v>136</v>
      </c>
      <c r="AZ107" s="24"/>
    </row>
    <row r="108">
      <c r="A108" s="365" t="s">
        <v>156</v>
      </c>
      <c r="B108" s="206"/>
      <c r="C108" s="123"/>
      <c r="D108" s="123"/>
      <c r="E108" s="176" t="s">
        <v>168</v>
      </c>
      <c r="F108" s="88"/>
      <c r="G108" s="207" t="str">
        <f>G5:H5</f>
        <v>อสูรเดือน N</v>
      </c>
      <c r="I108" s="208" t="str">
        <f>I5:J5</f>
        <v>อสูรปี N</v>
      </c>
      <c r="K108" s="36"/>
      <c r="L108" s="117"/>
      <c r="M108" s="128"/>
      <c r="N108" s="117"/>
      <c r="R108" s="117"/>
      <c r="T108" s="117"/>
      <c r="V108" s="117"/>
      <c r="X108" s="117"/>
      <c r="Y108" s="127"/>
      <c r="Z108" s="155"/>
      <c r="AA108" s="36"/>
      <c r="AB108" s="36"/>
      <c r="AC108" s="111"/>
      <c r="AD108" s="112"/>
      <c r="AE108" s="37"/>
      <c r="AF108" s="97"/>
      <c r="AG108" s="14"/>
      <c r="AH108" s="14"/>
      <c r="AI108" s="14"/>
      <c r="AJ108" s="113"/>
      <c r="AK108" s="128"/>
      <c r="AY108" s="220"/>
      <c r="AZ108" s="24"/>
    </row>
    <row r="109">
      <c r="A109" s="188" t="s">
        <v>199</v>
      </c>
      <c r="B109" s="189"/>
      <c r="C109" s="63"/>
      <c r="D109" s="63"/>
      <c r="E109" s="358">
        <f>(O110+P110+Q110+R110)/(O111+P111+Q111+R111)</f>
        <v>0.4625</v>
      </c>
      <c r="F109" s="65"/>
      <c r="G109" s="133"/>
      <c r="H109" s="72"/>
      <c r="I109" s="67"/>
      <c r="J109" s="72"/>
      <c r="K109" s="68"/>
      <c r="L109" s="69"/>
      <c r="M109" s="63" t="s">
        <v>64</v>
      </c>
      <c r="N109" s="70"/>
      <c r="O109" s="71" t="s">
        <v>65</v>
      </c>
      <c r="P109" s="72"/>
      <c r="Q109" s="72"/>
      <c r="R109" s="70"/>
      <c r="S109" s="71" t="s">
        <v>66</v>
      </c>
      <c r="T109" s="70"/>
      <c r="U109" s="71" t="s">
        <v>67</v>
      </c>
      <c r="V109" s="70"/>
      <c r="W109" s="71" t="s">
        <v>68</v>
      </c>
      <c r="X109" s="70"/>
      <c r="Y109" s="134" t="s">
        <v>80</v>
      </c>
      <c r="Z109" s="74" t="s">
        <v>181</v>
      </c>
      <c r="AA109" s="75" t="s">
        <v>206</v>
      </c>
      <c r="AB109" s="75" t="s">
        <v>207</v>
      </c>
      <c r="AC109" s="135" t="s">
        <v>142</v>
      </c>
      <c r="AD109" s="74" t="s">
        <v>143</v>
      </c>
      <c r="AE109" s="63" t="s">
        <v>144</v>
      </c>
      <c r="AF109" s="78" t="s">
        <v>34</v>
      </c>
      <c r="AG109" s="79" t="s">
        <v>189</v>
      </c>
      <c r="AH109" s="79">
        <v>90.0</v>
      </c>
      <c r="AI109" s="79" t="s">
        <v>208</v>
      </c>
      <c r="AJ109" s="80" t="str">
        <f>AJ103</f>
        <v>開</v>
      </c>
      <c r="AK109" s="81" t="s">
        <v>46</v>
      </c>
      <c r="AL109" s="82" t="str">
        <f>AL103</f>
        <v>休</v>
      </c>
      <c r="AM109" s="81" t="s">
        <v>48</v>
      </c>
      <c r="AN109" s="82" t="str">
        <f>AN103</f>
        <v>生</v>
      </c>
      <c r="AO109" s="81" t="s">
        <v>50</v>
      </c>
      <c r="AP109" s="82" t="str">
        <f>AP103</f>
        <v>傷</v>
      </c>
      <c r="AQ109" s="81" t="s">
        <v>52</v>
      </c>
      <c r="AR109" s="82" t="str">
        <f>AR103</f>
        <v>杜</v>
      </c>
      <c r="AS109" s="81" t="s">
        <v>38</v>
      </c>
      <c r="AT109" s="82" t="str">
        <f>AT103</f>
        <v>景</v>
      </c>
      <c r="AU109" s="81" t="s">
        <v>40</v>
      </c>
      <c r="AV109" s="82" t="str">
        <f>AV103</f>
        <v>死</v>
      </c>
      <c r="AW109" s="81" t="s">
        <v>42</v>
      </c>
      <c r="AX109" s="82" t="str">
        <f>AX103</f>
        <v>驚</v>
      </c>
      <c r="AY109" s="81" t="s">
        <v>44</v>
      </c>
      <c r="AZ109" s="83"/>
      <c r="BA109" s="84"/>
      <c r="BB109" s="84"/>
      <c r="BC109" s="84"/>
    </row>
    <row r="110">
      <c r="A110" s="192">
        <f>A104+1</f>
        <v>17</v>
      </c>
      <c r="B110" s="193"/>
      <c r="C110" s="12" t="s">
        <v>260</v>
      </c>
      <c r="E110" s="203" t="s">
        <v>209</v>
      </c>
      <c r="G110" s="374" t="str">
        <f t="shared" ref="G110:G111" si="161">G3:H3</f>
        <v>甲</v>
      </c>
      <c r="I110" s="275" t="str">
        <f t="shared" ref="I110:I111" si="162">I32:J32</f>
        <v>丙</v>
      </c>
      <c r="K110" s="90">
        <f>L110/L111</f>
        <v>0.505</v>
      </c>
      <c r="L110" s="126">
        <f t="shared" ref="L110:L111" si="163">O110+P110+Q110+U110+V110+W110+X110+R110+M110+N110+S110+T110</f>
        <v>505</v>
      </c>
      <c r="M110" s="92">
        <v>0.0</v>
      </c>
      <c r="N110" s="93">
        <v>0.0</v>
      </c>
      <c r="O110" s="92">
        <v>85.0</v>
      </c>
      <c r="P110" s="92">
        <v>20.0</v>
      </c>
      <c r="Q110" s="92">
        <v>0.0</v>
      </c>
      <c r="R110" s="93">
        <v>80.0</v>
      </c>
      <c r="S110" s="92">
        <v>80.0</v>
      </c>
      <c r="T110" s="93">
        <v>5.0</v>
      </c>
      <c r="U110" s="92">
        <f t="shared" ref="U110:V110" si="159">U38</f>
        <v>5</v>
      </c>
      <c r="V110" s="93">
        <f t="shared" si="159"/>
        <v>60</v>
      </c>
      <c r="W110" s="92">
        <f t="shared" ref="W110:X110" si="160">W32</f>
        <v>110</v>
      </c>
      <c r="X110" s="93">
        <f t="shared" si="160"/>
        <v>60</v>
      </c>
      <c r="Y110" s="73" t="s">
        <v>98</v>
      </c>
      <c r="Z110" s="94" t="s">
        <v>163</v>
      </c>
      <c r="AA110" s="36"/>
      <c r="AB110" s="36"/>
      <c r="AC110" s="139" t="s">
        <v>148</v>
      </c>
      <c r="AD110" s="96" t="s">
        <v>149</v>
      </c>
      <c r="AE110" s="37"/>
      <c r="AF110" s="97"/>
      <c r="AG110" s="12" t="s">
        <v>54</v>
      </c>
      <c r="AH110" s="12">
        <v>150.0</v>
      </c>
      <c r="AI110" s="12" t="s">
        <v>210</v>
      </c>
      <c r="AJ110" s="98" t="s">
        <v>37</v>
      </c>
      <c r="AK110" s="99" t="s">
        <v>94</v>
      </c>
      <c r="AL110" s="100" t="s">
        <v>51</v>
      </c>
      <c r="AM110" s="101" t="s">
        <v>95</v>
      </c>
      <c r="AN110" s="100" t="s">
        <v>86</v>
      </c>
      <c r="AO110" s="99" t="s">
        <v>87</v>
      </c>
      <c r="AP110" s="100" t="s">
        <v>88</v>
      </c>
      <c r="AQ110" s="101" t="s">
        <v>89</v>
      </c>
      <c r="AR110" s="100" t="s">
        <v>45</v>
      </c>
      <c r="AS110" s="102" t="s">
        <v>90</v>
      </c>
      <c r="AT110" s="100" t="s">
        <v>43</v>
      </c>
      <c r="AU110" s="101" t="s">
        <v>91</v>
      </c>
      <c r="AV110" s="100" t="s">
        <v>41</v>
      </c>
      <c r="AW110" s="103" t="s">
        <v>92</v>
      </c>
      <c r="AX110" s="100" t="s">
        <v>39</v>
      </c>
      <c r="AY110" s="99" t="s">
        <v>93</v>
      </c>
      <c r="AZ110" s="24"/>
    </row>
    <row r="111">
      <c r="A111" s="215" t="str">
        <f>G2</f>
        <v>มิถุนายน</v>
      </c>
      <c r="B111" s="193"/>
      <c r="C111" s="140" t="s">
        <v>239</v>
      </c>
      <c r="E111" s="162" t="s">
        <v>206</v>
      </c>
      <c r="G111" s="223" t="str">
        <f t="shared" si="161"/>
        <v>午</v>
      </c>
      <c r="I111" s="142" t="str">
        <f t="shared" si="162"/>
        <v>午</v>
      </c>
      <c r="K111" s="36"/>
      <c r="L111" s="109">
        <f t="shared" si="163"/>
        <v>1000</v>
      </c>
      <c r="M111" s="9">
        <v>0.0</v>
      </c>
      <c r="N111" s="110">
        <v>0.0</v>
      </c>
      <c r="O111" s="9">
        <v>100.0</v>
      </c>
      <c r="P111" s="9">
        <v>100.0</v>
      </c>
      <c r="Q111" s="9">
        <v>100.0</v>
      </c>
      <c r="R111" s="110">
        <v>100.0</v>
      </c>
      <c r="S111" s="9">
        <v>100.0</v>
      </c>
      <c r="T111" s="110">
        <v>100.0</v>
      </c>
      <c r="U111" s="9">
        <v>100.0</v>
      </c>
      <c r="V111" s="110">
        <v>100.0</v>
      </c>
      <c r="W111" s="9">
        <v>100.0</v>
      </c>
      <c r="X111" s="110">
        <v>100.0</v>
      </c>
      <c r="Y111" s="73" t="s">
        <v>116</v>
      </c>
      <c r="Z111" s="94" t="s">
        <v>153</v>
      </c>
      <c r="AA111" s="36"/>
      <c r="AB111" s="36"/>
      <c r="AC111" s="111"/>
      <c r="AD111" s="112"/>
      <c r="AE111" s="37"/>
      <c r="AF111" s="97"/>
      <c r="AG111" s="14"/>
      <c r="AH111" s="14"/>
      <c r="AI111" s="14"/>
      <c r="AJ111" s="113"/>
      <c r="AK111" s="104" t="s">
        <v>106</v>
      </c>
      <c r="AM111" s="105" t="s">
        <v>107</v>
      </c>
      <c r="AO111" s="104" t="s">
        <v>100</v>
      </c>
      <c r="AQ111" s="114" t="s">
        <v>101</v>
      </c>
      <c r="AS111" s="105" t="s">
        <v>102</v>
      </c>
      <c r="AU111" s="105" t="s">
        <v>103</v>
      </c>
      <c r="AW111" s="104" t="s">
        <v>104</v>
      </c>
      <c r="AY111" s="104" t="s">
        <v>105</v>
      </c>
      <c r="AZ111" s="24"/>
    </row>
    <row r="112">
      <c r="A112" s="192">
        <v>2569.0</v>
      </c>
      <c r="B112" s="193"/>
      <c r="E112" s="115" t="s">
        <v>219</v>
      </c>
      <c r="F112" s="116" t="s">
        <v>183</v>
      </c>
      <c r="G112" s="115" t="str">
        <f t="shared" ref="G112:H112" si="164">G40</f>
        <v>A8</v>
      </c>
      <c r="H112" s="9" t="str">
        <f t="shared" si="164"/>
        <v>B11</v>
      </c>
      <c r="I112" s="9" t="str">
        <f t="shared" ref="I112:J112" si="165">I34</f>
        <v>A5</v>
      </c>
      <c r="J112" s="9" t="str">
        <f t="shared" si="165"/>
        <v>B11</v>
      </c>
      <c r="K112" s="36"/>
      <c r="L112" s="117"/>
      <c r="M112" s="118" t="str">
        <f t="shared" ref="M112:P112" si="166">C112</f>
        <v/>
      </c>
      <c r="N112" s="119" t="str">
        <f t="shared" si="166"/>
        <v/>
      </c>
      <c r="O112" s="118" t="str">
        <f t="shared" si="166"/>
        <v>A3</v>
      </c>
      <c r="P112" s="118" t="str">
        <f t="shared" si="166"/>
        <v>B3</v>
      </c>
      <c r="Q112" s="118" t="str">
        <f t="shared" ref="Q112:R112" si="167">E113</f>
        <v>B7</v>
      </c>
      <c r="R112" s="119" t="str">
        <f t="shared" si="167"/>
        <v>C5</v>
      </c>
      <c r="S112" s="9" t="s">
        <v>182</v>
      </c>
      <c r="T112" s="110" t="s">
        <v>108</v>
      </c>
      <c r="U112" s="9" t="str">
        <f t="shared" ref="U112:X112" si="168">G112</f>
        <v>A8</v>
      </c>
      <c r="V112" s="119" t="str">
        <f t="shared" si="168"/>
        <v>B11</v>
      </c>
      <c r="W112" s="118" t="str">
        <f t="shared" si="168"/>
        <v>A5</v>
      </c>
      <c r="X112" s="120" t="str">
        <f t="shared" si="168"/>
        <v>B11</v>
      </c>
      <c r="Y112" s="73" t="s">
        <v>126</v>
      </c>
      <c r="Z112" s="94" t="s">
        <v>155</v>
      </c>
      <c r="AA112" s="36"/>
      <c r="AB112" s="36"/>
      <c r="AC112" s="111"/>
      <c r="AD112" s="112"/>
      <c r="AE112" s="37"/>
      <c r="AF112" s="97"/>
      <c r="AG112" s="14"/>
      <c r="AH112" s="14"/>
      <c r="AI112" s="14"/>
      <c r="AJ112" s="113"/>
      <c r="AK112" s="104" t="s">
        <v>124</v>
      </c>
      <c r="AM112" s="105" t="s">
        <v>125</v>
      </c>
      <c r="AO112" s="104" t="s">
        <v>118</v>
      </c>
      <c r="AQ112" s="114" t="s">
        <v>119</v>
      </c>
      <c r="AS112" s="105" t="s">
        <v>120</v>
      </c>
      <c r="AU112" s="105" t="s">
        <v>121</v>
      </c>
      <c r="AW112" s="104" t="s">
        <v>122</v>
      </c>
      <c r="AY112" s="104" t="s">
        <v>123</v>
      </c>
      <c r="AZ112" s="24"/>
    </row>
    <row r="113">
      <c r="A113" s="192">
        <f>A112-543</f>
        <v>2026</v>
      </c>
      <c r="B113" s="193"/>
      <c r="C113" s="12"/>
      <c r="E113" s="115" t="s">
        <v>111</v>
      </c>
      <c r="F113" s="116" t="s">
        <v>205</v>
      </c>
      <c r="G113" s="115"/>
      <c r="H113" s="118"/>
      <c r="I113" s="118"/>
      <c r="J113" s="118"/>
      <c r="K113" s="36"/>
      <c r="L113" s="117"/>
      <c r="M113" s="326"/>
      <c r="N113" s="327"/>
      <c r="R113" s="117"/>
      <c r="T113" s="117"/>
      <c r="V113" s="117"/>
      <c r="X113" s="117"/>
      <c r="Y113" s="73" t="s">
        <v>69</v>
      </c>
      <c r="Z113" s="94" t="s">
        <v>128</v>
      </c>
      <c r="AA113" s="36"/>
      <c r="AB113" s="36"/>
      <c r="AC113" s="111"/>
      <c r="AD113" s="112"/>
      <c r="AE113" s="37"/>
      <c r="AF113" s="97"/>
      <c r="AG113" s="14"/>
      <c r="AH113" s="14"/>
      <c r="AI113" s="14"/>
      <c r="AJ113" s="113"/>
      <c r="AK113" s="104" t="s">
        <v>135</v>
      </c>
      <c r="AM113" s="105" t="s">
        <v>136</v>
      </c>
      <c r="AO113" s="104" t="s">
        <v>129</v>
      </c>
      <c r="AQ113" s="114" t="s">
        <v>130</v>
      </c>
      <c r="AS113" s="105" t="s">
        <v>131</v>
      </c>
      <c r="AU113" s="105" t="s">
        <v>132</v>
      </c>
      <c r="AW113" s="104" t="s">
        <v>133</v>
      </c>
      <c r="AY113" s="104" t="s">
        <v>134</v>
      </c>
      <c r="AZ113" s="24"/>
    </row>
    <row r="114">
      <c r="A114" s="351"/>
      <c r="B114" s="206"/>
      <c r="C114" s="123"/>
      <c r="D114" s="123"/>
      <c r="E114" s="176" t="s">
        <v>185</v>
      </c>
      <c r="F114" s="88"/>
      <c r="G114" s="207" t="str">
        <f>G5:H5</f>
        <v>อสูรเดือน N</v>
      </c>
      <c r="I114" s="208" t="str">
        <f>I5:J5</f>
        <v>อสูรปี N</v>
      </c>
      <c r="K114" s="36"/>
      <c r="L114" s="117"/>
      <c r="M114" s="326"/>
      <c r="N114" s="327"/>
      <c r="R114" s="117"/>
      <c r="T114" s="117"/>
      <c r="V114" s="117"/>
      <c r="X114" s="117"/>
      <c r="Y114" s="127"/>
      <c r="Z114" s="155"/>
      <c r="AA114" s="36"/>
      <c r="AB114" s="36"/>
      <c r="AC114" s="111"/>
      <c r="AD114" s="112"/>
      <c r="AE114" s="37"/>
      <c r="AF114" s="97"/>
      <c r="AG114" s="14"/>
      <c r="AH114" s="14"/>
      <c r="AI114" s="14"/>
      <c r="AJ114" s="113"/>
      <c r="AU114" s="128"/>
      <c r="AZ114" s="24"/>
    </row>
    <row r="115">
      <c r="A115" s="188" t="s">
        <v>63</v>
      </c>
      <c r="B115" s="189"/>
      <c r="C115" s="63"/>
      <c r="D115" s="63"/>
      <c r="E115" s="358">
        <f>(O116+P116+Q116+R116)/(O117+P117+Q117+R117)</f>
        <v>0.775</v>
      </c>
      <c r="F115" s="65"/>
      <c r="G115" s="133"/>
      <c r="H115" s="72"/>
      <c r="I115" s="67"/>
      <c r="J115" s="72"/>
      <c r="K115" s="68"/>
      <c r="L115" s="69"/>
      <c r="M115" s="63" t="s">
        <v>64</v>
      </c>
      <c r="N115" s="70"/>
      <c r="O115" s="71" t="s">
        <v>65</v>
      </c>
      <c r="P115" s="72"/>
      <c r="Q115" s="72"/>
      <c r="R115" s="70"/>
      <c r="S115" s="71" t="s">
        <v>66</v>
      </c>
      <c r="T115" s="70"/>
      <c r="U115" s="71" t="s">
        <v>67</v>
      </c>
      <c r="V115" s="70"/>
      <c r="W115" s="71" t="s">
        <v>68</v>
      </c>
      <c r="X115" s="70"/>
      <c r="Y115" s="134" t="s">
        <v>69</v>
      </c>
      <c r="Z115" s="74" t="s">
        <v>70</v>
      </c>
      <c r="AA115" s="75"/>
      <c r="AB115" s="75" t="s">
        <v>316</v>
      </c>
      <c r="AC115" s="135" t="s">
        <v>142</v>
      </c>
      <c r="AD115" s="74" t="s">
        <v>143</v>
      </c>
      <c r="AE115" s="63" t="s">
        <v>144</v>
      </c>
      <c r="AF115" s="78" t="s">
        <v>75</v>
      </c>
      <c r="AG115" s="79" t="s">
        <v>54</v>
      </c>
      <c r="AH115" s="79">
        <v>150.0</v>
      </c>
      <c r="AI115" s="79" t="s">
        <v>210</v>
      </c>
      <c r="AJ115" s="80" t="str">
        <f>AJ109</f>
        <v>開</v>
      </c>
      <c r="AK115" s="81" t="s">
        <v>42</v>
      </c>
      <c r="AL115" s="82" t="str">
        <f>AL109</f>
        <v>休</v>
      </c>
      <c r="AM115" s="81" t="s">
        <v>44</v>
      </c>
      <c r="AN115" s="82" t="s">
        <v>4</v>
      </c>
      <c r="AO115" s="81" t="s">
        <v>46</v>
      </c>
      <c r="AP115" s="82" t="str">
        <f>AP109</f>
        <v>傷</v>
      </c>
      <c r="AQ115" s="81" t="s">
        <v>48</v>
      </c>
      <c r="AR115" s="82" t="s">
        <v>8</v>
      </c>
      <c r="AS115" s="81" t="s">
        <v>50</v>
      </c>
      <c r="AT115" s="82" t="str">
        <f>AT109</f>
        <v>景</v>
      </c>
      <c r="AU115" s="81" t="s">
        <v>52</v>
      </c>
      <c r="AV115" s="82" t="str">
        <f>AV109</f>
        <v>死</v>
      </c>
      <c r="AW115" s="81" t="s">
        <v>38</v>
      </c>
      <c r="AX115" s="82" t="str">
        <f>AX109</f>
        <v>驚</v>
      </c>
      <c r="AY115" s="81" t="s">
        <v>40</v>
      </c>
      <c r="AZ115" s="83"/>
      <c r="BA115" s="84"/>
      <c r="BB115" s="84"/>
      <c r="BC115" s="84"/>
    </row>
    <row r="116">
      <c r="A116" s="192">
        <f>A110+1</f>
        <v>18</v>
      </c>
      <c r="B116" s="193"/>
      <c r="C116" s="12" t="s">
        <v>344</v>
      </c>
      <c r="E116" s="203" t="s">
        <v>171</v>
      </c>
      <c r="G116" s="374" t="str">
        <f t="shared" ref="G116:G117" si="171">G3:H3</f>
        <v>甲</v>
      </c>
      <c r="I116" s="275" t="str">
        <f t="shared" ref="I116:I117" si="172">I32:J32</f>
        <v>丙</v>
      </c>
      <c r="K116" s="90">
        <f>L116/L117</f>
        <v>0.625</v>
      </c>
      <c r="L116" s="126">
        <f t="shared" ref="L116:L117" si="173">O116+P116+Q116+U116+V116+W116+X116+R116+M116+N116+S116+T116</f>
        <v>625</v>
      </c>
      <c r="M116" s="92">
        <v>0.0</v>
      </c>
      <c r="N116" s="93">
        <v>0.0</v>
      </c>
      <c r="O116" s="92">
        <v>110.0</v>
      </c>
      <c r="P116" s="92">
        <v>30.0</v>
      </c>
      <c r="Q116" s="92">
        <v>90.0</v>
      </c>
      <c r="R116" s="93">
        <v>80.0</v>
      </c>
      <c r="S116" s="92">
        <v>80.0</v>
      </c>
      <c r="T116" s="93">
        <v>0.0</v>
      </c>
      <c r="U116" s="92">
        <f t="shared" ref="U116:V116" si="169">U38</f>
        <v>5</v>
      </c>
      <c r="V116" s="93">
        <f t="shared" si="169"/>
        <v>60</v>
      </c>
      <c r="W116" s="92">
        <f t="shared" ref="W116:X116" si="170">W32</f>
        <v>110</v>
      </c>
      <c r="X116" s="93">
        <f t="shared" si="170"/>
        <v>60</v>
      </c>
      <c r="Y116" s="73" t="s">
        <v>80</v>
      </c>
      <c r="Z116" s="94" t="s">
        <v>81</v>
      </c>
      <c r="AA116" s="36"/>
      <c r="AB116" s="36"/>
      <c r="AC116" s="139" t="s">
        <v>148</v>
      </c>
      <c r="AD116" s="96" t="s">
        <v>149</v>
      </c>
      <c r="AE116" s="37"/>
      <c r="AF116" s="97"/>
      <c r="AG116" s="12" t="s">
        <v>189</v>
      </c>
      <c r="AH116" s="12">
        <v>90.0</v>
      </c>
      <c r="AI116" s="12" t="s">
        <v>208</v>
      </c>
      <c r="AJ116" s="98" t="s">
        <v>39</v>
      </c>
      <c r="AK116" s="99" t="s">
        <v>93</v>
      </c>
      <c r="AL116" s="100" t="s">
        <v>37</v>
      </c>
      <c r="AM116" s="99" t="s">
        <v>94</v>
      </c>
      <c r="AN116" s="100" t="s">
        <v>51</v>
      </c>
      <c r="AO116" s="101" t="s">
        <v>95</v>
      </c>
      <c r="AP116" s="100" t="s">
        <v>86</v>
      </c>
      <c r="AQ116" s="99" t="s">
        <v>87</v>
      </c>
      <c r="AR116" s="100" t="s">
        <v>88</v>
      </c>
      <c r="AS116" s="101" t="s">
        <v>89</v>
      </c>
      <c r="AT116" s="100" t="s">
        <v>45</v>
      </c>
      <c r="AU116" s="102" t="s">
        <v>90</v>
      </c>
      <c r="AV116" s="100" t="s">
        <v>43</v>
      </c>
      <c r="AW116" s="101" t="s">
        <v>91</v>
      </c>
      <c r="AX116" s="100" t="s">
        <v>41</v>
      </c>
      <c r="AY116" s="103" t="s">
        <v>92</v>
      </c>
      <c r="AZ116" s="24"/>
    </row>
    <row r="117">
      <c r="A117" s="215" t="str">
        <f>G2</f>
        <v>มิถุนายน</v>
      </c>
      <c r="B117" s="193"/>
      <c r="C117" s="106" t="s">
        <v>96</v>
      </c>
      <c r="E117" s="107" t="s">
        <v>97</v>
      </c>
      <c r="G117" s="223" t="str">
        <f t="shared" si="171"/>
        <v>午</v>
      </c>
      <c r="I117" s="142" t="str">
        <f t="shared" si="172"/>
        <v>午</v>
      </c>
      <c r="K117" s="36"/>
      <c r="L117" s="109">
        <f t="shared" si="173"/>
        <v>1000</v>
      </c>
      <c r="M117" s="9">
        <v>0.0</v>
      </c>
      <c r="N117" s="110">
        <v>0.0</v>
      </c>
      <c r="O117" s="9">
        <v>100.0</v>
      </c>
      <c r="P117" s="9">
        <v>100.0</v>
      </c>
      <c r="Q117" s="9">
        <v>100.0</v>
      </c>
      <c r="R117" s="110">
        <v>100.0</v>
      </c>
      <c r="S117" s="9">
        <v>100.0</v>
      </c>
      <c r="T117" s="110">
        <v>100.0</v>
      </c>
      <c r="U117" s="9">
        <v>100.0</v>
      </c>
      <c r="V117" s="110">
        <v>100.0</v>
      </c>
      <c r="W117" s="9">
        <v>100.0</v>
      </c>
      <c r="X117" s="110">
        <v>100.0</v>
      </c>
      <c r="Y117" s="73" t="s">
        <v>98</v>
      </c>
      <c r="Z117" s="94" t="s">
        <v>99</v>
      </c>
      <c r="AA117" s="36"/>
      <c r="AB117" s="36"/>
      <c r="AC117" s="111"/>
      <c r="AD117" s="112"/>
      <c r="AE117" s="37"/>
      <c r="AF117" s="97"/>
      <c r="AG117" s="14"/>
      <c r="AH117" s="14"/>
      <c r="AI117" s="14"/>
      <c r="AJ117" s="113"/>
      <c r="AK117" s="104" t="s">
        <v>105</v>
      </c>
      <c r="AM117" s="104" t="s">
        <v>106</v>
      </c>
      <c r="AO117" s="105" t="s">
        <v>107</v>
      </c>
      <c r="AQ117" s="104" t="s">
        <v>100</v>
      </c>
      <c r="AS117" s="114" t="s">
        <v>101</v>
      </c>
      <c r="AU117" s="105" t="s">
        <v>102</v>
      </c>
      <c r="AW117" s="105" t="s">
        <v>103</v>
      </c>
      <c r="AY117" s="104" t="s">
        <v>104</v>
      </c>
      <c r="AZ117" s="24"/>
    </row>
    <row r="118">
      <c r="A118" s="192">
        <v>2569.0</v>
      </c>
      <c r="B118" s="193"/>
      <c r="E118" s="115" t="s">
        <v>204</v>
      </c>
      <c r="F118" s="116" t="s">
        <v>109</v>
      </c>
      <c r="G118" s="115" t="str">
        <f t="shared" ref="G118:H118" si="174">G40</f>
        <v>A8</v>
      </c>
      <c r="H118" s="9" t="str">
        <f t="shared" si="174"/>
        <v>B11</v>
      </c>
      <c r="I118" s="9" t="str">
        <f t="shared" ref="I118:J118" si="175">I34</f>
        <v>A5</v>
      </c>
      <c r="J118" s="9" t="str">
        <f t="shared" si="175"/>
        <v>B11</v>
      </c>
      <c r="K118" s="36"/>
      <c r="L118" s="117"/>
      <c r="M118" s="118" t="str">
        <f t="shared" ref="M118:P118" si="176">C118</f>
        <v/>
      </c>
      <c r="N118" s="119" t="str">
        <f t="shared" si="176"/>
        <v/>
      </c>
      <c r="O118" s="118" t="str">
        <f t="shared" si="176"/>
        <v>A5</v>
      </c>
      <c r="P118" s="118" t="str">
        <f t="shared" si="176"/>
        <v>B4</v>
      </c>
      <c r="Q118" s="118" t="str">
        <f t="shared" ref="Q118:R118" si="177">E119</f>
        <v>B6</v>
      </c>
      <c r="R118" s="119" t="str">
        <f t="shared" si="177"/>
        <v>C6</v>
      </c>
      <c r="S118" s="9" t="s">
        <v>182</v>
      </c>
      <c r="T118" s="110" t="s">
        <v>114</v>
      </c>
      <c r="U118" s="9" t="str">
        <f t="shared" ref="U118:X118" si="178">G118</f>
        <v>A8</v>
      </c>
      <c r="V118" s="119" t="str">
        <f t="shared" si="178"/>
        <v>B11</v>
      </c>
      <c r="W118" s="118" t="str">
        <f t="shared" si="178"/>
        <v>A5</v>
      </c>
      <c r="X118" s="120" t="str">
        <f t="shared" si="178"/>
        <v>B11</v>
      </c>
      <c r="Y118" s="73" t="s">
        <v>116</v>
      </c>
      <c r="Z118" s="94" t="s">
        <v>117</v>
      </c>
      <c r="AA118" s="36"/>
      <c r="AB118" s="36"/>
      <c r="AC118" s="111"/>
      <c r="AD118" s="112"/>
      <c r="AE118" s="37"/>
      <c r="AF118" s="97"/>
      <c r="AG118" s="14"/>
      <c r="AH118" s="14"/>
      <c r="AI118" s="14"/>
      <c r="AJ118" s="113"/>
      <c r="AK118" s="104" t="s">
        <v>123</v>
      </c>
      <c r="AM118" s="104" t="s">
        <v>124</v>
      </c>
      <c r="AO118" s="105" t="s">
        <v>125</v>
      </c>
      <c r="AQ118" s="104" t="s">
        <v>118</v>
      </c>
      <c r="AS118" s="114" t="s">
        <v>119</v>
      </c>
      <c r="AU118" s="105" t="s">
        <v>120</v>
      </c>
      <c r="AW118" s="105" t="s">
        <v>121</v>
      </c>
      <c r="AY118" s="104" t="s">
        <v>122</v>
      </c>
      <c r="AZ118" s="24"/>
    </row>
    <row r="119">
      <c r="A119" s="192">
        <f>A118-543</f>
        <v>2026</v>
      </c>
      <c r="B119" s="193"/>
      <c r="C119" s="12"/>
      <c r="E119" s="115" t="s">
        <v>126</v>
      </c>
      <c r="F119" s="116" t="s">
        <v>215</v>
      </c>
      <c r="G119" s="115"/>
      <c r="H119" s="118"/>
      <c r="I119" s="118"/>
      <c r="J119" s="118"/>
      <c r="K119" s="36"/>
      <c r="L119" s="117"/>
      <c r="M119" s="326"/>
      <c r="N119" s="327"/>
      <c r="R119" s="117"/>
      <c r="T119" s="117"/>
      <c r="V119" s="117"/>
      <c r="X119" s="117"/>
      <c r="Y119" s="73" t="s">
        <v>126</v>
      </c>
      <c r="Z119" s="94" t="s">
        <v>128</v>
      </c>
      <c r="AA119" s="36"/>
      <c r="AB119" s="36"/>
      <c r="AC119" s="111"/>
      <c r="AD119" s="112"/>
      <c r="AE119" s="37"/>
      <c r="AF119" s="97"/>
      <c r="AG119" s="14"/>
      <c r="AH119" s="14"/>
      <c r="AI119" s="14"/>
      <c r="AJ119" s="113"/>
      <c r="AK119" s="104" t="s">
        <v>134</v>
      </c>
      <c r="AM119" s="104" t="s">
        <v>135</v>
      </c>
      <c r="AO119" s="105" t="s">
        <v>136</v>
      </c>
      <c r="AQ119" s="104" t="s">
        <v>129</v>
      </c>
      <c r="AS119" s="114" t="s">
        <v>130</v>
      </c>
      <c r="AU119" s="105" t="s">
        <v>131</v>
      </c>
      <c r="AW119" s="105" t="s">
        <v>132</v>
      </c>
      <c r="AY119" s="104" t="s">
        <v>133</v>
      </c>
      <c r="AZ119" s="24"/>
    </row>
    <row r="120">
      <c r="A120" s="279"/>
      <c r="B120" s="206"/>
      <c r="C120" s="123"/>
      <c r="D120" s="123"/>
      <c r="E120" s="164" t="s">
        <v>137</v>
      </c>
      <c r="F120" s="88"/>
      <c r="G120" s="207" t="str">
        <f>G5:H5</f>
        <v>อสูรเดือน N</v>
      </c>
      <c r="I120" s="208" t="str">
        <f>I5:J5</f>
        <v>อสูรปี N</v>
      </c>
      <c r="K120" s="36"/>
      <c r="L120" s="117"/>
      <c r="M120" s="128"/>
      <c r="N120" s="117"/>
      <c r="R120" s="117"/>
      <c r="T120" s="117"/>
      <c r="V120" s="117"/>
      <c r="X120" s="117"/>
      <c r="Y120" s="127"/>
      <c r="Z120" s="155"/>
      <c r="AA120" s="36"/>
      <c r="AB120" s="36"/>
      <c r="AC120" s="111"/>
      <c r="AD120" s="112"/>
      <c r="AE120" s="37"/>
      <c r="AF120" s="97"/>
      <c r="AG120" s="14"/>
      <c r="AH120" s="14"/>
      <c r="AI120" s="14"/>
      <c r="AJ120" s="113"/>
      <c r="AU120" s="128"/>
      <c r="AZ120" s="24"/>
    </row>
    <row r="121">
      <c r="A121" s="188" t="s">
        <v>139</v>
      </c>
      <c r="B121" s="189"/>
      <c r="C121" s="63"/>
      <c r="D121" s="63"/>
      <c r="E121" s="358">
        <f>(O122+P122+Q122+R122)/(O123+P123+Q123+R123)</f>
        <v>0.625</v>
      </c>
      <c r="F121" s="65"/>
      <c r="G121" s="133"/>
      <c r="H121" s="72"/>
      <c r="I121" s="67"/>
      <c r="J121" s="72"/>
      <c r="K121" s="68"/>
      <c r="L121" s="69"/>
      <c r="M121" s="63" t="s">
        <v>64</v>
      </c>
      <c r="N121" s="70"/>
      <c r="O121" s="71" t="s">
        <v>65</v>
      </c>
      <c r="P121" s="72"/>
      <c r="Q121" s="72"/>
      <c r="R121" s="70"/>
      <c r="S121" s="71" t="s">
        <v>66</v>
      </c>
      <c r="T121" s="70"/>
      <c r="U121" s="71" t="s">
        <v>67</v>
      </c>
      <c r="V121" s="70"/>
      <c r="W121" s="71" t="s">
        <v>68</v>
      </c>
      <c r="X121" s="70"/>
      <c r="Y121" s="134" t="s">
        <v>116</v>
      </c>
      <c r="Z121" s="74" t="s">
        <v>140</v>
      </c>
      <c r="AA121" s="75" t="s">
        <v>97</v>
      </c>
      <c r="AB121" s="75" t="s">
        <v>317</v>
      </c>
      <c r="AC121" s="190" t="s">
        <v>173</v>
      </c>
      <c r="AD121" s="77" t="s">
        <v>193</v>
      </c>
      <c r="AE121" s="63" t="s">
        <v>35</v>
      </c>
      <c r="AF121" s="78" t="s">
        <v>144</v>
      </c>
      <c r="AG121" s="79" t="s">
        <v>71</v>
      </c>
      <c r="AH121" s="79">
        <v>210.0</v>
      </c>
      <c r="AI121" s="79" t="s">
        <v>175</v>
      </c>
      <c r="AJ121" s="80" t="str">
        <f>AJ115</f>
        <v>開</v>
      </c>
      <c r="AK121" s="81" t="s">
        <v>46</v>
      </c>
      <c r="AL121" s="82" t="str">
        <f>AL115</f>
        <v>休</v>
      </c>
      <c r="AM121" s="81" t="s">
        <v>48</v>
      </c>
      <c r="AN121" s="82" t="str">
        <f>AN115</f>
        <v>生</v>
      </c>
      <c r="AO121" s="81" t="s">
        <v>50</v>
      </c>
      <c r="AP121" s="82" t="str">
        <f>AP115</f>
        <v>傷</v>
      </c>
      <c r="AQ121" s="81" t="s">
        <v>52</v>
      </c>
      <c r="AR121" s="82" t="str">
        <f>AR115</f>
        <v>杜</v>
      </c>
      <c r="AS121" s="81" t="s">
        <v>38</v>
      </c>
      <c r="AT121" s="82" t="str">
        <f>AT115</f>
        <v>景</v>
      </c>
      <c r="AU121" s="81" t="s">
        <v>40</v>
      </c>
      <c r="AV121" s="82" t="str">
        <f>AV115</f>
        <v>死</v>
      </c>
      <c r="AW121" s="81" t="s">
        <v>42</v>
      </c>
      <c r="AX121" s="82" t="str">
        <f>AX115</f>
        <v>驚</v>
      </c>
      <c r="AY121" s="81" t="s">
        <v>44</v>
      </c>
      <c r="AZ121" s="83"/>
      <c r="BA121" s="84"/>
      <c r="BB121" s="84"/>
      <c r="BC121" s="84"/>
    </row>
    <row r="122">
      <c r="A122" s="192">
        <f>A116+1</f>
        <v>19</v>
      </c>
      <c r="B122" s="193"/>
      <c r="C122" s="12" t="s">
        <v>249</v>
      </c>
      <c r="E122" s="87" t="s">
        <v>222</v>
      </c>
      <c r="G122" s="374" t="str">
        <f t="shared" ref="G122:G123" si="181">G3:H3</f>
        <v>甲</v>
      </c>
      <c r="I122" s="275" t="str">
        <f t="shared" ref="I122:I123" si="182">I32:J32</f>
        <v>丙</v>
      </c>
      <c r="K122" s="90">
        <f>L122/L123</f>
        <v>0.53</v>
      </c>
      <c r="L122" s="126">
        <f t="shared" ref="L122:L123" si="183">O122+P122+Q122+U122+V122+W122+X122+R122+M122+N122+S122+T122</f>
        <v>530</v>
      </c>
      <c r="M122" s="92">
        <v>0.0</v>
      </c>
      <c r="N122" s="93">
        <v>0.0</v>
      </c>
      <c r="O122" s="92">
        <v>40.0</v>
      </c>
      <c r="P122" s="92">
        <v>100.0</v>
      </c>
      <c r="Q122" s="92">
        <v>100.0</v>
      </c>
      <c r="R122" s="93">
        <v>10.0</v>
      </c>
      <c r="S122" s="92">
        <v>40.0</v>
      </c>
      <c r="T122" s="93">
        <v>5.0</v>
      </c>
      <c r="U122" s="92">
        <f t="shared" ref="U122:V122" si="179">U38</f>
        <v>5</v>
      </c>
      <c r="V122" s="93">
        <f t="shared" si="179"/>
        <v>60</v>
      </c>
      <c r="W122" s="92">
        <f t="shared" ref="W122:X122" si="180">W32</f>
        <v>110</v>
      </c>
      <c r="X122" s="93">
        <f t="shared" si="180"/>
        <v>60</v>
      </c>
      <c r="Y122" s="73" t="s">
        <v>126</v>
      </c>
      <c r="Z122" s="94" t="s">
        <v>70</v>
      </c>
      <c r="AA122" s="36"/>
      <c r="AB122" s="29"/>
      <c r="AC122" s="195" t="s">
        <v>196</v>
      </c>
      <c r="AD122" s="96" t="s">
        <v>149</v>
      </c>
      <c r="AE122" s="37"/>
      <c r="AF122" s="97"/>
      <c r="AG122" s="12" t="s">
        <v>53</v>
      </c>
      <c r="AH122" s="12">
        <v>30.0</v>
      </c>
      <c r="AI122" s="12" t="s">
        <v>178</v>
      </c>
      <c r="AJ122" s="98" t="s">
        <v>39</v>
      </c>
      <c r="AK122" s="99" t="s">
        <v>93</v>
      </c>
      <c r="AL122" s="100" t="s">
        <v>37</v>
      </c>
      <c r="AM122" s="99" t="s">
        <v>94</v>
      </c>
      <c r="AN122" s="100" t="s">
        <v>51</v>
      </c>
      <c r="AO122" s="101" t="s">
        <v>95</v>
      </c>
      <c r="AP122" s="100" t="s">
        <v>86</v>
      </c>
      <c r="AQ122" s="99" t="s">
        <v>87</v>
      </c>
      <c r="AR122" s="100" t="s">
        <v>88</v>
      </c>
      <c r="AS122" s="101" t="s">
        <v>89</v>
      </c>
      <c r="AT122" s="100" t="s">
        <v>45</v>
      </c>
      <c r="AU122" s="102" t="s">
        <v>90</v>
      </c>
      <c r="AV122" s="100" t="s">
        <v>43</v>
      </c>
      <c r="AW122" s="101" t="s">
        <v>91</v>
      </c>
      <c r="AX122" s="100" t="s">
        <v>41</v>
      </c>
      <c r="AY122" s="103" t="s">
        <v>92</v>
      </c>
      <c r="AZ122" s="24"/>
    </row>
    <row r="123">
      <c r="A123" s="215" t="str">
        <f>G2</f>
        <v>มิถุนายน</v>
      </c>
      <c r="B123" s="193"/>
      <c r="C123" s="175" t="s">
        <v>151</v>
      </c>
      <c r="E123" s="107" t="s">
        <v>84</v>
      </c>
      <c r="G123" s="223" t="str">
        <f t="shared" si="181"/>
        <v>午</v>
      </c>
      <c r="I123" s="142" t="str">
        <f t="shared" si="182"/>
        <v>午</v>
      </c>
      <c r="K123" s="36"/>
      <c r="L123" s="109">
        <f t="shared" si="183"/>
        <v>1000</v>
      </c>
      <c r="M123" s="9">
        <v>0.0</v>
      </c>
      <c r="N123" s="110">
        <v>0.0</v>
      </c>
      <c r="O123" s="9">
        <v>100.0</v>
      </c>
      <c r="P123" s="9">
        <v>100.0</v>
      </c>
      <c r="Q123" s="9">
        <v>100.0</v>
      </c>
      <c r="R123" s="110">
        <v>100.0</v>
      </c>
      <c r="S123" s="9">
        <v>100.0</v>
      </c>
      <c r="T123" s="110">
        <v>100.0</v>
      </c>
      <c r="U123" s="9">
        <v>100.0</v>
      </c>
      <c r="V123" s="110">
        <v>100.0</v>
      </c>
      <c r="W123" s="9">
        <v>100.0</v>
      </c>
      <c r="X123" s="110">
        <v>100.0</v>
      </c>
      <c r="Y123" s="73" t="s">
        <v>69</v>
      </c>
      <c r="Z123" s="94" t="s">
        <v>152</v>
      </c>
      <c r="AA123" s="36"/>
      <c r="AB123" s="36"/>
      <c r="AC123" s="111"/>
      <c r="AD123" s="112"/>
      <c r="AE123" s="37"/>
      <c r="AF123" s="97"/>
      <c r="AG123" s="14"/>
      <c r="AH123" s="14"/>
      <c r="AI123" s="14"/>
      <c r="AJ123" s="113"/>
      <c r="AK123" s="104" t="s">
        <v>105</v>
      </c>
      <c r="AM123" s="104" t="s">
        <v>106</v>
      </c>
      <c r="AO123" s="105" t="s">
        <v>107</v>
      </c>
      <c r="AQ123" s="104" t="s">
        <v>100</v>
      </c>
      <c r="AS123" s="114" t="s">
        <v>101</v>
      </c>
      <c r="AU123" s="105" t="s">
        <v>102</v>
      </c>
      <c r="AW123" s="105" t="s">
        <v>103</v>
      </c>
      <c r="AY123" s="104" t="s">
        <v>104</v>
      </c>
      <c r="AZ123" s="24"/>
    </row>
    <row r="124">
      <c r="A124" s="192">
        <v>2569.0</v>
      </c>
      <c r="B124" s="193"/>
      <c r="E124" s="115" t="s">
        <v>112</v>
      </c>
      <c r="F124" s="116" t="s">
        <v>116</v>
      </c>
      <c r="G124" s="115" t="str">
        <f t="shared" ref="G124:H124" si="184">G40</f>
        <v>A8</v>
      </c>
      <c r="H124" s="9" t="str">
        <f t="shared" si="184"/>
        <v>B11</v>
      </c>
      <c r="I124" s="9" t="str">
        <f t="shared" ref="I124:J124" si="185">I34</f>
        <v>A5</v>
      </c>
      <c r="J124" s="9" t="str">
        <f t="shared" si="185"/>
        <v>B11</v>
      </c>
      <c r="K124" s="36"/>
      <c r="L124" s="117"/>
      <c r="M124" s="118" t="str">
        <f t="shared" ref="M124:P124" si="186">C124</f>
        <v/>
      </c>
      <c r="N124" s="119" t="str">
        <f t="shared" si="186"/>
        <v/>
      </c>
      <c r="O124" s="118" t="str">
        <f t="shared" si="186"/>
        <v>A2</v>
      </c>
      <c r="P124" s="118" t="str">
        <f t="shared" si="186"/>
        <v>B5</v>
      </c>
      <c r="Q124" s="118" t="str">
        <f t="shared" ref="Q124:R124" si="187">E125</f>
        <v>B5</v>
      </c>
      <c r="R124" s="119" t="str">
        <f t="shared" si="187"/>
        <v>C7</v>
      </c>
      <c r="S124" s="9" t="s">
        <v>112</v>
      </c>
      <c r="T124" s="110" t="s">
        <v>108</v>
      </c>
      <c r="U124" s="9" t="str">
        <f t="shared" ref="U124:X124" si="188">G124</f>
        <v>A8</v>
      </c>
      <c r="V124" s="119" t="str">
        <f t="shared" si="188"/>
        <v>B11</v>
      </c>
      <c r="W124" s="118" t="str">
        <f t="shared" si="188"/>
        <v>A5</v>
      </c>
      <c r="X124" s="120" t="str">
        <f t="shared" si="188"/>
        <v>B11</v>
      </c>
      <c r="Y124" s="73" t="s">
        <v>80</v>
      </c>
      <c r="Z124" s="94" t="s">
        <v>153</v>
      </c>
      <c r="AA124" s="36"/>
      <c r="AB124" s="36"/>
      <c r="AC124" s="111"/>
      <c r="AD124" s="112"/>
      <c r="AE124" s="37"/>
      <c r="AF124" s="97"/>
      <c r="AG124" s="14"/>
      <c r="AH124" s="14"/>
      <c r="AI124" s="14"/>
      <c r="AJ124" s="113"/>
      <c r="AK124" s="104" t="s">
        <v>123</v>
      </c>
      <c r="AM124" s="104" t="s">
        <v>124</v>
      </c>
      <c r="AO124" s="105" t="s">
        <v>125</v>
      </c>
      <c r="AQ124" s="104" t="s">
        <v>118</v>
      </c>
      <c r="AS124" s="114" t="s">
        <v>119</v>
      </c>
      <c r="AU124" s="105" t="s">
        <v>120</v>
      </c>
      <c r="AW124" s="105" t="s">
        <v>121</v>
      </c>
      <c r="AY124" s="104" t="s">
        <v>122</v>
      </c>
      <c r="AZ124" s="24"/>
    </row>
    <row r="125">
      <c r="A125" s="192">
        <f>A124-543</f>
        <v>2026</v>
      </c>
      <c r="B125" s="193"/>
      <c r="E125" s="115" t="s">
        <v>116</v>
      </c>
      <c r="F125" s="116" t="s">
        <v>220</v>
      </c>
      <c r="G125" s="115"/>
      <c r="H125" s="118"/>
      <c r="I125" s="118"/>
      <c r="J125" s="118"/>
      <c r="K125" s="36"/>
      <c r="L125" s="117"/>
      <c r="M125" s="326"/>
      <c r="N125" s="327"/>
      <c r="R125" s="117"/>
      <c r="T125" s="117"/>
      <c r="V125" s="117"/>
      <c r="X125" s="117"/>
      <c r="Y125" s="73" t="s">
        <v>98</v>
      </c>
      <c r="Z125" s="94" t="s">
        <v>155</v>
      </c>
      <c r="AA125" s="36"/>
      <c r="AB125" s="36"/>
      <c r="AC125" s="111"/>
      <c r="AD125" s="112"/>
      <c r="AE125" s="37"/>
      <c r="AF125" s="97"/>
      <c r="AG125" s="14"/>
      <c r="AH125" s="14"/>
      <c r="AI125" s="14"/>
      <c r="AJ125" s="113"/>
      <c r="AK125" s="104" t="s">
        <v>134</v>
      </c>
      <c r="AM125" s="104" t="s">
        <v>135</v>
      </c>
      <c r="AO125" s="105" t="s">
        <v>136</v>
      </c>
      <c r="AQ125" s="104" t="s">
        <v>129</v>
      </c>
      <c r="AS125" s="114" t="s">
        <v>130</v>
      </c>
      <c r="AU125" s="105" t="s">
        <v>131</v>
      </c>
      <c r="AW125" s="105" t="s">
        <v>132</v>
      </c>
      <c r="AY125" s="104" t="s">
        <v>133</v>
      </c>
      <c r="AZ125" s="24"/>
    </row>
    <row r="126">
      <c r="A126" s="113"/>
      <c r="B126" s="206"/>
      <c r="C126" s="123"/>
      <c r="D126" s="123"/>
      <c r="E126" s="164" t="s">
        <v>157</v>
      </c>
      <c r="F126" s="88"/>
      <c r="G126" s="207" t="str">
        <f>G5:H5</f>
        <v>อสูรเดือน N</v>
      </c>
      <c r="I126" s="208" t="str">
        <f>I5:J5</f>
        <v>อสูรปี N</v>
      </c>
      <c r="K126" s="36"/>
      <c r="L126" s="117"/>
      <c r="M126" s="128"/>
      <c r="N126" s="117"/>
      <c r="R126" s="117"/>
      <c r="T126" s="117"/>
      <c r="V126" s="117"/>
      <c r="X126" s="117"/>
      <c r="Y126" s="127"/>
      <c r="Z126" s="155"/>
      <c r="AA126" s="36"/>
      <c r="AB126" s="36"/>
      <c r="AC126" s="111"/>
      <c r="AD126" s="112"/>
      <c r="AE126" s="37"/>
      <c r="AF126" s="97"/>
      <c r="AG126" s="14"/>
      <c r="AH126" s="14"/>
      <c r="AI126" s="14"/>
      <c r="AJ126" s="113"/>
      <c r="AK126" s="128"/>
      <c r="AZ126" s="24"/>
    </row>
    <row r="127">
      <c r="A127" s="188" t="s">
        <v>158</v>
      </c>
      <c r="B127" s="189"/>
      <c r="C127" s="63"/>
      <c r="D127" s="63"/>
      <c r="E127" s="358">
        <f>(O128+P128+Q128+R128)/(O129+P129+Q129+R129)</f>
        <v>0.4375</v>
      </c>
      <c r="F127" s="65"/>
      <c r="G127" s="133"/>
      <c r="H127" s="72"/>
      <c r="I127" s="67"/>
      <c r="J127" s="72"/>
      <c r="K127" s="68"/>
      <c r="L127" s="69"/>
      <c r="M127" s="63" t="s">
        <v>64</v>
      </c>
      <c r="N127" s="70"/>
      <c r="O127" s="71" t="s">
        <v>65</v>
      </c>
      <c r="P127" s="72"/>
      <c r="Q127" s="72"/>
      <c r="R127" s="70"/>
      <c r="S127" s="71" t="s">
        <v>66</v>
      </c>
      <c r="T127" s="70"/>
      <c r="U127" s="71" t="s">
        <v>67</v>
      </c>
      <c r="V127" s="70"/>
      <c r="W127" s="71" t="s">
        <v>68</v>
      </c>
      <c r="X127" s="70"/>
      <c r="Y127" s="134" t="s">
        <v>116</v>
      </c>
      <c r="Z127" s="74" t="s">
        <v>159</v>
      </c>
      <c r="AA127" s="75" t="s">
        <v>202</v>
      </c>
      <c r="AB127" s="75" t="s">
        <v>226</v>
      </c>
      <c r="AC127" s="190" t="s">
        <v>173</v>
      </c>
      <c r="AD127" s="77" t="s">
        <v>193</v>
      </c>
      <c r="AE127" s="63" t="s">
        <v>35</v>
      </c>
      <c r="AF127" s="78" t="s">
        <v>36</v>
      </c>
      <c r="AG127" s="79" t="s">
        <v>76</v>
      </c>
      <c r="AH127" s="79">
        <v>240.0</v>
      </c>
      <c r="AI127" s="79" t="s">
        <v>77</v>
      </c>
      <c r="AJ127" s="80" t="str">
        <f>AJ121</f>
        <v>開</v>
      </c>
      <c r="AK127" s="81" t="s">
        <v>38</v>
      </c>
      <c r="AL127" s="82" t="str">
        <f>AL121</f>
        <v>休</v>
      </c>
      <c r="AM127" s="81" t="s">
        <v>40</v>
      </c>
      <c r="AN127" s="82" t="s">
        <v>4</v>
      </c>
      <c r="AO127" s="81" t="s">
        <v>42</v>
      </c>
      <c r="AP127" s="82" t="str">
        <f>AP121</f>
        <v>傷</v>
      </c>
      <c r="AQ127" s="81" t="s">
        <v>44</v>
      </c>
      <c r="AR127" s="82" t="s">
        <v>8</v>
      </c>
      <c r="AS127" s="81" t="s">
        <v>46</v>
      </c>
      <c r="AT127" s="82" t="str">
        <f>AT121</f>
        <v>景</v>
      </c>
      <c r="AU127" s="81" t="s">
        <v>48</v>
      </c>
      <c r="AV127" s="82" t="str">
        <f>AV121</f>
        <v>死</v>
      </c>
      <c r="AW127" s="81" t="s">
        <v>50</v>
      </c>
      <c r="AX127" s="82" t="str">
        <f>AX121</f>
        <v>驚</v>
      </c>
      <c r="AY127" s="81" t="s">
        <v>52</v>
      </c>
      <c r="AZ127" s="83"/>
      <c r="BA127" s="84"/>
      <c r="BB127" s="84"/>
      <c r="BC127" s="84"/>
    </row>
    <row r="128">
      <c r="A128" s="285">
        <f>A122+1</f>
        <v>20</v>
      </c>
      <c r="B128" s="193"/>
      <c r="C128" s="12" t="s">
        <v>248</v>
      </c>
      <c r="E128" s="87" t="s">
        <v>31</v>
      </c>
      <c r="G128" s="374" t="str">
        <f t="shared" ref="G128:G129" si="191">G3:H3</f>
        <v>甲</v>
      </c>
      <c r="I128" s="275" t="str">
        <f t="shared" ref="I128:I129" si="192">I32:J32</f>
        <v>丙</v>
      </c>
      <c r="K128" s="90">
        <f>L128/L129</f>
        <v>0.58</v>
      </c>
      <c r="L128" s="126">
        <f t="shared" ref="L128:L129" si="193">O128+P128+Q128+U128+V128+W128+X128+R128+M128+N128+S128+T128</f>
        <v>580</v>
      </c>
      <c r="M128" s="92">
        <v>0.0</v>
      </c>
      <c r="N128" s="93">
        <v>0.0</v>
      </c>
      <c r="O128" s="92">
        <v>35.0</v>
      </c>
      <c r="P128" s="92">
        <v>90.0</v>
      </c>
      <c r="Q128" s="92">
        <v>30.0</v>
      </c>
      <c r="R128" s="93">
        <v>20.0</v>
      </c>
      <c r="S128" s="92">
        <v>90.0</v>
      </c>
      <c r="T128" s="93">
        <v>80.0</v>
      </c>
      <c r="U128" s="92">
        <f t="shared" ref="U128:V128" si="189">U38</f>
        <v>5</v>
      </c>
      <c r="V128" s="93">
        <f t="shared" si="189"/>
        <v>60</v>
      </c>
      <c r="W128" s="92">
        <f t="shared" ref="W128:X128" si="190">W32</f>
        <v>110</v>
      </c>
      <c r="X128" s="93">
        <f t="shared" si="190"/>
        <v>60</v>
      </c>
      <c r="Y128" s="73" t="s">
        <v>126</v>
      </c>
      <c r="Z128" s="94" t="s">
        <v>152</v>
      </c>
      <c r="AA128" s="36"/>
      <c r="AB128" s="29" t="s">
        <v>227</v>
      </c>
      <c r="AC128" s="195" t="s">
        <v>196</v>
      </c>
      <c r="AD128" s="96" t="s">
        <v>149</v>
      </c>
      <c r="AE128" s="37"/>
      <c r="AF128" s="97"/>
      <c r="AG128" s="12" t="s">
        <v>84</v>
      </c>
      <c r="AH128" s="12">
        <v>0.0</v>
      </c>
      <c r="AI128" s="12" t="s">
        <v>85</v>
      </c>
      <c r="AJ128" s="98" t="s">
        <v>37</v>
      </c>
      <c r="AK128" s="99" t="s">
        <v>94</v>
      </c>
      <c r="AL128" s="100" t="s">
        <v>51</v>
      </c>
      <c r="AM128" s="101" t="s">
        <v>95</v>
      </c>
      <c r="AN128" s="100" t="s">
        <v>86</v>
      </c>
      <c r="AO128" s="99" t="s">
        <v>87</v>
      </c>
      <c r="AP128" s="100" t="s">
        <v>88</v>
      </c>
      <c r="AQ128" s="101" t="s">
        <v>89</v>
      </c>
      <c r="AR128" s="100" t="s">
        <v>45</v>
      </c>
      <c r="AS128" s="102" t="s">
        <v>90</v>
      </c>
      <c r="AT128" s="100" t="s">
        <v>43</v>
      </c>
      <c r="AU128" s="101" t="s">
        <v>91</v>
      </c>
      <c r="AV128" s="100" t="s">
        <v>41</v>
      </c>
      <c r="AW128" s="103" t="s">
        <v>92</v>
      </c>
      <c r="AX128" s="100" t="s">
        <v>39</v>
      </c>
      <c r="AY128" s="99" t="s">
        <v>93</v>
      </c>
      <c r="AZ128" s="24"/>
    </row>
    <row r="129">
      <c r="A129" s="215" t="str">
        <f>G2</f>
        <v>มิถุนายน</v>
      </c>
      <c r="B129" s="193"/>
      <c r="C129" s="175" t="s">
        <v>162</v>
      </c>
      <c r="E129" s="162" t="s">
        <v>53</v>
      </c>
      <c r="G129" s="223" t="str">
        <f t="shared" si="191"/>
        <v>午</v>
      </c>
      <c r="I129" s="142" t="str">
        <f t="shared" si="192"/>
        <v>午</v>
      </c>
      <c r="K129" s="36"/>
      <c r="L129" s="109">
        <f t="shared" si="193"/>
        <v>1000</v>
      </c>
      <c r="M129" s="9">
        <v>0.0</v>
      </c>
      <c r="N129" s="110">
        <v>0.0</v>
      </c>
      <c r="O129" s="9">
        <v>100.0</v>
      </c>
      <c r="P129" s="9">
        <v>100.0</v>
      </c>
      <c r="Q129" s="9">
        <v>100.0</v>
      </c>
      <c r="R129" s="110">
        <v>100.0</v>
      </c>
      <c r="S129" s="9">
        <v>100.0</v>
      </c>
      <c r="T129" s="110">
        <v>100.0</v>
      </c>
      <c r="U129" s="9">
        <v>100.0</v>
      </c>
      <c r="V129" s="110">
        <v>100.0</v>
      </c>
      <c r="W129" s="9">
        <v>100.0</v>
      </c>
      <c r="X129" s="110">
        <v>100.0</v>
      </c>
      <c r="Y129" s="73" t="s">
        <v>69</v>
      </c>
      <c r="Z129" s="94" t="s">
        <v>163</v>
      </c>
      <c r="AA129" s="36"/>
      <c r="AB129" s="36"/>
      <c r="AC129" s="111"/>
      <c r="AD129" s="112"/>
      <c r="AE129" s="37"/>
      <c r="AF129" s="97"/>
      <c r="AG129" s="14"/>
      <c r="AH129" s="14"/>
      <c r="AI129" s="14"/>
      <c r="AJ129" s="113"/>
      <c r="AK129" s="104" t="s">
        <v>106</v>
      </c>
      <c r="AM129" s="105" t="s">
        <v>107</v>
      </c>
      <c r="AO129" s="104" t="s">
        <v>100</v>
      </c>
      <c r="AQ129" s="114" t="s">
        <v>101</v>
      </c>
      <c r="AS129" s="105" t="s">
        <v>102</v>
      </c>
      <c r="AU129" s="105" t="s">
        <v>103</v>
      </c>
      <c r="AW129" s="104" t="s">
        <v>104</v>
      </c>
      <c r="AY129" s="104" t="s">
        <v>105</v>
      </c>
      <c r="AZ129" s="24"/>
    </row>
    <row r="130">
      <c r="A130" s="192">
        <v>2569.0</v>
      </c>
      <c r="B130" s="193"/>
      <c r="E130" s="115" t="s">
        <v>198</v>
      </c>
      <c r="F130" s="116" t="s">
        <v>126</v>
      </c>
      <c r="G130" s="115" t="str">
        <f t="shared" ref="G130:H130" si="194">G40</f>
        <v>A8</v>
      </c>
      <c r="H130" s="9" t="str">
        <f t="shared" si="194"/>
        <v>B11</v>
      </c>
      <c r="I130" s="9" t="str">
        <f t="shared" ref="I130:J130" si="195">I34</f>
        <v>A5</v>
      </c>
      <c r="J130" s="9" t="str">
        <f t="shared" si="195"/>
        <v>B11</v>
      </c>
      <c r="K130" s="36"/>
      <c r="L130" s="117"/>
      <c r="M130" s="118" t="str">
        <f t="shared" ref="M130:P130" si="196">C130</f>
        <v/>
      </c>
      <c r="N130" s="119" t="str">
        <f t="shared" si="196"/>
        <v/>
      </c>
      <c r="O130" s="118" t="str">
        <f t="shared" si="196"/>
        <v>A6</v>
      </c>
      <c r="P130" s="118" t="str">
        <f t="shared" si="196"/>
        <v>B6</v>
      </c>
      <c r="Q130" s="118" t="str">
        <f t="shared" ref="Q130:R130" si="197">E131</f>
        <v>B4</v>
      </c>
      <c r="R130" s="119" t="str">
        <f t="shared" si="197"/>
        <v>C8</v>
      </c>
      <c r="S130" s="9" t="s">
        <v>219</v>
      </c>
      <c r="T130" s="110" t="s">
        <v>182</v>
      </c>
      <c r="U130" s="9" t="str">
        <f t="shared" ref="U130:X130" si="198">G130</f>
        <v>A8</v>
      </c>
      <c r="V130" s="119" t="str">
        <f t="shared" si="198"/>
        <v>B11</v>
      </c>
      <c r="W130" s="118" t="str">
        <f t="shared" si="198"/>
        <v>A5</v>
      </c>
      <c r="X130" s="120" t="str">
        <f t="shared" si="198"/>
        <v>B11</v>
      </c>
      <c r="Y130" s="73" t="s">
        <v>80</v>
      </c>
      <c r="Z130" s="94" t="s">
        <v>117</v>
      </c>
      <c r="AA130" s="36"/>
      <c r="AB130" s="36"/>
      <c r="AC130" s="111"/>
      <c r="AD130" s="112"/>
      <c r="AE130" s="37"/>
      <c r="AF130" s="97"/>
      <c r="AG130" s="14"/>
      <c r="AH130" s="14"/>
      <c r="AI130" s="14"/>
      <c r="AJ130" s="113"/>
      <c r="AK130" s="104" t="s">
        <v>124</v>
      </c>
      <c r="AM130" s="105" t="s">
        <v>125</v>
      </c>
      <c r="AO130" s="104" t="s">
        <v>118</v>
      </c>
      <c r="AQ130" s="114" t="s">
        <v>119</v>
      </c>
      <c r="AS130" s="105" t="s">
        <v>120</v>
      </c>
      <c r="AU130" s="105" t="s">
        <v>121</v>
      </c>
      <c r="AW130" s="104" t="s">
        <v>122</v>
      </c>
      <c r="AY130" s="104" t="s">
        <v>123</v>
      </c>
      <c r="AZ130" s="24"/>
    </row>
    <row r="131">
      <c r="A131" s="192">
        <f>A130-543</f>
        <v>2026</v>
      </c>
      <c r="B131" s="193"/>
      <c r="C131" s="181"/>
      <c r="E131" s="115" t="s">
        <v>109</v>
      </c>
      <c r="F131" s="116" t="s">
        <v>225</v>
      </c>
      <c r="G131" s="115"/>
      <c r="H131" s="118"/>
      <c r="I131" s="118"/>
      <c r="J131" s="118"/>
      <c r="K131" s="36"/>
      <c r="L131" s="117"/>
      <c r="M131" s="326"/>
      <c r="N131" s="327"/>
      <c r="R131" s="117"/>
      <c r="T131" s="117"/>
      <c r="V131" s="117"/>
      <c r="X131" s="117"/>
      <c r="Y131" s="73" t="s">
        <v>98</v>
      </c>
      <c r="Z131" s="94" t="s">
        <v>128</v>
      </c>
      <c r="AA131" s="36"/>
      <c r="AB131" s="36"/>
      <c r="AC131" s="111"/>
      <c r="AD131" s="112"/>
      <c r="AE131" s="37"/>
      <c r="AF131" s="97"/>
      <c r="AG131" s="14"/>
      <c r="AH131" s="14"/>
      <c r="AI131" s="14"/>
      <c r="AJ131" s="113"/>
      <c r="AK131" s="104" t="s">
        <v>135</v>
      </c>
      <c r="AM131" s="105" t="s">
        <v>136</v>
      </c>
      <c r="AO131" s="104" t="s">
        <v>129</v>
      </c>
      <c r="AQ131" s="114" t="s">
        <v>130</v>
      </c>
      <c r="AS131" s="105" t="s">
        <v>131</v>
      </c>
      <c r="AU131" s="105" t="s">
        <v>132</v>
      </c>
      <c r="AW131" s="104" t="s">
        <v>133</v>
      </c>
      <c r="AY131" s="104" t="s">
        <v>134</v>
      </c>
      <c r="AZ131" s="24"/>
    </row>
    <row r="132">
      <c r="A132" s="380"/>
      <c r="B132" s="206"/>
      <c r="C132" s="123"/>
      <c r="D132" s="123"/>
      <c r="E132" s="176" t="s">
        <v>168</v>
      </c>
      <c r="F132" s="88"/>
      <c r="G132" s="207" t="str">
        <f>G5:H5</f>
        <v>อสูรเดือน N</v>
      </c>
      <c r="I132" s="208" t="str">
        <f>I5:J5</f>
        <v>อสูรปี N</v>
      </c>
      <c r="K132" s="36"/>
      <c r="L132" s="117"/>
      <c r="M132" s="326"/>
      <c r="N132" s="327"/>
      <c r="R132" s="117"/>
      <c r="T132" s="117"/>
      <c r="V132" s="117"/>
      <c r="X132" s="117"/>
      <c r="Y132" s="127"/>
      <c r="Z132" s="155"/>
      <c r="AA132" s="36"/>
      <c r="AB132" s="36"/>
      <c r="AC132" s="111"/>
      <c r="AD132" s="112"/>
      <c r="AE132" s="37"/>
      <c r="AF132" s="97"/>
      <c r="AG132" s="14"/>
      <c r="AH132" s="14"/>
      <c r="AI132" s="14"/>
      <c r="AJ132" s="113"/>
      <c r="AO132" s="128"/>
      <c r="AZ132" s="24"/>
    </row>
    <row r="133">
      <c r="A133" s="188" t="s">
        <v>169</v>
      </c>
      <c r="B133" s="189"/>
      <c r="C133" s="63"/>
      <c r="D133" s="63"/>
      <c r="E133" s="358">
        <f>(O134+P134+Q134+R134)/(O135+P135+Q135+R135)</f>
        <v>0.5</v>
      </c>
      <c r="F133" s="65"/>
      <c r="G133" s="133"/>
      <c r="H133" s="72"/>
      <c r="I133" s="67"/>
      <c r="J133" s="72"/>
      <c r="K133" s="68"/>
      <c r="L133" s="69"/>
      <c r="M133" s="63" t="s">
        <v>64</v>
      </c>
      <c r="N133" s="70"/>
      <c r="O133" s="71" t="s">
        <v>65</v>
      </c>
      <c r="P133" s="72"/>
      <c r="Q133" s="72"/>
      <c r="R133" s="70"/>
      <c r="S133" s="71" t="s">
        <v>66</v>
      </c>
      <c r="T133" s="70"/>
      <c r="U133" s="71" t="s">
        <v>67</v>
      </c>
      <c r="V133" s="70"/>
      <c r="W133" s="71" t="s">
        <v>68</v>
      </c>
      <c r="X133" s="70"/>
      <c r="Y133" s="134" t="s">
        <v>80</v>
      </c>
      <c r="Z133" s="74" t="s">
        <v>170</v>
      </c>
      <c r="AA133" s="75" t="s">
        <v>32</v>
      </c>
      <c r="AB133" s="75" t="s">
        <v>233</v>
      </c>
      <c r="AC133" s="76" t="s">
        <v>73</v>
      </c>
      <c r="AD133" s="77" t="s">
        <v>74</v>
      </c>
      <c r="AE133" s="63" t="s">
        <v>75</v>
      </c>
      <c r="AF133" s="78" t="s">
        <v>34</v>
      </c>
      <c r="AG133" s="79" t="s">
        <v>32</v>
      </c>
      <c r="AH133" s="79">
        <v>270.0</v>
      </c>
      <c r="AI133" s="79" t="s">
        <v>145</v>
      </c>
      <c r="AJ133" s="80" t="str">
        <f>AJ127</f>
        <v>開</v>
      </c>
      <c r="AK133" s="81" t="s">
        <v>38</v>
      </c>
      <c r="AL133" s="82" t="str">
        <f>AL127</f>
        <v>休</v>
      </c>
      <c r="AM133" s="81" t="s">
        <v>40</v>
      </c>
      <c r="AN133" s="82" t="s">
        <v>4</v>
      </c>
      <c r="AO133" s="81" t="s">
        <v>42</v>
      </c>
      <c r="AP133" s="82" t="str">
        <f>AP127</f>
        <v>傷</v>
      </c>
      <c r="AQ133" s="81" t="s">
        <v>44</v>
      </c>
      <c r="AR133" s="82" t="s">
        <v>8</v>
      </c>
      <c r="AS133" s="81" t="s">
        <v>46</v>
      </c>
      <c r="AT133" s="82" t="str">
        <f>AT127</f>
        <v>景</v>
      </c>
      <c r="AU133" s="81" t="s">
        <v>48</v>
      </c>
      <c r="AV133" s="82" t="str">
        <f>AV127</f>
        <v>死</v>
      </c>
      <c r="AW133" s="81" t="s">
        <v>50</v>
      </c>
      <c r="AX133" s="82" t="str">
        <f>AX127</f>
        <v>驚</v>
      </c>
      <c r="AY133" s="81" t="s">
        <v>52</v>
      </c>
      <c r="AZ133" s="83"/>
      <c r="BA133" s="84"/>
      <c r="BB133" s="84"/>
      <c r="BC133" s="84"/>
    </row>
    <row r="134">
      <c r="A134" s="192">
        <f>A128+1</f>
        <v>21</v>
      </c>
      <c r="B134" s="193"/>
      <c r="C134" s="12" t="s">
        <v>176</v>
      </c>
      <c r="E134" s="214" t="s">
        <v>147</v>
      </c>
      <c r="G134" s="374" t="str">
        <f t="shared" ref="G134:G135" si="201">G3:H3</f>
        <v>甲</v>
      </c>
      <c r="I134" s="275" t="str">
        <f t="shared" ref="I134:I135" si="202">I32:J32</f>
        <v>丙</v>
      </c>
      <c r="K134" s="90">
        <f>L134/L135</f>
        <v>0.635</v>
      </c>
      <c r="L134" s="126">
        <f t="shared" ref="L134:L135" si="203">O134+P134+Q134+U134+V134+W134+X134+R134+M134+N134+S134+T134</f>
        <v>635</v>
      </c>
      <c r="M134" s="92">
        <v>0.0</v>
      </c>
      <c r="N134" s="93">
        <v>0.0</v>
      </c>
      <c r="O134" s="92">
        <v>80.0</v>
      </c>
      <c r="P134" s="92">
        <v>0.0</v>
      </c>
      <c r="Q134" s="92">
        <v>20.0</v>
      </c>
      <c r="R134" s="93">
        <v>100.0</v>
      </c>
      <c r="S134" s="92">
        <v>100.0</v>
      </c>
      <c r="T134" s="93">
        <v>100.0</v>
      </c>
      <c r="U134" s="92">
        <f t="shared" ref="U134:V134" si="199">U38</f>
        <v>5</v>
      </c>
      <c r="V134" s="93">
        <f t="shared" si="199"/>
        <v>60</v>
      </c>
      <c r="W134" s="92">
        <f t="shared" ref="W134:X134" si="200">W32</f>
        <v>110</v>
      </c>
      <c r="X134" s="93">
        <f t="shared" si="200"/>
        <v>60</v>
      </c>
      <c r="Y134" s="73" t="s">
        <v>98</v>
      </c>
      <c r="Z134" s="94" t="s">
        <v>70</v>
      </c>
      <c r="AA134" s="36"/>
      <c r="AB134" s="29" t="s">
        <v>234</v>
      </c>
      <c r="AC134" s="95" t="s">
        <v>82</v>
      </c>
      <c r="AD134" s="96" t="s">
        <v>83</v>
      </c>
      <c r="AE134" s="37"/>
      <c r="AF134" s="97"/>
      <c r="AG134" s="12" t="s">
        <v>97</v>
      </c>
      <c r="AH134" s="12">
        <v>330.0</v>
      </c>
      <c r="AI134" s="12" t="s">
        <v>150</v>
      </c>
      <c r="AJ134" s="98" t="s">
        <v>37</v>
      </c>
      <c r="AK134" s="99" t="s">
        <v>94</v>
      </c>
      <c r="AL134" s="100" t="s">
        <v>88</v>
      </c>
      <c r="AM134" s="101" t="s">
        <v>89</v>
      </c>
      <c r="AN134" s="100" t="s">
        <v>45</v>
      </c>
      <c r="AO134" s="102" t="s">
        <v>90</v>
      </c>
      <c r="AP134" s="100" t="s">
        <v>43</v>
      </c>
      <c r="AQ134" s="101" t="s">
        <v>91</v>
      </c>
      <c r="AR134" s="100" t="s">
        <v>41</v>
      </c>
      <c r="AS134" s="103" t="s">
        <v>92</v>
      </c>
      <c r="AT134" s="100" t="s">
        <v>41</v>
      </c>
      <c r="AU134" s="103" t="s">
        <v>92</v>
      </c>
      <c r="AV134" s="100" t="s">
        <v>39</v>
      </c>
      <c r="AW134" s="99" t="s">
        <v>93</v>
      </c>
      <c r="AX134" s="100" t="s">
        <v>51</v>
      </c>
      <c r="AY134" s="101" t="s">
        <v>95</v>
      </c>
      <c r="AZ134" s="24"/>
    </row>
    <row r="135">
      <c r="A135" s="215" t="str">
        <f>G2</f>
        <v>มิถุนายน</v>
      </c>
      <c r="B135" s="193"/>
      <c r="C135" s="106" t="s">
        <v>179</v>
      </c>
      <c r="E135" s="218" t="s">
        <v>180</v>
      </c>
      <c r="G135" s="223" t="str">
        <f t="shared" si="201"/>
        <v>午</v>
      </c>
      <c r="I135" s="142" t="str">
        <f t="shared" si="202"/>
        <v>午</v>
      </c>
      <c r="K135" s="36"/>
      <c r="L135" s="109">
        <f t="shared" si="203"/>
        <v>1000</v>
      </c>
      <c r="M135" s="9">
        <v>0.0</v>
      </c>
      <c r="N135" s="110">
        <v>0.0</v>
      </c>
      <c r="O135" s="9">
        <v>100.0</v>
      </c>
      <c r="P135" s="9">
        <v>100.0</v>
      </c>
      <c r="Q135" s="9">
        <v>100.0</v>
      </c>
      <c r="R135" s="110">
        <v>100.0</v>
      </c>
      <c r="S135" s="9">
        <v>100.0</v>
      </c>
      <c r="T135" s="110">
        <v>100.0</v>
      </c>
      <c r="U135" s="9">
        <v>100.0</v>
      </c>
      <c r="V135" s="110">
        <v>100.0</v>
      </c>
      <c r="W135" s="9">
        <v>100.0</v>
      </c>
      <c r="X135" s="110">
        <v>100.0</v>
      </c>
      <c r="Y135" s="73" t="s">
        <v>116</v>
      </c>
      <c r="Z135" s="94" t="s">
        <v>181</v>
      </c>
      <c r="AA135" s="36"/>
      <c r="AB135" s="36"/>
      <c r="AC135" s="111"/>
      <c r="AD135" s="112"/>
      <c r="AE135" s="37"/>
      <c r="AF135" s="97"/>
      <c r="AG135" s="14"/>
      <c r="AH135" s="14"/>
      <c r="AI135" s="14"/>
      <c r="AJ135" s="113"/>
      <c r="AK135" s="104" t="s">
        <v>106</v>
      </c>
      <c r="AM135" s="114" t="s">
        <v>101</v>
      </c>
      <c r="AO135" s="105" t="s">
        <v>102</v>
      </c>
      <c r="AQ135" s="105" t="s">
        <v>103</v>
      </c>
      <c r="AS135" s="104" t="s">
        <v>104</v>
      </c>
      <c r="AU135" s="104" t="s">
        <v>104</v>
      </c>
      <c r="AW135" s="104" t="s">
        <v>105</v>
      </c>
      <c r="AY135" s="105" t="s">
        <v>107</v>
      </c>
      <c r="AZ135" s="24"/>
    </row>
    <row r="136">
      <c r="A136" s="192">
        <v>2569.0</v>
      </c>
      <c r="B136" s="193"/>
      <c r="E136" s="115" t="s">
        <v>182</v>
      </c>
      <c r="F136" s="116" t="s">
        <v>111</v>
      </c>
      <c r="G136" s="115" t="str">
        <f t="shared" ref="G136:H136" si="204">G40</f>
        <v>A8</v>
      </c>
      <c r="H136" s="9" t="str">
        <f t="shared" si="204"/>
        <v>B11</v>
      </c>
      <c r="I136" s="9" t="str">
        <f t="shared" ref="I136:J136" si="205">I34</f>
        <v>A5</v>
      </c>
      <c r="J136" s="9" t="str">
        <f t="shared" si="205"/>
        <v>B11</v>
      </c>
      <c r="K136" s="36"/>
      <c r="L136" s="117"/>
      <c r="M136" s="118" t="str">
        <f t="shared" ref="M136:P136" si="206">C136</f>
        <v/>
      </c>
      <c r="N136" s="119" t="str">
        <f t="shared" si="206"/>
        <v/>
      </c>
      <c r="O136" s="118" t="str">
        <f t="shared" si="206"/>
        <v>A1</v>
      </c>
      <c r="P136" s="118" t="str">
        <f t="shared" si="206"/>
        <v>B7</v>
      </c>
      <c r="Q136" s="118" t="str">
        <f t="shared" ref="Q136:R136" si="207">E137</f>
        <v>B3</v>
      </c>
      <c r="R136" s="119" t="str">
        <f t="shared" si="207"/>
        <v>C9</v>
      </c>
      <c r="S136" s="9" t="s">
        <v>213</v>
      </c>
      <c r="T136" s="110" t="s">
        <v>204</v>
      </c>
      <c r="U136" s="9" t="str">
        <f t="shared" ref="U136:X136" si="208">G136</f>
        <v>A8</v>
      </c>
      <c r="V136" s="119" t="str">
        <f t="shared" si="208"/>
        <v>B11</v>
      </c>
      <c r="W136" s="118" t="str">
        <f t="shared" si="208"/>
        <v>A5</v>
      </c>
      <c r="X136" s="120" t="str">
        <f t="shared" si="208"/>
        <v>B11</v>
      </c>
      <c r="Y136" s="73" t="s">
        <v>126</v>
      </c>
      <c r="Z136" s="94" t="s">
        <v>163</v>
      </c>
      <c r="AA136" s="36"/>
      <c r="AB136" s="36"/>
      <c r="AC136" s="111"/>
      <c r="AD136" s="112"/>
      <c r="AE136" s="37"/>
      <c r="AF136" s="97"/>
      <c r="AG136" s="14"/>
      <c r="AH136" s="14"/>
      <c r="AI136" s="14"/>
      <c r="AJ136" s="113"/>
      <c r="AK136" s="104" t="s">
        <v>124</v>
      </c>
      <c r="AM136" s="114" t="s">
        <v>119</v>
      </c>
      <c r="AO136" s="105" t="s">
        <v>120</v>
      </c>
      <c r="AQ136" s="105" t="s">
        <v>121</v>
      </c>
      <c r="AS136" s="104" t="s">
        <v>122</v>
      </c>
      <c r="AU136" s="104" t="s">
        <v>122</v>
      </c>
      <c r="AW136" s="104" t="s">
        <v>123</v>
      </c>
      <c r="AY136" s="105" t="s">
        <v>125</v>
      </c>
      <c r="AZ136" s="24"/>
    </row>
    <row r="137">
      <c r="A137" s="192">
        <f>A136-543</f>
        <v>2026</v>
      </c>
      <c r="B137" s="193"/>
      <c r="C137" s="12"/>
      <c r="E137" s="115" t="s">
        <v>183</v>
      </c>
      <c r="F137" s="116" t="s">
        <v>229</v>
      </c>
      <c r="G137" s="115"/>
      <c r="H137" s="118"/>
      <c r="I137" s="118"/>
      <c r="J137" s="118"/>
      <c r="K137" s="36"/>
      <c r="L137" s="117"/>
      <c r="M137" s="326"/>
      <c r="N137" s="327"/>
      <c r="R137" s="117"/>
      <c r="T137" s="117"/>
      <c r="V137" s="117"/>
      <c r="X137" s="117"/>
      <c r="Y137" s="73" t="s">
        <v>69</v>
      </c>
      <c r="Z137" s="94" t="s">
        <v>99</v>
      </c>
      <c r="AA137" s="36"/>
      <c r="AB137" s="36"/>
      <c r="AC137" s="111"/>
      <c r="AD137" s="112"/>
      <c r="AE137" s="37"/>
      <c r="AF137" s="97"/>
      <c r="AG137" s="14"/>
      <c r="AH137" s="14"/>
      <c r="AI137" s="14"/>
      <c r="AJ137" s="113"/>
      <c r="AK137" s="104" t="s">
        <v>135</v>
      </c>
      <c r="AM137" s="114" t="s">
        <v>130</v>
      </c>
      <c r="AO137" s="105" t="s">
        <v>131</v>
      </c>
      <c r="AQ137" s="105" t="s">
        <v>132</v>
      </c>
      <c r="AS137" s="104" t="s">
        <v>133</v>
      </c>
      <c r="AU137" s="104" t="s">
        <v>133</v>
      </c>
      <c r="AW137" s="104" t="s">
        <v>134</v>
      </c>
      <c r="AY137" s="105" t="s">
        <v>136</v>
      </c>
      <c r="AZ137" s="24"/>
    </row>
    <row r="138">
      <c r="A138" s="381" t="s">
        <v>331</v>
      </c>
      <c r="B138" s="206"/>
      <c r="C138" s="1"/>
      <c r="D138" s="123"/>
      <c r="E138" s="176" t="s">
        <v>185</v>
      </c>
      <c r="F138" s="88"/>
      <c r="G138" s="207" t="str">
        <f>G5:H5</f>
        <v>อสูรเดือน N</v>
      </c>
      <c r="I138" s="208" t="str">
        <f>I5:J5</f>
        <v>อสูรปี N</v>
      </c>
      <c r="K138" s="36"/>
      <c r="L138" s="117"/>
      <c r="M138" s="326"/>
      <c r="N138" s="327"/>
      <c r="R138" s="117"/>
      <c r="T138" s="117"/>
      <c r="V138" s="117"/>
      <c r="X138" s="117"/>
      <c r="Y138" s="127"/>
      <c r="Z138" s="155"/>
      <c r="AA138" s="36"/>
      <c r="AB138" s="36"/>
      <c r="AC138" s="111"/>
      <c r="AD138" s="112"/>
      <c r="AE138" s="37"/>
      <c r="AF138" s="97"/>
      <c r="AG138" s="14"/>
      <c r="AH138" s="14"/>
      <c r="AI138" s="14"/>
      <c r="AJ138" s="113"/>
      <c r="AM138" s="128"/>
      <c r="AZ138" s="24"/>
    </row>
    <row r="139">
      <c r="A139" s="188" t="s">
        <v>186</v>
      </c>
      <c r="B139" s="189"/>
      <c r="C139" s="63"/>
      <c r="D139" s="63"/>
      <c r="E139" s="358">
        <f>(O140+P140+Q140+R140)/(O141+P141+Q141+R141)</f>
        <v>0.575</v>
      </c>
      <c r="F139" s="65"/>
      <c r="G139" s="133"/>
      <c r="H139" s="72"/>
      <c r="I139" s="67"/>
      <c r="J139" s="72"/>
      <c r="K139" s="68"/>
      <c r="L139" s="69"/>
      <c r="M139" s="63" t="s">
        <v>64</v>
      </c>
      <c r="N139" s="70"/>
      <c r="O139" s="71" t="s">
        <v>65</v>
      </c>
      <c r="P139" s="72"/>
      <c r="Q139" s="72"/>
      <c r="R139" s="70"/>
      <c r="S139" s="71" t="s">
        <v>66</v>
      </c>
      <c r="T139" s="70"/>
      <c r="U139" s="71" t="s">
        <v>67</v>
      </c>
      <c r="V139" s="70"/>
      <c r="W139" s="71" t="s">
        <v>68</v>
      </c>
      <c r="X139" s="70"/>
      <c r="Y139" s="134" t="s">
        <v>80</v>
      </c>
      <c r="Z139" s="74" t="s">
        <v>159</v>
      </c>
      <c r="AA139" s="75" t="s">
        <v>71</v>
      </c>
      <c r="AB139" s="75" t="s">
        <v>72</v>
      </c>
      <c r="AC139" s="76" t="s">
        <v>73</v>
      </c>
      <c r="AD139" s="77" t="s">
        <v>74</v>
      </c>
      <c r="AE139" s="63" t="s">
        <v>75</v>
      </c>
      <c r="AF139" s="78" t="s">
        <v>75</v>
      </c>
      <c r="AG139" s="79" t="s">
        <v>97</v>
      </c>
      <c r="AH139" s="79">
        <v>330.0</v>
      </c>
      <c r="AI139" s="79" t="s">
        <v>150</v>
      </c>
      <c r="AJ139" s="80" t="str">
        <f>AJ133</f>
        <v>開</v>
      </c>
      <c r="AK139" s="81" t="s">
        <v>42</v>
      </c>
      <c r="AL139" s="82" t="str">
        <f>AL133</f>
        <v>休</v>
      </c>
      <c r="AM139" s="81" t="s">
        <v>44</v>
      </c>
      <c r="AN139" s="82" t="s">
        <v>4</v>
      </c>
      <c r="AO139" s="81" t="s">
        <v>46</v>
      </c>
      <c r="AP139" s="82" t="str">
        <f>AP133</f>
        <v>傷</v>
      </c>
      <c r="AQ139" s="81" t="s">
        <v>48</v>
      </c>
      <c r="AR139" s="82" t="s">
        <v>8</v>
      </c>
      <c r="AS139" s="81" t="s">
        <v>50</v>
      </c>
      <c r="AT139" s="82" t="str">
        <f>AT133</f>
        <v>景</v>
      </c>
      <c r="AU139" s="81" t="s">
        <v>52</v>
      </c>
      <c r="AV139" s="82" t="str">
        <f>AV133</f>
        <v>死</v>
      </c>
      <c r="AW139" s="81" t="s">
        <v>38</v>
      </c>
      <c r="AX139" s="82" t="str">
        <f>AX133</f>
        <v>驚</v>
      </c>
      <c r="AY139" s="81" t="s">
        <v>40</v>
      </c>
      <c r="AZ139" s="83"/>
      <c r="BA139" s="84"/>
      <c r="BB139" s="84"/>
      <c r="BC139" s="84"/>
    </row>
    <row r="140">
      <c r="A140" s="192">
        <f>A134+1</f>
        <v>22</v>
      </c>
      <c r="B140" s="193"/>
      <c r="C140" s="12" t="s">
        <v>187</v>
      </c>
      <c r="E140" s="136" t="s">
        <v>161</v>
      </c>
      <c r="G140" s="374" t="str">
        <f t="shared" ref="G140:G141" si="211">G3:H3</f>
        <v>甲</v>
      </c>
      <c r="I140" s="275" t="str">
        <f t="shared" ref="I140:I141" si="212">I32:J32</f>
        <v>丙</v>
      </c>
      <c r="K140" s="90">
        <f>L140/L141</f>
        <v>0.675</v>
      </c>
      <c r="L140" s="126">
        <f t="shared" ref="L140:L141" si="213">O140+P140+Q140+U140+V140+W140+X140+R140+M140+N140+S140+T140</f>
        <v>675</v>
      </c>
      <c r="M140" s="92">
        <v>0.0</v>
      </c>
      <c r="N140" s="93">
        <v>0.0</v>
      </c>
      <c r="O140" s="92">
        <v>30.0</v>
      </c>
      <c r="P140" s="92">
        <v>90.0</v>
      </c>
      <c r="Q140" s="92">
        <v>80.0</v>
      </c>
      <c r="R140" s="93">
        <v>30.0</v>
      </c>
      <c r="S140" s="92">
        <v>110.0</v>
      </c>
      <c r="T140" s="93">
        <v>100.0</v>
      </c>
      <c r="U140" s="92">
        <f t="shared" ref="U140:V140" si="209">U38</f>
        <v>5</v>
      </c>
      <c r="V140" s="93">
        <f t="shared" si="209"/>
        <v>60</v>
      </c>
      <c r="W140" s="92">
        <f t="shared" ref="W140:X140" si="210">W32</f>
        <v>110</v>
      </c>
      <c r="X140" s="93">
        <f t="shared" si="210"/>
        <v>60</v>
      </c>
      <c r="Y140" s="73" t="s">
        <v>98</v>
      </c>
      <c r="Z140" s="94" t="s">
        <v>152</v>
      </c>
      <c r="AA140" s="36"/>
      <c r="AB140" s="29"/>
      <c r="AC140" s="95" t="s">
        <v>82</v>
      </c>
      <c r="AD140" s="96" t="s">
        <v>83</v>
      </c>
      <c r="AE140" s="37"/>
      <c r="AF140" s="97"/>
      <c r="AG140" s="12" t="s">
        <v>32</v>
      </c>
      <c r="AH140" s="12">
        <v>270.0</v>
      </c>
      <c r="AI140" s="12" t="s">
        <v>145</v>
      </c>
      <c r="AJ140" s="98" t="s">
        <v>39</v>
      </c>
      <c r="AK140" s="99" t="s">
        <v>93</v>
      </c>
      <c r="AL140" s="100" t="s">
        <v>37</v>
      </c>
      <c r="AM140" s="99" t="s">
        <v>94</v>
      </c>
      <c r="AN140" s="100" t="s">
        <v>51</v>
      </c>
      <c r="AO140" s="101" t="s">
        <v>95</v>
      </c>
      <c r="AP140" s="100" t="s">
        <v>86</v>
      </c>
      <c r="AQ140" s="99" t="s">
        <v>87</v>
      </c>
      <c r="AR140" s="100" t="s">
        <v>88</v>
      </c>
      <c r="AS140" s="101" t="s">
        <v>89</v>
      </c>
      <c r="AT140" s="100" t="s">
        <v>45</v>
      </c>
      <c r="AU140" s="102" t="s">
        <v>90</v>
      </c>
      <c r="AV140" s="100" t="s">
        <v>43</v>
      </c>
      <c r="AW140" s="101" t="s">
        <v>91</v>
      </c>
      <c r="AX140" s="100" t="s">
        <v>41</v>
      </c>
      <c r="AY140" s="103" t="s">
        <v>92</v>
      </c>
      <c r="AZ140" s="24"/>
    </row>
    <row r="141">
      <c r="A141" s="215" t="str">
        <f>G2</f>
        <v>มิถุนายน</v>
      </c>
      <c r="B141" s="193"/>
      <c r="C141" s="161" t="s">
        <v>188</v>
      </c>
      <c r="E141" s="171" t="s">
        <v>189</v>
      </c>
      <c r="G141" s="223" t="str">
        <f t="shared" si="211"/>
        <v>午</v>
      </c>
      <c r="I141" s="142" t="str">
        <f t="shared" si="212"/>
        <v>午</v>
      </c>
      <c r="K141" s="36"/>
      <c r="L141" s="109">
        <f t="shared" si="213"/>
        <v>1000</v>
      </c>
      <c r="M141" s="9">
        <v>0.0</v>
      </c>
      <c r="N141" s="110">
        <v>0.0</v>
      </c>
      <c r="O141" s="9">
        <v>100.0</v>
      </c>
      <c r="P141" s="9">
        <v>100.0</v>
      </c>
      <c r="Q141" s="9">
        <v>100.0</v>
      </c>
      <c r="R141" s="110">
        <v>100.0</v>
      </c>
      <c r="S141" s="9">
        <v>100.0</v>
      </c>
      <c r="T141" s="110">
        <v>100.0</v>
      </c>
      <c r="U141" s="9">
        <v>100.0</v>
      </c>
      <c r="V141" s="110">
        <v>100.0</v>
      </c>
      <c r="W141" s="9">
        <v>100.0</v>
      </c>
      <c r="X141" s="110">
        <v>100.0</v>
      </c>
      <c r="Y141" s="73" t="s">
        <v>116</v>
      </c>
      <c r="Z141" s="94" t="s">
        <v>81</v>
      </c>
      <c r="AA141" s="36"/>
      <c r="AB141" s="36"/>
      <c r="AC141" s="111"/>
      <c r="AD141" s="112"/>
      <c r="AE141" s="37"/>
      <c r="AF141" s="97"/>
      <c r="AG141" s="14"/>
      <c r="AH141" s="14"/>
      <c r="AI141" s="14"/>
      <c r="AJ141" s="113"/>
      <c r="AK141" s="104" t="s">
        <v>105</v>
      </c>
      <c r="AM141" s="104" t="s">
        <v>106</v>
      </c>
      <c r="AO141" s="105" t="s">
        <v>107</v>
      </c>
      <c r="AQ141" s="104" t="s">
        <v>100</v>
      </c>
      <c r="AS141" s="114" t="s">
        <v>101</v>
      </c>
      <c r="AU141" s="105" t="s">
        <v>102</v>
      </c>
      <c r="AW141" s="105" t="s">
        <v>103</v>
      </c>
      <c r="AY141" s="104" t="s">
        <v>104</v>
      </c>
      <c r="AZ141" s="24"/>
    </row>
    <row r="142">
      <c r="A142" s="192">
        <v>2569.0</v>
      </c>
      <c r="B142" s="193"/>
      <c r="E142" s="115" t="s">
        <v>115</v>
      </c>
      <c r="F142" s="116" t="s">
        <v>69</v>
      </c>
      <c r="G142" s="115" t="str">
        <f t="shared" ref="G142:H142" si="214">G40</f>
        <v>A8</v>
      </c>
      <c r="H142" s="9" t="str">
        <f t="shared" si="214"/>
        <v>B11</v>
      </c>
      <c r="I142" s="9" t="str">
        <f t="shared" ref="I142:J142" si="215">I34</f>
        <v>A5</v>
      </c>
      <c r="J142" s="9" t="str">
        <f t="shared" si="215"/>
        <v>B11</v>
      </c>
      <c r="K142" s="36"/>
      <c r="L142" s="117"/>
      <c r="M142" s="118" t="str">
        <f t="shared" ref="M142:P142" si="216">C142</f>
        <v/>
      </c>
      <c r="N142" s="119" t="str">
        <f t="shared" si="216"/>
        <v/>
      </c>
      <c r="O142" s="118" t="str">
        <f t="shared" si="216"/>
        <v>A7</v>
      </c>
      <c r="P142" s="118" t="str">
        <f t="shared" si="216"/>
        <v>B8</v>
      </c>
      <c r="Q142" s="118" t="str">
        <f t="shared" ref="Q142:R142" si="217">E143</f>
        <v>B2</v>
      </c>
      <c r="R142" s="119" t="str">
        <f t="shared" si="217"/>
        <v>C10</v>
      </c>
      <c r="S142" s="9" t="s">
        <v>204</v>
      </c>
      <c r="T142" s="110" t="s">
        <v>213</v>
      </c>
      <c r="U142" s="9" t="str">
        <f t="shared" ref="U142:X142" si="218">G142</f>
        <v>A8</v>
      </c>
      <c r="V142" s="119" t="str">
        <f t="shared" si="218"/>
        <v>B11</v>
      </c>
      <c r="W142" s="118" t="str">
        <f t="shared" si="218"/>
        <v>A5</v>
      </c>
      <c r="X142" s="120" t="str">
        <f t="shared" si="218"/>
        <v>B11</v>
      </c>
      <c r="Y142" s="73" t="s">
        <v>126</v>
      </c>
      <c r="Z142" s="94" t="s">
        <v>99</v>
      </c>
      <c r="AA142" s="36"/>
      <c r="AB142" s="36"/>
      <c r="AC142" s="111"/>
      <c r="AD142" s="112"/>
      <c r="AE142" s="37"/>
      <c r="AF142" s="97"/>
      <c r="AG142" s="14"/>
      <c r="AH142" s="14"/>
      <c r="AI142" s="14"/>
      <c r="AJ142" s="113"/>
      <c r="AK142" s="104" t="s">
        <v>123</v>
      </c>
      <c r="AM142" s="104" t="s">
        <v>124</v>
      </c>
      <c r="AO142" s="105" t="s">
        <v>125</v>
      </c>
      <c r="AQ142" s="104" t="s">
        <v>118</v>
      </c>
      <c r="AS142" s="114" t="s">
        <v>119</v>
      </c>
      <c r="AU142" s="105" t="s">
        <v>120</v>
      </c>
      <c r="AW142" s="105" t="s">
        <v>121</v>
      </c>
      <c r="AY142" s="104" t="s">
        <v>122</v>
      </c>
      <c r="AZ142" s="24"/>
    </row>
    <row r="143">
      <c r="A143" s="192">
        <f>A142-543</f>
        <v>2026</v>
      </c>
      <c r="B143" s="193"/>
      <c r="C143" s="331" t="s">
        <v>335</v>
      </c>
      <c r="E143" s="115" t="s">
        <v>98</v>
      </c>
      <c r="F143" s="116" t="s">
        <v>232</v>
      </c>
      <c r="G143" s="115"/>
      <c r="H143" s="118"/>
      <c r="I143" s="118"/>
      <c r="J143" s="118"/>
      <c r="K143" s="36"/>
      <c r="L143" s="117"/>
      <c r="M143" s="326"/>
      <c r="N143" s="327"/>
      <c r="R143" s="117"/>
      <c r="T143" s="117"/>
      <c r="V143" s="117"/>
      <c r="X143" s="117"/>
      <c r="Y143" s="73" t="s">
        <v>69</v>
      </c>
      <c r="Z143" s="94" t="s">
        <v>155</v>
      </c>
      <c r="AA143" s="36"/>
      <c r="AB143" s="36"/>
      <c r="AC143" s="111"/>
      <c r="AD143" s="112"/>
      <c r="AE143" s="37"/>
      <c r="AF143" s="97"/>
      <c r="AG143" s="14"/>
      <c r="AH143" s="14"/>
      <c r="AI143" s="14"/>
      <c r="AJ143" s="113"/>
      <c r="AK143" s="104" t="s">
        <v>134</v>
      </c>
      <c r="AM143" s="104" t="s">
        <v>135</v>
      </c>
      <c r="AO143" s="105" t="s">
        <v>136</v>
      </c>
      <c r="AQ143" s="104" t="s">
        <v>129</v>
      </c>
      <c r="AS143" s="114" t="s">
        <v>130</v>
      </c>
      <c r="AU143" s="105" t="s">
        <v>131</v>
      </c>
      <c r="AW143" s="105" t="s">
        <v>132</v>
      </c>
      <c r="AY143" s="104" t="s">
        <v>133</v>
      </c>
      <c r="AZ143" s="24"/>
    </row>
    <row r="144">
      <c r="A144" s="113"/>
      <c r="B144" s="206"/>
      <c r="C144" s="1"/>
      <c r="D144" s="123"/>
      <c r="E144" s="164" t="s">
        <v>168</v>
      </c>
      <c r="F144" s="88"/>
      <c r="G144" s="207" t="str">
        <f>G5:H5</f>
        <v>อสูรเดือน N</v>
      </c>
      <c r="I144" s="208" t="str">
        <f>I5:J5</f>
        <v>อสูรปี N</v>
      </c>
      <c r="K144" s="36"/>
      <c r="L144" s="117"/>
      <c r="M144" s="326"/>
      <c r="N144" s="327"/>
      <c r="R144" s="117"/>
      <c r="T144" s="117"/>
      <c r="V144" s="117"/>
      <c r="X144" s="117"/>
      <c r="Y144" s="127"/>
      <c r="Z144" s="155"/>
      <c r="AA144" s="36"/>
      <c r="AB144" s="36"/>
      <c r="AC144" s="111"/>
      <c r="AD144" s="112"/>
      <c r="AE144" s="37"/>
      <c r="AF144" s="97"/>
      <c r="AG144" s="14"/>
      <c r="AH144" s="14"/>
      <c r="AI144" s="14"/>
      <c r="AJ144" s="113"/>
      <c r="AU144" s="128"/>
      <c r="AZ144" s="24"/>
    </row>
    <row r="145">
      <c r="A145" s="188" t="s">
        <v>191</v>
      </c>
      <c r="B145" s="189"/>
      <c r="C145" s="63"/>
      <c r="D145" s="63"/>
      <c r="E145" s="358">
        <f>(O146+P146+Q146+R146)/(O147+P147+Q147+R147)</f>
        <v>0.75</v>
      </c>
      <c r="F145" s="65"/>
      <c r="G145" s="133"/>
      <c r="H145" s="72"/>
      <c r="I145" s="67"/>
      <c r="J145" s="72"/>
      <c r="K145" s="68"/>
      <c r="L145" s="69"/>
      <c r="M145" s="63" t="s">
        <v>64</v>
      </c>
      <c r="N145" s="70"/>
      <c r="O145" s="71" t="s">
        <v>65</v>
      </c>
      <c r="P145" s="72"/>
      <c r="Q145" s="72"/>
      <c r="R145" s="70"/>
      <c r="S145" s="71" t="s">
        <v>66</v>
      </c>
      <c r="T145" s="70"/>
      <c r="U145" s="71" t="s">
        <v>67</v>
      </c>
      <c r="V145" s="70"/>
      <c r="W145" s="71" t="s">
        <v>68</v>
      </c>
      <c r="X145" s="70"/>
      <c r="Y145" s="134" t="s">
        <v>80</v>
      </c>
      <c r="Z145" s="74" t="s">
        <v>181</v>
      </c>
      <c r="AA145" s="75" t="s">
        <v>197</v>
      </c>
      <c r="AB145" s="75" t="s">
        <v>311</v>
      </c>
      <c r="AC145" s="202" t="s">
        <v>142</v>
      </c>
      <c r="AD145" s="74" t="s">
        <v>143</v>
      </c>
      <c r="AE145" s="63" t="s">
        <v>34</v>
      </c>
      <c r="AF145" s="78" t="s">
        <v>144</v>
      </c>
      <c r="AG145" s="79" t="s">
        <v>71</v>
      </c>
      <c r="AH145" s="79">
        <v>210.0</v>
      </c>
      <c r="AI145" s="79" t="s">
        <v>175</v>
      </c>
      <c r="AJ145" s="80" t="str">
        <f>AJ139</f>
        <v>開</v>
      </c>
      <c r="AK145" s="81" t="s">
        <v>42</v>
      </c>
      <c r="AL145" s="82" t="str">
        <f>AL139</f>
        <v>休</v>
      </c>
      <c r="AM145" s="81" t="s">
        <v>44</v>
      </c>
      <c r="AN145" s="82" t="s">
        <v>4</v>
      </c>
      <c r="AO145" s="81" t="s">
        <v>46</v>
      </c>
      <c r="AP145" s="82" t="str">
        <f>AP139</f>
        <v>傷</v>
      </c>
      <c r="AQ145" s="81" t="s">
        <v>48</v>
      </c>
      <c r="AR145" s="82" t="s">
        <v>8</v>
      </c>
      <c r="AS145" s="81" t="s">
        <v>50</v>
      </c>
      <c r="AT145" s="82" t="str">
        <f>AT139</f>
        <v>景</v>
      </c>
      <c r="AU145" s="81" t="s">
        <v>52</v>
      </c>
      <c r="AV145" s="82" t="str">
        <f>AV139</f>
        <v>死</v>
      </c>
      <c r="AW145" s="81" t="s">
        <v>38</v>
      </c>
      <c r="AX145" s="82" t="str">
        <f>AX139</f>
        <v>驚</v>
      </c>
      <c r="AY145" s="81" t="s">
        <v>40</v>
      </c>
      <c r="AZ145" s="83"/>
      <c r="BA145" s="84"/>
      <c r="BB145" s="84"/>
      <c r="BC145" s="84"/>
    </row>
    <row r="146">
      <c r="A146" s="192">
        <f>A140+1</f>
        <v>23</v>
      </c>
      <c r="B146" s="193"/>
      <c r="C146" s="12" t="s">
        <v>260</v>
      </c>
      <c r="E146" s="168" t="s">
        <v>79</v>
      </c>
      <c r="G146" s="374" t="str">
        <f t="shared" ref="G146:G147" si="221">G3:H3</f>
        <v>甲</v>
      </c>
      <c r="I146" s="275" t="str">
        <f t="shared" ref="I146:I147" si="222">I32:J32</f>
        <v>丙</v>
      </c>
      <c r="K146" s="90">
        <f>L146/L147</f>
        <v>0.675</v>
      </c>
      <c r="L146" s="126">
        <f t="shared" ref="L146:L147" si="223">O146+P146+Q146+U146+V146+W146+X146+R146+M146+N146+S146+T146</f>
        <v>675</v>
      </c>
      <c r="M146" s="92">
        <v>0.0</v>
      </c>
      <c r="N146" s="93">
        <v>0.0</v>
      </c>
      <c r="O146" s="92">
        <v>90.0</v>
      </c>
      <c r="P146" s="92">
        <v>50.0</v>
      </c>
      <c r="Q146" s="92">
        <v>80.0</v>
      </c>
      <c r="R146" s="93">
        <v>80.0</v>
      </c>
      <c r="S146" s="92">
        <v>30.0</v>
      </c>
      <c r="T146" s="93">
        <v>110.0</v>
      </c>
      <c r="U146" s="92">
        <f t="shared" ref="U146:V146" si="219">U38</f>
        <v>5</v>
      </c>
      <c r="V146" s="93">
        <f t="shared" si="219"/>
        <v>60</v>
      </c>
      <c r="W146" s="92">
        <f t="shared" ref="W146:X146" si="220">W32</f>
        <v>110</v>
      </c>
      <c r="X146" s="93">
        <f t="shared" si="220"/>
        <v>60</v>
      </c>
      <c r="Y146" s="73" t="s">
        <v>98</v>
      </c>
      <c r="Z146" s="94" t="s">
        <v>163</v>
      </c>
      <c r="AA146" s="36"/>
      <c r="AB146" s="36"/>
      <c r="AC146" s="204" t="s">
        <v>82</v>
      </c>
      <c r="AD146" s="96" t="s">
        <v>83</v>
      </c>
      <c r="AE146" s="37"/>
      <c r="AF146" s="97"/>
      <c r="AG146" s="12" t="s">
        <v>53</v>
      </c>
      <c r="AH146" s="12">
        <v>30.0</v>
      </c>
      <c r="AI146" s="12" t="s">
        <v>178</v>
      </c>
      <c r="AJ146" s="98" t="s">
        <v>39</v>
      </c>
      <c r="AK146" s="99" t="s">
        <v>93</v>
      </c>
      <c r="AL146" s="100" t="s">
        <v>37</v>
      </c>
      <c r="AM146" s="99" t="s">
        <v>94</v>
      </c>
      <c r="AN146" s="100" t="s">
        <v>51</v>
      </c>
      <c r="AO146" s="101" t="s">
        <v>95</v>
      </c>
      <c r="AP146" s="100" t="s">
        <v>86</v>
      </c>
      <c r="AQ146" s="99" t="s">
        <v>87</v>
      </c>
      <c r="AR146" s="100" t="s">
        <v>88</v>
      </c>
      <c r="AS146" s="101" t="s">
        <v>89</v>
      </c>
      <c r="AT146" s="100" t="s">
        <v>45</v>
      </c>
      <c r="AU146" s="102" t="s">
        <v>90</v>
      </c>
      <c r="AV146" s="100" t="s">
        <v>43</v>
      </c>
      <c r="AW146" s="101" t="s">
        <v>91</v>
      </c>
      <c r="AX146" s="100" t="s">
        <v>41</v>
      </c>
      <c r="AY146" s="103" t="s">
        <v>92</v>
      </c>
      <c r="AZ146" s="24"/>
    </row>
    <row r="147">
      <c r="A147" s="215" t="str">
        <f>G2</f>
        <v>มิถุนายน</v>
      </c>
      <c r="B147" s="193"/>
      <c r="C147" s="332" t="s">
        <v>211</v>
      </c>
      <c r="E147" s="162" t="s">
        <v>197</v>
      </c>
      <c r="G147" s="223" t="str">
        <f t="shared" si="221"/>
        <v>午</v>
      </c>
      <c r="I147" s="142" t="str">
        <f t="shared" si="222"/>
        <v>午</v>
      </c>
      <c r="K147" s="36"/>
      <c r="L147" s="109">
        <f t="shared" si="223"/>
        <v>1000</v>
      </c>
      <c r="M147" s="9">
        <v>0.0</v>
      </c>
      <c r="N147" s="110">
        <v>0.0</v>
      </c>
      <c r="O147" s="9">
        <v>100.0</v>
      </c>
      <c r="P147" s="9">
        <v>100.0</v>
      </c>
      <c r="Q147" s="9">
        <v>100.0</v>
      </c>
      <c r="R147" s="110">
        <v>100.0</v>
      </c>
      <c r="S147" s="9">
        <v>100.0</v>
      </c>
      <c r="T147" s="110">
        <v>100.0</v>
      </c>
      <c r="U147" s="9">
        <v>100.0</v>
      </c>
      <c r="V147" s="110">
        <v>100.0</v>
      </c>
      <c r="W147" s="9">
        <v>100.0</v>
      </c>
      <c r="X147" s="110">
        <v>100.0</v>
      </c>
      <c r="Y147" s="73" t="s">
        <v>116</v>
      </c>
      <c r="Z147" s="94" t="s">
        <v>153</v>
      </c>
      <c r="AA147" s="36"/>
      <c r="AB147" s="36"/>
      <c r="AC147" s="111"/>
      <c r="AD147" s="112"/>
      <c r="AE147" s="37"/>
      <c r="AF147" s="97"/>
      <c r="AG147" s="14"/>
      <c r="AH147" s="14"/>
      <c r="AI147" s="14"/>
      <c r="AJ147" s="113"/>
      <c r="AK147" s="104" t="s">
        <v>105</v>
      </c>
      <c r="AM147" s="104" t="s">
        <v>106</v>
      </c>
      <c r="AO147" s="105" t="s">
        <v>107</v>
      </c>
      <c r="AQ147" s="104" t="s">
        <v>100</v>
      </c>
      <c r="AS147" s="114" t="s">
        <v>101</v>
      </c>
      <c r="AU147" s="105" t="s">
        <v>102</v>
      </c>
      <c r="AW147" s="105" t="s">
        <v>103</v>
      </c>
      <c r="AY147" s="104" t="s">
        <v>104</v>
      </c>
      <c r="AZ147" s="24"/>
    </row>
    <row r="148">
      <c r="A148" s="192">
        <v>2569.0</v>
      </c>
      <c r="B148" s="193"/>
      <c r="E148" s="115" t="s">
        <v>219</v>
      </c>
      <c r="F148" s="116" t="s">
        <v>212</v>
      </c>
      <c r="G148" s="115" t="str">
        <f t="shared" ref="G148:H148" si="224">G40</f>
        <v>A8</v>
      </c>
      <c r="H148" s="9" t="str">
        <f t="shared" si="224"/>
        <v>B11</v>
      </c>
      <c r="I148" s="9" t="str">
        <f t="shared" ref="I148:J148" si="225">I34</f>
        <v>A5</v>
      </c>
      <c r="J148" s="9" t="str">
        <f t="shared" si="225"/>
        <v>B11</v>
      </c>
      <c r="K148" s="36"/>
      <c r="L148" s="117"/>
      <c r="M148" s="118" t="str">
        <f t="shared" ref="M148:P148" si="226">C148</f>
        <v/>
      </c>
      <c r="N148" s="119" t="str">
        <f t="shared" si="226"/>
        <v/>
      </c>
      <c r="O148" s="118" t="str">
        <f t="shared" si="226"/>
        <v>A3</v>
      </c>
      <c r="P148" s="118" t="str">
        <f t="shared" si="226"/>
        <v>B9</v>
      </c>
      <c r="Q148" s="118" t="str">
        <f t="shared" ref="Q148:R148" si="227">E149</f>
        <v>B1</v>
      </c>
      <c r="R148" s="110" t="str">
        <f t="shared" si="227"/>
        <v>C11</v>
      </c>
      <c r="S148" s="9" t="s">
        <v>198</v>
      </c>
      <c r="T148" s="110" t="s">
        <v>204</v>
      </c>
      <c r="U148" s="9" t="str">
        <f t="shared" ref="U148:X148" si="228">G148</f>
        <v>A8</v>
      </c>
      <c r="V148" s="119" t="str">
        <f t="shared" si="228"/>
        <v>B11</v>
      </c>
      <c r="W148" s="118" t="str">
        <f t="shared" si="228"/>
        <v>A5</v>
      </c>
      <c r="X148" s="120" t="str">
        <f t="shared" si="228"/>
        <v>B11</v>
      </c>
      <c r="Y148" s="73" t="s">
        <v>126</v>
      </c>
      <c r="Z148" s="94" t="s">
        <v>155</v>
      </c>
      <c r="AA148" s="36"/>
      <c r="AB148" s="36"/>
      <c r="AC148" s="111"/>
      <c r="AD148" s="112"/>
      <c r="AE148" s="37"/>
      <c r="AF148" s="97"/>
      <c r="AG148" s="14"/>
      <c r="AH148" s="14"/>
      <c r="AI148" s="14"/>
      <c r="AJ148" s="113"/>
      <c r="AK148" s="104" t="s">
        <v>123</v>
      </c>
      <c r="AM148" s="104" t="s">
        <v>124</v>
      </c>
      <c r="AO148" s="105" t="s">
        <v>125</v>
      </c>
      <c r="AQ148" s="104" t="s">
        <v>118</v>
      </c>
      <c r="AS148" s="114" t="s">
        <v>119</v>
      </c>
      <c r="AU148" s="105" t="s">
        <v>120</v>
      </c>
      <c r="AW148" s="105" t="s">
        <v>121</v>
      </c>
      <c r="AY148" s="104" t="s">
        <v>122</v>
      </c>
      <c r="AZ148" s="24"/>
    </row>
    <row r="149">
      <c r="A149" s="192">
        <f>A148-543</f>
        <v>2026</v>
      </c>
      <c r="B149" s="193"/>
      <c r="E149" s="115" t="s">
        <v>80</v>
      </c>
      <c r="F149" s="116" t="s">
        <v>236</v>
      </c>
      <c r="G149" s="115"/>
      <c r="H149" s="118"/>
      <c r="I149" s="118"/>
      <c r="J149" s="118"/>
      <c r="K149" s="36"/>
      <c r="L149" s="117"/>
      <c r="M149" s="326"/>
      <c r="N149" s="327"/>
      <c r="O149" s="226"/>
      <c r="R149" s="117"/>
      <c r="T149" s="117"/>
      <c r="V149" s="117"/>
      <c r="X149" s="117"/>
      <c r="Y149" s="73" t="s">
        <v>69</v>
      </c>
      <c r="Z149" s="94" t="s">
        <v>128</v>
      </c>
      <c r="AA149" s="36"/>
      <c r="AB149" s="36"/>
      <c r="AC149" s="111"/>
      <c r="AD149" s="112"/>
      <c r="AE149" s="37"/>
      <c r="AF149" s="97"/>
      <c r="AG149" s="14"/>
      <c r="AH149" s="14"/>
      <c r="AI149" s="14"/>
      <c r="AJ149" s="113"/>
      <c r="AK149" s="104" t="s">
        <v>134</v>
      </c>
      <c r="AM149" s="104" t="s">
        <v>135</v>
      </c>
      <c r="AO149" s="105" t="s">
        <v>136</v>
      </c>
      <c r="AQ149" s="104" t="s">
        <v>129</v>
      </c>
      <c r="AS149" s="114" t="s">
        <v>130</v>
      </c>
      <c r="AU149" s="105" t="s">
        <v>131</v>
      </c>
      <c r="AW149" s="105" t="s">
        <v>132</v>
      </c>
      <c r="AY149" s="104" t="s">
        <v>133</v>
      </c>
      <c r="AZ149" s="24"/>
    </row>
    <row r="150">
      <c r="A150" s="279"/>
      <c r="B150" s="206"/>
      <c r="C150" s="1"/>
      <c r="D150" s="123"/>
      <c r="E150" s="164" t="s">
        <v>157</v>
      </c>
      <c r="F150" s="88"/>
      <c r="G150" s="207" t="str">
        <f>G5:H5</f>
        <v>อสูรเดือน N</v>
      </c>
      <c r="I150" s="208" t="str">
        <f>I5:J5</f>
        <v>อสูรปี N</v>
      </c>
      <c r="K150" s="36"/>
      <c r="L150" s="117"/>
      <c r="M150" s="326"/>
      <c r="N150" s="327"/>
      <c r="R150" s="117"/>
      <c r="T150" s="117"/>
      <c r="V150" s="117"/>
      <c r="X150" s="117"/>
      <c r="Y150" s="127"/>
      <c r="Z150" s="155"/>
      <c r="AA150" s="36"/>
      <c r="AB150" s="36"/>
      <c r="AC150" s="111"/>
      <c r="AD150" s="112"/>
      <c r="AE150" s="37"/>
      <c r="AF150" s="97"/>
      <c r="AG150" s="14"/>
      <c r="AH150" s="14"/>
      <c r="AI150" s="14"/>
      <c r="AJ150" s="113"/>
      <c r="AU150" s="128"/>
      <c r="AZ150" s="24"/>
    </row>
    <row r="151">
      <c r="A151" s="188" t="s">
        <v>199</v>
      </c>
      <c r="B151" s="189"/>
      <c r="C151" s="63"/>
      <c r="D151" s="63"/>
      <c r="E151" s="358">
        <f>(O152+P152+Q152+R152)/(O153+P153+Q153+R153)</f>
        <v>0.475</v>
      </c>
      <c r="F151" s="65"/>
      <c r="G151" s="133"/>
      <c r="H151" s="72"/>
      <c r="I151" s="67"/>
      <c r="J151" s="72"/>
      <c r="K151" s="68"/>
      <c r="L151" s="69"/>
      <c r="M151" s="63" t="s">
        <v>64</v>
      </c>
      <c r="N151" s="70"/>
      <c r="O151" s="71" t="s">
        <v>65</v>
      </c>
      <c r="P151" s="72"/>
      <c r="Q151" s="72"/>
      <c r="R151" s="70"/>
      <c r="S151" s="71" t="s">
        <v>66</v>
      </c>
      <c r="T151" s="70"/>
      <c r="U151" s="71" t="s">
        <v>67</v>
      </c>
      <c r="V151" s="70"/>
      <c r="W151" s="71" t="s">
        <v>68</v>
      </c>
      <c r="X151" s="70"/>
      <c r="Y151" s="134" t="s">
        <v>69</v>
      </c>
      <c r="Z151" s="74" t="s">
        <v>70</v>
      </c>
      <c r="AA151" s="75" t="s">
        <v>171</v>
      </c>
      <c r="AB151" s="75" t="s">
        <v>172</v>
      </c>
      <c r="AC151" s="202" t="s">
        <v>142</v>
      </c>
      <c r="AD151" s="74" t="s">
        <v>143</v>
      </c>
      <c r="AE151" s="63" t="s">
        <v>34</v>
      </c>
      <c r="AF151" s="78" t="s">
        <v>36</v>
      </c>
      <c r="AG151" s="79" t="s">
        <v>84</v>
      </c>
      <c r="AH151" s="79">
        <v>0.0</v>
      </c>
      <c r="AI151" s="79" t="s">
        <v>85</v>
      </c>
      <c r="AJ151" s="80" t="str">
        <f>AJ145</f>
        <v>開</v>
      </c>
      <c r="AK151" s="81" t="s">
        <v>42</v>
      </c>
      <c r="AL151" s="82" t="str">
        <f>AL145</f>
        <v>休</v>
      </c>
      <c r="AM151" s="81" t="s">
        <v>44</v>
      </c>
      <c r="AN151" s="82" t="s">
        <v>4</v>
      </c>
      <c r="AO151" s="81" t="s">
        <v>46</v>
      </c>
      <c r="AP151" s="82" t="str">
        <f>AP145</f>
        <v>傷</v>
      </c>
      <c r="AQ151" s="81" t="s">
        <v>48</v>
      </c>
      <c r="AR151" s="82" t="s">
        <v>8</v>
      </c>
      <c r="AS151" s="81" t="s">
        <v>50</v>
      </c>
      <c r="AT151" s="82" t="str">
        <f>AT145</f>
        <v>景</v>
      </c>
      <c r="AU151" s="81" t="s">
        <v>52</v>
      </c>
      <c r="AV151" s="82" t="str">
        <f>AV145</f>
        <v>死</v>
      </c>
      <c r="AW151" s="81" t="s">
        <v>38</v>
      </c>
      <c r="AX151" s="82" t="str">
        <f>AX145</f>
        <v>驚</v>
      </c>
      <c r="AY151" s="81" t="s">
        <v>40</v>
      </c>
      <c r="AZ151" s="83"/>
      <c r="BA151" s="84"/>
      <c r="BB151" s="84"/>
      <c r="BC151" s="84"/>
    </row>
    <row r="152">
      <c r="A152" s="192">
        <f>A146+1</f>
        <v>24</v>
      </c>
      <c r="B152" s="193"/>
      <c r="C152" s="12" t="s">
        <v>270</v>
      </c>
      <c r="E152" s="270" t="s">
        <v>30</v>
      </c>
      <c r="G152" s="374" t="str">
        <f t="shared" ref="G152:G153" si="231">G3:H3</f>
        <v>甲</v>
      </c>
      <c r="I152" s="275" t="str">
        <f t="shared" ref="I152:I153" si="232">I32:J32</f>
        <v>丙</v>
      </c>
      <c r="K152" s="90">
        <f>L152/L153</f>
        <v>0.545</v>
      </c>
      <c r="L152" s="126">
        <f t="shared" ref="L152:L153" si="233">O152+P152+Q152+U152+V152+W152+X152+R152+M152+N152+S152+T152</f>
        <v>545</v>
      </c>
      <c r="M152" s="92">
        <v>0.0</v>
      </c>
      <c r="N152" s="93">
        <v>0.0</v>
      </c>
      <c r="O152" s="92">
        <v>110.0</v>
      </c>
      <c r="P152" s="92">
        <v>40.0</v>
      </c>
      <c r="Q152" s="92">
        <v>10.0</v>
      </c>
      <c r="R152" s="93">
        <v>30.0</v>
      </c>
      <c r="S152" s="92">
        <v>20.0</v>
      </c>
      <c r="T152" s="93">
        <v>100.0</v>
      </c>
      <c r="U152" s="92">
        <f t="shared" ref="U152:V152" si="229">U38</f>
        <v>5</v>
      </c>
      <c r="V152" s="93">
        <f t="shared" si="229"/>
        <v>60</v>
      </c>
      <c r="W152" s="92">
        <f t="shared" ref="W152:X152" si="230">W32</f>
        <v>110</v>
      </c>
      <c r="X152" s="93">
        <f t="shared" si="230"/>
        <v>60</v>
      </c>
      <c r="Y152" s="73" t="s">
        <v>80</v>
      </c>
      <c r="Z152" s="94" t="s">
        <v>81</v>
      </c>
      <c r="AA152" s="36"/>
      <c r="AB152" s="169" t="s">
        <v>177</v>
      </c>
      <c r="AC152" s="204" t="s">
        <v>82</v>
      </c>
      <c r="AD152" s="96" t="s">
        <v>83</v>
      </c>
      <c r="AE152" s="37"/>
      <c r="AF152" s="97"/>
      <c r="AG152" s="12" t="s">
        <v>76</v>
      </c>
      <c r="AH152" s="12">
        <v>240.0</v>
      </c>
      <c r="AI152" s="12" t="s">
        <v>77</v>
      </c>
      <c r="AJ152" s="98" t="s">
        <v>39</v>
      </c>
      <c r="AK152" s="99" t="s">
        <v>93</v>
      </c>
      <c r="AL152" s="100" t="s">
        <v>37</v>
      </c>
      <c r="AM152" s="99" t="s">
        <v>94</v>
      </c>
      <c r="AN152" s="100" t="s">
        <v>51</v>
      </c>
      <c r="AO152" s="101" t="s">
        <v>95</v>
      </c>
      <c r="AP152" s="100" t="s">
        <v>86</v>
      </c>
      <c r="AQ152" s="99" t="s">
        <v>87</v>
      </c>
      <c r="AR152" s="100" t="s">
        <v>88</v>
      </c>
      <c r="AS152" s="101" t="s">
        <v>89</v>
      </c>
      <c r="AT152" s="100" t="s">
        <v>45</v>
      </c>
      <c r="AU152" s="102" t="s">
        <v>90</v>
      </c>
      <c r="AV152" s="100" t="s">
        <v>43</v>
      </c>
      <c r="AW152" s="101" t="s">
        <v>91</v>
      </c>
      <c r="AX152" s="100" t="s">
        <v>41</v>
      </c>
      <c r="AY152" s="103" t="s">
        <v>92</v>
      </c>
      <c r="AZ152" s="24"/>
    </row>
    <row r="153">
      <c r="A153" s="215" t="str">
        <f>G2</f>
        <v>มิถุนายน</v>
      </c>
      <c r="B153" s="193"/>
      <c r="C153" s="175" t="s">
        <v>345</v>
      </c>
      <c r="E153" s="201" t="s">
        <v>54</v>
      </c>
      <c r="G153" s="223" t="str">
        <f t="shared" si="231"/>
        <v>午</v>
      </c>
      <c r="I153" s="142" t="str">
        <f t="shared" si="232"/>
        <v>午</v>
      </c>
      <c r="K153" s="36"/>
      <c r="L153" s="109">
        <f t="shared" si="233"/>
        <v>1000</v>
      </c>
      <c r="M153" s="9">
        <v>0.0</v>
      </c>
      <c r="N153" s="110">
        <v>0.0</v>
      </c>
      <c r="O153" s="9">
        <v>100.0</v>
      </c>
      <c r="P153" s="9">
        <v>100.0</v>
      </c>
      <c r="Q153" s="9">
        <v>100.0</v>
      </c>
      <c r="R153" s="110">
        <v>100.0</v>
      </c>
      <c r="S153" s="9">
        <v>100.0</v>
      </c>
      <c r="T153" s="110">
        <v>100.0</v>
      </c>
      <c r="U153" s="9">
        <v>100.0</v>
      </c>
      <c r="V153" s="110">
        <v>100.0</v>
      </c>
      <c r="W153" s="9">
        <v>100.0</v>
      </c>
      <c r="X153" s="110">
        <v>100.0</v>
      </c>
      <c r="Y153" s="73" t="s">
        <v>98</v>
      </c>
      <c r="Z153" s="94" t="s">
        <v>99</v>
      </c>
      <c r="AA153" s="36"/>
      <c r="AB153" s="36"/>
      <c r="AC153" s="111"/>
      <c r="AD153" s="112"/>
      <c r="AE153" s="37"/>
      <c r="AF153" s="97"/>
      <c r="AG153" s="14"/>
      <c r="AH153" s="14"/>
      <c r="AI153" s="14"/>
      <c r="AJ153" s="113"/>
      <c r="AK153" s="104" t="s">
        <v>105</v>
      </c>
      <c r="AM153" s="104" t="s">
        <v>106</v>
      </c>
      <c r="AO153" s="105" t="s">
        <v>107</v>
      </c>
      <c r="AQ153" s="104" t="s">
        <v>100</v>
      </c>
      <c r="AS153" s="114" t="s">
        <v>101</v>
      </c>
      <c r="AU153" s="105" t="s">
        <v>102</v>
      </c>
      <c r="AW153" s="105" t="s">
        <v>103</v>
      </c>
      <c r="AY153" s="104" t="s">
        <v>104</v>
      </c>
      <c r="AZ153" s="24"/>
    </row>
    <row r="154">
      <c r="A154" s="192">
        <v>2569.0</v>
      </c>
      <c r="B154" s="193"/>
      <c r="E154" s="115" t="s">
        <v>204</v>
      </c>
      <c r="F154" s="116" t="s">
        <v>218</v>
      </c>
      <c r="G154" s="115" t="str">
        <f t="shared" ref="G154:H154" si="234">G40</f>
        <v>A8</v>
      </c>
      <c r="H154" s="9" t="str">
        <f t="shared" si="234"/>
        <v>B11</v>
      </c>
      <c r="I154" s="9" t="str">
        <f t="shared" ref="I154:J154" si="235">I34</f>
        <v>A5</v>
      </c>
      <c r="J154" s="9" t="str">
        <f t="shared" si="235"/>
        <v>B11</v>
      </c>
      <c r="K154" s="36"/>
      <c r="L154" s="117"/>
      <c r="M154" s="118" t="str">
        <f t="shared" ref="M154:P154" si="236">C154</f>
        <v/>
      </c>
      <c r="N154" s="119" t="str">
        <f t="shared" si="236"/>
        <v/>
      </c>
      <c r="O154" s="118" t="str">
        <f t="shared" si="236"/>
        <v>A5</v>
      </c>
      <c r="P154" s="118" t="str">
        <f t="shared" si="236"/>
        <v>B10</v>
      </c>
      <c r="Q154" s="118" t="str">
        <f t="shared" ref="Q154:R154" si="237">E155</f>
        <v>B12</v>
      </c>
      <c r="R154" s="119" t="str">
        <f t="shared" si="237"/>
        <v>C12</v>
      </c>
      <c r="S154" s="9" t="s">
        <v>115</v>
      </c>
      <c r="T154" s="110" t="s">
        <v>213</v>
      </c>
      <c r="U154" s="9" t="str">
        <f t="shared" ref="U154:X154" si="238">G154</f>
        <v>A8</v>
      </c>
      <c r="V154" s="119" t="str">
        <f t="shared" si="238"/>
        <v>B11</v>
      </c>
      <c r="W154" s="118" t="str">
        <f t="shared" si="238"/>
        <v>A5</v>
      </c>
      <c r="X154" s="120" t="str">
        <f t="shared" si="238"/>
        <v>B11</v>
      </c>
      <c r="Y154" s="73" t="s">
        <v>116</v>
      </c>
      <c r="Z154" s="94" t="s">
        <v>117</v>
      </c>
      <c r="AA154" s="36"/>
      <c r="AB154" s="36"/>
      <c r="AC154" s="111"/>
      <c r="AD154" s="112"/>
      <c r="AE154" s="37"/>
      <c r="AF154" s="97"/>
      <c r="AG154" s="14"/>
      <c r="AH154" s="14"/>
      <c r="AI154" s="14"/>
      <c r="AJ154" s="113"/>
      <c r="AK154" s="104" t="s">
        <v>123</v>
      </c>
      <c r="AM154" s="104" t="s">
        <v>124</v>
      </c>
      <c r="AO154" s="105" t="s">
        <v>125</v>
      </c>
      <c r="AQ154" s="104" t="s">
        <v>118</v>
      </c>
      <c r="AS154" s="114" t="s">
        <v>119</v>
      </c>
      <c r="AU154" s="105" t="s">
        <v>120</v>
      </c>
      <c r="AW154" s="105" t="s">
        <v>121</v>
      </c>
      <c r="AY154" s="104" t="s">
        <v>122</v>
      </c>
      <c r="AZ154" s="24"/>
    </row>
    <row r="155">
      <c r="A155" s="192">
        <f>A154-543</f>
        <v>2026</v>
      </c>
      <c r="B155" s="193"/>
      <c r="C155" s="262" t="s">
        <v>166</v>
      </c>
      <c r="E155" s="115" t="s">
        <v>113</v>
      </c>
      <c r="F155" s="116" t="s">
        <v>127</v>
      </c>
      <c r="G155" s="115"/>
      <c r="H155" s="118"/>
      <c r="I155" s="118"/>
      <c r="J155" s="118"/>
      <c r="K155" s="36"/>
      <c r="L155" s="117"/>
      <c r="M155" s="326"/>
      <c r="N155" s="327"/>
      <c r="R155" s="117"/>
      <c r="T155" s="117"/>
      <c r="V155" s="117"/>
      <c r="X155" s="117"/>
      <c r="Y155" s="73" t="s">
        <v>126</v>
      </c>
      <c r="Z155" s="94" t="s">
        <v>128</v>
      </c>
      <c r="AA155" s="36"/>
      <c r="AB155" s="36"/>
      <c r="AC155" s="111"/>
      <c r="AD155" s="112"/>
      <c r="AE155" s="37"/>
      <c r="AF155" s="97"/>
      <c r="AG155" s="14"/>
      <c r="AH155" s="14"/>
      <c r="AI155" s="14"/>
      <c r="AJ155" s="113"/>
      <c r="AK155" s="104" t="s">
        <v>134</v>
      </c>
      <c r="AM155" s="104" t="s">
        <v>135</v>
      </c>
      <c r="AO155" s="105" t="s">
        <v>136</v>
      </c>
      <c r="AQ155" s="104" t="s">
        <v>129</v>
      </c>
      <c r="AS155" s="114" t="s">
        <v>130</v>
      </c>
      <c r="AU155" s="105" t="s">
        <v>131</v>
      </c>
      <c r="AW155" s="105" t="s">
        <v>132</v>
      </c>
      <c r="AY155" s="104" t="s">
        <v>133</v>
      </c>
      <c r="AZ155" s="24"/>
    </row>
    <row r="156">
      <c r="A156" s="351"/>
      <c r="B156" s="206"/>
      <c r="C156" s="1"/>
      <c r="D156" s="312"/>
      <c r="E156" s="176" t="s">
        <v>168</v>
      </c>
      <c r="F156" s="88"/>
      <c r="G156" s="207" t="str">
        <f>G5:H5</f>
        <v>อสูรเดือน N</v>
      </c>
      <c r="I156" s="208" t="str">
        <f>I5:J5</f>
        <v>อสูรปี N</v>
      </c>
      <c r="K156" s="36"/>
      <c r="L156" s="117"/>
      <c r="M156" s="326"/>
      <c r="N156" s="327"/>
      <c r="R156" s="117"/>
      <c r="T156" s="117"/>
      <c r="V156" s="117"/>
      <c r="X156" s="117"/>
      <c r="Y156" s="127"/>
      <c r="Z156" s="155"/>
      <c r="AA156" s="36"/>
      <c r="AB156" s="36"/>
      <c r="AC156" s="111"/>
      <c r="AD156" s="112"/>
      <c r="AE156" s="37"/>
      <c r="AF156" s="97"/>
      <c r="AG156" s="14"/>
      <c r="AH156" s="14"/>
      <c r="AI156" s="14"/>
      <c r="AJ156" s="113"/>
      <c r="AY156" s="128"/>
      <c r="AZ156" s="24"/>
    </row>
    <row r="157">
      <c r="A157" s="188" t="s">
        <v>63</v>
      </c>
      <c r="B157" s="189"/>
      <c r="C157" s="63"/>
      <c r="D157" s="63"/>
      <c r="E157" s="358">
        <f>(O158+P158+Q158+R158)/(O159+P159+Q159+R159)</f>
        <v>0.5125</v>
      </c>
      <c r="F157" s="65"/>
      <c r="G157" s="133"/>
      <c r="H157" s="72"/>
      <c r="I157" s="67"/>
      <c r="J157" s="72"/>
      <c r="K157" s="68"/>
      <c r="L157" s="69"/>
      <c r="M157" s="63" t="s">
        <v>64</v>
      </c>
      <c r="N157" s="70"/>
      <c r="O157" s="71" t="s">
        <v>65</v>
      </c>
      <c r="P157" s="72"/>
      <c r="Q157" s="72"/>
      <c r="R157" s="70"/>
      <c r="S157" s="71" t="s">
        <v>66</v>
      </c>
      <c r="T157" s="70"/>
      <c r="U157" s="71" t="s">
        <v>67</v>
      </c>
      <c r="V157" s="70"/>
      <c r="W157" s="71" t="s">
        <v>68</v>
      </c>
      <c r="X157" s="70"/>
      <c r="Y157" s="134" t="s">
        <v>116</v>
      </c>
      <c r="Z157" s="74" t="s">
        <v>140</v>
      </c>
      <c r="AA157" s="75" t="s">
        <v>209</v>
      </c>
      <c r="AB157" s="75" t="s">
        <v>238</v>
      </c>
      <c r="AC157" s="167" t="s">
        <v>173</v>
      </c>
      <c r="AD157" s="74" t="s">
        <v>174</v>
      </c>
      <c r="AE157" s="63" t="s">
        <v>36</v>
      </c>
      <c r="AF157" s="78" t="s">
        <v>34</v>
      </c>
      <c r="AG157" s="79" t="s">
        <v>53</v>
      </c>
      <c r="AH157" s="79">
        <v>30.0</v>
      </c>
      <c r="AI157" s="79" t="s">
        <v>178</v>
      </c>
      <c r="AJ157" s="80" t="str">
        <f>AJ151</f>
        <v>開</v>
      </c>
      <c r="AK157" s="81" t="s">
        <v>40</v>
      </c>
      <c r="AL157" s="82" t="str">
        <f>AL151</f>
        <v>休</v>
      </c>
      <c r="AM157" s="81" t="s">
        <v>42</v>
      </c>
      <c r="AN157" s="82" t="s">
        <v>4</v>
      </c>
      <c r="AO157" s="81" t="s">
        <v>44</v>
      </c>
      <c r="AP157" s="82" t="str">
        <f>AP151</f>
        <v>傷</v>
      </c>
      <c r="AQ157" s="81" t="s">
        <v>46</v>
      </c>
      <c r="AR157" s="82" t="s">
        <v>8</v>
      </c>
      <c r="AS157" s="81" t="s">
        <v>48</v>
      </c>
      <c r="AT157" s="82" t="str">
        <f>AT151</f>
        <v>景</v>
      </c>
      <c r="AU157" s="81" t="s">
        <v>50</v>
      </c>
      <c r="AV157" s="82" t="str">
        <f>AV151</f>
        <v>死</v>
      </c>
      <c r="AW157" s="81" t="s">
        <v>52</v>
      </c>
      <c r="AX157" s="82" t="str">
        <f>AX151</f>
        <v>驚</v>
      </c>
      <c r="AY157" s="81" t="s">
        <v>38</v>
      </c>
      <c r="AZ157" s="83"/>
      <c r="BA157" s="84"/>
      <c r="BB157" s="84"/>
      <c r="BC157" s="84"/>
    </row>
    <row r="158">
      <c r="A158" s="192">
        <f>A152+1</f>
        <v>25</v>
      </c>
      <c r="B158" s="193"/>
      <c r="C158" s="12" t="s">
        <v>270</v>
      </c>
      <c r="E158" s="194" t="s">
        <v>195</v>
      </c>
      <c r="G158" s="374" t="str">
        <f t="shared" ref="G158:G159" si="241">G3:H3</f>
        <v>甲</v>
      </c>
      <c r="I158" s="275" t="str">
        <f t="shared" ref="I158:I159" si="242">I32:J32</f>
        <v>丙</v>
      </c>
      <c r="K158" s="90">
        <f>L158/L159</f>
        <v>0.48</v>
      </c>
      <c r="L158" s="126">
        <f t="shared" ref="L158:L159" si="243">O158+P158+Q158+U158+V158+W158+X158+R158+M158+N158+S158+T158</f>
        <v>480</v>
      </c>
      <c r="M158" s="92">
        <v>0.0</v>
      </c>
      <c r="N158" s="93">
        <v>0.0</v>
      </c>
      <c r="O158" s="92">
        <v>35.0</v>
      </c>
      <c r="P158" s="92">
        <v>60.0</v>
      </c>
      <c r="Q158" s="92">
        <v>60.0</v>
      </c>
      <c r="R158" s="93">
        <v>50.0</v>
      </c>
      <c r="S158" s="92">
        <v>5.0</v>
      </c>
      <c r="T158" s="93">
        <v>35.0</v>
      </c>
      <c r="U158" s="92">
        <f t="shared" ref="U158:V158" si="239">U38</f>
        <v>5</v>
      </c>
      <c r="V158" s="93">
        <f t="shared" si="239"/>
        <v>60</v>
      </c>
      <c r="W158" s="92">
        <f t="shared" ref="W158:X158" si="240">W32</f>
        <v>110</v>
      </c>
      <c r="X158" s="93">
        <f t="shared" si="240"/>
        <v>60</v>
      </c>
      <c r="Y158" s="73" t="s">
        <v>126</v>
      </c>
      <c r="Z158" s="94" t="s">
        <v>70</v>
      </c>
      <c r="AA158" s="36"/>
      <c r="AB158" s="169"/>
      <c r="AC158" s="170" t="s">
        <v>73</v>
      </c>
      <c r="AD158" s="94" t="s">
        <v>74</v>
      </c>
      <c r="AE158" s="37"/>
      <c r="AF158" s="97"/>
      <c r="AG158" s="12" t="s">
        <v>71</v>
      </c>
      <c r="AH158" s="12">
        <v>210.0</v>
      </c>
      <c r="AI158" s="12" t="s">
        <v>175</v>
      </c>
      <c r="AJ158" s="98" t="s">
        <v>51</v>
      </c>
      <c r="AK158" s="101" t="s">
        <v>95</v>
      </c>
      <c r="AL158" s="100" t="s">
        <v>86</v>
      </c>
      <c r="AM158" s="99" t="s">
        <v>87</v>
      </c>
      <c r="AN158" s="100" t="s">
        <v>88</v>
      </c>
      <c r="AO158" s="101" t="s">
        <v>89</v>
      </c>
      <c r="AP158" s="100" t="s">
        <v>45</v>
      </c>
      <c r="AQ158" s="102" t="s">
        <v>90</v>
      </c>
      <c r="AR158" s="100" t="s">
        <v>43</v>
      </c>
      <c r="AS158" s="101" t="s">
        <v>91</v>
      </c>
      <c r="AT158" s="100" t="s">
        <v>41</v>
      </c>
      <c r="AU158" s="103" t="s">
        <v>92</v>
      </c>
      <c r="AV158" s="100" t="s">
        <v>39</v>
      </c>
      <c r="AW158" s="99" t="s">
        <v>93</v>
      </c>
      <c r="AX158" s="100" t="s">
        <v>37</v>
      </c>
      <c r="AY158" s="99" t="s">
        <v>94</v>
      </c>
      <c r="AZ158" s="24"/>
    </row>
    <row r="159">
      <c r="A159" s="215" t="str">
        <f>G2</f>
        <v>มิถุนายน</v>
      </c>
      <c r="B159" s="193"/>
      <c r="C159" s="175" t="s">
        <v>223</v>
      </c>
      <c r="E159" s="223" t="s">
        <v>202</v>
      </c>
      <c r="G159" s="223" t="str">
        <f t="shared" si="241"/>
        <v>午</v>
      </c>
      <c r="I159" s="142" t="str">
        <f t="shared" si="242"/>
        <v>午</v>
      </c>
      <c r="K159" s="36"/>
      <c r="L159" s="109">
        <f t="shared" si="243"/>
        <v>1000</v>
      </c>
      <c r="M159" s="9">
        <v>0.0</v>
      </c>
      <c r="N159" s="110">
        <v>0.0</v>
      </c>
      <c r="O159" s="9">
        <v>100.0</v>
      </c>
      <c r="P159" s="9">
        <v>100.0</v>
      </c>
      <c r="Q159" s="9">
        <v>100.0</v>
      </c>
      <c r="R159" s="110">
        <v>100.0</v>
      </c>
      <c r="S159" s="9">
        <v>100.0</v>
      </c>
      <c r="T159" s="110">
        <v>100.0</v>
      </c>
      <c r="U159" s="9">
        <v>100.0</v>
      </c>
      <c r="V159" s="110">
        <v>100.0</v>
      </c>
      <c r="W159" s="9">
        <v>100.0</v>
      </c>
      <c r="X159" s="110">
        <v>100.0</v>
      </c>
      <c r="Y159" s="73" t="s">
        <v>69</v>
      </c>
      <c r="Z159" s="94" t="s">
        <v>152</v>
      </c>
      <c r="AA159" s="36"/>
      <c r="AB159" s="36"/>
      <c r="AC159" s="111"/>
      <c r="AD159" s="112"/>
      <c r="AE159" s="37"/>
      <c r="AF159" s="97"/>
      <c r="AG159" s="14"/>
      <c r="AH159" s="14"/>
      <c r="AI159" s="14"/>
      <c r="AJ159" s="113"/>
      <c r="AK159" s="105" t="s">
        <v>107</v>
      </c>
      <c r="AM159" s="104" t="s">
        <v>100</v>
      </c>
      <c r="AO159" s="114" t="s">
        <v>101</v>
      </c>
      <c r="AQ159" s="105" t="s">
        <v>102</v>
      </c>
      <c r="AS159" s="105" t="s">
        <v>103</v>
      </c>
      <c r="AU159" s="104" t="s">
        <v>104</v>
      </c>
      <c r="AW159" s="104" t="s">
        <v>105</v>
      </c>
      <c r="AY159" s="104" t="s">
        <v>106</v>
      </c>
      <c r="AZ159" s="24"/>
    </row>
    <row r="160">
      <c r="A160" s="192">
        <v>2569.0</v>
      </c>
      <c r="B160" s="193"/>
      <c r="E160" s="115" t="s">
        <v>112</v>
      </c>
      <c r="F160" s="116" t="s">
        <v>214</v>
      </c>
      <c r="G160" s="115" t="str">
        <f t="shared" ref="G160:H160" si="244">G40</f>
        <v>A8</v>
      </c>
      <c r="H160" s="9" t="str">
        <f t="shared" si="244"/>
        <v>B11</v>
      </c>
      <c r="I160" s="9" t="str">
        <f t="shared" ref="I160:J160" si="245">I34</f>
        <v>A5</v>
      </c>
      <c r="J160" s="9" t="str">
        <f t="shared" si="245"/>
        <v>B11</v>
      </c>
      <c r="K160" s="36"/>
      <c r="L160" s="117"/>
      <c r="M160" s="118" t="str">
        <f t="shared" ref="M160:P160" si="246">C160</f>
        <v/>
      </c>
      <c r="N160" s="119" t="str">
        <f t="shared" si="246"/>
        <v/>
      </c>
      <c r="O160" s="118" t="str">
        <f t="shared" si="246"/>
        <v>A2</v>
      </c>
      <c r="P160" s="118" t="str">
        <f t="shared" si="246"/>
        <v>B11</v>
      </c>
      <c r="Q160" s="118" t="str">
        <f t="shared" ref="Q160:R160" si="247">E161</f>
        <v>B11</v>
      </c>
      <c r="R160" s="119" t="str">
        <f t="shared" si="247"/>
        <v>C1</v>
      </c>
      <c r="S160" s="9" t="s">
        <v>108</v>
      </c>
      <c r="T160" s="110" t="s">
        <v>112</v>
      </c>
      <c r="U160" s="9" t="str">
        <f t="shared" ref="U160:X160" si="248">G160</f>
        <v>A8</v>
      </c>
      <c r="V160" s="119" t="str">
        <f t="shared" si="248"/>
        <v>B11</v>
      </c>
      <c r="W160" s="118" t="str">
        <f t="shared" si="248"/>
        <v>A5</v>
      </c>
      <c r="X160" s="120" t="str">
        <f t="shared" si="248"/>
        <v>B11</v>
      </c>
      <c r="Y160" s="73" t="s">
        <v>80</v>
      </c>
      <c r="Z160" s="94" t="s">
        <v>153</v>
      </c>
      <c r="AA160" s="36"/>
      <c r="AB160" s="36"/>
      <c r="AC160" s="111"/>
      <c r="AD160" s="112"/>
      <c r="AE160" s="37"/>
      <c r="AF160" s="97"/>
      <c r="AG160" s="14"/>
      <c r="AH160" s="14"/>
      <c r="AI160" s="14"/>
      <c r="AJ160" s="113"/>
      <c r="AK160" s="105" t="s">
        <v>125</v>
      </c>
      <c r="AM160" s="104" t="s">
        <v>118</v>
      </c>
      <c r="AO160" s="114" t="s">
        <v>119</v>
      </c>
      <c r="AQ160" s="105" t="s">
        <v>120</v>
      </c>
      <c r="AS160" s="105" t="s">
        <v>121</v>
      </c>
      <c r="AU160" s="104" t="s">
        <v>122</v>
      </c>
      <c r="AW160" s="104" t="s">
        <v>123</v>
      </c>
      <c r="AY160" s="104" t="s">
        <v>124</v>
      </c>
      <c r="AZ160" s="24"/>
    </row>
    <row r="161">
      <c r="A161" s="192">
        <f>A160-543</f>
        <v>2026</v>
      </c>
      <c r="B161" s="193"/>
      <c r="C161" s="12"/>
      <c r="E161" s="115" t="s">
        <v>214</v>
      </c>
      <c r="F161" s="116" t="s">
        <v>154</v>
      </c>
      <c r="G161" s="115"/>
      <c r="H161" s="118"/>
      <c r="I161" s="118"/>
      <c r="J161" s="118"/>
      <c r="K161" s="36"/>
      <c r="L161" s="117"/>
      <c r="M161" s="326"/>
      <c r="N161" s="327"/>
      <c r="R161" s="117"/>
      <c r="T161" s="117"/>
      <c r="V161" s="117"/>
      <c r="X161" s="117"/>
      <c r="Y161" s="73" t="s">
        <v>98</v>
      </c>
      <c r="Z161" s="94" t="s">
        <v>155</v>
      </c>
      <c r="AA161" s="36"/>
      <c r="AB161" s="36"/>
      <c r="AC161" s="111"/>
      <c r="AD161" s="112"/>
      <c r="AE161" s="37"/>
      <c r="AF161" s="97"/>
      <c r="AG161" s="14"/>
      <c r="AH161" s="14"/>
      <c r="AI161" s="14"/>
      <c r="AJ161" s="113"/>
      <c r="AK161" s="105" t="s">
        <v>136</v>
      </c>
      <c r="AM161" s="104" t="s">
        <v>129</v>
      </c>
      <c r="AO161" s="114" t="s">
        <v>130</v>
      </c>
      <c r="AQ161" s="105" t="s">
        <v>131</v>
      </c>
      <c r="AS161" s="105" t="s">
        <v>132</v>
      </c>
      <c r="AU161" s="104" t="s">
        <v>133</v>
      </c>
      <c r="AW161" s="104" t="s">
        <v>134</v>
      </c>
      <c r="AY161" s="104" t="s">
        <v>135</v>
      </c>
      <c r="AZ161" s="24"/>
    </row>
    <row r="162">
      <c r="A162" s="310"/>
      <c r="B162" s="206"/>
      <c r="C162" s="1"/>
      <c r="D162" s="123"/>
      <c r="E162" s="176" t="s">
        <v>185</v>
      </c>
      <c r="F162" s="88"/>
      <c r="G162" s="207" t="str">
        <f>G5:H5</f>
        <v>อสูรเดือน N</v>
      </c>
      <c r="I162" s="208" t="str">
        <f>I5:J5</f>
        <v>อสูรปี N</v>
      </c>
      <c r="K162" s="36"/>
      <c r="L162" s="117"/>
      <c r="M162" s="326"/>
      <c r="N162" s="327"/>
      <c r="R162" s="117"/>
      <c r="T162" s="117"/>
      <c r="V162" s="117"/>
      <c r="X162" s="117"/>
      <c r="Y162" s="127"/>
      <c r="Z162" s="155"/>
      <c r="AA162" s="36"/>
      <c r="AB162" s="36"/>
      <c r="AC162" s="111"/>
      <c r="AD162" s="112"/>
      <c r="AE162" s="37"/>
      <c r="AF162" s="97"/>
      <c r="AG162" s="14"/>
      <c r="AH162" s="14"/>
      <c r="AI162" s="14"/>
      <c r="AJ162" s="113"/>
      <c r="AK162" s="128"/>
      <c r="AZ162" s="24"/>
    </row>
    <row r="163">
      <c r="A163" s="188" t="s">
        <v>139</v>
      </c>
      <c r="B163" s="189"/>
      <c r="C163" s="63"/>
      <c r="D163" s="63"/>
      <c r="E163" s="358">
        <f>(O164+P164+Q164+R164)/(O165+P165+Q165+R165)</f>
        <v>0.3525641026</v>
      </c>
      <c r="F163" s="65"/>
      <c r="G163" s="133"/>
      <c r="H163" s="72"/>
      <c r="I163" s="67"/>
      <c r="J163" s="72"/>
      <c r="K163" s="68"/>
      <c r="L163" s="69"/>
      <c r="M163" s="63" t="s">
        <v>64</v>
      </c>
      <c r="N163" s="70"/>
      <c r="O163" s="71" t="s">
        <v>65</v>
      </c>
      <c r="P163" s="72"/>
      <c r="Q163" s="72"/>
      <c r="R163" s="70"/>
      <c r="S163" s="71" t="s">
        <v>66</v>
      </c>
      <c r="T163" s="70"/>
      <c r="U163" s="71" t="s">
        <v>67</v>
      </c>
      <c r="V163" s="70"/>
      <c r="W163" s="71" t="s">
        <v>68</v>
      </c>
      <c r="X163" s="70"/>
      <c r="Y163" s="134" t="s">
        <v>116</v>
      </c>
      <c r="Z163" s="74" t="s">
        <v>159</v>
      </c>
      <c r="AA163" s="75" t="s">
        <v>31</v>
      </c>
      <c r="AB163" s="75" t="s">
        <v>141</v>
      </c>
      <c r="AC163" s="167" t="s">
        <v>173</v>
      </c>
      <c r="AD163" s="74" t="s">
        <v>174</v>
      </c>
      <c r="AE163" s="63" t="s">
        <v>36</v>
      </c>
      <c r="AF163" s="78" t="s">
        <v>75</v>
      </c>
      <c r="AG163" s="79" t="s">
        <v>180</v>
      </c>
      <c r="AH163" s="79">
        <v>60.0</v>
      </c>
      <c r="AI163" s="79" t="s">
        <v>200</v>
      </c>
      <c r="AJ163" s="80" t="str">
        <f>AJ157</f>
        <v>開</v>
      </c>
      <c r="AK163" s="81" t="s">
        <v>40</v>
      </c>
      <c r="AL163" s="82" t="str">
        <f>AL157</f>
        <v>休</v>
      </c>
      <c r="AM163" s="81" t="s">
        <v>42</v>
      </c>
      <c r="AN163" s="82" t="s">
        <v>4</v>
      </c>
      <c r="AO163" s="81" t="s">
        <v>44</v>
      </c>
      <c r="AP163" s="82" t="str">
        <f>AP157</f>
        <v>傷</v>
      </c>
      <c r="AQ163" s="81" t="s">
        <v>46</v>
      </c>
      <c r="AR163" s="82" t="s">
        <v>8</v>
      </c>
      <c r="AS163" s="81" t="s">
        <v>48</v>
      </c>
      <c r="AT163" s="82" t="str">
        <f>AT157</f>
        <v>景</v>
      </c>
      <c r="AU163" s="81" t="s">
        <v>50</v>
      </c>
      <c r="AV163" s="82" t="str">
        <f>AV157</f>
        <v>死</v>
      </c>
      <c r="AW163" s="81" t="s">
        <v>52</v>
      </c>
      <c r="AX163" s="82" t="str">
        <f>AX157</f>
        <v>驚</v>
      </c>
      <c r="AY163" s="81" t="s">
        <v>38</v>
      </c>
      <c r="AZ163" s="83"/>
      <c r="BA163" s="84"/>
      <c r="BB163" s="84"/>
      <c r="BC163" s="84"/>
    </row>
    <row r="164">
      <c r="A164" s="192">
        <f>A158+1</f>
        <v>26</v>
      </c>
      <c r="B164" s="193"/>
      <c r="C164" s="12" t="s">
        <v>248</v>
      </c>
      <c r="E164" s="199" t="s">
        <v>201</v>
      </c>
      <c r="G164" s="374" t="str">
        <f t="shared" ref="G164:G165" si="251">G3:H3</f>
        <v>甲</v>
      </c>
      <c r="I164" s="275" t="str">
        <f t="shared" ref="I164:I165" si="252">I32:J32</f>
        <v>丙</v>
      </c>
      <c r="K164" s="90">
        <f>L164/L165</f>
        <v>0.4605263158</v>
      </c>
      <c r="L164" s="126">
        <f>O164+P164+Q164+U164+V164+W164+X164+R164+M164+N164+S164+T164</f>
        <v>420</v>
      </c>
      <c r="M164" s="92">
        <v>0.0</v>
      </c>
      <c r="N164" s="93">
        <v>0.0</v>
      </c>
      <c r="O164" s="92">
        <v>30.0</v>
      </c>
      <c r="P164" s="92">
        <v>10.0</v>
      </c>
      <c r="Q164" s="92">
        <v>40.0</v>
      </c>
      <c r="R164" s="93">
        <v>30.0</v>
      </c>
      <c r="S164" s="92">
        <v>55.0</v>
      </c>
      <c r="T164" s="93">
        <v>20.0</v>
      </c>
      <c r="U164" s="92">
        <f t="shared" ref="U164:V164" si="249">U38</f>
        <v>5</v>
      </c>
      <c r="V164" s="93">
        <f t="shared" si="249"/>
        <v>60</v>
      </c>
      <c r="W164" s="92">
        <f t="shared" ref="W164:X164" si="250">W32</f>
        <v>110</v>
      </c>
      <c r="X164" s="93">
        <f t="shared" si="250"/>
        <v>60</v>
      </c>
      <c r="Y164" s="73" t="s">
        <v>126</v>
      </c>
      <c r="Z164" s="94" t="s">
        <v>152</v>
      </c>
      <c r="AA164" s="36"/>
      <c r="AB164" s="36"/>
      <c r="AC164" s="170" t="s">
        <v>73</v>
      </c>
      <c r="AD164" s="94" t="s">
        <v>74</v>
      </c>
      <c r="AE164" s="37"/>
      <c r="AF164" s="97"/>
      <c r="AG164" s="12" t="s">
        <v>202</v>
      </c>
      <c r="AH164" s="12">
        <v>180.0</v>
      </c>
      <c r="AI164" s="12" t="s">
        <v>203</v>
      </c>
      <c r="AJ164" s="98" t="s">
        <v>37</v>
      </c>
      <c r="AK164" s="99" t="s">
        <v>94</v>
      </c>
      <c r="AL164" s="100" t="s">
        <v>51</v>
      </c>
      <c r="AM164" s="101" t="s">
        <v>95</v>
      </c>
      <c r="AN164" s="100" t="s">
        <v>86</v>
      </c>
      <c r="AO164" s="99" t="s">
        <v>87</v>
      </c>
      <c r="AP164" s="100" t="s">
        <v>88</v>
      </c>
      <c r="AQ164" s="101" t="s">
        <v>89</v>
      </c>
      <c r="AR164" s="100" t="s">
        <v>45</v>
      </c>
      <c r="AS164" s="102" t="s">
        <v>90</v>
      </c>
      <c r="AT164" s="100" t="s">
        <v>43</v>
      </c>
      <c r="AU164" s="101" t="s">
        <v>91</v>
      </c>
      <c r="AV164" s="100" t="s">
        <v>41</v>
      </c>
      <c r="AW164" s="103" t="s">
        <v>92</v>
      </c>
      <c r="AX164" s="100" t="s">
        <v>39</v>
      </c>
      <c r="AY164" s="99" t="s">
        <v>93</v>
      </c>
      <c r="AZ164" s="24"/>
    </row>
    <row r="165">
      <c r="A165" s="215" t="str">
        <f>G2</f>
        <v>มิถุนายน</v>
      </c>
      <c r="B165" s="193"/>
      <c r="C165" s="212" t="s">
        <v>228</v>
      </c>
      <c r="E165" s="162" t="s">
        <v>71</v>
      </c>
      <c r="G165" s="223" t="str">
        <f t="shared" si="251"/>
        <v>午</v>
      </c>
      <c r="I165" s="142" t="str">
        <f t="shared" si="252"/>
        <v>午</v>
      </c>
      <c r="K165" s="36"/>
      <c r="L165" s="109">
        <f>O165+P165+Q165+U165+V165+W165+X165+R165+M165+N165+S165+V165</f>
        <v>912</v>
      </c>
      <c r="M165" s="9">
        <v>0.0</v>
      </c>
      <c r="N165" s="110">
        <v>0.0</v>
      </c>
      <c r="O165" s="9">
        <v>100.0</v>
      </c>
      <c r="P165" s="9">
        <v>100.0</v>
      </c>
      <c r="Q165" s="9">
        <v>100.0</v>
      </c>
      <c r="R165" s="110">
        <v>12.0</v>
      </c>
      <c r="S165" s="9">
        <v>100.0</v>
      </c>
      <c r="T165" s="110">
        <v>100.0</v>
      </c>
      <c r="U165" s="9">
        <v>100.0</v>
      </c>
      <c r="V165" s="110">
        <v>100.0</v>
      </c>
      <c r="W165" s="9">
        <v>100.0</v>
      </c>
      <c r="X165" s="110">
        <v>100.0</v>
      </c>
      <c r="Y165" s="73" t="s">
        <v>69</v>
      </c>
      <c r="Z165" s="94" t="s">
        <v>163</v>
      </c>
      <c r="AA165" s="36"/>
      <c r="AB165" s="36"/>
      <c r="AC165" s="111"/>
      <c r="AD165" s="112"/>
      <c r="AE165" s="37"/>
      <c r="AF165" s="97"/>
      <c r="AG165" s="14"/>
      <c r="AH165" s="14"/>
      <c r="AI165" s="14"/>
      <c r="AJ165" s="113"/>
      <c r="AK165" s="104" t="s">
        <v>106</v>
      </c>
      <c r="AM165" s="105" t="s">
        <v>107</v>
      </c>
      <c r="AO165" s="104" t="s">
        <v>100</v>
      </c>
      <c r="AQ165" s="114" t="s">
        <v>101</v>
      </c>
      <c r="AS165" s="105" t="s">
        <v>102</v>
      </c>
      <c r="AU165" s="105" t="s">
        <v>103</v>
      </c>
      <c r="AW165" s="104" t="s">
        <v>104</v>
      </c>
      <c r="AY165" s="104" t="s">
        <v>105</v>
      </c>
      <c r="AZ165" s="24"/>
    </row>
    <row r="166">
      <c r="A166" s="192">
        <v>2569.0</v>
      </c>
      <c r="B166" s="193"/>
      <c r="E166" s="115" t="s">
        <v>198</v>
      </c>
      <c r="F166" s="116" t="s">
        <v>113</v>
      </c>
      <c r="G166" s="115" t="str">
        <f t="shared" ref="G166:H166" si="253">G40</f>
        <v>A8</v>
      </c>
      <c r="H166" s="9" t="str">
        <f t="shared" si="253"/>
        <v>B11</v>
      </c>
      <c r="I166" s="9" t="str">
        <f t="shared" ref="I166:J166" si="254">I34</f>
        <v>A5</v>
      </c>
      <c r="J166" s="9" t="str">
        <f t="shared" si="254"/>
        <v>B11</v>
      </c>
      <c r="K166" s="36"/>
      <c r="L166" s="117"/>
      <c r="M166" s="118" t="str">
        <f t="shared" ref="M166:P166" si="255">C166</f>
        <v/>
      </c>
      <c r="N166" s="119" t="str">
        <f t="shared" si="255"/>
        <v/>
      </c>
      <c r="O166" s="118" t="str">
        <f t="shared" si="255"/>
        <v>A6</v>
      </c>
      <c r="P166" s="118" t="str">
        <f t="shared" si="255"/>
        <v>B12</v>
      </c>
      <c r="Q166" s="118" t="str">
        <f t="shared" ref="Q166:R166" si="256">E167</f>
        <v>B10</v>
      </c>
      <c r="R166" s="119" t="str">
        <f t="shared" si="256"/>
        <v>C2</v>
      </c>
      <c r="S166" s="9" t="s">
        <v>164</v>
      </c>
      <c r="T166" s="110" t="s">
        <v>115</v>
      </c>
      <c r="U166" s="9" t="str">
        <f t="shared" ref="U166:X166" si="257">G166</f>
        <v>A8</v>
      </c>
      <c r="V166" s="119" t="str">
        <f t="shared" si="257"/>
        <v>B11</v>
      </c>
      <c r="W166" s="118" t="str">
        <f t="shared" si="257"/>
        <v>A5</v>
      </c>
      <c r="X166" s="120" t="str">
        <f t="shared" si="257"/>
        <v>B11</v>
      </c>
      <c r="Y166" s="73" t="s">
        <v>80</v>
      </c>
      <c r="Z166" s="94" t="s">
        <v>117</v>
      </c>
      <c r="AA166" s="36"/>
      <c r="AB166" s="36"/>
      <c r="AC166" s="111"/>
      <c r="AD166" s="112"/>
      <c r="AE166" s="37"/>
      <c r="AF166" s="97"/>
      <c r="AG166" s="14"/>
      <c r="AH166" s="14"/>
      <c r="AI166" s="14"/>
      <c r="AJ166" s="113"/>
      <c r="AK166" s="104" t="s">
        <v>124</v>
      </c>
      <c r="AM166" s="105" t="s">
        <v>125</v>
      </c>
      <c r="AO166" s="104" t="s">
        <v>118</v>
      </c>
      <c r="AQ166" s="114" t="s">
        <v>119</v>
      </c>
      <c r="AS166" s="105" t="s">
        <v>120</v>
      </c>
      <c r="AU166" s="105" t="s">
        <v>121</v>
      </c>
      <c r="AW166" s="104" t="s">
        <v>122</v>
      </c>
      <c r="AY166" s="104" t="s">
        <v>123</v>
      </c>
      <c r="AZ166" s="24"/>
    </row>
    <row r="167">
      <c r="A167" s="192">
        <f>A166-543</f>
        <v>2026</v>
      </c>
      <c r="B167" s="193"/>
      <c r="C167" s="163"/>
      <c r="E167" s="115" t="s">
        <v>218</v>
      </c>
      <c r="F167" s="116" t="s">
        <v>167</v>
      </c>
      <c r="G167" s="115"/>
      <c r="H167" s="118"/>
      <c r="I167" s="118"/>
      <c r="J167" s="118"/>
      <c r="K167" s="36"/>
      <c r="L167" s="117"/>
      <c r="M167" s="326"/>
      <c r="N167" s="327"/>
      <c r="R167" s="117"/>
      <c r="T167" s="117"/>
      <c r="V167" s="117"/>
      <c r="X167" s="117"/>
      <c r="Y167" s="73" t="s">
        <v>98</v>
      </c>
      <c r="Z167" s="94" t="s">
        <v>128</v>
      </c>
      <c r="AA167" s="36"/>
      <c r="AB167" s="36"/>
      <c r="AC167" s="111"/>
      <c r="AD167" s="112"/>
      <c r="AE167" s="37"/>
      <c r="AF167" s="97"/>
      <c r="AG167" s="14"/>
      <c r="AH167" s="14"/>
      <c r="AI167" s="14"/>
      <c r="AJ167" s="113"/>
      <c r="AK167" s="104" t="s">
        <v>135</v>
      </c>
      <c r="AM167" s="105" t="s">
        <v>136</v>
      </c>
      <c r="AO167" s="104" t="s">
        <v>129</v>
      </c>
      <c r="AQ167" s="114" t="s">
        <v>130</v>
      </c>
      <c r="AS167" s="105" t="s">
        <v>131</v>
      </c>
      <c r="AU167" s="105" t="s">
        <v>132</v>
      </c>
      <c r="AW167" s="104" t="s">
        <v>133</v>
      </c>
      <c r="AY167" s="104" t="s">
        <v>134</v>
      </c>
      <c r="AZ167" s="24"/>
    </row>
    <row r="168">
      <c r="A168" s="318"/>
      <c r="B168" s="206"/>
      <c r="C168" s="1"/>
      <c r="D168" s="123"/>
      <c r="E168" s="164" t="s">
        <v>137</v>
      </c>
      <c r="F168" s="88"/>
      <c r="G168" s="207" t="str">
        <f>G5:H5</f>
        <v>อสูรเดือน N</v>
      </c>
      <c r="I168" s="208" t="str">
        <f>I5:J5</f>
        <v>อสูรปี N</v>
      </c>
      <c r="K168" s="36"/>
      <c r="L168" s="117"/>
      <c r="M168" s="326"/>
      <c r="N168" s="327"/>
      <c r="R168" s="117"/>
      <c r="T168" s="117"/>
      <c r="V168" s="117"/>
      <c r="X168" s="117"/>
      <c r="Y168" s="233"/>
      <c r="Z168" s="234"/>
      <c r="AA168" s="36"/>
      <c r="AB168" s="36"/>
      <c r="AC168" s="111"/>
      <c r="AD168" s="112"/>
      <c r="AE168" s="37"/>
      <c r="AF168" s="97"/>
      <c r="AG168" s="14"/>
      <c r="AH168" s="14"/>
      <c r="AI168" s="14"/>
      <c r="AJ168" s="113"/>
      <c r="AU168" s="128"/>
      <c r="AZ168" s="24"/>
    </row>
    <row r="169">
      <c r="A169" s="188" t="s">
        <v>158</v>
      </c>
      <c r="B169" s="189"/>
      <c r="C169" s="63"/>
      <c r="D169" s="63"/>
      <c r="E169" s="216">
        <f>(O170+P170+Q170+R170)/(O171+P171+Q171+R171)</f>
        <v>0.7</v>
      </c>
      <c r="F169" s="65"/>
      <c r="G169" s="133"/>
      <c r="H169" s="72"/>
      <c r="I169" s="67"/>
      <c r="J169" s="72"/>
      <c r="K169" s="68"/>
      <c r="L169" s="69"/>
      <c r="M169" s="63" t="s">
        <v>64</v>
      </c>
      <c r="N169" s="70"/>
      <c r="O169" s="71" t="s">
        <v>65</v>
      </c>
      <c r="P169" s="72"/>
      <c r="Q169" s="72"/>
      <c r="R169" s="70"/>
      <c r="S169" s="71" t="s">
        <v>66</v>
      </c>
      <c r="T169" s="70"/>
      <c r="U169" s="71" t="s">
        <v>67</v>
      </c>
      <c r="V169" s="70"/>
      <c r="W169" s="71" t="s">
        <v>68</v>
      </c>
      <c r="X169" s="70"/>
      <c r="Y169" s="134" t="s">
        <v>80</v>
      </c>
      <c r="Z169" s="74" t="s">
        <v>170</v>
      </c>
      <c r="AA169" s="75" t="s">
        <v>202</v>
      </c>
      <c r="AB169" s="75" t="s">
        <v>226</v>
      </c>
      <c r="AC169" s="190" t="s">
        <v>173</v>
      </c>
      <c r="AD169" s="77" t="s">
        <v>193</v>
      </c>
      <c r="AE169" s="63" t="s">
        <v>144</v>
      </c>
      <c r="AF169" s="78" t="s">
        <v>144</v>
      </c>
      <c r="AG169" s="79" t="s">
        <v>189</v>
      </c>
      <c r="AH169" s="79">
        <v>90.0</v>
      </c>
      <c r="AI169" s="79" t="s">
        <v>208</v>
      </c>
      <c r="AJ169" s="80" t="str">
        <f>AJ163</f>
        <v>開</v>
      </c>
      <c r="AK169" s="81" t="s">
        <v>50</v>
      </c>
      <c r="AL169" s="82" t="str">
        <f>AL163</f>
        <v>休</v>
      </c>
      <c r="AM169" s="81" t="s">
        <v>52</v>
      </c>
      <c r="AN169" s="82" t="s">
        <v>4</v>
      </c>
      <c r="AO169" s="81" t="s">
        <v>38</v>
      </c>
      <c r="AP169" s="82" t="str">
        <f>AP163</f>
        <v>傷</v>
      </c>
      <c r="AQ169" s="81" t="s">
        <v>40</v>
      </c>
      <c r="AR169" s="82" t="s">
        <v>8</v>
      </c>
      <c r="AS169" s="81" t="s">
        <v>42</v>
      </c>
      <c r="AT169" s="82" t="str">
        <f>AT163</f>
        <v>景</v>
      </c>
      <c r="AU169" s="81" t="s">
        <v>44</v>
      </c>
      <c r="AV169" s="82" t="str">
        <f>AV163</f>
        <v>死</v>
      </c>
      <c r="AW169" s="81" t="s">
        <v>46</v>
      </c>
      <c r="AX169" s="82" t="str">
        <f>AX163</f>
        <v>驚</v>
      </c>
      <c r="AY169" s="81" t="s">
        <v>48</v>
      </c>
      <c r="AZ169" s="83"/>
      <c r="BA169" s="84"/>
      <c r="BB169" s="84"/>
      <c r="BC169" s="84"/>
    </row>
    <row r="170">
      <c r="A170" s="192">
        <f>A164+1</f>
        <v>27</v>
      </c>
      <c r="B170" s="193"/>
      <c r="C170" s="12" t="s">
        <v>176</v>
      </c>
      <c r="E170" s="203" t="s">
        <v>209</v>
      </c>
      <c r="G170" s="374" t="str">
        <f t="shared" ref="G170:G171" si="260">G3:H3</f>
        <v>甲</v>
      </c>
      <c r="I170" s="275" t="str">
        <f t="shared" ref="I170:I171" si="261">I32:J32</f>
        <v>丙</v>
      </c>
      <c r="K170" s="90">
        <f>L170/L171</f>
        <v>0.58</v>
      </c>
      <c r="L170" s="126">
        <f t="shared" ref="L170:L171" si="262">O170+P170+Q170+U170+V170+W170+X170+R170+M170+N170+S170+T170</f>
        <v>580</v>
      </c>
      <c r="M170" s="92">
        <v>0.0</v>
      </c>
      <c r="N170" s="93">
        <v>0.0</v>
      </c>
      <c r="O170" s="92">
        <v>80.0</v>
      </c>
      <c r="P170" s="92">
        <v>70.0</v>
      </c>
      <c r="Q170" s="92">
        <v>50.0</v>
      </c>
      <c r="R170" s="93">
        <v>80.0</v>
      </c>
      <c r="S170" s="92">
        <v>0.0</v>
      </c>
      <c r="T170" s="93">
        <v>65.0</v>
      </c>
      <c r="U170" s="92">
        <f t="shared" ref="U170:V170" si="258">U38</f>
        <v>5</v>
      </c>
      <c r="V170" s="93">
        <f t="shared" si="258"/>
        <v>60</v>
      </c>
      <c r="W170" s="92">
        <f t="shared" ref="W170:X170" si="259">W32</f>
        <v>110</v>
      </c>
      <c r="X170" s="93">
        <f t="shared" si="259"/>
        <v>60</v>
      </c>
      <c r="Y170" s="73" t="s">
        <v>98</v>
      </c>
      <c r="Z170" s="94" t="s">
        <v>70</v>
      </c>
      <c r="AA170" s="36"/>
      <c r="AB170" s="29" t="s">
        <v>227</v>
      </c>
      <c r="AC170" s="195" t="s">
        <v>196</v>
      </c>
      <c r="AD170" s="96" t="s">
        <v>149</v>
      </c>
      <c r="AE170" s="37"/>
      <c r="AF170" s="97"/>
      <c r="AG170" s="12" t="s">
        <v>54</v>
      </c>
      <c r="AH170" s="12">
        <v>150.0</v>
      </c>
      <c r="AI170" s="12" t="s">
        <v>210</v>
      </c>
      <c r="AJ170" s="98" t="s">
        <v>39</v>
      </c>
      <c r="AK170" s="99" t="s">
        <v>93</v>
      </c>
      <c r="AL170" s="100" t="s">
        <v>37</v>
      </c>
      <c r="AM170" s="99" t="s">
        <v>94</v>
      </c>
      <c r="AN170" s="100" t="s">
        <v>51</v>
      </c>
      <c r="AO170" s="101" t="s">
        <v>95</v>
      </c>
      <c r="AP170" s="100" t="s">
        <v>86</v>
      </c>
      <c r="AQ170" s="99" t="s">
        <v>87</v>
      </c>
      <c r="AR170" s="100" t="s">
        <v>88</v>
      </c>
      <c r="AS170" s="101" t="s">
        <v>89</v>
      </c>
      <c r="AT170" s="100" t="s">
        <v>45</v>
      </c>
      <c r="AU170" s="102" t="s">
        <v>90</v>
      </c>
      <c r="AV170" s="100" t="s">
        <v>43</v>
      </c>
      <c r="AW170" s="101" t="s">
        <v>91</v>
      </c>
      <c r="AX170" s="100" t="s">
        <v>41</v>
      </c>
      <c r="AY170" s="103" t="s">
        <v>92</v>
      </c>
      <c r="AZ170" s="24"/>
    </row>
    <row r="171">
      <c r="A171" s="215" t="str">
        <f>G2</f>
        <v>มิถุนายน</v>
      </c>
      <c r="B171" s="193"/>
      <c r="C171" s="161" t="s">
        <v>231</v>
      </c>
      <c r="E171" s="209" t="s">
        <v>76</v>
      </c>
      <c r="G171" s="223" t="str">
        <f t="shared" si="260"/>
        <v>午</v>
      </c>
      <c r="I171" s="35" t="str">
        <f t="shared" si="261"/>
        <v>午</v>
      </c>
      <c r="K171" s="36"/>
      <c r="L171" s="109">
        <f t="shared" si="262"/>
        <v>1000</v>
      </c>
      <c r="M171" s="9">
        <v>0.0</v>
      </c>
      <c r="N171" s="110">
        <v>0.0</v>
      </c>
      <c r="O171" s="9">
        <v>100.0</v>
      </c>
      <c r="P171" s="9">
        <v>100.0</v>
      </c>
      <c r="Q171" s="9">
        <v>100.0</v>
      </c>
      <c r="R171" s="110">
        <v>100.0</v>
      </c>
      <c r="S171" s="9">
        <v>100.0</v>
      </c>
      <c r="T171" s="110">
        <v>100.0</v>
      </c>
      <c r="U171" s="9">
        <v>100.0</v>
      </c>
      <c r="V171" s="110">
        <v>100.0</v>
      </c>
      <c r="W171" s="9">
        <v>100.0</v>
      </c>
      <c r="X171" s="110">
        <v>100.0</v>
      </c>
      <c r="Y171" s="73" t="s">
        <v>116</v>
      </c>
      <c r="Z171" s="94" t="s">
        <v>181</v>
      </c>
      <c r="AA171" s="36"/>
      <c r="AB171" s="36"/>
      <c r="AC171" s="111"/>
      <c r="AD171" s="112"/>
      <c r="AE171" s="37"/>
      <c r="AF171" s="97"/>
      <c r="AG171" s="14"/>
      <c r="AH171" s="14"/>
      <c r="AI171" s="14"/>
      <c r="AJ171" s="113"/>
      <c r="AK171" s="104" t="s">
        <v>105</v>
      </c>
      <c r="AM171" s="104" t="s">
        <v>106</v>
      </c>
      <c r="AO171" s="105" t="s">
        <v>107</v>
      </c>
      <c r="AQ171" s="104" t="s">
        <v>100</v>
      </c>
      <c r="AS171" s="114" t="s">
        <v>101</v>
      </c>
      <c r="AU171" s="105" t="s">
        <v>102</v>
      </c>
      <c r="AW171" s="105" t="s">
        <v>103</v>
      </c>
      <c r="AY171" s="104" t="s">
        <v>104</v>
      </c>
      <c r="AZ171" s="24"/>
    </row>
    <row r="172">
      <c r="A172" s="192">
        <v>2569.0</v>
      </c>
      <c r="B172" s="193"/>
      <c r="E172" s="115" t="s">
        <v>182</v>
      </c>
      <c r="F172" s="116" t="s">
        <v>80</v>
      </c>
      <c r="G172" s="115" t="str">
        <f t="shared" ref="G172:H172" si="263">G40</f>
        <v>A8</v>
      </c>
      <c r="H172" s="9" t="str">
        <f t="shared" si="263"/>
        <v>B11</v>
      </c>
      <c r="I172" s="9" t="str">
        <f t="shared" ref="I172:J172" si="264">I34</f>
        <v>A5</v>
      </c>
      <c r="J172" s="9" t="str">
        <f t="shared" si="264"/>
        <v>B11</v>
      </c>
      <c r="K172" s="36"/>
      <c r="L172" s="117"/>
      <c r="M172" s="118" t="str">
        <f t="shared" ref="M172:P172" si="265">C172</f>
        <v/>
      </c>
      <c r="N172" s="119" t="str">
        <f t="shared" si="265"/>
        <v/>
      </c>
      <c r="O172" s="118" t="str">
        <f t="shared" si="265"/>
        <v>A1</v>
      </c>
      <c r="P172" s="118" t="str">
        <f t="shared" si="265"/>
        <v>B1</v>
      </c>
      <c r="Q172" s="118" t="str">
        <f t="shared" ref="Q172:R172" si="266">E173</f>
        <v>B9</v>
      </c>
      <c r="R172" s="119" t="str">
        <f t="shared" si="266"/>
        <v>C3</v>
      </c>
      <c r="S172" s="9" t="s">
        <v>114</v>
      </c>
      <c r="T172" s="110" t="s">
        <v>110</v>
      </c>
      <c r="U172" s="9" t="str">
        <f t="shared" ref="U172:X172" si="267">G172</f>
        <v>A8</v>
      </c>
      <c r="V172" s="119" t="str">
        <f t="shared" si="267"/>
        <v>B11</v>
      </c>
      <c r="W172" s="118" t="str">
        <f t="shared" si="267"/>
        <v>A5</v>
      </c>
      <c r="X172" s="120" t="str">
        <f t="shared" si="267"/>
        <v>B11</v>
      </c>
      <c r="Y172" s="73" t="s">
        <v>126</v>
      </c>
      <c r="Z172" s="94" t="s">
        <v>163</v>
      </c>
      <c r="AA172" s="36"/>
      <c r="AB172" s="36"/>
      <c r="AC172" s="111"/>
      <c r="AD172" s="112"/>
      <c r="AE172" s="37"/>
      <c r="AF172" s="97"/>
      <c r="AG172" s="14"/>
      <c r="AH172" s="14"/>
      <c r="AI172" s="14"/>
      <c r="AJ172" s="113"/>
      <c r="AK172" s="104" t="s">
        <v>123</v>
      </c>
      <c r="AM172" s="104" t="s">
        <v>124</v>
      </c>
      <c r="AO172" s="105" t="s">
        <v>125</v>
      </c>
      <c r="AQ172" s="104" t="s">
        <v>118</v>
      </c>
      <c r="AS172" s="114" t="s">
        <v>119</v>
      </c>
      <c r="AU172" s="105" t="s">
        <v>120</v>
      </c>
      <c r="AW172" s="105" t="s">
        <v>121</v>
      </c>
      <c r="AY172" s="104" t="s">
        <v>122</v>
      </c>
      <c r="AZ172" s="24"/>
    </row>
    <row r="173">
      <c r="A173" s="192">
        <f>A172-543</f>
        <v>2026</v>
      </c>
      <c r="B173" s="193"/>
      <c r="E173" s="115" t="s">
        <v>212</v>
      </c>
      <c r="F173" s="116" t="s">
        <v>184</v>
      </c>
      <c r="G173" s="115"/>
      <c r="H173" s="118"/>
      <c r="I173" s="118"/>
      <c r="J173" s="118"/>
      <c r="K173" s="36"/>
      <c r="L173" s="117"/>
      <c r="M173" s="326"/>
      <c r="N173" s="327"/>
      <c r="R173" s="117"/>
      <c r="T173" s="117"/>
      <c r="V173" s="117"/>
      <c r="X173" s="117"/>
      <c r="Y173" s="73" t="s">
        <v>69</v>
      </c>
      <c r="Z173" s="94" t="s">
        <v>99</v>
      </c>
      <c r="AA173" s="36"/>
      <c r="AB173" s="36"/>
      <c r="AC173" s="111"/>
      <c r="AD173" s="112"/>
      <c r="AE173" s="37"/>
      <c r="AF173" s="97"/>
      <c r="AG173" s="14"/>
      <c r="AH173" s="14"/>
      <c r="AI173" s="14"/>
      <c r="AJ173" s="113"/>
      <c r="AK173" s="104" t="s">
        <v>134</v>
      </c>
      <c r="AM173" s="104" t="s">
        <v>135</v>
      </c>
      <c r="AO173" s="105" t="s">
        <v>136</v>
      </c>
      <c r="AQ173" s="104" t="s">
        <v>129</v>
      </c>
      <c r="AS173" s="114" t="s">
        <v>130</v>
      </c>
      <c r="AU173" s="105" t="s">
        <v>131</v>
      </c>
      <c r="AW173" s="105" t="s">
        <v>132</v>
      </c>
      <c r="AY173" s="104" t="s">
        <v>133</v>
      </c>
      <c r="AZ173" s="24"/>
    </row>
    <row r="174">
      <c r="A174" s="367" t="s">
        <v>156</v>
      </c>
      <c r="B174" s="206"/>
      <c r="C174" s="1"/>
      <c r="D174" s="123"/>
      <c r="E174" s="164" t="s">
        <v>157</v>
      </c>
      <c r="F174" s="88"/>
      <c r="G174" s="207" t="str">
        <f>G5:H5</f>
        <v>อสูรเดือน N</v>
      </c>
      <c r="I174" s="208" t="str">
        <f>I5:J5</f>
        <v>อสูรปี N</v>
      </c>
      <c r="K174" s="36"/>
      <c r="L174" s="117"/>
      <c r="M174" s="326"/>
      <c r="N174" s="327"/>
      <c r="R174" s="117"/>
      <c r="T174" s="117"/>
      <c r="V174" s="117"/>
      <c r="X174" s="117"/>
      <c r="Y174" s="233"/>
      <c r="Z174" s="234"/>
      <c r="AA174" s="36"/>
      <c r="AB174" s="36"/>
      <c r="AC174" s="111"/>
      <c r="AD174" s="112"/>
      <c r="AE174" s="37"/>
      <c r="AF174" s="97"/>
      <c r="AG174" s="14"/>
      <c r="AH174" s="14"/>
      <c r="AI174" s="14"/>
      <c r="AJ174" s="113"/>
      <c r="AU174" s="128"/>
      <c r="AZ174" s="24"/>
    </row>
    <row r="175">
      <c r="A175" s="188" t="s">
        <v>169</v>
      </c>
      <c r="B175" s="189"/>
      <c r="C175" s="63"/>
      <c r="D175" s="63"/>
      <c r="E175" s="358">
        <f>(O176+P176+Q176+R176)/(O177+P177+Q177+R177)</f>
        <v>0.65</v>
      </c>
      <c r="F175" s="65"/>
      <c r="G175" s="133"/>
      <c r="H175" s="72"/>
      <c r="I175" s="67"/>
      <c r="J175" s="72"/>
      <c r="K175" s="68"/>
      <c r="L175" s="69"/>
      <c r="M175" s="63" t="s">
        <v>64</v>
      </c>
      <c r="N175" s="70"/>
      <c r="O175" s="71" t="s">
        <v>65</v>
      </c>
      <c r="P175" s="72"/>
      <c r="Q175" s="72"/>
      <c r="R175" s="70"/>
      <c r="S175" s="71" t="s">
        <v>66</v>
      </c>
      <c r="T175" s="70"/>
      <c r="U175" s="71" t="s">
        <v>67</v>
      </c>
      <c r="V175" s="70"/>
      <c r="W175" s="71" t="s">
        <v>68</v>
      </c>
      <c r="X175" s="70"/>
      <c r="Y175" s="134" t="s">
        <v>80</v>
      </c>
      <c r="Z175" s="74" t="s">
        <v>159</v>
      </c>
      <c r="AA175" s="79" t="s">
        <v>161</v>
      </c>
      <c r="AB175" s="221" t="s">
        <v>244</v>
      </c>
      <c r="AC175" s="190" t="s">
        <v>173</v>
      </c>
      <c r="AD175" s="77" t="s">
        <v>193</v>
      </c>
      <c r="AE175" s="63" t="s">
        <v>144</v>
      </c>
      <c r="AF175" s="78" t="s">
        <v>36</v>
      </c>
      <c r="AG175" s="79" t="s">
        <v>54</v>
      </c>
      <c r="AH175" s="79">
        <v>150.0</v>
      </c>
      <c r="AI175" s="79" t="s">
        <v>210</v>
      </c>
      <c r="AJ175" s="80" t="str">
        <f>AJ169</f>
        <v>開</v>
      </c>
      <c r="AK175" s="81" t="s">
        <v>52</v>
      </c>
      <c r="AL175" s="82" t="str">
        <f>AL169</f>
        <v>休</v>
      </c>
      <c r="AM175" s="81" t="s">
        <v>38</v>
      </c>
      <c r="AN175" s="82" t="s">
        <v>4</v>
      </c>
      <c r="AO175" s="81" t="s">
        <v>40</v>
      </c>
      <c r="AP175" s="82" t="str">
        <f>AP169</f>
        <v>傷</v>
      </c>
      <c r="AQ175" s="81" t="s">
        <v>42</v>
      </c>
      <c r="AR175" s="82" t="str">
        <f>AR169</f>
        <v>杜</v>
      </c>
      <c r="AS175" s="81" t="s">
        <v>44</v>
      </c>
      <c r="AT175" s="82" t="str">
        <f>AT169</f>
        <v>景</v>
      </c>
      <c r="AU175" s="81" t="s">
        <v>46</v>
      </c>
      <c r="AV175" s="82" t="str">
        <f>AV169</f>
        <v>死</v>
      </c>
      <c r="AW175" s="81" t="s">
        <v>48</v>
      </c>
      <c r="AX175" s="82" t="str">
        <f>AX169</f>
        <v>驚</v>
      </c>
      <c r="AY175" s="81" t="s">
        <v>50</v>
      </c>
      <c r="AZ175" s="83"/>
      <c r="BA175" s="84"/>
      <c r="BB175" s="84"/>
      <c r="BC175" s="84"/>
    </row>
    <row r="176">
      <c r="A176" s="192">
        <f>A170+1</f>
        <v>28</v>
      </c>
      <c r="B176" s="193"/>
      <c r="C176" s="12" t="s">
        <v>187</v>
      </c>
      <c r="E176" s="203" t="s">
        <v>171</v>
      </c>
      <c r="G176" s="374" t="str">
        <f t="shared" ref="G176:G177" si="270">G3:H3</f>
        <v>甲</v>
      </c>
      <c r="I176" s="275" t="str">
        <f t="shared" ref="I176:I177" si="271">I32:J32</f>
        <v>丙</v>
      </c>
      <c r="K176" s="90">
        <f>L176/L177</f>
        <v>0.555</v>
      </c>
      <c r="L176" s="126">
        <f t="shared" ref="L176:L177" si="272">O176+P176+Q176+U176+V176+W176+X176+R176+M176+N176+S176+T176</f>
        <v>555</v>
      </c>
      <c r="M176" s="92">
        <v>0.0</v>
      </c>
      <c r="N176" s="93">
        <v>0.0</v>
      </c>
      <c r="O176" s="92">
        <v>40.0</v>
      </c>
      <c r="P176" s="92">
        <v>80.0</v>
      </c>
      <c r="Q176" s="92">
        <v>90.0</v>
      </c>
      <c r="R176" s="93">
        <v>50.0</v>
      </c>
      <c r="S176" s="92">
        <v>60.0</v>
      </c>
      <c r="T176" s="93">
        <v>0.0</v>
      </c>
      <c r="U176" s="92">
        <f t="shared" ref="U176:V176" si="268">U38</f>
        <v>5</v>
      </c>
      <c r="V176" s="93">
        <f t="shared" si="268"/>
        <v>60</v>
      </c>
      <c r="W176" s="92">
        <f t="shared" ref="W176:X176" si="269">W32</f>
        <v>110</v>
      </c>
      <c r="X176" s="93">
        <f t="shared" si="269"/>
        <v>60</v>
      </c>
      <c r="Y176" s="73" t="s">
        <v>98</v>
      </c>
      <c r="Z176" s="94" t="s">
        <v>152</v>
      </c>
      <c r="AA176" s="36"/>
      <c r="AB176" s="29"/>
      <c r="AC176" s="195" t="s">
        <v>196</v>
      </c>
      <c r="AD176" s="96" t="s">
        <v>149</v>
      </c>
      <c r="AE176" s="37"/>
      <c r="AF176" s="97"/>
      <c r="AG176" s="12" t="s">
        <v>189</v>
      </c>
      <c r="AH176" s="12">
        <v>90.0</v>
      </c>
      <c r="AI176" s="12" t="s">
        <v>208</v>
      </c>
      <c r="AJ176" s="98" t="s">
        <v>39</v>
      </c>
      <c r="AK176" s="99" t="s">
        <v>93</v>
      </c>
      <c r="AL176" s="100" t="s">
        <v>37</v>
      </c>
      <c r="AM176" s="99" t="s">
        <v>94</v>
      </c>
      <c r="AN176" s="100" t="s">
        <v>51</v>
      </c>
      <c r="AO176" s="101" t="s">
        <v>95</v>
      </c>
      <c r="AP176" s="100" t="s">
        <v>86</v>
      </c>
      <c r="AQ176" s="99" t="s">
        <v>87</v>
      </c>
      <c r="AR176" s="100" t="s">
        <v>88</v>
      </c>
      <c r="AS176" s="101" t="s">
        <v>89</v>
      </c>
      <c r="AT176" s="100" t="s">
        <v>45</v>
      </c>
      <c r="AU176" s="102" t="s">
        <v>90</v>
      </c>
      <c r="AV176" s="100" t="s">
        <v>43</v>
      </c>
      <c r="AW176" s="101" t="s">
        <v>91</v>
      </c>
      <c r="AX176" s="100" t="s">
        <v>41</v>
      </c>
      <c r="AY176" s="103" t="s">
        <v>92</v>
      </c>
      <c r="AZ176" s="24"/>
    </row>
    <row r="177">
      <c r="A177" s="215" t="str">
        <f>G2</f>
        <v>มิถุนายน</v>
      </c>
      <c r="B177" s="193"/>
      <c r="C177" s="106" t="s">
        <v>235</v>
      </c>
      <c r="E177" s="209" t="s">
        <v>32</v>
      </c>
      <c r="G177" s="223" t="str">
        <f t="shared" si="270"/>
        <v>午</v>
      </c>
      <c r="I177" s="142" t="str">
        <f t="shared" si="271"/>
        <v>午</v>
      </c>
      <c r="K177" s="36"/>
      <c r="L177" s="109">
        <f t="shared" si="272"/>
        <v>1000</v>
      </c>
      <c r="M177" s="9">
        <v>0.0</v>
      </c>
      <c r="N177" s="110">
        <v>0.0</v>
      </c>
      <c r="O177" s="9">
        <v>100.0</v>
      </c>
      <c r="P177" s="9">
        <v>100.0</v>
      </c>
      <c r="Q177" s="9">
        <v>100.0</v>
      </c>
      <c r="R177" s="110">
        <v>100.0</v>
      </c>
      <c r="S177" s="9">
        <v>100.0</v>
      </c>
      <c r="T177" s="110">
        <v>100.0</v>
      </c>
      <c r="U177" s="9">
        <v>100.0</v>
      </c>
      <c r="V177" s="110">
        <v>100.0</v>
      </c>
      <c r="W177" s="9">
        <v>100.0</v>
      </c>
      <c r="X177" s="110">
        <v>100.0</v>
      </c>
      <c r="Y177" s="73" t="s">
        <v>116</v>
      </c>
      <c r="Z177" s="94" t="s">
        <v>81</v>
      </c>
      <c r="AA177" s="36"/>
      <c r="AB177" s="36"/>
      <c r="AC177" s="111"/>
      <c r="AD177" s="112"/>
      <c r="AE177" s="37"/>
      <c r="AF177" s="97"/>
      <c r="AG177" s="14"/>
      <c r="AH177" s="14"/>
      <c r="AI177" s="14"/>
      <c r="AJ177" s="113"/>
      <c r="AK177" s="104" t="s">
        <v>105</v>
      </c>
      <c r="AM177" s="104" t="s">
        <v>106</v>
      </c>
      <c r="AO177" s="105" t="s">
        <v>107</v>
      </c>
      <c r="AQ177" s="104" t="s">
        <v>100</v>
      </c>
      <c r="AS177" s="114" t="s">
        <v>101</v>
      </c>
      <c r="AU177" s="105" t="s">
        <v>102</v>
      </c>
      <c r="AW177" s="105" t="s">
        <v>103</v>
      </c>
      <c r="AY177" s="104" t="s">
        <v>104</v>
      </c>
      <c r="AZ177" s="24"/>
    </row>
    <row r="178">
      <c r="A178" s="192">
        <v>2569.0</v>
      </c>
      <c r="B178" s="193"/>
      <c r="E178" s="115" t="s">
        <v>112</v>
      </c>
      <c r="F178" s="116" t="s">
        <v>98</v>
      </c>
      <c r="G178" s="115" t="str">
        <f t="shared" ref="G178:H178" si="273">G40</f>
        <v>A8</v>
      </c>
      <c r="H178" s="9" t="str">
        <f t="shared" si="273"/>
        <v>B11</v>
      </c>
      <c r="I178" s="9" t="str">
        <f t="shared" ref="I178:J178" si="274">I34</f>
        <v>A5</v>
      </c>
      <c r="J178" s="9" t="str">
        <f t="shared" si="274"/>
        <v>B11</v>
      </c>
      <c r="K178" s="36"/>
      <c r="L178" s="117"/>
      <c r="M178" s="118" t="str">
        <f t="shared" ref="M178:P178" si="275">C178</f>
        <v/>
      </c>
      <c r="N178" s="119" t="str">
        <f t="shared" si="275"/>
        <v/>
      </c>
      <c r="O178" s="118" t="str">
        <f t="shared" si="275"/>
        <v>A2</v>
      </c>
      <c r="P178" s="118" t="str">
        <f t="shared" si="275"/>
        <v>B2</v>
      </c>
      <c r="Q178" s="118" t="str">
        <f t="shared" ref="Q178:R178" si="276">E179</f>
        <v>B8</v>
      </c>
      <c r="R178" s="119" t="str">
        <f t="shared" si="276"/>
        <v>C4</v>
      </c>
      <c r="S178" s="9" t="s">
        <v>110</v>
      </c>
      <c r="T178" s="110" t="s">
        <v>114</v>
      </c>
      <c r="U178" s="9" t="str">
        <f t="shared" ref="U178:X178" si="277">G178</f>
        <v>A8</v>
      </c>
      <c r="V178" s="119" t="str">
        <f t="shared" si="277"/>
        <v>B11</v>
      </c>
      <c r="W178" s="118" t="str">
        <f t="shared" si="277"/>
        <v>A5</v>
      </c>
      <c r="X178" s="120" t="str">
        <f t="shared" si="277"/>
        <v>B11</v>
      </c>
      <c r="Y178" s="73" t="s">
        <v>126</v>
      </c>
      <c r="Z178" s="94" t="s">
        <v>99</v>
      </c>
      <c r="AA178" s="36"/>
      <c r="AB178" s="36"/>
      <c r="AC178" s="111"/>
      <c r="AD178" s="112"/>
      <c r="AE178" s="37"/>
      <c r="AF178" s="97"/>
      <c r="AG178" s="14"/>
      <c r="AH178" s="14"/>
      <c r="AI178" s="14"/>
      <c r="AJ178" s="113"/>
      <c r="AK178" s="104" t="s">
        <v>123</v>
      </c>
      <c r="AM178" s="104" t="s">
        <v>124</v>
      </c>
      <c r="AO178" s="105" t="s">
        <v>125</v>
      </c>
      <c r="AQ178" s="104" t="s">
        <v>118</v>
      </c>
      <c r="AS178" s="114" t="s">
        <v>119</v>
      </c>
      <c r="AU178" s="105" t="s">
        <v>120</v>
      </c>
      <c r="AW178" s="105" t="s">
        <v>121</v>
      </c>
      <c r="AY178" s="104" t="s">
        <v>122</v>
      </c>
      <c r="AZ178" s="24"/>
    </row>
    <row r="179">
      <c r="A179" s="192">
        <f>A178-543</f>
        <v>2026</v>
      </c>
      <c r="B179" s="193"/>
      <c r="C179" s="181"/>
      <c r="E179" s="115" t="s">
        <v>69</v>
      </c>
      <c r="F179" s="116" t="s">
        <v>190</v>
      </c>
      <c r="G179" s="115"/>
      <c r="H179" s="118"/>
      <c r="I179" s="118"/>
      <c r="J179" s="118"/>
      <c r="K179" s="36"/>
      <c r="L179" s="117"/>
      <c r="M179" s="326"/>
      <c r="N179" s="327"/>
      <c r="R179" s="117"/>
      <c r="T179" s="117"/>
      <c r="V179" s="117"/>
      <c r="X179" s="117"/>
      <c r="Y179" s="73" t="s">
        <v>69</v>
      </c>
      <c r="Z179" s="94" t="s">
        <v>155</v>
      </c>
      <c r="AA179" s="36"/>
      <c r="AB179" s="36"/>
      <c r="AC179" s="111"/>
      <c r="AD179" s="112"/>
      <c r="AE179" s="37"/>
      <c r="AF179" s="97"/>
      <c r="AG179" s="14"/>
      <c r="AH179" s="14"/>
      <c r="AI179" s="14"/>
      <c r="AJ179" s="113"/>
      <c r="AK179" s="104" t="s">
        <v>134</v>
      </c>
      <c r="AM179" s="104" t="s">
        <v>135</v>
      </c>
      <c r="AO179" s="105" t="s">
        <v>136</v>
      </c>
      <c r="AQ179" s="104" t="s">
        <v>129</v>
      </c>
      <c r="AS179" s="114" t="s">
        <v>130</v>
      </c>
      <c r="AU179" s="105" t="s">
        <v>131</v>
      </c>
      <c r="AW179" s="105" t="s">
        <v>132</v>
      </c>
      <c r="AY179" s="104" t="s">
        <v>133</v>
      </c>
      <c r="AZ179" s="24"/>
    </row>
    <row r="180">
      <c r="A180" s="351"/>
      <c r="B180" s="206"/>
      <c r="C180" s="1"/>
      <c r="D180" s="123"/>
      <c r="E180" s="124" t="s">
        <v>168</v>
      </c>
      <c r="F180" s="125"/>
      <c r="G180" s="207" t="str">
        <f>G5:H5</f>
        <v>อสูรเดือน N</v>
      </c>
      <c r="I180" s="208" t="str">
        <f>I5:J5</f>
        <v>อสูรปี N</v>
      </c>
      <c r="K180" s="36"/>
      <c r="L180" s="117"/>
      <c r="M180" s="326"/>
      <c r="N180" s="327"/>
      <c r="R180" s="117"/>
      <c r="T180" s="117"/>
      <c r="V180" s="117"/>
      <c r="X180" s="117"/>
      <c r="Y180" s="233"/>
      <c r="Z180" s="234"/>
      <c r="AA180" s="36"/>
      <c r="AB180" s="36"/>
      <c r="AC180" s="111"/>
      <c r="AD180" s="112"/>
      <c r="AE180" s="37"/>
      <c r="AF180" s="97"/>
      <c r="AG180" s="14"/>
      <c r="AH180" s="14"/>
      <c r="AI180" s="14"/>
      <c r="AJ180" s="113"/>
      <c r="AY180" s="128"/>
      <c r="AZ180" s="24"/>
    </row>
    <row r="181">
      <c r="A181" s="188" t="s">
        <v>186</v>
      </c>
      <c r="B181" s="189"/>
      <c r="C181" s="63"/>
      <c r="D181" s="63"/>
      <c r="E181" s="358">
        <f>(O182+P182+Q182+R182)/(O183+P183+Q183+R183)</f>
        <v>0.4375</v>
      </c>
      <c r="F181" s="65"/>
      <c r="G181" s="133"/>
      <c r="H181" s="66"/>
      <c r="I181" s="67"/>
      <c r="J181" s="67"/>
      <c r="K181" s="68"/>
      <c r="L181" s="69"/>
      <c r="M181" s="63" t="s">
        <v>64</v>
      </c>
      <c r="N181" s="70"/>
      <c r="O181" s="71" t="s">
        <v>65</v>
      </c>
      <c r="P181" s="72"/>
      <c r="Q181" s="72"/>
      <c r="R181" s="70"/>
      <c r="S181" s="71" t="s">
        <v>66</v>
      </c>
      <c r="T181" s="70"/>
      <c r="U181" s="71" t="s">
        <v>67</v>
      </c>
      <c r="V181" s="70"/>
      <c r="W181" s="71" t="s">
        <v>68</v>
      </c>
      <c r="X181" s="70"/>
      <c r="Y181" s="134" t="s">
        <v>80</v>
      </c>
      <c r="Z181" s="74" t="s">
        <v>181</v>
      </c>
      <c r="AA181" s="75" t="s">
        <v>97</v>
      </c>
      <c r="AB181" s="75" t="s">
        <v>317</v>
      </c>
      <c r="AC181" s="76" t="s">
        <v>73</v>
      </c>
      <c r="AD181" s="74" t="s">
        <v>74</v>
      </c>
      <c r="AE181" s="63" t="s">
        <v>35</v>
      </c>
      <c r="AF181" s="78" t="s">
        <v>34</v>
      </c>
      <c r="AG181" s="79" t="s">
        <v>71</v>
      </c>
      <c r="AH181" s="79">
        <v>210.0</v>
      </c>
      <c r="AI181" s="79" t="s">
        <v>175</v>
      </c>
      <c r="AJ181" s="80" t="str">
        <f>AJ169</f>
        <v>開</v>
      </c>
      <c r="AK181" s="81" t="s">
        <v>44</v>
      </c>
      <c r="AL181" s="82" t="str">
        <f>AL169</f>
        <v>休</v>
      </c>
      <c r="AM181" s="81" t="s">
        <v>46</v>
      </c>
      <c r="AN181" s="82" t="s">
        <v>4</v>
      </c>
      <c r="AO181" s="81" t="s">
        <v>48</v>
      </c>
      <c r="AP181" s="82" t="str">
        <f>AP169</f>
        <v>傷</v>
      </c>
      <c r="AQ181" s="81" t="s">
        <v>50</v>
      </c>
      <c r="AR181" s="82" t="s">
        <v>8</v>
      </c>
      <c r="AS181" s="81" t="s">
        <v>52</v>
      </c>
      <c r="AT181" s="82" t="str">
        <f>AT169</f>
        <v>景</v>
      </c>
      <c r="AU181" s="81" t="s">
        <v>38</v>
      </c>
      <c r="AV181" s="82" t="str">
        <f>AV169</f>
        <v>死</v>
      </c>
      <c r="AW181" s="81" t="s">
        <v>40</v>
      </c>
      <c r="AX181" s="82" t="str">
        <f>AX169</f>
        <v>驚</v>
      </c>
      <c r="AY181" s="81" t="s">
        <v>42</v>
      </c>
      <c r="AZ181" s="83"/>
      <c r="BA181" s="84"/>
      <c r="BB181" s="84"/>
      <c r="BC181" s="84"/>
    </row>
    <row r="182">
      <c r="A182" s="192">
        <f>A176+1</f>
        <v>29</v>
      </c>
      <c r="B182" s="193"/>
      <c r="C182" s="338" t="s">
        <v>346</v>
      </c>
      <c r="E182" s="87" t="s">
        <v>222</v>
      </c>
      <c r="F182" s="88"/>
      <c r="G182" s="382" t="str">
        <f t="shared" ref="G182:G183" si="280">G3:H3</f>
        <v>甲</v>
      </c>
      <c r="I182" s="275" t="str">
        <f t="shared" ref="I182:I183" si="281">I32:J32</f>
        <v>丙</v>
      </c>
      <c r="K182" s="90">
        <f>L182/L183</f>
        <v>0.49</v>
      </c>
      <c r="L182" s="126">
        <f t="shared" ref="L182:L183" si="282">O182+P182+Q182+U182+V182+W182+X182+R182+M182+N182+S182+T182</f>
        <v>490</v>
      </c>
      <c r="M182" s="92">
        <v>0.0</v>
      </c>
      <c r="N182" s="93">
        <v>0.0</v>
      </c>
      <c r="O182" s="92">
        <v>75.0</v>
      </c>
      <c r="P182" s="92">
        <v>20.0</v>
      </c>
      <c r="Q182" s="92">
        <v>0.0</v>
      </c>
      <c r="R182" s="93">
        <v>80.0</v>
      </c>
      <c r="S182" s="92">
        <v>75.0</v>
      </c>
      <c r="T182" s="93">
        <v>5.0</v>
      </c>
      <c r="U182" s="92">
        <f t="shared" ref="U182:V182" si="278">U38</f>
        <v>5</v>
      </c>
      <c r="V182" s="93">
        <f t="shared" si="278"/>
        <v>60</v>
      </c>
      <c r="W182" s="92">
        <f t="shared" ref="W182:X182" si="279">W32</f>
        <v>110</v>
      </c>
      <c r="X182" s="93">
        <f t="shared" si="279"/>
        <v>60</v>
      </c>
      <c r="Y182" s="73" t="s">
        <v>98</v>
      </c>
      <c r="Z182" s="94" t="s">
        <v>163</v>
      </c>
      <c r="AA182" s="36"/>
      <c r="AB182" s="29"/>
      <c r="AC182" s="95" t="s">
        <v>82</v>
      </c>
      <c r="AD182" s="96" t="s">
        <v>83</v>
      </c>
      <c r="AE182" s="37"/>
      <c r="AF182" s="97"/>
      <c r="AG182" s="12" t="s">
        <v>53</v>
      </c>
      <c r="AH182" s="12">
        <v>30.0</v>
      </c>
      <c r="AI182" s="12" t="s">
        <v>178</v>
      </c>
      <c r="AJ182" s="98" t="s">
        <v>43</v>
      </c>
      <c r="AK182" s="101" t="s">
        <v>91</v>
      </c>
      <c r="AL182" s="100" t="s">
        <v>41</v>
      </c>
      <c r="AM182" s="103" t="s">
        <v>92</v>
      </c>
      <c r="AN182" s="100" t="s">
        <v>39</v>
      </c>
      <c r="AO182" s="99" t="s">
        <v>93</v>
      </c>
      <c r="AP182" s="100" t="s">
        <v>37</v>
      </c>
      <c r="AQ182" s="99" t="s">
        <v>94</v>
      </c>
      <c r="AR182" s="100" t="s">
        <v>51</v>
      </c>
      <c r="AS182" s="101" t="s">
        <v>95</v>
      </c>
      <c r="AT182" s="100" t="s">
        <v>86</v>
      </c>
      <c r="AU182" s="99" t="s">
        <v>87</v>
      </c>
      <c r="AV182" s="100" t="s">
        <v>88</v>
      </c>
      <c r="AW182" s="101" t="s">
        <v>89</v>
      </c>
      <c r="AX182" s="100" t="s">
        <v>45</v>
      </c>
      <c r="AY182" s="102" t="s">
        <v>90</v>
      </c>
      <c r="AZ182" s="24"/>
    </row>
    <row r="183">
      <c r="A183" s="229" t="str">
        <f>A177</f>
        <v>มิถุนายน</v>
      </c>
      <c r="B183" s="193"/>
      <c r="C183" s="106" t="s">
        <v>239</v>
      </c>
      <c r="E183" s="162" t="s">
        <v>206</v>
      </c>
      <c r="F183" s="88"/>
      <c r="G183" s="223" t="str">
        <f t="shared" si="280"/>
        <v>午</v>
      </c>
      <c r="I183" s="142" t="str">
        <f t="shared" si="281"/>
        <v>午</v>
      </c>
      <c r="K183" s="36"/>
      <c r="L183" s="109">
        <f t="shared" si="282"/>
        <v>1000</v>
      </c>
      <c r="M183" s="9">
        <v>0.0</v>
      </c>
      <c r="N183" s="110">
        <v>0.0</v>
      </c>
      <c r="O183" s="9">
        <v>100.0</v>
      </c>
      <c r="P183" s="9">
        <v>100.0</v>
      </c>
      <c r="Q183" s="9">
        <v>100.0</v>
      </c>
      <c r="R183" s="110">
        <v>100.0</v>
      </c>
      <c r="S183" s="9">
        <v>100.0</v>
      </c>
      <c r="T183" s="110">
        <v>100.0</v>
      </c>
      <c r="U183" s="9">
        <v>100.0</v>
      </c>
      <c r="V183" s="110">
        <v>100.0</v>
      </c>
      <c r="W183" s="9">
        <v>100.0</v>
      </c>
      <c r="X183" s="110">
        <v>100.0</v>
      </c>
      <c r="Y183" s="73" t="s">
        <v>116</v>
      </c>
      <c r="Z183" s="94" t="s">
        <v>153</v>
      </c>
      <c r="AA183" s="36"/>
      <c r="AB183" s="36"/>
      <c r="AC183" s="111"/>
      <c r="AD183" s="112"/>
      <c r="AE183" s="37"/>
      <c r="AF183" s="97"/>
      <c r="AG183" s="14"/>
      <c r="AH183" s="14"/>
      <c r="AI183" s="14"/>
      <c r="AJ183" s="113"/>
      <c r="AK183" s="105" t="s">
        <v>103</v>
      </c>
      <c r="AM183" s="104" t="s">
        <v>104</v>
      </c>
      <c r="AO183" s="104" t="s">
        <v>105</v>
      </c>
      <c r="AQ183" s="104" t="s">
        <v>106</v>
      </c>
      <c r="AS183" s="105" t="s">
        <v>107</v>
      </c>
      <c r="AU183" s="104" t="s">
        <v>100</v>
      </c>
      <c r="AW183" s="114" t="s">
        <v>101</v>
      </c>
      <c r="AY183" s="105" t="s">
        <v>102</v>
      </c>
      <c r="AZ183" s="24"/>
    </row>
    <row r="184">
      <c r="A184" s="192">
        <v>2569.0</v>
      </c>
      <c r="B184" s="193"/>
      <c r="E184" s="115" t="s">
        <v>165</v>
      </c>
      <c r="F184" s="116" t="s">
        <v>183</v>
      </c>
      <c r="G184" s="115" t="str">
        <f t="shared" ref="G184:H184" si="283">G40</f>
        <v>A8</v>
      </c>
      <c r="H184" s="9" t="str">
        <f t="shared" si="283"/>
        <v>B11</v>
      </c>
      <c r="I184" s="9" t="str">
        <f t="shared" ref="I184:J184" si="284">I34</f>
        <v>A5</v>
      </c>
      <c r="J184" s="9" t="str">
        <f t="shared" si="284"/>
        <v>B11</v>
      </c>
      <c r="K184" s="36"/>
      <c r="L184" s="117"/>
      <c r="M184" s="118" t="str">
        <f t="shared" ref="M184:P184" si="285">C184</f>
        <v/>
      </c>
      <c r="N184" s="119" t="str">
        <f t="shared" si="285"/>
        <v/>
      </c>
      <c r="O184" s="118" t="str">
        <f t="shared" si="285"/>
        <v>A12</v>
      </c>
      <c r="P184" s="118" t="str">
        <f t="shared" si="285"/>
        <v>B3</v>
      </c>
      <c r="Q184" s="118" t="str">
        <f t="shared" ref="Q184:R184" si="286">E185</f>
        <v>B7</v>
      </c>
      <c r="R184" s="119" t="str">
        <f t="shared" si="286"/>
        <v>C5</v>
      </c>
      <c r="S184" s="9" t="s">
        <v>165</v>
      </c>
      <c r="T184" s="110" t="s">
        <v>108</v>
      </c>
      <c r="U184" s="9" t="str">
        <f t="shared" ref="U184:X184" si="287">G184</f>
        <v>A8</v>
      </c>
      <c r="V184" s="119" t="str">
        <f t="shared" si="287"/>
        <v>B11</v>
      </c>
      <c r="W184" s="118" t="str">
        <f t="shared" si="287"/>
        <v>A5</v>
      </c>
      <c r="X184" s="120" t="str">
        <f t="shared" si="287"/>
        <v>B11</v>
      </c>
      <c r="Y184" s="73" t="s">
        <v>126</v>
      </c>
      <c r="Z184" s="94" t="s">
        <v>155</v>
      </c>
      <c r="AA184" s="36"/>
      <c r="AB184" s="36"/>
      <c r="AC184" s="111"/>
      <c r="AD184" s="112"/>
      <c r="AE184" s="37"/>
      <c r="AF184" s="97"/>
      <c r="AG184" s="14"/>
      <c r="AH184" s="14"/>
      <c r="AI184" s="14"/>
      <c r="AJ184" s="113"/>
      <c r="AK184" s="105" t="s">
        <v>121</v>
      </c>
      <c r="AM184" s="104" t="s">
        <v>122</v>
      </c>
      <c r="AO184" s="104" t="s">
        <v>123</v>
      </c>
      <c r="AQ184" s="104" t="s">
        <v>124</v>
      </c>
      <c r="AS184" s="105" t="s">
        <v>125</v>
      </c>
      <c r="AU184" s="104" t="s">
        <v>118</v>
      </c>
      <c r="AW184" s="114" t="s">
        <v>119</v>
      </c>
      <c r="AY184" s="105" t="s">
        <v>120</v>
      </c>
      <c r="AZ184" s="24"/>
    </row>
    <row r="185">
      <c r="A185" s="192">
        <f>A184-543</f>
        <v>2026</v>
      </c>
      <c r="B185" s="193"/>
      <c r="C185" s="331" t="s">
        <v>335</v>
      </c>
      <c r="E185" s="115" t="s">
        <v>111</v>
      </c>
      <c r="F185" s="116" t="s">
        <v>205</v>
      </c>
      <c r="G185" s="115"/>
      <c r="H185" s="118"/>
      <c r="I185" s="118"/>
      <c r="J185" s="118"/>
      <c r="K185" s="36"/>
      <c r="L185" s="117"/>
      <c r="M185" s="8"/>
      <c r="N185" s="121"/>
      <c r="O185" s="8"/>
      <c r="P185" s="8"/>
      <c r="Q185" s="8"/>
      <c r="R185" s="121"/>
      <c r="S185" s="8"/>
      <c r="T185" s="121"/>
      <c r="U185" s="9"/>
      <c r="V185" s="110"/>
      <c r="W185" s="9"/>
      <c r="X185" s="110"/>
      <c r="Y185" s="73" t="s">
        <v>69</v>
      </c>
      <c r="Z185" s="94" t="s">
        <v>128</v>
      </c>
      <c r="AA185" s="36"/>
      <c r="AB185" s="36"/>
      <c r="AC185" s="111"/>
      <c r="AD185" s="112"/>
      <c r="AE185" s="37"/>
      <c r="AF185" s="97"/>
      <c r="AG185" s="14"/>
      <c r="AH185" s="14"/>
      <c r="AI185" s="14"/>
      <c r="AJ185" s="113"/>
      <c r="AK185" s="105" t="s">
        <v>132</v>
      </c>
      <c r="AM185" s="104" t="s">
        <v>133</v>
      </c>
      <c r="AO185" s="104" t="s">
        <v>134</v>
      </c>
      <c r="AQ185" s="104" t="s">
        <v>135</v>
      </c>
      <c r="AS185" s="105" t="s">
        <v>136</v>
      </c>
      <c r="AU185" s="104" t="s">
        <v>129</v>
      </c>
      <c r="AW185" s="114" t="s">
        <v>130</v>
      </c>
      <c r="AY185" s="105" t="s">
        <v>131</v>
      </c>
      <c r="AZ185" s="24"/>
    </row>
    <row r="186">
      <c r="A186" s="310"/>
      <c r="B186" s="197"/>
      <c r="C186" s="1" t="s">
        <v>336</v>
      </c>
      <c r="E186" s="124" t="s">
        <v>185</v>
      </c>
      <c r="F186" s="125"/>
      <c r="G186" s="165" t="str">
        <f>G5:H5</f>
        <v>อสูรเดือน N</v>
      </c>
      <c r="I186" s="166" t="str">
        <f>I5:J5</f>
        <v>อสูรปี N</v>
      </c>
      <c r="K186" s="90"/>
      <c r="L186" s="126"/>
      <c r="M186" s="8"/>
      <c r="N186" s="121"/>
      <c r="O186" s="8"/>
      <c r="P186" s="8"/>
      <c r="Q186" s="8"/>
      <c r="R186" s="121"/>
      <c r="S186" s="8"/>
      <c r="T186" s="121"/>
      <c r="U186" s="9"/>
      <c r="V186" s="110"/>
      <c r="W186" s="9"/>
      <c r="X186" s="110"/>
      <c r="Y186" s="233"/>
      <c r="Z186" s="234"/>
      <c r="AA186" s="156"/>
      <c r="AB186" s="156"/>
      <c r="AC186" s="235"/>
      <c r="AD186" s="236"/>
      <c r="AE186" s="237"/>
      <c r="AF186" s="238"/>
      <c r="AG186" s="239"/>
      <c r="AH186" s="239"/>
      <c r="AI186" s="239"/>
      <c r="AJ186" s="113"/>
      <c r="AW186" s="128"/>
      <c r="AZ186" s="24"/>
    </row>
    <row r="187">
      <c r="A187" s="188" t="s">
        <v>191</v>
      </c>
      <c r="B187" s="189"/>
      <c r="C187" s="63"/>
      <c r="D187" s="63"/>
      <c r="E187" s="64">
        <f>(O188+P188+Q188+R188)/(O189+P189+Q189+R189)</f>
        <v>0.4</v>
      </c>
      <c r="F187" s="65"/>
      <c r="G187" s="133"/>
      <c r="H187" s="66"/>
      <c r="I187" s="67"/>
      <c r="J187" s="67"/>
      <c r="K187" s="68"/>
      <c r="L187" s="69"/>
      <c r="M187" s="63" t="s">
        <v>64</v>
      </c>
      <c r="N187" s="70"/>
      <c r="O187" s="71" t="s">
        <v>65</v>
      </c>
      <c r="P187" s="72"/>
      <c r="Q187" s="72"/>
      <c r="R187" s="70"/>
      <c r="S187" s="71" t="s">
        <v>66</v>
      </c>
      <c r="T187" s="70"/>
      <c r="U187" s="71" t="s">
        <v>67</v>
      </c>
      <c r="V187" s="70"/>
      <c r="W187" s="71" t="s">
        <v>68</v>
      </c>
      <c r="X187" s="70"/>
      <c r="Y187" s="134" t="s">
        <v>69</v>
      </c>
      <c r="Z187" s="74" t="s">
        <v>70</v>
      </c>
      <c r="AA187" s="75" t="s">
        <v>71</v>
      </c>
      <c r="AB187" s="75" t="s">
        <v>72</v>
      </c>
      <c r="AC187" s="95" t="s">
        <v>73</v>
      </c>
      <c r="AD187" s="94" t="s">
        <v>74</v>
      </c>
      <c r="AE187" s="63" t="s">
        <v>35</v>
      </c>
      <c r="AF187" s="78" t="s">
        <v>75</v>
      </c>
      <c r="AG187" s="79" t="s">
        <v>76</v>
      </c>
      <c r="AH187" s="79">
        <v>240.0</v>
      </c>
      <c r="AI187" s="79" t="s">
        <v>77</v>
      </c>
      <c r="AJ187" s="80" t="str">
        <f>AJ181</f>
        <v>開</v>
      </c>
      <c r="AK187" s="81" t="s">
        <v>38</v>
      </c>
      <c r="AL187" s="82" t="str">
        <f>AL181</f>
        <v>休</v>
      </c>
      <c r="AM187" s="81" t="s">
        <v>40</v>
      </c>
      <c r="AN187" s="82" t="s">
        <v>4</v>
      </c>
      <c r="AO187" s="81" t="s">
        <v>42</v>
      </c>
      <c r="AP187" s="82" t="str">
        <f>AP181</f>
        <v>傷</v>
      </c>
      <c r="AQ187" s="81" t="s">
        <v>44</v>
      </c>
      <c r="AR187" s="82" t="s">
        <v>8</v>
      </c>
      <c r="AS187" s="81" t="s">
        <v>46</v>
      </c>
      <c r="AT187" s="82" t="str">
        <f>AT181</f>
        <v>景</v>
      </c>
      <c r="AU187" s="81" t="s">
        <v>48</v>
      </c>
      <c r="AV187" s="82" t="str">
        <f>AV181</f>
        <v>死</v>
      </c>
      <c r="AW187" s="81" t="s">
        <v>50</v>
      </c>
      <c r="AX187" s="82" t="str">
        <f>AX181</f>
        <v>驚</v>
      </c>
      <c r="AY187" s="337" t="s">
        <v>52</v>
      </c>
      <c r="AZ187" s="83"/>
      <c r="BA187" s="84"/>
      <c r="BB187" s="84"/>
      <c r="BC187" s="84"/>
    </row>
    <row r="188">
      <c r="A188" s="192">
        <f>A182+1</f>
        <v>30</v>
      </c>
      <c r="B188" s="193"/>
      <c r="C188" s="338" t="s">
        <v>78</v>
      </c>
      <c r="E188" s="87" t="s">
        <v>31</v>
      </c>
      <c r="F188" s="88"/>
      <c r="G188" s="374" t="str">
        <f t="shared" ref="G188:G189" si="290">G3:H3</f>
        <v>甲</v>
      </c>
      <c r="I188" s="275" t="str">
        <f t="shared" ref="I188:I189" si="291">I32:J32</f>
        <v>丙</v>
      </c>
      <c r="K188" s="90">
        <f>L188/L189</f>
        <v>0.555</v>
      </c>
      <c r="L188" s="126">
        <f t="shared" ref="L188:L189" si="292">O188+P188+Q188+U188+V188+W188+X188+R188+M188+N188+S188+T188</f>
        <v>555</v>
      </c>
      <c r="M188" s="92">
        <v>0.0</v>
      </c>
      <c r="N188" s="93">
        <v>0.0</v>
      </c>
      <c r="O188" s="92">
        <v>10.0</v>
      </c>
      <c r="P188" s="92">
        <v>30.0</v>
      </c>
      <c r="Q188" s="92">
        <v>90.0</v>
      </c>
      <c r="R188" s="93">
        <v>30.0</v>
      </c>
      <c r="S188" s="92">
        <v>80.0</v>
      </c>
      <c r="T188" s="93">
        <v>80.0</v>
      </c>
      <c r="U188" s="92">
        <f t="shared" ref="U188:V188" si="288">U38</f>
        <v>5</v>
      </c>
      <c r="V188" s="93">
        <f t="shared" si="288"/>
        <v>60</v>
      </c>
      <c r="W188" s="92">
        <f t="shared" ref="W188:X188" si="289">W32</f>
        <v>110</v>
      </c>
      <c r="X188" s="93">
        <f t="shared" si="289"/>
        <v>60</v>
      </c>
      <c r="Y188" s="73" t="s">
        <v>80</v>
      </c>
      <c r="Z188" s="94" t="s">
        <v>81</v>
      </c>
      <c r="AA188" s="36"/>
      <c r="AB188" s="29"/>
      <c r="AC188" s="95" t="s">
        <v>82</v>
      </c>
      <c r="AD188" s="96" t="s">
        <v>83</v>
      </c>
      <c r="AE188" s="37"/>
      <c r="AF188" s="97"/>
      <c r="AG188" s="12" t="s">
        <v>84</v>
      </c>
      <c r="AH188" s="12">
        <v>0.0</v>
      </c>
      <c r="AI188" s="12" t="s">
        <v>85</v>
      </c>
      <c r="AJ188" s="98" t="s">
        <v>41</v>
      </c>
      <c r="AK188" s="103" t="s">
        <v>92</v>
      </c>
      <c r="AL188" s="100" t="s">
        <v>39</v>
      </c>
      <c r="AM188" s="99" t="s">
        <v>93</v>
      </c>
      <c r="AN188" s="100" t="s">
        <v>37</v>
      </c>
      <c r="AO188" s="99" t="s">
        <v>94</v>
      </c>
      <c r="AP188" s="100" t="s">
        <v>51</v>
      </c>
      <c r="AQ188" s="101" t="s">
        <v>95</v>
      </c>
      <c r="AR188" s="100" t="s">
        <v>86</v>
      </c>
      <c r="AS188" s="99" t="s">
        <v>87</v>
      </c>
      <c r="AT188" s="100" t="s">
        <v>88</v>
      </c>
      <c r="AU188" s="101" t="s">
        <v>89</v>
      </c>
      <c r="AV188" s="100" t="s">
        <v>45</v>
      </c>
      <c r="AW188" s="102" t="s">
        <v>90</v>
      </c>
      <c r="AX188" s="100" t="s">
        <v>43</v>
      </c>
      <c r="AY188" s="339" t="s">
        <v>91</v>
      </c>
      <c r="AZ188" s="24"/>
    </row>
    <row r="189">
      <c r="A189" s="229" t="str">
        <f>A183</f>
        <v>มิถุนายน</v>
      </c>
      <c r="B189" s="193"/>
      <c r="C189" s="106" t="s">
        <v>96</v>
      </c>
      <c r="E189" s="107" t="s">
        <v>97</v>
      </c>
      <c r="F189" s="88"/>
      <c r="G189" s="223" t="str">
        <f t="shared" si="290"/>
        <v>午</v>
      </c>
      <c r="I189" s="142" t="str">
        <f t="shared" si="291"/>
        <v>午</v>
      </c>
      <c r="K189" s="36"/>
      <c r="L189" s="109">
        <f t="shared" si="292"/>
        <v>1000</v>
      </c>
      <c r="M189" s="9">
        <v>0.0</v>
      </c>
      <c r="N189" s="110">
        <v>0.0</v>
      </c>
      <c r="O189" s="9">
        <v>100.0</v>
      </c>
      <c r="P189" s="9">
        <v>100.0</v>
      </c>
      <c r="Q189" s="9">
        <v>100.0</v>
      </c>
      <c r="R189" s="110">
        <v>100.0</v>
      </c>
      <c r="S189" s="9">
        <v>100.0</v>
      </c>
      <c r="T189" s="110">
        <v>100.0</v>
      </c>
      <c r="U189" s="9">
        <v>100.0</v>
      </c>
      <c r="V189" s="110">
        <v>100.0</v>
      </c>
      <c r="W189" s="9">
        <v>100.0</v>
      </c>
      <c r="X189" s="110">
        <v>100.0</v>
      </c>
      <c r="Y189" s="73" t="s">
        <v>98</v>
      </c>
      <c r="Z189" s="94" t="s">
        <v>99</v>
      </c>
      <c r="AA189" s="36"/>
      <c r="AB189" s="36"/>
      <c r="AC189" s="111"/>
      <c r="AD189" s="112"/>
      <c r="AE189" s="37"/>
      <c r="AF189" s="97"/>
      <c r="AG189" s="14"/>
      <c r="AH189" s="14"/>
      <c r="AI189" s="14"/>
      <c r="AJ189" s="113"/>
      <c r="AK189" s="104" t="s">
        <v>104</v>
      </c>
      <c r="AM189" s="104" t="s">
        <v>105</v>
      </c>
      <c r="AO189" s="104" t="s">
        <v>106</v>
      </c>
      <c r="AQ189" s="105" t="s">
        <v>107</v>
      </c>
      <c r="AS189" s="104" t="s">
        <v>100</v>
      </c>
      <c r="AU189" s="114" t="s">
        <v>101</v>
      </c>
      <c r="AW189" s="105" t="s">
        <v>102</v>
      </c>
      <c r="AY189" s="340" t="s">
        <v>103</v>
      </c>
      <c r="AZ189" s="24"/>
    </row>
    <row r="190">
      <c r="A190" s="192">
        <v>2569.0</v>
      </c>
      <c r="B190" s="193"/>
      <c r="E190" s="115" t="s">
        <v>108</v>
      </c>
      <c r="F190" s="116" t="s">
        <v>109</v>
      </c>
      <c r="G190" s="115" t="str">
        <f t="shared" ref="G190:H190" si="293">G40</f>
        <v>A8</v>
      </c>
      <c r="H190" s="9" t="str">
        <f t="shared" si="293"/>
        <v>B11</v>
      </c>
      <c r="I190" s="9" t="str">
        <f t="shared" ref="I190:J190" si="294">I34</f>
        <v>A5</v>
      </c>
      <c r="J190" s="9" t="str">
        <f t="shared" si="294"/>
        <v>B11</v>
      </c>
      <c r="K190" s="36"/>
      <c r="L190" s="117"/>
      <c r="M190" s="118" t="str">
        <f t="shared" ref="M190:P190" si="295">C190</f>
        <v/>
      </c>
      <c r="N190" s="119" t="str">
        <f t="shared" si="295"/>
        <v/>
      </c>
      <c r="O190" s="118" t="str">
        <f t="shared" si="295"/>
        <v>A8</v>
      </c>
      <c r="P190" s="118" t="str">
        <f t="shared" si="295"/>
        <v>B4</v>
      </c>
      <c r="Q190" s="118" t="str">
        <f t="shared" ref="Q190:R190" si="296">E191</f>
        <v>B6</v>
      </c>
      <c r="R190" s="119" t="str">
        <f t="shared" si="296"/>
        <v>C6</v>
      </c>
      <c r="S190" s="9" t="s">
        <v>182</v>
      </c>
      <c r="T190" s="110" t="s">
        <v>182</v>
      </c>
      <c r="U190" s="9" t="str">
        <f t="shared" ref="U190:X190" si="297">G190</f>
        <v>A8</v>
      </c>
      <c r="V190" s="119" t="str">
        <f t="shared" si="297"/>
        <v>B11</v>
      </c>
      <c r="W190" s="118" t="str">
        <f t="shared" si="297"/>
        <v>A5</v>
      </c>
      <c r="X190" s="120" t="str">
        <f t="shared" si="297"/>
        <v>B11</v>
      </c>
      <c r="Y190" s="73" t="s">
        <v>116</v>
      </c>
      <c r="Z190" s="94" t="s">
        <v>117</v>
      </c>
      <c r="AA190" s="36"/>
      <c r="AB190" s="36"/>
      <c r="AC190" s="111"/>
      <c r="AD190" s="112"/>
      <c r="AE190" s="37"/>
      <c r="AF190" s="97"/>
      <c r="AG190" s="14"/>
      <c r="AH190" s="14"/>
      <c r="AI190" s="14"/>
      <c r="AJ190" s="113"/>
      <c r="AK190" s="104" t="s">
        <v>122</v>
      </c>
      <c r="AM190" s="104" t="s">
        <v>123</v>
      </c>
      <c r="AO190" s="104" t="s">
        <v>124</v>
      </c>
      <c r="AQ190" s="105" t="s">
        <v>125</v>
      </c>
      <c r="AS190" s="104" t="s">
        <v>118</v>
      </c>
      <c r="AU190" s="114" t="s">
        <v>119</v>
      </c>
      <c r="AW190" s="105" t="s">
        <v>120</v>
      </c>
      <c r="AY190" s="340" t="s">
        <v>121</v>
      </c>
      <c r="AZ190" s="24"/>
    </row>
    <row r="191">
      <c r="A191" s="192">
        <f>A190-543</f>
        <v>2026</v>
      </c>
      <c r="B191" s="193"/>
      <c r="E191" s="115" t="s">
        <v>126</v>
      </c>
      <c r="F191" s="116" t="s">
        <v>215</v>
      </c>
      <c r="G191" s="115"/>
      <c r="H191" s="118"/>
      <c r="I191" s="118"/>
      <c r="J191" s="118"/>
      <c r="K191" s="36"/>
      <c r="L191" s="117"/>
      <c r="M191" s="8"/>
      <c r="N191" s="121"/>
      <c r="O191" s="8"/>
      <c r="P191" s="8"/>
      <c r="Q191" s="8"/>
      <c r="R191" s="121"/>
      <c r="S191" s="8"/>
      <c r="T191" s="121"/>
      <c r="U191" s="9"/>
      <c r="V191" s="110"/>
      <c r="W191" s="9"/>
      <c r="X191" s="110"/>
      <c r="Y191" s="73" t="s">
        <v>126</v>
      </c>
      <c r="Z191" s="94" t="s">
        <v>128</v>
      </c>
      <c r="AA191" s="36"/>
      <c r="AB191" s="36"/>
      <c r="AC191" s="111"/>
      <c r="AD191" s="112"/>
      <c r="AE191" s="37"/>
      <c r="AF191" s="97"/>
      <c r="AG191" s="14"/>
      <c r="AH191" s="14"/>
      <c r="AI191" s="14"/>
      <c r="AJ191" s="113"/>
      <c r="AK191" s="104" t="s">
        <v>133</v>
      </c>
      <c r="AM191" s="104" t="s">
        <v>134</v>
      </c>
      <c r="AO191" s="104" t="s">
        <v>135</v>
      </c>
      <c r="AQ191" s="105" t="s">
        <v>136</v>
      </c>
      <c r="AS191" s="104" t="s">
        <v>129</v>
      </c>
      <c r="AU191" s="114" t="s">
        <v>130</v>
      </c>
      <c r="AW191" s="105" t="s">
        <v>131</v>
      </c>
      <c r="AY191" s="340" t="s">
        <v>132</v>
      </c>
      <c r="AZ191" s="24"/>
    </row>
    <row r="192">
      <c r="A192" s="230"/>
      <c r="B192" s="231"/>
      <c r="C192" s="185"/>
      <c r="D192" s="186"/>
      <c r="E192" s="124" t="s">
        <v>137</v>
      </c>
      <c r="F192" s="125"/>
      <c r="G192" s="146" t="str">
        <f>G5:H5</f>
        <v>อสูรเดือน N</v>
      </c>
      <c r="H192" s="147"/>
      <c r="I192" s="148" t="str">
        <f>I5:J5</f>
        <v>อสูรปี N</v>
      </c>
      <c r="J192" s="147"/>
      <c r="K192" s="149"/>
      <c r="L192" s="150"/>
      <c r="M192" s="151"/>
      <c r="N192" s="152"/>
      <c r="O192" s="151"/>
      <c r="P192" s="151"/>
      <c r="Q192" s="151"/>
      <c r="R192" s="152"/>
      <c r="S192" s="151"/>
      <c r="T192" s="152"/>
      <c r="U192" s="153"/>
      <c r="V192" s="154"/>
      <c r="W192" s="153"/>
      <c r="X192" s="154"/>
      <c r="Y192" s="233"/>
      <c r="Z192" s="234"/>
      <c r="AA192" s="156"/>
      <c r="AB192" s="156"/>
      <c r="AC192" s="235"/>
      <c r="AD192" s="236"/>
      <c r="AE192" s="237"/>
      <c r="AF192" s="238"/>
      <c r="AG192" s="239"/>
      <c r="AH192" s="239"/>
      <c r="AI192" s="239"/>
      <c r="AJ192" s="157"/>
      <c r="AK192" s="158"/>
      <c r="AL192" s="158"/>
      <c r="AM192" s="158"/>
      <c r="AN192" s="158"/>
      <c r="AO192" s="158"/>
      <c r="AP192" s="158"/>
      <c r="AQ192" s="158"/>
      <c r="AR192" s="158"/>
      <c r="AS192" s="158"/>
      <c r="AT192" s="158"/>
      <c r="AU192" s="158"/>
      <c r="AV192" s="158"/>
      <c r="AW192" s="240"/>
      <c r="AX192" s="158"/>
      <c r="AY192" s="241"/>
      <c r="AZ192" s="24"/>
    </row>
    <row r="193">
      <c r="A193" s="242"/>
      <c r="B193" s="243"/>
      <c r="C193" s="244"/>
      <c r="D193" s="244"/>
      <c r="E193" s="244"/>
      <c r="F193" s="244"/>
      <c r="G193" s="245"/>
      <c r="H193" s="246"/>
      <c r="I193" s="247"/>
      <c r="J193" s="244"/>
      <c r="K193" s="244"/>
      <c r="L193" s="247"/>
      <c r="W193" s="242"/>
      <c r="X193" s="248"/>
      <c r="Y193" s="249"/>
      <c r="Z193" s="250"/>
      <c r="AA193" s="36"/>
      <c r="AB193" s="36"/>
      <c r="AC193" s="13"/>
      <c r="AD193" s="13"/>
      <c r="AE193" s="37"/>
      <c r="AF193" s="37"/>
      <c r="AG193" s="14"/>
      <c r="AH193" s="14"/>
      <c r="AI193" s="14"/>
      <c r="AZ193" s="24"/>
    </row>
    <row r="194">
      <c r="A194" s="242"/>
      <c r="B194" s="243"/>
      <c r="C194" s="244"/>
      <c r="D194" s="244"/>
      <c r="E194" s="244"/>
      <c r="F194" s="244"/>
      <c r="G194" s="245"/>
      <c r="H194" s="246"/>
      <c r="I194" s="247"/>
      <c r="J194" s="244"/>
      <c r="K194" s="244"/>
      <c r="L194" s="247"/>
      <c r="W194" s="242"/>
      <c r="X194" s="248"/>
      <c r="Y194" s="249"/>
      <c r="Z194" s="250"/>
      <c r="AA194" s="36"/>
      <c r="AB194" s="36"/>
      <c r="AC194" s="13"/>
      <c r="AD194" s="13"/>
      <c r="AE194" s="37"/>
      <c r="AF194" s="37"/>
      <c r="AG194" s="14"/>
      <c r="AH194" s="14"/>
      <c r="AI194" s="14"/>
      <c r="AZ194" s="24"/>
    </row>
    <row r="195">
      <c r="A195" s="242"/>
      <c r="B195" s="243"/>
      <c r="C195" s="244"/>
      <c r="D195" s="244"/>
      <c r="E195" s="244"/>
      <c r="F195" s="244"/>
      <c r="G195" s="245"/>
      <c r="H195" s="246"/>
      <c r="I195" s="247"/>
      <c r="J195" s="244"/>
      <c r="K195" s="244"/>
      <c r="L195" s="247"/>
      <c r="W195" s="242"/>
      <c r="X195" s="248"/>
      <c r="Y195" s="249"/>
      <c r="Z195" s="250"/>
      <c r="AA195" s="36"/>
      <c r="AB195" s="36"/>
      <c r="AC195" s="13"/>
      <c r="AD195" s="13"/>
      <c r="AE195" s="37"/>
      <c r="AF195" s="37"/>
      <c r="AG195" s="14"/>
      <c r="AH195" s="14"/>
      <c r="AI195" s="14"/>
      <c r="AZ195" s="24"/>
    </row>
    <row r="196">
      <c r="A196" s="383"/>
      <c r="B196" s="384"/>
      <c r="C196" s="251" t="s">
        <v>182</v>
      </c>
      <c r="D196" s="251">
        <v>80.0</v>
      </c>
      <c r="E196" s="252" t="s">
        <v>250</v>
      </c>
      <c r="F196" s="253"/>
      <c r="G196" s="254" t="s">
        <v>176</v>
      </c>
      <c r="H196" s="255"/>
      <c r="I196" s="256"/>
      <c r="J196" s="249" t="s">
        <v>80</v>
      </c>
      <c r="K196" s="253">
        <v>70.0</v>
      </c>
      <c r="L196" s="257" t="s">
        <v>251</v>
      </c>
      <c r="M196" s="257" t="s">
        <v>231</v>
      </c>
      <c r="N196" s="258"/>
      <c r="O196" s="258"/>
      <c r="P196" s="258"/>
      <c r="Q196" s="259"/>
      <c r="R196" s="259"/>
      <c r="S196" s="259"/>
      <c r="T196" s="259"/>
      <c r="U196" s="259"/>
      <c r="V196" s="260"/>
      <c r="W196" s="259"/>
      <c r="X196" s="261" t="s">
        <v>154</v>
      </c>
      <c r="Y196" s="261">
        <v>50.0</v>
      </c>
      <c r="Z196" s="262" t="s">
        <v>252</v>
      </c>
      <c r="AA196" s="263" t="s">
        <v>253</v>
      </c>
      <c r="AB196" s="258"/>
      <c r="AC196" s="13"/>
      <c r="AD196" s="13"/>
      <c r="AE196" s="37"/>
      <c r="AF196" s="37"/>
      <c r="AG196" s="14"/>
      <c r="AH196" s="14"/>
      <c r="AI196" s="14"/>
      <c r="AZ196" s="24"/>
    </row>
    <row r="197">
      <c r="A197" s="383"/>
      <c r="B197" s="384"/>
      <c r="C197" s="251" t="s">
        <v>112</v>
      </c>
      <c r="D197" s="251">
        <v>40.0</v>
      </c>
      <c r="E197" s="252" t="s">
        <v>254</v>
      </c>
      <c r="F197" s="253"/>
      <c r="G197" s="254" t="s">
        <v>249</v>
      </c>
      <c r="H197" s="255"/>
      <c r="I197" s="256"/>
      <c r="J197" s="249" t="s">
        <v>98</v>
      </c>
      <c r="K197" s="253">
        <v>80.0</v>
      </c>
      <c r="L197" s="257" t="s">
        <v>255</v>
      </c>
      <c r="M197" s="257" t="s">
        <v>235</v>
      </c>
      <c r="N197" s="258"/>
      <c r="O197" s="258"/>
      <c r="P197" s="258"/>
      <c r="Q197" s="259"/>
      <c r="R197" s="259"/>
      <c r="S197" s="259"/>
      <c r="T197" s="259"/>
      <c r="U197" s="259"/>
      <c r="V197" s="260"/>
      <c r="W197" s="259"/>
      <c r="X197" s="261" t="s">
        <v>167</v>
      </c>
      <c r="Y197" s="261" t="s">
        <v>256</v>
      </c>
      <c r="Z197" s="262" t="s">
        <v>257</v>
      </c>
      <c r="AA197" s="263" t="s">
        <v>258</v>
      </c>
      <c r="AB197" s="258"/>
      <c r="AC197" s="13"/>
      <c r="AD197" s="13"/>
      <c r="AE197" s="37"/>
      <c r="AF197" s="37"/>
      <c r="AG197" s="14"/>
      <c r="AH197" s="14"/>
      <c r="AI197" s="14"/>
      <c r="AZ197" s="24"/>
    </row>
    <row r="198">
      <c r="A198" s="383"/>
      <c r="B198" s="384"/>
      <c r="C198" s="251" t="s">
        <v>219</v>
      </c>
      <c r="D198" s="251">
        <v>90.0</v>
      </c>
      <c r="E198" s="252" t="s">
        <v>259</v>
      </c>
      <c r="F198" s="253"/>
      <c r="G198" s="254" t="s">
        <v>260</v>
      </c>
      <c r="H198" s="255"/>
      <c r="I198" s="256"/>
      <c r="J198" s="249" t="s">
        <v>183</v>
      </c>
      <c r="K198" s="253">
        <v>20.0</v>
      </c>
      <c r="L198" s="264" t="s">
        <v>261</v>
      </c>
      <c r="M198" s="257" t="s">
        <v>239</v>
      </c>
      <c r="N198" s="258"/>
      <c r="O198" s="258"/>
      <c r="P198" s="258"/>
      <c r="Q198" s="259"/>
      <c r="R198" s="259"/>
      <c r="S198" s="259"/>
      <c r="T198" s="259"/>
      <c r="U198" s="259"/>
      <c r="V198" s="259"/>
      <c r="W198" s="260"/>
      <c r="X198" s="261" t="s">
        <v>184</v>
      </c>
      <c r="Y198" s="261">
        <v>80.0</v>
      </c>
      <c r="Z198" s="262" t="s">
        <v>262</v>
      </c>
      <c r="AA198" s="263" t="s">
        <v>263</v>
      </c>
      <c r="AB198" s="258"/>
      <c r="AC198" s="13"/>
      <c r="AD198" s="13"/>
      <c r="AE198" s="37"/>
      <c r="AF198" s="37"/>
      <c r="AG198" s="14"/>
      <c r="AH198" s="14"/>
      <c r="AI198" s="14"/>
      <c r="AZ198" s="24"/>
    </row>
    <row r="199">
      <c r="A199" s="383"/>
      <c r="B199" s="384"/>
      <c r="C199" s="251" t="s">
        <v>213</v>
      </c>
      <c r="D199" s="251">
        <v>100.0</v>
      </c>
      <c r="E199" s="252" t="s">
        <v>264</v>
      </c>
      <c r="F199" s="253"/>
      <c r="G199" s="254" t="s">
        <v>265</v>
      </c>
      <c r="H199" s="255"/>
      <c r="I199" s="256"/>
      <c r="J199" s="249" t="s">
        <v>109</v>
      </c>
      <c r="K199" s="253">
        <v>30.0</v>
      </c>
      <c r="L199" s="264" t="s">
        <v>266</v>
      </c>
      <c r="M199" s="257" t="s">
        <v>96</v>
      </c>
      <c r="N199" s="258"/>
      <c r="O199" s="258"/>
      <c r="P199" s="258"/>
      <c r="Q199" s="259"/>
      <c r="R199" s="259"/>
      <c r="S199" s="259"/>
      <c r="T199" s="259"/>
      <c r="U199" s="259"/>
      <c r="V199" s="259"/>
      <c r="W199" s="260"/>
      <c r="X199" s="261" t="s">
        <v>190</v>
      </c>
      <c r="Y199" s="261">
        <v>50.0</v>
      </c>
      <c r="Z199" s="262" t="s">
        <v>267</v>
      </c>
      <c r="AA199" s="263" t="s">
        <v>268</v>
      </c>
      <c r="AB199" s="258"/>
      <c r="AC199" s="13"/>
      <c r="AD199" s="13"/>
      <c r="AE199" s="37"/>
      <c r="AF199" s="37"/>
      <c r="AG199" s="14"/>
      <c r="AH199" s="14"/>
      <c r="AI199" s="14"/>
      <c r="AZ199" s="24"/>
    </row>
    <row r="200">
      <c r="A200" s="383"/>
      <c r="B200" s="384"/>
      <c r="C200" s="251" t="s">
        <v>204</v>
      </c>
      <c r="D200" s="251">
        <v>110.0</v>
      </c>
      <c r="E200" s="252" t="s">
        <v>269</v>
      </c>
      <c r="F200" s="253"/>
      <c r="G200" s="254" t="s">
        <v>270</v>
      </c>
      <c r="H200" s="255"/>
      <c r="I200" s="256"/>
      <c r="J200" s="249" t="s">
        <v>116</v>
      </c>
      <c r="K200" s="253">
        <v>100.0</v>
      </c>
      <c r="L200" s="264" t="s">
        <v>271</v>
      </c>
      <c r="M200" s="257" t="s">
        <v>151</v>
      </c>
      <c r="N200" s="258"/>
      <c r="O200" s="258"/>
      <c r="P200" s="258"/>
      <c r="Q200" s="259"/>
      <c r="R200" s="259"/>
      <c r="S200" s="259"/>
      <c r="T200" s="259"/>
      <c r="U200" s="259"/>
      <c r="V200" s="259"/>
      <c r="W200" s="260"/>
      <c r="X200" s="261" t="s">
        <v>205</v>
      </c>
      <c r="Y200" s="261">
        <v>80.0</v>
      </c>
      <c r="Z200" s="262" t="s">
        <v>272</v>
      </c>
      <c r="AA200" s="263" t="s">
        <v>273</v>
      </c>
      <c r="AB200" s="258"/>
      <c r="AC200" s="13"/>
      <c r="AD200" s="13"/>
      <c r="AE200" s="37"/>
      <c r="AF200" s="37"/>
      <c r="AG200" s="14"/>
      <c r="AH200" s="14"/>
      <c r="AI200" s="14"/>
      <c r="AZ200" s="24"/>
    </row>
    <row r="201">
      <c r="A201" s="383"/>
      <c r="B201" s="384"/>
      <c r="C201" s="251" t="s">
        <v>198</v>
      </c>
      <c r="D201" s="251">
        <v>30.0</v>
      </c>
      <c r="E201" s="252" t="s">
        <v>274</v>
      </c>
      <c r="F201" s="253"/>
      <c r="G201" s="254" t="s">
        <v>248</v>
      </c>
      <c r="H201" s="255"/>
      <c r="I201" s="256"/>
      <c r="J201" s="249" t="s">
        <v>126</v>
      </c>
      <c r="K201" s="253">
        <v>90.0</v>
      </c>
      <c r="L201" s="264" t="s">
        <v>275</v>
      </c>
      <c r="M201" s="257" t="s">
        <v>162</v>
      </c>
      <c r="N201" s="258"/>
      <c r="O201" s="258"/>
      <c r="P201" s="258"/>
      <c r="Q201" s="259"/>
      <c r="R201" s="259"/>
      <c r="S201" s="259"/>
      <c r="T201" s="259"/>
      <c r="U201" s="259"/>
      <c r="V201" s="259"/>
      <c r="W201" s="260"/>
      <c r="X201" s="261" t="s">
        <v>215</v>
      </c>
      <c r="Y201" s="261">
        <v>80.0</v>
      </c>
      <c r="Z201" s="262" t="s">
        <v>276</v>
      </c>
      <c r="AA201" s="263" t="s">
        <v>277</v>
      </c>
      <c r="AB201" s="258"/>
      <c r="AC201" s="13"/>
      <c r="AD201" s="13"/>
      <c r="AE201" s="37"/>
      <c r="AF201" s="37"/>
      <c r="AG201" s="14"/>
      <c r="AH201" s="14"/>
      <c r="AI201" s="14"/>
      <c r="AZ201" s="24"/>
    </row>
    <row r="202">
      <c r="A202" s="383"/>
      <c r="B202" s="384"/>
      <c r="C202" s="251" t="s">
        <v>115</v>
      </c>
      <c r="D202" s="251">
        <v>20.0</v>
      </c>
      <c r="E202" s="252" t="s">
        <v>278</v>
      </c>
      <c r="F202" s="253"/>
      <c r="G202" s="254" t="s">
        <v>187</v>
      </c>
      <c r="H202" s="255"/>
      <c r="I202" s="256"/>
      <c r="J202" s="249" t="s">
        <v>111</v>
      </c>
      <c r="K202" s="253">
        <v>0.0</v>
      </c>
      <c r="L202" s="264" t="s">
        <v>279</v>
      </c>
      <c r="M202" s="257" t="s">
        <v>179</v>
      </c>
      <c r="N202" s="258"/>
      <c r="O202" s="258"/>
      <c r="P202" s="258"/>
      <c r="Q202" s="259"/>
      <c r="R202" s="259"/>
      <c r="S202" s="259"/>
      <c r="T202" s="259"/>
      <c r="U202" s="259"/>
      <c r="V202" s="259"/>
      <c r="W202" s="260"/>
      <c r="X202" s="261" t="s">
        <v>220</v>
      </c>
      <c r="Y202" s="261">
        <v>10.0</v>
      </c>
      <c r="Z202" s="262" t="s">
        <v>280</v>
      </c>
      <c r="AA202" s="263" t="s">
        <v>281</v>
      </c>
      <c r="AB202" s="258"/>
      <c r="AC202" s="13"/>
      <c r="AD202" s="13"/>
      <c r="AE202" s="37"/>
      <c r="AF202" s="37"/>
      <c r="AG202" s="14"/>
      <c r="AH202" s="14"/>
      <c r="AI202" s="14"/>
      <c r="AZ202" s="24"/>
    </row>
    <row r="203">
      <c r="A203" s="383"/>
      <c r="B203" s="384"/>
      <c r="C203" s="251" t="s">
        <v>108</v>
      </c>
      <c r="D203" s="251">
        <v>10.0</v>
      </c>
      <c r="E203" s="252" t="s">
        <v>282</v>
      </c>
      <c r="F203" s="253"/>
      <c r="G203" s="254" t="s">
        <v>78</v>
      </c>
      <c r="H203" s="255"/>
      <c r="I203" s="256"/>
      <c r="J203" s="249" t="s">
        <v>69</v>
      </c>
      <c r="K203" s="253">
        <v>90.0</v>
      </c>
      <c r="L203" s="264" t="s">
        <v>283</v>
      </c>
      <c r="M203" s="257" t="s">
        <v>188</v>
      </c>
      <c r="N203" s="258"/>
      <c r="O203" s="258"/>
      <c r="P203" s="258"/>
      <c r="Q203" s="259"/>
      <c r="R203" s="259"/>
      <c r="S203" s="259"/>
      <c r="T203" s="259"/>
      <c r="U203" s="259"/>
      <c r="V203" s="259"/>
      <c r="W203" s="260"/>
      <c r="X203" s="261" t="s">
        <v>225</v>
      </c>
      <c r="Y203" s="261">
        <v>20.0</v>
      </c>
      <c r="Z203" s="262" t="s">
        <v>284</v>
      </c>
      <c r="AA203" s="263" t="s">
        <v>285</v>
      </c>
      <c r="AB203" s="258"/>
      <c r="AC203" s="13"/>
      <c r="AD203" s="13"/>
      <c r="AE203" s="37"/>
      <c r="AF203" s="37"/>
      <c r="AG203" s="14"/>
      <c r="AH203" s="14"/>
      <c r="AI203" s="14"/>
      <c r="AZ203" s="24"/>
    </row>
    <row r="204">
      <c r="A204" s="383"/>
      <c r="B204" s="384"/>
      <c r="C204" s="251" t="s">
        <v>164</v>
      </c>
      <c r="D204" s="251">
        <v>50.0</v>
      </c>
      <c r="E204" s="252" t="s">
        <v>286</v>
      </c>
      <c r="F204" s="253"/>
      <c r="G204" s="254" t="s">
        <v>216</v>
      </c>
      <c r="H204" s="255"/>
      <c r="I204" s="256"/>
      <c r="J204" s="249" t="s">
        <v>212</v>
      </c>
      <c r="K204" s="253">
        <v>50.0</v>
      </c>
      <c r="L204" s="264" t="s">
        <v>287</v>
      </c>
      <c r="M204" s="257" t="s">
        <v>211</v>
      </c>
      <c r="N204" s="258"/>
      <c r="O204" s="258"/>
      <c r="P204" s="258"/>
      <c r="Q204" s="259"/>
      <c r="R204" s="259"/>
      <c r="S204" s="259"/>
      <c r="T204" s="259"/>
      <c r="U204" s="259"/>
      <c r="V204" s="259"/>
      <c r="W204" s="260"/>
      <c r="X204" s="261" t="s">
        <v>229</v>
      </c>
      <c r="Y204" s="261">
        <v>100.0</v>
      </c>
      <c r="Z204" s="262" t="s">
        <v>288</v>
      </c>
      <c r="AA204" s="263" t="s">
        <v>104</v>
      </c>
      <c r="AB204" s="258"/>
      <c r="AC204" s="13"/>
      <c r="AD204" s="13"/>
      <c r="AE204" s="37"/>
      <c r="AF204" s="37"/>
      <c r="AG204" s="14"/>
      <c r="AH204" s="14"/>
      <c r="AI204" s="14"/>
      <c r="AZ204" s="24"/>
    </row>
    <row r="205">
      <c r="A205" s="383"/>
      <c r="B205" s="384"/>
      <c r="C205" s="251" t="s">
        <v>114</v>
      </c>
      <c r="D205" s="251">
        <v>0.0</v>
      </c>
      <c r="E205" s="252" t="s">
        <v>289</v>
      </c>
      <c r="F205" s="253"/>
      <c r="G205" s="254" t="s">
        <v>221</v>
      </c>
      <c r="H205" s="255"/>
      <c r="I205" s="256"/>
      <c r="J205" s="249" t="s">
        <v>218</v>
      </c>
      <c r="K205" s="253">
        <v>40.0</v>
      </c>
      <c r="L205" s="264" t="s">
        <v>290</v>
      </c>
      <c r="M205" s="257" t="s">
        <v>217</v>
      </c>
      <c r="N205" s="258"/>
      <c r="O205" s="258"/>
      <c r="P205" s="258"/>
      <c r="Q205" s="259"/>
      <c r="R205" s="259"/>
      <c r="S205" s="259"/>
      <c r="T205" s="259"/>
      <c r="U205" s="259"/>
      <c r="V205" s="259"/>
      <c r="W205" s="260"/>
      <c r="X205" s="261" t="s">
        <v>232</v>
      </c>
      <c r="Y205" s="261" t="s">
        <v>256</v>
      </c>
      <c r="Z205" s="262" t="s">
        <v>291</v>
      </c>
      <c r="AA205" s="263" t="s">
        <v>292</v>
      </c>
      <c r="AB205" s="258"/>
      <c r="AC205" s="13"/>
      <c r="AD205" s="13"/>
      <c r="AE205" s="37"/>
      <c r="AF205" s="37"/>
      <c r="AG205" s="14"/>
      <c r="AH205" s="14"/>
      <c r="AI205" s="14"/>
      <c r="AZ205" s="24"/>
    </row>
    <row r="206">
      <c r="A206" s="383"/>
      <c r="B206" s="384"/>
      <c r="C206" s="251" t="s">
        <v>110</v>
      </c>
      <c r="D206" s="251">
        <v>60.0</v>
      </c>
      <c r="E206" s="252" t="s">
        <v>293</v>
      </c>
      <c r="F206" s="253"/>
      <c r="G206" s="254" t="s">
        <v>294</v>
      </c>
      <c r="H206" s="255"/>
      <c r="I206" s="256"/>
      <c r="J206" s="249" t="s">
        <v>214</v>
      </c>
      <c r="K206" s="253">
        <v>60.0</v>
      </c>
      <c r="L206" s="264" t="s">
        <v>295</v>
      </c>
      <c r="M206" s="257" t="s">
        <v>223</v>
      </c>
      <c r="N206" s="258"/>
      <c r="O206" s="258"/>
      <c r="P206" s="258"/>
      <c r="Q206" s="259"/>
      <c r="R206" s="259"/>
      <c r="S206" s="259"/>
      <c r="T206" s="259"/>
      <c r="U206" s="259"/>
      <c r="V206" s="259"/>
      <c r="W206" s="260"/>
      <c r="X206" s="261" t="s">
        <v>236</v>
      </c>
      <c r="Y206" s="261">
        <v>80.0</v>
      </c>
      <c r="Z206" s="262" t="s">
        <v>296</v>
      </c>
      <c r="AA206" s="263" t="s">
        <v>1</v>
      </c>
      <c r="AB206" s="258"/>
      <c r="AC206" s="13"/>
      <c r="AD206" s="13"/>
      <c r="AE206" s="37"/>
      <c r="AF206" s="37"/>
      <c r="AG206" s="14"/>
      <c r="AH206" s="14"/>
      <c r="AI206" s="14"/>
      <c r="AZ206" s="24"/>
    </row>
    <row r="207">
      <c r="A207" s="383"/>
      <c r="B207" s="384"/>
      <c r="C207" s="251" t="s">
        <v>165</v>
      </c>
      <c r="D207" s="251">
        <v>70.0</v>
      </c>
      <c r="E207" s="252" t="s">
        <v>297</v>
      </c>
      <c r="F207" s="253"/>
      <c r="G207" s="254" t="s">
        <v>298</v>
      </c>
      <c r="H207" s="255"/>
      <c r="I207" s="256"/>
      <c r="J207" s="249" t="s">
        <v>113</v>
      </c>
      <c r="K207" s="253">
        <v>10.0</v>
      </c>
      <c r="L207" s="264" t="s">
        <v>299</v>
      </c>
      <c r="M207" s="257" t="s">
        <v>228</v>
      </c>
      <c r="N207" s="258"/>
      <c r="O207" s="258"/>
      <c r="P207" s="258"/>
      <c r="Q207" s="259"/>
      <c r="R207" s="259"/>
      <c r="S207" s="259"/>
      <c r="T207" s="259"/>
      <c r="U207" s="259"/>
      <c r="V207" s="259"/>
      <c r="W207" s="260"/>
      <c r="X207" s="261" t="s">
        <v>127</v>
      </c>
      <c r="Y207" s="261" t="s">
        <v>256</v>
      </c>
      <c r="Z207" s="262" t="s">
        <v>300</v>
      </c>
      <c r="AA207" s="263" t="s">
        <v>301</v>
      </c>
      <c r="AB207" s="258"/>
      <c r="AC207" s="13"/>
      <c r="AD207" s="13"/>
      <c r="AE207" s="37"/>
      <c r="AF207" s="37"/>
      <c r="AG207" s="14"/>
      <c r="AH207" s="14"/>
      <c r="AI207" s="14"/>
      <c r="AZ207" s="24"/>
    </row>
    <row r="208">
      <c r="B208" s="24"/>
      <c r="G208" s="128"/>
      <c r="H208" s="128"/>
      <c r="I208" s="128"/>
      <c r="J208" s="128"/>
      <c r="K208" s="265"/>
      <c r="M208" s="128"/>
      <c r="Y208" s="315"/>
      <c r="Z208" s="315"/>
      <c r="AA208" s="36"/>
      <c r="AB208" s="36"/>
      <c r="AC208" s="13"/>
      <c r="AD208" s="13"/>
      <c r="AE208" s="37"/>
      <c r="AF208" s="37"/>
      <c r="AG208" s="14"/>
      <c r="AH208" s="14"/>
      <c r="AI208" s="14"/>
      <c r="AZ208" s="24"/>
    </row>
    <row r="209">
      <c r="B209" s="24"/>
      <c r="G209" s="128"/>
      <c r="H209" s="128"/>
      <c r="I209" s="128"/>
      <c r="J209" s="128"/>
      <c r="K209" s="265"/>
      <c r="M209" s="128"/>
      <c r="Y209" s="10"/>
      <c r="Z209" s="11"/>
      <c r="AA209" s="36"/>
      <c r="AB209" s="36"/>
      <c r="AC209" s="13"/>
      <c r="AD209" s="13"/>
      <c r="AE209" s="37"/>
      <c r="AF209" s="37"/>
      <c r="AG209" s="14"/>
      <c r="AH209" s="14"/>
      <c r="AI209" s="14"/>
      <c r="AZ209" s="24"/>
    </row>
    <row r="210">
      <c r="B210" s="24"/>
      <c r="G210" s="128"/>
      <c r="H210" s="128"/>
      <c r="I210" s="128"/>
      <c r="J210" s="385"/>
      <c r="K210" s="385"/>
      <c r="L210" s="338"/>
      <c r="M210" s="386"/>
      <c r="N210" s="387"/>
      <c r="O210" s="387"/>
      <c r="P210" s="387"/>
      <c r="Y210" s="10"/>
      <c r="Z210" s="11"/>
      <c r="AA210" s="36"/>
      <c r="AB210" s="36"/>
      <c r="AC210" s="13"/>
      <c r="AD210" s="13"/>
      <c r="AE210" s="37"/>
      <c r="AF210" s="37"/>
      <c r="AG210" s="14"/>
      <c r="AH210" s="14"/>
      <c r="AI210" s="14"/>
      <c r="AZ210" s="24"/>
    </row>
    <row r="211">
      <c r="B211" s="24"/>
      <c r="G211" s="128"/>
      <c r="H211" s="128"/>
      <c r="I211" s="128"/>
      <c r="J211" s="385"/>
      <c r="K211" s="385"/>
      <c r="L211" s="338"/>
      <c r="M211" s="386"/>
      <c r="N211" s="387"/>
      <c r="O211" s="387"/>
      <c r="P211" s="387"/>
      <c r="Y211" s="10"/>
      <c r="Z211" s="11"/>
      <c r="AA211" s="36"/>
      <c r="AB211" s="36"/>
      <c r="AC211" s="13"/>
      <c r="AD211" s="13"/>
      <c r="AE211" s="37"/>
      <c r="AF211" s="37"/>
      <c r="AG211" s="14"/>
      <c r="AH211" s="14"/>
      <c r="AI211" s="14"/>
      <c r="AZ211" s="24"/>
    </row>
    <row r="212">
      <c r="B212" s="24"/>
      <c r="G212" s="128"/>
      <c r="H212" s="128"/>
      <c r="I212" s="128"/>
      <c r="J212" s="385"/>
      <c r="K212" s="385"/>
      <c r="L212" s="338"/>
      <c r="M212" s="386"/>
      <c r="N212" s="387"/>
      <c r="O212" s="387"/>
      <c r="P212" s="387"/>
      <c r="Y212" s="10"/>
      <c r="Z212" s="11"/>
      <c r="AA212" s="36"/>
      <c r="AB212" s="36"/>
      <c r="AC212" s="13"/>
      <c r="AD212" s="13"/>
      <c r="AE212" s="37"/>
      <c r="AF212" s="37"/>
      <c r="AG212" s="14"/>
      <c r="AH212" s="14"/>
      <c r="AI212" s="14"/>
      <c r="AZ212" s="24"/>
    </row>
    <row r="213">
      <c r="B213" s="24"/>
      <c r="G213" s="128"/>
      <c r="H213" s="128"/>
      <c r="I213" s="128"/>
      <c r="J213" s="385"/>
      <c r="K213" s="385"/>
      <c r="L213" s="338"/>
      <c r="M213" s="386"/>
      <c r="N213" s="387"/>
      <c r="O213" s="387"/>
      <c r="P213" s="387"/>
      <c r="Y213" s="10"/>
      <c r="Z213" s="11"/>
      <c r="AA213" s="36"/>
      <c r="AB213" s="36"/>
      <c r="AC213" s="13"/>
      <c r="AD213" s="13"/>
      <c r="AE213" s="37"/>
      <c r="AF213" s="37"/>
      <c r="AG213" s="14"/>
      <c r="AH213" s="14"/>
      <c r="AI213" s="14"/>
      <c r="AZ213" s="24"/>
    </row>
    <row r="214">
      <c r="B214" s="24"/>
      <c r="G214" s="128"/>
      <c r="H214" s="128"/>
      <c r="I214" s="128"/>
      <c r="J214" s="385"/>
      <c r="K214" s="385"/>
      <c r="L214" s="338"/>
      <c r="M214" s="386"/>
      <c r="N214" s="387"/>
      <c r="O214" s="387"/>
      <c r="P214" s="387"/>
      <c r="Y214" s="10"/>
      <c r="Z214" s="11"/>
      <c r="AA214" s="36"/>
      <c r="AB214" s="36"/>
      <c r="AC214" s="13"/>
      <c r="AD214" s="13"/>
      <c r="AE214" s="37"/>
      <c r="AF214" s="37"/>
      <c r="AG214" s="14"/>
      <c r="AH214" s="14"/>
      <c r="AI214" s="14"/>
      <c r="AZ214" s="24"/>
    </row>
    <row r="215">
      <c r="B215" s="24"/>
      <c r="J215" s="385"/>
      <c r="K215" s="385"/>
      <c r="L215" s="338"/>
      <c r="M215" s="386"/>
      <c r="N215" s="387"/>
      <c r="O215" s="387"/>
      <c r="P215" s="387"/>
      <c r="Y215" s="10"/>
      <c r="Z215" s="11"/>
      <c r="AA215" s="36"/>
      <c r="AB215" s="36"/>
      <c r="AC215" s="13"/>
      <c r="AD215" s="13"/>
      <c r="AE215" s="37"/>
      <c r="AF215" s="37"/>
      <c r="AG215" s="14"/>
      <c r="AH215" s="14"/>
      <c r="AI215" s="14"/>
      <c r="AZ215" s="24"/>
    </row>
    <row r="216">
      <c r="B216" s="24"/>
      <c r="J216" s="385"/>
      <c r="K216" s="385"/>
      <c r="L216" s="338"/>
      <c r="M216" s="386"/>
      <c r="N216" s="387"/>
      <c r="O216" s="387"/>
      <c r="P216" s="387"/>
      <c r="Y216" s="10"/>
      <c r="Z216" s="11"/>
      <c r="AA216" s="36"/>
      <c r="AB216" s="36"/>
      <c r="AC216" s="13"/>
      <c r="AD216" s="13"/>
      <c r="AE216" s="37"/>
      <c r="AF216" s="37"/>
      <c r="AG216" s="14"/>
      <c r="AH216" s="14"/>
      <c r="AI216" s="14"/>
      <c r="AZ216" s="24"/>
    </row>
    <row r="217">
      <c r="B217" s="24"/>
      <c r="J217" s="385"/>
      <c r="K217" s="385"/>
      <c r="L217" s="338"/>
      <c r="M217" s="386"/>
      <c r="N217" s="387"/>
      <c r="O217" s="387"/>
      <c r="P217" s="387"/>
      <c r="Y217" s="10"/>
      <c r="Z217" s="11"/>
      <c r="AA217" s="36"/>
      <c r="AB217" s="36"/>
      <c r="AC217" s="13"/>
      <c r="AD217" s="13"/>
      <c r="AE217" s="37"/>
      <c r="AF217" s="37"/>
      <c r="AG217" s="14"/>
      <c r="AH217" s="14"/>
      <c r="AI217" s="14"/>
      <c r="AZ217" s="24"/>
    </row>
    <row r="218">
      <c r="B218" s="24"/>
      <c r="J218" s="385"/>
      <c r="K218" s="385"/>
      <c r="L218" s="338"/>
      <c r="M218" s="386"/>
      <c r="N218" s="387"/>
      <c r="O218" s="387"/>
      <c r="P218" s="387"/>
      <c r="Y218" s="10"/>
      <c r="Z218" s="11"/>
      <c r="AA218" s="36"/>
      <c r="AB218" s="36"/>
      <c r="AC218" s="13"/>
      <c r="AD218" s="13"/>
      <c r="AE218" s="37"/>
      <c r="AF218" s="37"/>
      <c r="AG218" s="14"/>
      <c r="AH218" s="14"/>
      <c r="AI218" s="14"/>
      <c r="AZ218" s="24"/>
    </row>
    <row r="219">
      <c r="B219" s="24"/>
      <c r="J219" s="385"/>
      <c r="K219" s="385"/>
      <c r="L219" s="338"/>
      <c r="M219" s="386"/>
      <c r="N219" s="387"/>
      <c r="O219" s="387"/>
      <c r="P219" s="387"/>
      <c r="Y219" s="10"/>
      <c r="Z219" s="11"/>
      <c r="AA219" s="36"/>
      <c r="AB219" s="36"/>
      <c r="AC219" s="13"/>
      <c r="AD219" s="13"/>
      <c r="AE219" s="37"/>
      <c r="AF219" s="37"/>
      <c r="AG219" s="14"/>
      <c r="AH219" s="14"/>
      <c r="AI219" s="14"/>
      <c r="AZ219" s="24"/>
    </row>
    <row r="220">
      <c r="B220" s="24"/>
      <c r="J220" s="385"/>
      <c r="K220" s="385"/>
      <c r="L220" s="338"/>
      <c r="M220" s="386"/>
      <c r="N220" s="387"/>
      <c r="O220" s="387"/>
      <c r="P220" s="387"/>
      <c r="Y220" s="10"/>
      <c r="Z220" s="11"/>
      <c r="AA220" s="36"/>
      <c r="AB220" s="36"/>
      <c r="AC220" s="13"/>
      <c r="AD220" s="13"/>
      <c r="AE220" s="37"/>
      <c r="AF220" s="37"/>
      <c r="AG220" s="14"/>
      <c r="AH220" s="14"/>
      <c r="AI220" s="14"/>
      <c r="AZ220" s="24"/>
    </row>
    <row r="221">
      <c r="B221" s="24"/>
      <c r="J221" s="385"/>
      <c r="K221" s="385"/>
      <c r="L221" s="338"/>
      <c r="M221" s="386"/>
      <c r="N221" s="387"/>
      <c r="O221" s="387"/>
      <c r="P221" s="387"/>
      <c r="Y221" s="10"/>
      <c r="Z221" s="11"/>
      <c r="AA221" s="36"/>
      <c r="AB221" s="36"/>
      <c r="AC221" s="13"/>
      <c r="AD221" s="13"/>
      <c r="AE221" s="37"/>
      <c r="AF221" s="37"/>
      <c r="AG221" s="14"/>
      <c r="AH221" s="14"/>
      <c r="AI221" s="14"/>
      <c r="AZ221" s="24"/>
    </row>
    <row r="222">
      <c r="B222" s="24"/>
      <c r="K222" s="36"/>
      <c r="M222" s="128"/>
      <c r="Y222" s="10"/>
      <c r="Z222" s="11"/>
      <c r="AA222" s="36"/>
      <c r="AB222" s="36"/>
      <c r="AC222" s="13"/>
      <c r="AD222" s="13"/>
      <c r="AE222" s="37"/>
      <c r="AF222" s="37"/>
      <c r="AG222" s="14"/>
      <c r="AH222" s="14"/>
      <c r="AI222" s="14"/>
      <c r="AZ222" s="24"/>
    </row>
    <row r="223">
      <c r="B223" s="24"/>
      <c r="K223" s="36"/>
      <c r="M223" s="128"/>
      <c r="Y223" s="10"/>
      <c r="Z223" s="11"/>
      <c r="AA223" s="36"/>
      <c r="AB223" s="36"/>
      <c r="AC223" s="13"/>
      <c r="AD223" s="13"/>
      <c r="AE223" s="37"/>
      <c r="AF223" s="37"/>
      <c r="AG223" s="14"/>
      <c r="AH223" s="14"/>
      <c r="AI223" s="14"/>
      <c r="AZ223" s="24"/>
    </row>
    <row r="224">
      <c r="B224" s="24"/>
      <c r="K224" s="36"/>
      <c r="M224" s="128"/>
      <c r="Y224" s="10"/>
      <c r="Z224" s="11"/>
      <c r="AA224" s="36"/>
      <c r="AB224" s="36"/>
      <c r="AC224" s="13"/>
      <c r="AD224" s="13"/>
      <c r="AE224" s="37"/>
      <c r="AF224" s="37"/>
      <c r="AG224" s="14"/>
      <c r="AH224" s="14"/>
      <c r="AI224" s="14"/>
      <c r="AZ224" s="24"/>
    </row>
    <row r="225">
      <c r="B225" s="24"/>
      <c r="K225" s="36"/>
      <c r="M225" s="128"/>
      <c r="Y225" s="10"/>
      <c r="Z225" s="11"/>
      <c r="AA225" s="36"/>
      <c r="AB225" s="36"/>
      <c r="AC225" s="13"/>
      <c r="AD225" s="13"/>
      <c r="AE225" s="37"/>
      <c r="AF225" s="37"/>
      <c r="AG225" s="14"/>
      <c r="AH225" s="14"/>
      <c r="AI225" s="14"/>
      <c r="AZ225" s="24"/>
    </row>
    <row r="226">
      <c r="B226" s="24"/>
      <c r="K226" s="36"/>
      <c r="M226" s="128"/>
      <c r="Y226" s="10"/>
      <c r="Z226" s="11"/>
      <c r="AA226" s="36"/>
      <c r="AB226" s="36"/>
      <c r="AC226" s="13"/>
      <c r="AD226" s="13"/>
      <c r="AE226" s="37"/>
      <c r="AF226" s="37"/>
      <c r="AG226" s="14"/>
      <c r="AH226" s="14"/>
      <c r="AI226" s="14"/>
      <c r="AZ226" s="24"/>
    </row>
    <row r="227">
      <c r="B227" s="24"/>
      <c r="K227" s="36"/>
      <c r="M227" s="128"/>
      <c r="Y227" s="10"/>
      <c r="Z227" s="11"/>
      <c r="AA227" s="36"/>
      <c r="AB227" s="36"/>
      <c r="AC227" s="13"/>
      <c r="AD227" s="13"/>
      <c r="AE227" s="37"/>
      <c r="AF227" s="37"/>
      <c r="AG227" s="14"/>
      <c r="AH227" s="14"/>
      <c r="AI227" s="14"/>
      <c r="AZ227" s="24"/>
    </row>
    <row r="228">
      <c r="B228" s="24"/>
      <c r="K228" s="36"/>
      <c r="M228" s="128"/>
      <c r="Y228" s="10"/>
      <c r="Z228" s="11"/>
      <c r="AA228" s="36"/>
      <c r="AB228" s="36"/>
      <c r="AC228" s="13"/>
      <c r="AD228" s="13"/>
      <c r="AE228" s="37"/>
      <c r="AF228" s="37"/>
      <c r="AG228" s="14"/>
      <c r="AH228" s="14"/>
      <c r="AI228" s="14"/>
      <c r="AZ228" s="24"/>
    </row>
    <row r="229">
      <c r="B229" s="24"/>
      <c r="K229" s="36"/>
      <c r="M229" s="128"/>
      <c r="Y229" s="10"/>
      <c r="Z229" s="11"/>
      <c r="AA229" s="36"/>
      <c r="AB229" s="36"/>
      <c r="AC229" s="13"/>
      <c r="AD229" s="13"/>
      <c r="AE229" s="37"/>
      <c r="AF229" s="37"/>
      <c r="AG229" s="14"/>
      <c r="AH229" s="14"/>
      <c r="AI229" s="14"/>
      <c r="AZ229" s="24"/>
    </row>
    <row r="230">
      <c r="B230" s="24"/>
      <c r="K230" s="36"/>
      <c r="M230" s="128"/>
      <c r="Y230" s="10"/>
      <c r="Z230" s="11"/>
      <c r="AA230" s="36"/>
      <c r="AB230" s="36"/>
      <c r="AC230" s="13"/>
      <c r="AD230" s="13"/>
      <c r="AE230" s="37"/>
      <c r="AF230" s="37"/>
      <c r="AG230" s="14"/>
      <c r="AH230" s="14"/>
      <c r="AI230" s="14"/>
      <c r="AZ230" s="24"/>
    </row>
    <row r="231">
      <c r="B231" s="24"/>
      <c r="K231" s="36"/>
      <c r="M231" s="128"/>
      <c r="Y231" s="10"/>
      <c r="Z231" s="11"/>
      <c r="AA231" s="36"/>
      <c r="AB231" s="36"/>
      <c r="AC231" s="13"/>
      <c r="AD231" s="13"/>
      <c r="AE231" s="37"/>
      <c r="AF231" s="37"/>
      <c r="AG231" s="14"/>
      <c r="AH231" s="14"/>
      <c r="AI231" s="14"/>
      <c r="AZ231" s="24"/>
    </row>
    <row r="232">
      <c r="B232" s="24"/>
      <c r="K232" s="36"/>
      <c r="M232" s="128"/>
      <c r="Y232" s="10"/>
      <c r="Z232" s="11"/>
      <c r="AA232" s="36"/>
      <c r="AB232" s="36"/>
      <c r="AC232" s="13"/>
      <c r="AD232" s="13"/>
      <c r="AE232" s="37"/>
      <c r="AF232" s="37"/>
      <c r="AG232" s="14"/>
      <c r="AH232" s="14"/>
      <c r="AI232" s="14"/>
      <c r="AZ232" s="24"/>
    </row>
    <row r="233">
      <c r="B233" s="24"/>
      <c r="K233" s="36"/>
      <c r="M233" s="128"/>
      <c r="Y233" s="10"/>
      <c r="Z233" s="11"/>
      <c r="AA233" s="36"/>
      <c r="AB233" s="36"/>
      <c r="AC233" s="13"/>
      <c r="AD233" s="13"/>
      <c r="AE233" s="37"/>
      <c r="AF233" s="37"/>
      <c r="AG233" s="14"/>
      <c r="AH233" s="14"/>
      <c r="AI233" s="14"/>
      <c r="AZ233" s="24"/>
    </row>
    <row r="234">
      <c r="B234" s="24"/>
      <c r="K234" s="36"/>
      <c r="M234" s="128"/>
      <c r="Y234" s="10"/>
      <c r="Z234" s="11"/>
      <c r="AA234" s="36"/>
      <c r="AB234" s="36"/>
      <c r="AC234" s="13"/>
      <c r="AD234" s="13"/>
      <c r="AE234" s="37"/>
      <c r="AF234" s="37"/>
      <c r="AG234" s="14"/>
      <c r="AH234" s="14"/>
      <c r="AI234" s="14"/>
      <c r="AZ234" s="24"/>
    </row>
    <row r="235">
      <c r="B235" s="24"/>
      <c r="K235" s="36"/>
      <c r="M235" s="128"/>
      <c r="Y235" s="10"/>
      <c r="Z235" s="11"/>
      <c r="AA235" s="36"/>
      <c r="AB235" s="36"/>
      <c r="AC235" s="13"/>
      <c r="AD235" s="13"/>
      <c r="AE235" s="37"/>
      <c r="AF235" s="37"/>
      <c r="AG235" s="14"/>
      <c r="AH235" s="14"/>
      <c r="AI235" s="14"/>
      <c r="AZ235" s="24"/>
    </row>
    <row r="236">
      <c r="B236" s="24"/>
      <c r="K236" s="36"/>
      <c r="M236" s="128"/>
      <c r="Y236" s="10"/>
      <c r="Z236" s="11"/>
      <c r="AA236" s="36"/>
      <c r="AB236" s="36"/>
      <c r="AC236" s="13"/>
      <c r="AD236" s="13"/>
      <c r="AE236" s="37"/>
      <c r="AF236" s="37"/>
      <c r="AG236" s="14"/>
      <c r="AH236" s="14"/>
      <c r="AI236" s="14"/>
      <c r="AZ236" s="24"/>
    </row>
    <row r="237">
      <c r="B237" s="24"/>
      <c r="K237" s="36"/>
      <c r="M237" s="128"/>
      <c r="Y237" s="10"/>
      <c r="Z237" s="11"/>
      <c r="AA237" s="36"/>
      <c r="AB237" s="36"/>
      <c r="AC237" s="13"/>
      <c r="AD237" s="13"/>
      <c r="AE237" s="37"/>
      <c r="AF237" s="37"/>
      <c r="AG237" s="14"/>
      <c r="AH237" s="14"/>
      <c r="AI237" s="14"/>
      <c r="AZ237" s="24"/>
    </row>
    <row r="238">
      <c r="B238" s="24"/>
      <c r="K238" s="36"/>
      <c r="M238" s="128"/>
      <c r="Y238" s="10"/>
      <c r="Z238" s="11"/>
      <c r="AA238" s="36"/>
      <c r="AB238" s="36"/>
      <c r="AC238" s="13"/>
      <c r="AD238" s="13"/>
      <c r="AE238" s="37"/>
      <c r="AF238" s="37"/>
      <c r="AG238" s="14"/>
      <c r="AH238" s="14"/>
      <c r="AI238" s="14"/>
      <c r="AZ238" s="24"/>
    </row>
    <row r="239">
      <c r="B239" s="24"/>
      <c r="K239" s="36"/>
      <c r="M239" s="128"/>
      <c r="Y239" s="10"/>
      <c r="Z239" s="11"/>
      <c r="AA239" s="36"/>
      <c r="AB239" s="36"/>
      <c r="AC239" s="13"/>
      <c r="AD239" s="13"/>
      <c r="AE239" s="37"/>
      <c r="AF239" s="37"/>
      <c r="AG239" s="14"/>
      <c r="AH239" s="14"/>
      <c r="AI239" s="14"/>
      <c r="AZ239" s="24"/>
    </row>
    <row r="240">
      <c r="B240" s="24"/>
      <c r="K240" s="36"/>
      <c r="M240" s="128"/>
      <c r="Y240" s="10"/>
      <c r="Z240" s="11"/>
      <c r="AA240" s="36"/>
      <c r="AB240" s="36"/>
      <c r="AC240" s="13"/>
      <c r="AD240" s="13"/>
      <c r="AE240" s="37"/>
      <c r="AF240" s="37"/>
      <c r="AG240" s="14"/>
      <c r="AH240" s="14"/>
      <c r="AI240" s="14"/>
      <c r="AZ240" s="24"/>
    </row>
    <row r="241">
      <c r="B241" s="24"/>
      <c r="K241" s="36"/>
      <c r="M241" s="128"/>
      <c r="Y241" s="10"/>
      <c r="Z241" s="11"/>
      <c r="AA241" s="36"/>
      <c r="AB241" s="36"/>
      <c r="AC241" s="13"/>
      <c r="AD241" s="13"/>
      <c r="AE241" s="37"/>
      <c r="AF241" s="37"/>
      <c r="AG241" s="14"/>
      <c r="AH241" s="14"/>
      <c r="AI241" s="14"/>
      <c r="AZ241" s="24"/>
    </row>
    <row r="242">
      <c r="B242" s="24"/>
      <c r="K242" s="36"/>
      <c r="M242" s="128"/>
      <c r="Y242" s="10"/>
      <c r="Z242" s="11"/>
      <c r="AA242" s="36"/>
      <c r="AB242" s="36"/>
      <c r="AC242" s="13"/>
      <c r="AD242" s="13"/>
      <c r="AE242" s="37"/>
      <c r="AF242" s="37"/>
      <c r="AG242" s="14"/>
      <c r="AH242" s="14"/>
      <c r="AI242" s="14"/>
      <c r="AZ242" s="24"/>
    </row>
    <row r="243">
      <c r="B243" s="24"/>
      <c r="K243" s="36"/>
      <c r="M243" s="128"/>
      <c r="Y243" s="10"/>
      <c r="Z243" s="11"/>
      <c r="AA243" s="36"/>
      <c r="AB243" s="36"/>
      <c r="AC243" s="13"/>
      <c r="AD243" s="13"/>
      <c r="AE243" s="37"/>
      <c r="AF243" s="37"/>
      <c r="AG243" s="14"/>
      <c r="AH243" s="14"/>
      <c r="AI243" s="14"/>
      <c r="AZ243" s="24"/>
    </row>
    <row r="244">
      <c r="B244" s="24"/>
      <c r="K244" s="36"/>
      <c r="M244" s="128"/>
      <c r="Y244" s="10"/>
      <c r="Z244" s="11"/>
      <c r="AA244" s="36"/>
      <c r="AB244" s="36"/>
      <c r="AC244" s="13"/>
      <c r="AD244" s="13"/>
      <c r="AE244" s="37"/>
      <c r="AF244" s="37"/>
      <c r="AG244" s="14"/>
      <c r="AH244" s="14"/>
      <c r="AI244" s="14"/>
      <c r="AZ244" s="24"/>
    </row>
    <row r="245">
      <c r="B245" s="24"/>
      <c r="K245" s="36"/>
      <c r="M245" s="128"/>
      <c r="Y245" s="10"/>
      <c r="Z245" s="11"/>
      <c r="AA245" s="36"/>
      <c r="AB245" s="36"/>
      <c r="AC245" s="13"/>
      <c r="AD245" s="13"/>
      <c r="AE245" s="37"/>
      <c r="AF245" s="37"/>
      <c r="AG245" s="14"/>
      <c r="AH245" s="14"/>
      <c r="AI245" s="14"/>
      <c r="AZ245" s="24"/>
    </row>
    <row r="246">
      <c r="B246" s="24"/>
      <c r="K246" s="36"/>
      <c r="M246" s="128"/>
      <c r="Y246" s="10"/>
      <c r="Z246" s="11"/>
      <c r="AA246" s="36"/>
      <c r="AB246" s="36"/>
      <c r="AC246" s="13"/>
      <c r="AD246" s="13"/>
      <c r="AE246" s="37"/>
      <c r="AF246" s="37"/>
      <c r="AG246" s="14"/>
      <c r="AH246" s="14"/>
      <c r="AI246" s="14"/>
      <c r="AZ246" s="24"/>
    </row>
    <row r="247">
      <c r="B247" s="24"/>
      <c r="K247" s="36"/>
      <c r="M247" s="128"/>
      <c r="Y247" s="10"/>
      <c r="Z247" s="11"/>
      <c r="AA247" s="36"/>
      <c r="AB247" s="36"/>
      <c r="AC247" s="13"/>
      <c r="AD247" s="13"/>
      <c r="AE247" s="37"/>
      <c r="AF247" s="37"/>
      <c r="AG247" s="14"/>
      <c r="AH247" s="14"/>
      <c r="AI247" s="14"/>
      <c r="AZ247" s="24"/>
    </row>
    <row r="248">
      <c r="B248" s="24"/>
      <c r="K248" s="36"/>
      <c r="M248" s="128"/>
      <c r="Y248" s="10"/>
      <c r="Z248" s="11"/>
      <c r="AA248" s="36"/>
      <c r="AB248" s="36"/>
      <c r="AC248" s="13"/>
      <c r="AD248" s="13"/>
      <c r="AE248" s="37"/>
      <c r="AF248" s="37"/>
      <c r="AG248" s="14"/>
      <c r="AH248" s="14"/>
      <c r="AI248" s="14"/>
      <c r="AZ248" s="24"/>
    </row>
    <row r="249">
      <c r="B249" s="24"/>
      <c r="K249" s="36"/>
      <c r="M249" s="128"/>
      <c r="Y249" s="10"/>
      <c r="Z249" s="11"/>
      <c r="AA249" s="36"/>
      <c r="AB249" s="36"/>
      <c r="AC249" s="13"/>
      <c r="AD249" s="13"/>
      <c r="AE249" s="37"/>
      <c r="AF249" s="37"/>
      <c r="AG249" s="14"/>
      <c r="AH249" s="14"/>
      <c r="AI249" s="14"/>
      <c r="AZ249" s="24"/>
    </row>
    <row r="250">
      <c r="B250" s="24"/>
      <c r="K250" s="36"/>
      <c r="M250" s="128"/>
      <c r="Y250" s="10"/>
      <c r="Z250" s="11"/>
      <c r="AA250" s="36"/>
      <c r="AB250" s="36"/>
      <c r="AC250" s="13"/>
      <c r="AD250" s="13"/>
      <c r="AE250" s="37"/>
      <c r="AF250" s="37"/>
      <c r="AG250" s="14"/>
      <c r="AH250" s="14"/>
      <c r="AI250" s="14"/>
      <c r="AZ250" s="24"/>
    </row>
    <row r="251">
      <c r="B251" s="24"/>
      <c r="K251" s="36"/>
      <c r="M251" s="128"/>
      <c r="Y251" s="10"/>
      <c r="Z251" s="11"/>
      <c r="AA251" s="36"/>
      <c r="AB251" s="36"/>
      <c r="AC251" s="13"/>
      <c r="AD251" s="13"/>
      <c r="AE251" s="37"/>
      <c r="AF251" s="37"/>
      <c r="AG251" s="14"/>
      <c r="AH251" s="14"/>
      <c r="AI251" s="14"/>
      <c r="AZ251" s="24"/>
    </row>
    <row r="252">
      <c r="B252" s="24"/>
      <c r="K252" s="36"/>
      <c r="M252" s="128"/>
      <c r="Y252" s="10"/>
      <c r="Z252" s="11"/>
      <c r="AA252" s="36"/>
      <c r="AB252" s="36"/>
      <c r="AC252" s="13"/>
      <c r="AD252" s="13"/>
      <c r="AE252" s="37"/>
      <c r="AF252" s="37"/>
      <c r="AG252" s="14"/>
      <c r="AH252" s="14"/>
      <c r="AI252" s="14"/>
      <c r="AZ252" s="24"/>
    </row>
    <row r="253">
      <c r="B253" s="24"/>
      <c r="K253" s="36"/>
      <c r="M253" s="128"/>
      <c r="Y253" s="10"/>
      <c r="Z253" s="11"/>
      <c r="AA253" s="36"/>
      <c r="AB253" s="36"/>
      <c r="AC253" s="13"/>
      <c r="AD253" s="13"/>
      <c r="AE253" s="37"/>
      <c r="AF253" s="37"/>
      <c r="AG253" s="14"/>
      <c r="AH253" s="14"/>
      <c r="AI253" s="14"/>
      <c r="AZ253" s="24"/>
    </row>
    <row r="254">
      <c r="B254" s="24"/>
      <c r="K254" s="36"/>
      <c r="M254" s="128"/>
      <c r="Y254" s="10"/>
      <c r="Z254" s="11"/>
      <c r="AA254" s="36"/>
      <c r="AB254" s="36"/>
      <c r="AC254" s="13"/>
      <c r="AD254" s="13"/>
      <c r="AE254" s="37"/>
      <c r="AF254" s="37"/>
      <c r="AG254" s="14"/>
      <c r="AH254" s="14"/>
      <c r="AI254" s="14"/>
      <c r="AZ254" s="24"/>
    </row>
    <row r="255">
      <c r="B255" s="24"/>
      <c r="K255" s="36"/>
      <c r="M255" s="128"/>
      <c r="Y255" s="10"/>
      <c r="Z255" s="11"/>
      <c r="AA255" s="36"/>
      <c r="AB255" s="36"/>
      <c r="AC255" s="13"/>
      <c r="AD255" s="13"/>
      <c r="AE255" s="37"/>
      <c r="AF255" s="37"/>
      <c r="AG255" s="14"/>
      <c r="AH255" s="14"/>
      <c r="AI255" s="14"/>
      <c r="AZ255" s="24"/>
    </row>
    <row r="256">
      <c r="B256" s="24"/>
      <c r="K256" s="36"/>
      <c r="M256" s="128"/>
      <c r="Y256" s="10"/>
      <c r="Z256" s="11"/>
      <c r="AA256" s="36"/>
      <c r="AB256" s="36"/>
      <c r="AC256" s="13"/>
      <c r="AD256" s="13"/>
      <c r="AE256" s="37"/>
      <c r="AF256" s="37"/>
      <c r="AG256" s="14"/>
      <c r="AH256" s="14"/>
      <c r="AI256" s="14"/>
      <c r="AZ256" s="24"/>
    </row>
    <row r="257">
      <c r="B257" s="24"/>
      <c r="K257" s="36"/>
      <c r="M257" s="128"/>
      <c r="Y257" s="10"/>
      <c r="Z257" s="11"/>
      <c r="AA257" s="36"/>
      <c r="AB257" s="36"/>
      <c r="AC257" s="13"/>
      <c r="AD257" s="13"/>
      <c r="AE257" s="37"/>
      <c r="AF257" s="37"/>
      <c r="AG257" s="14"/>
      <c r="AH257" s="14"/>
      <c r="AI257" s="14"/>
      <c r="AZ257" s="24"/>
    </row>
    <row r="258">
      <c r="B258" s="24"/>
      <c r="K258" s="36"/>
      <c r="M258" s="128"/>
      <c r="Y258" s="10"/>
      <c r="Z258" s="11"/>
      <c r="AA258" s="36"/>
      <c r="AB258" s="36"/>
      <c r="AC258" s="13"/>
      <c r="AD258" s="13"/>
      <c r="AE258" s="37"/>
      <c r="AF258" s="37"/>
      <c r="AG258" s="14"/>
      <c r="AH258" s="14"/>
      <c r="AI258" s="14"/>
      <c r="AZ258" s="24"/>
    </row>
    <row r="259">
      <c r="B259" s="24"/>
      <c r="K259" s="36"/>
      <c r="M259" s="128"/>
      <c r="Y259" s="10"/>
      <c r="Z259" s="11"/>
      <c r="AA259" s="36"/>
      <c r="AB259" s="36"/>
      <c r="AC259" s="13"/>
      <c r="AD259" s="13"/>
      <c r="AE259" s="37"/>
      <c r="AF259" s="37"/>
      <c r="AG259" s="14"/>
      <c r="AH259" s="14"/>
      <c r="AI259" s="14"/>
      <c r="AZ259" s="24"/>
    </row>
    <row r="260">
      <c r="B260" s="24"/>
      <c r="K260" s="36"/>
      <c r="M260" s="128"/>
      <c r="Y260" s="10"/>
      <c r="Z260" s="11"/>
      <c r="AA260" s="36"/>
      <c r="AB260" s="36"/>
      <c r="AC260" s="13"/>
      <c r="AD260" s="13"/>
      <c r="AE260" s="37"/>
      <c r="AF260" s="37"/>
      <c r="AG260" s="14"/>
      <c r="AH260" s="14"/>
      <c r="AI260" s="14"/>
      <c r="AZ260" s="24"/>
    </row>
    <row r="261">
      <c r="B261" s="24"/>
      <c r="K261" s="36"/>
      <c r="M261" s="128"/>
      <c r="Y261" s="10"/>
      <c r="Z261" s="11"/>
      <c r="AA261" s="36"/>
      <c r="AB261" s="36"/>
      <c r="AC261" s="13"/>
      <c r="AD261" s="13"/>
      <c r="AE261" s="37"/>
      <c r="AF261" s="37"/>
      <c r="AG261" s="14"/>
      <c r="AH261" s="14"/>
      <c r="AI261" s="14"/>
      <c r="AZ261" s="24"/>
    </row>
    <row r="262">
      <c r="B262" s="24"/>
      <c r="K262" s="36"/>
      <c r="M262" s="128"/>
      <c r="Y262" s="10"/>
      <c r="Z262" s="11"/>
      <c r="AA262" s="36"/>
      <c r="AB262" s="36"/>
      <c r="AC262" s="13"/>
      <c r="AD262" s="13"/>
      <c r="AE262" s="37"/>
      <c r="AF262" s="37"/>
      <c r="AG262" s="14"/>
      <c r="AH262" s="14"/>
      <c r="AI262" s="14"/>
      <c r="AZ262" s="24"/>
    </row>
    <row r="263">
      <c r="B263" s="24"/>
      <c r="K263" s="36"/>
      <c r="M263" s="128"/>
      <c r="Y263" s="10"/>
      <c r="Z263" s="11"/>
      <c r="AA263" s="36"/>
      <c r="AB263" s="36"/>
      <c r="AC263" s="13"/>
      <c r="AD263" s="13"/>
      <c r="AE263" s="37"/>
      <c r="AF263" s="37"/>
      <c r="AG263" s="14"/>
      <c r="AH263" s="14"/>
      <c r="AI263" s="14"/>
      <c r="AZ263" s="24"/>
    </row>
    <row r="264">
      <c r="B264" s="24"/>
      <c r="K264" s="36"/>
      <c r="M264" s="128"/>
      <c r="Y264" s="10"/>
      <c r="Z264" s="11"/>
      <c r="AA264" s="36"/>
      <c r="AB264" s="36"/>
      <c r="AC264" s="13"/>
      <c r="AD264" s="13"/>
      <c r="AE264" s="37"/>
      <c r="AF264" s="37"/>
      <c r="AG264" s="14"/>
      <c r="AH264" s="14"/>
      <c r="AI264" s="14"/>
      <c r="AZ264" s="24"/>
    </row>
    <row r="265">
      <c r="B265" s="24"/>
      <c r="K265" s="36"/>
      <c r="M265" s="128"/>
      <c r="Y265" s="10"/>
      <c r="Z265" s="11"/>
      <c r="AA265" s="36"/>
      <c r="AB265" s="36"/>
      <c r="AC265" s="13"/>
      <c r="AD265" s="13"/>
      <c r="AE265" s="37"/>
      <c r="AF265" s="37"/>
      <c r="AG265" s="14"/>
      <c r="AH265" s="14"/>
      <c r="AI265" s="14"/>
      <c r="AZ265" s="24"/>
    </row>
    <row r="266">
      <c r="B266" s="24"/>
      <c r="K266" s="36"/>
      <c r="M266" s="128"/>
      <c r="Y266" s="10"/>
      <c r="Z266" s="11"/>
      <c r="AA266" s="36"/>
      <c r="AB266" s="36"/>
      <c r="AC266" s="13"/>
      <c r="AD266" s="13"/>
      <c r="AE266" s="37"/>
      <c r="AF266" s="37"/>
      <c r="AG266" s="14"/>
      <c r="AH266" s="14"/>
      <c r="AI266" s="14"/>
      <c r="AZ266" s="24"/>
    </row>
    <row r="267">
      <c r="B267" s="24"/>
      <c r="K267" s="36"/>
      <c r="M267" s="128"/>
      <c r="Y267" s="10"/>
      <c r="Z267" s="11"/>
      <c r="AA267" s="36"/>
      <c r="AB267" s="36"/>
      <c r="AC267" s="13"/>
      <c r="AD267" s="13"/>
      <c r="AE267" s="37"/>
      <c r="AF267" s="37"/>
      <c r="AG267" s="14"/>
      <c r="AH267" s="14"/>
      <c r="AI267" s="14"/>
      <c r="AZ267" s="24"/>
    </row>
    <row r="268">
      <c r="B268" s="24"/>
      <c r="K268" s="36"/>
      <c r="M268" s="128"/>
      <c r="Y268" s="10"/>
      <c r="Z268" s="11"/>
      <c r="AA268" s="36"/>
      <c r="AB268" s="36"/>
      <c r="AC268" s="13"/>
      <c r="AD268" s="13"/>
      <c r="AE268" s="37"/>
      <c r="AF268" s="37"/>
      <c r="AG268" s="14"/>
      <c r="AH268" s="14"/>
      <c r="AI268" s="14"/>
      <c r="AZ268" s="24"/>
    </row>
    <row r="269">
      <c r="B269" s="24"/>
      <c r="K269" s="36"/>
      <c r="M269" s="128"/>
      <c r="Y269" s="10"/>
      <c r="Z269" s="11"/>
      <c r="AA269" s="36"/>
      <c r="AB269" s="36"/>
      <c r="AC269" s="13"/>
      <c r="AD269" s="13"/>
      <c r="AE269" s="37"/>
      <c r="AF269" s="37"/>
      <c r="AG269" s="14"/>
      <c r="AH269" s="14"/>
      <c r="AI269" s="14"/>
      <c r="AZ269" s="24"/>
    </row>
    <row r="270">
      <c r="B270" s="24"/>
      <c r="K270" s="36"/>
      <c r="M270" s="128"/>
      <c r="Y270" s="10"/>
      <c r="Z270" s="11"/>
      <c r="AA270" s="36"/>
      <c r="AB270" s="36"/>
      <c r="AC270" s="13"/>
      <c r="AD270" s="13"/>
      <c r="AE270" s="37"/>
      <c r="AF270" s="37"/>
      <c r="AG270" s="14"/>
      <c r="AH270" s="14"/>
      <c r="AI270" s="14"/>
      <c r="AZ270" s="24"/>
    </row>
    <row r="271">
      <c r="B271" s="24"/>
      <c r="K271" s="36"/>
      <c r="M271" s="128"/>
      <c r="Y271" s="10"/>
      <c r="Z271" s="11"/>
      <c r="AA271" s="36"/>
      <c r="AB271" s="36"/>
      <c r="AC271" s="13"/>
      <c r="AD271" s="13"/>
      <c r="AE271" s="37"/>
      <c r="AF271" s="37"/>
      <c r="AG271" s="14"/>
      <c r="AH271" s="14"/>
      <c r="AI271" s="14"/>
      <c r="AZ271" s="24"/>
    </row>
    <row r="272">
      <c r="B272" s="24"/>
      <c r="K272" s="36"/>
      <c r="M272" s="128"/>
      <c r="Y272" s="10"/>
      <c r="Z272" s="11"/>
      <c r="AA272" s="36"/>
      <c r="AB272" s="36"/>
      <c r="AC272" s="13"/>
      <c r="AD272" s="13"/>
      <c r="AE272" s="37"/>
      <c r="AF272" s="37"/>
      <c r="AG272" s="14"/>
      <c r="AH272" s="14"/>
      <c r="AI272" s="14"/>
      <c r="AZ272" s="24"/>
    </row>
    <row r="273">
      <c r="B273" s="24"/>
      <c r="K273" s="36"/>
      <c r="M273" s="128"/>
      <c r="Y273" s="10"/>
      <c r="Z273" s="11"/>
      <c r="AA273" s="36"/>
      <c r="AB273" s="36"/>
      <c r="AC273" s="13"/>
      <c r="AD273" s="13"/>
      <c r="AE273" s="37"/>
      <c r="AF273" s="37"/>
      <c r="AG273" s="14"/>
      <c r="AH273" s="14"/>
      <c r="AI273" s="14"/>
      <c r="AZ273" s="24"/>
    </row>
    <row r="274">
      <c r="B274" s="24"/>
      <c r="K274" s="36"/>
      <c r="M274" s="128"/>
      <c r="Y274" s="10"/>
      <c r="Z274" s="11"/>
      <c r="AA274" s="36"/>
      <c r="AB274" s="36"/>
      <c r="AC274" s="13"/>
      <c r="AD274" s="13"/>
      <c r="AE274" s="37"/>
      <c r="AF274" s="37"/>
      <c r="AG274" s="14"/>
      <c r="AH274" s="14"/>
      <c r="AI274" s="14"/>
      <c r="AZ274" s="24"/>
    </row>
    <row r="275">
      <c r="B275" s="24"/>
      <c r="K275" s="36"/>
      <c r="M275" s="128"/>
      <c r="Y275" s="10"/>
      <c r="Z275" s="11"/>
      <c r="AA275" s="36"/>
      <c r="AB275" s="36"/>
      <c r="AC275" s="13"/>
      <c r="AD275" s="13"/>
      <c r="AE275" s="37"/>
      <c r="AF275" s="37"/>
      <c r="AG275" s="14"/>
      <c r="AH275" s="14"/>
      <c r="AI275" s="14"/>
      <c r="AZ275" s="24"/>
    </row>
    <row r="276">
      <c r="B276" s="24"/>
      <c r="K276" s="36"/>
      <c r="M276" s="128"/>
      <c r="Y276" s="10"/>
      <c r="Z276" s="11"/>
      <c r="AA276" s="36"/>
      <c r="AB276" s="36"/>
      <c r="AC276" s="13"/>
      <c r="AD276" s="13"/>
      <c r="AE276" s="37"/>
      <c r="AF276" s="37"/>
      <c r="AG276" s="14"/>
      <c r="AH276" s="14"/>
      <c r="AI276" s="14"/>
      <c r="AZ276" s="24"/>
    </row>
    <row r="277">
      <c r="B277" s="24"/>
      <c r="K277" s="36"/>
      <c r="M277" s="128"/>
      <c r="Y277" s="10"/>
      <c r="Z277" s="11"/>
      <c r="AA277" s="36"/>
      <c r="AB277" s="36"/>
      <c r="AC277" s="13"/>
      <c r="AD277" s="13"/>
      <c r="AE277" s="37"/>
      <c r="AF277" s="37"/>
      <c r="AG277" s="14"/>
      <c r="AH277" s="14"/>
      <c r="AI277" s="14"/>
      <c r="AZ277" s="24"/>
    </row>
    <row r="278">
      <c r="B278" s="24"/>
      <c r="K278" s="36"/>
      <c r="M278" s="128"/>
      <c r="Y278" s="10"/>
      <c r="Z278" s="11"/>
      <c r="AA278" s="36"/>
      <c r="AB278" s="36"/>
      <c r="AC278" s="13"/>
      <c r="AD278" s="13"/>
      <c r="AE278" s="37"/>
      <c r="AF278" s="37"/>
      <c r="AG278" s="14"/>
      <c r="AH278" s="14"/>
      <c r="AI278" s="14"/>
      <c r="AZ278" s="24"/>
    </row>
    <row r="279">
      <c r="B279" s="24"/>
      <c r="K279" s="36"/>
      <c r="M279" s="128"/>
      <c r="Y279" s="10"/>
      <c r="Z279" s="11"/>
      <c r="AA279" s="36"/>
      <c r="AB279" s="36"/>
      <c r="AC279" s="13"/>
      <c r="AD279" s="13"/>
      <c r="AE279" s="37"/>
      <c r="AF279" s="37"/>
      <c r="AG279" s="14"/>
      <c r="AH279" s="14"/>
      <c r="AI279" s="14"/>
      <c r="AZ279" s="24"/>
    </row>
    <row r="280">
      <c r="B280" s="24"/>
      <c r="K280" s="36"/>
      <c r="M280" s="128"/>
      <c r="Y280" s="10"/>
      <c r="Z280" s="11"/>
      <c r="AA280" s="36"/>
      <c r="AB280" s="36"/>
      <c r="AC280" s="13"/>
      <c r="AD280" s="13"/>
      <c r="AE280" s="37"/>
      <c r="AF280" s="37"/>
      <c r="AG280" s="14"/>
      <c r="AH280" s="14"/>
      <c r="AI280" s="14"/>
      <c r="AZ280" s="24"/>
    </row>
    <row r="281">
      <c r="B281" s="24"/>
      <c r="K281" s="36"/>
      <c r="M281" s="128"/>
      <c r="Y281" s="10"/>
      <c r="Z281" s="11"/>
      <c r="AA281" s="36"/>
      <c r="AB281" s="36"/>
      <c r="AC281" s="13"/>
      <c r="AD281" s="13"/>
      <c r="AE281" s="37"/>
      <c r="AF281" s="37"/>
      <c r="AG281" s="14"/>
      <c r="AH281" s="14"/>
      <c r="AI281" s="14"/>
      <c r="AZ281" s="24"/>
    </row>
    <row r="282">
      <c r="B282" s="24"/>
      <c r="K282" s="36"/>
      <c r="M282" s="128"/>
      <c r="Y282" s="10"/>
      <c r="Z282" s="11"/>
      <c r="AA282" s="36"/>
      <c r="AB282" s="36"/>
      <c r="AC282" s="13"/>
      <c r="AD282" s="13"/>
      <c r="AE282" s="37"/>
      <c r="AF282" s="37"/>
      <c r="AG282" s="14"/>
      <c r="AH282" s="14"/>
      <c r="AI282" s="14"/>
      <c r="AZ282" s="24"/>
    </row>
    <row r="283">
      <c r="B283" s="24"/>
      <c r="K283" s="36"/>
      <c r="M283" s="128"/>
      <c r="Y283" s="10"/>
      <c r="Z283" s="11"/>
      <c r="AA283" s="36"/>
      <c r="AB283" s="36"/>
      <c r="AC283" s="13"/>
      <c r="AD283" s="13"/>
      <c r="AE283" s="37"/>
      <c r="AF283" s="37"/>
      <c r="AG283" s="14"/>
      <c r="AH283" s="14"/>
      <c r="AI283" s="14"/>
      <c r="AZ283" s="24"/>
    </row>
    <row r="284">
      <c r="B284" s="24"/>
      <c r="K284" s="36"/>
      <c r="M284" s="128"/>
      <c r="Y284" s="10"/>
      <c r="Z284" s="11"/>
      <c r="AA284" s="36"/>
      <c r="AB284" s="36"/>
      <c r="AC284" s="13"/>
      <c r="AD284" s="13"/>
      <c r="AE284" s="37"/>
      <c r="AF284" s="37"/>
      <c r="AG284" s="14"/>
      <c r="AH284" s="14"/>
      <c r="AI284" s="14"/>
      <c r="AZ284" s="24"/>
    </row>
    <row r="285">
      <c r="B285" s="24"/>
      <c r="K285" s="36"/>
      <c r="M285" s="128"/>
      <c r="Y285" s="10"/>
      <c r="Z285" s="11"/>
      <c r="AA285" s="36"/>
      <c r="AB285" s="36"/>
      <c r="AC285" s="13"/>
      <c r="AD285" s="13"/>
      <c r="AE285" s="37"/>
      <c r="AF285" s="37"/>
      <c r="AG285" s="14"/>
      <c r="AH285" s="14"/>
      <c r="AI285" s="14"/>
      <c r="AZ285" s="24"/>
    </row>
    <row r="286">
      <c r="B286" s="24"/>
      <c r="K286" s="36"/>
      <c r="M286" s="128"/>
      <c r="Y286" s="10"/>
      <c r="Z286" s="11"/>
      <c r="AA286" s="36"/>
      <c r="AB286" s="36"/>
      <c r="AC286" s="13"/>
      <c r="AD286" s="13"/>
      <c r="AE286" s="37"/>
      <c r="AF286" s="37"/>
      <c r="AG286" s="14"/>
      <c r="AH286" s="14"/>
      <c r="AI286" s="14"/>
      <c r="AZ286" s="24"/>
    </row>
    <row r="287">
      <c r="B287" s="24"/>
      <c r="K287" s="36"/>
      <c r="M287" s="128"/>
      <c r="Y287" s="10"/>
      <c r="Z287" s="11"/>
      <c r="AA287" s="36"/>
      <c r="AB287" s="36"/>
      <c r="AC287" s="13"/>
      <c r="AD287" s="13"/>
      <c r="AE287" s="37"/>
      <c r="AF287" s="37"/>
      <c r="AG287" s="14"/>
      <c r="AH287" s="14"/>
      <c r="AI287" s="14"/>
      <c r="AZ287" s="24"/>
    </row>
    <row r="288">
      <c r="B288" s="24"/>
      <c r="K288" s="36"/>
      <c r="M288" s="128"/>
      <c r="Y288" s="10"/>
      <c r="Z288" s="11"/>
      <c r="AA288" s="36"/>
      <c r="AB288" s="36"/>
      <c r="AC288" s="13"/>
      <c r="AD288" s="13"/>
      <c r="AE288" s="37"/>
      <c r="AF288" s="37"/>
      <c r="AG288" s="14"/>
      <c r="AH288" s="14"/>
      <c r="AI288" s="14"/>
      <c r="AZ288" s="24"/>
    </row>
    <row r="289">
      <c r="B289" s="24"/>
      <c r="K289" s="36"/>
      <c r="M289" s="128"/>
      <c r="Y289" s="10"/>
      <c r="Z289" s="11"/>
      <c r="AA289" s="36"/>
      <c r="AB289" s="36"/>
      <c r="AC289" s="13"/>
      <c r="AD289" s="13"/>
      <c r="AE289" s="37"/>
      <c r="AF289" s="37"/>
      <c r="AG289" s="14"/>
      <c r="AH289" s="14"/>
      <c r="AI289" s="14"/>
      <c r="AZ289" s="24"/>
    </row>
    <row r="290">
      <c r="B290" s="24"/>
      <c r="K290" s="36"/>
      <c r="M290" s="128"/>
      <c r="Y290" s="10"/>
      <c r="Z290" s="11"/>
      <c r="AA290" s="36"/>
      <c r="AB290" s="36"/>
      <c r="AC290" s="13"/>
      <c r="AD290" s="13"/>
      <c r="AE290" s="37"/>
      <c r="AF290" s="37"/>
      <c r="AG290" s="14"/>
      <c r="AH290" s="14"/>
      <c r="AI290" s="14"/>
      <c r="AZ290" s="24"/>
    </row>
    <row r="291">
      <c r="B291" s="24"/>
      <c r="K291" s="36"/>
      <c r="M291" s="128"/>
      <c r="Y291" s="10"/>
      <c r="Z291" s="11"/>
      <c r="AA291" s="36"/>
      <c r="AB291" s="36"/>
      <c r="AC291" s="13"/>
      <c r="AD291" s="13"/>
      <c r="AE291" s="37"/>
      <c r="AF291" s="37"/>
      <c r="AG291" s="14"/>
      <c r="AH291" s="14"/>
      <c r="AI291" s="14"/>
      <c r="AZ291" s="24"/>
    </row>
    <row r="292">
      <c r="B292" s="24"/>
      <c r="E292" s="113"/>
      <c r="F292" s="266"/>
      <c r="G292" s="113"/>
      <c r="K292" s="36"/>
      <c r="L292" s="117"/>
      <c r="M292" s="128"/>
      <c r="N292" s="117"/>
      <c r="R292" s="117"/>
      <c r="T292" s="117"/>
      <c r="V292" s="117"/>
      <c r="X292" s="117"/>
      <c r="Y292" s="10"/>
      <c r="Z292" s="11"/>
      <c r="AA292" s="36"/>
      <c r="AB292" s="36"/>
      <c r="AC292" s="13"/>
      <c r="AD292" s="13"/>
      <c r="AE292" s="37"/>
      <c r="AF292" s="37"/>
      <c r="AG292" s="14"/>
      <c r="AH292" s="14"/>
      <c r="AI292" s="14"/>
      <c r="AZ292" s="24"/>
    </row>
    <row r="293">
      <c r="B293" s="24"/>
      <c r="E293" s="113"/>
      <c r="F293" s="266"/>
      <c r="G293" s="113"/>
      <c r="K293" s="36"/>
      <c r="L293" s="117"/>
      <c r="M293" s="128"/>
      <c r="N293" s="117"/>
      <c r="R293" s="117"/>
      <c r="T293" s="117"/>
      <c r="V293" s="117"/>
      <c r="X293" s="117"/>
      <c r="Y293" s="10"/>
      <c r="Z293" s="11"/>
      <c r="AA293" s="36"/>
      <c r="AB293" s="36"/>
      <c r="AC293" s="13"/>
      <c r="AD293" s="13"/>
      <c r="AE293" s="37"/>
      <c r="AF293" s="37"/>
      <c r="AG293" s="14"/>
      <c r="AH293" s="14"/>
      <c r="AI293" s="14"/>
      <c r="AZ293" s="24"/>
    </row>
    <row r="294">
      <c r="B294" s="24"/>
      <c r="E294" s="113"/>
      <c r="F294" s="266"/>
      <c r="G294" s="113"/>
      <c r="K294" s="36"/>
      <c r="L294" s="117"/>
      <c r="M294" s="128"/>
      <c r="N294" s="117"/>
      <c r="R294" s="117"/>
      <c r="T294" s="117"/>
      <c r="V294" s="117"/>
      <c r="X294" s="117"/>
      <c r="Y294" s="10"/>
      <c r="Z294" s="11"/>
      <c r="AA294" s="36"/>
      <c r="AB294" s="36"/>
      <c r="AC294" s="13"/>
      <c r="AD294" s="13"/>
      <c r="AE294" s="37"/>
      <c r="AF294" s="37"/>
      <c r="AG294" s="14"/>
      <c r="AH294" s="14"/>
      <c r="AI294" s="14"/>
      <c r="AZ294" s="24"/>
    </row>
    <row r="295">
      <c r="B295" s="24"/>
      <c r="E295" s="113"/>
      <c r="F295" s="266"/>
      <c r="G295" s="113"/>
      <c r="K295" s="36"/>
      <c r="L295" s="117"/>
      <c r="M295" s="128"/>
      <c r="N295" s="117"/>
      <c r="R295" s="117"/>
      <c r="T295" s="117"/>
      <c r="V295" s="117"/>
      <c r="X295" s="117"/>
      <c r="Y295" s="10"/>
      <c r="Z295" s="11"/>
      <c r="AA295" s="36"/>
      <c r="AB295" s="36"/>
      <c r="AC295" s="13"/>
      <c r="AD295" s="13"/>
      <c r="AE295" s="37"/>
      <c r="AF295" s="37"/>
      <c r="AG295" s="14"/>
      <c r="AH295" s="14"/>
      <c r="AI295" s="14"/>
      <c r="AZ295" s="24"/>
    </row>
    <row r="296">
      <c r="B296" s="24"/>
      <c r="E296" s="113"/>
      <c r="F296" s="266"/>
      <c r="G296" s="113"/>
      <c r="K296" s="36"/>
      <c r="L296" s="117"/>
      <c r="M296" s="128"/>
      <c r="N296" s="117"/>
      <c r="R296" s="117"/>
      <c r="T296" s="117"/>
      <c r="V296" s="117"/>
      <c r="X296" s="117"/>
      <c r="Y296" s="10"/>
      <c r="Z296" s="11"/>
      <c r="AA296" s="36"/>
      <c r="AB296" s="36"/>
      <c r="AC296" s="13"/>
      <c r="AD296" s="13"/>
      <c r="AE296" s="37"/>
      <c r="AF296" s="37"/>
      <c r="AG296" s="14"/>
      <c r="AH296" s="14"/>
      <c r="AI296" s="14"/>
      <c r="AZ296" s="24"/>
    </row>
    <row r="297">
      <c r="B297" s="24"/>
      <c r="E297" s="113"/>
      <c r="F297" s="266"/>
      <c r="G297" s="113"/>
      <c r="K297" s="36"/>
      <c r="L297" s="117"/>
      <c r="M297" s="128"/>
      <c r="N297" s="117"/>
      <c r="R297" s="117"/>
      <c r="T297" s="117"/>
      <c r="V297" s="117"/>
      <c r="X297" s="117"/>
      <c r="Y297" s="10"/>
      <c r="Z297" s="11"/>
      <c r="AA297" s="36"/>
      <c r="AB297" s="36"/>
      <c r="AC297" s="13"/>
      <c r="AD297" s="13"/>
      <c r="AE297" s="37"/>
      <c r="AF297" s="37"/>
      <c r="AG297" s="14"/>
      <c r="AH297" s="14"/>
      <c r="AI297" s="14"/>
      <c r="AZ297" s="24"/>
    </row>
    <row r="298">
      <c r="B298" s="24"/>
      <c r="E298" s="113"/>
      <c r="F298" s="266"/>
      <c r="G298" s="113"/>
      <c r="K298" s="36"/>
      <c r="L298" s="117"/>
      <c r="M298" s="128"/>
      <c r="N298" s="117"/>
      <c r="R298" s="117"/>
      <c r="T298" s="117"/>
      <c r="V298" s="117"/>
      <c r="X298" s="117"/>
      <c r="Y298" s="10"/>
      <c r="Z298" s="11"/>
      <c r="AA298" s="36"/>
      <c r="AB298" s="36"/>
      <c r="AC298" s="13"/>
      <c r="AD298" s="13"/>
      <c r="AE298" s="37"/>
      <c r="AF298" s="37"/>
      <c r="AG298" s="14"/>
      <c r="AH298" s="14"/>
      <c r="AI298" s="14"/>
      <c r="AZ298" s="24"/>
    </row>
    <row r="299">
      <c r="B299" s="24"/>
      <c r="E299" s="113"/>
      <c r="F299" s="266"/>
      <c r="G299" s="113"/>
      <c r="K299" s="36"/>
      <c r="L299" s="117"/>
      <c r="M299" s="128"/>
      <c r="N299" s="117"/>
      <c r="R299" s="117"/>
      <c r="T299" s="117"/>
      <c r="V299" s="117"/>
      <c r="X299" s="117"/>
      <c r="Y299" s="10"/>
      <c r="Z299" s="11"/>
      <c r="AA299" s="36"/>
      <c r="AB299" s="36"/>
      <c r="AC299" s="13"/>
      <c r="AD299" s="13"/>
      <c r="AE299" s="37"/>
      <c r="AF299" s="37"/>
      <c r="AG299" s="14"/>
      <c r="AH299" s="14"/>
      <c r="AI299" s="14"/>
      <c r="AZ299" s="24"/>
    </row>
    <row r="300">
      <c r="B300" s="24"/>
      <c r="E300" s="113"/>
      <c r="F300" s="266"/>
      <c r="G300" s="113"/>
      <c r="K300" s="36"/>
      <c r="L300" s="117"/>
      <c r="M300" s="128"/>
      <c r="N300" s="117"/>
      <c r="R300" s="117"/>
      <c r="T300" s="117"/>
      <c r="V300" s="117"/>
      <c r="X300" s="117"/>
      <c r="Y300" s="10"/>
      <c r="Z300" s="11"/>
      <c r="AA300" s="36"/>
      <c r="AB300" s="36"/>
      <c r="AC300" s="13"/>
      <c r="AD300" s="13"/>
      <c r="AE300" s="37"/>
      <c r="AF300" s="37"/>
      <c r="AG300" s="14"/>
      <c r="AH300" s="14"/>
      <c r="AI300" s="14"/>
      <c r="AZ300" s="24"/>
    </row>
    <row r="301">
      <c r="B301" s="24"/>
      <c r="E301" s="113"/>
      <c r="F301" s="266"/>
      <c r="G301" s="113"/>
      <c r="K301" s="36"/>
      <c r="L301" s="117"/>
      <c r="M301" s="128"/>
      <c r="N301" s="117"/>
      <c r="R301" s="117"/>
      <c r="T301" s="117"/>
      <c r="V301" s="117"/>
      <c r="X301" s="117"/>
      <c r="Y301" s="10"/>
      <c r="Z301" s="11"/>
      <c r="AA301" s="36"/>
      <c r="AB301" s="36"/>
      <c r="AC301" s="13"/>
      <c r="AD301" s="13"/>
      <c r="AE301" s="37"/>
      <c r="AF301" s="37"/>
      <c r="AG301" s="14"/>
      <c r="AH301" s="14"/>
      <c r="AI301" s="14"/>
      <c r="AZ301" s="24"/>
    </row>
    <row r="302">
      <c r="B302" s="24"/>
      <c r="E302" s="113"/>
      <c r="F302" s="266"/>
      <c r="G302" s="113"/>
      <c r="K302" s="36"/>
      <c r="L302" s="117"/>
      <c r="M302" s="128"/>
      <c r="N302" s="117"/>
      <c r="R302" s="117"/>
      <c r="T302" s="117"/>
      <c r="V302" s="117"/>
      <c r="X302" s="117"/>
      <c r="Y302" s="10"/>
      <c r="Z302" s="11"/>
      <c r="AA302" s="36"/>
      <c r="AB302" s="36"/>
      <c r="AC302" s="13"/>
      <c r="AD302" s="13"/>
      <c r="AE302" s="37"/>
      <c r="AF302" s="37"/>
      <c r="AG302" s="14"/>
      <c r="AH302" s="14"/>
      <c r="AI302" s="14"/>
      <c r="AZ302" s="24"/>
    </row>
    <row r="303">
      <c r="B303" s="24"/>
      <c r="E303" s="113"/>
      <c r="F303" s="266"/>
      <c r="G303" s="113"/>
      <c r="K303" s="36"/>
      <c r="L303" s="117"/>
      <c r="M303" s="128"/>
      <c r="N303" s="117"/>
      <c r="R303" s="117"/>
      <c r="T303" s="117"/>
      <c r="V303" s="117"/>
      <c r="X303" s="117"/>
      <c r="Y303" s="10"/>
      <c r="Z303" s="11"/>
      <c r="AA303" s="36"/>
      <c r="AB303" s="36"/>
      <c r="AC303" s="13"/>
      <c r="AD303" s="13"/>
      <c r="AE303" s="37"/>
      <c r="AF303" s="37"/>
      <c r="AG303" s="14"/>
      <c r="AH303" s="14"/>
      <c r="AI303" s="14"/>
      <c r="AZ303" s="24"/>
    </row>
    <row r="304">
      <c r="B304" s="24"/>
      <c r="E304" s="113"/>
      <c r="F304" s="266"/>
      <c r="G304" s="113"/>
      <c r="K304" s="36"/>
      <c r="L304" s="117"/>
      <c r="M304" s="128"/>
      <c r="N304" s="117"/>
      <c r="R304" s="117"/>
      <c r="T304" s="117"/>
      <c r="V304" s="117"/>
      <c r="X304" s="117"/>
      <c r="Y304" s="10"/>
      <c r="Z304" s="11"/>
      <c r="AA304" s="36"/>
      <c r="AB304" s="36"/>
      <c r="AC304" s="13"/>
      <c r="AD304" s="13"/>
      <c r="AE304" s="37"/>
      <c r="AF304" s="37"/>
      <c r="AG304" s="14"/>
      <c r="AH304" s="14"/>
      <c r="AI304" s="14"/>
      <c r="AZ304" s="24"/>
    </row>
    <row r="305">
      <c r="B305" s="24"/>
      <c r="E305" s="113"/>
      <c r="F305" s="266"/>
      <c r="G305" s="113"/>
      <c r="K305" s="36"/>
      <c r="L305" s="117"/>
      <c r="M305" s="128"/>
      <c r="N305" s="117"/>
      <c r="R305" s="117"/>
      <c r="T305" s="117"/>
      <c r="V305" s="117"/>
      <c r="X305" s="117"/>
      <c r="Y305" s="10"/>
      <c r="Z305" s="11"/>
      <c r="AA305" s="36"/>
      <c r="AB305" s="36"/>
      <c r="AC305" s="13"/>
      <c r="AD305" s="13"/>
      <c r="AE305" s="37"/>
      <c r="AF305" s="37"/>
      <c r="AG305" s="14"/>
      <c r="AH305" s="14"/>
      <c r="AI305" s="14"/>
      <c r="AZ305" s="24"/>
    </row>
    <row r="306">
      <c r="B306" s="24"/>
      <c r="E306" s="113"/>
      <c r="F306" s="266"/>
      <c r="G306" s="113"/>
      <c r="K306" s="36"/>
      <c r="L306" s="117"/>
      <c r="M306" s="128"/>
      <c r="N306" s="117"/>
      <c r="R306" s="117"/>
      <c r="T306" s="117"/>
      <c r="V306" s="117"/>
      <c r="X306" s="117"/>
      <c r="Y306" s="10"/>
      <c r="Z306" s="11"/>
      <c r="AA306" s="36"/>
      <c r="AB306" s="36"/>
      <c r="AC306" s="13"/>
      <c r="AD306" s="13"/>
      <c r="AE306" s="37"/>
      <c r="AF306" s="37"/>
      <c r="AG306" s="14"/>
      <c r="AH306" s="14"/>
      <c r="AI306" s="14"/>
      <c r="AZ306" s="24"/>
    </row>
    <row r="307">
      <c r="B307" s="24"/>
      <c r="E307" s="113"/>
      <c r="F307" s="266"/>
      <c r="G307" s="113"/>
      <c r="K307" s="36"/>
      <c r="L307" s="117"/>
      <c r="M307" s="128"/>
      <c r="N307" s="117"/>
      <c r="R307" s="117"/>
      <c r="T307" s="117"/>
      <c r="V307" s="117"/>
      <c r="X307" s="117"/>
      <c r="Y307" s="10"/>
      <c r="Z307" s="11"/>
      <c r="AA307" s="36"/>
      <c r="AB307" s="36"/>
      <c r="AC307" s="13"/>
      <c r="AD307" s="13"/>
      <c r="AE307" s="37"/>
      <c r="AF307" s="37"/>
      <c r="AG307" s="14"/>
      <c r="AH307" s="14"/>
      <c r="AI307" s="14"/>
      <c r="AZ307" s="24"/>
    </row>
    <row r="308">
      <c r="B308" s="24"/>
      <c r="E308" s="113"/>
      <c r="F308" s="266"/>
      <c r="G308" s="113"/>
      <c r="K308" s="36"/>
      <c r="L308" s="117"/>
      <c r="M308" s="128"/>
      <c r="N308" s="117"/>
      <c r="R308" s="117"/>
      <c r="T308" s="117"/>
      <c r="V308" s="117"/>
      <c r="X308" s="117"/>
      <c r="Y308" s="10"/>
      <c r="Z308" s="11"/>
      <c r="AA308" s="36"/>
      <c r="AB308" s="36"/>
      <c r="AC308" s="13"/>
      <c r="AD308" s="13"/>
      <c r="AE308" s="37"/>
      <c r="AF308" s="37"/>
      <c r="AG308" s="14"/>
      <c r="AH308" s="14"/>
      <c r="AI308" s="14"/>
      <c r="AZ308" s="24"/>
    </row>
    <row r="309">
      <c r="B309" s="24"/>
      <c r="E309" s="113"/>
      <c r="F309" s="266"/>
      <c r="G309" s="113"/>
      <c r="K309" s="36"/>
      <c r="L309" s="117"/>
      <c r="M309" s="128"/>
      <c r="N309" s="117"/>
      <c r="R309" s="117"/>
      <c r="T309" s="117"/>
      <c r="V309" s="117"/>
      <c r="X309" s="117"/>
      <c r="Y309" s="10"/>
      <c r="Z309" s="11"/>
      <c r="AA309" s="36"/>
      <c r="AB309" s="36"/>
      <c r="AC309" s="13"/>
      <c r="AD309" s="13"/>
      <c r="AE309" s="37"/>
      <c r="AF309" s="37"/>
      <c r="AG309" s="14"/>
      <c r="AH309" s="14"/>
      <c r="AI309" s="14"/>
      <c r="AZ309" s="24"/>
    </row>
    <row r="310">
      <c r="B310" s="24"/>
      <c r="E310" s="113"/>
      <c r="F310" s="266"/>
      <c r="G310" s="113"/>
      <c r="K310" s="36"/>
      <c r="L310" s="117"/>
      <c r="M310" s="128"/>
      <c r="N310" s="117"/>
      <c r="R310" s="117"/>
      <c r="T310" s="117"/>
      <c r="V310" s="117"/>
      <c r="X310" s="117"/>
      <c r="Y310" s="10"/>
      <c r="Z310" s="11"/>
      <c r="AA310" s="36"/>
      <c r="AB310" s="36"/>
      <c r="AC310" s="13"/>
      <c r="AD310" s="13"/>
      <c r="AE310" s="37"/>
      <c r="AF310" s="37"/>
      <c r="AG310" s="14"/>
      <c r="AH310" s="14"/>
      <c r="AI310" s="14"/>
      <c r="AZ310" s="24"/>
    </row>
    <row r="311">
      <c r="B311" s="24"/>
      <c r="E311" s="113"/>
      <c r="F311" s="266"/>
      <c r="G311" s="113"/>
      <c r="K311" s="36"/>
      <c r="L311" s="117"/>
      <c r="M311" s="128"/>
      <c r="N311" s="117"/>
      <c r="R311" s="117"/>
      <c r="T311" s="117"/>
      <c r="V311" s="117"/>
      <c r="X311" s="117"/>
      <c r="Y311" s="10"/>
      <c r="Z311" s="11"/>
      <c r="AA311" s="36"/>
      <c r="AB311" s="36"/>
      <c r="AC311" s="13"/>
      <c r="AD311" s="13"/>
      <c r="AE311" s="37"/>
      <c r="AF311" s="37"/>
      <c r="AG311" s="14"/>
      <c r="AH311" s="14"/>
      <c r="AI311" s="14"/>
      <c r="AZ311" s="24"/>
    </row>
    <row r="312">
      <c r="B312" s="24"/>
      <c r="E312" s="113"/>
      <c r="F312" s="266"/>
      <c r="G312" s="113"/>
      <c r="K312" s="36"/>
      <c r="L312" s="117"/>
      <c r="M312" s="128"/>
      <c r="N312" s="117"/>
      <c r="R312" s="117"/>
      <c r="T312" s="117"/>
      <c r="V312" s="117"/>
      <c r="X312" s="117"/>
      <c r="Y312" s="10"/>
      <c r="Z312" s="11"/>
      <c r="AA312" s="36"/>
      <c r="AB312" s="36"/>
      <c r="AC312" s="13"/>
      <c r="AD312" s="13"/>
      <c r="AE312" s="37"/>
      <c r="AF312" s="37"/>
      <c r="AG312" s="14"/>
      <c r="AH312" s="14"/>
      <c r="AI312" s="14"/>
      <c r="AZ312" s="24"/>
    </row>
    <row r="313">
      <c r="B313" s="24"/>
      <c r="E313" s="113"/>
      <c r="F313" s="266"/>
      <c r="G313" s="113"/>
      <c r="K313" s="36"/>
      <c r="L313" s="117"/>
      <c r="M313" s="128"/>
      <c r="N313" s="117"/>
      <c r="R313" s="117"/>
      <c r="T313" s="117"/>
      <c r="V313" s="117"/>
      <c r="X313" s="117"/>
      <c r="Y313" s="10"/>
      <c r="Z313" s="11"/>
      <c r="AA313" s="36"/>
      <c r="AB313" s="36"/>
      <c r="AC313" s="13"/>
      <c r="AD313" s="13"/>
      <c r="AE313" s="37"/>
      <c r="AF313" s="37"/>
      <c r="AG313" s="14"/>
      <c r="AH313" s="14"/>
      <c r="AI313" s="14"/>
      <c r="AZ313" s="24"/>
    </row>
    <row r="314">
      <c r="B314" s="24"/>
      <c r="E314" s="113"/>
      <c r="F314" s="266"/>
      <c r="G314" s="113"/>
      <c r="K314" s="36"/>
      <c r="L314" s="117"/>
      <c r="M314" s="128"/>
      <c r="N314" s="117"/>
      <c r="R314" s="117"/>
      <c r="T314" s="117"/>
      <c r="V314" s="117"/>
      <c r="X314" s="117"/>
      <c r="Y314" s="10"/>
      <c r="Z314" s="11"/>
      <c r="AA314" s="36"/>
      <c r="AB314" s="36"/>
      <c r="AC314" s="13"/>
      <c r="AD314" s="13"/>
      <c r="AE314" s="37"/>
      <c r="AF314" s="37"/>
      <c r="AG314" s="14"/>
      <c r="AH314" s="14"/>
      <c r="AI314" s="14"/>
      <c r="AZ314" s="24"/>
    </row>
    <row r="315">
      <c r="B315" s="24"/>
      <c r="E315" s="113"/>
      <c r="F315" s="266"/>
      <c r="G315" s="113"/>
      <c r="K315" s="36"/>
      <c r="L315" s="117"/>
      <c r="M315" s="128"/>
      <c r="N315" s="117"/>
      <c r="R315" s="117"/>
      <c r="T315" s="117"/>
      <c r="V315" s="117"/>
      <c r="X315" s="117"/>
      <c r="Y315" s="10"/>
      <c r="Z315" s="11"/>
      <c r="AA315" s="36"/>
      <c r="AB315" s="36"/>
      <c r="AC315" s="13"/>
      <c r="AD315" s="13"/>
      <c r="AE315" s="37"/>
      <c r="AF315" s="37"/>
      <c r="AG315" s="14"/>
      <c r="AH315" s="14"/>
      <c r="AI315" s="14"/>
      <c r="AZ315" s="24"/>
    </row>
    <row r="316">
      <c r="B316" s="24"/>
      <c r="E316" s="113"/>
      <c r="F316" s="266"/>
      <c r="G316" s="113"/>
      <c r="K316" s="36"/>
      <c r="L316" s="117"/>
      <c r="M316" s="128"/>
      <c r="N316" s="117"/>
      <c r="R316" s="117"/>
      <c r="T316" s="117"/>
      <c r="V316" s="117"/>
      <c r="X316" s="117"/>
      <c r="Y316" s="10"/>
      <c r="Z316" s="11"/>
      <c r="AA316" s="36"/>
      <c r="AB316" s="36"/>
      <c r="AC316" s="13"/>
      <c r="AD316" s="13"/>
      <c r="AE316" s="37"/>
      <c r="AF316" s="37"/>
      <c r="AG316" s="14"/>
      <c r="AH316" s="14"/>
      <c r="AI316" s="14"/>
      <c r="AZ316" s="24"/>
    </row>
    <row r="317">
      <c r="B317" s="24"/>
      <c r="E317" s="113"/>
      <c r="F317" s="266"/>
      <c r="G317" s="113"/>
      <c r="K317" s="36"/>
      <c r="L317" s="117"/>
      <c r="M317" s="128"/>
      <c r="N317" s="117"/>
      <c r="R317" s="117"/>
      <c r="T317" s="117"/>
      <c r="V317" s="117"/>
      <c r="X317" s="117"/>
      <c r="Y317" s="10"/>
      <c r="Z317" s="11"/>
      <c r="AA317" s="36"/>
      <c r="AB317" s="36"/>
      <c r="AC317" s="13"/>
      <c r="AD317" s="13"/>
      <c r="AE317" s="37"/>
      <c r="AF317" s="37"/>
      <c r="AG317" s="14"/>
      <c r="AH317" s="14"/>
      <c r="AI317" s="14"/>
      <c r="AZ317" s="24"/>
    </row>
    <row r="318">
      <c r="B318" s="24"/>
      <c r="E318" s="113"/>
      <c r="F318" s="266"/>
      <c r="G318" s="113"/>
      <c r="K318" s="36"/>
      <c r="L318" s="117"/>
      <c r="M318" s="128"/>
      <c r="N318" s="117"/>
      <c r="R318" s="117"/>
      <c r="T318" s="117"/>
      <c r="V318" s="117"/>
      <c r="X318" s="117"/>
      <c r="Y318" s="10"/>
      <c r="Z318" s="11"/>
      <c r="AA318" s="36"/>
      <c r="AB318" s="36"/>
      <c r="AC318" s="13"/>
      <c r="AD318" s="13"/>
      <c r="AE318" s="37"/>
      <c r="AF318" s="37"/>
      <c r="AG318" s="14"/>
      <c r="AH318" s="14"/>
      <c r="AI318" s="14"/>
      <c r="AZ318" s="24"/>
    </row>
    <row r="319">
      <c r="B319" s="24"/>
      <c r="E319" s="113"/>
      <c r="F319" s="266"/>
      <c r="G319" s="113"/>
      <c r="K319" s="36"/>
      <c r="L319" s="117"/>
      <c r="M319" s="128"/>
      <c r="N319" s="117"/>
      <c r="R319" s="117"/>
      <c r="T319" s="117"/>
      <c r="V319" s="117"/>
      <c r="X319" s="117"/>
      <c r="Y319" s="10"/>
      <c r="Z319" s="11"/>
      <c r="AA319" s="36"/>
      <c r="AB319" s="36"/>
      <c r="AC319" s="13"/>
      <c r="AD319" s="13"/>
      <c r="AE319" s="37"/>
      <c r="AF319" s="37"/>
      <c r="AG319" s="14"/>
      <c r="AH319" s="14"/>
      <c r="AI319" s="14"/>
      <c r="AZ319" s="24"/>
    </row>
    <row r="320">
      <c r="B320" s="24"/>
      <c r="E320" s="113"/>
      <c r="F320" s="266"/>
      <c r="G320" s="113"/>
      <c r="K320" s="36"/>
      <c r="L320" s="117"/>
      <c r="M320" s="128"/>
      <c r="N320" s="117"/>
      <c r="R320" s="117"/>
      <c r="T320" s="117"/>
      <c r="V320" s="117"/>
      <c r="X320" s="117"/>
      <c r="Y320" s="10"/>
      <c r="Z320" s="11"/>
      <c r="AA320" s="36"/>
      <c r="AB320" s="36"/>
      <c r="AC320" s="13"/>
      <c r="AD320" s="13"/>
      <c r="AE320" s="37"/>
      <c r="AF320" s="37"/>
      <c r="AG320" s="14"/>
      <c r="AH320" s="14"/>
      <c r="AI320" s="14"/>
      <c r="AZ320" s="24"/>
    </row>
    <row r="321">
      <c r="B321" s="24"/>
      <c r="E321" s="113"/>
      <c r="F321" s="266"/>
      <c r="G321" s="113"/>
      <c r="K321" s="36"/>
      <c r="L321" s="117"/>
      <c r="M321" s="128"/>
      <c r="N321" s="117"/>
      <c r="R321" s="117"/>
      <c r="T321" s="117"/>
      <c r="V321" s="117"/>
      <c r="X321" s="117"/>
      <c r="Y321" s="10"/>
      <c r="Z321" s="11"/>
      <c r="AA321" s="36"/>
      <c r="AB321" s="36"/>
      <c r="AC321" s="13"/>
      <c r="AD321" s="13"/>
      <c r="AE321" s="37"/>
      <c r="AF321" s="37"/>
      <c r="AG321" s="14"/>
      <c r="AH321" s="14"/>
      <c r="AI321" s="14"/>
      <c r="AZ321" s="24"/>
    </row>
    <row r="322">
      <c r="B322" s="24"/>
      <c r="E322" s="113"/>
      <c r="F322" s="266"/>
      <c r="G322" s="113"/>
      <c r="K322" s="36"/>
      <c r="L322" s="117"/>
      <c r="M322" s="128"/>
      <c r="N322" s="117"/>
      <c r="R322" s="117"/>
      <c r="T322" s="117"/>
      <c r="V322" s="117"/>
      <c r="X322" s="117"/>
      <c r="Y322" s="10"/>
      <c r="Z322" s="11"/>
      <c r="AA322" s="36"/>
      <c r="AB322" s="36"/>
      <c r="AC322" s="13"/>
      <c r="AD322" s="13"/>
      <c r="AE322" s="37"/>
      <c r="AF322" s="37"/>
      <c r="AG322" s="14"/>
      <c r="AH322" s="14"/>
      <c r="AI322" s="14"/>
      <c r="AZ322" s="24"/>
    </row>
    <row r="323">
      <c r="B323" s="24"/>
      <c r="E323" s="113"/>
      <c r="F323" s="266"/>
      <c r="G323" s="113"/>
      <c r="K323" s="36"/>
      <c r="L323" s="117"/>
      <c r="M323" s="128"/>
      <c r="N323" s="117"/>
      <c r="R323" s="117"/>
      <c r="T323" s="117"/>
      <c r="V323" s="117"/>
      <c r="X323" s="117"/>
      <c r="Y323" s="10"/>
      <c r="Z323" s="11"/>
      <c r="AA323" s="36"/>
      <c r="AB323" s="36"/>
      <c r="AC323" s="13"/>
      <c r="AD323" s="13"/>
      <c r="AE323" s="37"/>
      <c r="AF323" s="37"/>
      <c r="AG323" s="14"/>
      <c r="AH323" s="14"/>
      <c r="AI323" s="14"/>
      <c r="AZ323" s="24"/>
    </row>
    <row r="324">
      <c r="B324" s="24"/>
      <c r="E324" s="113"/>
      <c r="F324" s="266"/>
      <c r="G324" s="113"/>
      <c r="K324" s="36"/>
      <c r="L324" s="117"/>
      <c r="M324" s="128"/>
      <c r="N324" s="117"/>
      <c r="R324" s="117"/>
      <c r="T324" s="117"/>
      <c r="V324" s="117"/>
      <c r="X324" s="117"/>
      <c r="Y324" s="10"/>
      <c r="Z324" s="11"/>
      <c r="AA324" s="36"/>
      <c r="AB324" s="36"/>
      <c r="AC324" s="13"/>
      <c r="AD324" s="13"/>
      <c r="AE324" s="37"/>
      <c r="AF324" s="37"/>
      <c r="AG324" s="14"/>
      <c r="AH324" s="14"/>
      <c r="AI324" s="14"/>
      <c r="AZ324" s="24"/>
    </row>
    <row r="325">
      <c r="B325" s="24"/>
      <c r="E325" s="113"/>
      <c r="F325" s="266"/>
      <c r="G325" s="113"/>
      <c r="K325" s="36"/>
      <c r="L325" s="117"/>
      <c r="M325" s="128"/>
      <c r="N325" s="117"/>
      <c r="R325" s="117"/>
      <c r="T325" s="117"/>
      <c r="V325" s="117"/>
      <c r="X325" s="117"/>
      <c r="Y325" s="10"/>
      <c r="Z325" s="11"/>
      <c r="AA325" s="36"/>
      <c r="AB325" s="36"/>
      <c r="AC325" s="13"/>
      <c r="AD325" s="13"/>
      <c r="AE325" s="37"/>
      <c r="AF325" s="37"/>
      <c r="AG325" s="14"/>
      <c r="AH325" s="14"/>
      <c r="AI325" s="14"/>
      <c r="AZ325" s="24"/>
    </row>
    <row r="326">
      <c r="B326" s="24"/>
      <c r="E326" s="113"/>
      <c r="F326" s="266"/>
      <c r="G326" s="113"/>
      <c r="K326" s="36"/>
      <c r="L326" s="117"/>
      <c r="M326" s="128"/>
      <c r="N326" s="117"/>
      <c r="R326" s="117"/>
      <c r="T326" s="117"/>
      <c r="V326" s="117"/>
      <c r="X326" s="117"/>
      <c r="Y326" s="10"/>
      <c r="Z326" s="11"/>
      <c r="AA326" s="36"/>
      <c r="AB326" s="36"/>
      <c r="AC326" s="13"/>
      <c r="AD326" s="13"/>
      <c r="AE326" s="37"/>
      <c r="AF326" s="37"/>
      <c r="AG326" s="14"/>
      <c r="AH326" s="14"/>
      <c r="AI326" s="14"/>
      <c r="AZ326" s="24"/>
    </row>
    <row r="327">
      <c r="B327" s="24"/>
      <c r="E327" s="113"/>
      <c r="F327" s="266"/>
      <c r="G327" s="113"/>
      <c r="K327" s="36"/>
      <c r="L327" s="117"/>
      <c r="M327" s="128"/>
      <c r="N327" s="117"/>
      <c r="R327" s="117"/>
      <c r="T327" s="117"/>
      <c r="V327" s="117"/>
      <c r="X327" s="117"/>
      <c r="Y327" s="10"/>
      <c r="Z327" s="11"/>
      <c r="AA327" s="36"/>
      <c r="AB327" s="36"/>
      <c r="AC327" s="13"/>
      <c r="AD327" s="13"/>
      <c r="AE327" s="37"/>
      <c r="AF327" s="37"/>
      <c r="AG327" s="14"/>
      <c r="AH327" s="14"/>
      <c r="AI327" s="14"/>
      <c r="AZ327" s="24"/>
    </row>
    <row r="328">
      <c r="B328" s="24"/>
      <c r="E328" s="113"/>
      <c r="F328" s="266"/>
      <c r="G328" s="113"/>
      <c r="K328" s="36"/>
      <c r="L328" s="117"/>
      <c r="M328" s="128"/>
      <c r="N328" s="117"/>
      <c r="R328" s="117"/>
      <c r="T328" s="117"/>
      <c r="V328" s="117"/>
      <c r="X328" s="117"/>
      <c r="Y328" s="10"/>
      <c r="Z328" s="11"/>
      <c r="AA328" s="36"/>
      <c r="AB328" s="36"/>
      <c r="AC328" s="13"/>
      <c r="AD328" s="13"/>
      <c r="AE328" s="37"/>
      <c r="AF328" s="37"/>
      <c r="AG328" s="14"/>
      <c r="AH328" s="14"/>
      <c r="AI328" s="14"/>
      <c r="AZ328" s="24"/>
    </row>
    <row r="329">
      <c r="B329" s="24"/>
      <c r="E329" s="113"/>
      <c r="F329" s="266"/>
      <c r="G329" s="113"/>
      <c r="K329" s="36"/>
      <c r="L329" s="117"/>
      <c r="M329" s="128"/>
      <c r="N329" s="117"/>
      <c r="R329" s="117"/>
      <c r="T329" s="117"/>
      <c r="V329" s="117"/>
      <c r="X329" s="117"/>
      <c r="Y329" s="10"/>
      <c r="Z329" s="11"/>
      <c r="AA329" s="36"/>
      <c r="AB329" s="36"/>
      <c r="AC329" s="13"/>
      <c r="AD329" s="13"/>
      <c r="AE329" s="37"/>
      <c r="AF329" s="37"/>
      <c r="AG329" s="14"/>
      <c r="AH329" s="14"/>
      <c r="AI329" s="14"/>
      <c r="AZ329" s="24"/>
    </row>
    <row r="330">
      <c r="B330" s="24"/>
      <c r="E330" s="113"/>
      <c r="F330" s="266"/>
      <c r="G330" s="113"/>
      <c r="K330" s="36"/>
      <c r="L330" s="117"/>
      <c r="M330" s="128"/>
      <c r="N330" s="117"/>
      <c r="R330" s="117"/>
      <c r="T330" s="117"/>
      <c r="V330" s="117"/>
      <c r="X330" s="117"/>
      <c r="Y330" s="10"/>
      <c r="Z330" s="11"/>
      <c r="AA330" s="36"/>
      <c r="AB330" s="36"/>
      <c r="AC330" s="13"/>
      <c r="AD330" s="13"/>
      <c r="AE330" s="37"/>
      <c r="AF330" s="37"/>
      <c r="AG330" s="14"/>
      <c r="AH330" s="14"/>
      <c r="AI330" s="14"/>
      <c r="AZ330" s="24"/>
    </row>
    <row r="331">
      <c r="B331" s="24"/>
      <c r="E331" s="113"/>
      <c r="F331" s="266"/>
      <c r="G331" s="113"/>
      <c r="K331" s="36"/>
      <c r="L331" s="117"/>
      <c r="M331" s="128"/>
      <c r="N331" s="117"/>
      <c r="R331" s="117"/>
      <c r="T331" s="117"/>
      <c r="V331" s="117"/>
      <c r="X331" s="117"/>
      <c r="Y331" s="10"/>
      <c r="Z331" s="11"/>
      <c r="AA331" s="36"/>
      <c r="AB331" s="36"/>
      <c r="AC331" s="13"/>
      <c r="AD331" s="13"/>
      <c r="AE331" s="37"/>
      <c r="AF331" s="37"/>
      <c r="AG331" s="14"/>
      <c r="AH331" s="14"/>
      <c r="AI331" s="14"/>
      <c r="AZ331" s="24"/>
    </row>
    <row r="332">
      <c r="B332" s="24"/>
      <c r="E332" s="113"/>
      <c r="F332" s="266"/>
      <c r="G332" s="113"/>
      <c r="K332" s="36"/>
      <c r="L332" s="117"/>
      <c r="M332" s="128"/>
      <c r="N332" s="117"/>
      <c r="R332" s="117"/>
      <c r="T332" s="117"/>
      <c r="V332" s="117"/>
      <c r="X332" s="117"/>
      <c r="Y332" s="10"/>
      <c r="Z332" s="11"/>
      <c r="AA332" s="36"/>
      <c r="AB332" s="36"/>
      <c r="AC332" s="13"/>
      <c r="AD332" s="13"/>
      <c r="AE332" s="37"/>
      <c r="AF332" s="37"/>
      <c r="AG332" s="14"/>
      <c r="AH332" s="14"/>
      <c r="AI332" s="14"/>
      <c r="AZ332" s="24"/>
    </row>
    <row r="333">
      <c r="B333" s="24"/>
      <c r="E333" s="113"/>
      <c r="F333" s="266"/>
      <c r="G333" s="113"/>
      <c r="K333" s="36"/>
      <c r="L333" s="117"/>
      <c r="M333" s="128"/>
      <c r="N333" s="117"/>
      <c r="R333" s="117"/>
      <c r="T333" s="117"/>
      <c r="V333" s="117"/>
      <c r="X333" s="117"/>
      <c r="Y333" s="10"/>
      <c r="Z333" s="11"/>
      <c r="AA333" s="36"/>
      <c r="AB333" s="36"/>
      <c r="AC333" s="13"/>
      <c r="AD333" s="13"/>
      <c r="AE333" s="37"/>
      <c r="AF333" s="37"/>
      <c r="AG333" s="14"/>
      <c r="AH333" s="14"/>
      <c r="AI333" s="14"/>
      <c r="AZ333" s="24"/>
    </row>
    <row r="334">
      <c r="B334" s="24"/>
      <c r="E334" s="113"/>
      <c r="F334" s="266"/>
      <c r="G334" s="113"/>
      <c r="K334" s="36"/>
      <c r="L334" s="117"/>
      <c r="M334" s="128"/>
      <c r="N334" s="117"/>
      <c r="R334" s="117"/>
      <c r="T334" s="117"/>
      <c r="V334" s="117"/>
      <c r="X334" s="117"/>
      <c r="Y334" s="10"/>
      <c r="Z334" s="11"/>
      <c r="AA334" s="36"/>
      <c r="AB334" s="36"/>
      <c r="AC334" s="13"/>
      <c r="AD334" s="13"/>
      <c r="AE334" s="37"/>
      <c r="AF334" s="37"/>
      <c r="AG334" s="14"/>
      <c r="AH334" s="14"/>
      <c r="AI334" s="14"/>
      <c r="AZ334" s="24"/>
    </row>
    <row r="335">
      <c r="B335" s="24"/>
      <c r="E335" s="113"/>
      <c r="F335" s="266"/>
      <c r="G335" s="113"/>
      <c r="K335" s="36"/>
      <c r="L335" s="117"/>
      <c r="M335" s="128"/>
      <c r="N335" s="117"/>
      <c r="R335" s="117"/>
      <c r="T335" s="117"/>
      <c r="V335" s="117"/>
      <c r="X335" s="117"/>
      <c r="Y335" s="10"/>
      <c r="Z335" s="11"/>
      <c r="AA335" s="36"/>
      <c r="AB335" s="36"/>
      <c r="AC335" s="13"/>
      <c r="AD335" s="13"/>
      <c r="AE335" s="37"/>
      <c r="AF335" s="37"/>
      <c r="AG335" s="14"/>
      <c r="AH335" s="14"/>
      <c r="AI335" s="14"/>
      <c r="AZ335" s="24"/>
    </row>
    <row r="336">
      <c r="B336" s="24"/>
      <c r="E336" s="113"/>
      <c r="F336" s="266"/>
      <c r="G336" s="113"/>
      <c r="K336" s="36"/>
      <c r="L336" s="117"/>
      <c r="M336" s="128"/>
      <c r="N336" s="117"/>
      <c r="R336" s="117"/>
      <c r="T336" s="117"/>
      <c r="V336" s="117"/>
      <c r="X336" s="117"/>
      <c r="Y336" s="10"/>
      <c r="Z336" s="11"/>
      <c r="AA336" s="36"/>
      <c r="AB336" s="36"/>
      <c r="AC336" s="13"/>
      <c r="AD336" s="13"/>
      <c r="AE336" s="37"/>
      <c r="AF336" s="37"/>
      <c r="AG336" s="14"/>
      <c r="AH336" s="14"/>
      <c r="AI336" s="14"/>
      <c r="AZ336" s="24"/>
    </row>
    <row r="337">
      <c r="B337" s="24"/>
      <c r="E337" s="113"/>
      <c r="F337" s="266"/>
      <c r="G337" s="113"/>
      <c r="K337" s="36"/>
      <c r="L337" s="117"/>
      <c r="M337" s="128"/>
      <c r="N337" s="117"/>
      <c r="R337" s="117"/>
      <c r="T337" s="117"/>
      <c r="V337" s="117"/>
      <c r="X337" s="117"/>
      <c r="Y337" s="10"/>
      <c r="Z337" s="11"/>
      <c r="AA337" s="36"/>
      <c r="AB337" s="36"/>
      <c r="AC337" s="13"/>
      <c r="AD337" s="13"/>
      <c r="AE337" s="37"/>
      <c r="AF337" s="37"/>
      <c r="AG337" s="14"/>
      <c r="AH337" s="14"/>
      <c r="AI337" s="14"/>
      <c r="AZ337" s="24"/>
    </row>
    <row r="338">
      <c r="B338" s="24"/>
      <c r="E338" s="113"/>
      <c r="F338" s="266"/>
      <c r="G338" s="113"/>
      <c r="K338" s="36"/>
      <c r="L338" s="117"/>
      <c r="M338" s="128"/>
      <c r="N338" s="117"/>
      <c r="R338" s="117"/>
      <c r="T338" s="117"/>
      <c r="V338" s="117"/>
      <c r="X338" s="117"/>
      <c r="Y338" s="10"/>
      <c r="Z338" s="11"/>
      <c r="AA338" s="36"/>
      <c r="AB338" s="36"/>
      <c r="AC338" s="13"/>
      <c r="AD338" s="13"/>
      <c r="AE338" s="37"/>
      <c r="AF338" s="37"/>
      <c r="AG338" s="14"/>
      <c r="AH338" s="14"/>
      <c r="AI338" s="14"/>
      <c r="AZ338" s="24"/>
    </row>
    <row r="339">
      <c r="B339" s="24"/>
      <c r="E339" s="113"/>
      <c r="F339" s="266"/>
      <c r="G339" s="113"/>
      <c r="K339" s="36"/>
      <c r="L339" s="117"/>
      <c r="M339" s="128"/>
      <c r="N339" s="117"/>
      <c r="R339" s="117"/>
      <c r="T339" s="117"/>
      <c r="V339" s="117"/>
      <c r="X339" s="117"/>
      <c r="Y339" s="10"/>
      <c r="Z339" s="11"/>
      <c r="AA339" s="36"/>
      <c r="AB339" s="36"/>
      <c r="AC339" s="13"/>
      <c r="AD339" s="13"/>
      <c r="AE339" s="37"/>
      <c r="AF339" s="37"/>
      <c r="AG339" s="14"/>
      <c r="AH339" s="14"/>
      <c r="AI339" s="14"/>
      <c r="AZ339" s="24"/>
    </row>
    <row r="340">
      <c r="B340" s="24"/>
      <c r="E340" s="113"/>
      <c r="F340" s="266"/>
      <c r="G340" s="113"/>
      <c r="K340" s="36"/>
      <c r="L340" s="117"/>
      <c r="M340" s="128"/>
      <c r="N340" s="117"/>
      <c r="R340" s="117"/>
      <c r="T340" s="117"/>
      <c r="V340" s="117"/>
      <c r="X340" s="117"/>
      <c r="Y340" s="10"/>
      <c r="Z340" s="11"/>
      <c r="AA340" s="36"/>
      <c r="AB340" s="36"/>
      <c r="AC340" s="13"/>
      <c r="AD340" s="13"/>
      <c r="AE340" s="37"/>
      <c r="AF340" s="37"/>
      <c r="AG340" s="14"/>
      <c r="AH340" s="14"/>
      <c r="AI340" s="14"/>
      <c r="AZ340" s="24"/>
    </row>
    <row r="341">
      <c r="B341" s="24"/>
      <c r="E341" s="113"/>
      <c r="F341" s="266"/>
      <c r="G341" s="113"/>
      <c r="K341" s="36"/>
      <c r="L341" s="117"/>
      <c r="M341" s="128"/>
      <c r="N341" s="117"/>
      <c r="R341" s="117"/>
      <c r="T341" s="117"/>
      <c r="V341" s="117"/>
      <c r="X341" s="117"/>
      <c r="Y341" s="10"/>
      <c r="Z341" s="11"/>
      <c r="AA341" s="36"/>
      <c r="AB341" s="36"/>
      <c r="AC341" s="13"/>
      <c r="AD341" s="13"/>
      <c r="AE341" s="37"/>
      <c r="AF341" s="37"/>
      <c r="AG341" s="14"/>
      <c r="AH341" s="14"/>
      <c r="AI341" s="14"/>
      <c r="AZ341" s="24"/>
    </row>
    <row r="342">
      <c r="B342" s="24"/>
      <c r="E342" s="113"/>
      <c r="F342" s="266"/>
      <c r="G342" s="113"/>
      <c r="K342" s="36"/>
      <c r="L342" s="117"/>
      <c r="M342" s="128"/>
      <c r="N342" s="117"/>
      <c r="R342" s="117"/>
      <c r="T342" s="117"/>
      <c r="V342" s="117"/>
      <c r="X342" s="117"/>
      <c r="Y342" s="10"/>
      <c r="Z342" s="11"/>
      <c r="AA342" s="36"/>
      <c r="AB342" s="36"/>
      <c r="AC342" s="13"/>
      <c r="AD342" s="13"/>
      <c r="AE342" s="37"/>
      <c r="AF342" s="37"/>
      <c r="AG342" s="14"/>
      <c r="AH342" s="14"/>
      <c r="AI342" s="14"/>
      <c r="AZ342" s="24"/>
    </row>
    <row r="343">
      <c r="B343" s="24"/>
      <c r="E343" s="113"/>
      <c r="F343" s="266"/>
      <c r="G343" s="113"/>
      <c r="K343" s="36"/>
      <c r="L343" s="117"/>
      <c r="M343" s="128"/>
      <c r="N343" s="117"/>
      <c r="R343" s="117"/>
      <c r="T343" s="117"/>
      <c r="V343" s="117"/>
      <c r="X343" s="117"/>
      <c r="Y343" s="10"/>
      <c r="Z343" s="11"/>
      <c r="AA343" s="36"/>
      <c r="AB343" s="36"/>
      <c r="AC343" s="13"/>
      <c r="AD343" s="13"/>
      <c r="AE343" s="37"/>
      <c r="AF343" s="37"/>
      <c r="AG343" s="14"/>
      <c r="AH343" s="14"/>
      <c r="AI343" s="14"/>
      <c r="AZ343" s="24"/>
    </row>
    <row r="344">
      <c r="B344" s="24"/>
      <c r="E344" s="113"/>
      <c r="F344" s="266"/>
      <c r="G344" s="113"/>
      <c r="K344" s="36"/>
      <c r="L344" s="117"/>
      <c r="M344" s="128"/>
      <c r="N344" s="117"/>
      <c r="R344" s="117"/>
      <c r="T344" s="117"/>
      <c r="V344" s="117"/>
      <c r="X344" s="117"/>
      <c r="Y344" s="10"/>
      <c r="Z344" s="11"/>
      <c r="AA344" s="36"/>
      <c r="AB344" s="36"/>
      <c r="AC344" s="13"/>
      <c r="AD344" s="13"/>
      <c r="AE344" s="37"/>
      <c r="AF344" s="37"/>
      <c r="AG344" s="14"/>
      <c r="AH344" s="14"/>
      <c r="AI344" s="14"/>
      <c r="AZ344" s="24"/>
    </row>
    <row r="345">
      <c r="B345" s="24"/>
      <c r="E345" s="113"/>
      <c r="F345" s="266"/>
      <c r="G345" s="113"/>
      <c r="K345" s="36"/>
      <c r="L345" s="117"/>
      <c r="M345" s="128"/>
      <c r="N345" s="117"/>
      <c r="R345" s="117"/>
      <c r="T345" s="117"/>
      <c r="V345" s="117"/>
      <c r="X345" s="117"/>
      <c r="Y345" s="10"/>
      <c r="Z345" s="11"/>
      <c r="AA345" s="36"/>
      <c r="AB345" s="36"/>
      <c r="AC345" s="13"/>
      <c r="AD345" s="13"/>
      <c r="AE345" s="37"/>
      <c r="AF345" s="37"/>
      <c r="AG345" s="14"/>
      <c r="AH345" s="14"/>
      <c r="AI345" s="14"/>
      <c r="AZ345" s="24"/>
    </row>
    <row r="346">
      <c r="B346" s="24"/>
      <c r="E346" s="113"/>
      <c r="F346" s="266"/>
      <c r="G346" s="113"/>
      <c r="K346" s="36"/>
      <c r="L346" s="117"/>
      <c r="M346" s="128"/>
      <c r="N346" s="117"/>
      <c r="R346" s="117"/>
      <c r="T346" s="117"/>
      <c r="V346" s="117"/>
      <c r="X346" s="117"/>
      <c r="Y346" s="10"/>
      <c r="Z346" s="11"/>
      <c r="AA346" s="36"/>
      <c r="AB346" s="36"/>
      <c r="AC346" s="13"/>
      <c r="AD346" s="13"/>
      <c r="AE346" s="37"/>
      <c r="AF346" s="37"/>
      <c r="AG346" s="14"/>
      <c r="AH346" s="14"/>
      <c r="AI346" s="14"/>
      <c r="AZ346" s="24"/>
    </row>
    <row r="347">
      <c r="B347" s="24"/>
      <c r="E347" s="113"/>
      <c r="F347" s="266"/>
      <c r="G347" s="113"/>
      <c r="K347" s="36"/>
      <c r="L347" s="117"/>
      <c r="M347" s="128"/>
      <c r="N347" s="117"/>
      <c r="R347" s="117"/>
      <c r="T347" s="117"/>
      <c r="V347" s="117"/>
      <c r="X347" s="117"/>
      <c r="Y347" s="10"/>
      <c r="Z347" s="11"/>
      <c r="AA347" s="36"/>
      <c r="AB347" s="36"/>
      <c r="AC347" s="13"/>
      <c r="AD347" s="13"/>
      <c r="AE347" s="37"/>
      <c r="AF347" s="37"/>
      <c r="AG347" s="14"/>
      <c r="AH347" s="14"/>
      <c r="AI347" s="14"/>
      <c r="AZ347" s="24"/>
    </row>
    <row r="348">
      <c r="B348" s="24"/>
      <c r="E348" s="113"/>
      <c r="F348" s="266"/>
      <c r="G348" s="113"/>
      <c r="K348" s="36"/>
      <c r="L348" s="117"/>
      <c r="M348" s="128"/>
      <c r="N348" s="117"/>
      <c r="R348" s="117"/>
      <c r="T348" s="117"/>
      <c r="V348" s="117"/>
      <c r="X348" s="117"/>
      <c r="Y348" s="10"/>
      <c r="Z348" s="11"/>
      <c r="AA348" s="36"/>
      <c r="AB348" s="36"/>
      <c r="AC348" s="13"/>
      <c r="AD348" s="13"/>
      <c r="AE348" s="37"/>
      <c r="AF348" s="37"/>
      <c r="AG348" s="14"/>
      <c r="AH348" s="14"/>
      <c r="AI348" s="14"/>
      <c r="AZ348" s="24"/>
    </row>
    <row r="349">
      <c r="B349" s="24"/>
      <c r="E349" s="113"/>
      <c r="F349" s="266"/>
      <c r="G349" s="113"/>
      <c r="K349" s="36"/>
      <c r="L349" s="117"/>
      <c r="M349" s="128"/>
      <c r="N349" s="117"/>
      <c r="R349" s="117"/>
      <c r="T349" s="117"/>
      <c r="V349" s="117"/>
      <c r="X349" s="117"/>
      <c r="Y349" s="10"/>
      <c r="Z349" s="11"/>
      <c r="AA349" s="36"/>
      <c r="AB349" s="36"/>
      <c r="AC349" s="13"/>
      <c r="AD349" s="13"/>
      <c r="AE349" s="37"/>
      <c r="AF349" s="37"/>
      <c r="AG349" s="14"/>
      <c r="AH349" s="14"/>
      <c r="AI349" s="14"/>
      <c r="AZ349" s="24"/>
    </row>
    <row r="350">
      <c r="B350" s="24"/>
      <c r="E350" s="113"/>
      <c r="F350" s="266"/>
      <c r="G350" s="113"/>
      <c r="K350" s="36"/>
      <c r="L350" s="117"/>
      <c r="M350" s="128"/>
      <c r="N350" s="117"/>
      <c r="R350" s="117"/>
      <c r="T350" s="117"/>
      <c r="V350" s="117"/>
      <c r="X350" s="117"/>
      <c r="Y350" s="10"/>
      <c r="Z350" s="11"/>
      <c r="AA350" s="36"/>
      <c r="AB350" s="36"/>
      <c r="AC350" s="13"/>
      <c r="AD350" s="13"/>
      <c r="AE350" s="37"/>
      <c r="AF350" s="37"/>
      <c r="AG350" s="14"/>
      <c r="AH350" s="14"/>
      <c r="AI350" s="14"/>
      <c r="AZ350" s="24"/>
    </row>
    <row r="351">
      <c r="B351" s="24"/>
      <c r="E351" s="113"/>
      <c r="F351" s="266"/>
      <c r="G351" s="113"/>
      <c r="K351" s="36"/>
      <c r="L351" s="117"/>
      <c r="M351" s="128"/>
      <c r="N351" s="117"/>
      <c r="R351" s="117"/>
      <c r="T351" s="117"/>
      <c r="V351" s="117"/>
      <c r="X351" s="117"/>
      <c r="Y351" s="10"/>
      <c r="Z351" s="11"/>
      <c r="AA351" s="36"/>
      <c r="AB351" s="36"/>
      <c r="AC351" s="13"/>
      <c r="AD351" s="13"/>
      <c r="AE351" s="37"/>
      <c r="AF351" s="37"/>
      <c r="AG351" s="14"/>
      <c r="AH351" s="14"/>
      <c r="AI351" s="14"/>
      <c r="AZ351" s="24"/>
    </row>
    <row r="352">
      <c r="B352" s="24"/>
      <c r="E352" s="113"/>
      <c r="F352" s="266"/>
      <c r="G352" s="113"/>
      <c r="K352" s="36"/>
      <c r="L352" s="117"/>
      <c r="M352" s="128"/>
      <c r="N352" s="117"/>
      <c r="R352" s="117"/>
      <c r="T352" s="117"/>
      <c r="V352" s="117"/>
      <c r="X352" s="117"/>
      <c r="Y352" s="10"/>
      <c r="Z352" s="11"/>
      <c r="AA352" s="36"/>
      <c r="AB352" s="36"/>
      <c r="AC352" s="13"/>
      <c r="AD352" s="13"/>
      <c r="AE352" s="37"/>
      <c r="AF352" s="37"/>
      <c r="AG352" s="14"/>
      <c r="AH352" s="14"/>
      <c r="AI352" s="14"/>
      <c r="AZ352" s="24"/>
    </row>
    <row r="353">
      <c r="B353" s="24"/>
      <c r="E353" s="113"/>
      <c r="F353" s="266"/>
      <c r="G353" s="113"/>
      <c r="K353" s="36"/>
      <c r="L353" s="117"/>
      <c r="M353" s="128"/>
      <c r="N353" s="117"/>
      <c r="R353" s="117"/>
      <c r="T353" s="117"/>
      <c r="V353" s="117"/>
      <c r="X353" s="117"/>
      <c r="Y353" s="10"/>
      <c r="Z353" s="11"/>
      <c r="AA353" s="36"/>
      <c r="AB353" s="36"/>
      <c r="AC353" s="13"/>
      <c r="AD353" s="13"/>
      <c r="AE353" s="37"/>
      <c r="AF353" s="37"/>
      <c r="AG353" s="14"/>
      <c r="AH353" s="14"/>
      <c r="AI353" s="14"/>
      <c r="AZ353" s="24"/>
    </row>
    <row r="354">
      <c r="B354" s="24"/>
      <c r="E354" s="113"/>
      <c r="F354" s="266"/>
      <c r="G354" s="113"/>
      <c r="K354" s="36"/>
      <c r="L354" s="117"/>
      <c r="M354" s="128"/>
      <c r="N354" s="117"/>
      <c r="R354" s="117"/>
      <c r="T354" s="117"/>
      <c r="V354" s="117"/>
      <c r="X354" s="117"/>
      <c r="Y354" s="10"/>
      <c r="Z354" s="11"/>
      <c r="AA354" s="36"/>
      <c r="AB354" s="36"/>
      <c r="AC354" s="13"/>
      <c r="AD354" s="13"/>
      <c r="AE354" s="37"/>
      <c r="AF354" s="37"/>
      <c r="AG354" s="14"/>
      <c r="AH354" s="14"/>
      <c r="AI354" s="14"/>
      <c r="AZ354" s="24"/>
    </row>
    <row r="355">
      <c r="B355" s="24"/>
      <c r="E355" s="113"/>
      <c r="F355" s="266"/>
      <c r="G355" s="113"/>
      <c r="K355" s="36"/>
      <c r="L355" s="117"/>
      <c r="M355" s="128"/>
      <c r="N355" s="117"/>
      <c r="R355" s="117"/>
      <c r="T355" s="117"/>
      <c r="V355" s="117"/>
      <c r="X355" s="117"/>
      <c r="Y355" s="10"/>
      <c r="Z355" s="11"/>
      <c r="AA355" s="36"/>
      <c r="AB355" s="36"/>
      <c r="AC355" s="13"/>
      <c r="AD355" s="13"/>
      <c r="AE355" s="37"/>
      <c r="AF355" s="37"/>
      <c r="AG355" s="14"/>
      <c r="AH355" s="14"/>
      <c r="AI355" s="14"/>
      <c r="AZ355" s="24"/>
    </row>
    <row r="356">
      <c r="B356" s="24"/>
      <c r="E356" s="113"/>
      <c r="F356" s="266"/>
      <c r="G356" s="113"/>
      <c r="K356" s="36"/>
      <c r="L356" s="117"/>
      <c r="M356" s="128"/>
      <c r="N356" s="117"/>
      <c r="R356" s="117"/>
      <c r="T356" s="117"/>
      <c r="V356" s="117"/>
      <c r="X356" s="117"/>
      <c r="Y356" s="10"/>
      <c r="Z356" s="11"/>
      <c r="AA356" s="36"/>
      <c r="AB356" s="36"/>
      <c r="AC356" s="13"/>
      <c r="AD356" s="13"/>
      <c r="AE356" s="37"/>
      <c r="AF356" s="37"/>
      <c r="AG356" s="14"/>
      <c r="AH356" s="14"/>
      <c r="AI356" s="14"/>
      <c r="AZ356" s="24"/>
    </row>
    <row r="357">
      <c r="B357" s="24"/>
      <c r="E357" s="113"/>
      <c r="F357" s="266"/>
      <c r="G357" s="113"/>
      <c r="K357" s="36"/>
      <c r="L357" s="117"/>
      <c r="M357" s="128"/>
      <c r="N357" s="117"/>
      <c r="R357" s="117"/>
      <c r="T357" s="117"/>
      <c r="V357" s="117"/>
      <c r="X357" s="117"/>
      <c r="Y357" s="10"/>
      <c r="Z357" s="11"/>
      <c r="AA357" s="36"/>
      <c r="AB357" s="36"/>
      <c r="AC357" s="13"/>
      <c r="AD357" s="13"/>
      <c r="AE357" s="37"/>
      <c r="AF357" s="37"/>
      <c r="AG357" s="14"/>
      <c r="AH357" s="14"/>
      <c r="AI357" s="14"/>
      <c r="AZ357" s="24"/>
    </row>
    <row r="358">
      <c r="B358" s="24"/>
      <c r="E358" s="113"/>
      <c r="F358" s="266"/>
      <c r="G358" s="113"/>
      <c r="K358" s="36"/>
      <c r="L358" s="117"/>
      <c r="M358" s="128"/>
      <c r="N358" s="117"/>
      <c r="R358" s="117"/>
      <c r="T358" s="117"/>
      <c r="V358" s="117"/>
      <c r="X358" s="117"/>
      <c r="Y358" s="10"/>
      <c r="Z358" s="11"/>
      <c r="AA358" s="36"/>
      <c r="AB358" s="36"/>
      <c r="AC358" s="13"/>
      <c r="AD358" s="13"/>
      <c r="AE358" s="37"/>
      <c r="AF358" s="37"/>
      <c r="AG358" s="14"/>
      <c r="AH358" s="14"/>
      <c r="AI358" s="14"/>
      <c r="AZ358" s="24"/>
    </row>
    <row r="359">
      <c r="B359" s="24"/>
      <c r="E359" s="113"/>
      <c r="F359" s="266"/>
      <c r="G359" s="113"/>
      <c r="K359" s="36"/>
      <c r="L359" s="117"/>
      <c r="M359" s="128"/>
      <c r="N359" s="117"/>
      <c r="R359" s="117"/>
      <c r="T359" s="117"/>
      <c r="V359" s="117"/>
      <c r="X359" s="117"/>
      <c r="Y359" s="10"/>
      <c r="Z359" s="11"/>
      <c r="AA359" s="36"/>
      <c r="AB359" s="36"/>
      <c r="AC359" s="13"/>
      <c r="AD359" s="13"/>
      <c r="AE359" s="37"/>
      <c r="AF359" s="37"/>
      <c r="AG359" s="14"/>
      <c r="AH359" s="14"/>
      <c r="AI359" s="14"/>
      <c r="AZ359" s="24"/>
    </row>
    <row r="360">
      <c r="B360" s="24"/>
      <c r="E360" s="113"/>
      <c r="F360" s="266"/>
      <c r="G360" s="113"/>
      <c r="K360" s="36"/>
      <c r="L360" s="117"/>
      <c r="M360" s="128"/>
      <c r="N360" s="117"/>
      <c r="R360" s="117"/>
      <c r="T360" s="117"/>
      <c r="V360" s="117"/>
      <c r="X360" s="117"/>
      <c r="Y360" s="10"/>
      <c r="Z360" s="11"/>
      <c r="AA360" s="36"/>
      <c r="AB360" s="36"/>
      <c r="AC360" s="13"/>
      <c r="AD360" s="13"/>
      <c r="AE360" s="37"/>
      <c r="AF360" s="37"/>
      <c r="AG360" s="14"/>
      <c r="AH360" s="14"/>
      <c r="AI360" s="14"/>
      <c r="AZ360" s="24"/>
    </row>
    <row r="361">
      <c r="B361" s="24"/>
      <c r="E361" s="113"/>
      <c r="F361" s="266"/>
      <c r="G361" s="113"/>
      <c r="K361" s="36"/>
      <c r="L361" s="117"/>
      <c r="M361" s="128"/>
      <c r="N361" s="117"/>
      <c r="R361" s="117"/>
      <c r="T361" s="117"/>
      <c r="V361" s="117"/>
      <c r="X361" s="117"/>
      <c r="Y361" s="10"/>
      <c r="Z361" s="11"/>
      <c r="AA361" s="36"/>
      <c r="AB361" s="36"/>
      <c r="AC361" s="13"/>
      <c r="AD361" s="13"/>
      <c r="AE361" s="37"/>
      <c r="AF361" s="37"/>
      <c r="AG361" s="14"/>
      <c r="AH361" s="14"/>
      <c r="AI361" s="14"/>
      <c r="AZ361" s="24"/>
    </row>
    <row r="362">
      <c r="B362" s="24"/>
      <c r="E362" s="113"/>
      <c r="F362" s="266"/>
      <c r="G362" s="113"/>
      <c r="K362" s="36"/>
      <c r="L362" s="117"/>
      <c r="M362" s="128"/>
      <c r="N362" s="117"/>
      <c r="R362" s="117"/>
      <c r="T362" s="117"/>
      <c r="V362" s="117"/>
      <c r="X362" s="117"/>
      <c r="Y362" s="10"/>
      <c r="Z362" s="11"/>
      <c r="AA362" s="36"/>
      <c r="AB362" s="36"/>
      <c r="AC362" s="13"/>
      <c r="AD362" s="13"/>
      <c r="AE362" s="37"/>
      <c r="AF362" s="37"/>
      <c r="AG362" s="14"/>
      <c r="AH362" s="14"/>
      <c r="AI362" s="14"/>
      <c r="AZ362" s="24"/>
    </row>
    <row r="363">
      <c r="B363" s="24"/>
      <c r="E363" s="113"/>
      <c r="F363" s="266"/>
      <c r="G363" s="113"/>
      <c r="K363" s="36"/>
      <c r="L363" s="117"/>
      <c r="M363" s="128"/>
      <c r="N363" s="117"/>
      <c r="R363" s="117"/>
      <c r="T363" s="117"/>
      <c r="V363" s="117"/>
      <c r="X363" s="117"/>
      <c r="Y363" s="10"/>
      <c r="Z363" s="11"/>
      <c r="AA363" s="36"/>
      <c r="AB363" s="36"/>
      <c r="AC363" s="13"/>
      <c r="AD363" s="13"/>
      <c r="AE363" s="37"/>
      <c r="AF363" s="37"/>
      <c r="AG363" s="14"/>
      <c r="AH363" s="14"/>
      <c r="AI363" s="14"/>
      <c r="AZ363" s="24"/>
    </row>
    <row r="364">
      <c r="B364" s="24"/>
      <c r="E364" s="113"/>
      <c r="F364" s="266"/>
      <c r="G364" s="113"/>
      <c r="K364" s="36"/>
      <c r="L364" s="117"/>
      <c r="M364" s="128"/>
      <c r="N364" s="117"/>
      <c r="R364" s="117"/>
      <c r="T364" s="117"/>
      <c r="V364" s="117"/>
      <c r="X364" s="117"/>
      <c r="Y364" s="10"/>
      <c r="Z364" s="11"/>
      <c r="AA364" s="36"/>
      <c r="AB364" s="36"/>
      <c r="AC364" s="13"/>
      <c r="AD364" s="13"/>
      <c r="AE364" s="37"/>
      <c r="AF364" s="37"/>
      <c r="AG364" s="14"/>
      <c r="AH364" s="14"/>
      <c r="AI364" s="14"/>
      <c r="AZ364" s="24"/>
    </row>
    <row r="365">
      <c r="B365" s="24"/>
      <c r="E365" s="113"/>
      <c r="F365" s="266"/>
      <c r="G365" s="113"/>
      <c r="K365" s="36"/>
      <c r="L365" s="117"/>
      <c r="M365" s="128"/>
      <c r="N365" s="117"/>
      <c r="R365" s="117"/>
      <c r="T365" s="117"/>
      <c r="V365" s="117"/>
      <c r="X365" s="117"/>
      <c r="Y365" s="10"/>
      <c r="Z365" s="11"/>
      <c r="AA365" s="36"/>
      <c r="AB365" s="36"/>
      <c r="AC365" s="13"/>
      <c r="AD365" s="13"/>
      <c r="AE365" s="37"/>
      <c r="AF365" s="37"/>
      <c r="AG365" s="14"/>
      <c r="AH365" s="14"/>
      <c r="AI365" s="14"/>
      <c r="AZ365" s="24"/>
    </row>
    <row r="366">
      <c r="B366" s="24"/>
      <c r="E366" s="113"/>
      <c r="F366" s="266"/>
      <c r="G366" s="113"/>
      <c r="K366" s="36"/>
      <c r="L366" s="117"/>
      <c r="M366" s="128"/>
      <c r="N366" s="117"/>
      <c r="R366" s="117"/>
      <c r="T366" s="117"/>
      <c r="V366" s="117"/>
      <c r="X366" s="117"/>
      <c r="Y366" s="10"/>
      <c r="Z366" s="11"/>
      <c r="AA366" s="36"/>
      <c r="AB366" s="36"/>
      <c r="AC366" s="13"/>
      <c r="AD366" s="13"/>
      <c r="AE366" s="37"/>
      <c r="AF366" s="37"/>
      <c r="AG366" s="14"/>
      <c r="AH366" s="14"/>
      <c r="AI366" s="14"/>
      <c r="AZ366" s="24"/>
    </row>
    <row r="367">
      <c r="B367" s="24"/>
      <c r="E367" s="113"/>
      <c r="F367" s="266"/>
      <c r="G367" s="113"/>
      <c r="K367" s="36"/>
      <c r="L367" s="117"/>
      <c r="M367" s="128"/>
      <c r="N367" s="117"/>
      <c r="R367" s="117"/>
      <c r="T367" s="117"/>
      <c r="V367" s="117"/>
      <c r="X367" s="117"/>
      <c r="Y367" s="10"/>
      <c r="Z367" s="11"/>
      <c r="AA367" s="36"/>
      <c r="AB367" s="36"/>
      <c r="AC367" s="13"/>
      <c r="AD367" s="13"/>
      <c r="AE367" s="37"/>
      <c r="AF367" s="37"/>
      <c r="AG367" s="14"/>
      <c r="AH367" s="14"/>
      <c r="AI367" s="14"/>
      <c r="AZ367" s="24"/>
    </row>
    <row r="368">
      <c r="B368" s="24"/>
      <c r="E368" s="113"/>
      <c r="F368" s="266"/>
      <c r="G368" s="113"/>
      <c r="K368" s="36"/>
      <c r="L368" s="117"/>
      <c r="M368" s="128"/>
      <c r="N368" s="117"/>
      <c r="R368" s="117"/>
      <c r="T368" s="117"/>
      <c r="V368" s="117"/>
      <c r="X368" s="117"/>
      <c r="Y368" s="10"/>
      <c r="Z368" s="11"/>
      <c r="AA368" s="36"/>
      <c r="AB368" s="36"/>
      <c r="AC368" s="13"/>
      <c r="AD368" s="13"/>
      <c r="AE368" s="37"/>
      <c r="AF368" s="37"/>
      <c r="AG368" s="14"/>
      <c r="AH368" s="14"/>
      <c r="AI368" s="14"/>
      <c r="AZ368" s="24"/>
    </row>
    <row r="369">
      <c r="B369" s="24"/>
      <c r="E369" s="113"/>
      <c r="F369" s="266"/>
      <c r="G369" s="113"/>
      <c r="K369" s="36"/>
      <c r="L369" s="117"/>
      <c r="M369" s="128"/>
      <c r="N369" s="117"/>
      <c r="R369" s="117"/>
      <c r="T369" s="117"/>
      <c r="V369" s="117"/>
      <c r="X369" s="117"/>
      <c r="Y369" s="10"/>
      <c r="Z369" s="11"/>
      <c r="AA369" s="36"/>
      <c r="AB369" s="36"/>
      <c r="AC369" s="13"/>
      <c r="AD369" s="13"/>
      <c r="AE369" s="37"/>
      <c r="AF369" s="37"/>
      <c r="AG369" s="14"/>
      <c r="AH369" s="14"/>
      <c r="AI369" s="14"/>
      <c r="AZ369" s="24"/>
    </row>
    <row r="370">
      <c r="B370" s="24"/>
      <c r="E370" s="113"/>
      <c r="F370" s="266"/>
      <c r="G370" s="113"/>
      <c r="K370" s="36"/>
      <c r="L370" s="117"/>
      <c r="M370" s="128"/>
      <c r="N370" s="117"/>
      <c r="R370" s="117"/>
      <c r="T370" s="117"/>
      <c r="V370" s="117"/>
      <c r="X370" s="117"/>
      <c r="Y370" s="10"/>
      <c r="Z370" s="11"/>
      <c r="AA370" s="36"/>
      <c r="AB370" s="36"/>
      <c r="AC370" s="13"/>
      <c r="AD370" s="13"/>
      <c r="AE370" s="37"/>
      <c r="AF370" s="37"/>
      <c r="AG370" s="14"/>
      <c r="AH370" s="14"/>
      <c r="AI370" s="14"/>
      <c r="AZ370" s="24"/>
    </row>
    <row r="371">
      <c r="B371" s="24"/>
      <c r="E371" s="113"/>
      <c r="F371" s="266"/>
      <c r="G371" s="113"/>
      <c r="K371" s="36"/>
      <c r="L371" s="117"/>
      <c r="M371" s="128"/>
      <c r="N371" s="117"/>
      <c r="R371" s="117"/>
      <c r="T371" s="117"/>
      <c r="V371" s="117"/>
      <c r="X371" s="117"/>
      <c r="Y371" s="10"/>
      <c r="Z371" s="11"/>
      <c r="AA371" s="36"/>
      <c r="AB371" s="36"/>
      <c r="AC371" s="13"/>
      <c r="AD371" s="13"/>
      <c r="AE371" s="37"/>
      <c r="AF371" s="37"/>
      <c r="AG371" s="14"/>
      <c r="AH371" s="14"/>
      <c r="AI371" s="14"/>
      <c r="AZ371" s="24"/>
    </row>
    <row r="372">
      <c r="B372" s="24"/>
      <c r="E372" s="113"/>
      <c r="F372" s="266"/>
      <c r="G372" s="113"/>
      <c r="K372" s="36"/>
      <c r="L372" s="117"/>
      <c r="M372" s="128"/>
      <c r="N372" s="117"/>
      <c r="R372" s="117"/>
      <c r="T372" s="117"/>
      <c r="V372" s="117"/>
      <c r="X372" s="117"/>
      <c r="Y372" s="10"/>
      <c r="Z372" s="11"/>
      <c r="AA372" s="36"/>
      <c r="AB372" s="36"/>
      <c r="AC372" s="13"/>
      <c r="AD372" s="13"/>
      <c r="AE372" s="37"/>
      <c r="AF372" s="37"/>
      <c r="AG372" s="14"/>
      <c r="AH372" s="14"/>
      <c r="AI372" s="14"/>
      <c r="AZ372" s="24"/>
    </row>
    <row r="373">
      <c r="B373" s="24"/>
      <c r="E373" s="113"/>
      <c r="F373" s="266"/>
      <c r="G373" s="113"/>
      <c r="K373" s="36"/>
      <c r="L373" s="117"/>
      <c r="M373" s="128"/>
      <c r="N373" s="117"/>
      <c r="R373" s="117"/>
      <c r="T373" s="117"/>
      <c r="V373" s="117"/>
      <c r="X373" s="117"/>
      <c r="Y373" s="10"/>
      <c r="Z373" s="11"/>
      <c r="AA373" s="36"/>
      <c r="AB373" s="36"/>
      <c r="AC373" s="13"/>
      <c r="AD373" s="13"/>
      <c r="AE373" s="37"/>
      <c r="AF373" s="37"/>
      <c r="AG373" s="14"/>
      <c r="AH373" s="14"/>
      <c r="AI373" s="14"/>
      <c r="AZ373" s="24"/>
    </row>
    <row r="374">
      <c r="B374" s="24"/>
      <c r="E374" s="113"/>
      <c r="F374" s="266"/>
      <c r="G374" s="113"/>
      <c r="K374" s="36"/>
      <c r="L374" s="117"/>
      <c r="M374" s="128"/>
      <c r="N374" s="117"/>
      <c r="R374" s="117"/>
      <c r="T374" s="117"/>
      <c r="V374" s="117"/>
      <c r="X374" s="117"/>
      <c r="Y374" s="10"/>
      <c r="Z374" s="11"/>
      <c r="AA374" s="36"/>
      <c r="AB374" s="36"/>
      <c r="AC374" s="13"/>
      <c r="AD374" s="13"/>
      <c r="AE374" s="37"/>
      <c r="AF374" s="37"/>
      <c r="AG374" s="14"/>
      <c r="AH374" s="14"/>
      <c r="AI374" s="14"/>
      <c r="AZ374" s="24"/>
    </row>
    <row r="375">
      <c r="B375" s="24"/>
      <c r="E375" s="113"/>
      <c r="F375" s="266"/>
      <c r="G375" s="113"/>
      <c r="K375" s="36"/>
      <c r="L375" s="117"/>
      <c r="M375" s="128"/>
      <c r="N375" s="117"/>
      <c r="R375" s="117"/>
      <c r="T375" s="117"/>
      <c r="V375" s="117"/>
      <c r="X375" s="117"/>
      <c r="Y375" s="10"/>
      <c r="Z375" s="11"/>
      <c r="AA375" s="36"/>
      <c r="AB375" s="36"/>
      <c r="AC375" s="13"/>
      <c r="AD375" s="13"/>
      <c r="AE375" s="37"/>
      <c r="AF375" s="37"/>
      <c r="AG375" s="14"/>
      <c r="AH375" s="14"/>
      <c r="AI375" s="14"/>
      <c r="AZ375" s="24"/>
    </row>
    <row r="376">
      <c r="B376" s="24"/>
      <c r="E376" s="113"/>
      <c r="F376" s="266"/>
      <c r="G376" s="113"/>
      <c r="K376" s="36"/>
      <c r="L376" s="117"/>
      <c r="M376" s="128"/>
      <c r="N376" s="117"/>
      <c r="R376" s="117"/>
      <c r="T376" s="117"/>
      <c r="V376" s="117"/>
      <c r="X376" s="117"/>
      <c r="Y376" s="10"/>
      <c r="Z376" s="11"/>
      <c r="AA376" s="36"/>
      <c r="AB376" s="36"/>
      <c r="AC376" s="13"/>
      <c r="AD376" s="13"/>
      <c r="AE376" s="37"/>
      <c r="AF376" s="37"/>
      <c r="AG376" s="14"/>
      <c r="AH376" s="14"/>
      <c r="AI376" s="14"/>
      <c r="AZ376" s="24"/>
    </row>
    <row r="377">
      <c r="B377" s="24"/>
      <c r="E377" s="113"/>
      <c r="F377" s="266"/>
      <c r="G377" s="113"/>
      <c r="K377" s="36"/>
      <c r="L377" s="117"/>
      <c r="M377" s="128"/>
      <c r="N377" s="117"/>
      <c r="R377" s="117"/>
      <c r="T377" s="117"/>
      <c r="V377" s="117"/>
      <c r="X377" s="117"/>
      <c r="Y377" s="10"/>
      <c r="Z377" s="11"/>
      <c r="AA377" s="36"/>
      <c r="AB377" s="36"/>
      <c r="AC377" s="13"/>
      <c r="AD377" s="13"/>
      <c r="AE377" s="37"/>
      <c r="AF377" s="37"/>
      <c r="AG377" s="14"/>
      <c r="AH377" s="14"/>
      <c r="AI377" s="14"/>
      <c r="AZ377" s="24"/>
    </row>
    <row r="378">
      <c r="B378" s="24"/>
      <c r="E378" s="113"/>
      <c r="F378" s="266"/>
      <c r="G378" s="113"/>
      <c r="K378" s="36"/>
      <c r="L378" s="117"/>
      <c r="M378" s="128"/>
      <c r="N378" s="117"/>
      <c r="R378" s="117"/>
      <c r="T378" s="117"/>
      <c r="V378" s="117"/>
      <c r="X378" s="117"/>
      <c r="Y378" s="10"/>
      <c r="Z378" s="11"/>
      <c r="AA378" s="36"/>
      <c r="AB378" s="36"/>
      <c r="AC378" s="13"/>
      <c r="AD378" s="13"/>
      <c r="AE378" s="37"/>
      <c r="AF378" s="37"/>
      <c r="AG378" s="14"/>
      <c r="AH378" s="14"/>
      <c r="AI378" s="14"/>
      <c r="AZ378" s="24"/>
    </row>
    <row r="379">
      <c r="B379" s="24"/>
      <c r="E379" s="113"/>
      <c r="F379" s="266"/>
      <c r="G379" s="113"/>
      <c r="K379" s="36"/>
      <c r="L379" s="117"/>
      <c r="M379" s="128"/>
      <c r="N379" s="117"/>
      <c r="R379" s="117"/>
      <c r="T379" s="117"/>
      <c r="V379" s="117"/>
      <c r="X379" s="117"/>
      <c r="Y379" s="10"/>
      <c r="Z379" s="11"/>
      <c r="AA379" s="36"/>
      <c r="AB379" s="36"/>
      <c r="AC379" s="13"/>
      <c r="AD379" s="13"/>
      <c r="AE379" s="37"/>
      <c r="AF379" s="37"/>
      <c r="AG379" s="14"/>
      <c r="AH379" s="14"/>
      <c r="AI379" s="14"/>
      <c r="AZ379" s="24"/>
    </row>
    <row r="380">
      <c r="B380" s="24"/>
      <c r="E380" s="113"/>
      <c r="F380" s="266"/>
      <c r="G380" s="113"/>
      <c r="K380" s="36"/>
      <c r="L380" s="117"/>
      <c r="M380" s="128"/>
      <c r="N380" s="117"/>
      <c r="R380" s="117"/>
      <c r="T380" s="117"/>
      <c r="V380" s="117"/>
      <c r="X380" s="117"/>
      <c r="Y380" s="10"/>
      <c r="Z380" s="11"/>
      <c r="AA380" s="36"/>
      <c r="AB380" s="36"/>
      <c r="AC380" s="13"/>
      <c r="AD380" s="13"/>
      <c r="AE380" s="37"/>
      <c r="AF380" s="37"/>
      <c r="AG380" s="14"/>
      <c r="AH380" s="14"/>
      <c r="AI380" s="14"/>
      <c r="AZ380" s="24"/>
    </row>
    <row r="381">
      <c r="B381" s="24"/>
      <c r="E381" s="113"/>
      <c r="F381" s="266"/>
      <c r="G381" s="113"/>
      <c r="K381" s="36"/>
      <c r="L381" s="117"/>
      <c r="M381" s="128"/>
      <c r="N381" s="117"/>
      <c r="R381" s="117"/>
      <c r="T381" s="117"/>
      <c r="V381" s="117"/>
      <c r="X381" s="117"/>
      <c r="Y381" s="10"/>
      <c r="Z381" s="11"/>
      <c r="AA381" s="36"/>
      <c r="AB381" s="36"/>
      <c r="AC381" s="13"/>
      <c r="AD381" s="13"/>
      <c r="AE381" s="37"/>
      <c r="AF381" s="37"/>
      <c r="AG381" s="14"/>
      <c r="AH381" s="14"/>
      <c r="AI381" s="14"/>
      <c r="AZ381" s="24"/>
    </row>
    <row r="382">
      <c r="B382" s="24"/>
      <c r="E382" s="113"/>
      <c r="F382" s="266"/>
      <c r="G382" s="113"/>
      <c r="K382" s="36"/>
      <c r="L382" s="117"/>
      <c r="M382" s="128"/>
      <c r="N382" s="117"/>
      <c r="R382" s="117"/>
      <c r="T382" s="117"/>
      <c r="V382" s="117"/>
      <c r="X382" s="117"/>
      <c r="Y382" s="10"/>
      <c r="Z382" s="11"/>
      <c r="AA382" s="36"/>
      <c r="AB382" s="36"/>
      <c r="AC382" s="13"/>
      <c r="AD382" s="13"/>
      <c r="AE382" s="37"/>
      <c r="AF382" s="37"/>
      <c r="AG382" s="14"/>
      <c r="AH382" s="14"/>
      <c r="AI382" s="14"/>
      <c r="AZ382" s="24"/>
    </row>
    <row r="383">
      <c r="B383" s="24"/>
      <c r="E383" s="113"/>
      <c r="F383" s="266"/>
      <c r="G383" s="113"/>
      <c r="K383" s="36"/>
      <c r="L383" s="117"/>
      <c r="M383" s="128"/>
      <c r="N383" s="117"/>
      <c r="R383" s="117"/>
      <c r="T383" s="117"/>
      <c r="V383" s="117"/>
      <c r="X383" s="117"/>
      <c r="Y383" s="10"/>
      <c r="Z383" s="11"/>
      <c r="AA383" s="36"/>
      <c r="AB383" s="36"/>
      <c r="AC383" s="13"/>
      <c r="AD383" s="13"/>
      <c r="AE383" s="37"/>
      <c r="AF383" s="37"/>
      <c r="AG383" s="14"/>
      <c r="AH383" s="14"/>
      <c r="AI383" s="14"/>
      <c r="AZ383" s="24"/>
    </row>
    <row r="384">
      <c r="B384" s="24"/>
      <c r="E384" s="113"/>
      <c r="F384" s="266"/>
      <c r="G384" s="113"/>
      <c r="K384" s="36"/>
      <c r="L384" s="117"/>
      <c r="M384" s="128"/>
      <c r="N384" s="117"/>
      <c r="R384" s="117"/>
      <c r="T384" s="117"/>
      <c r="V384" s="117"/>
      <c r="X384" s="117"/>
      <c r="Y384" s="10"/>
      <c r="Z384" s="11"/>
      <c r="AA384" s="36"/>
      <c r="AB384" s="36"/>
      <c r="AC384" s="13"/>
      <c r="AD384" s="13"/>
      <c r="AE384" s="37"/>
      <c r="AF384" s="37"/>
      <c r="AG384" s="14"/>
      <c r="AH384" s="14"/>
      <c r="AI384" s="14"/>
      <c r="AZ384" s="24"/>
    </row>
    <row r="385">
      <c r="B385" s="24"/>
      <c r="E385" s="113"/>
      <c r="F385" s="266"/>
      <c r="G385" s="113"/>
      <c r="K385" s="36"/>
      <c r="L385" s="117"/>
      <c r="M385" s="128"/>
      <c r="N385" s="117"/>
      <c r="R385" s="117"/>
      <c r="T385" s="117"/>
      <c r="V385" s="117"/>
      <c r="X385" s="117"/>
      <c r="Y385" s="10"/>
      <c r="Z385" s="11"/>
      <c r="AA385" s="36"/>
      <c r="AB385" s="36"/>
      <c r="AC385" s="13"/>
      <c r="AD385" s="13"/>
      <c r="AE385" s="37"/>
      <c r="AF385" s="37"/>
      <c r="AG385" s="14"/>
      <c r="AH385" s="14"/>
      <c r="AI385" s="14"/>
      <c r="AZ385" s="24"/>
    </row>
    <row r="386">
      <c r="B386" s="24"/>
      <c r="E386" s="113"/>
      <c r="F386" s="266"/>
      <c r="G386" s="113"/>
      <c r="K386" s="36"/>
      <c r="L386" s="117"/>
      <c r="M386" s="128"/>
      <c r="N386" s="117"/>
      <c r="R386" s="117"/>
      <c r="T386" s="117"/>
      <c r="V386" s="117"/>
      <c r="X386" s="117"/>
      <c r="Y386" s="10"/>
      <c r="Z386" s="11"/>
      <c r="AA386" s="36"/>
      <c r="AB386" s="36"/>
      <c r="AC386" s="13"/>
      <c r="AD386" s="13"/>
      <c r="AE386" s="37"/>
      <c r="AF386" s="37"/>
      <c r="AG386" s="14"/>
      <c r="AH386" s="14"/>
      <c r="AI386" s="14"/>
      <c r="AZ386" s="24"/>
    </row>
    <row r="387">
      <c r="B387" s="24"/>
      <c r="E387" s="113"/>
      <c r="F387" s="266"/>
      <c r="G387" s="113"/>
      <c r="K387" s="36"/>
      <c r="L387" s="117"/>
      <c r="M387" s="128"/>
      <c r="N387" s="117"/>
      <c r="R387" s="117"/>
      <c r="T387" s="117"/>
      <c r="V387" s="117"/>
      <c r="X387" s="117"/>
      <c r="Y387" s="10"/>
      <c r="Z387" s="11"/>
      <c r="AA387" s="36"/>
      <c r="AB387" s="36"/>
      <c r="AC387" s="13"/>
      <c r="AD387" s="13"/>
      <c r="AE387" s="37"/>
      <c r="AF387" s="37"/>
      <c r="AG387" s="14"/>
      <c r="AH387" s="14"/>
      <c r="AI387" s="14"/>
      <c r="AZ387" s="24"/>
    </row>
    <row r="388">
      <c r="B388" s="24"/>
      <c r="E388" s="113"/>
      <c r="F388" s="266"/>
      <c r="G388" s="113"/>
      <c r="K388" s="36"/>
      <c r="L388" s="117"/>
      <c r="M388" s="128"/>
      <c r="N388" s="117"/>
      <c r="R388" s="117"/>
      <c r="T388" s="117"/>
      <c r="V388" s="117"/>
      <c r="X388" s="117"/>
      <c r="Y388" s="10"/>
      <c r="Z388" s="11"/>
      <c r="AA388" s="36"/>
      <c r="AB388" s="36"/>
      <c r="AC388" s="13"/>
      <c r="AD388" s="13"/>
      <c r="AE388" s="37"/>
      <c r="AF388" s="37"/>
      <c r="AG388" s="14"/>
      <c r="AH388" s="14"/>
      <c r="AI388" s="14"/>
      <c r="AZ388" s="24"/>
    </row>
    <row r="389">
      <c r="B389" s="24"/>
      <c r="E389" s="113"/>
      <c r="F389" s="266"/>
      <c r="G389" s="113"/>
      <c r="K389" s="36"/>
      <c r="L389" s="117"/>
      <c r="M389" s="128"/>
      <c r="N389" s="117"/>
      <c r="R389" s="117"/>
      <c r="T389" s="117"/>
      <c r="V389" s="117"/>
      <c r="X389" s="117"/>
      <c r="Y389" s="10"/>
      <c r="Z389" s="11"/>
      <c r="AA389" s="36"/>
      <c r="AB389" s="36"/>
      <c r="AC389" s="13"/>
      <c r="AD389" s="13"/>
      <c r="AE389" s="37"/>
      <c r="AF389" s="37"/>
      <c r="AG389" s="14"/>
      <c r="AH389" s="14"/>
      <c r="AI389" s="14"/>
      <c r="AZ389" s="24"/>
    </row>
    <row r="390">
      <c r="B390" s="24"/>
      <c r="E390" s="113"/>
      <c r="F390" s="266"/>
      <c r="G390" s="113"/>
      <c r="K390" s="36"/>
      <c r="L390" s="117"/>
      <c r="M390" s="128"/>
      <c r="N390" s="117"/>
      <c r="R390" s="117"/>
      <c r="T390" s="117"/>
      <c r="V390" s="117"/>
      <c r="X390" s="117"/>
      <c r="Y390" s="10"/>
      <c r="Z390" s="11"/>
      <c r="AA390" s="36"/>
      <c r="AB390" s="36"/>
      <c r="AC390" s="13"/>
      <c r="AD390" s="13"/>
      <c r="AE390" s="37"/>
      <c r="AF390" s="37"/>
      <c r="AG390" s="14"/>
      <c r="AH390" s="14"/>
      <c r="AI390" s="14"/>
      <c r="AZ390" s="24"/>
    </row>
    <row r="391">
      <c r="B391" s="24"/>
      <c r="E391" s="113"/>
      <c r="F391" s="266"/>
      <c r="G391" s="113"/>
      <c r="K391" s="36"/>
      <c r="L391" s="117"/>
      <c r="M391" s="128"/>
      <c r="N391" s="117"/>
      <c r="R391" s="117"/>
      <c r="T391" s="117"/>
      <c r="V391" s="117"/>
      <c r="X391" s="117"/>
      <c r="Y391" s="10"/>
      <c r="Z391" s="11"/>
      <c r="AA391" s="36"/>
      <c r="AB391" s="36"/>
      <c r="AC391" s="13"/>
      <c r="AD391" s="13"/>
      <c r="AE391" s="37"/>
      <c r="AF391" s="37"/>
      <c r="AG391" s="14"/>
      <c r="AH391" s="14"/>
      <c r="AI391" s="14"/>
      <c r="AZ391" s="24"/>
    </row>
    <row r="392">
      <c r="B392" s="24"/>
      <c r="E392" s="113"/>
      <c r="F392" s="266"/>
      <c r="G392" s="113"/>
      <c r="K392" s="36"/>
      <c r="L392" s="117"/>
      <c r="M392" s="128"/>
      <c r="N392" s="117"/>
      <c r="R392" s="117"/>
      <c r="T392" s="117"/>
      <c r="V392" s="117"/>
      <c r="X392" s="117"/>
      <c r="Y392" s="10"/>
      <c r="Z392" s="11"/>
      <c r="AA392" s="36"/>
      <c r="AB392" s="36"/>
      <c r="AC392" s="13"/>
      <c r="AD392" s="13"/>
      <c r="AE392" s="37"/>
      <c r="AF392" s="37"/>
      <c r="AG392" s="14"/>
      <c r="AH392" s="14"/>
      <c r="AI392" s="14"/>
      <c r="AZ392" s="24"/>
    </row>
    <row r="393">
      <c r="B393" s="24"/>
      <c r="E393" s="113"/>
      <c r="F393" s="266"/>
      <c r="G393" s="113"/>
      <c r="K393" s="36"/>
      <c r="L393" s="117"/>
      <c r="M393" s="128"/>
      <c r="N393" s="117"/>
      <c r="R393" s="117"/>
      <c r="T393" s="117"/>
      <c r="V393" s="117"/>
      <c r="X393" s="117"/>
      <c r="Y393" s="10"/>
      <c r="Z393" s="11"/>
      <c r="AA393" s="36"/>
      <c r="AB393" s="36"/>
      <c r="AC393" s="13"/>
      <c r="AD393" s="13"/>
      <c r="AE393" s="37"/>
      <c r="AF393" s="37"/>
      <c r="AG393" s="14"/>
      <c r="AH393" s="14"/>
      <c r="AI393" s="14"/>
      <c r="AZ393" s="24"/>
    </row>
    <row r="394">
      <c r="B394" s="24"/>
      <c r="E394" s="113"/>
      <c r="F394" s="266"/>
      <c r="G394" s="113"/>
      <c r="K394" s="36"/>
      <c r="L394" s="117"/>
      <c r="M394" s="128"/>
      <c r="N394" s="117"/>
      <c r="R394" s="117"/>
      <c r="T394" s="117"/>
      <c r="V394" s="117"/>
      <c r="X394" s="117"/>
      <c r="Y394" s="10"/>
      <c r="Z394" s="11"/>
      <c r="AA394" s="36"/>
      <c r="AB394" s="36"/>
      <c r="AC394" s="13"/>
      <c r="AD394" s="13"/>
      <c r="AE394" s="37"/>
      <c r="AF394" s="37"/>
      <c r="AG394" s="14"/>
      <c r="AH394" s="14"/>
      <c r="AI394" s="14"/>
      <c r="AZ394" s="24"/>
    </row>
    <row r="395">
      <c r="B395" s="24"/>
      <c r="E395" s="113"/>
      <c r="F395" s="266"/>
      <c r="G395" s="113"/>
      <c r="K395" s="36"/>
      <c r="L395" s="117"/>
      <c r="M395" s="128"/>
      <c r="N395" s="117"/>
      <c r="R395" s="117"/>
      <c r="T395" s="117"/>
      <c r="V395" s="117"/>
      <c r="X395" s="117"/>
      <c r="Y395" s="10"/>
      <c r="Z395" s="11"/>
      <c r="AA395" s="36"/>
      <c r="AB395" s="36"/>
      <c r="AC395" s="13"/>
      <c r="AD395" s="13"/>
      <c r="AE395" s="37"/>
      <c r="AF395" s="37"/>
      <c r="AG395" s="14"/>
      <c r="AH395" s="14"/>
      <c r="AI395" s="14"/>
      <c r="AZ395" s="24"/>
    </row>
    <row r="396">
      <c r="B396" s="24"/>
      <c r="E396" s="113"/>
      <c r="F396" s="266"/>
      <c r="G396" s="113"/>
      <c r="K396" s="36"/>
      <c r="L396" s="117"/>
      <c r="M396" s="128"/>
      <c r="N396" s="117"/>
      <c r="R396" s="117"/>
      <c r="T396" s="117"/>
      <c r="V396" s="117"/>
      <c r="X396" s="117"/>
      <c r="Y396" s="10"/>
      <c r="Z396" s="11"/>
      <c r="AA396" s="36"/>
      <c r="AB396" s="36"/>
      <c r="AC396" s="13"/>
      <c r="AD396" s="13"/>
      <c r="AE396" s="37"/>
      <c r="AF396" s="37"/>
      <c r="AG396" s="14"/>
      <c r="AH396" s="14"/>
      <c r="AI396" s="14"/>
      <c r="AZ396" s="24"/>
    </row>
    <row r="397">
      <c r="B397" s="24"/>
      <c r="E397" s="113"/>
      <c r="F397" s="266"/>
      <c r="G397" s="113"/>
      <c r="K397" s="36"/>
      <c r="L397" s="117"/>
      <c r="M397" s="128"/>
      <c r="N397" s="117"/>
      <c r="R397" s="117"/>
      <c r="T397" s="117"/>
      <c r="V397" s="117"/>
      <c r="X397" s="117"/>
      <c r="Y397" s="10"/>
      <c r="Z397" s="11"/>
      <c r="AA397" s="36"/>
      <c r="AB397" s="36"/>
      <c r="AC397" s="13"/>
      <c r="AD397" s="13"/>
      <c r="AE397" s="37"/>
      <c r="AF397" s="37"/>
      <c r="AG397" s="14"/>
      <c r="AH397" s="14"/>
      <c r="AI397" s="14"/>
      <c r="AZ397" s="24"/>
    </row>
    <row r="398">
      <c r="B398" s="24"/>
      <c r="E398" s="113"/>
      <c r="F398" s="266"/>
      <c r="G398" s="113"/>
      <c r="K398" s="36"/>
      <c r="L398" s="117"/>
      <c r="M398" s="128"/>
      <c r="N398" s="117"/>
      <c r="R398" s="117"/>
      <c r="T398" s="117"/>
      <c r="V398" s="117"/>
      <c r="X398" s="117"/>
      <c r="Y398" s="10"/>
      <c r="Z398" s="11"/>
      <c r="AA398" s="36"/>
      <c r="AB398" s="36"/>
      <c r="AC398" s="13"/>
      <c r="AD398" s="13"/>
      <c r="AE398" s="37"/>
      <c r="AF398" s="37"/>
      <c r="AG398" s="14"/>
      <c r="AH398" s="14"/>
      <c r="AI398" s="14"/>
      <c r="AZ398" s="24"/>
    </row>
    <row r="399">
      <c r="B399" s="24"/>
      <c r="E399" s="113"/>
      <c r="F399" s="266"/>
      <c r="G399" s="113"/>
      <c r="K399" s="36"/>
      <c r="L399" s="117"/>
      <c r="M399" s="128"/>
      <c r="N399" s="117"/>
      <c r="R399" s="117"/>
      <c r="T399" s="117"/>
      <c r="V399" s="117"/>
      <c r="X399" s="117"/>
      <c r="Y399" s="10"/>
      <c r="Z399" s="11"/>
      <c r="AA399" s="36"/>
      <c r="AB399" s="36"/>
      <c r="AC399" s="13"/>
      <c r="AD399" s="13"/>
      <c r="AE399" s="37"/>
      <c r="AF399" s="37"/>
      <c r="AG399" s="14"/>
      <c r="AH399" s="14"/>
      <c r="AI399" s="14"/>
      <c r="AZ399" s="24"/>
    </row>
    <row r="400">
      <c r="B400" s="24"/>
      <c r="E400" s="113"/>
      <c r="F400" s="266"/>
      <c r="G400" s="113"/>
      <c r="K400" s="36"/>
      <c r="L400" s="117"/>
      <c r="M400" s="128"/>
      <c r="N400" s="117"/>
      <c r="R400" s="117"/>
      <c r="T400" s="117"/>
      <c r="V400" s="117"/>
      <c r="X400" s="117"/>
      <c r="Y400" s="10"/>
      <c r="Z400" s="11"/>
      <c r="AA400" s="36"/>
      <c r="AB400" s="36"/>
      <c r="AC400" s="13"/>
      <c r="AD400" s="13"/>
      <c r="AE400" s="37"/>
      <c r="AF400" s="37"/>
      <c r="AG400" s="14"/>
      <c r="AH400" s="14"/>
      <c r="AI400" s="14"/>
      <c r="AZ400" s="24"/>
    </row>
    <row r="401">
      <c r="B401" s="24"/>
      <c r="E401" s="113"/>
      <c r="F401" s="266"/>
      <c r="G401" s="113"/>
      <c r="K401" s="36"/>
      <c r="L401" s="117"/>
      <c r="M401" s="128"/>
      <c r="N401" s="117"/>
      <c r="R401" s="117"/>
      <c r="T401" s="117"/>
      <c r="V401" s="117"/>
      <c r="X401" s="117"/>
      <c r="Y401" s="10"/>
      <c r="Z401" s="11"/>
      <c r="AA401" s="36"/>
      <c r="AB401" s="36"/>
      <c r="AC401" s="13"/>
      <c r="AD401" s="13"/>
      <c r="AE401" s="37"/>
      <c r="AF401" s="37"/>
      <c r="AG401" s="14"/>
      <c r="AH401" s="14"/>
      <c r="AI401" s="14"/>
      <c r="AZ401" s="24"/>
    </row>
    <row r="402">
      <c r="B402" s="24"/>
      <c r="E402" s="113"/>
      <c r="F402" s="266"/>
      <c r="G402" s="113"/>
      <c r="K402" s="36"/>
      <c r="L402" s="117"/>
      <c r="M402" s="128"/>
      <c r="N402" s="117"/>
      <c r="R402" s="117"/>
      <c r="T402" s="117"/>
      <c r="V402" s="117"/>
      <c r="X402" s="117"/>
      <c r="Y402" s="10"/>
      <c r="Z402" s="11"/>
      <c r="AA402" s="36"/>
      <c r="AB402" s="36"/>
      <c r="AC402" s="13"/>
      <c r="AD402" s="13"/>
      <c r="AE402" s="37"/>
      <c r="AF402" s="37"/>
      <c r="AG402" s="14"/>
      <c r="AH402" s="14"/>
      <c r="AI402" s="14"/>
      <c r="AZ402" s="24"/>
    </row>
    <row r="403">
      <c r="B403" s="24"/>
      <c r="E403" s="113"/>
      <c r="F403" s="266"/>
      <c r="G403" s="113"/>
      <c r="K403" s="36"/>
      <c r="L403" s="117"/>
      <c r="M403" s="128"/>
      <c r="N403" s="117"/>
      <c r="R403" s="117"/>
      <c r="T403" s="117"/>
      <c r="V403" s="117"/>
      <c r="X403" s="117"/>
      <c r="Y403" s="10"/>
      <c r="Z403" s="11"/>
      <c r="AA403" s="36"/>
      <c r="AB403" s="36"/>
      <c r="AC403" s="13"/>
      <c r="AD403" s="13"/>
      <c r="AE403" s="37"/>
      <c r="AF403" s="37"/>
      <c r="AG403" s="14"/>
      <c r="AH403" s="14"/>
      <c r="AI403" s="14"/>
      <c r="AZ403" s="24"/>
    </row>
    <row r="404">
      <c r="B404" s="24"/>
      <c r="E404" s="113"/>
      <c r="F404" s="266"/>
      <c r="G404" s="113"/>
      <c r="K404" s="36"/>
      <c r="L404" s="117"/>
      <c r="M404" s="128"/>
      <c r="N404" s="117"/>
      <c r="R404" s="117"/>
      <c r="T404" s="117"/>
      <c r="V404" s="117"/>
      <c r="X404" s="117"/>
      <c r="Y404" s="10"/>
      <c r="Z404" s="11"/>
      <c r="AA404" s="36"/>
      <c r="AB404" s="36"/>
      <c r="AC404" s="13"/>
      <c r="AD404" s="13"/>
      <c r="AE404" s="37"/>
      <c r="AF404" s="37"/>
      <c r="AG404" s="14"/>
      <c r="AH404" s="14"/>
      <c r="AI404" s="14"/>
      <c r="AZ404" s="24"/>
    </row>
    <row r="405">
      <c r="B405" s="24"/>
      <c r="E405" s="113"/>
      <c r="F405" s="266"/>
      <c r="G405" s="113"/>
      <c r="K405" s="36"/>
      <c r="L405" s="117"/>
      <c r="M405" s="128"/>
      <c r="N405" s="117"/>
      <c r="R405" s="117"/>
      <c r="T405" s="117"/>
      <c r="V405" s="117"/>
      <c r="X405" s="117"/>
      <c r="Y405" s="10"/>
      <c r="Z405" s="11"/>
      <c r="AA405" s="36"/>
      <c r="AB405" s="36"/>
      <c r="AC405" s="13"/>
      <c r="AD405" s="13"/>
      <c r="AE405" s="37"/>
      <c r="AF405" s="37"/>
      <c r="AG405" s="14"/>
      <c r="AH405" s="14"/>
      <c r="AI405" s="14"/>
      <c r="AZ405" s="24"/>
    </row>
    <row r="406">
      <c r="B406" s="24"/>
      <c r="E406" s="113"/>
      <c r="F406" s="266"/>
      <c r="G406" s="113"/>
      <c r="K406" s="36"/>
      <c r="L406" s="117"/>
      <c r="M406" s="128"/>
      <c r="N406" s="117"/>
      <c r="R406" s="117"/>
      <c r="T406" s="117"/>
      <c r="V406" s="117"/>
      <c r="X406" s="117"/>
      <c r="Y406" s="10"/>
      <c r="Z406" s="11"/>
      <c r="AA406" s="36"/>
      <c r="AB406" s="36"/>
      <c r="AC406" s="13"/>
      <c r="AD406" s="13"/>
      <c r="AE406" s="37"/>
      <c r="AF406" s="37"/>
      <c r="AG406" s="14"/>
      <c r="AH406" s="14"/>
      <c r="AI406" s="14"/>
      <c r="AZ406" s="24"/>
    </row>
    <row r="407">
      <c r="B407" s="24"/>
      <c r="E407" s="113"/>
      <c r="F407" s="266"/>
      <c r="G407" s="113"/>
      <c r="K407" s="36"/>
      <c r="L407" s="117"/>
      <c r="M407" s="128"/>
      <c r="N407" s="117"/>
      <c r="R407" s="117"/>
      <c r="T407" s="117"/>
      <c r="V407" s="117"/>
      <c r="X407" s="117"/>
      <c r="Y407" s="10"/>
      <c r="Z407" s="11"/>
      <c r="AA407" s="36"/>
      <c r="AB407" s="36"/>
      <c r="AC407" s="13"/>
      <c r="AD407" s="13"/>
      <c r="AE407" s="37"/>
      <c r="AF407" s="37"/>
      <c r="AG407" s="14"/>
      <c r="AH407" s="14"/>
      <c r="AI407" s="14"/>
      <c r="AZ407" s="24"/>
    </row>
    <row r="408">
      <c r="B408" s="24"/>
      <c r="E408" s="113"/>
      <c r="F408" s="266"/>
      <c r="G408" s="113"/>
      <c r="K408" s="36"/>
      <c r="L408" s="117"/>
      <c r="M408" s="128"/>
      <c r="N408" s="117"/>
      <c r="R408" s="117"/>
      <c r="T408" s="117"/>
      <c r="V408" s="117"/>
      <c r="X408" s="117"/>
      <c r="Y408" s="10"/>
      <c r="Z408" s="11"/>
      <c r="AA408" s="36"/>
      <c r="AB408" s="36"/>
      <c r="AC408" s="13"/>
      <c r="AD408" s="13"/>
      <c r="AE408" s="37"/>
      <c r="AF408" s="37"/>
      <c r="AG408" s="14"/>
      <c r="AH408" s="14"/>
      <c r="AI408" s="14"/>
      <c r="AZ408" s="24"/>
    </row>
    <row r="409">
      <c r="B409" s="24"/>
      <c r="E409" s="113"/>
      <c r="F409" s="266"/>
      <c r="G409" s="113"/>
      <c r="K409" s="36"/>
      <c r="L409" s="117"/>
      <c r="M409" s="128"/>
      <c r="N409" s="117"/>
      <c r="R409" s="117"/>
      <c r="T409" s="117"/>
      <c r="V409" s="117"/>
      <c r="X409" s="117"/>
      <c r="Y409" s="10"/>
      <c r="Z409" s="11"/>
      <c r="AA409" s="36"/>
      <c r="AB409" s="36"/>
      <c r="AC409" s="13"/>
      <c r="AD409" s="13"/>
      <c r="AE409" s="37"/>
      <c r="AF409" s="37"/>
      <c r="AG409" s="14"/>
      <c r="AH409" s="14"/>
      <c r="AI409" s="14"/>
      <c r="AZ409" s="24"/>
    </row>
    <row r="410">
      <c r="B410" s="24"/>
      <c r="E410" s="113"/>
      <c r="F410" s="266"/>
      <c r="G410" s="113"/>
      <c r="K410" s="36"/>
      <c r="L410" s="117"/>
      <c r="M410" s="128"/>
      <c r="N410" s="117"/>
      <c r="R410" s="117"/>
      <c r="T410" s="117"/>
      <c r="V410" s="117"/>
      <c r="X410" s="117"/>
      <c r="Y410" s="10"/>
      <c r="Z410" s="11"/>
      <c r="AA410" s="36"/>
      <c r="AB410" s="36"/>
      <c r="AC410" s="13"/>
      <c r="AD410" s="13"/>
      <c r="AE410" s="37"/>
      <c r="AF410" s="37"/>
      <c r="AG410" s="14"/>
      <c r="AH410" s="14"/>
      <c r="AI410" s="14"/>
      <c r="AZ410" s="24"/>
    </row>
    <row r="411">
      <c r="B411" s="24"/>
      <c r="E411" s="113"/>
      <c r="F411" s="266"/>
      <c r="G411" s="113"/>
      <c r="K411" s="36"/>
      <c r="L411" s="117"/>
      <c r="M411" s="128"/>
      <c r="N411" s="117"/>
      <c r="R411" s="117"/>
      <c r="T411" s="117"/>
      <c r="V411" s="117"/>
      <c r="X411" s="117"/>
      <c r="Y411" s="10"/>
      <c r="Z411" s="11"/>
      <c r="AA411" s="36"/>
      <c r="AB411" s="36"/>
      <c r="AC411" s="13"/>
      <c r="AD411" s="13"/>
      <c r="AE411" s="37"/>
      <c r="AF411" s="37"/>
      <c r="AG411" s="14"/>
      <c r="AH411" s="14"/>
      <c r="AI411" s="14"/>
      <c r="AZ411" s="24"/>
    </row>
    <row r="412">
      <c r="B412" s="24"/>
      <c r="E412" s="113"/>
      <c r="F412" s="266"/>
      <c r="G412" s="113"/>
      <c r="K412" s="36"/>
      <c r="L412" s="117"/>
      <c r="M412" s="128"/>
      <c r="N412" s="117"/>
      <c r="R412" s="117"/>
      <c r="T412" s="117"/>
      <c r="V412" s="117"/>
      <c r="X412" s="117"/>
      <c r="Y412" s="10"/>
      <c r="Z412" s="11"/>
      <c r="AA412" s="36"/>
      <c r="AB412" s="36"/>
      <c r="AC412" s="13"/>
      <c r="AD412" s="13"/>
      <c r="AE412" s="37"/>
      <c r="AF412" s="37"/>
      <c r="AG412" s="14"/>
      <c r="AH412" s="14"/>
      <c r="AI412" s="14"/>
      <c r="AZ412" s="24"/>
    </row>
    <row r="413">
      <c r="B413" s="24"/>
      <c r="E413" s="113"/>
      <c r="F413" s="266"/>
      <c r="G413" s="113"/>
      <c r="K413" s="36"/>
      <c r="L413" s="117"/>
      <c r="M413" s="128"/>
      <c r="N413" s="117"/>
      <c r="R413" s="117"/>
      <c r="T413" s="117"/>
      <c r="V413" s="117"/>
      <c r="X413" s="117"/>
      <c r="Y413" s="10"/>
      <c r="Z413" s="11"/>
      <c r="AA413" s="36"/>
      <c r="AB413" s="36"/>
      <c r="AC413" s="13"/>
      <c r="AD413" s="13"/>
      <c r="AE413" s="37"/>
      <c r="AF413" s="37"/>
      <c r="AG413" s="14"/>
      <c r="AH413" s="14"/>
      <c r="AI413" s="14"/>
      <c r="AZ413" s="24"/>
    </row>
    <row r="414">
      <c r="B414" s="24"/>
      <c r="E414" s="113"/>
      <c r="F414" s="266"/>
      <c r="G414" s="113"/>
      <c r="K414" s="36"/>
      <c r="L414" s="117"/>
      <c r="M414" s="128"/>
      <c r="N414" s="117"/>
      <c r="R414" s="117"/>
      <c r="T414" s="117"/>
      <c r="V414" s="117"/>
      <c r="X414" s="117"/>
      <c r="Y414" s="10"/>
      <c r="Z414" s="11"/>
      <c r="AA414" s="36"/>
      <c r="AB414" s="36"/>
      <c r="AC414" s="13"/>
      <c r="AD414" s="13"/>
      <c r="AE414" s="37"/>
      <c r="AF414" s="37"/>
      <c r="AG414" s="14"/>
      <c r="AH414" s="14"/>
      <c r="AI414" s="14"/>
      <c r="AZ414" s="24"/>
    </row>
    <row r="415">
      <c r="B415" s="24"/>
      <c r="E415" s="113"/>
      <c r="F415" s="266"/>
      <c r="G415" s="113"/>
      <c r="K415" s="36"/>
      <c r="L415" s="117"/>
      <c r="M415" s="128"/>
      <c r="N415" s="117"/>
      <c r="R415" s="117"/>
      <c r="T415" s="117"/>
      <c r="V415" s="117"/>
      <c r="X415" s="117"/>
      <c r="Y415" s="10"/>
      <c r="Z415" s="11"/>
      <c r="AA415" s="36"/>
      <c r="AB415" s="36"/>
      <c r="AC415" s="13"/>
      <c r="AD415" s="13"/>
      <c r="AE415" s="37"/>
      <c r="AF415" s="37"/>
      <c r="AG415" s="14"/>
      <c r="AH415" s="14"/>
      <c r="AI415" s="14"/>
      <c r="AZ415" s="24"/>
    </row>
    <row r="416">
      <c r="B416" s="24"/>
      <c r="E416" s="113"/>
      <c r="F416" s="266"/>
      <c r="G416" s="113"/>
      <c r="K416" s="36"/>
      <c r="L416" s="117"/>
      <c r="M416" s="128"/>
      <c r="N416" s="117"/>
      <c r="R416" s="117"/>
      <c r="T416" s="117"/>
      <c r="V416" s="117"/>
      <c r="X416" s="117"/>
      <c r="Y416" s="10"/>
      <c r="Z416" s="11"/>
      <c r="AA416" s="36"/>
      <c r="AB416" s="36"/>
      <c r="AC416" s="13"/>
      <c r="AD416" s="13"/>
      <c r="AE416" s="37"/>
      <c r="AF416" s="37"/>
      <c r="AG416" s="14"/>
      <c r="AH416" s="14"/>
      <c r="AI416" s="14"/>
      <c r="AZ416" s="24"/>
    </row>
    <row r="417">
      <c r="B417" s="24"/>
      <c r="E417" s="113"/>
      <c r="F417" s="266"/>
      <c r="G417" s="113"/>
      <c r="K417" s="36"/>
      <c r="L417" s="117"/>
      <c r="M417" s="128"/>
      <c r="N417" s="117"/>
      <c r="R417" s="117"/>
      <c r="T417" s="117"/>
      <c r="V417" s="117"/>
      <c r="X417" s="117"/>
      <c r="Y417" s="10"/>
      <c r="Z417" s="11"/>
      <c r="AA417" s="36"/>
      <c r="AB417" s="36"/>
      <c r="AC417" s="13"/>
      <c r="AD417" s="13"/>
      <c r="AE417" s="37"/>
      <c r="AF417" s="37"/>
      <c r="AG417" s="14"/>
      <c r="AH417" s="14"/>
      <c r="AI417" s="14"/>
      <c r="AZ417" s="24"/>
    </row>
    <row r="418">
      <c r="B418" s="24"/>
      <c r="E418" s="113"/>
      <c r="F418" s="266"/>
      <c r="G418" s="113"/>
      <c r="K418" s="36"/>
      <c r="L418" s="117"/>
      <c r="M418" s="128"/>
      <c r="N418" s="117"/>
      <c r="R418" s="117"/>
      <c r="T418" s="117"/>
      <c r="V418" s="117"/>
      <c r="X418" s="117"/>
      <c r="Y418" s="10"/>
      <c r="Z418" s="11"/>
      <c r="AA418" s="36"/>
      <c r="AB418" s="36"/>
      <c r="AC418" s="13"/>
      <c r="AD418" s="13"/>
      <c r="AE418" s="37"/>
      <c r="AF418" s="37"/>
      <c r="AG418" s="14"/>
      <c r="AH418" s="14"/>
      <c r="AI418" s="14"/>
      <c r="AZ418" s="24"/>
    </row>
    <row r="419">
      <c r="B419" s="24"/>
      <c r="E419" s="113"/>
      <c r="F419" s="266"/>
      <c r="G419" s="113"/>
      <c r="K419" s="36"/>
      <c r="L419" s="117"/>
      <c r="M419" s="128"/>
      <c r="N419" s="117"/>
      <c r="R419" s="117"/>
      <c r="T419" s="117"/>
      <c r="V419" s="117"/>
      <c r="X419" s="117"/>
      <c r="Y419" s="10"/>
      <c r="Z419" s="11"/>
      <c r="AA419" s="36"/>
      <c r="AB419" s="36"/>
      <c r="AC419" s="13"/>
      <c r="AD419" s="13"/>
      <c r="AE419" s="37"/>
      <c r="AF419" s="37"/>
      <c r="AG419" s="14"/>
      <c r="AH419" s="14"/>
      <c r="AI419" s="14"/>
      <c r="AZ419" s="24"/>
    </row>
    <row r="420">
      <c r="B420" s="24"/>
      <c r="E420" s="113"/>
      <c r="F420" s="266"/>
      <c r="G420" s="113"/>
      <c r="K420" s="36"/>
      <c r="L420" s="117"/>
      <c r="M420" s="128"/>
      <c r="N420" s="117"/>
      <c r="R420" s="117"/>
      <c r="T420" s="117"/>
      <c r="V420" s="117"/>
      <c r="X420" s="117"/>
      <c r="Y420" s="10"/>
      <c r="Z420" s="11"/>
      <c r="AA420" s="36"/>
      <c r="AB420" s="36"/>
      <c r="AC420" s="13"/>
      <c r="AD420" s="13"/>
      <c r="AE420" s="37"/>
      <c r="AF420" s="37"/>
      <c r="AG420" s="14"/>
      <c r="AH420" s="14"/>
      <c r="AI420" s="14"/>
      <c r="AZ420" s="24"/>
    </row>
    <row r="421">
      <c r="B421" s="24"/>
      <c r="E421" s="113"/>
      <c r="F421" s="266"/>
      <c r="G421" s="113"/>
      <c r="K421" s="36"/>
      <c r="L421" s="117"/>
      <c r="M421" s="128"/>
      <c r="N421" s="117"/>
      <c r="R421" s="117"/>
      <c r="T421" s="117"/>
      <c r="V421" s="117"/>
      <c r="X421" s="117"/>
      <c r="Y421" s="10"/>
      <c r="Z421" s="11"/>
      <c r="AA421" s="36"/>
      <c r="AB421" s="36"/>
      <c r="AC421" s="13"/>
      <c r="AD421" s="13"/>
      <c r="AE421" s="37"/>
      <c r="AF421" s="37"/>
      <c r="AG421" s="14"/>
      <c r="AH421" s="14"/>
      <c r="AI421" s="14"/>
      <c r="AZ421" s="24"/>
    </row>
    <row r="422">
      <c r="B422" s="24"/>
      <c r="E422" s="113"/>
      <c r="F422" s="266"/>
      <c r="G422" s="113"/>
      <c r="K422" s="36"/>
      <c r="L422" s="117"/>
      <c r="M422" s="128"/>
      <c r="N422" s="117"/>
      <c r="R422" s="117"/>
      <c r="T422" s="117"/>
      <c r="V422" s="117"/>
      <c r="X422" s="117"/>
      <c r="Y422" s="10"/>
      <c r="Z422" s="11"/>
      <c r="AA422" s="36"/>
      <c r="AB422" s="36"/>
      <c r="AC422" s="13"/>
      <c r="AD422" s="13"/>
      <c r="AE422" s="37"/>
      <c r="AF422" s="37"/>
      <c r="AG422" s="14"/>
      <c r="AH422" s="14"/>
      <c r="AI422" s="14"/>
      <c r="AZ422" s="24"/>
    </row>
    <row r="423">
      <c r="B423" s="24"/>
      <c r="E423" s="113"/>
      <c r="F423" s="266"/>
      <c r="G423" s="113"/>
      <c r="K423" s="36"/>
      <c r="L423" s="117"/>
      <c r="M423" s="128"/>
      <c r="N423" s="117"/>
      <c r="R423" s="117"/>
      <c r="T423" s="117"/>
      <c r="V423" s="117"/>
      <c r="X423" s="117"/>
      <c r="Y423" s="10"/>
      <c r="Z423" s="11"/>
      <c r="AA423" s="36"/>
      <c r="AB423" s="36"/>
      <c r="AC423" s="13"/>
      <c r="AD423" s="13"/>
      <c r="AE423" s="37"/>
      <c r="AF423" s="37"/>
      <c r="AG423" s="14"/>
      <c r="AH423" s="14"/>
      <c r="AI423" s="14"/>
      <c r="AZ423" s="24"/>
    </row>
    <row r="424">
      <c r="B424" s="24"/>
      <c r="E424" s="113"/>
      <c r="F424" s="266"/>
      <c r="G424" s="113"/>
      <c r="K424" s="36"/>
      <c r="L424" s="117"/>
      <c r="M424" s="128"/>
      <c r="N424" s="117"/>
      <c r="R424" s="117"/>
      <c r="T424" s="117"/>
      <c r="V424" s="117"/>
      <c r="X424" s="117"/>
      <c r="Y424" s="10"/>
      <c r="Z424" s="11"/>
      <c r="AA424" s="36"/>
      <c r="AB424" s="36"/>
      <c r="AC424" s="13"/>
      <c r="AD424" s="13"/>
      <c r="AE424" s="37"/>
      <c r="AF424" s="37"/>
      <c r="AG424" s="14"/>
      <c r="AH424" s="14"/>
      <c r="AI424" s="14"/>
      <c r="AZ424" s="24"/>
    </row>
    <row r="425">
      <c r="B425" s="24"/>
      <c r="E425" s="113"/>
      <c r="F425" s="266"/>
      <c r="G425" s="113"/>
      <c r="K425" s="36"/>
      <c r="L425" s="117"/>
      <c r="M425" s="128"/>
      <c r="N425" s="117"/>
      <c r="R425" s="117"/>
      <c r="T425" s="117"/>
      <c r="V425" s="117"/>
      <c r="X425" s="117"/>
      <c r="Y425" s="10"/>
      <c r="Z425" s="11"/>
      <c r="AA425" s="36"/>
      <c r="AB425" s="36"/>
      <c r="AC425" s="13"/>
      <c r="AD425" s="13"/>
      <c r="AE425" s="37"/>
      <c r="AF425" s="37"/>
      <c r="AG425" s="14"/>
      <c r="AH425" s="14"/>
      <c r="AI425" s="14"/>
      <c r="AZ425" s="24"/>
    </row>
    <row r="426">
      <c r="B426" s="24"/>
      <c r="E426" s="113"/>
      <c r="F426" s="266"/>
      <c r="G426" s="113"/>
      <c r="K426" s="36"/>
      <c r="L426" s="117"/>
      <c r="M426" s="128"/>
      <c r="N426" s="117"/>
      <c r="R426" s="117"/>
      <c r="T426" s="117"/>
      <c r="V426" s="117"/>
      <c r="X426" s="117"/>
      <c r="Y426" s="10"/>
      <c r="Z426" s="11"/>
      <c r="AA426" s="36"/>
      <c r="AB426" s="36"/>
      <c r="AC426" s="13"/>
      <c r="AD426" s="13"/>
      <c r="AE426" s="37"/>
      <c r="AF426" s="37"/>
      <c r="AG426" s="14"/>
      <c r="AH426" s="14"/>
      <c r="AI426" s="14"/>
      <c r="AZ426" s="24"/>
    </row>
    <row r="427">
      <c r="B427" s="24"/>
      <c r="E427" s="113"/>
      <c r="F427" s="266"/>
      <c r="G427" s="113"/>
      <c r="K427" s="36"/>
      <c r="L427" s="117"/>
      <c r="M427" s="128"/>
      <c r="N427" s="117"/>
      <c r="R427" s="117"/>
      <c r="T427" s="117"/>
      <c r="V427" s="117"/>
      <c r="X427" s="117"/>
      <c r="Y427" s="10"/>
      <c r="Z427" s="11"/>
      <c r="AA427" s="36"/>
      <c r="AB427" s="36"/>
      <c r="AC427" s="13"/>
      <c r="AD427" s="13"/>
      <c r="AE427" s="37"/>
      <c r="AF427" s="37"/>
      <c r="AG427" s="14"/>
      <c r="AH427" s="14"/>
      <c r="AI427" s="14"/>
      <c r="AZ427" s="24"/>
    </row>
    <row r="428">
      <c r="B428" s="24"/>
      <c r="E428" s="113"/>
      <c r="F428" s="266"/>
      <c r="G428" s="113"/>
      <c r="K428" s="36"/>
      <c r="L428" s="117"/>
      <c r="M428" s="128"/>
      <c r="N428" s="117"/>
      <c r="R428" s="117"/>
      <c r="T428" s="117"/>
      <c r="V428" s="117"/>
      <c r="X428" s="117"/>
      <c r="Y428" s="10"/>
      <c r="Z428" s="11"/>
      <c r="AA428" s="36"/>
      <c r="AB428" s="36"/>
      <c r="AC428" s="13"/>
      <c r="AD428" s="13"/>
      <c r="AE428" s="37"/>
      <c r="AF428" s="37"/>
      <c r="AG428" s="14"/>
      <c r="AH428" s="14"/>
      <c r="AI428" s="14"/>
      <c r="AZ428" s="24"/>
    </row>
    <row r="429">
      <c r="B429" s="24"/>
      <c r="E429" s="113"/>
      <c r="F429" s="266"/>
      <c r="G429" s="113"/>
      <c r="K429" s="36"/>
      <c r="L429" s="117"/>
      <c r="M429" s="128"/>
      <c r="N429" s="117"/>
      <c r="R429" s="117"/>
      <c r="T429" s="117"/>
      <c r="V429" s="117"/>
      <c r="X429" s="117"/>
      <c r="Y429" s="10"/>
      <c r="Z429" s="11"/>
      <c r="AA429" s="36"/>
      <c r="AB429" s="36"/>
      <c r="AC429" s="13"/>
      <c r="AD429" s="13"/>
      <c r="AE429" s="37"/>
      <c r="AF429" s="37"/>
      <c r="AG429" s="14"/>
      <c r="AH429" s="14"/>
      <c r="AI429" s="14"/>
      <c r="AZ429" s="24"/>
    </row>
    <row r="430">
      <c r="B430" s="24"/>
      <c r="E430" s="113"/>
      <c r="F430" s="266"/>
      <c r="G430" s="113"/>
      <c r="K430" s="36"/>
      <c r="L430" s="117"/>
      <c r="M430" s="128"/>
      <c r="N430" s="117"/>
      <c r="R430" s="117"/>
      <c r="T430" s="117"/>
      <c r="V430" s="117"/>
      <c r="X430" s="117"/>
      <c r="Y430" s="10"/>
      <c r="Z430" s="11"/>
      <c r="AA430" s="36"/>
      <c r="AB430" s="36"/>
      <c r="AC430" s="13"/>
      <c r="AD430" s="13"/>
      <c r="AE430" s="37"/>
      <c r="AF430" s="37"/>
      <c r="AG430" s="14"/>
      <c r="AH430" s="14"/>
      <c r="AI430" s="14"/>
      <c r="AZ430" s="24"/>
    </row>
    <row r="431">
      <c r="B431" s="24"/>
      <c r="E431" s="113"/>
      <c r="F431" s="266"/>
      <c r="G431" s="113"/>
      <c r="K431" s="36"/>
      <c r="L431" s="117"/>
      <c r="M431" s="128"/>
      <c r="N431" s="117"/>
      <c r="R431" s="117"/>
      <c r="T431" s="117"/>
      <c r="V431" s="117"/>
      <c r="X431" s="117"/>
      <c r="Y431" s="10"/>
      <c r="Z431" s="11"/>
      <c r="AA431" s="36"/>
      <c r="AB431" s="36"/>
      <c r="AC431" s="13"/>
      <c r="AD431" s="13"/>
      <c r="AE431" s="37"/>
      <c r="AF431" s="37"/>
      <c r="AG431" s="14"/>
      <c r="AH431" s="14"/>
      <c r="AI431" s="14"/>
      <c r="AZ431" s="24"/>
    </row>
    <row r="432">
      <c r="B432" s="24"/>
      <c r="E432" s="113"/>
      <c r="F432" s="266"/>
      <c r="G432" s="113"/>
      <c r="K432" s="36"/>
      <c r="L432" s="117"/>
      <c r="M432" s="128"/>
      <c r="N432" s="117"/>
      <c r="R432" s="117"/>
      <c r="T432" s="117"/>
      <c r="V432" s="117"/>
      <c r="X432" s="117"/>
      <c r="Y432" s="10"/>
      <c r="Z432" s="11"/>
      <c r="AA432" s="36"/>
      <c r="AB432" s="36"/>
      <c r="AC432" s="13"/>
      <c r="AD432" s="13"/>
      <c r="AE432" s="37"/>
      <c r="AF432" s="37"/>
      <c r="AG432" s="14"/>
      <c r="AH432" s="14"/>
      <c r="AI432" s="14"/>
      <c r="AZ432" s="24"/>
    </row>
    <row r="433">
      <c r="B433" s="24"/>
      <c r="E433" s="113"/>
      <c r="F433" s="266"/>
      <c r="G433" s="113"/>
      <c r="K433" s="36"/>
      <c r="L433" s="117"/>
      <c r="M433" s="128"/>
      <c r="N433" s="117"/>
      <c r="R433" s="117"/>
      <c r="T433" s="117"/>
      <c r="V433" s="117"/>
      <c r="X433" s="117"/>
      <c r="Y433" s="10"/>
      <c r="Z433" s="11"/>
      <c r="AA433" s="36"/>
      <c r="AB433" s="36"/>
      <c r="AC433" s="13"/>
      <c r="AD433" s="13"/>
      <c r="AE433" s="37"/>
      <c r="AF433" s="37"/>
      <c r="AG433" s="14"/>
      <c r="AH433" s="14"/>
      <c r="AI433" s="14"/>
      <c r="AZ433" s="24"/>
    </row>
    <row r="434">
      <c r="B434" s="24"/>
      <c r="E434" s="113"/>
      <c r="F434" s="266"/>
      <c r="G434" s="113"/>
      <c r="K434" s="36"/>
      <c r="L434" s="117"/>
      <c r="M434" s="128"/>
      <c r="N434" s="117"/>
      <c r="R434" s="117"/>
      <c r="T434" s="117"/>
      <c r="V434" s="117"/>
      <c r="X434" s="117"/>
      <c r="Y434" s="10"/>
      <c r="Z434" s="11"/>
      <c r="AA434" s="36"/>
      <c r="AB434" s="36"/>
      <c r="AC434" s="13"/>
      <c r="AD434" s="13"/>
      <c r="AE434" s="37"/>
      <c r="AF434" s="37"/>
      <c r="AG434" s="14"/>
      <c r="AH434" s="14"/>
      <c r="AI434" s="14"/>
      <c r="AZ434" s="24"/>
    </row>
    <row r="435">
      <c r="B435" s="24"/>
      <c r="E435" s="113"/>
      <c r="F435" s="266"/>
      <c r="G435" s="113"/>
      <c r="K435" s="36"/>
      <c r="L435" s="117"/>
      <c r="M435" s="128"/>
      <c r="N435" s="117"/>
      <c r="R435" s="117"/>
      <c r="T435" s="117"/>
      <c r="V435" s="117"/>
      <c r="X435" s="117"/>
      <c r="Y435" s="10"/>
      <c r="Z435" s="11"/>
      <c r="AA435" s="36"/>
      <c r="AB435" s="36"/>
      <c r="AC435" s="13"/>
      <c r="AD435" s="13"/>
      <c r="AE435" s="37"/>
      <c r="AF435" s="37"/>
      <c r="AG435" s="14"/>
      <c r="AH435" s="14"/>
      <c r="AI435" s="14"/>
      <c r="AZ435" s="24"/>
    </row>
    <row r="436">
      <c r="B436" s="24"/>
      <c r="E436" s="113"/>
      <c r="F436" s="266"/>
      <c r="G436" s="113"/>
      <c r="K436" s="36"/>
      <c r="L436" s="117"/>
      <c r="M436" s="128"/>
      <c r="N436" s="117"/>
      <c r="R436" s="117"/>
      <c r="T436" s="117"/>
      <c r="V436" s="117"/>
      <c r="X436" s="117"/>
      <c r="Y436" s="10"/>
      <c r="Z436" s="11"/>
      <c r="AA436" s="36"/>
      <c r="AB436" s="36"/>
      <c r="AC436" s="13"/>
      <c r="AD436" s="13"/>
      <c r="AE436" s="37"/>
      <c r="AF436" s="37"/>
      <c r="AG436" s="14"/>
      <c r="AH436" s="14"/>
      <c r="AI436" s="14"/>
      <c r="AZ436" s="24"/>
    </row>
    <row r="437">
      <c r="B437" s="24"/>
      <c r="E437" s="113"/>
      <c r="F437" s="266"/>
      <c r="G437" s="113"/>
      <c r="K437" s="36"/>
      <c r="L437" s="117"/>
      <c r="M437" s="128"/>
      <c r="N437" s="117"/>
      <c r="R437" s="117"/>
      <c r="T437" s="117"/>
      <c r="V437" s="117"/>
      <c r="X437" s="117"/>
      <c r="Y437" s="10"/>
      <c r="Z437" s="11"/>
      <c r="AA437" s="36"/>
      <c r="AB437" s="36"/>
      <c r="AC437" s="13"/>
      <c r="AD437" s="13"/>
      <c r="AE437" s="37"/>
      <c r="AF437" s="37"/>
      <c r="AG437" s="14"/>
      <c r="AH437" s="14"/>
      <c r="AI437" s="14"/>
      <c r="AZ437" s="24"/>
    </row>
    <row r="438">
      <c r="B438" s="24"/>
      <c r="E438" s="113"/>
      <c r="F438" s="266"/>
      <c r="G438" s="113"/>
      <c r="K438" s="36"/>
      <c r="L438" s="117"/>
      <c r="M438" s="128"/>
      <c r="N438" s="117"/>
      <c r="R438" s="117"/>
      <c r="T438" s="117"/>
      <c r="V438" s="117"/>
      <c r="X438" s="117"/>
      <c r="Y438" s="10"/>
      <c r="Z438" s="11"/>
      <c r="AA438" s="36"/>
      <c r="AB438" s="36"/>
      <c r="AC438" s="13"/>
      <c r="AD438" s="13"/>
      <c r="AE438" s="37"/>
      <c r="AF438" s="37"/>
      <c r="AG438" s="14"/>
      <c r="AH438" s="14"/>
      <c r="AI438" s="14"/>
      <c r="AZ438" s="24"/>
    </row>
    <row r="439">
      <c r="B439" s="24"/>
      <c r="E439" s="113"/>
      <c r="F439" s="266"/>
      <c r="G439" s="113"/>
      <c r="K439" s="36"/>
      <c r="L439" s="117"/>
      <c r="M439" s="128"/>
      <c r="N439" s="117"/>
      <c r="R439" s="117"/>
      <c r="T439" s="117"/>
      <c r="V439" s="117"/>
      <c r="X439" s="117"/>
      <c r="Y439" s="10"/>
      <c r="Z439" s="11"/>
      <c r="AA439" s="36"/>
      <c r="AB439" s="36"/>
      <c r="AC439" s="13"/>
      <c r="AD439" s="13"/>
      <c r="AE439" s="37"/>
      <c r="AF439" s="37"/>
      <c r="AG439" s="14"/>
      <c r="AH439" s="14"/>
      <c r="AI439" s="14"/>
      <c r="AZ439" s="24"/>
    </row>
    <row r="440">
      <c r="B440" s="24"/>
      <c r="E440" s="113"/>
      <c r="F440" s="266"/>
      <c r="G440" s="113"/>
      <c r="K440" s="36"/>
      <c r="L440" s="117"/>
      <c r="M440" s="128"/>
      <c r="N440" s="117"/>
      <c r="R440" s="117"/>
      <c r="T440" s="117"/>
      <c r="V440" s="117"/>
      <c r="X440" s="117"/>
      <c r="Y440" s="10"/>
      <c r="Z440" s="11"/>
      <c r="AA440" s="36"/>
      <c r="AB440" s="36"/>
      <c r="AC440" s="13"/>
      <c r="AD440" s="13"/>
      <c r="AE440" s="37"/>
      <c r="AF440" s="37"/>
      <c r="AG440" s="14"/>
      <c r="AH440" s="14"/>
      <c r="AI440" s="14"/>
      <c r="AZ440" s="24"/>
    </row>
    <row r="441">
      <c r="B441" s="24"/>
      <c r="E441" s="113"/>
      <c r="F441" s="266"/>
      <c r="G441" s="113"/>
      <c r="K441" s="36"/>
      <c r="L441" s="117"/>
      <c r="M441" s="128"/>
      <c r="N441" s="117"/>
      <c r="R441" s="117"/>
      <c r="T441" s="117"/>
      <c r="V441" s="117"/>
      <c r="X441" s="117"/>
      <c r="Y441" s="10"/>
      <c r="Z441" s="11"/>
      <c r="AA441" s="36"/>
      <c r="AB441" s="36"/>
      <c r="AC441" s="13"/>
      <c r="AD441" s="13"/>
      <c r="AE441" s="37"/>
      <c r="AF441" s="37"/>
      <c r="AG441" s="14"/>
      <c r="AH441" s="14"/>
      <c r="AI441" s="14"/>
      <c r="AZ441" s="24"/>
    </row>
    <row r="442">
      <c r="B442" s="24"/>
      <c r="E442" s="113"/>
      <c r="F442" s="266"/>
      <c r="G442" s="113"/>
      <c r="K442" s="36"/>
      <c r="L442" s="117"/>
      <c r="M442" s="128"/>
      <c r="N442" s="117"/>
      <c r="R442" s="117"/>
      <c r="T442" s="117"/>
      <c r="V442" s="117"/>
      <c r="X442" s="117"/>
      <c r="Y442" s="10"/>
      <c r="Z442" s="11"/>
      <c r="AA442" s="36"/>
      <c r="AB442" s="36"/>
      <c r="AC442" s="13"/>
      <c r="AD442" s="13"/>
      <c r="AE442" s="37"/>
      <c r="AF442" s="37"/>
      <c r="AG442" s="14"/>
      <c r="AH442" s="14"/>
      <c r="AI442" s="14"/>
      <c r="AZ442" s="24"/>
    </row>
    <row r="443">
      <c r="B443" s="24"/>
      <c r="E443" s="113"/>
      <c r="F443" s="266"/>
      <c r="G443" s="113"/>
      <c r="K443" s="36"/>
      <c r="L443" s="117"/>
      <c r="M443" s="128"/>
      <c r="N443" s="117"/>
      <c r="R443" s="117"/>
      <c r="T443" s="117"/>
      <c r="V443" s="117"/>
      <c r="X443" s="117"/>
      <c r="Y443" s="10"/>
      <c r="Z443" s="11"/>
      <c r="AA443" s="36"/>
      <c r="AB443" s="36"/>
      <c r="AC443" s="13"/>
      <c r="AD443" s="13"/>
      <c r="AE443" s="37"/>
      <c r="AF443" s="37"/>
      <c r="AG443" s="14"/>
      <c r="AH443" s="14"/>
      <c r="AI443" s="14"/>
      <c r="AZ443" s="24"/>
    </row>
    <row r="444">
      <c r="B444" s="24"/>
      <c r="E444" s="113"/>
      <c r="F444" s="266"/>
      <c r="G444" s="113"/>
      <c r="K444" s="36"/>
      <c r="L444" s="117"/>
      <c r="M444" s="128"/>
      <c r="N444" s="117"/>
      <c r="R444" s="117"/>
      <c r="T444" s="117"/>
      <c r="V444" s="117"/>
      <c r="X444" s="117"/>
      <c r="Y444" s="10"/>
      <c r="Z444" s="11"/>
      <c r="AA444" s="36"/>
      <c r="AB444" s="36"/>
      <c r="AC444" s="13"/>
      <c r="AD444" s="13"/>
      <c r="AE444" s="37"/>
      <c r="AF444" s="37"/>
      <c r="AG444" s="14"/>
      <c r="AH444" s="14"/>
      <c r="AI444" s="14"/>
      <c r="AZ444" s="24"/>
    </row>
    <row r="445">
      <c r="B445" s="24"/>
      <c r="E445" s="113"/>
      <c r="F445" s="266"/>
      <c r="G445" s="113"/>
      <c r="K445" s="36"/>
      <c r="L445" s="117"/>
      <c r="M445" s="128"/>
      <c r="N445" s="117"/>
      <c r="R445" s="117"/>
      <c r="T445" s="117"/>
      <c r="V445" s="117"/>
      <c r="X445" s="117"/>
      <c r="Y445" s="10"/>
      <c r="Z445" s="11"/>
      <c r="AA445" s="36"/>
      <c r="AB445" s="36"/>
      <c r="AC445" s="13"/>
      <c r="AD445" s="13"/>
      <c r="AE445" s="37"/>
      <c r="AF445" s="37"/>
      <c r="AG445" s="14"/>
      <c r="AH445" s="14"/>
      <c r="AI445" s="14"/>
      <c r="AZ445" s="24"/>
    </row>
    <row r="446">
      <c r="B446" s="24"/>
      <c r="E446" s="113"/>
      <c r="F446" s="266"/>
      <c r="G446" s="113"/>
      <c r="K446" s="36"/>
      <c r="L446" s="117"/>
      <c r="M446" s="128"/>
      <c r="N446" s="117"/>
      <c r="R446" s="117"/>
      <c r="T446" s="117"/>
      <c r="V446" s="117"/>
      <c r="X446" s="117"/>
      <c r="Y446" s="10"/>
      <c r="Z446" s="11"/>
      <c r="AA446" s="36"/>
      <c r="AB446" s="36"/>
      <c r="AC446" s="13"/>
      <c r="AD446" s="13"/>
      <c r="AE446" s="37"/>
      <c r="AF446" s="37"/>
      <c r="AG446" s="14"/>
      <c r="AH446" s="14"/>
      <c r="AI446" s="14"/>
      <c r="AZ446" s="24"/>
    </row>
    <row r="447">
      <c r="B447" s="24"/>
      <c r="E447" s="113"/>
      <c r="F447" s="266"/>
      <c r="G447" s="113"/>
      <c r="K447" s="36"/>
      <c r="L447" s="117"/>
      <c r="M447" s="128"/>
      <c r="N447" s="117"/>
      <c r="R447" s="117"/>
      <c r="T447" s="117"/>
      <c r="V447" s="117"/>
      <c r="X447" s="117"/>
      <c r="Y447" s="10"/>
      <c r="Z447" s="11"/>
      <c r="AA447" s="36"/>
      <c r="AB447" s="36"/>
      <c r="AC447" s="13"/>
      <c r="AD447" s="13"/>
      <c r="AE447" s="37"/>
      <c r="AF447" s="37"/>
      <c r="AG447" s="14"/>
      <c r="AH447" s="14"/>
      <c r="AI447" s="14"/>
      <c r="AZ447" s="24"/>
    </row>
    <row r="448">
      <c r="B448" s="24"/>
      <c r="E448" s="113"/>
      <c r="F448" s="266"/>
      <c r="G448" s="113"/>
      <c r="K448" s="36"/>
      <c r="L448" s="117"/>
      <c r="M448" s="128"/>
      <c r="N448" s="117"/>
      <c r="R448" s="117"/>
      <c r="T448" s="117"/>
      <c r="V448" s="117"/>
      <c r="X448" s="117"/>
      <c r="Y448" s="10"/>
      <c r="Z448" s="11"/>
      <c r="AA448" s="36"/>
      <c r="AB448" s="36"/>
      <c r="AC448" s="13"/>
      <c r="AD448" s="13"/>
      <c r="AE448" s="37"/>
      <c r="AF448" s="37"/>
      <c r="AG448" s="14"/>
      <c r="AH448" s="14"/>
      <c r="AI448" s="14"/>
      <c r="AZ448" s="24"/>
    </row>
    <row r="449">
      <c r="B449" s="24"/>
      <c r="E449" s="113"/>
      <c r="F449" s="266"/>
      <c r="G449" s="113"/>
      <c r="K449" s="36"/>
      <c r="L449" s="117"/>
      <c r="M449" s="128"/>
      <c r="N449" s="117"/>
      <c r="R449" s="117"/>
      <c r="T449" s="117"/>
      <c r="V449" s="117"/>
      <c r="X449" s="117"/>
      <c r="Y449" s="10"/>
      <c r="Z449" s="11"/>
      <c r="AA449" s="36"/>
      <c r="AB449" s="36"/>
      <c r="AC449" s="13"/>
      <c r="AD449" s="13"/>
      <c r="AE449" s="37"/>
      <c r="AF449" s="37"/>
      <c r="AG449" s="14"/>
      <c r="AH449" s="14"/>
      <c r="AI449" s="14"/>
      <c r="AZ449" s="24"/>
    </row>
    <row r="450">
      <c r="B450" s="24"/>
      <c r="E450" s="113"/>
      <c r="F450" s="266"/>
      <c r="G450" s="113"/>
      <c r="K450" s="36"/>
      <c r="L450" s="117"/>
      <c r="M450" s="128"/>
      <c r="N450" s="117"/>
      <c r="R450" s="117"/>
      <c r="T450" s="117"/>
      <c r="V450" s="117"/>
      <c r="X450" s="117"/>
      <c r="Y450" s="10"/>
      <c r="Z450" s="11"/>
      <c r="AA450" s="36"/>
      <c r="AB450" s="36"/>
      <c r="AC450" s="13"/>
      <c r="AD450" s="13"/>
      <c r="AE450" s="37"/>
      <c r="AF450" s="37"/>
      <c r="AG450" s="14"/>
      <c r="AH450" s="14"/>
      <c r="AI450" s="14"/>
      <c r="AZ450" s="24"/>
    </row>
    <row r="451">
      <c r="B451" s="24"/>
      <c r="E451" s="113"/>
      <c r="F451" s="266"/>
      <c r="G451" s="113"/>
      <c r="K451" s="36"/>
      <c r="L451" s="117"/>
      <c r="M451" s="128"/>
      <c r="N451" s="117"/>
      <c r="R451" s="117"/>
      <c r="T451" s="117"/>
      <c r="V451" s="117"/>
      <c r="X451" s="117"/>
      <c r="Y451" s="10"/>
      <c r="Z451" s="11"/>
      <c r="AA451" s="36"/>
      <c r="AB451" s="36"/>
      <c r="AC451" s="13"/>
      <c r="AD451" s="13"/>
      <c r="AE451" s="37"/>
      <c r="AF451" s="37"/>
      <c r="AG451" s="14"/>
      <c r="AH451" s="14"/>
      <c r="AI451" s="14"/>
      <c r="AZ451" s="24"/>
    </row>
    <row r="452">
      <c r="B452" s="24"/>
      <c r="E452" s="113"/>
      <c r="F452" s="266"/>
      <c r="G452" s="113"/>
      <c r="K452" s="36"/>
      <c r="L452" s="117"/>
      <c r="M452" s="128"/>
      <c r="N452" s="117"/>
      <c r="R452" s="117"/>
      <c r="T452" s="117"/>
      <c r="V452" s="117"/>
      <c r="X452" s="117"/>
      <c r="Y452" s="10"/>
      <c r="Z452" s="11"/>
      <c r="AA452" s="36"/>
      <c r="AB452" s="36"/>
      <c r="AC452" s="13"/>
      <c r="AD452" s="13"/>
      <c r="AE452" s="37"/>
      <c r="AF452" s="37"/>
      <c r="AG452" s="14"/>
      <c r="AH452" s="14"/>
      <c r="AI452" s="14"/>
      <c r="AZ452" s="24"/>
    </row>
    <row r="453">
      <c r="B453" s="24"/>
      <c r="E453" s="113"/>
      <c r="F453" s="266"/>
      <c r="G453" s="113"/>
      <c r="K453" s="36"/>
      <c r="L453" s="117"/>
      <c r="M453" s="128"/>
      <c r="N453" s="117"/>
      <c r="R453" s="117"/>
      <c r="T453" s="117"/>
      <c r="V453" s="117"/>
      <c r="X453" s="117"/>
      <c r="Y453" s="10"/>
      <c r="Z453" s="11"/>
      <c r="AA453" s="36"/>
      <c r="AB453" s="36"/>
      <c r="AC453" s="13"/>
      <c r="AD453" s="13"/>
      <c r="AE453" s="37"/>
      <c r="AF453" s="37"/>
      <c r="AG453" s="14"/>
      <c r="AH453" s="14"/>
      <c r="AI453" s="14"/>
      <c r="AZ453" s="24"/>
    </row>
    <row r="454">
      <c r="B454" s="24"/>
      <c r="E454" s="113"/>
      <c r="F454" s="266"/>
      <c r="G454" s="113"/>
      <c r="K454" s="36"/>
      <c r="L454" s="117"/>
      <c r="M454" s="128"/>
      <c r="N454" s="117"/>
      <c r="R454" s="117"/>
      <c r="T454" s="117"/>
      <c r="V454" s="117"/>
      <c r="X454" s="117"/>
      <c r="Y454" s="10"/>
      <c r="Z454" s="11"/>
      <c r="AA454" s="36"/>
      <c r="AB454" s="36"/>
      <c r="AC454" s="13"/>
      <c r="AD454" s="13"/>
      <c r="AE454" s="37"/>
      <c r="AF454" s="37"/>
      <c r="AG454" s="14"/>
      <c r="AH454" s="14"/>
      <c r="AI454" s="14"/>
      <c r="AZ454" s="24"/>
    </row>
    <row r="455">
      <c r="B455" s="24"/>
      <c r="E455" s="113"/>
      <c r="F455" s="266"/>
      <c r="G455" s="113"/>
      <c r="K455" s="36"/>
      <c r="L455" s="117"/>
      <c r="M455" s="128"/>
      <c r="N455" s="117"/>
      <c r="R455" s="117"/>
      <c r="T455" s="117"/>
      <c r="V455" s="117"/>
      <c r="X455" s="117"/>
      <c r="Y455" s="10"/>
      <c r="Z455" s="11"/>
      <c r="AA455" s="36"/>
      <c r="AB455" s="36"/>
      <c r="AC455" s="13"/>
      <c r="AD455" s="13"/>
      <c r="AE455" s="37"/>
      <c r="AF455" s="37"/>
      <c r="AG455" s="14"/>
      <c r="AH455" s="14"/>
      <c r="AI455" s="14"/>
      <c r="AZ455" s="24"/>
    </row>
    <row r="456">
      <c r="B456" s="24"/>
      <c r="E456" s="113"/>
      <c r="F456" s="266"/>
      <c r="G456" s="113"/>
      <c r="K456" s="36"/>
      <c r="L456" s="117"/>
      <c r="M456" s="128"/>
      <c r="N456" s="117"/>
      <c r="R456" s="117"/>
      <c r="T456" s="117"/>
      <c r="V456" s="117"/>
      <c r="X456" s="117"/>
      <c r="Y456" s="10"/>
      <c r="Z456" s="11"/>
      <c r="AA456" s="36"/>
      <c r="AB456" s="36"/>
      <c r="AC456" s="13"/>
      <c r="AD456" s="13"/>
      <c r="AE456" s="37"/>
      <c r="AF456" s="37"/>
      <c r="AG456" s="14"/>
      <c r="AH456" s="14"/>
      <c r="AI456" s="14"/>
      <c r="AZ456" s="24"/>
    </row>
    <row r="457">
      <c r="B457" s="24"/>
      <c r="E457" s="113"/>
      <c r="F457" s="266"/>
      <c r="G457" s="113"/>
      <c r="K457" s="36"/>
      <c r="L457" s="117"/>
      <c r="M457" s="128"/>
      <c r="N457" s="117"/>
      <c r="R457" s="117"/>
      <c r="T457" s="117"/>
      <c r="V457" s="117"/>
      <c r="X457" s="117"/>
      <c r="Y457" s="10"/>
      <c r="Z457" s="11"/>
      <c r="AA457" s="36"/>
      <c r="AB457" s="36"/>
      <c r="AC457" s="13"/>
      <c r="AD457" s="13"/>
      <c r="AE457" s="37"/>
      <c r="AF457" s="37"/>
      <c r="AG457" s="14"/>
      <c r="AH457" s="14"/>
      <c r="AI457" s="14"/>
      <c r="AZ457" s="24"/>
    </row>
    <row r="458">
      <c r="B458" s="24"/>
      <c r="E458" s="113"/>
      <c r="F458" s="266"/>
      <c r="G458" s="113"/>
      <c r="K458" s="36"/>
      <c r="L458" s="117"/>
      <c r="M458" s="128"/>
      <c r="N458" s="117"/>
      <c r="R458" s="117"/>
      <c r="T458" s="117"/>
      <c r="V458" s="117"/>
      <c r="X458" s="117"/>
      <c r="Y458" s="10"/>
      <c r="Z458" s="11"/>
      <c r="AA458" s="36"/>
      <c r="AB458" s="36"/>
      <c r="AC458" s="13"/>
      <c r="AD458" s="13"/>
      <c r="AE458" s="37"/>
      <c r="AF458" s="37"/>
      <c r="AG458" s="14"/>
      <c r="AH458" s="14"/>
      <c r="AI458" s="14"/>
      <c r="AZ458" s="24"/>
    </row>
    <row r="459">
      <c r="B459" s="24"/>
      <c r="E459" s="113"/>
      <c r="F459" s="266"/>
      <c r="G459" s="113"/>
      <c r="K459" s="36"/>
      <c r="L459" s="117"/>
      <c r="M459" s="128"/>
      <c r="N459" s="117"/>
      <c r="R459" s="117"/>
      <c r="T459" s="117"/>
      <c r="V459" s="117"/>
      <c r="X459" s="117"/>
      <c r="Y459" s="10"/>
      <c r="Z459" s="11"/>
      <c r="AA459" s="36"/>
      <c r="AB459" s="36"/>
      <c r="AC459" s="13"/>
      <c r="AD459" s="13"/>
      <c r="AE459" s="37"/>
      <c r="AF459" s="37"/>
      <c r="AG459" s="14"/>
      <c r="AH459" s="14"/>
      <c r="AI459" s="14"/>
      <c r="AZ459" s="24"/>
    </row>
    <row r="460">
      <c r="B460" s="24"/>
      <c r="E460" s="113"/>
      <c r="F460" s="266"/>
      <c r="G460" s="113"/>
      <c r="K460" s="36"/>
      <c r="L460" s="117"/>
      <c r="M460" s="128"/>
      <c r="N460" s="117"/>
      <c r="R460" s="117"/>
      <c r="T460" s="117"/>
      <c r="V460" s="117"/>
      <c r="X460" s="117"/>
      <c r="Y460" s="10"/>
      <c r="Z460" s="11"/>
      <c r="AA460" s="36"/>
      <c r="AB460" s="36"/>
      <c r="AC460" s="13"/>
      <c r="AD460" s="13"/>
      <c r="AE460" s="37"/>
      <c r="AF460" s="37"/>
      <c r="AG460" s="14"/>
      <c r="AH460" s="14"/>
      <c r="AI460" s="14"/>
      <c r="AZ460" s="24"/>
    </row>
    <row r="461">
      <c r="B461" s="24"/>
      <c r="E461" s="113"/>
      <c r="F461" s="266"/>
      <c r="G461" s="113"/>
      <c r="K461" s="36"/>
      <c r="L461" s="117"/>
      <c r="M461" s="128"/>
      <c r="N461" s="117"/>
      <c r="R461" s="117"/>
      <c r="T461" s="117"/>
      <c r="V461" s="117"/>
      <c r="X461" s="117"/>
      <c r="Y461" s="10"/>
      <c r="Z461" s="11"/>
      <c r="AA461" s="36"/>
      <c r="AB461" s="36"/>
      <c r="AC461" s="13"/>
      <c r="AD461" s="13"/>
      <c r="AE461" s="37"/>
      <c r="AF461" s="37"/>
      <c r="AG461" s="14"/>
      <c r="AH461" s="14"/>
      <c r="AI461" s="14"/>
      <c r="AZ461" s="24"/>
    </row>
    <row r="462">
      <c r="B462" s="24"/>
      <c r="E462" s="113"/>
      <c r="F462" s="266"/>
      <c r="G462" s="113"/>
      <c r="K462" s="36"/>
      <c r="L462" s="117"/>
      <c r="M462" s="128"/>
      <c r="N462" s="117"/>
      <c r="R462" s="117"/>
      <c r="T462" s="117"/>
      <c r="V462" s="117"/>
      <c r="X462" s="117"/>
      <c r="Y462" s="10"/>
      <c r="Z462" s="11"/>
      <c r="AA462" s="36"/>
      <c r="AB462" s="36"/>
      <c r="AC462" s="13"/>
      <c r="AD462" s="13"/>
      <c r="AE462" s="37"/>
      <c r="AF462" s="37"/>
      <c r="AG462" s="14"/>
      <c r="AH462" s="14"/>
      <c r="AI462" s="14"/>
      <c r="AZ462" s="24"/>
    </row>
    <row r="463">
      <c r="B463" s="24"/>
      <c r="E463" s="113"/>
      <c r="F463" s="266"/>
      <c r="G463" s="113"/>
      <c r="K463" s="36"/>
      <c r="L463" s="117"/>
      <c r="M463" s="128"/>
      <c r="N463" s="117"/>
      <c r="R463" s="117"/>
      <c r="T463" s="117"/>
      <c r="V463" s="117"/>
      <c r="X463" s="117"/>
      <c r="Y463" s="10"/>
      <c r="Z463" s="11"/>
      <c r="AA463" s="36"/>
      <c r="AB463" s="36"/>
      <c r="AC463" s="13"/>
      <c r="AD463" s="13"/>
      <c r="AE463" s="37"/>
      <c r="AF463" s="37"/>
      <c r="AG463" s="14"/>
      <c r="AH463" s="14"/>
      <c r="AI463" s="14"/>
      <c r="AZ463" s="24"/>
    </row>
    <row r="464">
      <c r="B464" s="24"/>
      <c r="E464" s="113"/>
      <c r="F464" s="266"/>
      <c r="G464" s="113"/>
      <c r="K464" s="36"/>
      <c r="L464" s="117"/>
      <c r="M464" s="128"/>
      <c r="N464" s="117"/>
      <c r="R464" s="117"/>
      <c r="T464" s="117"/>
      <c r="V464" s="117"/>
      <c r="X464" s="117"/>
      <c r="Y464" s="10"/>
      <c r="Z464" s="11"/>
      <c r="AA464" s="36"/>
      <c r="AB464" s="36"/>
      <c r="AC464" s="13"/>
      <c r="AD464" s="13"/>
      <c r="AE464" s="37"/>
      <c r="AF464" s="37"/>
      <c r="AG464" s="14"/>
      <c r="AH464" s="14"/>
      <c r="AI464" s="14"/>
      <c r="AZ464" s="24"/>
    </row>
    <row r="465">
      <c r="B465" s="24"/>
      <c r="E465" s="113"/>
      <c r="F465" s="266"/>
      <c r="G465" s="113"/>
      <c r="K465" s="36"/>
      <c r="L465" s="117"/>
      <c r="M465" s="128"/>
      <c r="N465" s="117"/>
      <c r="R465" s="117"/>
      <c r="T465" s="117"/>
      <c r="V465" s="117"/>
      <c r="X465" s="117"/>
      <c r="Y465" s="10"/>
      <c r="Z465" s="11"/>
      <c r="AA465" s="36"/>
      <c r="AB465" s="36"/>
      <c r="AC465" s="13"/>
      <c r="AD465" s="13"/>
      <c r="AE465" s="37"/>
      <c r="AF465" s="37"/>
      <c r="AG465" s="14"/>
      <c r="AH465" s="14"/>
      <c r="AI465" s="14"/>
      <c r="AZ465" s="24"/>
    </row>
    <row r="466">
      <c r="B466" s="24"/>
      <c r="E466" s="113"/>
      <c r="F466" s="266"/>
      <c r="G466" s="113"/>
      <c r="K466" s="36"/>
      <c r="L466" s="117"/>
      <c r="M466" s="128"/>
      <c r="N466" s="117"/>
      <c r="R466" s="117"/>
      <c r="T466" s="117"/>
      <c r="V466" s="117"/>
      <c r="X466" s="117"/>
      <c r="Y466" s="10"/>
      <c r="Z466" s="11"/>
      <c r="AA466" s="36"/>
      <c r="AB466" s="36"/>
      <c r="AC466" s="13"/>
      <c r="AD466" s="13"/>
      <c r="AE466" s="37"/>
      <c r="AF466" s="37"/>
      <c r="AG466" s="14"/>
      <c r="AH466" s="14"/>
      <c r="AI466" s="14"/>
      <c r="AZ466" s="24"/>
    </row>
    <row r="467">
      <c r="B467" s="24"/>
      <c r="E467" s="113"/>
      <c r="F467" s="266"/>
      <c r="G467" s="113"/>
      <c r="K467" s="36"/>
      <c r="L467" s="117"/>
      <c r="M467" s="128"/>
      <c r="N467" s="117"/>
      <c r="R467" s="117"/>
      <c r="T467" s="117"/>
      <c r="V467" s="117"/>
      <c r="X467" s="117"/>
      <c r="Y467" s="10"/>
      <c r="Z467" s="11"/>
      <c r="AA467" s="36"/>
      <c r="AB467" s="36"/>
      <c r="AC467" s="13"/>
      <c r="AD467" s="13"/>
      <c r="AE467" s="37"/>
      <c r="AF467" s="37"/>
      <c r="AG467" s="14"/>
      <c r="AH467" s="14"/>
      <c r="AI467" s="14"/>
      <c r="AZ467" s="24"/>
    </row>
    <row r="468">
      <c r="B468" s="24"/>
      <c r="E468" s="113"/>
      <c r="F468" s="266"/>
      <c r="G468" s="113"/>
      <c r="K468" s="36"/>
      <c r="L468" s="117"/>
      <c r="M468" s="128"/>
      <c r="N468" s="117"/>
      <c r="R468" s="117"/>
      <c r="T468" s="117"/>
      <c r="V468" s="117"/>
      <c r="X468" s="117"/>
      <c r="Y468" s="10"/>
      <c r="Z468" s="11"/>
      <c r="AA468" s="36"/>
      <c r="AB468" s="36"/>
      <c r="AC468" s="13"/>
      <c r="AD468" s="13"/>
      <c r="AE468" s="37"/>
      <c r="AF468" s="37"/>
      <c r="AG468" s="14"/>
      <c r="AH468" s="14"/>
      <c r="AI468" s="14"/>
      <c r="AZ468" s="24"/>
    </row>
    <row r="469">
      <c r="B469" s="24"/>
      <c r="E469" s="113"/>
      <c r="F469" s="266"/>
      <c r="G469" s="113"/>
      <c r="K469" s="36"/>
      <c r="L469" s="117"/>
      <c r="M469" s="128"/>
      <c r="N469" s="117"/>
      <c r="R469" s="117"/>
      <c r="T469" s="117"/>
      <c r="V469" s="117"/>
      <c r="X469" s="117"/>
      <c r="Y469" s="10"/>
      <c r="Z469" s="11"/>
      <c r="AA469" s="36"/>
      <c r="AB469" s="36"/>
      <c r="AC469" s="13"/>
      <c r="AD469" s="13"/>
      <c r="AE469" s="37"/>
      <c r="AF469" s="37"/>
      <c r="AG469" s="14"/>
      <c r="AH469" s="14"/>
      <c r="AI469" s="14"/>
      <c r="AZ469" s="24"/>
    </row>
    <row r="470">
      <c r="B470" s="24"/>
      <c r="E470" s="113"/>
      <c r="F470" s="266"/>
      <c r="G470" s="113"/>
      <c r="K470" s="36"/>
      <c r="L470" s="117"/>
      <c r="M470" s="128"/>
      <c r="N470" s="117"/>
      <c r="R470" s="117"/>
      <c r="T470" s="117"/>
      <c r="V470" s="117"/>
      <c r="X470" s="117"/>
      <c r="Y470" s="10"/>
      <c r="Z470" s="11"/>
      <c r="AA470" s="36"/>
      <c r="AB470" s="36"/>
      <c r="AC470" s="13"/>
      <c r="AD470" s="13"/>
      <c r="AE470" s="37"/>
      <c r="AF470" s="37"/>
      <c r="AG470" s="14"/>
      <c r="AH470" s="14"/>
      <c r="AI470" s="14"/>
      <c r="AZ470" s="24"/>
    </row>
    <row r="471">
      <c r="B471" s="24"/>
      <c r="E471" s="113"/>
      <c r="F471" s="266"/>
      <c r="G471" s="113"/>
      <c r="K471" s="36"/>
      <c r="L471" s="117"/>
      <c r="M471" s="128"/>
      <c r="N471" s="117"/>
      <c r="R471" s="117"/>
      <c r="T471" s="117"/>
      <c r="V471" s="117"/>
      <c r="X471" s="117"/>
      <c r="Y471" s="10"/>
      <c r="Z471" s="11"/>
      <c r="AA471" s="36"/>
      <c r="AB471" s="36"/>
      <c r="AC471" s="13"/>
      <c r="AD471" s="13"/>
      <c r="AE471" s="37"/>
      <c r="AF471" s="37"/>
      <c r="AG471" s="14"/>
      <c r="AH471" s="14"/>
      <c r="AI471" s="14"/>
      <c r="AZ471" s="24"/>
    </row>
    <row r="472">
      <c r="B472" s="24"/>
      <c r="E472" s="113"/>
      <c r="F472" s="266"/>
      <c r="G472" s="113"/>
      <c r="K472" s="36"/>
      <c r="L472" s="117"/>
      <c r="M472" s="128"/>
      <c r="N472" s="117"/>
      <c r="R472" s="117"/>
      <c r="T472" s="117"/>
      <c r="V472" s="117"/>
      <c r="X472" s="117"/>
      <c r="Y472" s="10"/>
      <c r="Z472" s="11"/>
      <c r="AA472" s="36"/>
      <c r="AB472" s="36"/>
      <c r="AC472" s="13"/>
      <c r="AD472" s="13"/>
      <c r="AE472" s="37"/>
      <c r="AF472" s="37"/>
      <c r="AG472" s="14"/>
      <c r="AH472" s="14"/>
      <c r="AI472" s="14"/>
      <c r="AZ472" s="24"/>
    </row>
    <row r="473">
      <c r="B473" s="24"/>
      <c r="E473" s="113"/>
      <c r="F473" s="266"/>
      <c r="G473" s="113"/>
      <c r="K473" s="36"/>
      <c r="L473" s="117"/>
      <c r="M473" s="128"/>
      <c r="N473" s="117"/>
      <c r="R473" s="117"/>
      <c r="T473" s="117"/>
      <c r="V473" s="117"/>
      <c r="X473" s="117"/>
      <c r="Y473" s="10"/>
      <c r="Z473" s="11"/>
      <c r="AA473" s="36"/>
      <c r="AB473" s="36"/>
      <c r="AC473" s="13"/>
      <c r="AD473" s="13"/>
      <c r="AE473" s="37"/>
      <c r="AF473" s="37"/>
      <c r="AG473" s="14"/>
      <c r="AH473" s="14"/>
      <c r="AI473" s="14"/>
      <c r="AZ473" s="24"/>
    </row>
    <row r="474">
      <c r="B474" s="24"/>
      <c r="E474" s="113"/>
      <c r="F474" s="266"/>
      <c r="G474" s="113"/>
      <c r="K474" s="36"/>
      <c r="L474" s="117"/>
      <c r="M474" s="128"/>
      <c r="N474" s="117"/>
      <c r="R474" s="117"/>
      <c r="T474" s="117"/>
      <c r="V474" s="117"/>
      <c r="X474" s="117"/>
      <c r="Y474" s="10"/>
      <c r="Z474" s="11"/>
      <c r="AA474" s="36"/>
      <c r="AB474" s="36"/>
      <c r="AC474" s="13"/>
      <c r="AD474" s="13"/>
      <c r="AE474" s="37"/>
      <c r="AF474" s="37"/>
      <c r="AG474" s="14"/>
      <c r="AH474" s="14"/>
      <c r="AI474" s="14"/>
      <c r="AZ474" s="24"/>
    </row>
    <row r="475">
      <c r="B475" s="24"/>
      <c r="E475" s="113"/>
      <c r="F475" s="266"/>
      <c r="G475" s="113"/>
      <c r="K475" s="36"/>
      <c r="L475" s="117"/>
      <c r="M475" s="128"/>
      <c r="N475" s="117"/>
      <c r="R475" s="117"/>
      <c r="T475" s="117"/>
      <c r="V475" s="117"/>
      <c r="X475" s="117"/>
      <c r="Y475" s="10"/>
      <c r="Z475" s="11"/>
      <c r="AA475" s="36"/>
      <c r="AB475" s="36"/>
      <c r="AC475" s="13"/>
      <c r="AD475" s="13"/>
      <c r="AE475" s="37"/>
      <c r="AF475" s="37"/>
      <c r="AG475" s="14"/>
      <c r="AH475" s="14"/>
      <c r="AI475" s="14"/>
      <c r="AZ475" s="24"/>
    </row>
    <row r="476">
      <c r="B476" s="24"/>
      <c r="E476" s="113"/>
      <c r="F476" s="266"/>
      <c r="G476" s="113"/>
      <c r="K476" s="36"/>
      <c r="L476" s="117"/>
      <c r="M476" s="128"/>
      <c r="N476" s="117"/>
      <c r="R476" s="117"/>
      <c r="T476" s="117"/>
      <c r="V476" s="117"/>
      <c r="X476" s="117"/>
      <c r="Y476" s="10"/>
      <c r="Z476" s="11"/>
      <c r="AA476" s="36"/>
      <c r="AB476" s="36"/>
      <c r="AC476" s="13"/>
      <c r="AD476" s="13"/>
      <c r="AE476" s="37"/>
      <c r="AF476" s="37"/>
      <c r="AG476" s="14"/>
      <c r="AH476" s="14"/>
      <c r="AI476" s="14"/>
      <c r="AZ476" s="24"/>
    </row>
    <row r="477">
      <c r="B477" s="24"/>
      <c r="E477" s="113"/>
      <c r="F477" s="266"/>
      <c r="G477" s="113"/>
      <c r="K477" s="36"/>
      <c r="L477" s="117"/>
      <c r="M477" s="128"/>
      <c r="N477" s="117"/>
      <c r="R477" s="117"/>
      <c r="T477" s="117"/>
      <c r="V477" s="117"/>
      <c r="X477" s="117"/>
      <c r="Y477" s="10"/>
      <c r="Z477" s="11"/>
      <c r="AA477" s="36"/>
      <c r="AB477" s="36"/>
      <c r="AC477" s="13"/>
      <c r="AD477" s="13"/>
      <c r="AE477" s="37"/>
      <c r="AF477" s="37"/>
      <c r="AG477" s="14"/>
      <c r="AH477" s="14"/>
      <c r="AI477" s="14"/>
      <c r="AZ477" s="24"/>
    </row>
    <row r="478">
      <c r="B478" s="24"/>
      <c r="E478" s="113"/>
      <c r="F478" s="266"/>
      <c r="G478" s="113"/>
      <c r="K478" s="36"/>
      <c r="L478" s="117"/>
      <c r="M478" s="128"/>
      <c r="N478" s="117"/>
      <c r="R478" s="117"/>
      <c r="T478" s="117"/>
      <c r="V478" s="117"/>
      <c r="X478" s="117"/>
      <c r="Y478" s="10"/>
      <c r="Z478" s="11"/>
      <c r="AA478" s="36"/>
      <c r="AB478" s="36"/>
      <c r="AC478" s="13"/>
      <c r="AD478" s="13"/>
      <c r="AE478" s="37"/>
      <c r="AF478" s="37"/>
      <c r="AG478" s="14"/>
      <c r="AH478" s="14"/>
      <c r="AI478" s="14"/>
      <c r="AZ478" s="24"/>
    </row>
    <row r="479">
      <c r="B479" s="24"/>
      <c r="E479" s="113"/>
      <c r="F479" s="266"/>
      <c r="G479" s="113"/>
      <c r="K479" s="36"/>
      <c r="L479" s="117"/>
      <c r="M479" s="128"/>
      <c r="N479" s="117"/>
      <c r="R479" s="117"/>
      <c r="T479" s="117"/>
      <c r="V479" s="117"/>
      <c r="X479" s="117"/>
      <c r="Y479" s="10"/>
      <c r="Z479" s="11"/>
      <c r="AA479" s="36"/>
      <c r="AB479" s="36"/>
      <c r="AC479" s="13"/>
      <c r="AD479" s="13"/>
      <c r="AE479" s="37"/>
      <c r="AF479" s="37"/>
      <c r="AG479" s="14"/>
      <c r="AH479" s="14"/>
      <c r="AI479" s="14"/>
      <c r="AZ479" s="24"/>
    </row>
    <row r="480">
      <c r="B480" s="24"/>
      <c r="E480" s="113"/>
      <c r="F480" s="266"/>
      <c r="G480" s="113"/>
      <c r="K480" s="36"/>
      <c r="L480" s="117"/>
      <c r="M480" s="128"/>
      <c r="N480" s="117"/>
      <c r="R480" s="117"/>
      <c r="T480" s="117"/>
      <c r="V480" s="117"/>
      <c r="X480" s="117"/>
      <c r="Y480" s="10"/>
      <c r="Z480" s="11"/>
      <c r="AA480" s="36"/>
      <c r="AB480" s="36"/>
      <c r="AC480" s="13"/>
      <c r="AD480" s="13"/>
      <c r="AE480" s="37"/>
      <c r="AF480" s="37"/>
      <c r="AG480" s="14"/>
      <c r="AH480" s="14"/>
      <c r="AI480" s="14"/>
      <c r="AZ480" s="24"/>
    </row>
    <row r="481">
      <c r="B481" s="24"/>
      <c r="E481" s="113"/>
      <c r="F481" s="266"/>
      <c r="G481" s="113"/>
      <c r="K481" s="36"/>
      <c r="L481" s="117"/>
      <c r="M481" s="128"/>
      <c r="N481" s="117"/>
      <c r="R481" s="117"/>
      <c r="T481" s="117"/>
      <c r="V481" s="117"/>
      <c r="X481" s="117"/>
      <c r="Y481" s="10"/>
      <c r="Z481" s="11"/>
      <c r="AA481" s="36"/>
      <c r="AB481" s="36"/>
      <c r="AC481" s="13"/>
      <c r="AD481" s="13"/>
      <c r="AE481" s="37"/>
      <c r="AF481" s="37"/>
      <c r="AG481" s="14"/>
      <c r="AH481" s="14"/>
      <c r="AI481" s="14"/>
      <c r="AZ481" s="24"/>
    </row>
    <row r="482">
      <c r="B482" s="24"/>
      <c r="E482" s="113"/>
      <c r="F482" s="266"/>
      <c r="G482" s="113"/>
      <c r="K482" s="36"/>
      <c r="L482" s="117"/>
      <c r="M482" s="128"/>
      <c r="N482" s="117"/>
      <c r="R482" s="117"/>
      <c r="T482" s="117"/>
      <c r="V482" s="117"/>
      <c r="X482" s="117"/>
      <c r="Y482" s="10"/>
      <c r="Z482" s="11"/>
      <c r="AA482" s="36"/>
      <c r="AB482" s="36"/>
      <c r="AC482" s="13"/>
      <c r="AD482" s="13"/>
      <c r="AE482" s="37"/>
      <c r="AF482" s="37"/>
      <c r="AG482" s="14"/>
      <c r="AH482" s="14"/>
      <c r="AI482" s="14"/>
      <c r="AZ482" s="24"/>
    </row>
    <row r="483">
      <c r="B483" s="24"/>
      <c r="E483" s="113"/>
      <c r="F483" s="266"/>
      <c r="G483" s="113"/>
      <c r="K483" s="36"/>
      <c r="L483" s="117"/>
      <c r="M483" s="128"/>
      <c r="N483" s="117"/>
      <c r="R483" s="117"/>
      <c r="T483" s="117"/>
      <c r="V483" s="117"/>
      <c r="X483" s="117"/>
      <c r="Y483" s="10"/>
      <c r="Z483" s="11"/>
      <c r="AA483" s="36"/>
      <c r="AB483" s="36"/>
      <c r="AC483" s="13"/>
      <c r="AD483" s="13"/>
      <c r="AE483" s="37"/>
      <c r="AF483" s="37"/>
      <c r="AG483" s="14"/>
      <c r="AH483" s="14"/>
      <c r="AI483" s="14"/>
      <c r="AZ483" s="24"/>
    </row>
    <row r="484">
      <c r="B484" s="24"/>
      <c r="E484" s="113"/>
      <c r="F484" s="266"/>
      <c r="G484" s="113"/>
      <c r="K484" s="36"/>
      <c r="L484" s="117"/>
      <c r="M484" s="128"/>
      <c r="N484" s="117"/>
      <c r="R484" s="117"/>
      <c r="T484" s="117"/>
      <c r="V484" s="117"/>
      <c r="X484" s="117"/>
      <c r="Y484" s="10"/>
      <c r="Z484" s="11"/>
      <c r="AA484" s="36"/>
      <c r="AB484" s="36"/>
      <c r="AC484" s="13"/>
      <c r="AD484" s="13"/>
      <c r="AE484" s="37"/>
      <c r="AF484" s="37"/>
      <c r="AG484" s="14"/>
      <c r="AH484" s="14"/>
      <c r="AI484" s="14"/>
      <c r="AZ484" s="24"/>
    </row>
    <row r="485">
      <c r="B485" s="24"/>
      <c r="E485" s="113"/>
      <c r="F485" s="266"/>
      <c r="G485" s="113"/>
      <c r="K485" s="36"/>
      <c r="L485" s="117"/>
      <c r="M485" s="128"/>
      <c r="N485" s="117"/>
      <c r="R485" s="117"/>
      <c r="T485" s="117"/>
      <c r="V485" s="117"/>
      <c r="X485" s="117"/>
      <c r="Y485" s="10"/>
      <c r="Z485" s="11"/>
      <c r="AA485" s="36"/>
      <c r="AB485" s="36"/>
      <c r="AC485" s="13"/>
      <c r="AD485" s="13"/>
      <c r="AE485" s="37"/>
      <c r="AF485" s="37"/>
      <c r="AG485" s="14"/>
      <c r="AH485" s="14"/>
      <c r="AI485" s="14"/>
      <c r="AZ485" s="24"/>
    </row>
    <row r="486">
      <c r="B486" s="24"/>
      <c r="E486" s="113"/>
      <c r="F486" s="266"/>
      <c r="G486" s="113"/>
      <c r="K486" s="36"/>
      <c r="L486" s="117"/>
      <c r="M486" s="128"/>
      <c r="N486" s="117"/>
      <c r="R486" s="117"/>
      <c r="T486" s="117"/>
      <c r="V486" s="117"/>
      <c r="X486" s="117"/>
      <c r="Y486" s="10"/>
      <c r="Z486" s="11"/>
      <c r="AA486" s="36"/>
      <c r="AB486" s="36"/>
      <c r="AC486" s="13"/>
      <c r="AD486" s="13"/>
      <c r="AE486" s="37"/>
      <c r="AF486" s="37"/>
      <c r="AG486" s="14"/>
      <c r="AH486" s="14"/>
      <c r="AI486" s="14"/>
      <c r="AZ486" s="24"/>
    </row>
    <row r="487">
      <c r="B487" s="24"/>
      <c r="E487" s="113"/>
      <c r="F487" s="266"/>
      <c r="G487" s="113"/>
      <c r="K487" s="36"/>
      <c r="L487" s="117"/>
      <c r="M487" s="128"/>
      <c r="N487" s="117"/>
      <c r="R487" s="117"/>
      <c r="T487" s="117"/>
      <c r="V487" s="117"/>
      <c r="X487" s="117"/>
      <c r="Y487" s="10"/>
      <c r="Z487" s="11"/>
      <c r="AA487" s="36"/>
      <c r="AB487" s="36"/>
      <c r="AC487" s="13"/>
      <c r="AD487" s="13"/>
      <c r="AE487" s="37"/>
      <c r="AF487" s="37"/>
      <c r="AG487" s="14"/>
      <c r="AH487" s="14"/>
      <c r="AI487" s="14"/>
      <c r="AZ487" s="24"/>
    </row>
    <row r="488">
      <c r="B488" s="24"/>
      <c r="E488" s="113"/>
      <c r="F488" s="266"/>
      <c r="G488" s="113"/>
      <c r="K488" s="36"/>
      <c r="L488" s="117"/>
      <c r="M488" s="128"/>
      <c r="N488" s="117"/>
      <c r="R488" s="117"/>
      <c r="T488" s="117"/>
      <c r="V488" s="117"/>
      <c r="X488" s="117"/>
      <c r="Y488" s="10"/>
      <c r="Z488" s="11"/>
      <c r="AA488" s="36"/>
      <c r="AB488" s="36"/>
      <c r="AC488" s="13"/>
      <c r="AD488" s="13"/>
      <c r="AE488" s="37"/>
      <c r="AF488" s="37"/>
      <c r="AG488" s="14"/>
      <c r="AH488" s="14"/>
      <c r="AI488" s="14"/>
      <c r="AZ488" s="24"/>
    </row>
    <row r="489">
      <c r="B489" s="24"/>
      <c r="E489" s="113"/>
      <c r="F489" s="266"/>
      <c r="G489" s="113"/>
      <c r="K489" s="36"/>
      <c r="L489" s="117"/>
      <c r="M489" s="128"/>
      <c r="N489" s="117"/>
      <c r="R489" s="117"/>
      <c r="T489" s="117"/>
      <c r="V489" s="117"/>
      <c r="X489" s="117"/>
      <c r="Y489" s="10"/>
      <c r="Z489" s="11"/>
      <c r="AA489" s="36"/>
      <c r="AB489" s="36"/>
      <c r="AC489" s="13"/>
      <c r="AD489" s="13"/>
      <c r="AE489" s="37"/>
      <c r="AF489" s="37"/>
      <c r="AG489" s="14"/>
      <c r="AH489" s="14"/>
      <c r="AI489" s="14"/>
      <c r="AZ489" s="24"/>
    </row>
    <row r="490">
      <c r="B490" s="24"/>
      <c r="E490" s="113"/>
      <c r="F490" s="266"/>
      <c r="G490" s="113"/>
      <c r="K490" s="36"/>
      <c r="L490" s="117"/>
      <c r="M490" s="128"/>
      <c r="N490" s="117"/>
      <c r="R490" s="117"/>
      <c r="T490" s="117"/>
      <c r="V490" s="117"/>
      <c r="X490" s="117"/>
      <c r="Y490" s="10"/>
      <c r="Z490" s="11"/>
      <c r="AA490" s="36"/>
      <c r="AB490" s="36"/>
      <c r="AC490" s="13"/>
      <c r="AD490" s="13"/>
      <c r="AE490" s="37"/>
      <c r="AF490" s="37"/>
      <c r="AG490" s="14"/>
      <c r="AH490" s="14"/>
      <c r="AI490" s="14"/>
      <c r="AZ490" s="24"/>
    </row>
    <row r="491">
      <c r="B491" s="24"/>
      <c r="E491" s="113"/>
      <c r="F491" s="266"/>
      <c r="G491" s="113"/>
      <c r="K491" s="36"/>
      <c r="L491" s="117"/>
      <c r="M491" s="128"/>
      <c r="N491" s="117"/>
      <c r="R491" s="117"/>
      <c r="T491" s="117"/>
      <c r="V491" s="117"/>
      <c r="X491" s="117"/>
      <c r="Y491" s="10"/>
      <c r="Z491" s="11"/>
      <c r="AA491" s="36"/>
      <c r="AB491" s="36"/>
      <c r="AC491" s="13"/>
      <c r="AD491" s="13"/>
      <c r="AE491" s="37"/>
      <c r="AF491" s="37"/>
      <c r="AG491" s="14"/>
      <c r="AH491" s="14"/>
      <c r="AI491" s="14"/>
      <c r="AZ491" s="24"/>
    </row>
    <row r="492">
      <c r="B492" s="24"/>
      <c r="E492" s="113"/>
      <c r="F492" s="266"/>
      <c r="G492" s="113"/>
      <c r="K492" s="36"/>
      <c r="L492" s="117"/>
      <c r="M492" s="128"/>
      <c r="N492" s="117"/>
      <c r="R492" s="117"/>
      <c r="T492" s="117"/>
      <c r="V492" s="117"/>
      <c r="X492" s="117"/>
      <c r="Y492" s="10"/>
      <c r="Z492" s="11"/>
      <c r="AA492" s="36"/>
      <c r="AB492" s="36"/>
      <c r="AC492" s="13"/>
      <c r="AD492" s="13"/>
      <c r="AE492" s="37"/>
      <c r="AF492" s="37"/>
      <c r="AG492" s="14"/>
      <c r="AH492" s="14"/>
      <c r="AI492" s="14"/>
      <c r="AZ492" s="24"/>
    </row>
    <row r="493">
      <c r="B493" s="24"/>
      <c r="E493" s="113"/>
      <c r="F493" s="266"/>
      <c r="G493" s="113"/>
      <c r="K493" s="36"/>
      <c r="L493" s="117"/>
      <c r="M493" s="128"/>
      <c r="N493" s="117"/>
      <c r="R493" s="117"/>
      <c r="T493" s="117"/>
      <c r="V493" s="117"/>
      <c r="X493" s="117"/>
      <c r="Y493" s="10"/>
      <c r="Z493" s="11"/>
      <c r="AA493" s="36"/>
      <c r="AB493" s="36"/>
      <c r="AC493" s="13"/>
      <c r="AD493" s="13"/>
      <c r="AE493" s="37"/>
      <c r="AF493" s="37"/>
      <c r="AG493" s="14"/>
      <c r="AH493" s="14"/>
      <c r="AI493" s="14"/>
      <c r="AZ493" s="24"/>
    </row>
    <row r="494">
      <c r="B494" s="24"/>
      <c r="E494" s="113"/>
      <c r="F494" s="266"/>
      <c r="G494" s="113"/>
      <c r="K494" s="36"/>
      <c r="L494" s="117"/>
      <c r="M494" s="128"/>
      <c r="N494" s="117"/>
      <c r="R494" s="117"/>
      <c r="T494" s="117"/>
      <c r="V494" s="117"/>
      <c r="X494" s="117"/>
      <c r="Y494" s="10"/>
      <c r="Z494" s="11"/>
      <c r="AA494" s="36"/>
      <c r="AB494" s="36"/>
      <c r="AC494" s="13"/>
      <c r="AD494" s="13"/>
      <c r="AE494" s="37"/>
      <c r="AF494" s="37"/>
      <c r="AG494" s="14"/>
      <c r="AH494" s="14"/>
      <c r="AI494" s="14"/>
      <c r="AZ494" s="24"/>
    </row>
    <row r="495">
      <c r="B495" s="24"/>
      <c r="E495" s="113"/>
      <c r="F495" s="266"/>
      <c r="G495" s="113"/>
      <c r="K495" s="36"/>
      <c r="L495" s="117"/>
      <c r="M495" s="128"/>
      <c r="N495" s="117"/>
      <c r="R495" s="117"/>
      <c r="T495" s="117"/>
      <c r="V495" s="117"/>
      <c r="X495" s="117"/>
      <c r="Y495" s="10"/>
      <c r="Z495" s="11"/>
      <c r="AA495" s="36"/>
      <c r="AB495" s="36"/>
      <c r="AC495" s="13"/>
      <c r="AD495" s="13"/>
      <c r="AE495" s="37"/>
      <c r="AF495" s="37"/>
      <c r="AG495" s="14"/>
      <c r="AH495" s="14"/>
      <c r="AI495" s="14"/>
      <c r="AZ495" s="24"/>
    </row>
    <row r="496">
      <c r="B496" s="24"/>
      <c r="E496" s="113"/>
      <c r="F496" s="266"/>
      <c r="G496" s="113"/>
      <c r="K496" s="36"/>
      <c r="L496" s="117"/>
      <c r="M496" s="128"/>
      <c r="N496" s="117"/>
      <c r="R496" s="117"/>
      <c r="T496" s="117"/>
      <c r="V496" s="117"/>
      <c r="X496" s="117"/>
      <c r="Y496" s="10"/>
      <c r="Z496" s="11"/>
      <c r="AA496" s="36"/>
      <c r="AB496" s="36"/>
      <c r="AC496" s="13"/>
      <c r="AD496" s="13"/>
      <c r="AE496" s="37"/>
      <c r="AF496" s="37"/>
      <c r="AG496" s="14"/>
      <c r="AH496" s="14"/>
      <c r="AI496" s="14"/>
      <c r="AZ496" s="24"/>
    </row>
    <row r="497">
      <c r="B497" s="24"/>
      <c r="E497" s="113"/>
      <c r="F497" s="266"/>
      <c r="G497" s="113"/>
      <c r="K497" s="36"/>
      <c r="L497" s="117"/>
      <c r="M497" s="128"/>
      <c r="N497" s="117"/>
      <c r="R497" s="117"/>
      <c r="T497" s="117"/>
      <c r="V497" s="117"/>
      <c r="X497" s="117"/>
      <c r="Y497" s="10"/>
      <c r="Z497" s="11"/>
      <c r="AA497" s="36"/>
      <c r="AB497" s="36"/>
      <c r="AC497" s="13"/>
      <c r="AD497" s="13"/>
      <c r="AE497" s="37"/>
      <c r="AF497" s="37"/>
      <c r="AG497" s="14"/>
      <c r="AH497" s="14"/>
      <c r="AI497" s="14"/>
      <c r="AZ497" s="24"/>
    </row>
    <row r="498">
      <c r="B498" s="24"/>
      <c r="E498" s="113"/>
      <c r="F498" s="266"/>
      <c r="G498" s="113"/>
      <c r="K498" s="36"/>
      <c r="L498" s="117"/>
      <c r="M498" s="128"/>
      <c r="N498" s="117"/>
      <c r="R498" s="117"/>
      <c r="T498" s="117"/>
      <c r="V498" s="117"/>
      <c r="X498" s="117"/>
      <c r="Y498" s="10"/>
      <c r="Z498" s="11"/>
      <c r="AA498" s="36"/>
      <c r="AB498" s="36"/>
      <c r="AC498" s="13"/>
      <c r="AD498" s="13"/>
      <c r="AE498" s="37"/>
      <c r="AF498" s="37"/>
      <c r="AG498" s="14"/>
      <c r="AH498" s="14"/>
      <c r="AI498" s="14"/>
      <c r="AZ498" s="24"/>
    </row>
    <row r="499">
      <c r="B499" s="24"/>
      <c r="E499" s="113"/>
      <c r="F499" s="266"/>
      <c r="G499" s="113"/>
      <c r="K499" s="36"/>
      <c r="L499" s="117"/>
      <c r="M499" s="128"/>
      <c r="N499" s="117"/>
      <c r="R499" s="117"/>
      <c r="T499" s="117"/>
      <c r="V499" s="117"/>
      <c r="X499" s="117"/>
      <c r="Y499" s="10"/>
      <c r="Z499" s="11"/>
      <c r="AA499" s="36"/>
      <c r="AB499" s="36"/>
      <c r="AC499" s="13"/>
      <c r="AD499" s="13"/>
      <c r="AE499" s="37"/>
      <c r="AF499" s="37"/>
      <c r="AG499" s="14"/>
      <c r="AH499" s="14"/>
      <c r="AI499" s="14"/>
      <c r="AZ499" s="24"/>
    </row>
    <row r="500">
      <c r="B500" s="24"/>
      <c r="E500" s="113"/>
      <c r="F500" s="266"/>
      <c r="G500" s="113"/>
      <c r="K500" s="36"/>
      <c r="L500" s="117"/>
      <c r="M500" s="128"/>
      <c r="N500" s="117"/>
      <c r="R500" s="117"/>
      <c r="T500" s="117"/>
      <c r="V500" s="117"/>
      <c r="X500" s="117"/>
      <c r="Y500" s="10"/>
      <c r="Z500" s="11"/>
      <c r="AA500" s="36"/>
      <c r="AB500" s="36"/>
      <c r="AC500" s="13"/>
      <c r="AD500" s="13"/>
      <c r="AE500" s="37"/>
      <c r="AF500" s="37"/>
      <c r="AG500" s="14"/>
      <c r="AH500" s="14"/>
      <c r="AI500" s="14"/>
      <c r="AZ500" s="24"/>
    </row>
    <row r="501">
      <c r="B501" s="24"/>
      <c r="E501" s="113"/>
      <c r="F501" s="266"/>
      <c r="G501" s="113"/>
      <c r="K501" s="36"/>
      <c r="L501" s="117"/>
      <c r="M501" s="128"/>
      <c r="N501" s="117"/>
      <c r="R501" s="117"/>
      <c r="T501" s="117"/>
      <c r="V501" s="117"/>
      <c r="X501" s="117"/>
      <c r="Y501" s="10"/>
      <c r="Z501" s="11"/>
      <c r="AA501" s="36"/>
      <c r="AB501" s="36"/>
      <c r="AC501" s="13"/>
      <c r="AD501" s="13"/>
      <c r="AE501" s="37"/>
      <c r="AF501" s="37"/>
      <c r="AG501" s="14"/>
      <c r="AH501" s="14"/>
      <c r="AI501" s="14"/>
      <c r="AZ501" s="24"/>
    </row>
    <row r="502">
      <c r="B502" s="24"/>
      <c r="E502" s="113"/>
      <c r="F502" s="266"/>
      <c r="G502" s="113"/>
      <c r="K502" s="36"/>
      <c r="L502" s="117"/>
      <c r="M502" s="128"/>
      <c r="N502" s="117"/>
      <c r="R502" s="117"/>
      <c r="T502" s="117"/>
      <c r="V502" s="117"/>
      <c r="X502" s="117"/>
      <c r="Y502" s="10"/>
      <c r="Z502" s="11"/>
      <c r="AA502" s="36"/>
      <c r="AB502" s="36"/>
      <c r="AC502" s="13"/>
      <c r="AD502" s="13"/>
      <c r="AE502" s="37"/>
      <c r="AF502" s="37"/>
      <c r="AG502" s="14"/>
      <c r="AH502" s="14"/>
      <c r="AI502" s="14"/>
      <c r="AZ502" s="24"/>
    </row>
    <row r="503">
      <c r="B503" s="24"/>
      <c r="E503" s="113"/>
      <c r="F503" s="266"/>
      <c r="G503" s="113"/>
      <c r="K503" s="36"/>
      <c r="L503" s="117"/>
      <c r="M503" s="128"/>
      <c r="N503" s="117"/>
      <c r="R503" s="117"/>
      <c r="T503" s="117"/>
      <c r="V503" s="117"/>
      <c r="X503" s="117"/>
      <c r="Y503" s="10"/>
      <c r="Z503" s="11"/>
      <c r="AA503" s="36"/>
      <c r="AB503" s="36"/>
      <c r="AC503" s="13"/>
      <c r="AD503" s="13"/>
      <c r="AE503" s="37"/>
      <c r="AF503" s="37"/>
      <c r="AG503" s="14"/>
      <c r="AH503" s="14"/>
      <c r="AI503" s="14"/>
      <c r="AZ503" s="24"/>
    </row>
    <row r="504">
      <c r="B504" s="24"/>
      <c r="E504" s="113"/>
      <c r="F504" s="266"/>
      <c r="G504" s="113"/>
      <c r="K504" s="36"/>
      <c r="L504" s="117"/>
      <c r="M504" s="128"/>
      <c r="N504" s="117"/>
      <c r="R504" s="117"/>
      <c r="T504" s="117"/>
      <c r="V504" s="117"/>
      <c r="X504" s="117"/>
      <c r="Y504" s="10"/>
      <c r="Z504" s="11"/>
      <c r="AA504" s="36"/>
      <c r="AB504" s="36"/>
      <c r="AC504" s="13"/>
      <c r="AD504" s="13"/>
      <c r="AE504" s="37"/>
      <c r="AF504" s="37"/>
      <c r="AG504" s="14"/>
      <c r="AH504" s="14"/>
      <c r="AI504" s="14"/>
      <c r="AZ504" s="24"/>
    </row>
    <row r="505">
      <c r="B505" s="24"/>
      <c r="E505" s="113"/>
      <c r="F505" s="266"/>
      <c r="G505" s="113"/>
      <c r="K505" s="36"/>
      <c r="L505" s="117"/>
      <c r="M505" s="128"/>
      <c r="N505" s="117"/>
      <c r="R505" s="117"/>
      <c r="T505" s="117"/>
      <c r="V505" s="117"/>
      <c r="X505" s="117"/>
      <c r="Y505" s="10"/>
      <c r="Z505" s="11"/>
      <c r="AA505" s="36"/>
      <c r="AB505" s="36"/>
      <c r="AC505" s="13"/>
      <c r="AD505" s="13"/>
      <c r="AE505" s="37"/>
      <c r="AF505" s="37"/>
      <c r="AG505" s="14"/>
      <c r="AH505" s="14"/>
      <c r="AI505" s="14"/>
      <c r="AZ505" s="24"/>
    </row>
    <row r="506">
      <c r="B506" s="24"/>
      <c r="E506" s="113"/>
      <c r="F506" s="266"/>
      <c r="G506" s="113"/>
      <c r="K506" s="36"/>
      <c r="L506" s="117"/>
      <c r="M506" s="128"/>
      <c r="N506" s="117"/>
      <c r="R506" s="117"/>
      <c r="T506" s="117"/>
      <c r="V506" s="117"/>
      <c r="X506" s="117"/>
      <c r="Y506" s="10"/>
      <c r="Z506" s="11"/>
      <c r="AA506" s="36"/>
      <c r="AB506" s="36"/>
      <c r="AC506" s="13"/>
      <c r="AD506" s="13"/>
      <c r="AE506" s="37"/>
      <c r="AF506" s="37"/>
      <c r="AG506" s="14"/>
      <c r="AH506" s="14"/>
      <c r="AI506" s="14"/>
      <c r="AZ506" s="24"/>
    </row>
    <row r="507">
      <c r="B507" s="24"/>
      <c r="E507" s="113"/>
      <c r="F507" s="266"/>
      <c r="G507" s="113"/>
      <c r="K507" s="36"/>
      <c r="L507" s="117"/>
      <c r="M507" s="128"/>
      <c r="N507" s="117"/>
      <c r="R507" s="117"/>
      <c r="T507" s="117"/>
      <c r="V507" s="117"/>
      <c r="X507" s="117"/>
      <c r="Y507" s="10"/>
      <c r="Z507" s="11"/>
      <c r="AA507" s="36"/>
      <c r="AB507" s="36"/>
      <c r="AC507" s="13"/>
      <c r="AD507" s="13"/>
      <c r="AE507" s="37"/>
      <c r="AF507" s="37"/>
      <c r="AG507" s="14"/>
      <c r="AH507" s="14"/>
      <c r="AI507" s="14"/>
      <c r="AZ507" s="24"/>
    </row>
    <row r="508">
      <c r="B508" s="24"/>
      <c r="E508" s="113"/>
      <c r="F508" s="266"/>
      <c r="G508" s="113"/>
      <c r="K508" s="36"/>
      <c r="L508" s="117"/>
      <c r="M508" s="128"/>
      <c r="N508" s="117"/>
      <c r="R508" s="117"/>
      <c r="T508" s="117"/>
      <c r="V508" s="117"/>
      <c r="X508" s="117"/>
      <c r="Y508" s="10"/>
      <c r="Z508" s="11"/>
      <c r="AA508" s="36"/>
      <c r="AB508" s="36"/>
      <c r="AC508" s="13"/>
      <c r="AD508" s="13"/>
      <c r="AE508" s="37"/>
      <c r="AF508" s="37"/>
      <c r="AG508" s="14"/>
      <c r="AH508" s="14"/>
      <c r="AI508" s="14"/>
      <c r="AZ508" s="24"/>
    </row>
    <row r="509">
      <c r="B509" s="24"/>
      <c r="E509" s="113"/>
      <c r="F509" s="266"/>
      <c r="G509" s="113"/>
      <c r="K509" s="36"/>
      <c r="L509" s="117"/>
      <c r="M509" s="128"/>
      <c r="N509" s="117"/>
      <c r="R509" s="117"/>
      <c r="T509" s="117"/>
      <c r="V509" s="117"/>
      <c r="X509" s="117"/>
      <c r="Y509" s="10"/>
      <c r="Z509" s="11"/>
      <c r="AA509" s="36"/>
      <c r="AB509" s="36"/>
      <c r="AC509" s="13"/>
      <c r="AD509" s="13"/>
      <c r="AE509" s="37"/>
      <c r="AF509" s="37"/>
      <c r="AG509" s="14"/>
      <c r="AH509" s="14"/>
      <c r="AI509" s="14"/>
      <c r="AZ509" s="24"/>
    </row>
    <row r="510">
      <c r="B510" s="24"/>
      <c r="E510" s="113"/>
      <c r="F510" s="266"/>
      <c r="G510" s="113"/>
      <c r="K510" s="36"/>
      <c r="L510" s="117"/>
      <c r="M510" s="128"/>
      <c r="N510" s="117"/>
      <c r="R510" s="117"/>
      <c r="T510" s="117"/>
      <c r="V510" s="117"/>
      <c r="X510" s="117"/>
      <c r="Y510" s="10"/>
      <c r="Z510" s="11"/>
      <c r="AA510" s="36"/>
      <c r="AB510" s="36"/>
      <c r="AC510" s="13"/>
      <c r="AD510" s="13"/>
      <c r="AE510" s="37"/>
      <c r="AF510" s="37"/>
      <c r="AG510" s="14"/>
      <c r="AH510" s="14"/>
      <c r="AI510" s="14"/>
      <c r="AZ510" s="24"/>
    </row>
    <row r="511">
      <c r="B511" s="24"/>
      <c r="E511" s="113"/>
      <c r="F511" s="266"/>
      <c r="G511" s="113"/>
      <c r="K511" s="36"/>
      <c r="L511" s="117"/>
      <c r="M511" s="128"/>
      <c r="N511" s="117"/>
      <c r="R511" s="117"/>
      <c r="T511" s="117"/>
      <c r="V511" s="117"/>
      <c r="X511" s="117"/>
      <c r="Y511" s="10"/>
      <c r="Z511" s="11"/>
      <c r="AA511" s="36"/>
      <c r="AB511" s="36"/>
      <c r="AC511" s="13"/>
      <c r="AD511" s="13"/>
      <c r="AE511" s="37"/>
      <c r="AF511" s="37"/>
      <c r="AG511" s="14"/>
      <c r="AH511" s="14"/>
      <c r="AI511" s="14"/>
      <c r="AZ511" s="24"/>
    </row>
    <row r="512">
      <c r="B512" s="24"/>
      <c r="E512" s="113"/>
      <c r="F512" s="266"/>
      <c r="G512" s="113"/>
      <c r="K512" s="36"/>
      <c r="L512" s="117"/>
      <c r="M512" s="128"/>
      <c r="N512" s="117"/>
      <c r="R512" s="117"/>
      <c r="T512" s="117"/>
      <c r="V512" s="117"/>
      <c r="X512" s="117"/>
      <c r="Y512" s="10"/>
      <c r="Z512" s="11"/>
      <c r="AA512" s="36"/>
      <c r="AB512" s="36"/>
      <c r="AC512" s="13"/>
      <c r="AD512" s="13"/>
      <c r="AE512" s="37"/>
      <c r="AF512" s="37"/>
      <c r="AG512" s="14"/>
      <c r="AH512" s="14"/>
      <c r="AI512" s="14"/>
      <c r="AZ512" s="24"/>
    </row>
    <row r="513">
      <c r="B513" s="24"/>
      <c r="E513" s="113"/>
      <c r="F513" s="266"/>
      <c r="G513" s="113"/>
      <c r="K513" s="36"/>
      <c r="L513" s="117"/>
      <c r="M513" s="128"/>
      <c r="N513" s="117"/>
      <c r="R513" s="117"/>
      <c r="T513" s="117"/>
      <c r="V513" s="117"/>
      <c r="X513" s="117"/>
      <c r="Y513" s="10"/>
      <c r="Z513" s="11"/>
      <c r="AA513" s="36"/>
      <c r="AB513" s="36"/>
      <c r="AC513" s="13"/>
      <c r="AD513" s="13"/>
      <c r="AE513" s="37"/>
      <c r="AF513" s="37"/>
      <c r="AG513" s="14"/>
      <c r="AH513" s="14"/>
      <c r="AI513" s="14"/>
      <c r="AZ513" s="24"/>
    </row>
    <row r="514">
      <c r="B514" s="24"/>
      <c r="E514" s="113"/>
      <c r="F514" s="266"/>
      <c r="G514" s="113"/>
      <c r="K514" s="36"/>
      <c r="L514" s="117"/>
      <c r="M514" s="128"/>
      <c r="N514" s="117"/>
      <c r="R514" s="117"/>
      <c r="T514" s="117"/>
      <c r="V514" s="117"/>
      <c r="X514" s="117"/>
      <c r="Y514" s="10"/>
      <c r="Z514" s="11"/>
      <c r="AA514" s="36"/>
      <c r="AB514" s="36"/>
      <c r="AC514" s="13"/>
      <c r="AD514" s="13"/>
      <c r="AE514" s="37"/>
      <c r="AF514" s="37"/>
      <c r="AG514" s="14"/>
      <c r="AH514" s="14"/>
      <c r="AI514" s="14"/>
      <c r="AZ514" s="24"/>
    </row>
    <row r="515">
      <c r="B515" s="24"/>
      <c r="E515" s="113"/>
      <c r="F515" s="266"/>
      <c r="G515" s="113"/>
      <c r="K515" s="36"/>
      <c r="L515" s="117"/>
      <c r="M515" s="128"/>
      <c r="N515" s="117"/>
      <c r="R515" s="117"/>
      <c r="T515" s="117"/>
      <c r="V515" s="117"/>
      <c r="X515" s="117"/>
      <c r="Y515" s="10"/>
      <c r="Z515" s="11"/>
      <c r="AA515" s="36"/>
      <c r="AB515" s="36"/>
      <c r="AC515" s="13"/>
      <c r="AD515" s="13"/>
      <c r="AE515" s="37"/>
      <c r="AF515" s="37"/>
      <c r="AG515" s="14"/>
      <c r="AH515" s="14"/>
      <c r="AI515" s="14"/>
      <c r="AZ515" s="24"/>
    </row>
    <row r="516">
      <c r="B516" s="24"/>
      <c r="E516" s="113"/>
      <c r="F516" s="266"/>
      <c r="G516" s="113"/>
      <c r="K516" s="36"/>
      <c r="L516" s="117"/>
      <c r="M516" s="128"/>
      <c r="N516" s="117"/>
      <c r="R516" s="117"/>
      <c r="T516" s="117"/>
      <c r="V516" s="117"/>
      <c r="X516" s="117"/>
      <c r="Y516" s="10"/>
      <c r="Z516" s="11"/>
      <c r="AA516" s="36"/>
      <c r="AB516" s="36"/>
      <c r="AC516" s="13"/>
      <c r="AD516" s="13"/>
      <c r="AE516" s="37"/>
      <c r="AF516" s="37"/>
      <c r="AG516" s="14"/>
      <c r="AH516" s="14"/>
      <c r="AI516" s="14"/>
      <c r="AZ516" s="24"/>
    </row>
    <row r="517">
      <c r="B517" s="24"/>
      <c r="E517" s="113"/>
      <c r="F517" s="266"/>
      <c r="G517" s="113"/>
      <c r="K517" s="36"/>
      <c r="L517" s="117"/>
      <c r="M517" s="128"/>
      <c r="N517" s="117"/>
      <c r="R517" s="117"/>
      <c r="T517" s="117"/>
      <c r="V517" s="117"/>
      <c r="X517" s="117"/>
      <c r="Y517" s="10"/>
      <c r="Z517" s="11"/>
      <c r="AA517" s="36"/>
      <c r="AB517" s="36"/>
      <c r="AC517" s="13"/>
      <c r="AD517" s="13"/>
      <c r="AE517" s="37"/>
      <c r="AF517" s="37"/>
      <c r="AG517" s="14"/>
      <c r="AH517" s="14"/>
      <c r="AI517" s="14"/>
      <c r="AZ517" s="24"/>
    </row>
    <row r="518">
      <c r="B518" s="24"/>
      <c r="E518" s="113"/>
      <c r="F518" s="266"/>
      <c r="G518" s="113"/>
      <c r="K518" s="36"/>
      <c r="L518" s="117"/>
      <c r="M518" s="128"/>
      <c r="N518" s="117"/>
      <c r="R518" s="117"/>
      <c r="T518" s="117"/>
      <c r="V518" s="117"/>
      <c r="X518" s="117"/>
      <c r="Y518" s="10"/>
      <c r="Z518" s="11"/>
      <c r="AA518" s="36"/>
      <c r="AB518" s="36"/>
      <c r="AC518" s="13"/>
      <c r="AD518" s="13"/>
      <c r="AE518" s="37"/>
      <c r="AF518" s="37"/>
      <c r="AG518" s="14"/>
      <c r="AH518" s="14"/>
      <c r="AI518" s="14"/>
      <c r="AZ518" s="24"/>
    </row>
    <row r="519">
      <c r="B519" s="24"/>
      <c r="E519" s="113"/>
      <c r="F519" s="266"/>
      <c r="G519" s="113"/>
      <c r="K519" s="36"/>
      <c r="L519" s="117"/>
      <c r="M519" s="128"/>
      <c r="N519" s="117"/>
      <c r="R519" s="117"/>
      <c r="T519" s="117"/>
      <c r="V519" s="117"/>
      <c r="X519" s="117"/>
      <c r="Y519" s="10"/>
      <c r="Z519" s="11"/>
      <c r="AA519" s="36"/>
      <c r="AB519" s="36"/>
      <c r="AC519" s="13"/>
      <c r="AD519" s="13"/>
      <c r="AE519" s="37"/>
      <c r="AF519" s="37"/>
      <c r="AG519" s="14"/>
      <c r="AH519" s="14"/>
      <c r="AI519" s="14"/>
      <c r="AZ519" s="24"/>
    </row>
    <row r="520">
      <c r="B520" s="24"/>
      <c r="E520" s="113"/>
      <c r="F520" s="266"/>
      <c r="G520" s="113"/>
      <c r="K520" s="36"/>
      <c r="L520" s="117"/>
      <c r="M520" s="128"/>
      <c r="N520" s="117"/>
      <c r="R520" s="117"/>
      <c r="T520" s="117"/>
      <c r="V520" s="117"/>
      <c r="X520" s="117"/>
      <c r="Y520" s="10"/>
      <c r="Z520" s="11"/>
      <c r="AA520" s="36"/>
      <c r="AB520" s="36"/>
      <c r="AC520" s="13"/>
      <c r="AD520" s="13"/>
      <c r="AE520" s="37"/>
      <c r="AF520" s="37"/>
      <c r="AG520" s="14"/>
      <c r="AH520" s="14"/>
      <c r="AI520" s="14"/>
      <c r="AZ520" s="24"/>
    </row>
    <row r="521">
      <c r="B521" s="24"/>
      <c r="E521" s="113"/>
      <c r="F521" s="266"/>
      <c r="G521" s="113"/>
      <c r="K521" s="36"/>
      <c r="L521" s="117"/>
      <c r="M521" s="128"/>
      <c r="N521" s="117"/>
      <c r="R521" s="117"/>
      <c r="T521" s="117"/>
      <c r="V521" s="117"/>
      <c r="X521" s="117"/>
      <c r="Y521" s="10"/>
      <c r="Z521" s="11"/>
      <c r="AA521" s="36"/>
      <c r="AB521" s="36"/>
      <c r="AC521" s="13"/>
      <c r="AD521" s="13"/>
      <c r="AE521" s="37"/>
      <c r="AF521" s="37"/>
      <c r="AG521" s="14"/>
      <c r="AH521" s="14"/>
      <c r="AI521" s="14"/>
      <c r="AZ521" s="24"/>
    </row>
    <row r="522">
      <c r="B522" s="24"/>
      <c r="E522" s="113"/>
      <c r="F522" s="266"/>
      <c r="G522" s="113"/>
      <c r="K522" s="36"/>
      <c r="L522" s="117"/>
      <c r="M522" s="128"/>
      <c r="N522" s="117"/>
      <c r="R522" s="117"/>
      <c r="T522" s="117"/>
      <c r="V522" s="117"/>
      <c r="X522" s="117"/>
      <c r="Y522" s="10"/>
      <c r="Z522" s="11"/>
      <c r="AA522" s="36"/>
      <c r="AB522" s="36"/>
      <c r="AC522" s="13"/>
      <c r="AD522" s="13"/>
      <c r="AE522" s="37"/>
      <c r="AF522" s="37"/>
      <c r="AG522" s="14"/>
      <c r="AH522" s="14"/>
      <c r="AI522" s="14"/>
      <c r="AZ522" s="24"/>
    </row>
    <row r="523">
      <c r="B523" s="24"/>
      <c r="E523" s="113"/>
      <c r="F523" s="266"/>
      <c r="G523" s="113"/>
      <c r="K523" s="36"/>
      <c r="L523" s="117"/>
      <c r="M523" s="128"/>
      <c r="N523" s="117"/>
      <c r="R523" s="117"/>
      <c r="T523" s="117"/>
      <c r="V523" s="117"/>
      <c r="X523" s="117"/>
      <c r="Y523" s="10"/>
      <c r="Z523" s="11"/>
      <c r="AA523" s="36"/>
      <c r="AB523" s="36"/>
      <c r="AC523" s="13"/>
      <c r="AD523" s="13"/>
      <c r="AE523" s="37"/>
      <c r="AF523" s="37"/>
      <c r="AG523" s="14"/>
      <c r="AH523" s="14"/>
      <c r="AI523" s="14"/>
      <c r="AZ523" s="24"/>
    </row>
    <row r="524">
      <c r="B524" s="24"/>
      <c r="E524" s="113"/>
      <c r="F524" s="266"/>
      <c r="G524" s="113"/>
      <c r="K524" s="36"/>
      <c r="L524" s="117"/>
      <c r="M524" s="128"/>
      <c r="N524" s="117"/>
      <c r="R524" s="117"/>
      <c r="T524" s="117"/>
      <c r="V524" s="117"/>
      <c r="X524" s="117"/>
      <c r="Y524" s="10"/>
      <c r="Z524" s="11"/>
      <c r="AA524" s="36"/>
      <c r="AB524" s="36"/>
      <c r="AC524" s="13"/>
      <c r="AD524" s="13"/>
      <c r="AE524" s="37"/>
      <c r="AF524" s="37"/>
      <c r="AG524" s="14"/>
      <c r="AH524" s="14"/>
      <c r="AI524" s="14"/>
      <c r="AZ524" s="24"/>
    </row>
    <row r="525">
      <c r="B525" s="24"/>
      <c r="E525" s="113"/>
      <c r="F525" s="266"/>
      <c r="G525" s="113"/>
      <c r="K525" s="36"/>
      <c r="L525" s="117"/>
      <c r="M525" s="128"/>
      <c r="N525" s="117"/>
      <c r="R525" s="117"/>
      <c r="T525" s="117"/>
      <c r="V525" s="117"/>
      <c r="X525" s="117"/>
      <c r="Y525" s="10"/>
      <c r="Z525" s="11"/>
      <c r="AA525" s="36"/>
      <c r="AB525" s="36"/>
      <c r="AC525" s="13"/>
      <c r="AD525" s="13"/>
      <c r="AE525" s="37"/>
      <c r="AF525" s="37"/>
      <c r="AG525" s="14"/>
      <c r="AH525" s="14"/>
      <c r="AI525" s="14"/>
      <c r="AZ525" s="24"/>
    </row>
    <row r="526">
      <c r="B526" s="24"/>
      <c r="E526" s="113"/>
      <c r="F526" s="266"/>
      <c r="G526" s="113"/>
      <c r="K526" s="36"/>
      <c r="L526" s="117"/>
      <c r="M526" s="128"/>
      <c r="N526" s="117"/>
      <c r="R526" s="117"/>
      <c r="T526" s="117"/>
      <c r="V526" s="117"/>
      <c r="X526" s="117"/>
      <c r="Y526" s="10"/>
      <c r="Z526" s="11"/>
      <c r="AA526" s="36"/>
      <c r="AB526" s="36"/>
      <c r="AC526" s="13"/>
      <c r="AD526" s="13"/>
      <c r="AE526" s="37"/>
      <c r="AF526" s="37"/>
      <c r="AG526" s="14"/>
      <c r="AH526" s="14"/>
      <c r="AI526" s="14"/>
      <c r="AZ526" s="24"/>
    </row>
    <row r="527">
      <c r="B527" s="24"/>
      <c r="E527" s="113"/>
      <c r="F527" s="266"/>
      <c r="G527" s="113"/>
      <c r="K527" s="36"/>
      <c r="L527" s="117"/>
      <c r="M527" s="128"/>
      <c r="N527" s="117"/>
      <c r="R527" s="117"/>
      <c r="T527" s="117"/>
      <c r="V527" s="117"/>
      <c r="X527" s="117"/>
      <c r="Y527" s="10"/>
      <c r="Z527" s="11"/>
      <c r="AA527" s="36"/>
      <c r="AB527" s="36"/>
      <c r="AC527" s="13"/>
      <c r="AD527" s="13"/>
      <c r="AE527" s="37"/>
      <c r="AF527" s="37"/>
      <c r="AG527" s="14"/>
      <c r="AH527" s="14"/>
      <c r="AI527" s="14"/>
      <c r="AZ527" s="24"/>
    </row>
    <row r="528">
      <c r="B528" s="24"/>
      <c r="E528" s="113"/>
      <c r="F528" s="266"/>
      <c r="G528" s="113"/>
      <c r="K528" s="36"/>
      <c r="L528" s="117"/>
      <c r="M528" s="128"/>
      <c r="N528" s="117"/>
      <c r="R528" s="117"/>
      <c r="T528" s="117"/>
      <c r="V528" s="117"/>
      <c r="X528" s="117"/>
      <c r="Y528" s="10"/>
      <c r="Z528" s="11"/>
      <c r="AA528" s="36"/>
      <c r="AB528" s="36"/>
      <c r="AC528" s="13"/>
      <c r="AD528" s="13"/>
      <c r="AE528" s="37"/>
      <c r="AF528" s="37"/>
      <c r="AG528" s="14"/>
      <c r="AH528" s="14"/>
      <c r="AI528" s="14"/>
      <c r="AZ528" s="24"/>
    </row>
    <row r="529">
      <c r="B529" s="24"/>
      <c r="E529" s="113"/>
      <c r="F529" s="266"/>
      <c r="G529" s="113"/>
      <c r="K529" s="36"/>
      <c r="L529" s="117"/>
      <c r="M529" s="128"/>
      <c r="N529" s="117"/>
      <c r="R529" s="117"/>
      <c r="T529" s="117"/>
      <c r="V529" s="117"/>
      <c r="X529" s="117"/>
      <c r="Y529" s="10"/>
      <c r="Z529" s="11"/>
      <c r="AA529" s="36"/>
      <c r="AB529" s="36"/>
      <c r="AC529" s="13"/>
      <c r="AD529" s="13"/>
      <c r="AE529" s="37"/>
      <c r="AF529" s="37"/>
      <c r="AG529" s="14"/>
      <c r="AH529" s="14"/>
      <c r="AI529" s="14"/>
      <c r="AZ529" s="24"/>
    </row>
    <row r="530">
      <c r="B530" s="24"/>
      <c r="E530" s="113"/>
      <c r="F530" s="266"/>
      <c r="G530" s="113"/>
      <c r="K530" s="36"/>
      <c r="L530" s="117"/>
      <c r="M530" s="128"/>
      <c r="N530" s="117"/>
      <c r="R530" s="117"/>
      <c r="T530" s="117"/>
      <c r="V530" s="117"/>
      <c r="X530" s="117"/>
      <c r="Y530" s="10"/>
      <c r="Z530" s="11"/>
      <c r="AA530" s="36"/>
      <c r="AB530" s="36"/>
      <c r="AC530" s="13"/>
      <c r="AD530" s="13"/>
      <c r="AE530" s="37"/>
      <c r="AF530" s="37"/>
      <c r="AG530" s="14"/>
      <c r="AH530" s="14"/>
      <c r="AI530" s="14"/>
      <c r="AZ530" s="24"/>
    </row>
    <row r="531">
      <c r="B531" s="24"/>
      <c r="E531" s="113"/>
      <c r="F531" s="266"/>
      <c r="G531" s="113"/>
      <c r="K531" s="36"/>
      <c r="L531" s="117"/>
      <c r="M531" s="128"/>
      <c r="N531" s="117"/>
      <c r="R531" s="117"/>
      <c r="T531" s="117"/>
      <c r="V531" s="117"/>
      <c r="X531" s="117"/>
      <c r="Y531" s="10"/>
      <c r="Z531" s="11"/>
      <c r="AA531" s="36"/>
      <c r="AB531" s="36"/>
      <c r="AC531" s="13"/>
      <c r="AD531" s="13"/>
      <c r="AE531" s="37"/>
      <c r="AF531" s="37"/>
      <c r="AG531" s="14"/>
      <c r="AH531" s="14"/>
      <c r="AI531" s="14"/>
      <c r="AZ531" s="24"/>
    </row>
    <row r="532">
      <c r="B532" s="24"/>
      <c r="E532" s="113"/>
      <c r="F532" s="266"/>
      <c r="G532" s="113"/>
      <c r="K532" s="36"/>
      <c r="L532" s="117"/>
      <c r="M532" s="128"/>
      <c r="N532" s="117"/>
      <c r="R532" s="117"/>
      <c r="T532" s="117"/>
      <c r="V532" s="117"/>
      <c r="X532" s="117"/>
      <c r="Y532" s="10"/>
      <c r="Z532" s="11"/>
      <c r="AA532" s="36"/>
      <c r="AB532" s="36"/>
      <c r="AC532" s="13"/>
      <c r="AD532" s="13"/>
      <c r="AE532" s="37"/>
      <c r="AF532" s="37"/>
      <c r="AG532" s="14"/>
      <c r="AH532" s="14"/>
      <c r="AI532" s="14"/>
      <c r="AZ532" s="24"/>
    </row>
    <row r="533">
      <c r="B533" s="24"/>
      <c r="E533" s="113"/>
      <c r="F533" s="266"/>
      <c r="G533" s="113"/>
      <c r="K533" s="36"/>
      <c r="L533" s="117"/>
      <c r="M533" s="128"/>
      <c r="N533" s="117"/>
      <c r="R533" s="117"/>
      <c r="T533" s="117"/>
      <c r="V533" s="117"/>
      <c r="X533" s="117"/>
      <c r="Y533" s="10"/>
      <c r="Z533" s="11"/>
      <c r="AA533" s="36"/>
      <c r="AB533" s="36"/>
      <c r="AC533" s="13"/>
      <c r="AD533" s="13"/>
      <c r="AE533" s="37"/>
      <c r="AF533" s="37"/>
      <c r="AG533" s="14"/>
      <c r="AH533" s="14"/>
      <c r="AI533" s="14"/>
      <c r="AZ533" s="24"/>
    </row>
    <row r="534">
      <c r="B534" s="24"/>
      <c r="E534" s="113"/>
      <c r="F534" s="266"/>
      <c r="G534" s="113"/>
      <c r="K534" s="36"/>
      <c r="L534" s="117"/>
      <c r="M534" s="128"/>
      <c r="N534" s="117"/>
      <c r="R534" s="117"/>
      <c r="T534" s="117"/>
      <c r="V534" s="117"/>
      <c r="X534" s="117"/>
      <c r="Y534" s="10"/>
      <c r="Z534" s="11"/>
      <c r="AA534" s="36"/>
      <c r="AB534" s="36"/>
      <c r="AC534" s="13"/>
      <c r="AD534" s="13"/>
      <c r="AE534" s="37"/>
      <c r="AF534" s="37"/>
      <c r="AG534" s="14"/>
      <c r="AH534" s="14"/>
      <c r="AI534" s="14"/>
      <c r="AZ534" s="24"/>
    </row>
    <row r="535">
      <c r="B535" s="24"/>
      <c r="E535" s="113"/>
      <c r="F535" s="266"/>
      <c r="G535" s="113"/>
      <c r="K535" s="36"/>
      <c r="L535" s="117"/>
      <c r="M535" s="128"/>
      <c r="N535" s="117"/>
      <c r="R535" s="117"/>
      <c r="T535" s="117"/>
      <c r="V535" s="117"/>
      <c r="X535" s="117"/>
      <c r="Y535" s="10"/>
      <c r="Z535" s="11"/>
      <c r="AA535" s="36"/>
      <c r="AB535" s="36"/>
      <c r="AC535" s="13"/>
      <c r="AD535" s="13"/>
      <c r="AE535" s="37"/>
      <c r="AF535" s="37"/>
      <c r="AG535" s="14"/>
      <c r="AH535" s="14"/>
      <c r="AI535" s="14"/>
      <c r="AZ535" s="24"/>
    </row>
    <row r="536">
      <c r="B536" s="24"/>
      <c r="E536" s="113"/>
      <c r="F536" s="266"/>
      <c r="G536" s="113"/>
      <c r="K536" s="36"/>
      <c r="L536" s="117"/>
      <c r="M536" s="128"/>
      <c r="N536" s="117"/>
      <c r="R536" s="117"/>
      <c r="T536" s="117"/>
      <c r="V536" s="117"/>
      <c r="X536" s="117"/>
      <c r="Y536" s="10"/>
      <c r="Z536" s="11"/>
      <c r="AA536" s="36"/>
      <c r="AB536" s="36"/>
      <c r="AC536" s="13"/>
      <c r="AD536" s="13"/>
      <c r="AE536" s="37"/>
      <c r="AF536" s="37"/>
      <c r="AG536" s="14"/>
      <c r="AH536" s="14"/>
      <c r="AI536" s="14"/>
      <c r="AZ536" s="24"/>
    </row>
    <row r="537">
      <c r="B537" s="24"/>
      <c r="E537" s="113"/>
      <c r="F537" s="266"/>
      <c r="G537" s="113"/>
      <c r="K537" s="36"/>
      <c r="L537" s="117"/>
      <c r="M537" s="128"/>
      <c r="N537" s="117"/>
      <c r="R537" s="117"/>
      <c r="T537" s="117"/>
      <c r="V537" s="117"/>
      <c r="X537" s="117"/>
      <c r="Y537" s="10"/>
      <c r="Z537" s="11"/>
      <c r="AA537" s="36"/>
      <c r="AB537" s="36"/>
      <c r="AC537" s="13"/>
      <c r="AD537" s="13"/>
      <c r="AE537" s="37"/>
      <c r="AF537" s="37"/>
      <c r="AG537" s="14"/>
      <c r="AH537" s="14"/>
      <c r="AI537" s="14"/>
      <c r="AZ537" s="24"/>
    </row>
    <row r="538">
      <c r="B538" s="24"/>
      <c r="E538" s="113"/>
      <c r="F538" s="266"/>
      <c r="G538" s="113"/>
      <c r="K538" s="36"/>
      <c r="L538" s="117"/>
      <c r="M538" s="128"/>
      <c r="N538" s="117"/>
      <c r="R538" s="117"/>
      <c r="T538" s="117"/>
      <c r="V538" s="117"/>
      <c r="X538" s="117"/>
      <c r="Y538" s="10"/>
      <c r="Z538" s="11"/>
      <c r="AA538" s="36"/>
      <c r="AB538" s="36"/>
      <c r="AC538" s="13"/>
      <c r="AD538" s="13"/>
      <c r="AE538" s="37"/>
      <c r="AF538" s="37"/>
      <c r="AG538" s="14"/>
      <c r="AH538" s="14"/>
      <c r="AI538" s="14"/>
      <c r="AZ538" s="24"/>
    </row>
    <row r="539">
      <c r="B539" s="24"/>
      <c r="E539" s="113"/>
      <c r="F539" s="266"/>
      <c r="G539" s="113"/>
      <c r="K539" s="36"/>
      <c r="L539" s="117"/>
      <c r="M539" s="128"/>
      <c r="N539" s="117"/>
      <c r="R539" s="117"/>
      <c r="T539" s="117"/>
      <c r="V539" s="117"/>
      <c r="X539" s="117"/>
      <c r="Y539" s="10"/>
      <c r="Z539" s="11"/>
      <c r="AA539" s="36"/>
      <c r="AB539" s="36"/>
      <c r="AC539" s="13"/>
      <c r="AD539" s="13"/>
      <c r="AE539" s="37"/>
      <c r="AF539" s="37"/>
      <c r="AG539" s="14"/>
      <c r="AH539" s="14"/>
      <c r="AI539" s="14"/>
      <c r="AZ539" s="24"/>
    </row>
    <row r="540">
      <c r="B540" s="24"/>
      <c r="E540" s="113"/>
      <c r="F540" s="266"/>
      <c r="G540" s="113"/>
      <c r="K540" s="36"/>
      <c r="L540" s="117"/>
      <c r="M540" s="128"/>
      <c r="N540" s="117"/>
      <c r="R540" s="117"/>
      <c r="T540" s="117"/>
      <c r="V540" s="117"/>
      <c r="X540" s="117"/>
      <c r="Y540" s="10"/>
      <c r="Z540" s="11"/>
      <c r="AA540" s="36"/>
      <c r="AB540" s="36"/>
      <c r="AC540" s="13"/>
      <c r="AD540" s="13"/>
      <c r="AE540" s="37"/>
      <c r="AF540" s="37"/>
      <c r="AG540" s="14"/>
      <c r="AH540" s="14"/>
      <c r="AI540" s="14"/>
      <c r="AZ540" s="24"/>
    </row>
    <row r="541">
      <c r="B541" s="24"/>
      <c r="E541" s="113"/>
      <c r="F541" s="266"/>
      <c r="G541" s="113"/>
      <c r="K541" s="36"/>
      <c r="L541" s="117"/>
      <c r="M541" s="128"/>
      <c r="N541" s="117"/>
      <c r="R541" s="117"/>
      <c r="T541" s="117"/>
      <c r="V541" s="117"/>
      <c r="X541" s="117"/>
      <c r="Y541" s="10"/>
      <c r="Z541" s="11"/>
      <c r="AA541" s="36"/>
      <c r="AB541" s="36"/>
      <c r="AC541" s="13"/>
      <c r="AD541" s="13"/>
      <c r="AE541" s="37"/>
      <c r="AF541" s="37"/>
      <c r="AG541" s="14"/>
      <c r="AH541" s="14"/>
      <c r="AI541" s="14"/>
      <c r="AZ541" s="24"/>
    </row>
    <row r="542">
      <c r="B542" s="24"/>
      <c r="E542" s="113"/>
      <c r="F542" s="266"/>
      <c r="G542" s="113"/>
      <c r="K542" s="36"/>
      <c r="L542" s="117"/>
      <c r="M542" s="128"/>
      <c r="N542" s="117"/>
      <c r="R542" s="117"/>
      <c r="T542" s="117"/>
      <c r="V542" s="117"/>
      <c r="X542" s="117"/>
      <c r="Y542" s="10"/>
      <c r="Z542" s="11"/>
      <c r="AA542" s="36"/>
      <c r="AB542" s="36"/>
      <c r="AC542" s="13"/>
      <c r="AD542" s="13"/>
      <c r="AE542" s="37"/>
      <c r="AF542" s="37"/>
      <c r="AG542" s="14"/>
      <c r="AH542" s="14"/>
      <c r="AI542" s="14"/>
      <c r="AZ542" s="24"/>
    </row>
    <row r="543">
      <c r="B543" s="24"/>
      <c r="E543" s="113"/>
      <c r="F543" s="266"/>
      <c r="G543" s="113"/>
      <c r="K543" s="36"/>
      <c r="L543" s="117"/>
      <c r="M543" s="128"/>
      <c r="N543" s="117"/>
      <c r="R543" s="117"/>
      <c r="T543" s="117"/>
      <c r="V543" s="117"/>
      <c r="X543" s="117"/>
      <c r="Y543" s="10"/>
      <c r="Z543" s="11"/>
      <c r="AA543" s="36"/>
      <c r="AB543" s="36"/>
      <c r="AC543" s="13"/>
      <c r="AD543" s="13"/>
      <c r="AE543" s="37"/>
      <c r="AF543" s="37"/>
      <c r="AG543" s="14"/>
      <c r="AH543" s="14"/>
      <c r="AI543" s="14"/>
      <c r="AZ543" s="24"/>
    </row>
    <row r="544">
      <c r="B544" s="24"/>
      <c r="E544" s="113"/>
      <c r="F544" s="266"/>
      <c r="G544" s="113"/>
      <c r="K544" s="36"/>
      <c r="L544" s="117"/>
      <c r="M544" s="128"/>
      <c r="N544" s="117"/>
      <c r="R544" s="117"/>
      <c r="T544" s="117"/>
      <c r="V544" s="117"/>
      <c r="X544" s="117"/>
      <c r="Y544" s="10"/>
      <c r="Z544" s="11"/>
      <c r="AA544" s="36"/>
      <c r="AB544" s="36"/>
      <c r="AC544" s="13"/>
      <c r="AD544" s="13"/>
      <c r="AE544" s="37"/>
      <c r="AF544" s="37"/>
      <c r="AG544" s="14"/>
      <c r="AH544" s="14"/>
      <c r="AI544" s="14"/>
      <c r="AZ544" s="24"/>
    </row>
    <row r="545">
      <c r="B545" s="24"/>
      <c r="E545" s="113"/>
      <c r="F545" s="266"/>
      <c r="G545" s="113"/>
      <c r="K545" s="36"/>
      <c r="L545" s="117"/>
      <c r="M545" s="128"/>
      <c r="N545" s="117"/>
      <c r="R545" s="117"/>
      <c r="T545" s="117"/>
      <c r="V545" s="117"/>
      <c r="X545" s="117"/>
      <c r="Y545" s="10"/>
      <c r="Z545" s="11"/>
      <c r="AA545" s="36"/>
      <c r="AB545" s="36"/>
      <c r="AC545" s="13"/>
      <c r="AD545" s="13"/>
      <c r="AE545" s="37"/>
      <c r="AF545" s="37"/>
      <c r="AG545" s="14"/>
      <c r="AH545" s="14"/>
      <c r="AI545" s="14"/>
      <c r="AZ545" s="24"/>
    </row>
    <row r="546">
      <c r="B546" s="24"/>
      <c r="E546" s="113"/>
      <c r="F546" s="266"/>
      <c r="G546" s="113"/>
      <c r="K546" s="36"/>
      <c r="L546" s="117"/>
      <c r="M546" s="128"/>
      <c r="N546" s="117"/>
      <c r="R546" s="117"/>
      <c r="T546" s="117"/>
      <c r="V546" s="117"/>
      <c r="X546" s="117"/>
      <c r="Y546" s="10"/>
      <c r="Z546" s="11"/>
      <c r="AA546" s="36"/>
      <c r="AB546" s="36"/>
      <c r="AC546" s="13"/>
      <c r="AD546" s="13"/>
      <c r="AE546" s="37"/>
      <c r="AF546" s="37"/>
      <c r="AG546" s="14"/>
      <c r="AH546" s="14"/>
      <c r="AI546" s="14"/>
      <c r="AZ546" s="24"/>
    </row>
    <row r="547">
      <c r="B547" s="24"/>
      <c r="E547" s="113"/>
      <c r="F547" s="266"/>
      <c r="G547" s="113"/>
      <c r="K547" s="36"/>
      <c r="L547" s="117"/>
      <c r="M547" s="128"/>
      <c r="N547" s="117"/>
      <c r="R547" s="117"/>
      <c r="T547" s="117"/>
      <c r="V547" s="117"/>
      <c r="X547" s="117"/>
      <c r="Y547" s="10"/>
      <c r="Z547" s="11"/>
      <c r="AA547" s="36"/>
      <c r="AB547" s="36"/>
      <c r="AC547" s="13"/>
      <c r="AD547" s="13"/>
      <c r="AE547" s="37"/>
      <c r="AF547" s="37"/>
      <c r="AG547" s="14"/>
      <c r="AH547" s="14"/>
      <c r="AI547" s="14"/>
      <c r="AZ547" s="24"/>
    </row>
    <row r="548">
      <c r="B548" s="24"/>
      <c r="E548" s="113"/>
      <c r="F548" s="266"/>
      <c r="G548" s="113"/>
      <c r="K548" s="36"/>
      <c r="L548" s="117"/>
      <c r="M548" s="128"/>
      <c r="N548" s="117"/>
      <c r="R548" s="117"/>
      <c r="T548" s="117"/>
      <c r="V548" s="117"/>
      <c r="X548" s="117"/>
      <c r="Y548" s="10"/>
      <c r="Z548" s="11"/>
      <c r="AA548" s="36"/>
      <c r="AB548" s="36"/>
      <c r="AC548" s="13"/>
      <c r="AD548" s="13"/>
      <c r="AE548" s="37"/>
      <c r="AF548" s="37"/>
      <c r="AG548" s="14"/>
      <c r="AH548" s="14"/>
      <c r="AI548" s="14"/>
      <c r="AZ548" s="24"/>
    </row>
    <row r="549">
      <c r="B549" s="24"/>
      <c r="E549" s="113"/>
      <c r="F549" s="266"/>
      <c r="G549" s="113"/>
      <c r="K549" s="36"/>
      <c r="L549" s="117"/>
      <c r="M549" s="128"/>
      <c r="N549" s="117"/>
      <c r="R549" s="117"/>
      <c r="T549" s="117"/>
      <c r="V549" s="117"/>
      <c r="X549" s="117"/>
      <c r="Y549" s="10"/>
      <c r="Z549" s="11"/>
      <c r="AA549" s="36"/>
      <c r="AB549" s="36"/>
      <c r="AC549" s="13"/>
      <c r="AD549" s="13"/>
      <c r="AE549" s="37"/>
      <c r="AF549" s="37"/>
      <c r="AG549" s="14"/>
      <c r="AH549" s="14"/>
      <c r="AI549" s="14"/>
      <c r="AZ549" s="24"/>
    </row>
    <row r="550">
      <c r="B550" s="24"/>
      <c r="E550" s="113"/>
      <c r="F550" s="266"/>
      <c r="G550" s="113"/>
      <c r="K550" s="36"/>
      <c r="L550" s="117"/>
      <c r="M550" s="128"/>
      <c r="N550" s="117"/>
      <c r="R550" s="117"/>
      <c r="T550" s="117"/>
      <c r="V550" s="117"/>
      <c r="X550" s="117"/>
      <c r="Y550" s="10"/>
      <c r="Z550" s="11"/>
      <c r="AA550" s="36"/>
      <c r="AB550" s="36"/>
      <c r="AC550" s="13"/>
      <c r="AD550" s="13"/>
      <c r="AE550" s="37"/>
      <c r="AF550" s="37"/>
      <c r="AG550" s="14"/>
      <c r="AH550" s="14"/>
      <c r="AI550" s="14"/>
      <c r="AZ550" s="24"/>
    </row>
    <row r="551">
      <c r="B551" s="24"/>
      <c r="E551" s="113"/>
      <c r="F551" s="266"/>
      <c r="G551" s="113"/>
      <c r="K551" s="36"/>
      <c r="L551" s="117"/>
      <c r="M551" s="128"/>
      <c r="N551" s="117"/>
      <c r="R551" s="117"/>
      <c r="T551" s="117"/>
      <c r="V551" s="117"/>
      <c r="X551" s="117"/>
      <c r="Y551" s="10"/>
      <c r="Z551" s="11"/>
      <c r="AA551" s="36"/>
      <c r="AB551" s="36"/>
      <c r="AC551" s="13"/>
      <c r="AD551" s="13"/>
      <c r="AE551" s="37"/>
      <c r="AF551" s="37"/>
      <c r="AG551" s="14"/>
      <c r="AH551" s="14"/>
      <c r="AI551" s="14"/>
      <c r="AZ551" s="24"/>
    </row>
    <row r="552">
      <c r="B552" s="24"/>
      <c r="E552" s="113"/>
      <c r="F552" s="266"/>
      <c r="G552" s="113"/>
      <c r="K552" s="36"/>
      <c r="L552" s="117"/>
      <c r="M552" s="128"/>
      <c r="N552" s="117"/>
      <c r="R552" s="117"/>
      <c r="T552" s="117"/>
      <c r="V552" s="117"/>
      <c r="X552" s="117"/>
      <c r="Y552" s="10"/>
      <c r="Z552" s="11"/>
      <c r="AA552" s="36"/>
      <c r="AB552" s="36"/>
      <c r="AC552" s="13"/>
      <c r="AD552" s="13"/>
      <c r="AE552" s="37"/>
      <c r="AF552" s="37"/>
      <c r="AG552" s="14"/>
      <c r="AH552" s="14"/>
      <c r="AI552" s="14"/>
      <c r="AZ552" s="24"/>
    </row>
    <row r="553">
      <c r="B553" s="24"/>
      <c r="E553" s="113"/>
      <c r="F553" s="266"/>
      <c r="G553" s="113"/>
      <c r="K553" s="36"/>
      <c r="L553" s="117"/>
      <c r="M553" s="128"/>
      <c r="N553" s="117"/>
      <c r="R553" s="117"/>
      <c r="T553" s="117"/>
      <c r="V553" s="117"/>
      <c r="X553" s="117"/>
      <c r="Y553" s="10"/>
      <c r="Z553" s="11"/>
      <c r="AA553" s="36"/>
      <c r="AB553" s="36"/>
      <c r="AC553" s="13"/>
      <c r="AD553" s="13"/>
      <c r="AE553" s="37"/>
      <c r="AF553" s="37"/>
      <c r="AG553" s="14"/>
      <c r="AH553" s="14"/>
      <c r="AI553" s="14"/>
      <c r="AZ553" s="24"/>
    </row>
    <row r="554">
      <c r="B554" s="24"/>
      <c r="E554" s="113"/>
      <c r="F554" s="266"/>
      <c r="G554" s="113"/>
      <c r="K554" s="36"/>
      <c r="L554" s="117"/>
      <c r="M554" s="128"/>
      <c r="N554" s="117"/>
      <c r="R554" s="117"/>
      <c r="T554" s="117"/>
      <c r="V554" s="117"/>
      <c r="X554" s="117"/>
      <c r="Y554" s="10"/>
      <c r="Z554" s="11"/>
      <c r="AA554" s="36"/>
      <c r="AB554" s="36"/>
      <c r="AC554" s="13"/>
      <c r="AD554" s="13"/>
      <c r="AE554" s="37"/>
      <c r="AF554" s="37"/>
      <c r="AG554" s="14"/>
      <c r="AH554" s="14"/>
      <c r="AI554" s="14"/>
      <c r="AZ554" s="24"/>
    </row>
    <row r="555">
      <c r="B555" s="24"/>
      <c r="E555" s="113"/>
      <c r="F555" s="266"/>
      <c r="G555" s="113"/>
      <c r="K555" s="36"/>
      <c r="L555" s="117"/>
      <c r="M555" s="128"/>
      <c r="N555" s="117"/>
      <c r="R555" s="117"/>
      <c r="T555" s="117"/>
      <c r="V555" s="117"/>
      <c r="X555" s="117"/>
      <c r="Y555" s="10"/>
      <c r="Z555" s="11"/>
      <c r="AA555" s="36"/>
      <c r="AB555" s="36"/>
      <c r="AC555" s="13"/>
      <c r="AD555" s="13"/>
      <c r="AE555" s="37"/>
      <c r="AF555" s="37"/>
      <c r="AG555" s="14"/>
      <c r="AH555" s="14"/>
      <c r="AI555" s="14"/>
      <c r="AZ555" s="24"/>
    </row>
    <row r="556">
      <c r="B556" s="24"/>
      <c r="E556" s="113"/>
      <c r="F556" s="266"/>
      <c r="G556" s="113"/>
      <c r="K556" s="36"/>
      <c r="L556" s="117"/>
      <c r="M556" s="128"/>
      <c r="N556" s="117"/>
      <c r="R556" s="117"/>
      <c r="T556" s="117"/>
      <c r="V556" s="117"/>
      <c r="X556" s="117"/>
      <c r="Y556" s="10"/>
      <c r="Z556" s="11"/>
      <c r="AA556" s="36"/>
      <c r="AB556" s="36"/>
      <c r="AC556" s="13"/>
      <c r="AD556" s="13"/>
      <c r="AE556" s="37"/>
      <c r="AF556" s="37"/>
      <c r="AG556" s="14"/>
      <c r="AH556" s="14"/>
      <c r="AI556" s="14"/>
      <c r="AZ556" s="24"/>
    </row>
    <row r="557">
      <c r="B557" s="24"/>
      <c r="E557" s="113"/>
      <c r="F557" s="266"/>
      <c r="G557" s="113"/>
      <c r="K557" s="36"/>
      <c r="L557" s="117"/>
      <c r="M557" s="128"/>
      <c r="N557" s="117"/>
      <c r="R557" s="117"/>
      <c r="T557" s="117"/>
      <c r="V557" s="117"/>
      <c r="X557" s="117"/>
      <c r="Y557" s="10"/>
      <c r="Z557" s="11"/>
      <c r="AA557" s="36"/>
      <c r="AB557" s="36"/>
      <c r="AC557" s="13"/>
      <c r="AD557" s="13"/>
      <c r="AE557" s="37"/>
      <c r="AF557" s="37"/>
      <c r="AG557" s="14"/>
      <c r="AH557" s="14"/>
      <c r="AI557" s="14"/>
      <c r="AZ557" s="24"/>
    </row>
    <row r="558">
      <c r="B558" s="24"/>
      <c r="E558" s="113"/>
      <c r="F558" s="266"/>
      <c r="G558" s="113"/>
      <c r="K558" s="36"/>
      <c r="L558" s="117"/>
      <c r="M558" s="128"/>
      <c r="N558" s="117"/>
      <c r="R558" s="117"/>
      <c r="T558" s="117"/>
      <c r="V558" s="117"/>
      <c r="X558" s="117"/>
      <c r="Y558" s="10"/>
      <c r="Z558" s="11"/>
      <c r="AA558" s="36"/>
      <c r="AB558" s="36"/>
      <c r="AC558" s="13"/>
      <c r="AD558" s="13"/>
      <c r="AE558" s="37"/>
      <c r="AF558" s="37"/>
      <c r="AG558" s="14"/>
      <c r="AH558" s="14"/>
      <c r="AI558" s="14"/>
      <c r="AZ558" s="24"/>
    </row>
    <row r="559">
      <c r="B559" s="24"/>
      <c r="E559" s="113"/>
      <c r="F559" s="266"/>
      <c r="G559" s="113"/>
      <c r="K559" s="36"/>
      <c r="L559" s="117"/>
      <c r="M559" s="128"/>
      <c r="N559" s="117"/>
      <c r="R559" s="117"/>
      <c r="T559" s="117"/>
      <c r="V559" s="117"/>
      <c r="X559" s="117"/>
      <c r="Y559" s="10"/>
      <c r="Z559" s="11"/>
      <c r="AA559" s="36"/>
      <c r="AB559" s="36"/>
      <c r="AC559" s="13"/>
      <c r="AD559" s="13"/>
      <c r="AE559" s="37"/>
      <c r="AF559" s="37"/>
      <c r="AG559" s="14"/>
      <c r="AH559" s="14"/>
      <c r="AI559" s="14"/>
      <c r="AZ559" s="24"/>
    </row>
    <row r="560">
      <c r="B560" s="24"/>
      <c r="E560" s="113"/>
      <c r="F560" s="266"/>
      <c r="G560" s="113"/>
      <c r="K560" s="36"/>
      <c r="L560" s="117"/>
      <c r="M560" s="128"/>
      <c r="N560" s="117"/>
      <c r="R560" s="117"/>
      <c r="T560" s="117"/>
      <c r="V560" s="117"/>
      <c r="X560" s="117"/>
      <c r="Y560" s="10"/>
      <c r="Z560" s="11"/>
      <c r="AA560" s="36"/>
      <c r="AB560" s="36"/>
      <c r="AC560" s="13"/>
      <c r="AD560" s="13"/>
      <c r="AE560" s="37"/>
      <c r="AF560" s="37"/>
      <c r="AG560" s="14"/>
      <c r="AH560" s="14"/>
      <c r="AI560" s="14"/>
      <c r="AZ560" s="24"/>
    </row>
    <row r="561">
      <c r="B561" s="24"/>
      <c r="E561" s="113"/>
      <c r="F561" s="266"/>
      <c r="G561" s="113"/>
      <c r="K561" s="36"/>
      <c r="L561" s="117"/>
      <c r="M561" s="128"/>
      <c r="N561" s="117"/>
      <c r="R561" s="117"/>
      <c r="T561" s="117"/>
      <c r="V561" s="117"/>
      <c r="X561" s="117"/>
      <c r="Y561" s="10"/>
      <c r="Z561" s="11"/>
      <c r="AA561" s="36"/>
      <c r="AB561" s="36"/>
      <c r="AC561" s="13"/>
      <c r="AD561" s="13"/>
      <c r="AE561" s="37"/>
      <c r="AF561" s="37"/>
      <c r="AG561" s="14"/>
      <c r="AH561" s="14"/>
      <c r="AI561" s="14"/>
      <c r="AZ561" s="24"/>
    </row>
    <row r="562">
      <c r="B562" s="24"/>
      <c r="E562" s="113"/>
      <c r="F562" s="266"/>
      <c r="G562" s="113"/>
      <c r="K562" s="36"/>
      <c r="L562" s="117"/>
      <c r="M562" s="128"/>
      <c r="N562" s="117"/>
      <c r="R562" s="117"/>
      <c r="T562" s="117"/>
      <c r="V562" s="117"/>
      <c r="X562" s="117"/>
      <c r="Y562" s="10"/>
      <c r="Z562" s="11"/>
      <c r="AA562" s="36"/>
      <c r="AB562" s="36"/>
      <c r="AC562" s="13"/>
      <c r="AD562" s="13"/>
      <c r="AE562" s="37"/>
      <c r="AF562" s="37"/>
      <c r="AG562" s="14"/>
      <c r="AH562" s="14"/>
      <c r="AI562" s="14"/>
      <c r="AZ562" s="24"/>
    </row>
    <row r="563">
      <c r="B563" s="24"/>
      <c r="E563" s="113"/>
      <c r="F563" s="266"/>
      <c r="G563" s="113"/>
      <c r="K563" s="36"/>
      <c r="L563" s="117"/>
      <c r="M563" s="128"/>
      <c r="N563" s="117"/>
      <c r="R563" s="117"/>
      <c r="T563" s="117"/>
      <c r="V563" s="117"/>
      <c r="X563" s="117"/>
      <c r="Y563" s="10"/>
      <c r="Z563" s="11"/>
      <c r="AA563" s="36"/>
      <c r="AB563" s="36"/>
      <c r="AC563" s="13"/>
      <c r="AD563" s="13"/>
      <c r="AE563" s="37"/>
      <c r="AF563" s="37"/>
      <c r="AG563" s="14"/>
      <c r="AH563" s="14"/>
      <c r="AI563" s="14"/>
      <c r="AZ563" s="24"/>
    </row>
    <row r="564">
      <c r="B564" s="24"/>
      <c r="E564" s="113"/>
      <c r="F564" s="266"/>
      <c r="G564" s="113"/>
      <c r="K564" s="36"/>
      <c r="L564" s="117"/>
      <c r="M564" s="128"/>
      <c r="N564" s="117"/>
      <c r="R564" s="117"/>
      <c r="T564" s="117"/>
      <c r="V564" s="117"/>
      <c r="X564" s="117"/>
      <c r="Y564" s="10"/>
      <c r="Z564" s="11"/>
      <c r="AA564" s="36"/>
      <c r="AB564" s="36"/>
      <c r="AC564" s="13"/>
      <c r="AD564" s="13"/>
      <c r="AE564" s="37"/>
      <c r="AF564" s="37"/>
      <c r="AG564" s="14"/>
      <c r="AH564" s="14"/>
      <c r="AI564" s="14"/>
      <c r="AZ564" s="24"/>
    </row>
    <row r="565">
      <c r="B565" s="24"/>
      <c r="E565" s="113"/>
      <c r="F565" s="266"/>
      <c r="G565" s="113"/>
      <c r="K565" s="36"/>
      <c r="L565" s="117"/>
      <c r="M565" s="128"/>
      <c r="N565" s="117"/>
      <c r="R565" s="117"/>
      <c r="T565" s="117"/>
      <c r="V565" s="117"/>
      <c r="X565" s="117"/>
      <c r="Y565" s="10"/>
      <c r="Z565" s="11"/>
      <c r="AA565" s="36"/>
      <c r="AB565" s="36"/>
      <c r="AC565" s="13"/>
      <c r="AD565" s="13"/>
      <c r="AE565" s="37"/>
      <c r="AF565" s="37"/>
      <c r="AG565" s="14"/>
      <c r="AH565" s="14"/>
      <c r="AI565" s="14"/>
      <c r="AZ565" s="24"/>
    </row>
    <row r="566">
      <c r="B566" s="24"/>
      <c r="E566" s="113"/>
      <c r="F566" s="266"/>
      <c r="G566" s="113"/>
      <c r="K566" s="36"/>
      <c r="L566" s="117"/>
      <c r="M566" s="128"/>
      <c r="N566" s="117"/>
      <c r="R566" s="117"/>
      <c r="T566" s="117"/>
      <c r="V566" s="117"/>
      <c r="X566" s="117"/>
      <c r="Y566" s="10"/>
      <c r="Z566" s="11"/>
      <c r="AA566" s="36"/>
      <c r="AB566" s="36"/>
      <c r="AC566" s="13"/>
      <c r="AD566" s="13"/>
      <c r="AE566" s="37"/>
      <c r="AF566" s="37"/>
      <c r="AG566" s="14"/>
      <c r="AH566" s="14"/>
      <c r="AI566" s="14"/>
      <c r="AZ566" s="24"/>
    </row>
    <row r="567">
      <c r="B567" s="24"/>
      <c r="E567" s="113"/>
      <c r="F567" s="266"/>
      <c r="G567" s="113"/>
      <c r="K567" s="36"/>
      <c r="L567" s="117"/>
      <c r="M567" s="128"/>
      <c r="N567" s="117"/>
      <c r="R567" s="117"/>
      <c r="T567" s="117"/>
      <c r="V567" s="117"/>
      <c r="X567" s="117"/>
      <c r="Y567" s="10"/>
      <c r="Z567" s="11"/>
      <c r="AA567" s="36"/>
      <c r="AB567" s="36"/>
      <c r="AC567" s="13"/>
      <c r="AD567" s="13"/>
      <c r="AE567" s="37"/>
      <c r="AF567" s="37"/>
      <c r="AG567" s="14"/>
      <c r="AH567" s="14"/>
      <c r="AI567" s="14"/>
      <c r="AZ567" s="24"/>
    </row>
    <row r="568">
      <c r="B568" s="24"/>
      <c r="E568" s="113"/>
      <c r="F568" s="266"/>
      <c r="G568" s="113"/>
      <c r="K568" s="36"/>
      <c r="L568" s="117"/>
      <c r="M568" s="128"/>
      <c r="N568" s="117"/>
      <c r="R568" s="117"/>
      <c r="T568" s="117"/>
      <c r="V568" s="117"/>
      <c r="X568" s="117"/>
      <c r="Y568" s="10"/>
      <c r="Z568" s="11"/>
      <c r="AA568" s="36"/>
      <c r="AB568" s="36"/>
      <c r="AC568" s="13"/>
      <c r="AD568" s="13"/>
      <c r="AE568" s="37"/>
      <c r="AF568" s="37"/>
      <c r="AG568" s="14"/>
      <c r="AH568" s="14"/>
      <c r="AI568" s="14"/>
      <c r="AZ568" s="24"/>
    </row>
    <row r="569">
      <c r="B569" s="24"/>
      <c r="E569" s="113"/>
      <c r="F569" s="266"/>
      <c r="G569" s="113"/>
      <c r="K569" s="36"/>
      <c r="L569" s="117"/>
      <c r="M569" s="128"/>
      <c r="N569" s="117"/>
      <c r="R569" s="117"/>
      <c r="T569" s="117"/>
      <c r="V569" s="117"/>
      <c r="X569" s="117"/>
      <c r="Y569" s="10"/>
      <c r="Z569" s="11"/>
      <c r="AA569" s="36"/>
      <c r="AB569" s="36"/>
      <c r="AC569" s="13"/>
      <c r="AD569" s="13"/>
      <c r="AE569" s="37"/>
      <c r="AF569" s="37"/>
      <c r="AG569" s="14"/>
      <c r="AH569" s="14"/>
      <c r="AI569" s="14"/>
      <c r="AZ569" s="24"/>
    </row>
    <row r="570">
      <c r="B570" s="24"/>
      <c r="E570" s="113"/>
      <c r="F570" s="266"/>
      <c r="G570" s="113"/>
      <c r="K570" s="36"/>
      <c r="L570" s="117"/>
      <c r="M570" s="128"/>
      <c r="N570" s="117"/>
      <c r="R570" s="117"/>
      <c r="T570" s="117"/>
      <c r="V570" s="117"/>
      <c r="X570" s="117"/>
      <c r="Y570" s="10"/>
      <c r="Z570" s="11"/>
      <c r="AA570" s="36"/>
      <c r="AB570" s="36"/>
      <c r="AC570" s="13"/>
      <c r="AD570" s="13"/>
      <c r="AE570" s="37"/>
      <c r="AF570" s="37"/>
      <c r="AG570" s="14"/>
      <c r="AH570" s="14"/>
      <c r="AI570" s="14"/>
      <c r="AZ570" s="24"/>
    </row>
    <row r="571">
      <c r="B571" s="24"/>
      <c r="E571" s="113"/>
      <c r="F571" s="266"/>
      <c r="G571" s="113"/>
      <c r="K571" s="36"/>
      <c r="L571" s="117"/>
      <c r="M571" s="128"/>
      <c r="N571" s="117"/>
      <c r="R571" s="117"/>
      <c r="T571" s="117"/>
      <c r="V571" s="117"/>
      <c r="X571" s="117"/>
      <c r="Y571" s="10"/>
      <c r="Z571" s="11"/>
      <c r="AA571" s="36"/>
      <c r="AB571" s="36"/>
      <c r="AC571" s="13"/>
      <c r="AD571" s="13"/>
      <c r="AE571" s="37"/>
      <c r="AF571" s="37"/>
      <c r="AG571" s="14"/>
      <c r="AH571" s="14"/>
      <c r="AI571" s="14"/>
      <c r="AZ571" s="24"/>
    </row>
    <row r="572">
      <c r="B572" s="24"/>
      <c r="E572" s="113"/>
      <c r="F572" s="266"/>
      <c r="G572" s="113"/>
      <c r="K572" s="36"/>
      <c r="L572" s="117"/>
      <c r="M572" s="128"/>
      <c r="N572" s="117"/>
      <c r="R572" s="117"/>
      <c r="T572" s="117"/>
      <c r="V572" s="117"/>
      <c r="X572" s="117"/>
      <c r="Y572" s="10"/>
      <c r="Z572" s="11"/>
      <c r="AA572" s="36"/>
      <c r="AB572" s="36"/>
      <c r="AC572" s="13"/>
      <c r="AD572" s="13"/>
      <c r="AE572" s="37"/>
      <c r="AF572" s="37"/>
      <c r="AG572" s="14"/>
      <c r="AH572" s="14"/>
      <c r="AI572" s="14"/>
      <c r="AZ572" s="24"/>
    </row>
    <row r="573">
      <c r="B573" s="24"/>
      <c r="E573" s="113"/>
      <c r="F573" s="266"/>
      <c r="G573" s="113"/>
      <c r="K573" s="36"/>
      <c r="L573" s="117"/>
      <c r="M573" s="128"/>
      <c r="N573" s="117"/>
      <c r="R573" s="117"/>
      <c r="T573" s="117"/>
      <c r="V573" s="117"/>
      <c r="X573" s="117"/>
      <c r="Y573" s="10"/>
      <c r="Z573" s="11"/>
      <c r="AA573" s="36"/>
      <c r="AB573" s="36"/>
      <c r="AC573" s="13"/>
      <c r="AD573" s="13"/>
      <c r="AE573" s="37"/>
      <c r="AF573" s="37"/>
      <c r="AG573" s="14"/>
      <c r="AH573" s="14"/>
      <c r="AI573" s="14"/>
      <c r="AZ573" s="24"/>
    </row>
    <row r="574">
      <c r="B574" s="24"/>
      <c r="E574" s="113"/>
      <c r="F574" s="266"/>
      <c r="G574" s="113"/>
      <c r="K574" s="36"/>
      <c r="L574" s="117"/>
      <c r="M574" s="128"/>
      <c r="N574" s="117"/>
      <c r="R574" s="117"/>
      <c r="T574" s="117"/>
      <c r="V574" s="117"/>
      <c r="X574" s="117"/>
      <c r="Y574" s="10"/>
      <c r="Z574" s="11"/>
      <c r="AA574" s="36"/>
      <c r="AB574" s="36"/>
      <c r="AC574" s="13"/>
      <c r="AD574" s="13"/>
      <c r="AE574" s="37"/>
      <c r="AF574" s="37"/>
      <c r="AG574" s="14"/>
      <c r="AH574" s="14"/>
      <c r="AI574" s="14"/>
      <c r="AZ574" s="24"/>
    </row>
    <row r="575">
      <c r="B575" s="24"/>
      <c r="E575" s="113"/>
      <c r="F575" s="266"/>
      <c r="G575" s="113"/>
      <c r="K575" s="36"/>
      <c r="L575" s="117"/>
      <c r="M575" s="128"/>
      <c r="N575" s="117"/>
      <c r="R575" s="117"/>
      <c r="T575" s="117"/>
      <c r="V575" s="117"/>
      <c r="X575" s="117"/>
      <c r="Y575" s="10"/>
      <c r="Z575" s="11"/>
      <c r="AA575" s="36"/>
      <c r="AB575" s="36"/>
      <c r="AC575" s="13"/>
      <c r="AD575" s="13"/>
      <c r="AE575" s="37"/>
      <c r="AF575" s="37"/>
      <c r="AG575" s="14"/>
      <c r="AH575" s="14"/>
      <c r="AI575" s="14"/>
      <c r="AZ575" s="24"/>
    </row>
    <row r="576">
      <c r="B576" s="24"/>
      <c r="E576" s="113"/>
      <c r="F576" s="266"/>
      <c r="G576" s="113"/>
      <c r="K576" s="36"/>
      <c r="L576" s="117"/>
      <c r="M576" s="128"/>
      <c r="N576" s="117"/>
      <c r="R576" s="117"/>
      <c r="T576" s="117"/>
      <c r="V576" s="117"/>
      <c r="X576" s="117"/>
      <c r="Y576" s="10"/>
      <c r="Z576" s="11"/>
      <c r="AA576" s="36"/>
      <c r="AB576" s="36"/>
      <c r="AC576" s="13"/>
      <c r="AD576" s="13"/>
      <c r="AE576" s="37"/>
      <c r="AF576" s="37"/>
      <c r="AG576" s="14"/>
      <c r="AH576" s="14"/>
      <c r="AI576" s="14"/>
      <c r="AZ576" s="24"/>
    </row>
    <row r="577">
      <c r="B577" s="24"/>
      <c r="E577" s="113"/>
      <c r="F577" s="266"/>
      <c r="G577" s="113"/>
      <c r="K577" s="36"/>
      <c r="L577" s="117"/>
      <c r="M577" s="128"/>
      <c r="N577" s="117"/>
      <c r="R577" s="117"/>
      <c r="T577" s="117"/>
      <c r="V577" s="117"/>
      <c r="X577" s="117"/>
      <c r="Y577" s="10"/>
      <c r="Z577" s="11"/>
      <c r="AA577" s="36"/>
      <c r="AB577" s="36"/>
      <c r="AC577" s="13"/>
      <c r="AD577" s="13"/>
      <c r="AE577" s="37"/>
      <c r="AF577" s="37"/>
      <c r="AG577" s="14"/>
      <c r="AH577" s="14"/>
      <c r="AI577" s="14"/>
      <c r="AZ577" s="24"/>
    </row>
    <row r="578">
      <c r="B578" s="24"/>
      <c r="E578" s="113"/>
      <c r="F578" s="266"/>
      <c r="G578" s="113"/>
      <c r="K578" s="36"/>
      <c r="L578" s="117"/>
      <c r="M578" s="128"/>
      <c r="N578" s="117"/>
      <c r="R578" s="117"/>
      <c r="T578" s="117"/>
      <c r="V578" s="117"/>
      <c r="X578" s="117"/>
      <c r="Y578" s="10"/>
      <c r="Z578" s="11"/>
      <c r="AA578" s="36"/>
      <c r="AB578" s="36"/>
      <c r="AC578" s="13"/>
      <c r="AD578" s="13"/>
      <c r="AE578" s="37"/>
      <c r="AF578" s="37"/>
      <c r="AG578" s="14"/>
      <c r="AH578" s="14"/>
      <c r="AI578" s="14"/>
      <c r="AZ578" s="24"/>
    </row>
    <row r="579">
      <c r="B579" s="24"/>
      <c r="E579" s="113"/>
      <c r="F579" s="266"/>
      <c r="G579" s="113"/>
      <c r="K579" s="36"/>
      <c r="L579" s="117"/>
      <c r="M579" s="128"/>
      <c r="N579" s="117"/>
      <c r="R579" s="117"/>
      <c r="T579" s="117"/>
      <c r="V579" s="117"/>
      <c r="X579" s="117"/>
      <c r="Y579" s="10"/>
      <c r="Z579" s="11"/>
      <c r="AA579" s="36"/>
      <c r="AB579" s="36"/>
      <c r="AC579" s="13"/>
      <c r="AD579" s="13"/>
      <c r="AE579" s="37"/>
      <c r="AF579" s="37"/>
      <c r="AG579" s="14"/>
      <c r="AH579" s="14"/>
      <c r="AI579" s="14"/>
      <c r="AZ579" s="24"/>
    </row>
    <row r="580">
      <c r="B580" s="24"/>
      <c r="E580" s="113"/>
      <c r="F580" s="266"/>
      <c r="G580" s="113"/>
      <c r="K580" s="36"/>
      <c r="L580" s="117"/>
      <c r="M580" s="128"/>
      <c r="N580" s="117"/>
      <c r="R580" s="117"/>
      <c r="T580" s="117"/>
      <c r="V580" s="117"/>
      <c r="X580" s="117"/>
      <c r="Y580" s="10"/>
      <c r="Z580" s="11"/>
      <c r="AA580" s="36"/>
      <c r="AB580" s="36"/>
      <c r="AC580" s="13"/>
      <c r="AD580" s="13"/>
      <c r="AE580" s="37"/>
      <c r="AF580" s="37"/>
      <c r="AG580" s="14"/>
      <c r="AH580" s="14"/>
      <c r="AI580" s="14"/>
      <c r="AZ580" s="24"/>
    </row>
    <row r="581">
      <c r="B581" s="24"/>
      <c r="E581" s="113"/>
      <c r="F581" s="266"/>
      <c r="G581" s="113"/>
      <c r="K581" s="36"/>
      <c r="L581" s="117"/>
      <c r="M581" s="128"/>
      <c r="N581" s="117"/>
      <c r="R581" s="117"/>
      <c r="T581" s="117"/>
      <c r="V581" s="117"/>
      <c r="X581" s="117"/>
      <c r="Y581" s="10"/>
      <c r="Z581" s="11"/>
      <c r="AA581" s="36"/>
      <c r="AB581" s="36"/>
      <c r="AC581" s="13"/>
      <c r="AD581" s="13"/>
      <c r="AE581" s="37"/>
      <c r="AF581" s="37"/>
      <c r="AG581" s="14"/>
      <c r="AH581" s="14"/>
      <c r="AI581" s="14"/>
      <c r="AZ581" s="24"/>
    </row>
    <row r="582">
      <c r="B582" s="24"/>
      <c r="E582" s="113"/>
      <c r="F582" s="266"/>
      <c r="G582" s="113"/>
      <c r="K582" s="36"/>
      <c r="L582" s="117"/>
      <c r="M582" s="128"/>
      <c r="N582" s="117"/>
      <c r="R582" s="117"/>
      <c r="T582" s="117"/>
      <c r="V582" s="117"/>
      <c r="X582" s="117"/>
      <c r="Y582" s="10"/>
      <c r="Z582" s="11"/>
      <c r="AA582" s="36"/>
      <c r="AB582" s="36"/>
      <c r="AC582" s="13"/>
      <c r="AD582" s="13"/>
      <c r="AE582" s="37"/>
      <c r="AF582" s="37"/>
      <c r="AG582" s="14"/>
      <c r="AH582" s="14"/>
      <c r="AI582" s="14"/>
      <c r="AZ582" s="24"/>
    </row>
    <row r="583">
      <c r="B583" s="24"/>
      <c r="E583" s="113"/>
      <c r="F583" s="266"/>
      <c r="G583" s="113"/>
      <c r="K583" s="36"/>
      <c r="L583" s="117"/>
      <c r="M583" s="128"/>
      <c r="N583" s="117"/>
      <c r="R583" s="117"/>
      <c r="T583" s="117"/>
      <c r="V583" s="117"/>
      <c r="X583" s="117"/>
      <c r="Y583" s="10"/>
      <c r="Z583" s="11"/>
      <c r="AA583" s="36"/>
      <c r="AB583" s="36"/>
      <c r="AC583" s="13"/>
      <c r="AD583" s="13"/>
      <c r="AE583" s="37"/>
      <c r="AF583" s="37"/>
      <c r="AG583" s="14"/>
      <c r="AH583" s="14"/>
      <c r="AI583" s="14"/>
      <c r="AZ583" s="24"/>
    </row>
    <row r="584">
      <c r="B584" s="24"/>
      <c r="E584" s="113"/>
      <c r="F584" s="266"/>
      <c r="G584" s="113"/>
      <c r="K584" s="36"/>
      <c r="L584" s="117"/>
      <c r="M584" s="128"/>
      <c r="N584" s="117"/>
      <c r="R584" s="117"/>
      <c r="T584" s="117"/>
      <c r="V584" s="117"/>
      <c r="X584" s="117"/>
      <c r="Y584" s="10"/>
      <c r="Z584" s="11"/>
      <c r="AA584" s="36"/>
      <c r="AB584" s="36"/>
      <c r="AC584" s="13"/>
      <c r="AD584" s="13"/>
      <c r="AE584" s="37"/>
      <c r="AF584" s="37"/>
      <c r="AG584" s="14"/>
      <c r="AH584" s="14"/>
      <c r="AI584" s="14"/>
      <c r="AZ584" s="24"/>
    </row>
    <row r="585">
      <c r="B585" s="24"/>
      <c r="E585" s="113"/>
      <c r="F585" s="266"/>
      <c r="G585" s="113"/>
      <c r="K585" s="36"/>
      <c r="L585" s="117"/>
      <c r="M585" s="128"/>
      <c r="N585" s="117"/>
      <c r="R585" s="117"/>
      <c r="T585" s="117"/>
      <c r="V585" s="117"/>
      <c r="X585" s="117"/>
      <c r="Y585" s="10"/>
      <c r="Z585" s="11"/>
      <c r="AA585" s="36"/>
      <c r="AB585" s="36"/>
      <c r="AC585" s="13"/>
      <c r="AD585" s="13"/>
      <c r="AE585" s="37"/>
      <c r="AF585" s="37"/>
      <c r="AG585" s="14"/>
      <c r="AH585" s="14"/>
      <c r="AI585" s="14"/>
      <c r="AZ585" s="24"/>
    </row>
    <row r="586">
      <c r="B586" s="24"/>
      <c r="E586" s="113"/>
      <c r="F586" s="266"/>
      <c r="G586" s="113"/>
      <c r="K586" s="36"/>
      <c r="L586" s="117"/>
      <c r="M586" s="128"/>
      <c r="N586" s="117"/>
      <c r="R586" s="117"/>
      <c r="T586" s="117"/>
      <c r="V586" s="117"/>
      <c r="X586" s="117"/>
      <c r="Y586" s="10"/>
      <c r="Z586" s="11"/>
      <c r="AA586" s="36"/>
      <c r="AB586" s="36"/>
      <c r="AC586" s="13"/>
      <c r="AD586" s="13"/>
      <c r="AE586" s="37"/>
      <c r="AF586" s="37"/>
      <c r="AG586" s="14"/>
      <c r="AH586" s="14"/>
      <c r="AI586" s="14"/>
      <c r="AZ586" s="24"/>
    </row>
    <row r="587">
      <c r="B587" s="24"/>
      <c r="E587" s="113"/>
      <c r="F587" s="266"/>
      <c r="G587" s="113"/>
      <c r="K587" s="36"/>
      <c r="L587" s="117"/>
      <c r="M587" s="128"/>
      <c r="N587" s="117"/>
      <c r="R587" s="117"/>
      <c r="T587" s="117"/>
      <c r="V587" s="117"/>
      <c r="X587" s="117"/>
      <c r="Y587" s="10"/>
      <c r="Z587" s="11"/>
      <c r="AA587" s="36"/>
      <c r="AB587" s="36"/>
      <c r="AC587" s="13"/>
      <c r="AD587" s="13"/>
      <c r="AE587" s="37"/>
      <c r="AF587" s="37"/>
      <c r="AG587" s="14"/>
      <c r="AH587" s="14"/>
      <c r="AI587" s="14"/>
      <c r="AZ587" s="24"/>
    </row>
    <row r="588">
      <c r="B588" s="24"/>
      <c r="E588" s="113"/>
      <c r="F588" s="266"/>
      <c r="G588" s="113"/>
      <c r="K588" s="36"/>
      <c r="L588" s="117"/>
      <c r="M588" s="128"/>
      <c r="N588" s="117"/>
      <c r="R588" s="117"/>
      <c r="T588" s="117"/>
      <c r="V588" s="117"/>
      <c r="X588" s="117"/>
      <c r="Y588" s="10"/>
      <c r="Z588" s="11"/>
      <c r="AA588" s="36"/>
      <c r="AB588" s="36"/>
      <c r="AC588" s="13"/>
      <c r="AD588" s="13"/>
      <c r="AE588" s="37"/>
      <c r="AF588" s="37"/>
      <c r="AG588" s="14"/>
      <c r="AH588" s="14"/>
      <c r="AI588" s="14"/>
      <c r="AZ588" s="24"/>
    </row>
    <row r="589">
      <c r="B589" s="24"/>
      <c r="E589" s="113"/>
      <c r="F589" s="266"/>
      <c r="G589" s="113"/>
      <c r="K589" s="36"/>
      <c r="L589" s="117"/>
      <c r="M589" s="128"/>
      <c r="N589" s="117"/>
      <c r="R589" s="117"/>
      <c r="T589" s="117"/>
      <c r="V589" s="117"/>
      <c r="X589" s="117"/>
      <c r="Y589" s="10"/>
      <c r="Z589" s="11"/>
      <c r="AA589" s="36"/>
      <c r="AB589" s="36"/>
      <c r="AC589" s="13"/>
      <c r="AD589" s="13"/>
      <c r="AE589" s="37"/>
      <c r="AF589" s="37"/>
      <c r="AG589" s="14"/>
      <c r="AH589" s="14"/>
      <c r="AI589" s="14"/>
      <c r="AZ589" s="24"/>
    </row>
    <row r="590">
      <c r="B590" s="24"/>
      <c r="E590" s="113"/>
      <c r="F590" s="266"/>
      <c r="G590" s="113"/>
      <c r="K590" s="36"/>
      <c r="L590" s="117"/>
      <c r="M590" s="128"/>
      <c r="N590" s="117"/>
      <c r="R590" s="117"/>
      <c r="T590" s="117"/>
      <c r="V590" s="117"/>
      <c r="X590" s="117"/>
      <c r="Y590" s="10"/>
      <c r="Z590" s="11"/>
      <c r="AA590" s="36"/>
      <c r="AB590" s="36"/>
      <c r="AC590" s="13"/>
      <c r="AD590" s="13"/>
      <c r="AE590" s="37"/>
      <c r="AF590" s="37"/>
      <c r="AG590" s="14"/>
      <c r="AH590" s="14"/>
      <c r="AI590" s="14"/>
      <c r="AZ590" s="24"/>
    </row>
    <row r="591">
      <c r="B591" s="24"/>
      <c r="E591" s="113"/>
      <c r="F591" s="266"/>
      <c r="G591" s="113"/>
      <c r="K591" s="36"/>
      <c r="L591" s="117"/>
      <c r="M591" s="128"/>
      <c r="N591" s="117"/>
      <c r="R591" s="117"/>
      <c r="T591" s="117"/>
      <c r="V591" s="117"/>
      <c r="X591" s="117"/>
      <c r="Y591" s="10"/>
      <c r="Z591" s="11"/>
      <c r="AA591" s="36"/>
      <c r="AB591" s="36"/>
      <c r="AC591" s="13"/>
      <c r="AD591" s="13"/>
      <c r="AE591" s="37"/>
      <c r="AF591" s="37"/>
      <c r="AG591" s="14"/>
      <c r="AH591" s="14"/>
      <c r="AI591" s="14"/>
      <c r="AZ591" s="24"/>
    </row>
    <row r="592">
      <c r="B592" s="24"/>
      <c r="E592" s="113"/>
      <c r="F592" s="266"/>
      <c r="G592" s="113"/>
      <c r="K592" s="36"/>
      <c r="L592" s="117"/>
      <c r="M592" s="128"/>
      <c r="N592" s="117"/>
      <c r="R592" s="117"/>
      <c r="T592" s="117"/>
      <c r="V592" s="117"/>
      <c r="X592" s="117"/>
      <c r="Y592" s="10"/>
      <c r="Z592" s="11"/>
      <c r="AA592" s="36"/>
      <c r="AB592" s="36"/>
      <c r="AC592" s="13"/>
      <c r="AD592" s="13"/>
      <c r="AE592" s="37"/>
      <c r="AF592" s="37"/>
      <c r="AG592" s="14"/>
      <c r="AH592" s="14"/>
      <c r="AI592" s="14"/>
      <c r="AZ592" s="24"/>
    </row>
    <row r="593">
      <c r="B593" s="24"/>
      <c r="E593" s="113"/>
      <c r="F593" s="266"/>
      <c r="G593" s="113"/>
      <c r="K593" s="36"/>
      <c r="L593" s="117"/>
      <c r="M593" s="128"/>
      <c r="N593" s="117"/>
      <c r="R593" s="117"/>
      <c r="T593" s="117"/>
      <c r="V593" s="117"/>
      <c r="X593" s="117"/>
      <c r="Y593" s="10"/>
      <c r="Z593" s="11"/>
      <c r="AA593" s="36"/>
      <c r="AB593" s="36"/>
      <c r="AC593" s="13"/>
      <c r="AD593" s="13"/>
      <c r="AE593" s="37"/>
      <c r="AF593" s="37"/>
      <c r="AG593" s="14"/>
      <c r="AH593" s="14"/>
      <c r="AI593" s="14"/>
      <c r="AZ593" s="24"/>
    </row>
    <row r="594">
      <c r="B594" s="24"/>
      <c r="E594" s="113"/>
      <c r="F594" s="266"/>
      <c r="G594" s="113"/>
      <c r="K594" s="36"/>
      <c r="L594" s="117"/>
      <c r="M594" s="128"/>
      <c r="N594" s="117"/>
      <c r="R594" s="117"/>
      <c r="T594" s="117"/>
      <c r="V594" s="117"/>
      <c r="X594" s="117"/>
      <c r="Y594" s="10"/>
      <c r="Z594" s="11"/>
      <c r="AA594" s="36"/>
      <c r="AB594" s="36"/>
      <c r="AC594" s="13"/>
      <c r="AD594" s="13"/>
      <c r="AE594" s="37"/>
      <c r="AF594" s="37"/>
      <c r="AG594" s="14"/>
      <c r="AH594" s="14"/>
      <c r="AI594" s="14"/>
      <c r="AZ594" s="24"/>
    </row>
    <row r="595">
      <c r="B595" s="24"/>
      <c r="E595" s="113"/>
      <c r="F595" s="266"/>
      <c r="G595" s="113"/>
      <c r="K595" s="36"/>
      <c r="L595" s="117"/>
      <c r="M595" s="128"/>
      <c r="N595" s="117"/>
      <c r="R595" s="117"/>
      <c r="T595" s="117"/>
      <c r="V595" s="117"/>
      <c r="X595" s="117"/>
      <c r="Y595" s="10"/>
      <c r="Z595" s="11"/>
      <c r="AA595" s="36"/>
      <c r="AB595" s="36"/>
      <c r="AC595" s="13"/>
      <c r="AD595" s="13"/>
      <c r="AE595" s="37"/>
      <c r="AF595" s="37"/>
      <c r="AG595" s="14"/>
      <c r="AH595" s="14"/>
      <c r="AI595" s="14"/>
      <c r="AZ595" s="24"/>
    </row>
    <row r="596">
      <c r="B596" s="24"/>
      <c r="E596" s="113"/>
      <c r="F596" s="266"/>
      <c r="G596" s="113"/>
      <c r="K596" s="36"/>
      <c r="L596" s="117"/>
      <c r="M596" s="128"/>
      <c r="N596" s="117"/>
      <c r="R596" s="117"/>
      <c r="T596" s="117"/>
      <c r="V596" s="117"/>
      <c r="X596" s="117"/>
      <c r="Y596" s="10"/>
      <c r="Z596" s="11"/>
      <c r="AA596" s="36"/>
      <c r="AB596" s="36"/>
      <c r="AC596" s="13"/>
      <c r="AD596" s="13"/>
      <c r="AE596" s="37"/>
      <c r="AF596" s="37"/>
      <c r="AG596" s="14"/>
      <c r="AH596" s="14"/>
      <c r="AI596" s="14"/>
      <c r="AZ596" s="24"/>
    </row>
    <row r="597">
      <c r="B597" s="24"/>
      <c r="E597" s="113"/>
      <c r="F597" s="266"/>
      <c r="G597" s="113"/>
      <c r="K597" s="36"/>
      <c r="L597" s="117"/>
      <c r="M597" s="128"/>
      <c r="N597" s="117"/>
      <c r="R597" s="117"/>
      <c r="T597" s="117"/>
      <c r="V597" s="117"/>
      <c r="X597" s="117"/>
      <c r="Y597" s="10"/>
      <c r="Z597" s="11"/>
      <c r="AA597" s="36"/>
      <c r="AB597" s="36"/>
      <c r="AC597" s="13"/>
      <c r="AD597" s="13"/>
      <c r="AE597" s="37"/>
      <c r="AF597" s="37"/>
      <c r="AG597" s="14"/>
      <c r="AH597" s="14"/>
      <c r="AI597" s="14"/>
      <c r="AZ597" s="24"/>
    </row>
    <row r="598">
      <c r="B598" s="24"/>
      <c r="E598" s="113"/>
      <c r="F598" s="266"/>
      <c r="G598" s="113"/>
      <c r="K598" s="36"/>
      <c r="L598" s="117"/>
      <c r="M598" s="128"/>
      <c r="N598" s="117"/>
      <c r="R598" s="117"/>
      <c r="T598" s="117"/>
      <c r="V598" s="117"/>
      <c r="X598" s="117"/>
      <c r="Y598" s="10"/>
      <c r="Z598" s="11"/>
      <c r="AA598" s="36"/>
      <c r="AB598" s="36"/>
      <c r="AC598" s="13"/>
      <c r="AD598" s="13"/>
      <c r="AE598" s="37"/>
      <c r="AF598" s="37"/>
      <c r="AG598" s="14"/>
      <c r="AH598" s="14"/>
      <c r="AI598" s="14"/>
      <c r="AZ598" s="24"/>
    </row>
    <row r="599">
      <c r="B599" s="24"/>
      <c r="E599" s="113"/>
      <c r="F599" s="266"/>
      <c r="G599" s="113"/>
      <c r="K599" s="36"/>
      <c r="L599" s="117"/>
      <c r="M599" s="128"/>
      <c r="N599" s="117"/>
      <c r="R599" s="117"/>
      <c r="T599" s="117"/>
      <c r="V599" s="117"/>
      <c r="X599" s="117"/>
      <c r="Y599" s="10"/>
      <c r="Z599" s="11"/>
      <c r="AA599" s="36"/>
      <c r="AB599" s="36"/>
      <c r="AC599" s="13"/>
      <c r="AD599" s="13"/>
      <c r="AE599" s="37"/>
      <c r="AF599" s="37"/>
      <c r="AG599" s="14"/>
      <c r="AH599" s="14"/>
      <c r="AI599" s="14"/>
      <c r="AZ599" s="24"/>
    </row>
    <row r="600">
      <c r="B600" s="24"/>
      <c r="E600" s="113"/>
      <c r="F600" s="266"/>
      <c r="G600" s="113"/>
      <c r="K600" s="36"/>
      <c r="L600" s="117"/>
      <c r="M600" s="128"/>
      <c r="N600" s="117"/>
      <c r="R600" s="117"/>
      <c r="T600" s="117"/>
      <c r="V600" s="117"/>
      <c r="X600" s="117"/>
      <c r="Y600" s="10"/>
      <c r="Z600" s="11"/>
      <c r="AA600" s="36"/>
      <c r="AB600" s="36"/>
      <c r="AC600" s="13"/>
      <c r="AD600" s="13"/>
      <c r="AE600" s="37"/>
      <c r="AF600" s="37"/>
      <c r="AG600" s="14"/>
      <c r="AH600" s="14"/>
      <c r="AI600" s="14"/>
      <c r="AZ600" s="24"/>
    </row>
    <row r="601">
      <c r="B601" s="24"/>
      <c r="E601" s="113"/>
      <c r="F601" s="266"/>
      <c r="G601" s="113"/>
      <c r="K601" s="36"/>
      <c r="L601" s="117"/>
      <c r="M601" s="128"/>
      <c r="N601" s="117"/>
      <c r="R601" s="117"/>
      <c r="T601" s="117"/>
      <c r="V601" s="117"/>
      <c r="X601" s="117"/>
      <c r="Y601" s="10"/>
      <c r="Z601" s="11"/>
      <c r="AA601" s="36"/>
      <c r="AB601" s="36"/>
      <c r="AC601" s="13"/>
      <c r="AD601" s="13"/>
      <c r="AE601" s="37"/>
      <c r="AF601" s="37"/>
      <c r="AG601" s="14"/>
      <c r="AH601" s="14"/>
      <c r="AI601" s="14"/>
      <c r="AZ601" s="24"/>
    </row>
    <row r="602">
      <c r="B602" s="24"/>
      <c r="E602" s="113"/>
      <c r="F602" s="266"/>
      <c r="G602" s="113"/>
      <c r="K602" s="36"/>
      <c r="L602" s="117"/>
      <c r="M602" s="128"/>
      <c r="N602" s="117"/>
      <c r="R602" s="117"/>
      <c r="T602" s="117"/>
      <c r="V602" s="117"/>
      <c r="X602" s="117"/>
      <c r="Y602" s="10"/>
      <c r="Z602" s="11"/>
      <c r="AA602" s="36"/>
      <c r="AB602" s="36"/>
      <c r="AC602" s="13"/>
      <c r="AD602" s="13"/>
      <c r="AE602" s="37"/>
      <c r="AF602" s="37"/>
      <c r="AG602" s="14"/>
      <c r="AH602" s="14"/>
      <c r="AI602" s="14"/>
      <c r="AZ602" s="24"/>
    </row>
    <row r="603">
      <c r="B603" s="24"/>
      <c r="E603" s="113"/>
      <c r="F603" s="266"/>
      <c r="G603" s="113"/>
      <c r="K603" s="36"/>
      <c r="L603" s="117"/>
      <c r="M603" s="128"/>
      <c r="N603" s="117"/>
      <c r="R603" s="117"/>
      <c r="T603" s="117"/>
      <c r="V603" s="117"/>
      <c r="X603" s="117"/>
      <c r="Y603" s="10"/>
      <c r="Z603" s="11"/>
      <c r="AA603" s="36"/>
      <c r="AB603" s="36"/>
      <c r="AC603" s="13"/>
      <c r="AD603" s="13"/>
      <c r="AE603" s="37"/>
      <c r="AF603" s="37"/>
      <c r="AG603" s="14"/>
      <c r="AH603" s="14"/>
      <c r="AI603" s="14"/>
      <c r="AZ603" s="24"/>
    </row>
    <row r="604">
      <c r="B604" s="24"/>
      <c r="E604" s="113"/>
      <c r="F604" s="266"/>
      <c r="G604" s="113"/>
      <c r="K604" s="36"/>
      <c r="L604" s="117"/>
      <c r="M604" s="128"/>
      <c r="N604" s="117"/>
      <c r="R604" s="117"/>
      <c r="T604" s="117"/>
      <c r="V604" s="117"/>
      <c r="X604" s="117"/>
      <c r="Y604" s="10"/>
      <c r="Z604" s="11"/>
      <c r="AA604" s="36"/>
      <c r="AB604" s="36"/>
      <c r="AC604" s="13"/>
      <c r="AD604" s="13"/>
      <c r="AE604" s="37"/>
      <c r="AF604" s="37"/>
      <c r="AG604" s="14"/>
      <c r="AH604" s="14"/>
      <c r="AI604" s="14"/>
      <c r="AZ604" s="24"/>
    </row>
    <row r="605">
      <c r="B605" s="24"/>
      <c r="E605" s="113"/>
      <c r="F605" s="266"/>
      <c r="G605" s="113"/>
      <c r="K605" s="36"/>
      <c r="L605" s="117"/>
      <c r="M605" s="128"/>
      <c r="N605" s="117"/>
      <c r="R605" s="117"/>
      <c r="T605" s="117"/>
      <c r="V605" s="117"/>
      <c r="X605" s="117"/>
      <c r="Y605" s="10"/>
      <c r="Z605" s="11"/>
      <c r="AA605" s="36"/>
      <c r="AB605" s="36"/>
      <c r="AC605" s="13"/>
      <c r="AD605" s="13"/>
      <c r="AE605" s="37"/>
      <c r="AF605" s="37"/>
      <c r="AG605" s="14"/>
      <c r="AH605" s="14"/>
      <c r="AI605" s="14"/>
      <c r="AZ605" s="24"/>
    </row>
    <row r="606">
      <c r="B606" s="24"/>
      <c r="E606" s="113"/>
      <c r="F606" s="266"/>
      <c r="G606" s="113"/>
      <c r="K606" s="36"/>
      <c r="L606" s="117"/>
      <c r="M606" s="128"/>
      <c r="N606" s="117"/>
      <c r="R606" s="117"/>
      <c r="T606" s="117"/>
      <c r="V606" s="117"/>
      <c r="X606" s="117"/>
      <c r="Y606" s="10"/>
      <c r="Z606" s="11"/>
      <c r="AA606" s="36"/>
      <c r="AB606" s="36"/>
      <c r="AC606" s="13"/>
      <c r="AD606" s="13"/>
      <c r="AE606" s="37"/>
      <c r="AF606" s="37"/>
      <c r="AG606" s="14"/>
      <c r="AH606" s="14"/>
      <c r="AI606" s="14"/>
      <c r="AZ606" s="24"/>
    </row>
    <row r="607">
      <c r="B607" s="24"/>
      <c r="E607" s="113"/>
      <c r="F607" s="266"/>
      <c r="G607" s="113"/>
      <c r="K607" s="36"/>
      <c r="L607" s="117"/>
      <c r="M607" s="128"/>
      <c r="N607" s="117"/>
      <c r="R607" s="117"/>
      <c r="T607" s="117"/>
      <c r="V607" s="117"/>
      <c r="X607" s="117"/>
      <c r="Y607" s="10"/>
      <c r="Z607" s="11"/>
      <c r="AA607" s="36"/>
      <c r="AB607" s="36"/>
      <c r="AC607" s="13"/>
      <c r="AD607" s="13"/>
      <c r="AE607" s="37"/>
      <c r="AF607" s="37"/>
      <c r="AG607" s="14"/>
      <c r="AH607" s="14"/>
      <c r="AI607" s="14"/>
      <c r="AZ607" s="24"/>
    </row>
    <row r="608">
      <c r="B608" s="24"/>
      <c r="E608" s="113"/>
      <c r="F608" s="266"/>
      <c r="G608" s="113"/>
      <c r="K608" s="36"/>
      <c r="L608" s="117"/>
      <c r="M608" s="128"/>
      <c r="N608" s="117"/>
      <c r="R608" s="117"/>
      <c r="T608" s="117"/>
      <c r="V608" s="117"/>
      <c r="X608" s="117"/>
      <c r="Y608" s="10"/>
      <c r="Z608" s="11"/>
      <c r="AA608" s="36"/>
      <c r="AB608" s="36"/>
      <c r="AC608" s="13"/>
      <c r="AD608" s="13"/>
      <c r="AE608" s="37"/>
      <c r="AF608" s="37"/>
      <c r="AG608" s="14"/>
      <c r="AH608" s="14"/>
      <c r="AI608" s="14"/>
      <c r="AZ608" s="24"/>
    </row>
    <row r="609">
      <c r="B609" s="24"/>
      <c r="E609" s="113"/>
      <c r="F609" s="266"/>
      <c r="G609" s="113"/>
      <c r="K609" s="36"/>
      <c r="L609" s="117"/>
      <c r="M609" s="128"/>
      <c r="N609" s="117"/>
      <c r="R609" s="117"/>
      <c r="T609" s="117"/>
      <c r="V609" s="117"/>
      <c r="X609" s="117"/>
      <c r="Y609" s="10"/>
      <c r="Z609" s="11"/>
      <c r="AA609" s="36"/>
      <c r="AB609" s="36"/>
      <c r="AC609" s="13"/>
      <c r="AD609" s="13"/>
      <c r="AE609" s="37"/>
      <c r="AF609" s="37"/>
      <c r="AG609" s="14"/>
      <c r="AH609" s="14"/>
      <c r="AI609" s="14"/>
      <c r="AZ609" s="24"/>
    </row>
    <row r="610">
      <c r="B610" s="24"/>
      <c r="E610" s="113"/>
      <c r="F610" s="266"/>
      <c r="G610" s="113"/>
      <c r="K610" s="36"/>
      <c r="L610" s="117"/>
      <c r="M610" s="128"/>
      <c r="N610" s="117"/>
      <c r="R610" s="117"/>
      <c r="T610" s="117"/>
      <c r="V610" s="117"/>
      <c r="X610" s="117"/>
      <c r="Y610" s="10"/>
      <c r="Z610" s="11"/>
      <c r="AA610" s="36"/>
      <c r="AB610" s="36"/>
      <c r="AC610" s="13"/>
      <c r="AD610" s="13"/>
      <c r="AE610" s="37"/>
      <c r="AF610" s="37"/>
      <c r="AG610" s="14"/>
      <c r="AH610" s="14"/>
      <c r="AI610" s="14"/>
      <c r="AZ610" s="24"/>
    </row>
    <row r="611">
      <c r="B611" s="24"/>
      <c r="E611" s="113"/>
      <c r="F611" s="266"/>
      <c r="G611" s="113"/>
      <c r="K611" s="36"/>
      <c r="L611" s="117"/>
      <c r="M611" s="128"/>
      <c r="N611" s="117"/>
      <c r="R611" s="117"/>
      <c r="T611" s="117"/>
      <c r="V611" s="117"/>
      <c r="X611" s="117"/>
      <c r="Y611" s="10"/>
      <c r="Z611" s="11"/>
      <c r="AA611" s="36"/>
      <c r="AB611" s="36"/>
      <c r="AC611" s="13"/>
      <c r="AD611" s="13"/>
      <c r="AE611" s="37"/>
      <c r="AF611" s="37"/>
      <c r="AG611" s="14"/>
      <c r="AH611" s="14"/>
      <c r="AI611" s="14"/>
      <c r="AZ611" s="24"/>
    </row>
    <row r="612">
      <c r="B612" s="24"/>
      <c r="E612" s="113"/>
      <c r="F612" s="266"/>
      <c r="G612" s="113"/>
      <c r="K612" s="36"/>
      <c r="L612" s="117"/>
      <c r="M612" s="128"/>
      <c r="N612" s="117"/>
      <c r="R612" s="117"/>
      <c r="T612" s="117"/>
      <c r="V612" s="117"/>
      <c r="X612" s="117"/>
      <c r="Y612" s="10"/>
      <c r="Z612" s="11"/>
      <c r="AA612" s="36"/>
      <c r="AB612" s="36"/>
      <c r="AC612" s="13"/>
      <c r="AD612" s="13"/>
      <c r="AE612" s="37"/>
      <c r="AF612" s="37"/>
      <c r="AG612" s="14"/>
      <c r="AH612" s="14"/>
      <c r="AI612" s="14"/>
      <c r="AZ612" s="24"/>
    </row>
    <row r="613">
      <c r="B613" s="24"/>
      <c r="E613" s="113"/>
      <c r="F613" s="266"/>
      <c r="G613" s="113"/>
      <c r="K613" s="36"/>
      <c r="L613" s="117"/>
      <c r="M613" s="128"/>
      <c r="N613" s="117"/>
      <c r="R613" s="117"/>
      <c r="T613" s="117"/>
      <c r="V613" s="117"/>
      <c r="X613" s="117"/>
      <c r="Y613" s="10"/>
      <c r="Z613" s="11"/>
      <c r="AA613" s="36"/>
      <c r="AB613" s="36"/>
      <c r="AC613" s="13"/>
      <c r="AD613" s="13"/>
      <c r="AE613" s="37"/>
      <c r="AF613" s="37"/>
      <c r="AG613" s="14"/>
      <c r="AH613" s="14"/>
      <c r="AI613" s="14"/>
      <c r="AZ613" s="24"/>
    </row>
    <row r="614">
      <c r="B614" s="24"/>
      <c r="E614" s="113"/>
      <c r="F614" s="266"/>
      <c r="G614" s="113"/>
      <c r="K614" s="36"/>
      <c r="L614" s="117"/>
      <c r="M614" s="128"/>
      <c r="N614" s="117"/>
      <c r="R614" s="117"/>
      <c r="T614" s="117"/>
      <c r="V614" s="117"/>
      <c r="X614" s="117"/>
      <c r="Y614" s="10"/>
      <c r="Z614" s="11"/>
      <c r="AA614" s="36"/>
      <c r="AB614" s="36"/>
      <c r="AC614" s="13"/>
      <c r="AD614" s="13"/>
      <c r="AE614" s="37"/>
      <c r="AF614" s="37"/>
      <c r="AG614" s="14"/>
      <c r="AH614" s="14"/>
      <c r="AI614" s="14"/>
      <c r="AZ614" s="24"/>
    </row>
    <row r="615">
      <c r="B615" s="24"/>
      <c r="E615" s="113"/>
      <c r="F615" s="266"/>
      <c r="G615" s="113"/>
      <c r="K615" s="36"/>
      <c r="L615" s="117"/>
      <c r="M615" s="128"/>
      <c r="N615" s="117"/>
      <c r="R615" s="117"/>
      <c r="T615" s="117"/>
      <c r="V615" s="117"/>
      <c r="X615" s="117"/>
      <c r="Y615" s="10"/>
      <c r="Z615" s="11"/>
      <c r="AA615" s="36"/>
      <c r="AB615" s="36"/>
      <c r="AC615" s="13"/>
      <c r="AD615" s="13"/>
      <c r="AE615" s="37"/>
      <c r="AF615" s="37"/>
      <c r="AG615" s="14"/>
      <c r="AH615" s="14"/>
      <c r="AI615" s="14"/>
      <c r="AZ615" s="24"/>
    </row>
    <row r="616">
      <c r="B616" s="24"/>
      <c r="E616" s="113"/>
      <c r="F616" s="266"/>
      <c r="G616" s="113"/>
      <c r="K616" s="36"/>
      <c r="L616" s="117"/>
      <c r="M616" s="128"/>
      <c r="N616" s="117"/>
      <c r="R616" s="117"/>
      <c r="T616" s="117"/>
      <c r="V616" s="117"/>
      <c r="X616" s="117"/>
      <c r="Y616" s="10"/>
      <c r="Z616" s="11"/>
      <c r="AA616" s="36"/>
      <c r="AB616" s="36"/>
      <c r="AC616" s="13"/>
      <c r="AD616" s="13"/>
      <c r="AE616" s="37"/>
      <c r="AF616" s="37"/>
      <c r="AG616" s="14"/>
      <c r="AH616" s="14"/>
      <c r="AI616" s="14"/>
      <c r="AZ616" s="24"/>
    </row>
    <row r="617">
      <c r="B617" s="24"/>
      <c r="E617" s="113"/>
      <c r="F617" s="266"/>
      <c r="G617" s="113"/>
      <c r="K617" s="36"/>
      <c r="L617" s="117"/>
      <c r="M617" s="128"/>
      <c r="N617" s="117"/>
      <c r="R617" s="117"/>
      <c r="T617" s="117"/>
      <c r="V617" s="117"/>
      <c r="X617" s="117"/>
      <c r="Y617" s="10"/>
      <c r="Z617" s="11"/>
      <c r="AA617" s="36"/>
      <c r="AB617" s="36"/>
      <c r="AC617" s="13"/>
      <c r="AD617" s="13"/>
      <c r="AE617" s="37"/>
      <c r="AF617" s="37"/>
      <c r="AG617" s="14"/>
      <c r="AH617" s="14"/>
      <c r="AI617" s="14"/>
      <c r="AZ617" s="24"/>
    </row>
    <row r="618">
      <c r="B618" s="24"/>
      <c r="E618" s="113"/>
      <c r="F618" s="266"/>
      <c r="G618" s="113"/>
      <c r="K618" s="36"/>
      <c r="L618" s="117"/>
      <c r="M618" s="128"/>
      <c r="N618" s="117"/>
      <c r="R618" s="117"/>
      <c r="T618" s="117"/>
      <c r="V618" s="117"/>
      <c r="X618" s="117"/>
      <c r="Y618" s="10"/>
      <c r="Z618" s="11"/>
      <c r="AA618" s="36"/>
      <c r="AB618" s="36"/>
      <c r="AC618" s="13"/>
      <c r="AD618" s="13"/>
      <c r="AE618" s="37"/>
      <c r="AF618" s="37"/>
      <c r="AG618" s="14"/>
      <c r="AH618" s="14"/>
      <c r="AI618" s="14"/>
      <c r="AZ618" s="24"/>
    </row>
    <row r="619">
      <c r="B619" s="24"/>
      <c r="E619" s="113"/>
      <c r="F619" s="266"/>
      <c r="G619" s="113"/>
      <c r="K619" s="36"/>
      <c r="L619" s="117"/>
      <c r="M619" s="128"/>
      <c r="N619" s="117"/>
      <c r="R619" s="117"/>
      <c r="T619" s="117"/>
      <c r="V619" s="117"/>
      <c r="X619" s="117"/>
      <c r="Y619" s="10"/>
      <c r="Z619" s="11"/>
      <c r="AA619" s="36"/>
      <c r="AB619" s="36"/>
      <c r="AC619" s="13"/>
      <c r="AD619" s="13"/>
      <c r="AE619" s="37"/>
      <c r="AF619" s="37"/>
      <c r="AG619" s="14"/>
      <c r="AH619" s="14"/>
      <c r="AI619" s="14"/>
      <c r="AZ619" s="24"/>
    </row>
    <row r="620">
      <c r="B620" s="24"/>
      <c r="E620" s="113"/>
      <c r="F620" s="266"/>
      <c r="G620" s="113"/>
      <c r="K620" s="36"/>
      <c r="L620" s="117"/>
      <c r="M620" s="128"/>
      <c r="N620" s="117"/>
      <c r="R620" s="117"/>
      <c r="T620" s="117"/>
      <c r="V620" s="117"/>
      <c r="X620" s="117"/>
      <c r="Y620" s="10"/>
      <c r="Z620" s="11"/>
      <c r="AA620" s="36"/>
      <c r="AB620" s="36"/>
      <c r="AC620" s="13"/>
      <c r="AD620" s="13"/>
      <c r="AE620" s="37"/>
      <c r="AF620" s="37"/>
      <c r="AG620" s="14"/>
      <c r="AH620" s="14"/>
      <c r="AI620" s="14"/>
      <c r="AZ620" s="24"/>
    </row>
    <row r="621">
      <c r="B621" s="24"/>
      <c r="E621" s="113"/>
      <c r="F621" s="266"/>
      <c r="G621" s="113"/>
      <c r="K621" s="36"/>
      <c r="L621" s="117"/>
      <c r="M621" s="128"/>
      <c r="N621" s="117"/>
      <c r="R621" s="117"/>
      <c r="T621" s="117"/>
      <c r="V621" s="117"/>
      <c r="X621" s="117"/>
      <c r="Y621" s="10"/>
      <c r="Z621" s="11"/>
      <c r="AA621" s="36"/>
      <c r="AB621" s="36"/>
      <c r="AC621" s="13"/>
      <c r="AD621" s="13"/>
      <c r="AE621" s="37"/>
      <c r="AF621" s="37"/>
      <c r="AG621" s="14"/>
      <c r="AH621" s="14"/>
      <c r="AI621" s="14"/>
      <c r="AZ621" s="24"/>
    </row>
    <row r="622">
      <c r="B622" s="24"/>
      <c r="E622" s="113"/>
      <c r="F622" s="266"/>
      <c r="G622" s="113"/>
      <c r="K622" s="36"/>
      <c r="L622" s="117"/>
      <c r="M622" s="128"/>
      <c r="N622" s="117"/>
      <c r="R622" s="117"/>
      <c r="T622" s="117"/>
      <c r="V622" s="117"/>
      <c r="X622" s="117"/>
      <c r="Y622" s="10"/>
      <c r="Z622" s="11"/>
      <c r="AA622" s="36"/>
      <c r="AB622" s="36"/>
      <c r="AC622" s="13"/>
      <c r="AD622" s="13"/>
      <c r="AE622" s="37"/>
      <c r="AF622" s="37"/>
      <c r="AG622" s="14"/>
      <c r="AH622" s="14"/>
      <c r="AI622" s="14"/>
      <c r="AZ622" s="24"/>
    </row>
    <row r="623">
      <c r="B623" s="24"/>
      <c r="E623" s="113"/>
      <c r="F623" s="266"/>
      <c r="G623" s="113"/>
      <c r="K623" s="36"/>
      <c r="L623" s="117"/>
      <c r="M623" s="128"/>
      <c r="N623" s="117"/>
      <c r="R623" s="117"/>
      <c r="T623" s="117"/>
      <c r="V623" s="117"/>
      <c r="X623" s="117"/>
      <c r="Y623" s="10"/>
      <c r="Z623" s="11"/>
      <c r="AA623" s="36"/>
      <c r="AB623" s="36"/>
      <c r="AC623" s="13"/>
      <c r="AD623" s="13"/>
      <c r="AE623" s="37"/>
      <c r="AF623" s="37"/>
      <c r="AG623" s="14"/>
      <c r="AH623" s="14"/>
      <c r="AI623" s="14"/>
      <c r="AZ623" s="24"/>
    </row>
    <row r="624">
      <c r="B624" s="24"/>
      <c r="E624" s="113"/>
      <c r="F624" s="266"/>
      <c r="G624" s="113"/>
      <c r="K624" s="36"/>
      <c r="L624" s="117"/>
      <c r="M624" s="128"/>
      <c r="N624" s="117"/>
      <c r="R624" s="117"/>
      <c r="T624" s="117"/>
      <c r="V624" s="117"/>
      <c r="X624" s="117"/>
      <c r="Y624" s="10"/>
      <c r="Z624" s="11"/>
      <c r="AA624" s="36"/>
      <c r="AB624" s="36"/>
      <c r="AC624" s="13"/>
      <c r="AD624" s="13"/>
      <c r="AE624" s="37"/>
      <c r="AF624" s="37"/>
      <c r="AG624" s="14"/>
      <c r="AH624" s="14"/>
      <c r="AI624" s="14"/>
      <c r="AZ624" s="24"/>
    </row>
    <row r="625">
      <c r="B625" s="24"/>
      <c r="E625" s="113"/>
      <c r="F625" s="266"/>
      <c r="G625" s="113"/>
      <c r="K625" s="36"/>
      <c r="L625" s="117"/>
      <c r="M625" s="128"/>
      <c r="N625" s="117"/>
      <c r="R625" s="117"/>
      <c r="T625" s="117"/>
      <c r="V625" s="117"/>
      <c r="X625" s="117"/>
      <c r="Y625" s="10"/>
      <c r="Z625" s="11"/>
      <c r="AA625" s="36"/>
      <c r="AB625" s="36"/>
      <c r="AC625" s="13"/>
      <c r="AD625" s="13"/>
      <c r="AE625" s="37"/>
      <c r="AF625" s="37"/>
      <c r="AG625" s="14"/>
      <c r="AH625" s="14"/>
      <c r="AI625" s="14"/>
      <c r="AZ625" s="24"/>
    </row>
    <row r="626">
      <c r="B626" s="24"/>
      <c r="E626" s="113"/>
      <c r="F626" s="266"/>
      <c r="G626" s="113"/>
      <c r="K626" s="36"/>
      <c r="L626" s="117"/>
      <c r="M626" s="128"/>
      <c r="N626" s="117"/>
      <c r="R626" s="117"/>
      <c r="T626" s="117"/>
      <c r="V626" s="117"/>
      <c r="X626" s="117"/>
      <c r="Y626" s="10"/>
      <c r="Z626" s="11"/>
      <c r="AA626" s="36"/>
      <c r="AB626" s="36"/>
      <c r="AC626" s="13"/>
      <c r="AD626" s="13"/>
      <c r="AE626" s="37"/>
      <c r="AF626" s="37"/>
      <c r="AG626" s="14"/>
      <c r="AH626" s="14"/>
      <c r="AI626" s="14"/>
      <c r="AZ626" s="24"/>
    </row>
    <row r="627">
      <c r="B627" s="24"/>
      <c r="E627" s="113"/>
      <c r="F627" s="266"/>
      <c r="G627" s="113"/>
      <c r="K627" s="36"/>
      <c r="L627" s="117"/>
      <c r="M627" s="128"/>
      <c r="N627" s="117"/>
      <c r="R627" s="117"/>
      <c r="T627" s="117"/>
      <c r="V627" s="117"/>
      <c r="X627" s="117"/>
      <c r="Y627" s="10"/>
      <c r="Z627" s="11"/>
      <c r="AA627" s="36"/>
      <c r="AB627" s="36"/>
      <c r="AC627" s="13"/>
      <c r="AD627" s="13"/>
      <c r="AE627" s="37"/>
      <c r="AF627" s="37"/>
      <c r="AG627" s="14"/>
      <c r="AH627" s="14"/>
      <c r="AI627" s="14"/>
      <c r="AZ627" s="24"/>
    </row>
    <row r="628">
      <c r="B628" s="24"/>
      <c r="E628" s="113"/>
      <c r="F628" s="266"/>
      <c r="G628" s="113"/>
      <c r="K628" s="36"/>
      <c r="L628" s="117"/>
      <c r="M628" s="128"/>
      <c r="N628" s="117"/>
      <c r="R628" s="117"/>
      <c r="T628" s="117"/>
      <c r="V628" s="117"/>
      <c r="X628" s="117"/>
      <c r="Y628" s="10"/>
      <c r="Z628" s="11"/>
      <c r="AA628" s="36"/>
      <c r="AB628" s="36"/>
      <c r="AC628" s="13"/>
      <c r="AD628" s="13"/>
      <c r="AE628" s="37"/>
      <c r="AF628" s="37"/>
      <c r="AG628" s="14"/>
      <c r="AH628" s="14"/>
      <c r="AI628" s="14"/>
      <c r="AZ628" s="24"/>
    </row>
    <row r="629">
      <c r="B629" s="24"/>
      <c r="E629" s="113"/>
      <c r="F629" s="266"/>
      <c r="G629" s="113"/>
      <c r="K629" s="36"/>
      <c r="L629" s="117"/>
      <c r="M629" s="128"/>
      <c r="N629" s="117"/>
      <c r="R629" s="117"/>
      <c r="T629" s="117"/>
      <c r="V629" s="117"/>
      <c r="X629" s="117"/>
      <c r="Y629" s="10"/>
      <c r="Z629" s="11"/>
      <c r="AA629" s="36"/>
      <c r="AB629" s="36"/>
      <c r="AC629" s="13"/>
      <c r="AD629" s="13"/>
      <c r="AE629" s="37"/>
      <c r="AF629" s="37"/>
      <c r="AG629" s="14"/>
      <c r="AH629" s="14"/>
      <c r="AI629" s="14"/>
      <c r="AZ629" s="24"/>
    </row>
    <row r="630">
      <c r="B630" s="24"/>
      <c r="E630" s="113"/>
      <c r="F630" s="266"/>
      <c r="G630" s="113"/>
      <c r="K630" s="36"/>
      <c r="L630" s="117"/>
      <c r="M630" s="128"/>
      <c r="N630" s="117"/>
      <c r="R630" s="117"/>
      <c r="T630" s="117"/>
      <c r="V630" s="117"/>
      <c r="X630" s="117"/>
      <c r="Y630" s="10"/>
      <c r="Z630" s="11"/>
      <c r="AA630" s="36"/>
      <c r="AB630" s="36"/>
      <c r="AC630" s="13"/>
      <c r="AD630" s="13"/>
      <c r="AE630" s="37"/>
      <c r="AF630" s="37"/>
      <c r="AG630" s="14"/>
      <c r="AH630" s="14"/>
      <c r="AI630" s="14"/>
      <c r="AZ630" s="24"/>
    </row>
    <row r="631">
      <c r="B631" s="24"/>
      <c r="E631" s="113"/>
      <c r="F631" s="266"/>
      <c r="G631" s="113"/>
      <c r="K631" s="36"/>
      <c r="L631" s="117"/>
      <c r="M631" s="128"/>
      <c r="N631" s="117"/>
      <c r="R631" s="117"/>
      <c r="T631" s="117"/>
      <c r="V631" s="117"/>
      <c r="X631" s="117"/>
      <c r="Y631" s="10"/>
      <c r="Z631" s="11"/>
      <c r="AA631" s="36"/>
      <c r="AB631" s="36"/>
      <c r="AC631" s="13"/>
      <c r="AD631" s="13"/>
      <c r="AE631" s="37"/>
      <c r="AF631" s="37"/>
      <c r="AG631" s="14"/>
      <c r="AH631" s="14"/>
      <c r="AI631" s="14"/>
      <c r="AZ631" s="24"/>
    </row>
    <row r="632">
      <c r="B632" s="24"/>
      <c r="E632" s="113"/>
      <c r="F632" s="266"/>
      <c r="G632" s="113"/>
      <c r="K632" s="36"/>
      <c r="L632" s="117"/>
      <c r="M632" s="128"/>
      <c r="N632" s="117"/>
      <c r="R632" s="117"/>
      <c r="T632" s="117"/>
      <c r="V632" s="117"/>
      <c r="X632" s="117"/>
      <c r="Y632" s="10"/>
      <c r="Z632" s="11"/>
      <c r="AA632" s="36"/>
      <c r="AB632" s="36"/>
      <c r="AC632" s="13"/>
      <c r="AD632" s="13"/>
      <c r="AE632" s="37"/>
      <c r="AF632" s="37"/>
      <c r="AG632" s="14"/>
      <c r="AH632" s="14"/>
      <c r="AI632" s="14"/>
      <c r="AZ632" s="24"/>
    </row>
    <row r="633">
      <c r="B633" s="24"/>
      <c r="E633" s="113"/>
      <c r="F633" s="266"/>
      <c r="G633" s="113"/>
      <c r="K633" s="36"/>
      <c r="L633" s="117"/>
      <c r="M633" s="128"/>
      <c r="N633" s="117"/>
      <c r="R633" s="117"/>
      <c r="T633" s="117"/>
      <c r="V633" s="117"/>
      <c r="X633" s="117"/>
      <c r="Y633" s="10"/>
      <c r="Z633" s="11"/>
      <c r="AA633" s="36"/>
      <c r="AB633" s="36"/>
      <c r="AC633" s="13"/>
      <c r="AD633" s="13"/>
      <c r="AE633" s="37"/>
      <c r="AF633" s="37"/>
      <c r="AG633" s="14"/>
      <c r="AH633" s="14"/>
      <c r="AI633" s="14"/>
      <c r="AZ633" s="24"/>
    </row>
    <row r="634">
      <c r="B634" s="24"/>
      <c r="E634" s="113"/>
      <c r="F634" s="266"/>
      <c r="G634" s="113"/>
      <c r="K634" s="36"/>
      <c r="L634" s="117"/>
      <c r="M634" s="128"/>
      <c r="N634" s="117"/>
      <c r="R634" s="117"/>
      <c r="T634" s="117"/>
      <c r="V634" s="117"/>
      <c r="X634" s="117"/>
      <c r="Y634" s="10"/>
      <c r="Z634" s="11"/>
      <c r="AA634" s="36"/>
      <c r="AB634" s="36"/>
      <c r="AC634" s="13"/>
      <c r="AD634" s="13"/>
      <c r="AE634" s="37"/>
      <c r="AF634" s="37"/>
      <c r="AG634" s="14"/>
      <c r="AH634" s="14"/>
      <c r="AI634" s="14"/>
      <c r="AZ634" s="24"/>
    </row>
    <row r="635">
      <c r="B635" s="24"/>
      <c r="E635" s="113"/>
      <c r="F635" s="266"/>
      <c r="G635" s="113"/>
      <c r="K635" s="36"/>
      <c r="L635" s="117"/>
      <c r="M635" s="128"/>
      <c r="N635" s="117"/>
      <c r="R635" s="117"/>
      <c r="T635" s="117"/>
      <c r="V635" s="117"/>
      <c r="X635" s="117"/>
      <c r="Y635" s="10"/>
      <c r="Z635" s="11"/>
      <c r="AA635" s="36"/>
      <c r="AB635" s="36"/>
      <c r="AC635" s="13"/>
      <c r="AD635" s="13"/>
      <c r="AE635" s="37"/>
      <c r="AF635" s="37"/>
      <c r="AG635" s="14"/>
      <c r="AH635" s="14"/>
      <c r="AI635" s="14"/>
      <c r="AZ635" s="24"/>
    </row>
    <row r="636">
      <c r="B636" s="24"/>
      <c r="E636" s="113"/>
      <c r="F636" s="266"/>
      <c r="G636" s="113"/>
      <c r="K636" s="36"/>
      <c r="L636" s="117"/>
      <c r="M636" s="128"/>
      <c r="N636" s="117"/>
      <c r="R636" s="117"/>
      <c r="T636" s="117"/>
      <c r="V636" s="117"/>
      <c r="X636" s="117"/>
      <c r="Y636" s="10"/>
      <c r="Z636" s="11"/>
      <c r="AA636" s="36"/>
      <c r="AB636" s="36"/>
      <c r="AC636" s="13"/>
      <c r="AD636" s="13"/>
      <c r="AE636" s="37"/>
      <c r="AF636" s="37"/>
      <c r="AG636" s="14"/>
      <c r="AH636" s="14"/>
      <c r="AI636" s="14"/>
      <c r="AZ636" s="24"/>
    </row>
    <row r="637">
      <c r="B637" s="24"/>
      <c r="E637" s="113"/>
      <c r="F637" s="266"/>
      <c r="G637" s="113"/>
      <c r="K637" s="36"/>
      <c r="L637" s="117"/>
      <c r="M637" s="128"/>
      <c r="N637" s="117"/>
      <c r="R637" s="117"/>
      <c r="T637" s="117"/>
      <c r="V637" s="117"/>
      <c r="X637" s="117"/>
      <c r="Y637" s="10"/>
      <c r="Z637" s="11"/>
      <c r="AA637" s="36"/>
      <c r="AB637" s="36"/>
      <c r="AC637" s="13"/>
      <c r="AD637" s="13"/>
      <c r="AE637" s="37"/>
      <c r="AF637" s="37"/>
      <c r="AG637" s="14"/>
      <c r="AH637" s="14"/>
      <c r="AI637" s="14"/>
      <c r="AZ637" s="24"/>
    </row>
    <row r="638">
      <c r="B638" s="24"/>
      <c r="E638" s="113"/>
      <c r="F638" s="266"/>
      <c r="G638" s="113"/>
      <c r="K638" s="36"/>
      <c r="L638" s="117"/>
      <c r="M638" s="128"/>
      <c r="N638" s="117"/>
      <c r="R638" s="117"/>
      <c r="T638" s="117"/>
      <c r="V638" s="117"/>
      <c r="X638" s="117"/>
      <c r="Y638" s="10"/>
      <c r="Z638" s="11"/>
      <c r="AA638" s="36"/>
      <c r="AB638" s="36"/>
      <c r="AC638" s="13"/>
      <c r="AD638" s="13"/>
      <c r="AE638" s="37"/>
      <c r="AF638" s="37"/>
      <c r="AG638" s="14"/>
      <c r="AH638" s="14"/>
      <c r="AI638" s="14"/>
      <c r="AZ638" s="24"/>
    </row>
    <row r="639">
      <c r="B639" s="24"/>
      <c r="E639" s="113"/>
      <c r="F639" s="266"/>
      <c r="G639" s="113"/>
      <c r="K639" s="36"/>
      <c r="L639" s="117"/>
      <c r="M639" s="128"/>
      <c r="N639" s="117"/>
      <c r="R639" s="117"/>
      <c r="T639" s="117"/>
      <c r="V639" s="117"/>
      <c r="X639" s="117"/>
      <c r="Y639" s="10"/>
      <c r="Z639" s="11"/>
      <c r="AA639" s="36"/>
      <c r="AB639" s="36"/>
      <c r="AC639" s="13"/>
      <c r="AD639" s="13"/>
      <c r="AE639" s="37"/>
      <c r="AF639" s="37"/>
      <c r="AG639" s="14"/>
      <c r="AH639" s="14"/>
      <c r="AI639" s="14"/>
      <c r="AZ639" s="24"/>
    </row>
    <row r="640">
      <c r="B640" s="24"/>
      <c r="E640" s="113"/>
      <c r="F640" s="266"/>
      <c r="G640" s="113"/>
      <c r="K640" s="36"/>
      <c r="L640" s="117"/>
      <c r="M640" s="128"/>
      <c r="N640" s="117"/>
      <c r="R640" s="117"/>
      <c r="T640" s="117"/>
      <c r="V640" s="117"/>
      <c r="X640" s="117"/>
      <c r="Y640" s="10"/>
      <c r="Z640" s="11"/>
      <c r="AA640" s="36"/>
      <c r="AB640" s="36"/>
      <c r="AC640" s="13"/>
      <c r="AD640" s="13"/>
      <c r="AE640" s="37"/>
      <c r="AF640" s="37"/>
      <c r="AG640" s="14"/>
      <c r="AH640" s="14"/>
      <c r="AI640" s="14"/>
      <c r="AZ640" s="24"/>
    </row>
    <row r="641">
      <c r="B641" s="24"/>
      <c r="E641" s="113"/>
      <c r="F641" s="266"/>
      <c r="G641" s="113"/>
      <c r="K641" s="36"/>
      <c r="L641" s="117"/>
      <c r="M641" s="128"/>
      <c r="N641" s="117"/>
      <c r="R641" s="117"/>
      <c r="T641" s="117"/>
      <c r="V641" s="117"/>
      <c r="X641" s="117"/>
      <c r="Y641" s="10"/>
      <c r="Z641" s="11"/>
      <c r="AA641" s="36"/>
      <c r="AB641" s="36"/>
      <c r="AC641" s="13"/>
      <c r="AD641" s="13"/>
      <c r="AE641" s="37"/>
      <c r="AF641" s="37"/>
      <c r="AG641" s="14"/>
      <c r="AH641" s="14"/>
      <c r="AI641" s="14"/>
      <c r="AZ641" s="24"/>
    </row>
    <row r="642">
      <c r="B642" s="24"/>
      <c r="E642" s="113"/>
      <c r="F642" s="266"/>
      <c r="G642" s="113"/>
      <c r="K642" s="36"/>
      <c r="L642" s="117"/>
      <c r="M642" s="128"/>
      <c r="N642" s="117"/>
      <c r="R642" s="117"/>
      <c r="T642" s="117"/>
      <c r="V642" s="117"/>
      <c r="X642" s="117"/>
      <c r="Y642" s="10"/>
      <c r="Z642" s="11"/>
      <c r="AA642" s="36"/>
      <c r="AB642" s="36"/>
      <c r="AC642" s="13"/>
      <c r="AD642" s="13"/>
      <c r="AE642" s="37"/>
      <c r="AF642" s="37"/>
      <c r="AG642" s="14"/>
      <c r="AH642" s="14"/>
      <c r="AI642" s="14"/>
      <c r="AZ642" s="24"/>
    </row>
    <row r="643">
      <c r="B643" s="24"/>
      <c r="E643" s="113"/>
      <c r="F643" s="266"/>
      <c r="G643" s="113"/>
      <c r="K643" s="36"/>
      <c r="L643" s="117"/>
      <c r="M643" s="128"/>
      <c r="N643" s="117"/>
      <c r="R643" s="117"/>
      <c r="T643" s="117"/>
      <c r="V643" s="117"/>
      <c r="X643" s="117"/>
      <c r="Y643" s="10"/>
      <c r="Z643" s="11"/>
      <c r="AA643" s="36"/>
      <c r="AB643" s="36"/>
      <c r="AC643" s="13"/>
      <c r="AD643" s="13"/>
      <c r="AE643" s="37"/>
      <c r="AF643" s="37"/>
      <c r="AG643" s="14"/>
      <c r="AH643" s="14"/>
      <c r="AI643" s="14"/>
      <c r="AZ643" s="24"/>
    </row>
    <row r="644">
      <c r="B644" s="24"/>
      <c r="E644" s="113"/>
      <c r="F644" s="266"/>
      <c r="G644" s="113"/>
      <c r="K644" s="36"/>
      <c r="L644" s="117"/>
      <c r="M644" s="128"/>
      <c r="N644" s="117"/>
      <c r="R644" s="117"/>
      <c r="T644" s="117"/>
      <c r="V644" s="117"/>
      <c r="X644" s="117"/>
      <c r="Y644" s="10"/>
      <c r="Z644" s="11"/>
      <c r="AA644" s="36"/>
      <c r="AB644" s="36"/>
      <c r="AC644" s="13"/>
      <c r="AD644" s="13"/>
      <c r="AE644" s="37"/>
      <c r="AF644" s="37"/>
      <c r="AG644" s="14"/>
      <c r="AH644" s="14"/>
      <c r="AI644" s="14"/>
      <c r="AZ644" s="24"/>
    </row>
    <row r="645">
      <c r="B645" s="24"/>
      <c r="E645" s="113"/>
      <c r="F645" s="266"/>
      <c r="G645" s="113"/>
      <c r="K645" s="36"/>
      <c r="L645" s="117"/>
      <c r="M645" s="128"/>
      <c r="N645" s="117"/>
      <c r="R645" s="117"/>
      <c r="T645" s="117"/>
      <c r="V645" s="117"/>
      <c r="X645" s="117"/>
      <c r="Y645" s="10"/>
      <c r="Z645" s="11"/>
      <c r="AA645" s="36"/>
      <c r="AB645" s="36"/>
      <c r="AC645" s="13"/>
      <c r="AD645" s="13"/>
      <c r="AE645" s="37"/>
      <c r="AF645" s="37"/>
      <c r="AG645" s="14"/>
      <c r="AH645" s="14"/>
      <c r="AI645" s="14"/>
      <c r="AZ645" s="24"/>
    </row>
    <row r="646">
      <c r="B646" s="24"/>
      <c r="E646" s="113"/>
      <c r="F646" s="266"/>
      <c r="G646" s="113"/>
      <c r="K646" s="36"/>
      <c r="L646" s="117"/>
      <c r="M646" s="128"/>
      <c r="N646" s="117"/>
      <c r="R646" s="117"/>
      <c r="T646" s="117"/>
      <c r="V646" s="117"/>
      <c r="X646" s="117"/>
      <c r="Y646" s="10"/>
      <c r="Z646" s="11"/>
      <c r="AA646" s="36"/>
      <c r="AB646" s="36"/>
      <c r="AC646" s="13"/>
      <c r="AD646" s="13"/>
      <c r="AE646" s="37"/>
      <c r="AF646" s="37"/>
      <c r="AG646" s="14"/>
      <c r="AH646" s="14"/>
      <c r="AI646" s="14"/>
      <c r="AZ646" s="24"/>
    </row>
    <row r="647">
      <c r="B647" s="24"/>
      <c r="E647" s="113"/>
      <c r="F647" s="266"/>
      <c r="G647" s="113"/>
      <c r="K647" s="36"/>
      <c r="L647" s="117"/>
      <c r="M647" s="128"/>
      <c r="N647" s="117"/>
      <c r="R647" s="117"/>
      <c r="T647" s="117"/>
      <c r="V647" s="117"/>
      <c r="X647" s="117"/>
      <c r="Y647" s="10"/>
      <c r="Z647" s="11"/>
      <c r="AA647" s="36"/>
      <c r="AB647" s="36"/>
      <c r="AC647" s="13"/>
      <c r="AD647" s="13"/>
      <c r="AE647" s="37"/>
      <c r="AF647" s="37"/>
      <c r="AG647" s="14"/>
      <c r="AH647" s="14"/>
      <c r="AI647" s="14"/>
      <c r="AZ647" s="24"/>
    </row>
    <row r="648">
      <c r="B648" s="24"/>
      <c r="E648" s="113"/>
      <c r="F648" s="266"/>
      <c r="G648" s="113"/>
      <c r="K648" s="36"/>
      <c r="L648" s="117"/>
      <c r="M648" s="128"/>
      <c r="N648" s="117"/>
      <c r="R648" s="117"/>
      <c r="T648" s="117"/>
      <c r="V648" s="117"/>
      <c r="X648" s="117"/>
      <c r="Y648" s="10"/>
      <c r="Z648" s="11"/>
      <c r="AA648" s="36"/>
      <c r="AB648" s="36"/>
      <c r="AC648" s="13"/>
      <c r="AD648" s="13"/>
      <c r="AE648" s="37"/>
      <c r="AF648" s="37"/>
      <c r="AG648" s="14"/>
      <c r="AH648" s="14"/>
      <c r="AI648" s="14"/>
      <c r="AZ648" s="24"/>
    </row>
    <row r="649">
      <c r="B649" s="24"/>
      <c r="E649" s="113"/>
      <c r="F649" s="266"/>
      <c r="G649" s="113"/>
      <c r="K649" s="36"/>
      <c r="L649" s="117"/>
      <c r="M649" s="128"/>
      <c r="N649" s="117"/>
      <c r="R649" s="117"/>
      <c r="T649" s="117"/>
      <c r="V649" s="117"/>
      <c r="X649" s="117"/>
      <c r="Y649" s="10"/>
      <c r="Z649" s="11"/>
      <c r="AA649" s="36"/>
      <c r="AB649" s="36"/>
      <c r="AC649" s="13"/>
      <c r="AD649" s="13"/>
      <c r="AE649" s="37"/>
      <c r="AF649" s="37"/>
      <c r="AG649" s="14"/>
      <c r="AH649" s="14"/>
      <c r="AI649" s="14"/>
      <c r="AZ649" s="24"/>
    </row>
    <row r="650">
      <c r="B650" s="24"/>
      <c r="E650" s="113"/>
      <c r="F650" s="266"/>
      <c r="G650" s="113"/>
      <c r="K650" s="36"/>
      <c r="L650" s="117"/>
      <c r="M650" s="128"/>
      <c r="N650" s="117"/>
      <c r="R650" s="117"/>
      <c r="T650" s="117"/>
      <c r="V650" s="117"/>
      <c r="X650" s="117"/>
      <c r="Y650" s="10"/>
      <c r="Z650" s="11"/>
      <c r="AA650" s="36"/>
      <c r="AB650" s="36"/>
      <c r="AC650" s="13"/>
      <c r="AD650" s="13"/>
      <c r="AE650" s="37"/>
      <c r="AF650" s="37"/>
      <c r="AG650" s="14"/>
      <c r="AH650" s="14"/>
      <c r="AI650" s="14"/>
      <c r="AZ650" s="24"/>
    </row>
    <row r="651">
      <c r="B651" s="24"/>
      <c r="E651" s="113"/>
      <c r="F651" s="266"/>
      <c r="G651" s="113"/>
      <c r="K651" s="36"/>
      <c r="L651" s="117"/>
      <c r="M651" s="128"/>
      <c r="N651" s="117"/>
      <c r="R651" s="117"/>
      <c r="T651" s="117"/>
      <c r="V651" s="117"/>
      <c r="X651" s="117"/>
      <c r="Y651" s="10"/>
      <c r="Z651" s="11"/>
      <c r="AA651" s="36"/>
      <c r="AB651" s="36"/>
      <c r="AC651" s="13"/>
      <c r="AD651" s="13"/>
      <c r="AE651" s="37"/>
      <c r="AF651" s="37"/>
      <c r="AG651" s="14"/>
      <c r="AH651" s="14"/>
      <c r="AI651" s="14"/>
      <c r="AZ651" s="24"/>
    </row>
    <row r="652">
      <c r="B652" s="24"/>
      <c r="E652" s="113"/>
      <c r="F652" s="266"/>
      <c r="G652" s="113"/>
      <c r="K652" s="36"/>
      <c r="L652" s="117"/>
      <c r="M652" s="128"/>
      <c r="N652" s="117"/>
      <c r="R652" s="117"/>
      <c r="T652" s="117"/>
      <c r="V652" s="117"/>
      <c r="X652" s="117"/>
      <c r="Y652" s="10"/>
      <c r="Z652" s="11"/>
      <c r="AA652" s="36"/>
      <c r="AB652" s="36"/>
      <c r="AC652" s="13"/>
      <c r="AD652" s="13"/>
      <c r="AE652" s="37"/>
      <c r="AF652" s="37"/>
      <c r="AG652" s="14"/>
      <c r="AH652" s="14"/>
      <c r="AI652" s="14"/>
      <c r="AZ652" s="24"/>
    </row>
    <row r="653">
      <c r="B653" s="24"/>
      <c r="E653" s="113"/>
      <c r="F653" s="266"/>
      <c r="G653" s="113"/>
      <c r="K653" s="36"/>
      <c r="L653" s="117"/>
      <c r="M653" s="128"/>
      <c r="N653" s="117"/>
      <c r="R653" s="117"/>
      <c r="T653" s="117"/>
      <c r="V653" s="117"/>
      <c r="X653" s="117"/>
      <c r="Y653" s="10"/>
      <c r="Z653" s="11"/>
      <c r="AA653" s="36"/>
      <c r="AB653" s="36"/>
      <c r="AC653" s="13"/>
      <c r="AD653" s="13"/>
      <c r="AE653" s="37"/>
      <c r="AF653" s="37"/>
      <c r="AG653" s="14"/>
      <c r="AH653" s="14"/>
      <c r="AI653" s="14"/>
      <c r="AZ653" s="24"/>
    </row>
    <row r="654">
      <c r="B654" s="24"/>
      <c r="E654" s="113"/>
      <c r="F654" s="266"/>
      <c r="G654" s="113"/>
      <c r="K654" s="36"/>
      <c r="L654" s="117"/>
      <c r="M654" s="128"/>
      <c r="N654" s="117"/>
      <c r="R654" s="117"/>
      <c r="T654" s="117"/>
      <c r="V654" s="117"/>
      <c r="X654" s="117"/>
      <c r="Y654" s="10"/>
      <c r="Z654" s="11"/>
      <c r="AA654" s="36"/>
      <c r="AB654" s="36"/>
      <c r="AC654" s="13"/>
      <c r="AD654" s="13"/>
      <c r="AE654" s="37"/>
      <c r="AF654" s="37"/>
      <c r="AG654" s="14"/>
      <c r="AH654" s="14"/>
      <c r="AI654" s="14"/>
      <c r="AZ654" s="24"/>
    </row>
    <row r="655">
      <c r="B655" s="24"/>
      <c r="E655" s="113"/>
      <c r="F655" s="266"/>
      <c r="G655" s="113"/>
      <c r="K655" s="36"/>
      <c r="L655" s="117"/>
      <c r="M655" s="128"/>
      <c r="N655" s="117"/>
      <c r="R655" s="117"/>
      <c r="T655" s="117"/>
      <c r="V655" s="117"/>
      <c r="X655" s="117"/>
      <c r="Y655" s="10"/>
      <c r="Z655" s="11"/>
      <c r="AA655" s="36"/>
      <c r="AB655" s="36"/>
      <c r="AC655" s="13"/>
      <c r="AD655" s="13"/>
      <c r="AE655" s="37"/>
      <c r="AF655" s="37"/>
      <c r="AG655" s="14"/>
      <c r="AH655" s="14"/>
      <c r="AI655" s="14"/>
      <c r="AZ655" s="24"/>
    </row>
    <row r="656">
      <c r="B656" s="24"/>
      <c r="E656" s="113"/>
      <c r="F656" s="266"/>
      <c r="G656" s="113"/>
      <c r="K656" s="36"/>
      <c r="L656" s="117"/>
      <c r="M656" s="128"/>
      <c r="N656" s="117"/>
      <c r="R656" s="117"/>
      <c r="T656" s="117"/>
      <c r="V656" s="117"/>
      <c r="X656" s="117"/>
      <c r="Y656" s="10"/>
      <c r="Z656" s="11"/>
      <c r="AA656" s="36"/>
      <c r="AB656" s="36"/>
      <c r="AC656" s="13"/>
      <c r="AD656" s="13"/>
      <c r="AE656" s="37"/>
      <c r="AF656" s="37"/>
      <c r="AG656" s="14"/>
      <c r="AH656" s="14"/>
      <c r="AI656" s="14"/>
      <c r="AZ656" s="24"/>
    </row>
    <row r="657">
      <c r="B657" s="24"/>
      <c r="E657" s="113"/>
      <c r="F657" s="266"/>
      <c r="G657" s="113"/>
      <c r="K657" s="36"/>
      <c r="L657" s="117"/>
      <c r="M657" s="128"/>
      <c r="N657" s="117"/>
      <c r="R657" s="117"/>
      <c r="T657" s="117"/>
      <c r="V657" s="117"/>
      <c r="X657" s="117"/>
      <c r="Y657" s="10"/>
      <c r="Z657" s="11"/>
      <c r="AA657" s="36"/>
      <c r="AB657" s="36"/>
      <c r="AC657" s="13"/>
      <c r="AD657" s="13"/>
      <c r="AE657" s="37"/>
      <c r="AF657" s="37"/>
      <c r="AG657" s="14"/>
      <c r="AH657" s="14"/>
      <c r="AI657" s="14"/>
      <c r="AZ657" s="24"/>
    </row>
    <row r="658">
      <c r="B658" s="24"/>
      <c r="E658" s="113"/>
      <c r="F658" s="266"/>
      <c r="G658" s="113"/>
      <c r="K658" s="36"/>
      <c r="L658" s="117"/>
      <c r="M658" s="128"/>
      <c r="N658" s="117"/>
      <c r="R658" s="117"/>
      <c r="T658" s="117"/>
      <c r="V658" s="117"/>
      <c r="X658" s="117"/>
      <c r="Y658" s="10"/>
      <c r="Z658" s="11"/>
      <c r="AA658" s="36"/>
      <c r="AB658" s="36"/>
      <c r="AC658" s="13"/>
      <c r="AD658" s="13"/>
      <c r="AE658" s="37"/>
      <c r="AF658" s="37"/>
      <c r="AG658" s="14"/>
      <c r="AH658" s="14"/>
      <c r="AI658" s="14"/>
      <c r="AZ658" s="24"/>
    </row>
    <row r="659">
      <c r="B659" s="24"/>
      <c r="E659" s="113"/>
      <c r="F659" s="266"/>
      <c r="G659" s="113"/>
      <c r="K659" s="36"/>
      <c r="L659" s="117"/>
      <c r="M659" s="128"/>
      <c r="N659" s="117"/>
      <c r="R659" s="117"/>
      <c r="T659" s="117"/>
      <c r="V659" s="117"/>
      <c r="X659" s="117"/>
      <c r="Y659" s="10"/>
      <c r="Z659" s="11"/>
      <c r="AA659" s="36"/>
      <c r="AB659" s="36"/>
      <c r="AC659" s="13"/>
      <c r="AD659" s="13"/>
      <c r="AE659" s="37"/>
      <c r="AF659" s="37"/>
      <c r="AG659" s="14"/>
      <c r="AH659" s="14"/>
      <c r="AI659" s="14"/>
      <c r="AZ659" s="24"/>
    </row>
    <row r="660">
      <c r="B660" s="24"/>
      <c r="E660" s="113"/>
      <c r="F660" s="266"/>
      <c r="G660" s="113"/>
      <c r="K660" s="36"/>
      <c r="L660" s="117"/>
      <c r="M660" s="128"/>
      <c r="N660" s="117"/>
      <c r="R660" s="117"/>
      <c r="T660" s="117"/>
      <c r="V660" s="117"/>
      <c r="X660" s="117"/>
      <c r="Y660" s="10"/>
      <c r="Z660" s="11"/>
      <c r="AA660" s="36"/>
      <c r="AB660" s="36"/>
      <c r="AC660" s="13"/>
      <c r="AD660" s="13"/>
      <c r="AE660" s="37"/>
      <c r="AF660" s="37"/>
      <c r="AG660" s="14"/>
      <c r="AH660" s="14"/>
      <c r="AI660" s="14"/>
      <c r="AZ660" s="24"/>
    </row>
    <row r="661">
      <c r="B661" s="24"/>
      <c r="E661" s="113"/>
      <c r="F661" s="266"/>
      <c r="G661" s="113"/>
      <c r="K661" s="36"/>
      <c r="L661" s="117"/>
      <c r="M661" s="128"/>
      <c r="N661" s="117"/>
      <c r="R661" s="117"/>
      <c r="T661" s="117"/>
      <c r="V661" s="117"/>
      <c r="X661" s="117"/>
      <c r="Y661" s="10"/>
      <c r="Z661" s="11"/>
      <c r="AA661" s="36"/>
      <c r="AB661" s="36"/>
      <c r="AC661" s="13"/>
      <c r="AD661" s="13"/>
      <c r="AE661" s="37"/>
      <c r="AF661" s="37"/>
      <c r="AG661" s="14"/>
      <c r="AH661" s="14"/>
      <c r="AI661" s="14"/>
      <c r="AZ661" s="24"/>
    </row>
    <row r="662">
      <c r="B662" s="24"/>
      <c r="E662" s="113"/>
      <c r="F662" s="266"/>
      <c r="G662" s="113"/>
      <c r="K662" s="36"/>
      <c r="L662" s="117"/>
      <c r="M662" s="128"/>
      <c r="N662" s="117"/>
      <c r="R662" s="117"/>
      <c r="T662" s="117"/>
      <c r="V662" s="117"/>
      <c r="X662" s="117"/>
      <c r="Y662" s="10"/>
      <c r="Z662" s="11"/>
      <c r="AA662" s="36"/>
      <c r="AB662" s="36"/>
      <c r="AC662" s="13"/>
      <c r="AD662" s="13"/>
      <c r="AE662" s="37"/>
      <c r="AF662" s="37"/>
      <c r="AG662" s="14"/>
      <c r="AH662" s="14"/>
      <c r="AI662" s="14"/>
      <c r="AZ662" s="24"/>
    </row>
    <row r="663">
      <c r="B663" s="24"/>
      <c r="E663" s="113"/>
      <c r="F663" s="266"/>
      <c r="G663" s="113"/>
      <c r="K663" s="36"/>
      <c r="L663" s="117"/>
      <c r="M663" s="128"/>
      <c r="N663" s="117"/>
      <c r="R663" s="117"/>
      <c r="T663" s="117"/>
      <c r="V663" s="117"/>
      <c r="X663" s="117"/>
      <c r="Y663" s="10"/>
      <c r="Z663" s="11"/>
      <c r="AA663" s="36"/>
      <c r="AB663" s="36"/>
      <c r="AC663" s="13"/>
      <c r="AD663" s="13"/>
      <c r="AE663" s="37"/>
      <c r="AF663" s="37"/>
      <c r="AG663" s="14"/>
      <c r="AH663" s="14"/>
      <c r="AI663" s="14"/>
      <c r="AZ663" s="24"/>
    </row>
    <row r="664">
      <c r="B664" s="24"/>
      <c r="E664" s="113"/>
      <c r="F664" s="266"/>
      <c r="G664" s="113"/>
      <c r="K664" s="36"/>
      <c r="L664" s="117"/>
      <c r="M664" s="128"/>
      <c r="N664" s="117"/>
      <c r="R664" s="117"/>
      <c r="T664" s="117"/>
      <c r="V664" s="117"/>
      <c r="X664" s="117"/>
      <c r="Y664" s="10"/>
      <c r="Z664" s="11"/>
      <c r="AA664" s="36"/>
      <c r="AB664" s="36"/>
      <c r="AC664" s="13"/>
      <c r="AD664" s="13"/>
      <c r="AE664" s="37"/>
      <c r="AF664" s="37"/>
      <c r="AG664" s="14"/>
      <c r="AH664" s="14"/>
      <c r="AI664" s="14"/>
      <c r="AZ664" s="24"/>
    </row>
    <row r="665">
      <c r="B665" s="24"/>
      <c r="E665" s="113"/>
      <c r="F665" s="266"/>
      <c r="G665" s="113"/>
      <c r="K665" s="36"/>
      <c r="L665" s="117"/>
      <c r="M665" s="128"/>
      <c r="N665" s="117"/>
      <c r="R665" s="117"/>
      <c r="T665" s="117"/>
      <c r="V665" s="117"/>
      <c r="X665" s="117"/>
      <c r="Y665" s="10"/>
      <c r="Z665" s="11"/>
      <c r="AA665" s="36"/>
      <c r="AB665" s="36"/>
      <c r="AC665" s="13"/>
      <c r="AD665" s="13"/>
      <c r="AE665" s="37"/>
      <c r="AF665" s="37"/>
      <c r="AG665" s="14"/>
      <c r="AH665" s="14"/>
      <c r="AI665" s="14"/>
      <c r="AZ665" s="24"/>
    </row>
    <row r="666">
      <c r="B666" s="24"/>
      <c r="E666" s="113"/>
      <c r="F666" s="266"/>
      <c r="G666" s="113"/>
      <c r="K666" s="36"/>
      <c r="L666" s="117"/>
      <c r="M666" s="128"/>
      <c r="N666" s="117"/>
      <c r="R666" s="117"/>
      <c r="T666" s="117"/>
      <c r="V666" s="117"/>
      <c r="X666" s="117"/>
      <c r="Y666" s="10"/>
      <c r="Z666" s="11"/>
      <c r="AA666" s="36"/>
      <c r="AB666" s="36"/>
      <c r="AC666" s="13"/>
      <c r="AD666" s="13"/>
      <c r="AE666" s="37"/>
      <c r="AF666" s="37"/>
      <c r="AG666" s="14"/>
      <c r="AH666" s="14"/>
      <c r="AI666" s="14"/>
      <c r="AZ666" s="24"/>
    </row>
    <row r="667">
      <c r="B667" s="24"/>
      <c r="E667" s="113"/>
      <c r="F667" s="266"/>
      <c r="G667" s="113"/>
      <c r="K667" s="36"/>
      <c r="L667" s="117"/>
      <c r="M667" s="128"/>
      <c r="N667" s="117"/>
      <c r="R667" s="117"/>
      <c r="T667" s="117"/>
      <c r="V667" s="117"/>
      <c r="X667" s="117"/>
      <c r="Y667" s="10"/>
      <c r="Z667" s="11"/>
      <c r="AA667" s="36"/>
      <c r="AB667" s="36"/>
      <c r="AC667" s="13"/>
      <c r="AD667" s="13"/>
      <c r="AE667" s="37"/>
      <c r="AF667" s="37"/>
      <c r="AG667" s="14"/>
      <c r="AH667" s="14"/>
      <c r="AI667" s="14"/>
      <c r="AZ667" s="24"/>
    </row>
    <row r="668">
      <c r="B668" s="24"/>
      <c r="E668" s="113"/>
      <c r="F668" s="266"/>
      <c r="G668" s="113"/>
      <c r="K668" s="36"/>
      <c r="L668" s="117"/>
      <c r="M668" s="128"/>
      <c r="N668" s="117"/>
      <c r="R668" s="117"/>
      <c r="T668" s="117"/>
      <c r="V668" s="117"/>
      <c r="X668" s="117"/>
      <c r="Y668" s="10"/>
      <c r="Z668" s="11"/>
      <c r="AA668" s="36"/>
      <c r="AB668" s="36"/>
      <c r="AC668" s="13"/>
      <c r="AD668" s="13"/>
      <c r="AE668" s="37"/>
      <c r="AF668" s="37"/>
      <c r="AG668" s="14"/>
      <c r="AH668" s="14"/>
      <c r="AI668" s="14"/>
      <c r="AZ668" s="24"/>
    </row>
    <row r="669">
      <c r="B669" s="24"/>
      <c r="E669" s="113"/>
      <c r="F669" s="266"/>
      <c r="G669" s="113"/>
      <c r="K669" s="36"/>
      <c r="L669" s="117"/>
      <c r="M669" s="128"/>
      <c r="N669" s="117"/>
      <c r="R669" s="117"/>
      <c r="T669" s="117"/>
      <c r="V669" s="117"/>
      <c r="X669" s="117"/>
      <c r="Y669" s="10"/>
      <c r="Z669" s="11"/>
      <c r="AA669" s="36"/>
      <c r="AB669" s="36"/>
      <c r="AC669" s="13"/>
      <c r="AD669" s="13"/>
      <c r="AE669" s="37"/>
      <c r="AF669" s="37"/>
      <c r="AG669" s="14"/>
      <c r="AH669" s="14"/>
      <c r="AI669" s="14"/>
      <c r="AZ669" s="24"/>
    </row>
    <row r="670">
      <c r="B670" s="24"/>
      <c r="E670" s="113"/>
      <c r="F670" s="266"/>
      <c r="G670" s="113"/>
      <c r="K670" s="36"/>
      <c r="L670" s="117"/>
      <c r="M670" s="128"/>
      <c r="N670" s="117"/>
      <c r="R670" s="117"/>
      <c r="T670" s="117"/>
      <c r="V670" s="117"/>
      <c r="X670" s="117"/>
      <c r="Y670" s="10"/>
      <c r="Z670" s="11"/>
      <c r="AA670" s="36"/>
      <c r="AB670" s="36"/>
      <c r="AC670" s="13"/>
      <c r="AD670" s="13"/>
      <c r="AE670" s="37"/>
      <c r="AF670" s="37"/>
      <c r="AG670" s="14"/>
      <c r="AH670" s="14"/>
      <c r="AI670" s="14"/>
      <c r="AZ670" s="24"/>
    </row>
    <row r="671">
      <c r="B671" s="24"/>
      <c r="E671" s="113"/>
      <c r="F671" s="266"/>
      <c r="G671" s="113"/>
      <c r="K671" s="36"/>
      <c r="L671" s="117"/>
      <c r="M671" s="128"/>
      <c r="N671" s="117"/>
      <c r="R671" s="117"/>
      <c r="T671" s="117"/>
      <c r="V671" s="117"/>
      <c r="X671" s="117"/>
      <c r="Y671" s="10"/>
      <c r="Z671" s="11"/>
      <c r="AA671" s="36"/>
      <c r="AB671" s="36"/>
      <c r="AC671" s="13"/>
      <c r="AD671" s="13"/>
      <c r="AE671" s="37"/>
      <c r="AF671" s="37"/>
      <c r="AG671" s="14"/>
      <c r="AH671" s="14"/>
      <c r="AI671" s="14"/>
      <c r="AZ671" s="24"/>
    </row>
    <row r="672">
      <c r="B672" s="24"/>
      <c r="E672" s="113"/>
      <c r="F672" s="266"/>
      <c r="G672" s="113"/>
      <c r="K672" s="36"/>
      <c r="L672" s="117"/>
      <c r="M672" s="128"/>
      <c r="N672" s="117"/>
      <c r="R672" s="117"/>
      <c r="T672" s="117"/>
      <c r="V672" s="117"/>
      <c r="X672" s="117"/>
      <c r="Y672" s="10"/>
      <c r="Z672" s="11"/>
      <c r="AA672" s="36"/>
      <c r="AB672" s="36"/>
      <c r="AC672" s="13"/>
      <c r="AD672" s="13"/>
      <c r="AE672" s="37"/>
      <c r="AF672" s="37"/>
      <c r="AG672" s="14"/>
      <c r="AH672" s="14"/>
      <c r="AI672" s="14"/>
      <c r="AZ672" s="24"/>
    </row>
    <row r="673">
      <c r="B673" s="24"/>
      <c r="E673" s="113"/>
      <c r="F673" s="266"/>
      <c r="G673" s="113"/>
      <c r="K673" s="36"/>
      <c r="L673" s="117"/>
      <c r="M673" s="128"/>
      <c r="N673" s="117"/>
      <c r="R673" s="117"/>
      <c r="T673" s="117"/>
      <c r="V673" s="117"/>
      <c r="X673" s="117"/>
      <c r="Y673" s="10"/>
      <c r="Z673" s="11"/>
      <c r="AA673" s="36"/>
      <c r="AB673" s="36"/>
      <c r="AC673" s="13"/>
      <c r="AD673" s="13"/>
      <c r="AE673" s="37"/>
      <c r="AF673" s="37"/>
      <c r="AG673" s="14"/>
      <c r="AH673" s="14"/>
      <c r="AI673" s="14"/>
      <c r="AZ673" s="24"/>
    </row>
    <row r="674">
      <c r="B674" s="24"/>
      <c r="E674" s="113"/>
      <c r="F674" s="266"/>
      <c r="G674" s="113"/>
      <c r="K674" s="36"/>
      <c r="L674" s="117"/>
      <c r="M674" s="128"/>
      <c r="N674" s="117"/>
      <c r="R674" s="117"/>
      <c r="T674" s="117"/>
      <c r="V674" s="117"/>
      <c r="X674" s="117"/>
      <c r="Y674" s="10"/>
      <c r="Z674" s="11"/>
      <c r="AA674" s="36"/>
      <c r="AB674" s="36"/>
      <c r="AC674" s="13"/>
      <c r="AD674" s="13"/>
      <c r="AE674" s="37"/>
      <c r="AF674" s="37"/>
      <c r="AG674" s="14"/>
      <c r="AH674" s="14"/>
      <c r="AI674" s="14"/>
      <c r="AZ674" s="24"/>
    </row>
    <row r="675">
      <c r="B675" s="24"/>
      <c r="E675" s="113"/>
      <c r="F675" s="266"/>
      <c r="G675" s="113"/>
      <c r="K675" s="36"/>
      <c r="L675" s="117"/>
      <c r="M675" s="128"/>
      <c r="N675" s="117"/>
      <c r="R675" s="117"/>
      <c r="T675" s="117"/>
      <c r="V675" s="117"/>
      <c r="X675" s="117"/>
      <c r="Y675" s="10"/>
      <c r="Z675" s="11"/>
      <c r="AA675" s="36"/>
      <c r="AB675" s="36"/>
      <c r="AC675" s="13"/>
      <c r="AD675" s="13"/>
      <c r="AE675" s="37"/>
      <c r="AF675" s="37"/>
      <c r="AG675" s="14"/>
      <c r="AH675" s="14"/>
      <c r="AI675" s="14"/>
      <c r="AZ675" s="24"/>
    </row>
    <row r="676">
      <c r="B676" s="24"/>
      <c r="E676" s="113"/>
      <c r="F676" s="266"/>
      <c r="G676" s="113"/>
      <c r="K676" s="36"/>
      <c r="L676" s="117"/>
      <c r="M676" s="128"/>
      <c r="N676" s="117"/>
      <c r="R676" s="117"/>
      <c r="T676" s="117"/>
      <c r="V676" s="117"/>
      <c r="X676" s="117"/>
      <c r="Y676" s="10"/>
      <c r="Z676" s="11"/>
      <c r="AA676" s="36"/>
      <c r="AB676" s="36"/>
      <c r="AC676" s="13"/>
      <c r="AD676" s="13"/>
      <c r="AE676" s="37"/>
      <c r="AF676" s="37"/>
      <c r="AG676" s="14"/>
      <c r="AH676" s="14"/>
      <c r="AI676" s="14"/>
      <c r="AZ676" s="24"/>
    </row>
    <row r="677">
      <c r="B677" s="24"/>
      <c r="E677" s="113"/>
      <c r="F677" s="266"/>
      <c r="G677" s="113"/>
      <c r="K677" s="36"/>
      <c r="L677" s="117"/>
      <c r="M677" s="128"/>
      <c r="N677" s="117"/>
      <c r="R677" s="117"/>
      <c r="T677" s="117"/>
      <c r="V677" s="117"/>
      <c r="X677" s="117"/>
      <c r="Y677" s="10"/>
      <c r="Z677" s="11"/>
      <c r="AA677" s="36"/>
      <c r="AB677" s="36"/>
      <c r="AC677" s="13"/>
      <c r="AD677" s="13"/>
      <c r="AE677" s="37"/>
      <c r="AF677" s="37"/>
      <c r="AG677" s="14"/>
      <c r="AH677" s="14"/>
      <c r="AI677" s="14"/>
      <c r="AZ677" s="24"/>
    </row>
    <row r="678">
      <c r="B678" s="24"/>
      <c r="E678" s="113"/>
      <c r="F678" s="266"/>
      <c r="G678" s="113"/>
      <c r="K678" s="36"/>
      <c r="L678" s="117"/>
      <c r="M678" s="128"/>
      <c r="N678" s="117"/>
      <c r="R678" s="117"/>
      <c r="T678" s="117"/>
      <c r="V678" s="117"/>
      <c r="X678" s="117"/>
      <c r="Y678" s="10"/>
      <c r="Z678" s="11"/>
      <c r="AA678" s="36"/>
      <c r="AB678" s="36"/>
      <c r="AC678" s="13"/>
      <c r="AD678" s="13"/>
      <c r="AE678" s="37"/>
      <c r="AF678" s="37"/>
      <c r="AG678" s="14"/>
      <c r="AH678" s="14"/>
      <c r="AI678" s="14"/>
      <c r="AZ678" s="24"/>
    </row>
    <row r="679">
      <c r="B679" s="24"/>
      <c r="E679" s="113"/>
      <c r="F679" s="266"/>
      <c r="G679" s="113"/>
      <c r="K679" s="36"/>
      <c r="L679" s="117"/>
      <c r="M679" s="128"/>
      <c r="N679" s="117"/>
      <c r="R679" s="117"/>
      <c r="T679" s="117"/>
      <c r="V679" s="117"/>
      <c r="X679" s="117"/>
      <c r="Y679" s="10"/>
      <c r="Z679" s="11"/>
      <c r="AA679" s="36"/>
      <c r="AB679" s="36"/>
      <c r="AC679" s="13"/>
      <c r="AD679" s="13"/>
      <c r="AE679" s="37"/>
      <c r="AF679" s="37"/>
      <c r="AG679" s="14"/>
      <c r="AH679" s="14"/>
      <c r="AI679" s="14"/>
      <c r="AZ679" s="24"/>
    </row>
    <row r="680">
      <c r="B680" s="24"/>
      <c r="E680" s="113"/>
      <c r="F680" s="266"/>
      <c r="G680" s="113"/>
      <c r="K680" s="36"/>
      <c r="L680" s="117"/>
      <c r="M680" s="128"/>
      <c r="N680" s="117"/>
      <c r="R680" s="117"/>
      <c r="T680" s="117"/>
      <c r="V680" s="117"/>
      <c r="X680" s="117"/>
      <c r="Y680" s="10"/>
      <c r="Z680" s="11"/>
      <c r="AA680" s="36"/>
      <c r="AB680" s="36"/>
      <c r="AC680" s="13"/>
      <c r="AD680" s="13"/>
      <c r="AE680" s="37"/>
      <c r="AF680" s="37"/>
      <c r="AG680" s="14"/>
      <c r="AH680" s="14"/>
      <c r="AI680" s="14"/>
      <c r="AZ680" s="24"/>
    </row>
    <row r="681">
      <c r="B681" s="24"/>
      <c r="E681" s="113"/>
      <c r="F681" s="266"/>
      <c r="G681" s="113"/>
      <c r="K681" s="36"/>
      <c r="L681" s="117"/>
      <c r="M681" s="128"/>
      <c r="N681" s="117"/>
      <c r="R681" s="117"/>
      <c r="T681" s="117"/>
      <c r="V681" s="117"/>
      <c r="X681" s="117"/>
      <c r="Y681" s="10"/>
      <c r="Z681" s="11"/>
      <c r="AA681" s="36"/>
      <c r="AB681" s="36"/>
      <c r="AC681" s="13"/>
      <c r="AD681" s="13"/>
      <c r="AE681" s="37"/>
      <c r="AF681" s="37"/>
      <c r="AG681" s="14"/>
      <c r="AH681" s="14"/>
      <c r="AI681" s="14"/>
      <c r="AZ681" s="24"/>
    </row>
    <row r="682">
      <c r="B682" s="24"/>
      <c r="E682" s="113"/>
      <c r="F682" s="266"/>
      <c r="G682" s="113"/>
      <c r="K682" s="36"/>
      <c r="L682" s="117"/>
      <c r="M682" s="128"/>
      <c r="N682" s="117"/>
      <c r="R682" s="117"/>
      <c r="T682" s="117"/>
      <c r="V682" s="117"/>
      <c r="X682" s="117"/>
      <c r="Y682" s="10"/>
      <c r="Z682" s="11"/>
      <c r="AA682" s="36"/>
      <c r="AB682" s="36"/>
      <c r="AC682" s="13"/>
      <c r="AD682" s="13"/>
      <c r="AE682" s="37"/>
      <c r="AF682" s="37"/>
      <c r="AG682" s="14"/>
      <c r="AH682" s="14"/>
      <c r="AI682" s="14"/>
      <c r="AZ682" s="24"/>
    </row>
    <row r="683">
      <c r="B683" s="24"/>
      <c r="E683" s="113"/>
      <c r="F683" s="266"/>
      <c r="G683" s="113"/>
      <c r="K683" s="36"/>
      <c r="L683" s="117"/>
      <c r="M683" s="128"/>
      <c r="N683" s="117"/>
      <c r="R683" s="117"/>
      <c r="T683" s="117"/>
      <c r="V683" s="117"/>
      <c r="X683" s="117"/>
      <c r="Y683" s="10"/>
      <c r="Z683" s="11"/>
      <c r="AA683" s="36"/>
      <c r="AB683" s="36"/>
      <c r="AC683" s="13"/>
      <c r="AD683" s="13"/>
      <c r="AE683" s="37"/>
      <c r="AF683" s="37"/>
      <c r="AG683" s="14"/>
      <c r="AH683" s="14"/>
      <c r="AI683" s="14"/>
      <c r="AZ683" s="24"/>
    </row>
    <row r="684">
      <c r="B684" s="24"/>
      <c r="E684" s="113"/>
      <c r="F684" s="266"/>
      <c r="G684" s="113"/>
      <c r="K684" s="36"/>
      <c r="L684" s="117"/>
      <c r="M684" s="128"/>
      <c r="N684" s="117"/>
      <c r="R684" s="117"/>
      <c r="T684" s="117"/>
      <c r="V684" s="117"/>
      <c r="X684" s="117"/>
      <c r="Y684" s="10"/>
      <c r="Z684" s="11"/>
      <c r="AA684" s="36"/>
      <c r="AB684" s="36"/>
      <c r="AC684" s="13"/>
      <c r="AD684" s="13"/>
      <c r="AE684" s="37"/>
      <c r="AF684" s="37"/>
      <c r="AG684" s="14"/>
      <c r="AH684" s="14"/>
      <c r="AI684" s="14"/>
      <c r="AZ684" s="24"/>
    </row>
    <row r="685">
      <c r="B685" s="24"/>
      <c r="E685" s="113"/>
      <c r="F685" s="266"/>
      <c r="G685" s="113"/>
      <c r="K685" s="36"/>
      <c r="L685" s="117"/>
      <c r="M685" s="128"/>
      <c r="N685" s="117"/>
      <c r="R685" s="117"/>
      <c r="T685" s="117"/>
      <c r="V685" s="117"/>
      <c r="X685" s="117"/>
      <c r="Y685" s="10"/>
      <c r="Z685" s="11"/>
      <c r="AA685" s="36"/>
      <c r="AB685" s="36"/>
      <c r="AC685" s="13"/>
      <c r="AD685" s="13"/>
      <c r="AE685" s="37"/>
      <c r="AF685" s="37"/>
      <c r="AG685" s="14"/>
      <c r="AH685" s="14"/>
      <c r="AI685" s="14"/>
      <c r="AZ685" s="24"/>
    </row>
    <row r="686">
      <c r="B686" s="24"/>
      <c r="E686" s="113"/>
      <c r="F686" s="266"/>
      <c r="G686" s="113"/>
      <c r="K686" s="36"/>
      <c r="L686" s="117"/>
      <c r="M686" s="128"/>
      <c r="N686" s="117"/>
      <c r="R686" s="117"/>
      <c r="T686" s="117"/>
      <c r="V686" s="117"/>
      <c r="X686" s="117"/>
      <c r="Y686" s="10"/>
      <c r="Z686" s="11"/>
      <c r="AA686" s="36"/>
      <c r="AB686" s="36"/>
      <c r="AC686" s="13"/>
      <c r="AD686" s="13"/>
      <c r="AE686" s="37"/>
      <c r="AF686" s="37"/>
      <c r="AG686" s="14"/>
      <c r="AH686" s="14"/>
      <c r="AI686" s="14"/>
      <c r="AZ686" s="24"/>
    </row>
    <row r="687">
      <c r="B687" s="24"/>
      <c r="E687" s="113"/>
      <c r="F687" s="266"/>
      <c r="G687" s="113"/>
      <c r="K687" s="36"/>
      <c r="L687" s="117"/>
      <c r="M687" s="128"/>
      <c r="N687" s="117"/>
      <c r="R687" s="117"/>
      <c r="T687" s="117"/>
      <c r="V687" s="117"/>
      <c r="X687" s="117"/>
      <c r="Y687" s="10"/>
      <c r="Z687" s="11"/>
      <c r="AA687" s="36"/>
      <c r="AB687" s="36"/>
      <c r="AC687" s="13"/>
      <c r="AD687" s="13"/>
      <c r="AE687" s="37"/>
      <c r="AF687" s="37"/>
      <c r="AG687" s="14"/>
      <c r="AH687" s="14"/>
      <c r="AI687" s="14"/>
      <c r="AZ687" s="24"/>
    </row>
    <row r="688">
      <c r="B688" s="24"/>
      <c r="E688" s="113"/>
      <c r="F688" s="266"/>
      <c r="G688" s="113"/>
      <c r="K688" s="36"/>
      <c r="L688" s="117"/>
      <c r="M688" s="128"/>
      <c r="N688" s="117"/>
      <c r="R688" s="117"/>
      <c r="T688" s="117"/>
      <c r="V688" s="117"/>
      <c r="X688" s="117"/>
      <c r="Y688" s="10"/>
      <c r="Z688" s="11"/>
      <c r="AA688" s="36"/>
      <c r="AB688" s="36"/>
      <c r="AC688" s="13"/>
      <c r="AD688" s="13"/>
      <c r="AE688" s="37"/>
      <c r="AF688" s="37"/>
      <c r="AG688" s="14"/>
      <c r="AH688" s="14"/>
      <c r="AI688" s="14"/>
      <c r="AZ688" s="24"/>
    </row>
    <row r="689">
      <c r="B689" s="24"/>
      <c r="E689" s="113"/>
      <c r="F689" s="266"/>
      <c r="G689" s="113"/>
      <c r="K689" s="36"/>
      <c r="L689" s="117"/>
      <c r="M689" s="128"/>
      <c r="N689" s="117"/>
      <c r="R689" s="117"/>
      <c r="T689" s="117"/>
      <c r="V689" s="117"/>
      <c r="X689" s="117"/>
      <c r="Y689" s="10"/>
      <c r="Z689" s="11"/>
      <c r="AA689" s="36"/>
      <c r="AB689" s="36"/>
      <c r="AC689" s="13"/>
      <c r="AD689" s="13"/>
      <c r="AE689" s="37"/>
      <c r="AF689" s="37"/>
      <c r="AG689" s="14"/>
      <c r="AH689" s="14"/>
      <c r="AI689" s="14"/>
      <c r="AZ689" s="24"/>
    </row>
    <row r="690">
      <c r="B690" s="24"/>
      <c r="E690" s="113"/>
      <c r="F690" s="266"/>
      <c r="G690" s="113"/>
      <c r="K690" s="36"/>
      <c r="L690" s="117"/>
      <c r="M690" s="128"/>
      <c r="N690" s="117"/>
      <c r="R690" s="117"/>
      <c r="T690" s="117"/>
      <c r="V690" s="117"/>
      <c r="X690" s="117"/>
      <c r="Y690" s="10"/>
      <c r="Z690" s="11"/>
      <c r="AA690" s="36"/>
      <c r="AB690" s="36"/>
      <c r="AC690" s="13"/>
      <c r="AD690" s="13"/>
      <c r="AE690" s="37"/>
      <c r="AF690" s="37"/>
      <c r="AG690" s="14"/>
      <c r="AH690" s="14"/>
      <c r="AI690" s="14"/>
      <c r="AZ690" s="24"/>
    </row>
    <row r="691">
      <c r="B691" s="24"/>
      <c r="E691" s="113"/>
      <c r="F691" s="266"/>
      <c r="G691" s="113"/>
      <c r="K691" s="36"/>
      <c r="L691" s="117"/>
      <c r="M691" s="128"/>
      <c r="N691" s="117"/>
      <c r="R691" s="117"/>
      <c r="T691" s="117"/>
      <c r="V691" s="117"/>
      <c r="X691" s="117"/>
      <c r="Y691" s="10"/>
      <c r="Z691" s="11"/>
      <c r="AA691" s="36"/>
      <c r="AB691" s="36"/>
      <c r="AC691" s="13"/>
      <c r="AD691" s="13"/>
      <c r="AE691" s="37"/>
      <c r="AF691" s="37"/>
      <c r="AG691" s="14"/>
      <c r="AH691" s="14"/>
      <c r="AI691" s="14"/>
      <c r="AZ691" s="24"/>
    </row>
    <row r="692">
      <c r="B692" s="24"/>
      <c r="E692" s="113"/>
      <c r="F692" s="266"/>
      <c r="G692" s="113"/>
      <c r="K692" s="36"/>
      <c r="L692" s="117"/>
      <c r="M692" s="128"/>
      <c r="N692" s="117"/>
      <c r="R692" s="117"/>
      <c r="T692" s="117"/>
      <c r="V692" s="117"/>
      <c r="X692" s="117"/>
      <c r="Y692" s="10"/>
      <c r="Z692" s="11"/>
      <c r="AA692" s="36"/>
      <c r="AB692" s="36"/>
      <c r="AC692" s="13"/>
      <c r="AD692" s="13"/>
      <c r="AE692" s="37"/>
      <c r="AF692" s="37"/>
      <c r="AG692" s="14"/>
      <c r="AH692" s="14"/>
      <c r="AI692" s="14"/>
      <c r="AZ692" s="24"/>
    </row>
    <row r="693">
      <c r="B693" s="24"/>
      <c r="E693" s="113"/>
      <c r="F693" s="266"/>
      <c r="G693" s="113"/>
      <c r="K693" s="36"/>
      <c r="L693" s="117"/>
      <c r="M693" s="128"/>
      <c r="N693" s="117"/>
      <c r="R693" s="117"/>
      <c r="T693" s="117"/>
      <c r="V693" s="117"/>
      <c r="X693" s="117"/>
      <c r="Y693" s="10"/>
      <c r="Z693" s="11"/>
      <c r="AA693" s="36"/>
      <c r="AB693" s="36"/>
      <c r="AC693" s="13"/>
      <c r="AD693" s="13"/>
      <c r="AE693" s="37"/>
      <c r="AF693" s="37"/>
      <c r="AG693" s="14"/>
      <c r="AH693" s="14"/>
      <c r="AI693" s="14"/>
      <c r="AZ693" s="24"/>
    </row>
    <row r="694">
      <c r="B694" s="24"/>
      <c r="E694" s="113"/>
      <c r="F694" s="266"/>
      <c r="G694" s="113"/>
      <c r="K694" s="36"/>
      <c r="L694" s="117"/>
      <c r="M694" s="128"/>
      <c r="N694" s="117"/>
      <c r="R694" s="117"/>
      <c r="T694" s="117"/>
      <c r="V694" s="117"/>
      <c r="X694" s="117"/>
      <c r="Y694" s="10"/>
      <c r="Z694" s="11"/>
      <c r="AA694" s="36"/>
      <c r="AB694" s="36"/>
      <c r="AC694" s="13"/>
      <c r="AD694" s="13"/>
      <c r="AE694" s="37"/>
      <c r="AF694" s="37"/>
      <c r="AG694" s="14"/>
      <c r="AH694" s="14"/>
      <c r="AI694" s="14"/>
      <c r="AZ694" s="24"/>
    </row>
    <row r="695">
      <c r="B695" s="24"/>
      <c r="E695" s="113"/>
      <c r="F695" s="266"/>
      <c r="G695" s="113"/>
      <c r="K695" s="36"/>
      <c r="L695" s="117"/>
      <c r="M695" s="128"/>
      <c r="N695" s="117"/>
      <c r="R695" s="117"/>
      <c r="T695" s="117"/>
      <c r="V695" s="117"/>
      <c r="X695" s="117"/>
      <c r="Y695" s="10"/>
      <c r="Z695" s="11"/>
      <c r="AA695" s="36"/>
      <c r="AB695" s="36"/>
      <c r="AC695" s="13"/>
      <c r="AD695" s="13"/>
      <c r="AE695" s="37"/>
      <c r="AF695" s="37"/>
      <c r="AG695" s="14"/>
      <c r="AH695" s="14"/>
      <c r="AI695" s="14"/>
      <c r="AZ695" s="24"/>
    </row>
    <row r="696">
      <c r="B696" s="24"/>
      <c r="E696" s="113"/>
      <c r="F696" s="266"/>
      <c r="G696" s="113"/>
      <c r="K696" s="36"/>
      <c r="L696" s="117"/>
      <c r="M696" s="128"/>
      <c r="N696" s="117"/>
      <c r="R696" s="117"/>
      <c r="T696" s="117"/>
      <c r="V696" s="117"/>
      <c r="X696" s="117"/>
      <c r="Y696" s="10"/>
      <c r="Z696" s="11"/>
      <c r="AA696" s="36"/>
      <c r="AB696" s="36"/>
      <c r="AC696" s="13"/>
      <c r="AD696" s="13"/>
      <c r="AE696" s="37"/>
      <c r="AF696" s="37"/>
      <c r="AG696" s="14"/>
      <c r="AH696" s="14"/>
      <c r="AI696" s="14"/>
      <c r="AZ696" s="24"/>
    </row>
    <row r="697">
      <c r="B697" s="24"/>
      <c r="E697" s="113"/>
      <c r="F697" s="266"/>
      <c r="G697" s="113"/>
      <c r="K697" s="36"/>
      <c r="L697" s="117"/>
      <c r="M697" s="128"/>
      <c r="N697" s="117"/>
      <c r="R697" s="117"/>
      <c r="T697" s="117"/>
      <c r="V697" s="117"/>
      <c r="X697" s="117"/>
      <c r="Y697" s="10"/>
      <c r="Z697" s="11"/>
      <c r="AA697" s="36"/>
      <c r="AB697" s="36"/>
      <c r="AC697" s="13"/>
      <c r="AD697" s="13"/>
      <c r="AE697" s="37"/>
      <c r="AF697" s="37"/>
      <c r="AG697" s="14"/>
      <c r="AH697" s="14"/>
      <c r="AI697" s="14"/>
      <c r="AZ697" s="24"/>
    </row>
    <row r="698">
      <c r="B698" s="24"/>
      <c r="E698" s="113"/>
      <c r="F698" s="266"/>
      <c r="G698" s="113"/>
      <c r="K698" s="36"/>
      <c r="L698" s="117"/>
      <c r="M698" s="128"/>
      <c r="N698" s="117"/>
      <c r="R698" s="117"/>
      <c r="T698" s="117"/>
      <c r="V698" s="117"/>
      <c r="X698" s="117"/>
      <c r="Y698" s="10"/>
      <c r="Z698" s="11"/>
      <c r="AA698" s="36"/>
      <c r="AB698" s="36"/>
      <c r="AC698" s="13"/>
      <c r="AD698" s="13"/>
      <c r="AE698" s="37"/>
      <c r="AF698" s="37"/>
      <c r="AG698" s="14"/>
      <c r="AH698" s="14"/>
      <c r="AI698" s="14"/>
      <c r="AZ698" s="24"/>
    </row>
    <row r="699">
      <c r="B699" s="24"/>
      <c r="E699" s="113"/>
      <c r="F699" s="266"/>
      <c r="G699" s="113"/>
      <c r="K699" s="36"/>
      <c r="L699" s="117"/>
      <c r="M699" s="128"/>
      <c r="N699" s="117"/>
      <c r="R699" s="117"/>
      <c r="T699" s="117"/>
      <c r="V699" s="117"/>
      <c r="X699" s="117"/>
      <c r="Y699" s="10"/>
      <c r="Z699" s="11"/>
      <c r="AA699" s="36"/>
      <c r="AB699" s="36"/>
      <c r="AC699" s="13"/>
      <c r="AD699" s="13"/>
      <c r="AE699" s="37"/>
      <c r="AF699" s="37"/>
      <c r="AG699" s="14"/>
      <c r="AH699" s="14"/>
      <c r="AI699" s="14"/>
      <c r="AZ699" s="24"/>
    </row>
    <row r="700">
      <c r="B700" s="24"/>
      <c r="E700" s="113"/>
      <c r="F700" s="266"/>
      <c r="G700" s="113"/>
      <c r="K700" s="36"/>
      <c r="L700" s="117"/>
      <c r="M700" s="128"/>
      <c r="N700" s="117"/>
      <c r="R700" s="117"/>
      <c r="T700" s="117"/>
      <c r="V700" s="117"/>
      <c r="X700" s="117"/>
      <c r="Y700" s="10"/>
      <c r="Z700" s="11"/>
      <c r="AA700" s="36"/>
      <c r="AB700" s="36"/>
      <c r="AC700" s="13"/>
      <c r="AD700" s="13"/>
      <c r="AE700" s="37"/>
      <c r="AF700" s="37"/>
      <c r="AG700" s="14"/>
      <c r="AH700" s="14"/>
      <c r="AI700" s="14"/>
      <c r="AZ700" s="24"/>
    </row>
    <row r="701">
      <c r="B701" s="24"/>
      <c r="E701" s="113"/>
      <c r="F701" s="266"/>
      <c r="G701" s="113"/>
      <c r="K701" s="36"/>
      <c r="L701" s="117"/>
      <c r="M701" s="128"/>
      <c r="N701" s="117"/>
      <c r="R701" s="117"/>
      <c r="T701" s="117"/>
      <c r="V701" s="117"/>
      <c r="X701" s="117"/>
      <c r="Y701" s="10"/>
      <c r="Z701" s="11"/>
      <c r="AA701" s="36"/>
      <c r="AB701" s="36"/>
      <c r="AC701" s="13"/>
      <c r="AD701" s="13"/>
      <c r="AE701" s="37"/>
      <c r="AF701" s="37"/>
      <c r="AG701" s="14"/>
      <c r="AH701" s="14"/>
      <c r="AI701" s="14"/>
      <c r="AZ701" s="24"/>
    </row>
    <row r="702">
      <c r="B702" s="24"/>
      <c r="E702" s="113"/>
      <c r="F702" s="266"/>
      <c r="G702" s="113"/>
      <c r="K702" s="36"/>
      <c r="L702" s="117"/>
      <c r="M702" s="128"/>
      <c r="N702" s="117"/>
      <c r="R702" s="117"/>
      <c r="T702" s="117"/>
      <c r="V702" s="117"/>
      <c r="X702" s="117"/>
      <c r="Y702" s="10"/>
      <c r="Z702" s="11"/>
      <c r="AA702" s="36"/>
      <c r="AB702" s="36"/>
      <c r="AC702" s="13"/>
      <c r="AD702" s="13"/>
      <c r="AE702" s="37"/>
      <c r="AF702" s="37"/>
      <c r="AG702" s="14"/>
      <c r="AH702" s="14"/>
      <c r="AI702" s="14"/>
      <c r="AZ702" s="24"/>
    </row>
    <row r="703">
      <c r="B703" s="24"/>
      <c r="E703" s="113"/>
      <c r="F703" s="266"/>
      <c r="G703" s="113"/>
      <c r="K703" s="36"/>
      <c r="L703" s="117"/>
      <c r="M703" s="128"/>
      <c r="N703" s="117"/>
      <c r="R703" s="117"/>
      <c r="T703" s="117"/>
      <c r="V703" s="117"/>
      <c r="X703" s="117"/>
      <c r="Y703" s="10"/>
      <c r="Z703" s="11"/>
      <c r="AA703" s="36"/>
      <c r="AB703" s="36"/>
      <c r="AC703" s="13"/>
      <c r="AD703" s="13"/>
      <c r="AE703" s="37"/>
      <c r="AF703" s="37"/>
      <c r="AG703" s="14"/>
      <c r="AH703" s="14"/>
      <c r="AI703" s="14"/>
      <c r="AZ703" s="24"/>
    </row>
    <row r="704">
      <c r="B704" s="24"/>
      <c r="E704" s="113"/>
      <c r="F704" s="266"/>
      <c r="G704" s="113"/>
      <c r="K704" s="36"/>
      <c r="L704" s="117"/>
      <c r="M704" s="128"/>
      <c r="N704" s="117"/>
      <c r="R704" s="117"/>
      <c r="T704" s="117"/>
      <c r="V704" s="117"/>
      <c r="X704" s="117"/>
      <c r="Y704" s="10"/>
      <c r="Z704" s="11"/>
      <c r="AA704" s="36"/>
      <c r="AB704" s="36"/>
      <c r="AC704" s="13"/>
      <c r="AD704" s="13"/>
      <c r="AE704" s="37"/>
      <c r="AF704" s="37"/>
      <c r="AG704" s="14"/>
      <c r="AH704" s="14"/>
      <c r="AI704" s="14"/>
      <c r="AZ704" s="24"/>
    </row>
    <row r="705">
      <c r="B705" s="24"/>
      <c r="E705" s="113"/>
      <c r="F705" s="266"/>
      <c r="G705" s="113"/>
      <c r="K705" s="36"/>
      <c r="L705" s="117"/>
      <c r="M705" s="128"/>
      <c r="N705" s="117"/>
      <c r="R705" s="117"/>
      <c r="T705" s="117"/>
      <c r="V705" s="117"/>
      <c r="X705" s="117"/>
      <c r="Y705" s="10"/>
      <c r="Z705" s="11"/>
      <c r="AA705" s="36"/>
      <c r="AB705" s="36"/>
      <c r="AC705" s="13"/>
      <c r="AD705" s="13"/>
      <c r="AE705" s="37"/>
      <c r="AF705" s="37"/>
      <c r="AG705" s="14"/>
      <c r="AH705" s="14"/>
      <c r="AI705" s="14"/>
      <c r="AZ705" s="24"/>
    </row>
    <row r="706">
      <c r="B706" s="24"/>
      <c r="E706" s="113"/>
      <c r="F706" s="266"/>
      <c r="G706" s="113"/>
      <c r="K706" s="36"/>
      <c r="L706" s="117"/>
      <c r="M706" s="128"/>
      <c r="N706" s="117"/>
      <c r="R706" s="117"/>
      <c r="T706" s="117"/>
      <c r="V706" s="117"/>
      <c r="X706" s="117"/>
      <c r="Y706" s="10"/>
      <c r="Z706" s="11"/>
      <c r="AA706" s="36"/>
      <c r="AB706" s="36"/>
      <c r="AC706" s="13"/>
      <c r="AD706" s="13"/>
      <c r="AE706" s="37"/>
      <c r="AF706" s="37"/>
      <c r="AG706" s="14"/>
      <c r="AH706" s="14"/>
      <c r="AI706" s="14"/>
      <c r="AZ706" s="24"/>
    </row>
    <row r="707">
      <c r="B707" s="24"/>
      <c r="E707" s="113"/>
      <c r="F707" s="266"/>
      <c r="G707" s="113"/>
      <c r="K707" s="36"/>
      <c r="L707" s="117"/>
      <c r="M707" s="128"/>
      <c r="N707" s="117"/>
      <c r="R707" s="117"/>
      <c r="T707" s="117"/>
      <c r="V707" s="117"/>
      <c r="X707" s="117"/>
      <c r="Y707" s="10"/>
      <c r="Z707" s="11"/>
      <c r="AA707" s="36"/>
      <c r="AB707" s="36"/>
      <c r="AC707" s="13"/>
      <c r="AD707" s="13"/>
      <c r="AE707" s="37"/>
      <c r="AF707" s="37"/>
      <c r="AG707" s="14"/>
      <c r="AH707" s="14"/>
      <c r="AI707" s="14"/>
      <c r="AZ707" s="24"/>
    </row>
    <row r="708">
      <c r="B708" s="24"/>
      <c r="E708" s="113"/>
      <c r="F708" s="266"/>
      <c r="G708" s="113"/>
      <c r="K708" s="36"/>
      <c r="L708" s="117"/>
      <c r="M708" s="128"/>
      <c r="N708" s="117"/>
      <c r="R708" s="117"/>
      <c r="T708" s="117"/>
      <c r="V708" s="117"/>
      <c r="X708" s="117"/>
      <c r="Y708" s="10"/>
      <c r="Z708" s="11"/>
      <c r="AA708" s="36"/>
      <c r="AB708" s="36"/>
      <c r="AC708" s="13"/>
      <c r="AD708" s="13"/>
      <c r="AE708" s="37"/>
      <c r="AF708" s="37"/>
      <c r="AG708" s="14"/>
      <c r="AH708" s="14"/>
      <c r="AI708" s="14"/>
      <c r="AZ708" s="24"/>
    </row>
    <row r="709">
      <c r="B709" s="24"/>
      <c r="E709" s="113"/>
      <c r="F709" s="266"/>
      <c r="G709" s="113"/>
      <c r="K709" s="36"/>
      <c r="L709" s="117"/>
      <c r="M709" s="128"/>
      <c r="N709" s="117"/>
      <c r="R709" s="117"/>
      <c r="T709" s="117"/>
      <c r="V709" s="117"/>
      <c r="X709" s="117"/>
      <c r="Y709" s="10"/>
      <c r="Z709" s="11"/>
      <c r="AA709" s="36"/>
      <c r="AB709" s="36"/>
      <c r="AC709" s="13"/>
      <c r="AD709" s="13"/>
      <c r="AE709" s="37"/>
      <c r="AF709" s="37"/>
      <c r="AG709" s="14"/>
      <c r="AH709" s="14"/>
      <c r="AI709" s="14"/>
      <c r="AZ709" s="24"/>
    </row>
    <row r="710">
      <c r="B710" s="24"/>
      <c r="E710" s="113"/>
      <c r="F710" s="266"/>
      <c r="G710" s="113"/>
      <c r="K710" s="36"/>
      <c r="L710" s="117"/>
      <c r="M710" s="128"/>
      <c r="N710" s="117"/>
      <c r="R710" s="117"/>
      <c r="T710" s="117"/>
      <c r="V710" s="117"/>
      <c r="X710" s="117"/>
      <c r="Y710" s="10"/>
      <c r="Z710" s="11"/>
      <c r="AA710" s="36"/>
      <c r="AB710" s="36"/>
      <c r="AC710" s="13"/>
      <c r="AD710" s="13"/>
      <c r="AE710" s="37"/>
      <c r="AF710" s="37"/>
      <c r="AG710" s="14"/>
      <c r="AH710" s="14"/>
      <c r="AI710" s="14"/>
      <c r="AZ710" s="24"/>
    </row>
    <row r="711">
      <c r="B711" s="24"/>
      <c r="E711" s="113"/>
      <c r="F711" s="266"/>
      <c r="G711" s="113"/>
      <c r="K711" s="36"/>
      <c r="L711" s="117"/>
      <c r="M711" s="128"/>
      <c r="N711" s="117"/>
      <c r="R711" s="117"/>
      <c r="T711" s="117"/>
      <c r="V711" s="117"/>
      <c r="X711" s="117"/>
      <c r="Y711" s="10"/>
      <c r="Z711" s="11"/>
      <c r="AA711" s="36"/>
      <c r="AB711" s="36"/>
      <c r="AC711" s="13"/>
      <c r="AD711" s="13"/>
      <c r="AE711" s="37"/>
      <c r="AF711" s="37"/>
      <c r="AG711" s="14"/>
      <c r="AH711" s="14"/>
      <c r="AI711" s="14"/>
      <c r="AZ711" s="24"/>
    </row>
    <row r="712">
      <c r="B712" s="24"/>
      <c r="E712" s="113"/>
      <c r="F712" s="266"/>
      <c r="G712" s="113"/>
      <c r="K712" s="36"/>
      <c r="L712" s="117"/>
      <c r="M712" s="128"/>
      <c r="N712" s="117"/>
      <c r="R712" s="117"/>
      <c r="T712" s="117"/>
      <c r="V712" s="117"/>
      <c r="X712" s="117"/>
      <c r="Y712" s="10"/>
      <c r="Z712" s="11"/>
      <c r="AA712" s="36"/>
      <c r="AB712" s="36"/>
      <c r="AC712" s="13"/>
      <c r="AD712" s="13"/>
      <c r="AE712" s="37"/>
      <c r="AF712" s="37"/>
      <c r="AG712" s="14"/>
      <c r="AH712" s="14"/>
      <c r="AI712" s="14"/>
      <c r="AZ712" s="24"/>
    </row>
    <row r="713">
      <c r="B713" s="24"/>
      <c r="E713" s="113"/>
      <c r="F713" s="266"/>
      <c r="G713" s="113"/>
      <c r="K713" s="36"/>
      <c r="L713" s="117"/>
      <c r="M713" s="128"/>
      <c r="N713" s="117"/>
      <c r="R713" s="117"/>
      <c r="T713" s="117"/>
      <c r="V713" s="117"/>
      <c r="X713" s="117"/>
      <c r="Y713" s="10"/>
      <c r="Z713" s="11"/>
      <c r="AA713" s="36"/>
      <c r="AB713" s="36"/>
      <c r="AC713" s="13"/>
      <c r="AD713" s="13"/>
      <c r="AE713" s="37"/>
      <c r="AF713" s="37"/>
      <c r="AG713" s="14"/>
      <c r="AH713" s="14"/>
      <c r="AI713" s="14"/>
      <c r="AZ713" s="24"/>
    </row>
    <row r="714">
      <c r="B714" s="24"/>
      <c r="E714" s="113"/>
      <c r="F714" s="266"/>
      <c r="G714" s="113"/>
      <c r="K714" s="36"/>
      <c r="L714" s="117"/>
      <c r="M714" s="128"/>
      <c r="N714" s="117"/>
      <c r="R714" s="117"/>
      <c r="T714" s="117"/>
      <c r="V714" s="117"/>
      <c r="X714" s="117"/>
      <c r="Y714" s="10"/>
      <c r="Z714" s="11"/>
      <c r="AA714" s="36"/>
      <c r="AB714" s="36"/>
      <c r="AC714" s="13"/>
      <c r="AD714" s="13"/>
      <c r="AE714" s="37"/>
      <c r="AF714" s="37"/>
      <c r="AG714" s="14"/>
      <c r="AH714" s="14"/>
      <c r="AI714" s="14"/>
      <c r="AZ714" s="24"/>
    </row>
    <row r="715">
      <c r="B715" s="24"/>
      <c r="E715" s="113"/>
      <c r="F715" s="266"/>
      <c r="G715" s="113"/>
      <c r="K715" s="36"/>
      <c r="L715" s="117"/>
      <c r="M715" s="128"/>
      <c r="N715" s="117"/>
      <c r="R715" s="117"/>
      <c r="T715" s="117"/>
      <c r="V715" s="117"/>
      <c r="X715" s="117"/>
      <c r="Y715" s="10"/>
      <c r="Z715" s="11"/>
      <c r="AA715" s="36"/>
      <c r="AB715" s="36"/>
      <c r="AC715" s="13"/>
      <c r="AD715" s="13"/>
      <c r="AE715" s="37"/>
      <c r="AF715" s="37"/>
      <c r="AG715" s="14"/>
      <c r="AH715" s="14"/>
      <c r="AI715" s="14"/>
      <c r="AZ715" s="24"/>
    </row>
    <row r="716">
      <c r="B716" s="24"/>
      <c r="E716" s="113"/>
      <c r="F716" s="266"/>
      <c r="G716" s="113"/>
      <c r="K716" s="36"/>
      <c r="L716" s="117"/>
      <c r="M716" s="128"/>
      <c r="N716" s="117"/>
      <c r="R716" s="117"/>
      <c r="T716" s="117"/>
      <c r="V716" s="117"/>
      <c r="X716" s="117"/>
      <c r="Y716" s="10"/>
      <c r="Z716" s="11"/>
      <c r="AA716" s="36"/>
      <c r="AB716" s="36"/>
      <c r="AC716" s="13"/>
      <c r="AD716" s="13"/>
      <c r="AE716" s="37"/>
      <c r="AF716" s="37"/>
      <c r="AG716" s="14"/>
      <c r="AH716" s="14"/>
      <c r="AI716" s="14"/>
      <c r="AZ716" s="24"/>
    </row>
    <row r="717">
      <c r="B717" s="24"/>
      <c r="E717" s="113"/>
      <c r="F717" s="266"/>
      <c r="G717" s="113"/>
      <c r="K717" s="36"/>
      <c r="L717" s="117"/>
      <c r="M717" s="128"/>
      <c r="N717" s="117"/>
      <c r="R717" s="117"/>
      <c r="T717" s="117"/>
      <c r="V717" s="117"/>
      <c r="X717" s="117"/>
      <c r="Y717" s="10"/>
      <c r="Z717" s="11"/>
      <c r="AA717" s="36"/>
      <c r="AB717" s="36"/>
      <c r="AC717" s="13"/>
      <c r="AD717" s="13"/>
      <c r="AE717" s="37"/>
      <c r="AF717" s="37"/>
      <c r="AG717" s="14"/>
      <c r="AH717" s="14"/>
      <c r="AI717" s="14"/>
      <c r="AZ717" s="24"/>
    </row>
    <row r="718">
      <c r="B718" s="24"/>
      <c r="E718" s="113"/>
      <c r="F718" s="266"/>
      <c r="G718" s="113"/>
      <c r="K718" s="36"/>
      <c r="L718" s="117"/>
      <c r="M718" s="128"/>
      <c r="N718" s="117"/>
      <c r="R718" s="117"/>
      <c r="T718" s="117"/>
      <c r="V718" s="117"/>
      <c r="X718" s="117"/>
      <c r="Y718" s="10"/>
      <c r="Z718" s="11"/>
      <c r="AA718" s="36"/>
      <c r="AB718" s="36"/>
      <c r="AC718" s="13"/>
      <c r="AD718" s="13"/>
      <c r="AE718" s="37"/>
      <c r="AF718" s="37"/>
      <c r="AG718" s="14"/>
      <c r="AH718" s="14"/>
      <c r="AI718" s="14"/>
      <c r="AZ718" s="24"/>
    </row>
    <row r="719">
      <c r="B719" s="24"/>
      <c r="E719" s="113"/>
      <c r="F719" s="266"/>
      <c r="G719" s="113"/>
      <c r="K719" s="36"/>
      <c r="L719" s="117"/>
      <c r="M719" s="128"/>
      <c r="N719" s="117"/>
      <c r="R719" s="117"/>
      <c r="T719" s="117"/>
      <c r="V719" s="117"/>
      <c r="X719" s="117"/>
      <c r="Y719" s="10"/>
      <c r="Z719" s="11"/>
      <c r="AA719" s="36"/>
      <c r="AB719" s="36"/>
      <c r="AC719" s="13"/>
      <c r="AD719" s="13"/>
      <c r="AE719" s="37"/>
      <c r="AF719" s="37"/>
      <c r="AG719" s="14"/>
      <c r="AH719" s="14"/>
      <c r="AI719" s="14"/>
      <c r="AZ719" s="24"/>
    </row>
    <row r="720">
      <c r="B720" s="24"/>
      <c r="E720" s="113"/>
      <c r="F720" s="266"/>
      <c r="G720" s="113"/>
      <c r="K720" s="36"/>
      <c r="L720" s="117"/>
      <c r="M720" s="128"/>
      <c r="N720" s="117"/>
      <c r="R720" s="117"/>
      <c r="T720" s="117"/>
      <c r="V720" s="117"/>
      <c r="X720" s="117"/>
      <c r="Y720" s="10"/>
      <c r="Z720" s="11"/>
      <c r="AA720" s="36"/>
      <c r="AB720" s="36"/>
      <c r="AC720" s="13"/>
      <c r="AD720" s="13"/>
      <c r="AE720" s="37"/>
      <c r="AF720" s="37"/>
      <c r="AG720" s="14"/>
      <c r="AH720" s="14"/>
      <c r="AI720" s="14"/>
      <c r="AZ720" s="24"/>
    </row>
    <row r="721">
      <c r="B721" s="24"/>
      <c r="E721" s="113"/>
      <c r="F721" s="266"/>
      <c r="G721" s="113"/>
      <c r="K721" s="36"/>
      <c r="L721" s="117"/>
      <c r="M721" s="128"/>
      <c r="N721" s="117"/>
      <c r="R721" s="117"/>
      <c r="T721" s="117"/>
      <c r="V721" s="117"/>
      <c r="X721" s="117"/>
      <c r="Y721" s="10"/>
      <c r="Z721" s="11"/>
      <c r="AA721" s="36"/>
      <c r="AB721" s="36"/>
      <c r="AC721" s="13"/>
      <c r="AD721" s="13"/>
      <c r="AE721" s="37"/>
      <c r="AF721" s="37"/>
      <c r="AG721" s="14"/>
      <c r="AH721" s="14"/>
      <c r="AI721" s="14"/>
      <c r="AZ721" s="24"/>
    </row>
    <row r="722">
      <c r="B722" s="24"/>
      <c r="E722" s="113"/>
      <c r="F722" s="266"/>
      <c r="G722" s="113"/>
      <c r="K722" s="36"/>
      <c r="L722" s="117"/>
      <c r="M722" s="128"/>
      <c r="N722" s="117"/>
      <c r="R722" s="117"/>
      <c r="T722" s="117"/>
      <c r="V722" s="117"/>
      <c r="X722" s="117"/>
      <c r="Y722" s="10"/>
      <c r="Z722" s="11"/>
      <c r="AA722" s="36"/>
      <c r="AB722" s="36"/>
      <c r="AC722" s="13"/>
      <c r="AD722" s="13"/>
      <c r="AE722" s="37"/>
      <c r="AF722" s="37"/>
      <c r="AG722" s="14"/>
      <c r="AH722" s="14"/>
      <c r="AI722" s="14"/>
      <c r="AZ722" s="24"/>
    </row>
    <row r="723">
      <c r="B723" s="24"/>
      <c r="E723" s="113"/>
      <c r="F723" s="266"/>
      <c r="G723" s="113"/>
      <c r="K723" s="36"/>
      <c r="L723" s="117"/>
      <c r="M723" s="128"/>
      <c r="N723" s="117"/>
      <c r="R723" s="117"/>
      <c r="T723" s="117"/>
      <c r="V723" s="117"/>
      <c r="X723" s="117"/>
      <c r="Y723" s="10"/>
      <c r="Z723" s="11"/>
      <c r="AA723" s="36"/>
      <c r="AB723" s="36"/>
      <c r="AC723" s="13"/>
      <c r="AD723" s="13"/>
      <c r="AE723" s="37"/>
      <c r="AF723" s="37"/>
      <c r="AG723" s="14"/>
      <c r="AH723" s="14"/>
      <c r="AI723" s="14"/>
      <c r="AZ723" s="24"/>
    </row>
    <row r="724">
      <c r="B724" s="24"/>
      <c r="E724" s="113"/>
      <c r="F724" s="266"/>
      <c r="G724" s="113"/>
      <c r="K724" s="36"/>
      <c r="L724" s="117"/>
      <c r="M724" s="128"/>
      <c r="N724" s="117"/>
      <c r="R724" s="117"/>
      <c r="T724" s="117"/>
      <c r="V724" s="117"/>
      <c r="X724" s="117"/>
      <c r="Y724" s="10"/>
      <c r="Z724" s="11"/>
      <c r="AA724" s="36"/>
      <c r="AB724" s="36"/>
      <c r="AC724" s="13"/>
      <c r="AD724" s="13"/>
      <c r="AE724" s="37"/>
      <c r="AF724" s="37"/>
      <c r="AG724" s="14"/>
      <c r="AH724" s="14"/>
      <c r="AI724" s="14"/>
      <c r="AZ724" s="24"/>
    </row>
    <row r="725">
      <c r="B725" s="24"/>
      <c r="E725" s="113"/>
      <c r="F725" s="266"/>
      <c r="G725" s="113"/>
      <c r="K725" s="36"/>
      <c r="L725" s="117"/>
      <c r="M725" s="128"/>
      <c r="N725" s="117"/>
      <c r="R725" s="117"/>
      <c r="T725" s="117"/>
      <c r="V725" s="117"/>
      <c r="X725" s="117"/>
      <c r="Y725" s="10"/>
      <c r="Z725" s="11"/>
      <c r="AA725" s="36"/>
      <c r="AB725" s="36"/>
      <c r="AC725" s="13"/>
      <c r="AD725" s="13"/>
      <c r="AE725" s="37"/>
      <c r="AF725" s="37"/>
      <c r="AG725" s="14"/>
      <c r="AH725" s="14"/>
      <c r="AI725" s="14"/>
      <c r="AZ725" s="24"/>
    </row>
    <row r="726">
      <c r="B726" s="24"/>
      <c r="E726" s="113"/>
      <c r="F726" s="266"/>
      <c r="G726" s="113"/>
      <c r="K726" s="36"/>
      <c r="L726" s="117"/>
      <c r="M726" s="128"/>
      <c r="N726" s="117"/>
      <c r="R726" s="117"/>
      <c r="T726" s="117"/>
      <c r="V726" s="117"/>
      <c r="X726" s="117"/>
      <c r="Y726" s="10"/>
      <c r="Z726" s="11"/>
      <c r="AA726" s="36"/>
      <c r="AB726" s="36"/>
      <c r="AC726" s="13"/>
      <c r="AD726" s="13"/>
      <c r="AE726" s="37"/>
      <c r="AF726" s="37"/>
      <c r="AG726" s="14"/>
      <c r="AH726" s="14"/>
      <c r="AI726" s="14"/>
      <c r="AZ726" s="24"/>
    </row>
    <row r="727">
      <c r="B727" s="24"/>
      <c r="E727" s="113"/>
      <c r="F727" s="266"/>
      <c r="G727" s="113"/>
      <c r="K727" s="36"/>
      <c r="L727" s="117"/>
      <c r="M727" s="128"/>
      <c r="N727" s="117"/>
      <c r="R727" s="117"/>
      <c r="T727" s="117"/>
      <c r="V727" s="117"/>
      <c r="X727" s="117"/>
      <c r="Y727" s="10"/>
      <c r="Z727" s="11"/>
      <c r="AA727" s="36"/>
      <c r="AB727" s="36"/>
      <c r="AC727" s="13"/>
      <c r="AD727" s="13"/>
      <c r="AE727" s="37"/>
      <c r="AF727" s="37"/>
      <c r="AG727" s="14"/>
      <c r="AH727" s="14"/>
      <c r="AI727" s="14"/>
      <c r="AZ727" s="24"/>
    </row>
    <row r="728">
      <c r="B728" s="24"/>
      <c r="E728" s="113"/>
      <c r="F728" s="266"/>
      <c r="G728" s="113"/>
      <c r="K728" s="36"/>
      <c r="L728" s="117"/>
      <c r="M728" s="128"/>
      <c r="N728" s="117"/>
      <c r="R728" s="117"/>
      <c r="T728" s="117"/>
      <c r="V728" s="117"/>
      <c r="X728" s="117"/>
      <c r="Y728" s="10"/>
      <c r="Z728" s="11"/>
      <c r="AA728" s="36"/>
      <c r="AB728" s="36"/>
      <c r="AC728" s="13"/>
      <c r="AD728" s="13"/>
      <c r="AE728" s="37"/>
      <c r="AF728" s="37"/>
      <c r="AG728" s="14"/>
      <c r="AH728" s="14"/>
      <c r="AI728" s="14"/>
      <c r="AZ728" s="24"/>
    </row>
    <row r="729">
      <c r="B729" s="24"/>
      <c r="E729" s="113"/>
      <c r="F729" s="266"/>
      <c r="G729" s="113"/>
      <c r="K729" s="36"/>
      <c r="L729" s="117"/>
      <c r="M729" s="128"/>
      <c r="N729" s="117"/>
      <c r="R729" s="117"/>
      <c r="T729" s="117"/>
      <c r="V729" s="117"/>
      <c r="X729" s="117"/>
      <c r="Y729" s="10"/>
      <c r="Z729" s="11"/>
      <c r="AA729" s="36"/>
      <c r="AB729" s="36"/>
      <c r="AC729" s="13"/>
      <c r="AD729" s="13"/>
      <c r="AE729" s="37"/>
      <c r="AF729" s="37"/>
      <c r="AG729" s="14"/>
      <c r="AH729" s="14"/>
      <c r="AI729" s="14"/>
      <c r="AZ729" s="24"/>
    </row>
    <row r="730">
      <c r="B730" s="24"/>
      <c r="E730" s="113"/>
      <c r="F730" s="266"/>
      <c r="G730" s="113"/>
      <c r="K730" s="36"/>
      <c r="L730" s="117"/>
      <c r="M730" s="128"/>
      <c r="N730" s="117"/>
      <c r="R730" s="117"/>
      <c r="T730" s="117"/>
      <c r="V730" s="117"/>
      <c r="X730" s="117"/>
      <c r="Y730" s="10"/>
      <c r="Z730" s="11"/>
      <c r="AA730" s="36"/>
      <c r="AB730" s="36"/>
      <c r="AC730" s="13"/>
      <c r="AD730" s="13"/>
      <c r="AE730" s="37"/>
      <c r="AF730" s="37"/>
      <c r="AG730" s="14"/>
      <c r="AH730" s="14"/>
      <c r="AI730" s="14"/>
      <c r="AZ730" s="24"/>
    </row>
    <row r="731">
      <c r="B731" s="24"/>
      <c r="E731" s="113"/>
      <c r="F731" s="266"/>
      <c r="G731" s="113"/>
      <c r="K731" s="36"/>
      <c r="L731" s="117"/>
      <c r="M731" s="128"/>
      <c r="N731" s="117"/>
      <c r="R731" s="117"/>
      <c r="T731" s="117"/>
      <c r="V731" s="117"/>
      <c r="X731" s="117"/>
      <c r="Y731" s="10"/>
      <c r="Z731" s="11"/>
      <c r="AA731" s="36"/>
      <c r="AB731" s="36"/>
      <c r="AC731" s="13"/>
      <c r="AD731" s="13"/>
      <c r="AE731" s="37"/>
      <c r="AF731" s="37"/>
      <c r="AG731" s="14"/>
      <c r="AH731" s="14"/>
      <c r="AI731" s="14"/>
      <c r="AZ731" s="24"/>
    </row>
    <row r="732">
      <c r="B732" s="24"/>
      <c r="E732" s="113"/>
      <c r="F732" s="266"/>
      <c r="G732" s="113"/>
      <c r="K732" s="36"/>
      <c r="L732" s="117"/>
      <c r="M732" s="128"/>
      <c r="N732" s="117"/>
      <c r="R732" s="117"/>
      <c r="T732" s="117"/>
      <c r="V732" s="117"/>
      <c r="X732" s="117"/>
      <c r="Y732" s="10"/>
      <c r="Z732" s="11"/>
      <c r="AA732" s="36"/>
      <c r="AB732" s="36"/>
      <c r="AC732" s="13"/>
      <c r="AD732" s="13"/>
      <c r="AE732" s="37"/>
      <c r="AF732" s="37"/>
      <c r="AG732" s="14"/>
      <c r="AH732" s="14"/>
      <c r="AI732" s="14"/>
      <c r="AZ732" s="24"/>
    </row>
    <row r="733">
      <c r="B733" s="24"/>
      <c r="E733" s="113"/>
      <c r="F733" s="266"/>
      <c r="G733" s="113"/>
      <c r="K733" s="36"/>
      <c r="L733" s="117"/>
      <c r="M733" s="128"/>
      <c r="N733" s="117"/>
      <c r="R733" s="117"/>
      <c r="T733" s="117"/>
      <c r="V733" s="117"/>
      <c r="X733" s="117"/>
      <c r="Y733" s="10"/>
      <c r="Z733" s="11"/>
      <c r="AA733" s="36"/>
      <c r="AB733" s="36"/>
      <c r="AC733" s="13"/>
      <c r="AD733" s="13"/>
      <c r="AE733" s="37"/>
      <c r="AF733" s="37"/>
      <c r="AG733" s="14"/>
      <c r="AH733" s="14"/>
      <c r="AI733" s="14"/>
      <c r="AZ733" s="24"/>
    </row>
    <row r="734">
      <c r="B734" s="24"/>
      <c r="E734" s="113"/>
      <c r="F734" s="266"/>
      <c r="G734" s="113"/>
      <c r="K734" s="36"/>
      <c r="L734" s="117"/>
      <c r="M734" s="128"/>
      <c r="N734" s="117"/>
      <c r="R734" s="117"/>
      <c r="T734" s="117"/>
      <c r="V734" s="117"/>
      <c r="X734" s="117"/>
      <c r="Y734" s="10"/>
      <c r="Z734" s="11"/>
      <c r="AA734" s="36"/>
      <c r="AB734" s="36"/>
      <c r="AC734" s="13"/>
      <c r="AD734" s="13"/>
      <c r="AE734" s="37"/>
      <c r="AF734" s="37"/>
      <c r="AG734" s="14"/>
      <c r="AH734" s="14"/>
      <c r="AI734" s="14"/>
      <c r="AZ734" s="24"/>
    </row>
    <row r="735">
      <c r="B735" s="24"/>
      <c r="E735" s="113"/>
      <c r="F735" s="266"/>
      <c r="G735" s="113"/>
      <c r="K735" s="36"/>
      <c r="L735" s="117"/>
      <c r="M735" s="128"/>
      <c r="N735" s="117"/>
      <c r="R735" s="117"/>
      <c r="T735" s="117"/>
      <c r="V735" s="117"/>
      <c r="X735" s="117"/>
      <c r="Y735" s="10"/>
      <c r="Z735" s="11"/>
      <c r="AA735" s="36"/>
      <c r="AB735" s="36"/>
      <c r="AC735" s="13"/>
      <c r="AD735" s="13"/>
      <c r="AE735" s="37"/>
      <c r="AF735" s="37"/>
      <c r="AG735" s="14"/>
      <c r="AH735" s="14"/>
      <c r="AI735" s="14"/>
      <c r="AZ735" s="24"/>
    </row>
    <row r="736">
      <c r="B736" s="24"/>
      <c r="E736" s="113"/>
      <c r="F736" s="266"/>
      <c r="G736" s="113"/>
      <c r="K736" s="36"/>
      <c r="L736" s="117"/>
      <c r="M736" s="128"/>
      <c r="N736" s="117"/>
      <c r="R736" s="117"/>
      <c r="T736" s="117"/>
      <c r="V736" s="117"/>
      <c r="X736" s="117"/>
      <c r="Y736" s="10"/>
      <c r="Z736" s="11"/>
      <c r="AA736" s="36"/>
      <c r="AB736" s="36"/>
      <c r="AC736" s="13"/>
      <c r="AD736" s="13"/>
      <c r="AE736" s="37"/>
      <c r="AF736" s="37"/>
      <c r="AG736" s="14"/>
      <c r="AH736" s="14"/>
      <c r="AI736" s="14"/>
      <c r="AZ736" s="24"/>
    </row>
    <row r="737">
      <c r="B737" s="24"/>
      <c r="E737" s="113"/>
      <c r="F737" s="266"/>
      <c r="G737" s="113"/>
      <c r="K737" s="36"/>
      <c r="L737" s="117"/>
      <c r="M737" s="128"/>
      <c r="N737" s="117"/>
      <c r="R737" s="117"/>
      <c r="T737" s="117"/>
      <c r="V737" s="117"/>
      <c r="X737" s="117"/>
      <c r="Y737" s="10"/>
      <c r="Z737" s="11"/>
      <c r="AA737" s="36"/>
      <c r="AB737" s="36"/>
      <c r="AC737" s="13"/>
      <c r="AD737" s="13"/>
      <c r="AE737" s="37"/>
      <c r="AF737" s="37"/>
      <c r="AG737" s="14"/>
      <c r="AH737" s="14"/>
      <c r="AI737" s="14"/>
      <c r="AZ737" s="24"/>
    </row>
    <row r="738">
      <c r="B738" s="24"/>
      <c r="E738" s="113"/>
      <c r="F738" s="266"/>
      <c r="G738" s="113"/>
      <c r="K738" s="36"/>
      <c r="L738" s="117"/>
      <c r="M738" s="128"/>
      <c r="N738" s="117"/>
      <c r="R738" s="117"/>
      <c r="T738" s="117"/>
      <c r="V738" s="117"/>
      <c r="X738" s="117"/>
      <c r="Y738" s="10"/>
      <c r="Z738" s="11"/>
      <c r="AA738" s="36"/>
      <c r="AB738" s="36"/>
      <c r="AC738" s="13"/>
      <c r="AD738" s="13"/>
      <c r="AE738" s="37"/>
      <c r="AF738" s="37"/>
      <c r="AG738" s="14"/>
      <c r="AH738" s="14"/>
      <c r="AI738" s="14"/>
      <c r="AZ738" s="24"/>
    </row>
    <row r="739">
      <c r="B739" s="24"/>
      <c r="E739" s="113"/>
      <c r="F739" s="266"/>
      <c r="G739" s="113"/>
      <c r="K739" s="36"/>
      <c r="L739" s="117"/>
      <c r="M739" s="128"/>
      <c r="N739" s="117"/>
      <c r="R739" s="117"/>
      <c r="T739" s="117"/>
      <c r="V739" s="117"/>
      <c r="X739" s="117"/>
      <c r="Y739" s="10"/>
      <c r="Z739" s="11"/>
      <c r="AA739" s="36"/>
      <c r="AB739" s="36"/>
      <c r="AC739" s="13"/>
      <c r="AD739" s="13"/>
      <c r="AE739" s="37"/>
      <c r="AF739" s="37"/>
      <c r="AG739" s="14"/>
      <c r="AH739" s="14"/>
      <c r="AI739" s="14"/>
      <c r="AZ739" s="24"/>
    </row>
    <row r="740">
      <c r="B740" s="24"/>
      <c r="E740" s="113"/>
      <c r="F740" s="266"/>
      <c r="G740" s="113"/>
      <c r="K740" s="36"/>
      <c r="L740" s="117"/>
      <c r="M740" s="128"/>
      <c r="N740" s="117"/>
      <c r="R740" s="117"/>
      <c r="T740" s="117"/>
      <c r="V740" s="117"/>
      <c r="X740" s="117"/>
      <c r="Y740" s="10"/>
      <c r="Z740" s="11"/>
      <c r="AA740" s="36"/>
      <c r="AB740" s="36"/>
      <c r="AC740" s="13"/>
      <c r="AD740" s="13"/>
      <c r="AE740" s="37"/>
      <c r="AF740" s="37"/>
      <c r="AG740" s="14"/>
      <c r="AH740" s="14"/>
      <c r="AI740" s="14"/>
      <c r="AZ740" s="24"/>
    </row>
    <row r="741">
      <c r="B741" s="24"/>
      <c r="E741" s="113"/>
      <c r="F741" s="266"/>
      <c r="G741" s="113"/>
      <c r="K741" s="36"/>
      <c r="L741" s="117"/>
      <c r="M741" s="128"/>
      <c r="N741" s="117"/>
      <c r="R741" s="117"/>
      <c r="T741" s="117"/>
      <c r="V741" s="117"/>
      <c r="X741" s="117"/>
      <c r="Y741" s="10"/>
      <c r="Z741" s="11"/>
      <c r="AA741" s="36"/>
      <c r="AB741" s="36"/>
      <c r="AC741" s="13"/>
      <c r="AD741" s="13"/>
      <c r="AE741" s="37"/>
      <c r="AF741" s="37"/>
      <c r="AG741" s="14"/>
      <c r="AH741" s="14"/>
      <c r="AI741" s="14"/>
      <c r="AZ741" s="24"/>
    </row>
    <row r="742">
      <c r="B742" s="24"/>
      <c r="E742" s="113"/>
      <c r="F742" s="266"/>
      <c r="G742" s="113"/>
      <c r="K742" s="36"/>
      <c r="L742" s="117"/>
      <c r="M742" s="128"/>
      <c r="N742" s="117"/>
      <c r="R742" s="117"/>
      <c r="T742" s="117"/>
      <c r="V742" s="117"/>
      <c r="X742" s="117"/>
      <c r="Y742" s="10"/>
      <c r="Z742" s="11"/>
      <c r="AA742" s="36"/>
      <c r="AB742" s="36"/>
      <c r="AC742" s="13"/>
      <c r="AD742" s="13"/>
      <c r="AE742" s="37"/>
      <c r="AF742" s="37"/>
      <c r="AG742" s="14"/>
      <c r="AH742" s="14"/>
      <c r="AI742" s="14"/>
      <c r="AZ742" s="24"/>
    </row>
    <row r="743">
      <c r="B743" s="24"/>
      <c r="E743" s="113"/>
      <c r="F743" s="266"/>
      <c r="G743" s="113"/>
      <c r="K743" s="36"/>
      <c r="L743" s="117"/>
      <c r="M743" s="128"/>
      <c r="N743" s="117"/>
      <c r="R743" s="117"/>
      <c r="T743" s="117"/>
      <c r="V743" s="117"/>
      <c r="X743" s="117"/>
      <c r="Y743" s="10"/>
      <c r="Z743" s="11"/>
      <c r="AA743" s="36"/>
      <c r="AB743" s="36"/>
      <c r="AC743" s="13"/>
      <c r="AD743" s="13"/>
      <c r="AE743" s="37"/>
      <c r="AF743" s="37"/>
      <c r="AG743" s="14"/>
      <c r="AH743" s="14"/>
      <c r="AI743" s="14"/>
      <c r="AZ743" s="24"/>
    </row>
    <row r="744">
      <c r="B744" s="24"/>
      <c r="E744" s="113"/>
      <c r="F744" s="266"/>
      <c r="G744" s="113"/>
      <c r="K744" s="36"/>
      <c r="L744" s="117"/>
      <c r="M744" s="128"/>
      <c r="N744" s="117"/>
      <c r="R744" s="117"/>
      <c r="T744" s="117"/>
      <c r="V744" s="117"/>
      <c r="X744" s="117"/>
      <c r="Y744" s="10"/>
      <c r="Z744" s="11"/>
      <c r="AA744" s="36"/>
      <c r="AB744" s="36"/>
      <c r="AC744" s="13"/>
      <c r="AD744" s="13"/>
      <c r="AE744" s="37"/>
      <c r="AF744" s="37"/>
      <c r="AG744" s="14"/>
      <c r="AH744" s="14"/>
      <c r="AI744" s="14"/>
      <c r="AZ744" s="24"/>
    </row>
    <row r="745">
      <c r="B745" s="24"/>
      <c r="E745" s="113"/>
      <c r="F745" s="266"/>
      <c r="G745" s="113"/>
      <c r="K745" s="36"/>
      <c r="L745" s="117"/>
      <c r="M745" s="128"/>
      <c r="N745" s="117"/>
      <c r="R745" s="117"/>
      <c r="T745" s="117"/>
      <c r="V745" s="117"/>
      <c r="X745" s="117"/>
      <c r="Y745" s="10"/>
      <c r="Z745" s="11"/>
      <c r="AA745" s="36"/>
      <c r="AB745" s="36"/>
      <c r="AC745" s="13"/>
      <c r="AD745" s="13"/>
      <c r="AE745" s="37"/>
      <c r="AF745" s="37"/>
      <c r="AG745" s="14"/>
      <c r="AH745" s="14"/>
      <c r="AI745" s="14"/>
      <c r="AZ745" s="24"/>
    </row>
    <row r="746">
      <c r="B746" s="24"/>
      <c r="E746" s="113"/>
      <c r="F746" s="266"/>
      <c r="G746" s="113"/>
      <c r="K746" s="36"/>
      <c r="L746" s="117"/>
      <c r="M746" s="128"/>
      <c r="N746" s="117"/>
      <c r="R746" s="117"/>
      <c r="T746" s="117"/>
      <c r="V746" s="117"/>
      <c r="X746" s="117"/>
      <c r="Y746" s="10"/>
      <c r="Z746" s="11"/>
      <c r="AA746" s="36"/>
      <c r="AB746" s="36"/>
      <c r="AC746" s="13"/>
      <c r="AD746" s="13"/>
      <c r="AE746" s="37"/>
      <c r="AF746" s="37"/>
      <c r="AG746" s="14"/>
      <c r="AH746" s="14"/>
      <c r="AI746" s="14"/>
      <c r="AZ746" s="24"/>
    </row>
    <row r="747">
      <c r="B747" s="24"/>
      <c r="E747" s="113"/>
      <c r="F747" s="266"/>
      <c r="G747" s="113"/>
      <c r="K747" s="36"/>
      <c r="L747" s="117"/>
      <c r="M747" s="128"/>
      <c r="N747" s="117"/>
      <c r="R747" s="117"/>
      <c r="T747" s="117"/>
      <c r="V747" s="117"/>
      <c r="X747" s="117"/>
      <c r="Y747" s="10"/>
      <c r="Z747" s="11"/>
      <c r="AA747" s="36"/>
      <c r="AB747" s="36"/>
      <c r="AC747" s="13"/>
      <c r="AD747" s="13"/>
      <c r="AE747" s="37"/>
      <c r="AF747" s="37"/>
      <c r="AG747" s="14"/>
      <c r="AH747" s="14"/>
      <c r="AI747" s="14"/>
      <c r="AZ747" s="24"/>
    </row>
    <row r="748">
      <c r="B748" s="24"/>
      <c r="E748" s="113"/>
      <c r="F748" s="266"/>
      <c r="G748" s="113"/>
      <c r="K748" s="36"/>
      <c r="L748" s="117"/>
      <c r="M748" s="128"/>
      <c r="N748" s="117"/>
      <c r="R748" s="117"/>
      <c r="T748" s="117"/>
      <c r="V748" s="117"/>
      <c r="X748" s="117"/>
      <c r="Y748" s="10"/>
      <c r="Z748" s="11"/>
      <c r="AA748" s="36"/>
      <c r="AB748" s="36"/>
      <c r="AC748" s="13"/>
      <c r="AD748" s="13"/>
      <c r="AE748" s="37"/>
      <c r="AF748" s="37"/>
      <c r="AG748" s="14"/>
      <c r="AH748" s="14"/>
      <c r="AI748" s="14"/>
      <c r="AZ748" s="24"/>
    </row>
    <row r="749">
      <c r="B749" s="24"/>
      <c r="E749" s="113"/>
      <c r="F749" s="266"/>
      <c r="G749" s="113"/>
      <c r="K749" s="36"/>
      <c r="L749" s="117"/>
      <c r="M749" s="128"/>
      <c r="N749" s="117"/>
      <c r="R749" s="117"/>
      <c r="T749" s="117"/>
      <c r="V749" s="117"/>
      <c r="X749" s="117"/>
      <c r="Y749" s="10"/>
      <c r="Z749" s="11"/>
      <c r="AA749" s="36"/>
      <c r="AB749" s="36"/>
      <c r="AC749" s="13"/>
      <c r="AD749" s="13"/>
      <c r="AE749" s="37"/>
      <c r="AF749" s="37"/>
      <c r="AG749" s="14"/>
      <c r="AH749" s="14"/>
      <c r="AI749" s="14"/>
      <c r="AZ749" s="24"/>
    </row>
    <row r="750">
      <c r="B750" s="24"/>
      <c r="E750" s="113"/>
      <c r="F750" s="266"/>
      <c r="G750" s="113"/>
      <c r="K750" s="36"/>
      <c r="L750" s="117"/>
      <c r="M750" s="128"/>
      <c r="N750" s="117"/>
      <c r="R750" s="117"/>
      <c r="T750" s="117"/>
      <c r="V750" s="117"/>
      <c r="X750" s="117"/>
      <c r="Y750" s="10"/>
      <c r="Z750" s="11"/>
      <c r="AA750" s="36"/>
      <c r="AB750" s="36"/>
      <c r="AC750" s="13"/>
      <c r="AD750" s="13"/>
      <c r="AE750" s="37"/>
      <c r="AF750" s="37"/>
      <c r="AG750" s="14"/>
      <c r="AH750" s="14"/>
      <c r="AI750" s="14"/>
      <c r="AZ750" s="24"/>
    </row>
    <row r="751">
      <c r="B751" s="24"/>
      <c r="E751" s="113"/>
      <c r="F751" s="266"/>
      <c r="G751" s="113"/>
      <c r="K751" s="36"/>
      <c r="L751" s="117"/>
      <c r="M751" s="128"/>
      <c r="N751" s="117"/>
      <c r="R751" s="117"/>
      <c r="T751" s="117"/>
      <c r="V751" s="117"/>
      <c r="X751" s="117"/>
      <c r="Y751" s="10"/>
      <c r="Z751" s="11"/>
      <c r="AA751" s="36"/>
      <c r="AB751" s="36"/>
      <c r="AC751" s="13"/>
      <c r="AD751" s="13"/>
      <c r="AE751" s="37"/>
      <c r="AF751" s="37"/>
      <c r="AG751" s="14"/>
      <c r="AH751" s="14"/>
      <c r="AI751" s="14"/>
      <c r="AZ751" s="24"/>
    </row>
    <row r="752">
      <c r="B752" s="24"/>
      <c r="E752" s="113"/>
      <c r="F752" s="266"/>
      <c r="G752" s="113"/>
      <c r="K752" s="36"/>
      <c r="L752" s="117"/>
      <c r="M752" s="128"/>
      <c r="N752" s="117"/>
      <c r="R752" s="117"/>
      <c r="T752" s="117"/>
      <c r="V752" s="117"/>
      <c r="X752" s="117"/>
      <c r="Y752" s="10"/>
      <c r="Z752" s="11"/>
      <c r="AA752" s="36"/>
      <c r="AB752" s="36"/>
      <c r="AC752" s="13"/>
      <c r="AD752" s="13"/>
      <c r="AE752" s="37"/>
      <c r="AF752" s="37"/>
      <c r="AG752" s="14"/>
      <c r="AH752" s="14"/>
      <c r="AI752" s="14"/>
      <c r="AZ752" s="24"/>
    </row>
    <row r="753">
      <c r="B753" s="24"/>
      <c r="E753" s="113"/>
      <c r="F753" s="266"/>
      <c r="G753" s="113"/>
      <c r="K753" s="36"/>
      <c r="L753" s="117"/>
      <c r="M753" s="128"/>
      <c r="N753" s="117"/>
      <c r="R753" s="117"/>
      <c r="T753" s="117"/>
      <c r="V753" s="117"/>
      <c r="X753" s="117"/>
      <c r="Y753" s="10"/>
      <c r="Z753" s="11"/>
      <c r="AA753" s="36"/>
      <c r="AB753" s="36"/>
      <c r="AC753" s="13"/>
      <c r="AD753" s="13"/>
      <c r="AE753" s="37"/>
      <c r="AF753" s="37"/>
      <c r="AG753" s="14"/>
      <c r="AH753" s="14"/>
      <c r="AI753" s="14"/>
      <c r="AZ753" s="24"/>
    </row>
    <row r="754">
      <c r="B754" s="24"/>
      <c r="E754" s="113"/>
      <c r="F754" s="266"/>
      <c r="G754" s="113"/>
      <c r="K754" s="36"/>
      <c r="L754" s="117"/>
      <c r="M754" s="128"/>
      <c r="N754" s="117"/>
      <c r="R754" s="117"/>
      <c r="T754" s="117"/>
      <c r="V754" s="117"/>
      <c r="X754" s="117"/>
      <c r="Y754" s="10"/>
      <c r="Z754" s="11"/>
      <c r="AA754" s="36"/>
      <c r="AB754" s="36"/>
      <c r="AC754" s="13"/>
      <c r="AD754" s="13"/>
      <c r="AE754" s="37"/>
      <c r="AF754" s="37"/>
      <c r="AG754" s="14"/>
      <c r="AH754" s="14"/>
      <c r="AI754" s="14"/>
      <c r="AZ754" s="24"/>
    </row>
    <row r="755">
      <c r="B755" s="24"/>
      <c r="E755" s="113"/>
      <c r="F755" s="266"/>
      <c r="G755" s="113"/>
      <c r="K755" s="36"/>
      <c r="L755" s="117"/>
      <c r="M755" s="128"/>
      <c r="N755" s="117"/>
      <c r="R755" s="117"/>
      <c r="T755" s="117"/>
      <c r="V755" s="117"/>
      <c r="X755" s="117"/>
      <c r="Y755" s="10"/>
      <c r="Z755" s="11"/>
      <c r="AA755" s="36"/>
      <c r="AB755" s="36"/>
      <c r="AC755" s="13"/>
      <c r="AD755" s="13"/>
      <c r="AE755" s="37"/>
      <c r="AF755" s="37"/>
      <c r="AG755" s="14"/>
      <c r="AH755" s="14"/>
      <c r="AI755" s="14"/>
      <c r="AZ755" s="24"/>
    </row>
    <row r="756">
      <c r="B756" s="24"/>
      <c r="E756" s="113"/>
      <c r="F756" s="266"/>
      <c r="G756" s="113"/>
      <c r="K756" s="36"/>
      <c r="L756" s="117"/>
      <c r="M756" s="128"/>
      <c r="N756" s="117"/>
      <c r="R756" s="117"/>
      <c r="T756" s="117"/>
      <c r="V756" s="117"/>
      <c r="X756" s="117"/>
      <c r="Y756" s="10"/>
      <c r="Z756" s="11"/>
      <c r="AA756" s="36"/>
      <c r="AB756" s="36"/>
      <c r="AC756" s="13"/>
      <c r="AD756" s="13"/>
      <c r="AE756" s="37"/>
      <c r="AF756" s="37"/>
      <c r="AG756" s="14"/>
      <c r="AH756" s="14"/>
      <c r="AI756" s="14"/>
      <c r="AZ756" s="24"/>
    </row>
    <row r="757">
      <c r="B757" s="24"/>
      <c r="E757" s="113"/>
      <c r="F757" s="266"/>
      <c r="G757" s="113"/>
      <c r="K757" s="36"/>
      <c r="L757" s="117"/>
      <c r="M757" s="128"/>
      <c r="N757" s="117"/>
      <c r="R757" s="117"/>
      <c r="T757" s="117"/>
      <c r="V757" s="117"/>
      <c r="X757" s="117"/>
      <c r="Y757" s="10"/>
      <c r="Z757" s="11"/>
      <c r="AA757" s="36"/>
      <c r="AB757" s="36"/>
      <c r="AC757" s="13"/>
      <c r="AD757" s="13"/>
      <c r="AE757" s="37"/>
      <c r="AF757" s="37"/>
      <c r="AG757" s="14"/>
      <c r="AH757" s="14"/>
      <c r="AI757" s="14"/>
      <c r="AZ757" s="24"/>
    </row>
    <row r="758">
      <c r="B758" s="24"/>
      <c r="E758" s="113"/>
      <c r="F758" s="266"/>
      <c r="G758" s="113"/>
      <c r="K758" s="36"/>
      <c r="L758" s="117"/>
      <c r="M758" s="128"/>
      <c r="N758" s="117"/>
      <c r="R758" s="117"/>
      <c r="T758" s="117"/>
      <c r="V758" s="117"/>
      <c r="X758" s="117"/>
      <c r="Y758" s="10"/>
      <c r="Z758" s="11"/>
      <c r="AA758" s="36"/>
      <c r="AB758" s="36"/>
      <c r="AC758" s="13"/>
      <c r="AD758" s="13"/>
      <c r="AE758" s="37"/>
      <c r="AF758" s="37"/>
      <c r="AG758" s="14"/>
      <c r="AH758" s="14"/>
      <c r="AI758" s="14"/>
      <c r="AZ758" s="24"/>
    </row>
    <row r="759">
      <c r="B759" s="24"/>
      <c r="E759" s="113"/>
      <c r="F759" s="266"/>
      <c r="G759" s="113"/>
      <c r="K759" s="36"/>
      <c r="L759" s="117"/>
      <c r="M759" s="128"/>
      <c r="N759" s="117"/>
      <c r="R759" s="117"/>
      <c r="T759" s="117"/>
      <c r="V759" s="117"/>
      <c r="X759" s="117"/>
      <c r="Y759" s="10"/>
      <c r="Z759" s="11"/>
      <c r="AA759" s="36"/>
      <c r="AB759" s="36"/>
      <c r="AC759" s="13"/>
      <c r="AD759" s="13"/>
      <c r="AE759" s="37"/>
      <c r="AF759" s="37"/>
      <c r="AG759" s="14"/>
      <c r="AH759" s="14"/>
      <c r="AI759" s="14"/>
      <c r="AZ759" s="24"/>
    </row>
    <row r="760">
      <c r="B760" s="24"/>
      <c r="E760" s="113"/>
      <c r="F760" s="266"/>
      <c r="G760" s="113"/>
      <c r="K760" s="36"/>
      <c r="L760" s="117"/>
      <c r="M760" s="128"/>
      <c r="N760" s="117"/>
      <c r="R760" s="117"/>
      <c r="T760" s="117"/>
      <c r="V760" s="117"/>
      <c r="X760" s="117"/>
      <c r="Y760" s="10"/>
      <c r="Z760" s="11"/>
      <c r="AA760" s="36"/>
      <c r="AB760" s="36"/>
      <c r="AC760" s="13"/>
      <c r="AD760" s="13"/>
      <c r="AE760" s="37"/>
      <c r="AF760" s="37"/>
      <c r="AG760" s="14"/>
      <c r="AH760" s="14"/>
      <c r="AI760" s="14"/>
      <c r="AZ760" s="24"/>
    </row>
    <row r="761">
      <c r="B761" s="24"/>
      <c r="E761" s="113"/>
      <c r="F761" s="266"/>
      <c r="G761" s="113"/>
      <c r="K761" s="36"/>
      <c r="L761" s="117"/>
      <c r="M761" s="128"/>
      <c r="N761" s="117"/>
      <c r="R761" s="117"/>
      <c r="T761" s="117"/>
      <c r="V761" s="117"/>
      <c r="X761" s="117"/>
      <c r="Y761" s="10"/>
      <c r="Z761" s="11"/>
      <c r="AA761" s="36"/>
      <c r="AB761" s="36"/>
      <c r="AC761" s="13"/>
      <c r="AD761" s="13"/>
      <c r="AE761" s="37"/>
      <c r="AF761" s="37"/>
      <c r="AG761" s="14"/>
      <c r="AH761" s="14"/>
      <c r="AI761" s="14"/>
      <c r="AZ761" s="24"/>
    </row>
    <row r="762">
      <c r="B762" s="24"/>
      <c r="E762" s="113"/>
      <c r="F762" s="266"/>
      <c r="G762" s="113"/>
      <c r="K762" s="36"/>
      <c r="L762" s="117"/>
      <c r="M762" s="128"/>
      <c r="N762" s="117"/>
      <c r="R762" s="117"/>
      <c r="T762" s="117"/>
      <c r="V762" s="117"/>
      <c r="X762" s="117"/>
      <c r="Y762" s="10"/>
      <c r="Z762" s="11"/>
      <c r="AA762" s="36"/>
      <c r="AB762" s="36"/>
      <c r="AC762" s="13"/>
      <c r="AD762" s="13"/>
      <c r="AE762" s="37"/>
      <c r="AF762" s="37"/>
      <c r="AG762" s="14"/>
      <c r="AH762" s="14"/>
      <c r="AI762" s="14"/>
      <c r="AZ762" s="24"/>
    </row>
    <row r="763">
      <c r="B763" s="24"/>
      <c r="E763" s="113"/>
      <c r="F763" s="266"/>
      <c r="G763" s="113"/>
      <c r="K763" s="36"/>
      <c r="L763" s="117"/>
      <c r="M763" s="128"/>
      <c r="N763" s="117"/>
      <c r="R763" s="117"/>
      <c r="T763" s="117"/>
      <c r="V763" s="117"/>
      <c r="X763" s="117"/>
      <c r="Y763" s="10"/>
      <c r="Z763" s="11"/>
      <c r="AA763" s="36"/>
      <c r="AB763" s="36"/>
      <c r="AC763" s="13"/>
      <c r="AD763" s="13"/>
      <c r="AE763" s="37"/>
      <c r="AF763" s="37"/>
      <c r="AG763" s="14"/>
      <c r="AH763" s="14"/>
      <c r="AI763" s="14"/>
      <c r="AZ763" s="24"/>
    </row>
    <row r="764">
      <c r="B764" s="24"/>
      <c r="E764" s="113"/>
      <c r="F764" s="266"/>
      <c r="G764" s="113"/>
      <c r="K764" s="36"/>
      <c r="L764" s="117"/>
      <c r="M764" s="128"/>
      <c r="N764" s="117"/>
      <c r="R764" s="117"/>
      <c r="T764" s="117"/>
      <c r="V764" s="117"/>
      <c r="X764" s="117"/>
      <c r="Y764" s="10"/>
      <c r="Z764" s="11"/>
      <c r="AA764" s="36"/>
      <c r="AB764" s="36"/>
      <c r="AC764" s="13"/>
      <c r="AD764" s="13"/>
      <c r="AE764" s="37"/>
      <c r="AF764" s="37"/>
      <c r="AG764" s="14"/>
      <c r="AH764" s="14"/>
      <c r="AI764" s="14"/>
      <c r="AZ764" s="24"/>
    </row>
    <row r="765">
      <c r="B765" s="24"/>
      <c r="E765" s="113"/>
      <c r="F765" s="266"/>
      <c r="G765" s="113"/>
      <c r="K765" s="36"/>
      <c r="L765" s="117"/>
      <c r="M765" s="128"/>
      <c r="N765" s="117"/>
      <c r="R765" s="117"/>
      <c r="T765" s="117"/>
      <c r="V765" s="117"/>
      <c r="X765" s="117"/>
      <c r="Y765" s="10"/>
      <c r="Z765" s="11"/>
      <c r="AA765" s="36"/>
      <c r="AB765" s="36"/>
      <c r="AC765" s="13"/>
      <c r="AD765" s="13"/>
      <c r="AE765" s="37"/>
      <c r="AF765" s="37"/>
      <c r="AG765" s="14"/>
      <c r="AH765" s="14"/>
      <c r="AI765" s="14"/>
      <c r="AZ765" s="24"/>
    </row>
    <row r="766">
      <c r="B766" s="24"/>
      <c r="E766" s="113"/>
      <c r="F766" s="266"/>
      <c r="G766" s="113"/>
      <c r="K766" s="36"/>
      <c r="L766" s="117"/>
      <c r="M766" s="128"/>
      <c r="N766" s="117"/>
      <c r="R766" s="117"/>
      <c r="T766" s="117"/>
      <c r="V766" s="117"/>
      <c r="X766" s="117"/>
      <c r="Y766" s="10"/>
      <c r="Z766" s="11"/>
      <c r="AA766" s="36"/>
      <c r="AB766" s="36"/>
      <c r="AC766" s="13"/>
      <c r="AD766" s="13"/>
      <c r="AE766" s="37"/>
      <c r="AF766" s="37"/>
      <c r="AG766" s="14"/>
      <c r="AH766" s="14"/>
      <c r="AI766" s="14"/>
      <c r="AZ766" s="24"/>
    </row>
    <row r="767">
      <c r="B767" s="24"/>
      <c r="E767" s="113"/>
      <c r="F767" s="266"/>
      <c r="G767" s="113"/>
      <c r="K767" s="36"/>
      <c r="L767" s="117"/>
      <c r="M767" s="128"/>
      <c r="N767" s="117"/>
      <c r="R767" s="117"/>
      <c r="T767" s="117"/>
      <c r="V767" s="117"/>
      <c r="X767" s="117"/>
      <c r="Y767" s="10"/>
      <c r="Z767" s="11"/>
      <c r="AA767" s="36"/>
      <c r="AB767" s="36"/>
      <c r="AC767" s="13"/>
      <c r="AD767" s="13"/>
      <c r="AE767" s="37"/>
      <c r="AF767" s="37"/>
      <c r="AG767" s="14"/>
      <c r="AH767" s="14"/>
      <c r="AI767" s="14"/>
      <c r="AZ767" s="24"/>
    </row>
    <row r="768">
      <c r="B768" s="24"/>
      <c r="E768" s="113"/>
      <c r="F768" s="266"/>
      <c r="G768" s="113"/>
      <c r="K768" s="36"/>
      <c r="L768" s="117"/>
      <c r="M768" s="128"/>
      <c r="N768" s="117"/>
      <c r="R768" s="117"/>
      <c r="T768" s="117"/>
      <c r="V768" s="117"/>
      <c r="X768" s="117"/>
      <c r="Y768" s="10"/>
      <c r="Z768" s="11"/>
      <c r="AA768" s="36"/>
      <c r="AB768" s="36"/>
      <c r="AC768" s="13"/>
      <c r="AD768" s="13"/>
      <c r="AE768" s="37"/>
      <c r="AF768" s="37"/>
      <c r="AG768" s="14"/>
      <c r="AH768" s="14"/>
      <c r="AI768" s="14"/>
      <c r="AZ768" s="24"/>
    </row>
    <row r="769">
      <c r="B769" s="24"/>
      <c r="E769" s="113"/>
      <c r="F769" s="266"/>
      <c r="G769" s="113"/>
      <c r="K769" s="36"/>
      <c r="L769" s="117"/>
      <c r="M769" s="128"/>
      <c r="N769" s="117"/>
      <c r="R769" s="117"/>
      <c r="T769" s="117"/>
      <c r="V769" s="117"/>
      <c r="X769" s="117"/>
      <c r="Y769" s="10"/>
      <c r="Z769" s="11"/>
      <c r="AA769" s="36"/>
      <c r="AB769" s="36"/>
      <c r="AC769" s="13"/>
      <c r="AD769" s="13"/>
      <c r="AE769" s="37"/>
      <c r="AF769" s="37"/>
      <c r="AG769" s="14"/>
      <c r="AH769" s="14"/>
      <c r="AI769" s="14"/>
      <c r="AZ769" s="24"/>
    </row>
    <row r="770">
      <c r="B770" s="24"/>
      <c r="E770" s="113"/>
      <c r="F770" s="266"/>
      <c r="G770" s="113"/>
      <c r="K770" s="36"/>
      <c r="L770" s="117"/>
      <c r="M770" s="128"/>
      <c r="N770" s="117"/>
      <c r="R770" s="117"/>
      <c r="T770" s="117"/>
      <c r="V770" s="117"/>
      <c r="X770" s="117"/>
      <c r="Y770" s="10"/>
      <c r="Z770" s="11"/>
      <c r="AA770" s="36"/>
      <c r="AB770" s="36"/>
      <c r="AC770" s="13"/>
      <c r="AD770" s="13"/>
      <c r="AE770" s="37"/>
      <c r="AF770" s="37"/>
      <c r="AG770" s="14"/>
      <c r="AH770" s="14"/>
      <c r="AI770" s="14"/>
      <c r="AZ770" s="24"/>
    </row>
    <row r="771">
      <c r="B771" s="24"/>
      <c r="E771" s="113"/>
      <c r="F771" s="266"/>
      <c r="G771" s="113"/>
      <c r="K771" s="36"/>
      <c r="L771" s="117"/>
      <c r="M771" s="128"/>
      <c r="N771" s="117"/>
      <c r="R771" s="117"/>
      <c r="T771" s="117"/>
      <c r="V771" s="117"/>
      <c r="X771" s="117"/>
      <c r="Y771" s="10"/>
      <c r="Z771" s="11"/>
      <c r="AA771" s="36"/>
      <c r="AB771" s="36"/>
      <c r="AC771" s="13"/>
      <c r="AD771" s="13"/>
      <c r="AE771" s="37"/>
      <c r="AF771" s="37"/>
      <c r="AG771" s="14"/>
      <c r="AH771" s="14"/>
      <c r="AI771" s="14"/>
      <c r="AZ771" s="24"/>
    </row>
    <row r="772">
      <c r="B772" s="24"/>
      <c r="E772" s="113"/>
      <c r="F772" s="266"/>
      <c r="G772" s="113"/>
      <c r="K772" s="36"/>
      <c r="L772" s="117"/>
      <c r="M772" s="128"/>
      <c r="N772" s="117"/>
      <c r="R772" s="117"/>
      <c r="T772" s="117"/>
      <c r="V772" s="117"/>
      <c r="X772" s="117"/>
      <c r="Y772" s="10"/>
      <c r="Z772" s="11"/>
      <c r="AA772" s="36"/>
      <c r="AB772" s="36"/>
      <c r="AC772" s="13"/>
      <c r="AD772" s="13"/>
      <c r="AE772" s="37"/>
      <c r="AF772" s="37"/>
      <c r="AG772" s="14"/>
      <c r="AH772" s="14"/>
      <c r="AI772" s="14"/>
      <c r="AZ772" s="24"/>
    </row>
    <row r="773">
      <c r="B773" s="24"/>
      <c r="E773" s="113"/>
      <c r="F773" s="266"/>
      <c r="G773" s="113"/>
      <c r="K773" s="36"/>
      <c r="L773" s="117"/>
      <c r="M773" s="128"/>
      <c r="N773" s="117"/>
      <c r="R773" s="117"/>
      <c r="T773" s="117"/>
      <c r="V773" s="117"/>
      <c r="X773" s="117"/>
      <c r="Y773" s="10"/>
      <c r="Z773" s="11"/>
      <c r="AA773" s="36"/>
      <c r="AB773" s="36"/>
      <c r="AC773" s="13"/>
      <c r="AD773" s="13"/>
      <c r="AE773" s="37"/>
      <c r="AF773" s="37"/>
      <c r="AG773" s="14"/>
      <c r="AH773" s="14"/>
      <c r="AI773" s="14"/>
      <c r="AZ773" s="24"/>
    </row>
    <row r="774">
      <c r="B774" s="24"/>
      <c r="E774" s="113"/>
      <c r="F774" s="266"/>
      <c r="G774" s="113"/>
      <c r="K774" s="36"/>
      <c r="L774" s="117"/>
      <c r="M774" s="128"/>
      <c r="N774" s="117"/>
      <c r="R774" s="117"/>
      <c r="T774" s="117"/>
      <c r="V774" s="117"/>
      <c r="X774" s="117"/>
      <c r="Y774" s="10"/>
      <c r="Z774" s="11"/>
      <c r="AA774" s="36"/>
      <c r="AB774" s="36"/>
      <c r="AC774" s="13"/>
      <c r="AD774" s="13"/>
      <c r="AE774" s="37"/>
      <c r="AF774" s="37"/>
      <c r="AG774" s="14"/>
      <c r="AH774" s="14"/>
      <c r="AI774" s="14"/>
      <c r="AZ774" s="24"/>
    </row>
    <row r="775">
      <c r="B775" s="24"/>
      <c r="E775" s="113"/>
      <c r="F775" s="266"/>
      <c r="G775" s="113"/>
      <c r="K775" s="36"/>
      <c r="L775" s="117"/>
      <c r="M775" s="128"/>
      <c r="N775" s="117"/>
      <c r="R775" s="117"/>
      <c r="T775" s="117"/>
      <c r="V775" s="117"/>
      <c r="X775" s="117"/>
      <c r="Y775" s="10"/>
      <c r="Z775" s="11"/>
      <c r="AA775" s="36"/>
      <c r="AB775" s="36"/>
      <c r="AC775" s="13"/>
      <c r="AD775" s="13"/>
      <c r="AE775" s="37"/>
      <c r="AF775" s="37"/>
      <c r="AG775" s="14"/>
      <c r="AH775" s="14"/>
      <c r="AI775" s="14"/>
      <c r="AZ775" s="24"/>
    </row>
    <row r="776">
      <c r="B776" s="24"/>
      <c r="E776" s="113"/>
      <c r="F776" s="266"/>
      <c r="G776" s="113"/>
      <c r="K776" s="36"/>
      <c r="L776" s="117"/>
      <c r="M776" s="128"/>
      <c r="N776" s="117"/>
      <c r="R776" s="117"/>
      <c r="T776" s="117"/>
      <c r="V776" s="117"/>
      <c r="X776" s="117"/>
      <c r="Y776" s="10"/>
      <c r="Z776" s="11"/>
      <c r="AA776" s="36"/>
      <c r="AB776" s="36"/>
      <c r="AC776" s="13"/>
      <c r="AD776" s="13"/>
      <c r="AE776" s="37"/>
      <c r="AF776" s="37"/>
      <c r="AG776" s="14"/>
      <c r="AH776" s="14"/>
      <c r="AI776" s="14"/>
      <c r="AZ776" s="24"/>
    </row>
    <row r="777">
      <c r="B777" s="24"/>
      <c r="E777" s="113"/>
      <c r="F777" s="266"/>
      <c r="G777" s="113"/>
      <c r="K777" s="36"/>
      <c r="L777" s="117"/>
      <c r="M777" s="128"/>
      <c r="N777" s="117"/>
      <c r="R777" s="117"/>
      <c r="T777" s="117"/>
      <c r="V777" s="117"/>
      <c r="X777" s="117"/>
      <c r="Y777" s="10"/>
      <c r="Z777" s="11"/>
      <c r="AA777" s="36"/>
      <c r="AB777" s="36"/>
      <c r="AC777" s="13"/>
      <c r="AD777" s="13"/>
      <c r="AE777" s="37"/>
      <c r="AF777" s="37"/>
      <c r="AG777" s="14"/>
      <c r="AH777" s="14"/>
      <c r="AI777" s="14"/>
      <c r="AZ777" s="24"/>
    </row>
    <row r="778">
      <c r="B778" s="24"/>
      <c r="E778" s="113"/>
      <c r="F778" s="266"/>
      <c r="G778" s="113"/>
      <c r="K778" s="36"/>
      <c r="L778" s="117"/>
      <c r="M778" s="128"/>
      <c r="N778" s="117"/>
      <c r="R778" s="117"/>
      <c r="T778" s="117"/>
      <c r="V778" s="117"/>
      <c r="X778" s="117"/>
      <c r="Y778" s="10"/>
      <c r="Z778" s="11"/>
      <c r="AA778" s="36"/>
      <c r="AB778" s="36"/>
      <c r="AC778" s="13"/>
      <c r="AD778" s="13"/>
      <c r="AE778" s="37"/>
      <c r="AF778" s="37"/>
      <c r="AG778" s="14"/>
      <c r="AH778" s="14"/>
      <c r="AI778" s="14"/>
      <c r="AZ778" s="24"/>
    </row>
    <row r="779">
      <c r="B779" s="24"/>
      <c r="E779" s="113"/>
      <c r="F779" s="266"/>
      <c r="G779" s="113"/>
      <c r="K779" s="36"/>
      <c r="L779" s="117"/>
      <c r="M779" s="128"/>
      <c r="N779" s="117"/>
      <c r="R779" s="117"/>
      <c r="T779" s="117"/>
      <c r="V779" s="117"/>
      <c r="X779" s="117"/>
      <c r="Y779" s="10"/>
      <c r="Z779" s="11"/>
      <c r="AA779" s="36"/>
      <c r="AB779" s="36"/>
      <c r="AC779" s="13"/>
      <c r="AD779" s="13"/>
      <c r="AE779" s="37"/>
      <c r="AF779" s="37"/>
      <c r="AG779" s="14"/>
      <c r="AH779" s="14"/>
      <c r="AI779" s="14"/>
      <c r="AZ779" s="24"/>
    </row>
    <row r="780">
      <c r="B780" s="24"/>
      <c r="E780" s="113"/>
      <c r="F780" s="266"/>
      <c r="G780" s="113"/>
      <c r="K780" s="36"/>
      <c r="L780" s="117"/>
      <c r="M780" s="128"/>
      <c r="N780" s="117"/>
      <c r="R780" s="117"/>
      <c r="T780" s="117"/>
      <c r="V780" s="117"/>
      <c r="X780" s="117"/>
      <c r="Y780" s="10"/>
      <c r="Z780" s="11"/>
      <c r="AA780" s="36"/>
      <c r="AB780" s="36"/>
      <c r="AC780" s="13"/>
      <c r="AD780" s="13"/>
      <c r="AE780" s="37"/>
      <c r="AF780" s="37"/>
      <c r="AG780" s="14"/>
      <c r="AH780" s="14"/>
      <c r="AI780" s="14"/>
      <c r="AZ780" s="24"/>
    </row>
    <row r="781">
      <c r="B781" s="24"/>
      <c r="E781" s="113"/>
      <c r="F781" s="266"/>
      <c r="G781" s="113"/>
      <c r="K781" s="36"/>
      <c r="L781" s="117"/>
      <c r="M781" s="128"/>
      <c r="N781" s="117"/>
      <c r="R781" s="117"/>
      <c r="T781" s="117"/>
      <c r="V781" s="117"/>
      <c r="X781" s="117"/>
      <c r="Y781" s="10"/>
      <c r="Z781" s="11"/>
      <c r="AA781" s="36"/>
      <c r="AB781" s="36"/>
      <c r="AC781" s="13"/>
      <c r="AD781" s="13"/>
      <c r="AE781" s="37"/>
      <c r="AF781" s="37"/>
      <c r="AG781" s="14"/>
      <c r="AH781" s="14"/>
      <c r="AI781" s="14"/>
      <c r="AZ781" s="24"/>
    </row>
    <row r="782">
      <c r="B782" s="24"/>
      <c r="E782" s="113"/>
      <c r="F782" s="266"/>
      <c r="G782" s="113"/>
      <c r="K782" s="36"/>
      <c r="L782" s="117"/>
      <c r="M782" s="128"/>
      <c r="N782" s="117"/>
      <c r="R782" s="117"/>
      <c r="T782" s="117"/>
      <c r="V782" s="117"/>
      <c r="X782" s="117"/>
      <c r="Y782" s="10"/>
      <c r="Z782" s="11"/>
      <c r="AA782" s="36"/>
      <c r="AB782" s="36"/>
      <c r="AC782" s="13"/>
      <c r="AD782" s="13"/>
      <c r="AE782" s="37"/>
      <c r="AF782" s="37"/>
      <c r="AG782" s="14"/>
      <c r="AH782" s="14"/>
      <c r="AI782" s="14"/>
      <c r="AZ782" s="24"/>
    </row>
    <row r="783">
      <c r="B783" s="24"/>
      <c r="E783" s="113"/>
      <c r="F783" s="266"/>
      <c r="G783" s="113"/>
      <c r="K783" s="36"/>
      <c r="L783" s="117"/>
      <c r="M783" s="128"/>
      <c r="N783" s="117"/>
      <c r="R783" s="117"/>
      <c r="T783" s="117"/>
      <c r="V783" s="117"/>
      <c r="X783" s="117"/>
      <c r="Y783" s="10"/>
      <c r="Z783" s="11"/>
      <c r="AA783" s="36"/>
      <c r="AB783" s="36"/>
      <c r="AC783" s="13"/>
      <c r="AD783" s="13"/>
      <c r="AE783" s="37"/>
      <c r="AF783" s="37"/>
      <c r="AG783" s="14"/>
      <c r="AH783" s="14"/>
      <c r="AI783" s="14"/>
      <c r="AZ783" s="24"/>
    </row>
    <row r="784">
      <c r="B784" s="24"/>
      <c r="E784" s="113"/>
      <c r="F784" s="266"/>
      <c r="G784" s="113"/>
      <c r="K784" s="36"/>
      <c r="L784" s="117"/>
      <c r="M784" s="128"/>
      <c r="N784" s="117"/>
      <c r="R784" s="117"/>
      <c r="T784" s="117"/>
      <c r="V784" s="117"/>
      <c r="X784" s="117"/>
      <c r="Y784" s="10"/>
      <c r="Z784" s="11"/>
      <c r="AA784" s="36"/>
      <c r="AB784" s="36"/>
      <c r="AC784" s="13"/>
      <c r="AD784" s="13"/>
      <c r="AE784" s="37"/>
      <c r="AF784" s="37"/>
      <c r="AG784" s="14"/>
      <c r="AH784" s="14"/>
      <c r="AI784" s="14"/>
      <c r="AZ784" s="24"/>
    </row>
    <row r="785">
      <c r="B785" s="24"/>
      <c r="E785" s="113"/>
      <c r="F785" s="266"/>
      <c r="G785" s="113"/>
      <c r="K785" s="36"/>
      <c r="L785" s="117"/>
      <c r="M785" s="128"/>
      <c r="N785" s="117"/>
      <c r="R785" s="117"/>
      <c r="T785" s="117"/>
      <c r="V785" s="117"/>
      <c r="X785" s="117"/>
      <c r="Y785" s="10"/>
      <c r="Z785" s="11"/>
      <c r="AA785" s="36"/>
      <c r="AB785" s="36"/>
      <c r="AC785" s="13"/>
      <c r="AD785" s="13"/>
      <c r="AE785" s="37"/>
      <c r="AF785" s="37"/>
      <c r="AG785" s="14"/>
      <c r="AH785" s="14"/>
      <c r="AI785" s="14"/>
      <c r="AZ785" s="24"/>
    </row>
    <row r="786">
      <c r="B786" s="24"/>
      <c r="E786" s="113"/>
      <c r="F786" s="266"/>
      <c r="G786" s="113"/>
      <c r="K786" s="36"/>
      <c r="L786" s="117"/>
      <c r="M786" s="128"/>
      <c r="N786" s="117"/>
      <c r="R786" s="117"/>
      <c r="T786" s="117"/>
      <c r="V786" s="117"/>
      <c r="X786" s="117"/>
      <c r="Y786" s="10"/>
      <c r="Z786" s="11"/>
      <c r="AA786" s="36"/>
      <c r="AB786" s="36"/>
      <c r="AC786" s="13"/>
      <c r="AD786" s="13"/>
      <c r="AE786" s="37"/>
      <c r="AF786" s="37"/>
      <c r="AG786" s="14"/>
      <c r="AH786" s="14"/>
      <c r="AI786" s="14"/>
      <c r="AZ786" s="24"/>
    </row>
    <row r="787">
      <c r="B787" s="24"/>
      <c r="E787" s="113"/>
      <c r="F787" s="266"/>
      <c r="G787" s="113"/>
      <c r="K787" s="36"/>
      <c r="L787" s="117"/>
      <c r="M787" s="128"/>
      <c r="N787" s="117"/>
      <c r="R787" s="117"/>
      <c r="T787" s="117"/>
      <c r="V787" s="117"/>
      <c r="X787" s="117"/>
      <c r="Y787" s="10"/>
      <c r="Z787" s="11"/>
      <c r="AA787" s="36"/>
      <c r="AB787" s="36"/>
      <c r="AC787" s="13"/>
      <c r="AD787" s="13"/>
      <c r="AE787" s="37"/>
      <c r="AF787" s="37"/>
      <c r="AG787" s="14"/>
      <c r="AH787" s="14"/>
      <c r="AI787" s="14"/>
      <c r="AZ787" s="24"/>
    </row>
    <row r="788">
      <c r="B788" s="24"/>
      <c r="E788" s="113"/>
      <c r="F788" s="266"/>
      <c r="G788" s="113"/>
      <c r="K788" s="36"/>
      <c r="L788" s="117"/>
      <c r="M788" s="128"/>
      <c r="N788" s="117"/>
      <c r="R788" s="117"/>
      <c r="T788" s="117"/>
      <c r="V788" s="117"/>
      <c r="X788" s="117"/>
      <c r="Y788" s="10"/>
      <c r="Z788" s="11"/>
      <c r="AA788" s="36"/>
      <c r="AB788" s="36"/>
      <c r="AC788" s="13"/>
      <c r="AD788" s="13"/>
      <c r="AE788" s="37"/>
      <c r="AF788" s="37"/>
      <c r="AG788" s="14"/>
      <c r="AH788" s="14"/>
      <c r="AI788" s="14"/>
      <c r="AZ788" s="24"/>
    </row>
    <row r="789">
      <c r="B789" s="24"/>
      <c r="E789" s="113"/>
      <c r="F789" s="266"/>
      <c r="G789" s="113"/>
      <c r="K789" s="36"/>
      <c r="L789" s="117"/>
      <c r="M789" s="128"/>
      <c r="N789" s="117"/>
      <c r="R789" s="117"/>
      <c r="T789" s="117"/>
      <c r="V789" s="117"/>
      <c r="X789" s="117"/>
      <c r="Y789" s="10"/>
      <c r="Z789" s="11"/>
      <c r="AA789" s="36"/>
      <c r="AB789" s="36"/>
      <c r="AC789" s="13"/>
      <c r="AD789" s="13"/>
      <c r="AE789" s="37"/>
      <c r="AF789" s="37"/>
      <c r="AG789" s="14"/>
      <c r="AH789" s="14"/>
      <c r="AI789" s="14"/>
      <c r="AZ789" s="24"/>
    </row>
    <row r="790">
      <c r="B790" s="24"/>
      <c r="E790" s="113"/>
      <c r="F790" s="266"/>
      <c r="G790" s="113"/>
      <c r="K790" s="36"/>
      <c r="L790" s="117"/>
      <c r="M790" s="128"/>
      <c r="N790" s="117"/>
      <c r="R790" s="117"/>
      <c r="T790" s="117"/>
      <c r="V790" s="117"/>
      <c r="X790" s="117"/>
      <c r="Y790" s="10"/>
      <c r="Z790" s="11"/>
      <c r="AA790" s="36"/>
      <c r="AB790" s="36"/>
      <c r="AC790" s="13"/>
      <c r="AD790" s="13"/>
      <c r="AE790" s="37"/>
      <c r="AF790" s="37"/>
      <c r="AG790" s="14"/>
      <c r="AH790" s="14"/>
      <c r="AI790" s="14"/>
      <c r="AZ790" s="24"/>
    </row>
    <row r="791">
      <c r="B791" s="24"/>
      <c r="E791" s="113"/>
      <c r="F791" s="266"/>
      <c r="G791" s="113"/>
      <c r="K791" s="36"/>
      <c r="L791" s="117"/>
      <c r="M791" s="128"/>
      <c r="N791" s="117"/>
      <c r="R791" s="117"/>
      <c r="T791" s="117"/>
      <c r="V791" s="117"/>
      <c r="X791" s="117"/>
      <c r="Y791" s="10"/>
      <c r="Z791" s="11"/>
      <c r="AA791" s="36"/>
      <c r="AB791" s="36"/>
      <c r="AC791" s="13"/>
      <c r="AD791" s="13"/>
      <c r="AE791" s="37"/>
      <c r="AF791" s="37"/>
      <c r="AG791" s="14"/>
      <c r="AH791" s="14"/>
      <c r="AI791" s="14"/>
      <c r="AZ791" s="24"/>
    </row>
    <row r="792">
      <c r="B792" s="24"/>
      <c r="E792" s="113"/>
      <c r="F792" s="266"/>
      <c r="G792" s="113"/>
      <c r="K792" s="36"/>
      <c r="L792" s="117"/>
      <c r="M792" s="128"/>
      <c r="N792" s="117"/>
      <c r="R792" s="117"/>
      <c r="T792" s="117"/>
      <c r="V792" s="117"/>
      <c r="X792" s="117"/>
      <c r="Y792" s="10"/>
      <c r="Z792" s="11"/>
      <c r="AA792" s="36"/>
      <c r="AB792" s="36"/>
      <c r="AC792" s="13"/>
      <c r="AD792" s="13"/>
      <c r="AE792" s="37"/>
      <c r="AF792" s="37"/>
      <c r="AG792" s="14"/>
      <c r="AH792" s="14"/>
      <c r="AI792" s="14"/>
      <c r="AZ792" s="24"/>
    </row>
    <row r="793">
      <c r="B793" s="24"/>
      <c r="E793" s="113"/>
      <c r="F793" s="266"/>
      <c r="G793" s="113"/>
      <c r="K793" s="36"/>
      <c r="L793" s="117"/>
      <c r="M793" s="128"/>
      <c r="N793" s="117"/>
      <c r="R793" s="117"/>
      <c r="T793" s="117"/>
      <c r="V793" s="117"/>
      <c r="X793" s="117"/>
      <c r="Y793" s="10"/>
      <c r="Z793" s="11"/>
      <c r="AA793" s="36"/>
      <c r="AB793" s="36"/>
      <c r="AC793" s="13"/>
      <c r="AD793" s="13"/>
      <c r="AE793" s="37"/>
      <c r="AF793" s="37"/>
      <c r="AG793" s="14"/>
      <c r="AH793" s="14"/>
      <c r="AI793" s="14"/>
      <c r="AZ793" s="24"/>
    </row>
    <row r="794">
      <c r="B794" s="24"/>
      <c r="E794" s="113"/>
      <c r="F794" s="266"/>
      <c r="G794" s="113"/>
      <c r="K794" s="36"/>
      <c r="L794" s="117"/>
      <c r="M794" s="128"/>
      <c r="N794" s="117"/>
      <c r="R794" s="117"/>
      <c r="T794" s="117"/>
      <c r="V794" s="117"/>
      <c r="X794" s="117"/>
      <c r="Y794" s="10"/>
      <c r="Z794" s="11"/>
      <c r="AA794" s="36"/>
      <c r="AB794" s="36"/>
      <c r="AC794" s="13"/>
      <c r="AD794" s="13"/>
      <c r="AE794" s="37"/>
      <c r="AF794" s="37"/>
      <c r="AG794" s="14"/>
      <c r="AH794" s="14"/>
      <c r="AI794" s="14"/>
      <c r="AZ794" s="24"/>
    </row>
    <row r="795">
      <c r="B795" s="24"/>
      <c r="E795" s="113"/>
      <c r="F795" s="266"/>
      <c r="G795" s="113"/>
      <c r="K795" s="36"/>
      <c r="L795" s="117"/>
      <c r="M795" s="128"/>
      <c r="N795" s="117"/>
      <c r="R795" s="117"/>
      <c r="T795" s="117"/>
      <c r="V795" s="117"/>
      <c r="X795" s="117"/>
      <c r="Y795" s="10"/>
      <c r="Z795" s="11"/>
      <c r="AA795" s="36"/>
      <c r="AB795" s="36"/>
      <c r="AC795" s="13"/>
      <c r="AD795" s="13"/>
      <c r="AE795" s="37"/>
      <c r="AF795" s="37"/>
      <c r="AG795" s="14"/>
      <c r="AH795" s="14"/>
      <c r="AI795" s="14"/>
      <c r="AZ795" s="24"/>
    </row>
    <row r="796">
      <c r="B796" s="24"/>
      <c r="E796" s="113"/>
      <c r="F796" s="266"/>
      <c r="G796" s="113"/>
      <c r="K796" s="36"/>
      <c r="L796" s="117"/>
      <c r="M796" s="128"/>
      <c r="N796" s="117"/>
      <c r="R796" s="117"/>
      <c r="T796" s="117"/>
      <c r="V796" s="117"/>
      <c r="X796" s="117"/>
      <c r="Y796" s="10"/>
      <c r="Z796" s="11"/>
      <c r="AA796" s="36"/>
      <c r="AB796" s="36"/>
      <c r="AC796" s="13"/>
      <c r="AD796" s="13"/>
      <c r="AE796" s="37"/>
      <c r="AF796" s="37"/>
      <c r="AG796" s="14"/>
      <c r="AH796" s="14"/>
      <c r="AI796" s="14"/>
      <c r="AZ796" s="24"/>
    </row>
    <row r="797">
      <c r="B797" s="24"/>
      <c r="E797" s="113"/>
      <c r="F797" s="266"/>
      <c r="G797" s="113"/>
      <c r="K797" s="36"/>
      <c r="L797" s="117"/>
      <c r="M797" s="128"/>
      <c r="N797" s="117"/>
      <c r="R797" s="117"/>
      <c r="T797" s="117"/>
      <c r="V797" s="117"/>
      <c r="X797" s="117"/>
      <c r="Y797" s="10"/>
      <c r="Z797" s="11"/>
      <c r="AA797" s="36"/>
      <c r="AB797" s="36"/>
      <c r="AC797" s="13"/>
      <c r="AD797" s="13"/>
      <c r="AE797" s="37"/>
      <c r="AF797" s="37"/>
      <c r="AG797" s="14"/>
      <c r="AH797" s="14"/>
      <c r="AI797" s="14"/>
      <c r="AZ797" s="24"/>
    </row>
    <row r="798">
      <c r="B798" s="24"/>
      <c r="E798" s="113"/>
      <c r="F798" s="266"/>
      <c r="G798" s="113"/>
      <c r="K798" s="36"/>
      <c r="L798" s="117"/>
      <c r="M798" s="128"/>
      <c r="N798" s="117"/>
      <c r="R798" s="117"/>
      <c r="T798" s="117"/>
      <c r="V798" s="117"/>
      <c r="X798" s="117"/>
      <c r="Y798" s="10"/>
      <c r="Z798" s="11"/>
      <c r="AA798" s="36"/>
      <c r="AB798" s="36"/>
      <c r="AC798" s="13"/>
      <c r="AD798" s="13"/>
      <c r="AE798" s="37"/>
      <c r="AF798" s="37"/>
      <c r="AG798" s="14"/>
      <c r="AH798" s="14"/>
      <c r="AI798" s="14"/>
      <c r="AZ798" s="24"/>
    </row>
    <row r="799">
      <c r="B799" s="24"/>
      <c r="E799" s="113"/>
      <c r="F799" s="266"/>
      <c r="G799" s="113"/>
      <c r="K799" s="36"/>
      <c r="L799" s="117"/>
      <c r="M799" s="128"/>
      <c r="N799" s="117"/>
      <c r="R799" s="117"/>
      <c r="T799" s="117"/>
      <c r="V799" s="117"/>
      <c r="X799" s="117"/>
      <c r="Y799" s="10"/>
      <c r="Z799" s="11"/>
      <c r="AA799" s="36"/>
      <c r="AB799" s="36"/>
      <c r="AC799" s="13"/>
      <c r="AD799" s="13"/>
      <c r="AE799" s="37"/>
      <c r="AF799" s="37"/>
      <c r="AG799" s="14"/>
      <c r="AH799" s="14"/>
      <c r="AI799" s="14"/>
      <c r="AZ799" s="24"/>
    </row>
    <row r="800">
      <c r="B800" s="24"/>
      <c r="E800" s="113"/>
      <c r="F800" s="266"/>
      <c r="G800" s="113"/>
      <c r="K800" s="36"/>
      <c r="L800" s="117"/>
      <c r="M800" s="128"/>
      <c r="N800" s="117"/>
      <c r="R800" s="117"/>
      <c r="T800" s="117"/>
      <c r="V800" s="117"/>
      <c r="X800" s="117"/>
      <c r="Y800" s="10"/>
      <c r="Z800" s="11"/>
      <c r="AA800" s="36"/>
      <c r="AB800" s="36"/>
      <c r="AC800" s="13"/>
      <c r="AD800" s="13"/>
      <c r="AE800" s="37"/>
      <c r="AF800" s="37"/>
      <c r="AG800" s="14"/>
      <c r="AH800" s="14"/>
      <c r="AI800" s="14"/>
      <c r="AZ800" s="24"/>
    </row>
    <row r="801">
      <c r="B801" s="24"/>
      <c r="E801" s="113"/>
      <c r="F801" s="266"/>
      <c r="G801" s="113"/>
      <c r="K801" s="36"/>
      <c r="L801" s="117"/>
      <c r="M801" s="128"/>
      <c r="N801" s="117"/>
      <c r="R801" s="117"/>
      <c r="T801" s="117"/>
      <c r="V801" s="117"/>
      <c r="X801" s="117"/>
      <c r="Y801" s="10"/>
      <c r="Z801" s="11"/>
      <c r="AA801" s="36"/>
      <c r="AB801" s="36"/>
      <c r="AC801" s="13"/>
      <c r="AD801" s="13"/>
      <c r="AE801" s="37"/>
      <c r="AF801" s="37"/>
      <c r="AG801" s="14"/>
      <c r="AH801" s="14"/>
      <c r="AI801" s="14"/>
      <c r="AZ801" s="24"/>
    </row>
    <row r="802">
      <c r="B802" s="24"/>
      <c r="E802" s="113"/>
      <c r="F802" s="266"/>
      <c r="G802" s="113"/>
      <c r="K802" s="36"/>
      <c r="L802" s="117"/>
      <c r="M802" s="128"/>
      <c r="N802" s="117"/>
      <c r="R802" s="117"/>
      <c r="T802" s="117"/>
      <c r="V802" s="117"/>
      <c r="X802" s="117"/>
      <c r="Y802" s="10"/>
      <c r="Z802" s="11"/>
      <c r="AA802" s="36"/>
      <c r="AB802" s="36"/>
      <c r="AC802" s="13"/>
      <c r="AD802" s="13"/>
      <c r="AE802" s="37"/>
      <c r="AF802" s="37"/>
      <c r="AG802" s="14"/>
      <c r="AH802" s="14"/>
      <c r="AI802" s="14"/>
      <c r="AZ802" s="24"/>
    </row>
    <row r="803">
      <c r="B803" s="24"/>
      <c r="E803" s="113"/>
      <c r="F803" s="266"/>
      <c r="G803" s="113"/>
      <c r="K803" s="36"/>
      <c r="L803" s="117"/>
      <c r="M803" s="128"/>
      <c r="N803" s="117"/>
      <c r="R803" s="117"/>
      <c r="T803" s="117"/>
      <c r="V803" s="117"/>
      <c r="X803" s="117"/>
      <c r="Y803" s="10"/>
      <c r="Z803" s="11"/>
      <c r="AA803" s="36"/>
      <c r="AB803" s="36"/>
      <c r="AC803" s="13"/>
      <c r="AD803" s="13"/>
      <c r="AE803" s="37"/>
      <c r="AF803" s="37"/>
      <c r="AG803" s="14"/>
      <c r="AH803" s="14"/>
      <c r="AI803" s="14"/>
      <c r="AZ803" s="24"/>
    </row>
    <row r="804">
      <c r="B804" s="24"/>
      <c r="E804" s="113"/>
      <c r="F804" s="266"/>
      <c r="G804" s="113"/>
      <c r="K804" s="36"/>
      <c r="L804" s="117"/>
      <c r="M804" s="128"/>
      <c r="N804" s="117"/>
      <c r="R804" s="117"/>
      <c r="T804" s="117"/>
      <c r="V804" s="117"/>
      <c r="X804" s="117"/>
      <c r="Y804" s="10"/>
      <c r="Z804" s="11"/>
      <c r="AA804" s="36"/>
      <c r="AB804" s="36"/>
      <c r="AC804" s="13"/>
      <c r="AD804" s="13"/>
      <c r="AE804" s="37"/>
      <c r="AF804" s="37"/>
      <c r="AG804" s="14"/>
      <c r="AH804" s="14"/>
      <c r="AI804" s="14"/>
      <c r="AZ804" s="24"/>
    </row>
    <row r="805">
      <c r="B805" s="24"/>
      <c r="E805" s="113"/>
      <c r="F805" s="266"/>
      <c r="G805" s="113"/>
      <c r="K805" s="36"/>
      <c r="L805" s="117"/>
      <c r="M805" s="128"/>
      <c r="N805" s="117"/>
      <c r="R805" s="117"/>
      <c r="T805" s="117"/>
      <c r="V805" s="117"/>
      <c r="X805" s="117"/>
      <c r="Y805" s="10"/>
      <c r="Z805" s="11"/>
      <c r="AA805" s="36"/>
      <c r="AB805" s="36"/>
      <c r="AC805" s="13"/>
      <c r="AD805" s="13"/>
      <c r="AE805" s="37"/>
      <c r="AF805" s="37"/>
      <c r="AG805" s="14"/>
      <c r="AH805" s="14"/>
      <c r="AI805" s="14"/>
      <c r="AZ805" s="24"/>
    </row>
    <row r="806">
      <c r="B806" s="24"/>
      <c r="E806" s="113"/>
      <c r="F806" s="266"/>
      <c r="G806" s="113"/>
      <c r="K806" s="36"/>
      <c r="L806" s="117"/>
      <c r="M806" s="128"/>
      <c r="N806" s="117"/>
      <c r="R806" s="117"/>
      <c r="T806" s="117"/>
      <c r="V806" s="117"/>
      <c r="X806" s="117"/>
      <c r="Y806" s="10"/>
      <c r="Z806" s="11"/>
      <c r="AA806" s="36"/>
      <c r="AB806" s="36"/>
      <c r="AC806" s="13"/>
      <c r="AD806" s="13"/>
      <c r="AE806" s="37"/>
      <c r="AF806" s="37"/>
      <c r="AG806" s="14"/>
      <c r="AH806" s="14"/>
      <c r="AI806" s="14"/>
      <c r="AZ806" s="24"/>
    </row>
    <row r="807">
      <c r="B807" s="24"/>
      <c r="E807" s="113"/>
      <c r="F807" s="266"/>
      <c r="G807" s="113"/>
      <c r="K807" s="36"/>
      <c r="L807" s="117"/>
      <c r="M807" s="128"/>
      <c r="N807" s="117"/>
      <c r="R807" s="117"/>
      <c r="T807" s="117"/>
      <c r="V807" s="117"/>
      <c r="X807" s="117"/>
      <c r="Y807" s="10"/>
      <c r="Z807" s="11"/>
      <c r="AA807" s="36"/>
      <c r="AB807" s="36"/>
      <c r="AC807" s="13"/>
      <c r="AD807" s="13"/>
      <c r="AE807" s="37"/>
      <c r="AF807" s="37"/>
      <c r="AG807" s="14"/>
      <c r="AH807" s="14"/>
      <c r="AI807" s="14"/>
      <c r="AZ807" s="24"/>
    </row>
    <row r="808">
      <c r="B808" s="24"/>
      <c r="E808" s="113"/>
      <c r="F808" s="266"/>
      <c r="G808" s="113"/>
      <c r="K808" s="36"/>
      <c r="L808" s="117"/>
      <c r="M808" s="128"/>
      <c r="N808" s="117"/>
      <c r="R808" s="117"/>
      <c r="T808" s="117"/>
      <c r="V808" s="117"/>
      <c r="X808" s="117"/>
      <c r="Y808" s="10"/>
      <c r="Z808" s="11"/>
      <c r="AA808" s="36"/>
      <c r="AB808" s="36"/>
      <c r="AC808" s="13"/>
      <c r="AD808" s="13"/>
      <c r="AE808" s="37"/>
      <c r="AF808" s="37"/>
      <c r="AG808" s="14"/>
      <c r="AH808" s="14"/>
      <c r="AI808" s="14"/>
      <c r="AZ808" s="24"/>
    </row>
    <row r="809">
      <c r="B809" s="24"/>
      <c r="E809" s="113"/>
      <c r="F809" s="266"/>
      <c r="G809" s="113"/>
      <c r="K809" s="36"/>
      <c r="L809" s="117"/>
      <c r="M809" s="128"/>
      <c r="N809" s="117"/>
      <c r="R809" s="117"/>
      <c r="T809" s="117"/>
      <c r="V809" s="117"/>
      <c r="X809" s="117"/>
      <c r="Y809" s="10"/>
      <c r="Z809" s="11"/>
      <c r="AA809" s="36"/>
      <c r="AB809" s="36"/>
      <c r="AC809" s="13"/>
      <c r="AD809" s="13"/>
      <c r="AE809" s="37"/>
      <c r="AF809" s="37"/>
      <c r="AG809" s="14"/>
      <c r="AH809" s="14"/>
      <c r="AI809" s="14"/>
      <c r="AZ809" s="24"/>
    </row>
    <row r="810">
      <c r="B810" s="24"/>
      <c r="E810" s="113"/>
      <c r="F810" s="266"/>
      <c r="G810" s="113"/>
      <c r="K810" s="36"/>
      <c r="L810" s="117"/>
      <c r="M810" s="128"/>
      <c r="N810" s="117"/>
      <c r="R810" s="117"/>
      <c r="T810" s="117"/>
      <c r="V810" s="117"/>
      <c r="X810" s="117"/>
      <c r="Y810" s="10"/>
      <c r="Z810" s="11"/>
      <c r="AA810" s="36"/>
      <c r="AB810" s="36"/>
      <c r="AC810" s="13"/>
      <c r="AD810" s="13"/>
      <c r="AE810" s="37"/>
      <c r="AF810" s="37"/>
      <c r="AG810" s="14"/>
      <c r="AH810" s="14"/>
      <c r="AI810" s="14"/>
      <c r="AZ810" s="24"/>
    </row>
    <row r="811">
      <c r="B811" s="24"/>
      <c r="E811" s="113"/>
      <c r="F811" s="266"/>
      <c r="G811" s="113"/>
      <c r="K811" s="36"/>
      <c r="L811" s="117"/>
      <c r="M811" s="128"/>
      <c r="N811" s="117"/>
      <c r="R811" s="117"/>
      <c r="T811" s="117"/>
      <c r="V811" s="117"/>
      <c r="X811" s="117"/>
      <c r="Y811" s="10"/>
      <c r="Z811" s="11"/>
      <c r="AA811" s="36"/>
      <c r="AB811" s="36"/>
      <c r="AC811" s="13"/>
      <c r="AD811" s="13"/>
      <c r="AE811" s="37"/>
      <c r="AF811" s="37"/>
      <c r="AG811" s="14"/>
      <c r="AH811" s="14"/>
      <c r="AI811" s="14"/>
      <c r="AZ811" s="24"/>
    </row>
    <row r="812">
      <c r="B812" s="24"/>
      <c r="E812" s="113"/>
      <c r="F812" s="266"/>
      <c r="G812" s="113"/>
      <c r="K812" s="36"/>
      <c r="L812" s="117"/>
      <c r="M812" s="128"/>
      <c r="N812" s="117"/>
      <c r="R812" s="117"/>
      <c r="T812" s="117"/>
      <c r="V812" s="117"/>
      <c r="X812" s="117"/>
      <c r="Y812" s="10"/>
      <c r="Z812" s="11"/>
      <c r="AA812" s="36"/>
      <c r="AB812" s="36"/>
      <c r="AC812" s="13"/>
      <c r="AD812" s="13"/>
      <c r="AE812" s="37"/>
      <c r="AF812" s="37"/>
      <c r="AG812" s="14"/>
      <c r="AH812" s="14"/>
      <c r="AI812" s="14"/>
      <c r="AZ812" s="24"/>
    </row>
    <row r="813">
      <c r="B813" s="24"/>
      <c r="E813" s="113"/>
      <c r="F813" s="266"/>
      <c r="G813" s="113"/>
      <c r="K813" s="36"/>
      <c r="L813" s="117"/>
      <c r="M813" s="128"/>
      <c r="N813" s="117"/>
      <c r="R813" s="117"/>
      <c r="T813" s="117"/>
      <c r="V813" s="117"/>
      <c r="X813" s="117"/>
      <c r="Y813" s="10"/>
      <c r="Z813" s="11"/>
      <c r="AA813" s="36"/>
      <c r="AB813" s="36"/>
      <c r="AC813" s="13"/>
      <c r="AD813" s="13"/>
      <c r="AE813" s="37"/>
      <c r="AF813" s="37"/>
      <c r="AG813" s="14"/>
      <c r="AH813" s="14"/>
      <c r="AI813" s="14"/>
      <c r="AZ813" s="24"/>
    </row>
    <row r="814">
      <c r="B814" s="24"/>
      <c r="E814" s="113"/>
      <c r="F814" s="266"/>
      <c r="G814" s="113"/>
      <c r="K814" s="36"/>
      <c r="L814" s="117"/>
      <c r="M814" s="128"/>
      <c r="N814" s="117"/>
      <c r="R814" s="117"/>
      <c r="T814" s="117"/>
      <c r="V814" s="117"/>
      <c r="X814" s="117"/>
      <c r="Y814" s="10"/>
      <c r="Z814" s="11"/>
      <c r="AA814" s="36"/>
      <c r="AB814" s="36"/>
      <c r="AC814" s="13"/>
      <c r="AD814" s="13"/>
      <c r="AE814" s="37"/>
      <c r="AF814" s="37"/>
      <c r="AG814" s="14"/>
      <c r="AH814" s="14"/>
      <c r="AI814" s="14"/>
      <c r="AZ814" s="24"/>
    </row>
    <row r="815">
      <c r="B815" s="24"/>
      <c r="E815" s="113"/>
      <c r="F815" s="266"/>
      <c r="G815" s="113"/>
      <c r="K815" s="36"/>
      <c r="L815" s="117"/>
      <c r="M815" s="128"/>
      <c r="N815" s="117"/>
      <c r="R815" s="117"/>
      <c r="T815" s="117"/>
      <c r="V815" s="117"/>
      <c r="X815" s="117"/>
      <c r="Y815" s="10"/>
      <c r="Z815" s="11"/>
      <c r="AA815" s="36"/>
      <c r="AB815" s="36"/>
      <c r="AC815" s="13"/>
      <c r="AD815" s="13"/>
      <c r="AE815" s="37"/>
      <c r="AF815" s="37"/>
      <c r="AG815" s="14"/>
      <c r="AH815" s="14"/>
      <c r="AI815" s="14"/>
      <c r="AZ815" s="24"/>
    </row>
    <row r="816">
      <c r="B816" s="24"/>
      <c r="E816" s="113"/>
      <c r="F816" s="266"/>
      <c r="G816" s="113"/>
      <c r="K816" s="36"/>
      <c r="L816" s="117"/>
      <c r="M816" s="128"/>
      <c r="N816" s="117"/>
      <c r="R816" s="117"/>
      <c r="T816" s="117"/>
      <c r="V816" s="117"/>
      <c r="X816" s="117"/>
      <c r="Y816" s="10"/>
      <c r="Z816" s="11"/>
      <c r="AA816" s="36"/>
      <c r="AB816" s="36"/>
      <c r="AC816" s="13"/>
      <c r="AD816" s="13"/>
      <c r="AE816" s="37"/>
      <c r="AF816" s="37"/>
      <c r="AG816" s="14"/>
      <c r="AH816" s="14"/>
      <c r="AI816" s="14"/>
      <c r="AZ816" s="24"/>
    </row>
    <row r="817">
      <c r="B817" s="24"/>
      <c r="E817" s="113"/>
      <c r="F817" s="266"/>
      <c r="G817" s="113"/>
      <c r="K817" s="36"/>
      <c r="L817" s="117"/>
      <c r="M817" s="128"/>
      <c r="N817" s="117"/>
      <c r="R817" s="117"/>
      <c r="T817" s="117"/>
      <c r="V817" s="117"/>
      <c r="X817" s="117"/>
      <c r="Y817" s="10"/>
      <c r="Z817" s="11"/>
      <c r="AA817" s="36"/>
      <c r="AB817" s="36"/>
      <c r="AC817" s="13"/>
      <c r="AD817" s="13"/>
      <c r="AE817" s="37"/>
      <c r="AF817" s="37"/>
      <c r="AG817" s="14"/>
      <c r="AH817" s="14"/>
      <c r="AI817" s="14"/>
      <c r="AZ817" s="24"/>
    </row>
    <row r="818">
      <c r="B818" s="24"/>
      <c r="E818" s="113"/>
      <c r="F818" s="266"/>
      <c r="G818" s="113"/>
      <c r="K818" s="36"/>
      <c r="L818" s="117"/>
      <c r="M818" s="128"/>
      <c r="N818" s="117"/>
      <c r="R818" s="117"/>
      <c r="T818" s="117"/>
      <c r="V818" s="117"/>
      <c r="X818" s="117"/>
      <c r="Y818" s="10"/>
      <c r="Z818" s="11"/>
      <c r="AA818" s="36"/>
      <c r="AB818" s="36"/>
      <c r="AC818" s="13"/>
      <c r="AD818" s="13"/>
      <c r="AE818" s="37"/>
      <c r="AF818" s="37"/>
      <c r="AG818" s="14"/>
      <c r="AH818" s="14"/>
      <c r="AI818" s="14"/>
      <c r="AZ818" s="24"/>
    </row>
    <row r="819">
      <c r="B819" s="24"/>
      <c r="E819" s="113"/>
      <c r="F819" s="266"/>
      <c r="G819" s="113"/>
      <c r="K819" s="36"/>
      <c r="L819" s="117"/>
      <c r="M819" s="128"/>
      <c r="N819" s="117"/>
      <c r="R819" s="117"/>
      <c r="T819" s="117"/>
      <c r="V819" s="117"/>
      <c r="X819" s="117"/>
      <c r="Y819" s="10"/>
      <c r="Z819" s="11"/>
      <c r="AA819" s="36"/>
      <c r="AB819" s="36"/>
      <c r="AC819" s="13"/>
      <c r="AD819" s="13"/>
      <c r="AE819" s="37"/>
      <c r="AF819" s="37"/>
      <c r="AG819" s="14"/>
      <c r="AH819" s="14"/>
      <c r="AI819" s="14"/>
      <c r="AZ819" s="24"/>
    </row>
    <row r="820">
      <c r="B820" s="24"/>
      <c r="E820" s="113"/>
      <c r="F820" s="266"/>
      <c r="G820" s="113"/>
      <c r="K820" s="36"/>
      <c r="L820" s="117"/>
      <c r="M820" s="128"/>
      <c r="N820" s="117"/>
      <c r="R820" s="117"/>
      <c r="T820" s="117"/>
      <c r="V820" s="117"/>
      <c r="X820" s="117"/>
      <c r="Y820" s="10"/>
      <c r="Z820" s="11"/>
      <c r="AA820" s="36"/>
      <c r="AB820" s="36"/>
      <c r="AC820" s="13"/>
      <c r="AD820" s="13"/>
      <c r="AE820" s="37"/>
      <c r="AF820" s="37"/>
      <c r="AG820" s="14"/>
      <c r="AH820" s="14"/>
      <c r="AI820" s="14"/>
      <c r="AZ820" s="24"/>
    </row>
    <row r="821">
      <c r="B821" s="24"/>
      <c r="E821" s="113"/>
      <c r="F821" s="266"/>
      <c r="G821" s="113"/>
      <c r="K821" s="36"/>
      <c r="L821" s="117"/>
      <c r="M821" s="128"/>
      <c r="N821" s="117"/>
      <c r="R821" s="117"/>
      <c r="T821" s="117"/>
      <c r="V821" s="117"/>
      <c r="X821" s="117"/>
      <c r="Y821" s="10"/>
      <c r="Z821" s="11"/>
      <c r="AA821" s="36"/>
      <c r="AB821" s="36"/>
      <c r="AC821" s="13"/>
      <c r="AD821" s="13"/>
      <c r="AE821" s="37"/>
      <c r="AF821" s="37"/>
      <c r="AG821" s="14"/>
      <c r="AH821" s="14"/>
      <c r="AI821" s="14"/>
      <c r="AZ821" s="24"/>
    </row>
    <row r="822">
      <c r="B822" s="24"/>
      <c r="E822" s="113"/>
      <c r="F822" s="266"/>
      <c r="G822" s="113"/>
      <c r="K822" s="36"/>
      <c r="L822" s="117"/>
      <c r="M822" s="128"/>
      <c r="N822" s="117"/>
      <c r="R822" s="117"/>
      <c r="T822" s="117"/>
      <c r="V822" s="117"/>
      <c r="X822" s="117"/>
      <c r="Y822" s="10"/>
      <c r="Z822" s="11"/>
      <c r="AA822" s="36"/>
      <c r="AB822" s="36"/>
      <c r="AC822" s="13"/>
      <c r="AD822" s="13"/>
      <c r="AE822" s="37"/>
      <c r="AF822" s="37"/>
      <c r="AG822" s="14"/>
      <c r="AH822" s="14"/>
      <c r="AI822" s="14"/>
      <c r="AZ822" s="24"/>
    </row>
    <row r="823">
      <c r="B823" s="24"/>
      <c r="E823" s="113"/>
      <c r="F823" s="266"/>
      <c r="G823" s="113"/>
      <c r="K823" s="36"/>
      <c r="L823" s="117"/>
      <c r="M823" s="128"/>
      <c r="N823" s="117"/>
      <c r="R823" s="117"/>
      <c r="T823" s="117"/>
      <c r="V823" s="117"/>
      <c r="X823" s="117"/>
      <c r="Y823" s="10"/>
      <c r="Z823" s="11"/>
      <c r="AA823" s="36"/>
      <c r="AB823" s="36"/>
      <c r="AC823" s="13"/>
      <c r="AD823" s="13"/>
      <c r="AE823" s="37"/>
      <c r="AF823" s="37"/>
      <c r="AG823" s="14"/>
      <c r="AH823" s="14"/>
      <c r="AI823" s="14"/>
      <c r="AZ823" s="24"/>
    </row>
    <row r="824">
      <c r="B824" s="24"/>
      <c r="E824" s="113"/>
      <c r="F824" s="266"/>
      <c r="G824" s="113"/>
      <c r="K824" s="36"/>
      <c r="L824" s="117"/>
      <c r="M824" s="128"/>
      <c r="N824" s="117"/>
      <c r="R824" s="117"/>
      <c r="T824" s="117"/>
      <c r="V824" s="117"/>
      <c r="X824" s="117"/>
      <c r="Y824" s="10"/>
      <c r="Z824" s="11"/>
      <c r="AA824" s="36"/>
      <c r="AB824" s="36"/>
      <c r="AC824" s="13"/>
      <c r="AD824" s="13"/>
      <c r="AE824" s="37"/>
      <c r="AF824" s="37"/>
      <c r="AG824" s="14"/>
      <c r="AH824" s="14"/>
      <c r="AI824" s="14"/>
      <c r="AZ824" s="24"/>
    </row>
    <row r="825">
      <c r="B825" s="24"/>
      <c r="E825" s="113"/>
      <c r="F825" s="266"/>
      <c r="G825" s="113"/>
      <c r="K825" s="36"/>
      <c r="L825" s="117"/>
      <c r="M825" s="128"/>
      <c r="N825" s="117"/>
      <c r="R825" s="117"/>
      <c r="T825" s="117"/>
      <c r="V825" s="117"/>
      <c r="X825" s="117"/>
      <c r="Y825" s="10"/>
      <c r="Z825" s="11"/>
      <c r="AA825" s="36"/>
      <c r="AB825" s="36"/>
      <c r="AC825" s="13"/>
      <c r="AD825" s="13"/>
      <c r="AE825" s="37"/>
      <c r="AF825" s="37"/>
      <c r="AG825" s="14"/>
      <c r="AH825" s="14"/>
      <c r="AI825" s="14"/>
      <c r="AZ825" s="24"/>
    </row>
    <row r="826">
      <c r="B826" s="24"/>
      <c r="E826" s="113"/>
      <c r="F826" s="266"/>
      <c r="G826" s="113"/>
      <c r="K826" s="36"/>
      <c r="L826" s="117"/>
      <c r="M826" s="128"/>
      <c r="N826" s="117"/>
      <c r="R826" s="117"/>
      <c r="T826" s="117"/>
      <c r="V826" s="117"/>
      <c r="X826" s="117"/>
      <c r="Y826" s="10"/>
      <c r="Z826" s="11"/>
      <c r="AA826" s="36"/>
      <c r="AB826" s="36"/>
      <c r="AC826" s="13"/>
      <c r="AD826" s="13"/>
      <c r="AE826" s="37"/>
      <c r="AF826" s="37"/>
      <c r="AG826" s="14"/>
      <c r="AH826" s="14"/>
      <c r="AI826" s="14"/>
      <c r="AZ826" s="24"/>
    </row>
    <row r="827">
      <c r="B827" s="24"/>
      <c r="E827" s="113"/>
      <c r="F827" s="266"/>
      <c r="G827" s="113"/>
      <c r="K827" s="36"/>
      <c r="L827" s="117"/>
      <c r="M827" s="128"/>
      <c r="N827" s="117"/>
      <c r="R827" s="117"/>
      <c r="T827" s="117"/>
      <c r="V827" s="117"/>
      <c r="X827" s="117"/>
      <c r="Y827" s="10"/>
      <c r="Z827" s="11"/>
      <c r="AA827" s="36"/>
      <c r="AB827" s="36"/>
      <c r="AC827" s="13"/>
      <c r="AD827" s="13"/>
      <c r="AE827" s="37"/>
      <c r="AF827" s="37"/>
      <c r="AG827" s="14"/>
      <c r="AH827" s="14"/>
      <c r="AI827" s="14"/>
      <c r="AZ827" s="24"/>
    </row>
    <row r="828">
      <c r="B828" s="24"/>
      <c r="E828" s="113"/>
      <c r="F828" s="266"/>
      <c r="G828" s="113"/>
      <c r="K828" s="36"/>
      <c r="L828" s="117"/>
      <c r="M828" s="128"/>
      <c r="N828" s="117"/>
      <c r="R828" s="117"/>
      <c r="T828" s="117"/>
      <c r="V828" s="117"/>
      <c r="X828" s="117"/>
      <c r="Y828" s="10"/>
      <c r="Z828" s="11"/>
      <c r="AA828" s="36"/>
      <c r="AB828" s="36"/>
      <c r="AC828" s="13"/>
      <c r="AD828" s="13"/>
      <c r="AE828" s="37"/>
      <c r="AF828" s="37"/>
      <c r="AG828" s="14"/>
      <c r="AH828" s="14"/>
      <c r="AI828" s="14"/>
      <c r="AZ828" s="24"/>
    </row>
    <row r="829">
      <c r="B829" s="24"/>
      <c r="E829" s="113"/>
      <c r="F829" s="266"/>
      <c r="G829" s="113"/>
      <c r="K829" s="36"/>
      <c r="L829" s="117"/>
      <c r="M829" s="128"/>
      <c r="N829" s="117"/>
      <c r="R829" s="117"/>
      <c r="T829" s="117"/>
      <c r="V829" s="117"/>
      <c r="X829" s="117"/>
      <c r="Y829" s="10"/>
      <c r="Z829" s="11"/>
      <c r="AA829" s="36"/>
      <c r="AB829" s="36"/>
      <c r="AC829" s="13"/>
      <c r="AD829" s="13"/>
      <c r="AE829" s="37"/>
      <c r="AF829" s="37"/>
      <c r="AG829" s="14"/>
      <c r="AH829" s="14"/>
      <c r="AI829" s="14"/>
      <c r="AZ829" s="24"/>
    </row>
    <row r="830">
      <c r="B830" s="24"/>
      <c r="E830" s="113"/>
      <c r="F830" s="266"/>
      <c r="G830" s="113"/>
      <c r="K830" s="36"/>
      <c r="L830" s="117"/>
      <c r="M830" s="128"/>
      <c r="N830" s="117"/>
      <c r="R830" s="117"/>
      <c r="T830" s="117"/>
      <c r="V830" s="117"/>
      <c r="X830" s="117"/>
      <c r="Y830" s="10"/>
      <c r="Z830" s="11"/>
      <c r="AA830" s="36"/>
      <c r="AB830" s="36"/>
      <c r="AC830" s="13"/>
      <c r="AD830" s="13"/>
      <c r="AE830" s="37"/>
      <c r="AF830" s="37"/>
      <c r="AG830" s="14"/>
      <c r="AH830" s="14"/>
      <c r="AI830" s="14"/>
      <c r="AZ830" s="24"/>
    </row>
    <row r="831">
      <c r="B831" s="24"/>
      <c r="E831" s="113"/>
      <c r="F831" s="266"/>
      <c r="G831" s="113"/>
      <c r="K831" s="36"/>
      <c r="L831" s="117"/>
      <c r="M831" s="128"/>
      <c r="N831" s="117"/>
      <c r="R831" s="117"/>
      <c r="T831" s="117"/>
      <c r="V831" s="117"/>
      <c r="X831" s="117"/>
      <c r="Y831" s="10"/>
      <c r="Z831" s="11"/>
      <c r="AA831" s="36"/>
      <c r="AB831" s="36"/>
      <c r="AC831" s="13"/>
      <c r="AD831" s="13"/>
      <c r="AE831" s="37"/>
      <c r="AF831" s="37"/>
      <c r="AG831" s="14"/>
      <c r="AH831" s="14"/>
      <c r="AI831" s="14"/>
      <c r="AZ831" s="24"/>
    </row>
    <row r="832">
      <c r="B832" s="24"/>
      <c r="E832" s="113"/>
      <c r="F832" s="266"/>
      <c r="G832" s="113"/>
      <c r="K832" s="36"/>
      <c r="L832" s="117"/>
      <c r="M832" s="128"/>
      <c r="N832" s="117"/>
      <c r="R832" s="117"/>
      <c r="T832" s="117"/>
      <c r="V832" s="117"/>
      <c r="X832" s="117"/>
      <c r="Y832" s="10"/>
      <c r="Z832" s="11"/>
      <c r="AA832" s="36"/>
      <c r="AB832" s="36"/>
      <c r="AC832" s="13"/>
      <c r="AD832" s="13"/>
      <c r="AE832" s="37"/>
      <c r="AF832" s="37"/>
      <c r="AG832" s="14"/>
      <c r="AH832" s="14"/>
      <c r="AI832" s="14"/>
      <c r="AZ832" s="24"/>
    </row>
    <row r="833">
      <c r="B833" s="24"/>
      <c r="E833" s="113"/>
      <c r="F833" s="266"/>
      <c r="G833" s="113"/>
      <c r="K833" s="36"/>
      <c r="L833" s="117"/>
      <c r="M833" s="128"/>
      <c r="N833" s="117"/>
      <c r="R833" s="117"/>
      <c r="T833" s="117"/>
      <c r="V833" s="117"/>
      <c r="X833" s="117"/>
      <c r="Y833" s="10"/>
      <c r="Z833" s="11"/>
      <c r="AA833" s="36"/>
      <c r="AB833" s="36"/>
      <c r="AC833" s="13"/>
      <c r="AD833" s="13"/>
      <c r="AE833" s="37"/>
      <c r="AF833" s="37"/>
      <c r="AG833" s="14"/>
      <c r="AH833" s="14"/>
      <c r="AI833" s="14"/>
      <c r="AZ833" s="24"/>
    </row>
    <row r="834">
      <c r="B834" s="24"/>
      <c r="E834" s="113"/>
      <c r="F834" s="266"/>
      <c r="G834" s="113"/>
      <c r="K834" s="36"/>
      <c r="L834" s="117"/>
      <c r="M834" s="128"/>
      <c r="N834" s="117"/>
      <c r="R834" s="117"/>
      <c r="T834" s="117"/>
      <c r="V834" s="117"/>
      <c r="X834" s="117"/>
      <c r="Y834" s="10"/>
      <c r="Z834" s="11"/>
      <c r="AA834" s="36"/>
      <c r="AB834" s="36"/>
      <c r="AC834" s="13"/>
      <c r="AD834" s="13"/>
      <c r="AE834" s="37"/>
      <c r="AF834" s="37"/>
      <c r="AG834" s="14"/>
      <c r="AH834" s="14"/>
      <c r="AI834" s="14"/>
      <c r="AZ834" s="24"/>
    </row>
    <row r="835">
      <c r="B835" s="24"/>
      <c r="E835" s="113"/>
      <c r="F835" s="266"/>
      <c r="G835" s="113"/>
      <c r="K835" s="36"/>
      <c r="L835" s="117"/>
      <c r="M835" s="128"/>
      <c r="N835" s="117"/>
      <c r="R835" s="117"/>
      <c r="T835" s="117"/>
      <c r="V835" s="117"/>
      <c r="X835" s="117"/>
      <c r="Y835" s="10"/>
      <c r="Z835" s="11"/>
      <c r="AA835" s="36"/>
      <c r="AB835" s="36"/>
      <c r="AC835" s="13"/>
      <c r="AD835" s="13"/>
      <c r="AE835" s="37"/>
      <c r="AF835" s="37"/>
      <c r="AG835" s="14"/>
      <c r="AH835" s="14"/>
      <c r="AI835" s="14"/>
      <c r="AZ835" s="24"/>
    </row>
    <row r="836">
      <c r="B836" s="24"/>
      <c r="E836" s="113"/>
      <c r="F836" s="266"/>
      <c r="G836" s="113"/>
      <c r="K836" s="36"/>
      <c r="L836" s="117"/>
      <c r="M836" s="128"/>
      <c r="N836" s="117"/>
      <c r="R836" s="117"/>
      <c r="T836" s="117"/>
      <c r="V836" s="117"/>
      <c r="X836" s="117"/>
      <c r="Y836" s="10"/>
      <c r="Z836" s="11"/>
      <c r="AA836" s="36"/>
      <c r="AB836" s="36"/>
      <c r="AC836" s="13"/>
      <c r="AD836" s="13"/>
      <c r="AE836" s="37"/>
      <c r="AF836" s="37"/>
      <c r="AG836" s="14"/>
      <c r="AH836" s="14"/>
      <c r="AI836" s="14"/>
      <c r="AZ836" s="24"/>
    </row>
    <row r="837">
      <c r="B837" s="24"/>
      <c r="E837" s="113"/>
      <c r="F837" s="266"/>
      <c r="G837" s="113"/>
      <c r="K837" s="36"/>
      <c r="L837" s="117"/>
      <c r="M837" s="128"/>
      <c r="N837" s="117"/>
      <c r="R837" s="117"/>
      <c r="T837" s="117"/>
      <c r="V837" s="117"/>
      <c r="X837" s="117"/>
      <c r="Y837" s="10"/>
      <c r="Z837" s="11"/>
      <c r="AA837" s="36"/>
      <c r="AB837" s="36"/>
      <c r="AC837" s="13"/>
      <c r="AD837" s="13"/>
      <c r="AE837" s="37"/>
      <c r="AF837" s="37"/>
      <c r="AG837" s="14"/>
      <c r="AH837" s="14"/>
      <c r="AI837" s="14"/>
      <c r="AZ837" s="24"/>
    </row>
    <row r="838">
      <c r="B838" s="24"/>
      <c r="E838" s="113"/>
      <c r="F838" s="266"/>
      <c r="G838" s="113"/>
      <c r="K838" s="36"/>
      <c r="L838" s="117"/>
      <c r="M838" s="128"/>
      <c r="N838" s="117"/>
      <c r="R838" s="117"/>
      <c r="T838" s="117"/>
      <c r="V838" s="117"/>
      <c r="X838" s="117"/>
      <c r="Y838" s="10"/>
      <c r="Z838" s="11"/>
      <c r="AA838" s="36"/>
      <c r="AB838" s="36"/>
      <c r="AC838" s="13"/>
      <c r="AD838" s="13"/>
      <c r="AE838" s="37"/>
      <c r="AF838" s="37"/>
      <c r="AG838" s="14"/>
      <c r="AH838" s="14"/>
      <c r="AI838" s="14"/>
      <c r="AZ838" s="24"/>
    </row>
    <row r="839">
      <c r="B839" s="24"/>
      <c r="E839" s="113"/>
      <c r="F839" s="266"/>
      <c r="G839" s="113"/>
      <c r="K839" s="36"/>
      <c r="L839" s="117"/>
      <c r="M839" s="128"/>
      <c r="N839" s="117"/>
      <c r="R839" s="117"/>
      <c r="T839" s="117"/>
      <c r="V839" s="117"/>
      <c r="X839" s="117"/>
      <c r="Y839" s="10"/>
      <c r="Z839" s="11"/>
      <c r="AA839" s="36"/>
      <c r="AB839" s="36"/>
      <c r="AC839" s="13"/>
      <c r="AD839" s="13"/>
      <c r="AE839" s="37"/>
      <c r="AF839" s="37"/>
      <c r="AG839" s="14"/>
      <c r="AH839" s="14"/>
      <c r="AI839" s="14"/>
      <c r="AZ839" s="24"/>
    </row>
    <row r="840">
      <c r="B840" s="24"/>
      <c r="E840" s="113"/>
      <c r="F840" s="266"/>
      <c r="G840" s="113"/>
      <c r="K840" s="36"/>
      <c r="L840" s="117"/>
      <c r="M840" s="128"/>
      <c r="N840" s="117"/>
      <c r="R840" s="117"/>
      <c r="T840" s="117"/>
      <c r="V840" s="117"/>
      <c r="X840" s="117"/>
      <c r="Y840" s="10"/>
      <c r="Z840" s="11"/>
      <c r="AA840" s="36"/>
      <c r="AB840" s="36"/>
      <c r="AC840" s="13"/>
      <c r="AD840" s="13"/>
      <c r="AE840" s="37"/>
      <c r="AF840" s="37"/>
      <c r="AG840" s="14"/>
      <c r="AH840" s="14"/>
      <c r="AI840" s="14"/>
      <c r="AZ840" s="24"/>
    </row>
    <row r="841">
      <c r="B841" s="24"/>
      <c r="E841" s="113"/>
      <c r="F841" s="266"/>
      <c r="G841" s="113"/>
      <c r="K841" s="36"/>
      <c r="L841" s="117"/>
      <c r="M841" s="128"/>
      <c r="N841" s="117"/>
      <c r="R841" s="117"/>
      <c r="T841" s="117"/>
      <c r="V841" s="117"/>
      <c r="X841" s="117"/>
      <c r="Y841" s="10"/>
      <c r="Z841" s="11"/>
      <c r="AA841" s="36"/>
      <c r="AB841" s="36"/>
      <c r="AC841" s="13"/>
      <c r="AD841" s="13"/>
      <c r="AE841" s="37"/>
      <c r="AF841" s="37"/>
      <c r="AG841" s="14"/>
      <c r="AH841" s="14"/>
      <c r="AI841" s="14"/>
      <c r="AZ841" s="24"/>
    </row>
    <row r="842">
      <c r="B842" s="24"/>
      <c r="E842" s="113"/>
      <c r="F842" s="266"/>
      <c r="G842" s="113"/>
      <c r="K842" s="36"/>
      <c r="L842" s="117"/>
      <c r="M842" s="128"/>
      <c r="N842" s="117"/>
      <c r="R842" s="117"/>
      <c r="T842" s="117"/>
      <c r="V842" s="117"/>
      <c r="X842" s="117"/>
      <c r="Y842" s="10"/>
      <c r="Z842" s="11"/>
      <c r="AA842" s="36"/>
      <c r="AB842" s="36"/>
      <c r="AC842" s="13"/>
      <c r="AD842" s="13"/>
      <c r="AE842" s="37"/>
      <c r="AF842" s="37"/>
      <c r="AG842" s="14"/>
      <c r="AH842" s="14"/>
      <c r="AI842" s="14"/>
      <c r="AZ842" s="24"/>
    </row>
    <row r="843">
      <c r="B843" s="24"/>
      <c r="E843" s="113"/>
      <c r="F843" s="266"/>
      <c r="G843" s="113"/>
      <c r="K843" s="36"/>
      <c r="L843" s="117"/>
      <c r="M843" s="128"/>
      <c r="N843" s="117"/>
      <c r="R843" s="117"/>
      <c r="T843" s="117"/>
      <c r="V843" s="117"/>
      <c r="X843" s="117"/>
      <c r="Y843" s="10"/>
      <c r="Z843" s="11"/>
      <c r="AA843" s="36"/>
      <c r="AB843" s="36"/>
      <c r="AC843" s="13"/>
      <c r="AD843" s="13"/>
      <c r="AE843" s="37"/>
      <c r="AF843" s="37"/>
      <c r="AG843" s="14"/>
      <c r="AH843" s="14"/>
      <c r="AI843" s="14"/>
      <c r="AZ843" s="24"/>
    </row>
    <row r="844">
      <c r="B844" s="24"/>
      <c r="E844" s="113"/>
      <c r="F844" s="266"/>
      <c r="G844" s="113"/>
      <c r="K844" s="36"/>
      <c r="L844" s="117"/>
      <c r="M844" s="128"/>
      <c r="N844" s="117"/>
      <c r="R844" s="117"/>
      <c r="T844" s="117"/>
      <c r="V844" s="117"/>
      <c r="X844" s="117"/>
      <c r="Y844" s="10"/>
      <c r="Z844" s="11"/>
      <c r="AA844" s="36"/>
      <c r="AB844" s="36"/>
      <c r="AC844" s="13"/>
      <c r="AD844" s="13"/>
      <c r="AE844" s="37"/>
      <c r="AF844" s="37"/>
      <c r="AG844" s="14"/>
      <c r="AH844" s="14"/>
      <c r="AI844" s="14"/>
      <c r="AZ844" s="24"/>
    </row>
    <row r="845">
      <c r="B845" s="24"/>
      <c r="E845" s="113"/>
      <c r="F845" s="266"/>
      <c r="G845" s="113"/>
      <c r="K845" s="36"/>
      <c r="L845" s="117"/>
      <c r="M845" s="128"/>
      <c r="N845" s="117"/>
      <c r="R845" s="117"/>
      <c r="T845" s="117"/>
      <c r="V845" s="117"/>
      <c r="X845" s="117"/>
      <c r="Y845" s="10"/>
      <c r="Z845" s="11"/>
      <c r="AA845" s="36"/>
      <c r="AB845" s="36"/>
      <c r="AC845" s="13"/>
      <c r="AD845" s="13"/>
      <c r="AE845" s="37"/>
      <c r="AF845" s="37"/>
      <c r="AG845" s="14"/>
      <c r="AH845" s="14"/>
      <c r="AI845" s="14"/>
      <c r="AZ845" s="24"/>
    </row>
    <row r="846">
      <c r="B846" s="24"/>
      <c r="E846" s="113"/>
      <c r="F846" s="266"/>
      <c r="G846" s="113"/>
      <c r="K846" s="36"/>
      <c r="L846" s="117"/>
      <c r="M846" s="128"/>
      <c r="N846" s="117"/>
      <c r="R846" s="117"/>
      <c r="T846" s="117"/>
      <c r="V846" s="117"/>
      <c r="X846" s="117"/>
      <c r="Y846" s="10"/>
      <c r="Z846" s="11"/>
      <c r="AA846" s="36"/>
      <c r="AB846" s="36"/>
      <c r="AC846" s="13"/>
      <c r="AD846" s="13"/>
      <c r="AE846" s="37"/>
      <c r="AF846" s="37"/>
      <c r="AG846" s="14"/>
      <c r="AH846" s="14"/>
      <c r="AI846" s="14"/>
      <c r="AZ846" s="24"/>
    </row>
    <row r="847">
      <c r="B847" s="24"/>
      <c r="E847" s="113"/>
      <c r="F847" s="266"/>
      <c r="G847" s="113"/>
      <c r="K847" s="36"/>
      <c r="L847" s="117"/>
      <c r="M847" s="128"/>
      <c r="N847" s="117"/>
      <c r="R847" s="117"/>
      <c r="T847" s="117"/>
      <c r="V847" s="117"/>
      <c r="X847" s="117"/>
      <c r="Y847" s="10"/>
      <c r="Z847" s="11"/>
      <c r="AA847" s="36"/>
      <c r="AB847" s="36"/>
      <c r="AC847" s="13"/>
      <c r="AD847" s="13"/>
      <c r="AE847" s="37"/>
      <c r="AF847" s="37"/>
      <c r="AG847" s="14"/>
      <c r="AH847" s="14"/>
      <c r="AI847" s="14"/>
      <c r="AZ847" s="24"/>
    </row>
    <row r="848">
      <c r="B848" s="24"/>
      <c r="E848" s="113"/>
      <c r="F848" s="266"/>
      <c r="G848" s="113"/>
      <c r="K848" s="36"/>
      <c r="L848" s="117"/>
      <c r="M848" s="128"/>
      <c r="N848" s="117"/>
      <c r="R848" s="117"/>
      <c r="T848" s="117"/>
      <c r="V848" s="117"/>
      <c r="X848" s="117"/>
      <c r="Y848" s="10"/>
      <c r="Z848" s="11"/>
      <c r="AA848" s="36"/>
      <c r="AB848" s="36"/>
      <c r="AC848" s="13"/>
      <c r="AD848" s="13"/>
      <c r="AE848" s="37"/>
      <c r="AF848" s="37"/>
      <c r="AG848" s="14"/>
      <c r="AH848" s="14"/>
      <c r="AI848" s="14"/>
      <c r="AZ848" s="24"/>
    </row>
    <row r="849">
      <c r="B849" s="24"/>
      <c r="E849" s="113"/>
      <c r="F849" s="266"/>
      <c r="G849" s="113"/>
      <c r="K849" s="36"/>
      <c r="L849" s="117"/>
      <c r="M849" s="128"/>
      <c r="N849" s="117"/>
      <c r="R849" s="117"/>
      <c r="T849" s="117"/>
      <c r="V849" s="117"/>
      <c r="X849" s="117"/>
      <c r="Y849" s="10"/>
      <c r="Z849" s="11"/>
      <c r="AA849" s="36"/>
      <c r="AB849" s="36"/>
      <c r="AC849" s="13"/>
      <c r="AD849" s="13"/>
      <c r="AE849" s="37"/>
      <c r="AF849" s="37"/>
      <c r="AG849" s="14"/>
      <c r="AH849" s="14"/>
      <c r="AI849" s="14"/>
      <c r="AZ849" s="24"/>
    </row>
    <row r="850">
      <c r="B850" s="24"/>
      <c r="E850" s="113"/>
      <c r="F850" s="266"/>
      <c r="G850" s="113"/>
      <c r="K850" s="36"/>
      <c r="L850" s="117"/>
      <c r="M850" s="128"/>
      <c r="N850" s="117"/>
      <c r="R850" s="117"/>
      <c r="T850" s="117"/>
      <c r="V850" s="117"/>
      <c r="X850" s="117"/>
      <c r="Y850" s="10"/>
      <c r="Z850" s="11"/>
      <c r="AA850" s="36"/>
      <c r="AB850" s="36"/>
      <c r="AC850" s="13"/>
      <c r="AD850" s="13"/>
      <c r="AE850" s="37"/>
      <c r="AF850" s="37"/>
      <c r="AG850" s="14"/>
      <c r="AH850" s="14"/>
      <c r="AI850" s="14"/>
      <c r="AZ850" s="24"/>
    </row>
    <row r="851">
      <c r="B851" s="24"/>
      <c r="E851" s="113"/>
      <c r="F851" s="266"/>
      <c r="G851" s="113"/>
      <c r="K851" s="36"/>
      <c r="L851" s="117"/>
      <c r="M851" s="128"/>
      <c r="N851" s="117"/>
      <c r="R851" s="117"/>
      <c r="T851" s="117"/>
      <c r="V851" s="117"/>
      <c r="X851" s="117"/>
      <c r="Y851" s="10"/>
      <c r="Z851" s="11"/>
      <c r="AA851" s="36"/>
      <c r="AB851" s="36"/>
      <c r="AC851" s="13"/>
      <c r="AD851" s="13"/>
      <c r="AE851" s="37"/>
      <c r="AF851" s="37"/>
      <c r="AG851" s="14"/>
      <c r="AH851" s="14"/>
      <c r="AI851" s="14"/>
      <c r="AZ851" s="24"/>
    </row>
    <row r="852">
      <c r="B852" s="24"/>
      <c r="E852" s="113"/>
      <c r="F852" s="266"/>
      <c r="G852" s="113"/>
      <c r="K852" s="36"/>
      <c r="L852" s="117"/>
      <c r="M852" s="128"/>
      <c r="N852" s="117"/>
      <c r="R852" s="117"/>
      <c r="T852" s="117"/>
      <c r="V852" s="117"/>
      <c r="X852" s="117"/>
      <c r="Y852" s="10"/>
      <c r="Z852" s="11"/>
      <c r="AA852" s="36"/>
      <c r="AB852" s="36"/>
      <c r="AC852" s="13"/>
      <c r="AD852" s="13"/>
      <c r="AE852" s="37"/>
      <c r="AF852" s="37"/>
      <c r="AG852" s="14"/>
      <c r="AH852" s="14"/>
      <c r="AI852" s="14"/>
      <c r="AZ852" s="24"/>
    </row>
    <row r="853">
      <c r="B853" s="24"/>
      <c r="E853" s="113"/>
      <c r="F853" s="266"/>
      <c r="G853" s="113"/>
      <c r="K853" s="36"/>
      <c r="L853" s="117"/>
      <c r="M853" s="128"/>
      <c r="N853" s="117"/>
      <c r="R853" s="117"/>
      <c r="T853" s="117"/>
      <c r="V853" s="117"/>
      <c r="X853" s="117"/>
      <c r="Y853" s="10"/>
      <c r="Z853" s="11"/>
      <c r="AA853" s="36"/>
      <c r="AB853" s="36"/>
      <c r="AC853" s="13"/>
      <c r="AD853" s="13"/>
      <c r="AE853" s="37"/>
      <c r="AF853" s="37"/>
      <c r="AG853" s="14"/>
      <c r="AH853" s="14"/>
      <c r="AI853" s="14"/>
      <c r="AZ853" s="24"/>
    </row>
    <row r="854">
      <c r="B854" s="24"/>
      <c r="E854" s="113"/>
      <c r="F854" s="266"/>
      <c r="G854" s="113"/>
      <c r="K854" s="36"/>
      <c r="L854" s="117"/>
      <c r="M854" s="128"/>
      <c r="N854" s="117"/>
      <c r="R854" s="117"/>
      <c r="T854" s="117"/>
      <c r="V854" s="117"/>
      <c r="X854" s="117"/>
      <c r="Y854" s="10"/>
      <c r="Z854" s="11"/>
      <c r="AA854" s="36"/>
      <c r="AB854" s="36"/>
      <c r="AC854" s="13"/>
      <c r="AD854" s="13"/>
      <c r="AE854" s="37"/>
      <c r="AF854" s="37"/>
      <c r="AG854" s="14"/>
      <c r="AH854" s="14"/>
      <c r="AI854" s="14"/>
      <c r="AZ854" s="24"/>
    </row>
    <row r="855">
      <c r="B855" s="24"/>
      <c r="E855" s="113"/>
      <c r="F855" s="266"/>
      <c r="G855" s="113"/>
      <c r="K855" s="36"/>
      <c r="L855" s="117"/>
      <c r="M855" s="128"/>
      <c r="N855" s="117"/>
      <c r="R855" s="117"/>
      <c r="T855" s="117"/>
      <c r="V855" s="117"/>
      <c r="X855" s="117"/>
      <c r="Y855" s="10"/>
      <c r="Z855" s="11"/>
      <c r="AA855" s="36"/>
      <c r="AB855" s="36"/>
      <c r="AC855" s="13"/>
      <c r="AD855" s="13"/>
      <c r="AE855" s="37"/>
      <c r="AF855" s="37"/>
      <c r="AG855" s="14"/>
      <c r="AH855" s="14"/>
      <c r="AI855" s="14"/>
      <c r="AZ855" s="24"/>
    </row>
    <row r="856">
      <c r="B856" s="24"/>
      <c r="E856" s="113"/>
      <c r="F856" s="266"/>
      <c r="G856" s="113"/>
      <c r="K856" s="36"/>
      <c r="L856" s="117"/>
      <c r="M856" s="128"/>
      <c r="N856" s="117"/>
      <c r="R856" s="117"/>
      <c r="T856" s="117"/>
      <c r="V856" s="117"/>
      <c r="X856" s="117"/>
      <c r="Y856" s="10"/>
      <c r="Z856" s="11"/>
      <c r="AA856" s="36"/>
      <c r="AB856" s="36"/>
      <c r="AC856" s="13"/>
      <c r="AD856" s="13"/>
      <c r="AE856" s="37"/>
      <c r="AF856" s="37"/>
      <c r="AG856" s="14"/>
      <c r="AH856" s="14"/>
      <c r="AI856" s="14"/>
      <c r="AZ856" s="24"/>
    </row>
    <row r="857">
      <c r="B857" s="24"/>
      <c r="E857" s="113"/>
      <c r="F857" s="266"/>
      <c r="G857" s="113"/>
      <c r="K857" s="36"/>
      <c r="L857" s="117"/>
      <c r="M857" s="128"/>
      <c r="N857" s="117"/>
      <c r="R857" s="117"/>
      <c r="T857" s="117"/>
      <c r="V857" s="117"/>
      <c r="X857" s="117"/>
      <c r="Y857" s="10"/>
      <c r="Z857" s="11"/>
      <c r="AA857" s="36"/>
      <c r="AB857" s="36"/>
      <c r="AC857" s="13"/>
      <c r="AD857" s="13"/>
      <c r="AE857" s="37"/>
      <c r="AF857" s="37"/>
      <c r="AG857" s="14"/>
      <c r="AH857" s="14"/>
      <c r="AI857" s="14"/>
      <c r="AZ857" s="24"/>
    </row>
    <row r="858">
      <c r="B858" s="24"/>
      <c r="E858" s="113"/>
      <c r="F858" s="266"/>
      <c r="G858" s="113"/>
      <c r="K858" s="36"/>
      <c r="L858" s="117"/>
      <c r="M858" s="128"/>
      <c r="N858" s="117"/>
      <c r="R858" s="117"/>
      <c r="T858" s="117"/>
      <c r="V858" s="117"/>
      <c r="X858" s="117"/>
      <c r="Y858" s="10"/>
      <c r="Z858" s="11"/>
      <c r="AA858" s="36"/>
      <c r="AB858" s="36"/>
      <c r="AC858" s="13"/>
      <c r="AD858" s="13"/>
      <c r="AE858" s="37"/>
      <c r="AF858" s="37"/>
      <c r="AG858" s="14"/>
      <c r="AH858" s="14"/>
      <c r="AI858" s="14"/>
      <c r="AZ858" s="24"/>
    </row>
    <row r="859">
      <c r="B859" s="24"/>
      <c r="E859" s="113"/>
      <c r="F859" s="266"/>
      <c r="G859" s="113"/>
      <c r="K859" s="36"/>
      <c r="L859" s="117"/>
      <c r="M859" s="128"/>
      <c r="N859" s="117"/>
      <c r="R859" s="117"/>
      <c r="T859" s="117"/>
      <c r="V859" s="117"/>
      <c r="X859" s="117"/>
      <c r="Y859" s="10"/>
      <c r="Z859" s="11"/>
      <c r="AA859" s="36"/>
      <c r="AB859" s="36"/>
      <c r="AC859" s="13"/>
      <c r="AD859" s="13"/>
      <c r="AE859" s="37"/>
      <c r="AF859" s="37"/>
      <c r="AG859" s="14"/>
      <c r="AH859" s="14"/>
      <c r="AI859" s="14"/>
      <c r="AZ859" s="24"/>
    </row>
    <row r="860">
      <c r="B860" s="24"/>
      <c r="E860" s="113"/>
      <c r="F860" s="266"/>
      <c r="G860" s="113"/>
      <c r="K860" s="36"/>
      <c r="L860" s="117"/>
      <c r="M860" s="128"/>
      <c r="N860" s="117"/>
      <c r="R860" s="117"/>
      <c r="T860" s="117"/>
      <c r="V860" s="117"/>
      <c r="X860" s="117"/>
      <c r="Y860" s="10"/>
      <c r="Z860" s="11"/>
      <c r="AA860" s="36"/>
      <c r="AB860" s="36"/>
      <c r="AC860" s="13"/>
      <c r="AD860" s="13"/>
      <c r="AE860" s="37"/>
      <c r="AF860" s="37"/>
      <c r="AG860" s="14"/>
      <c r="AH860" s="14"/>
      <c r="AI860" s="14"/>
      <c r="AZ860" s="24"/>
    </row>
    <row r="861">
      <c r="B861" s="24"/>
      <c r="E861" s="113"/>
      <c r="F861" s="266"/>
      <c r="G861" s="113"/>
      <c r="K861" s="36"/>
      <c r="L861" s="117"/>
      <c r="M861" s="128"/>
      <c r="N861" s="117"/>
      <c r="R861" s="117"/>
      <c r="T861" s="117"/>
      <c r="V861" s="117"/>
      <c r="X861" s="117"/>
      <c r="Y861" s="10"/>
      <c r="Z861" s="11"/>
      <c r="AA861" s="36"/>
      <c r="AB861" s="36"/>
      <c r="AC861" s="13"/>
      <c r="AD861" s="13"/>
      <c r="AE861" s="37"/>
      <c r="AF861" s="37"/>
      <c r="AG861" s="14"/>
      <c r="AH861" s="14"/>
      <c r="AI861" s="14"/>
      <c r="AZ861" s="24"/>
    </row>
    <row r="862">
      <c r="B862" s="24"/>
      <c r="E862" s="113"/>
      <c r="F862" s="266"/>
      <c r="G862" s="113"/>
      <c r="K862" s="36"/>
      <c r="L862" s="117"/>
      <c r="M862" s="128"/>
      <c r="N862" s="117"/>
      <c r="R862" s="117"/>
      <c r="T862" s="117"/>
      <c r="V862" s="117"/>
      <c r="X862" s="117"/>
      <c r="Y862" s="10"/>
      <c r="Z862" s="11"/>
      <c r="AA862" s="36"/>
      <c r="AB862" s="36"/>
      <c r="AC862" s="13"/>
      <c r="AD862" s="13"/>
      <c r="AE862" s="37"/>
      <c r="AF862" s="37"/>
      <c r="AG862" s="14"/>
      <c r="AH862" s="14"/>
      <c r="AI862" s="14"/>
      <c r="AZ862" s="24"/>
    </row>
    <row r="863">
      <c r="B863" s="24"/>
      <c r="E863" s="113"/>
      <c r="F863" s="266"/>
      <c r="G863" s="113"/>
      <c r="K863" s="36"/>
      <c r="L863" s="117"/>
      <c r="M863" s="128"/>
      <c r="N863" s="117"/>
      <c r="R863" s="117"/>
      <c r="T863" s="117"/>
      <c r="V863" s="117"/>
      <c r="X863" s="117"/>
      <c r="Y863" s="10"/>
      <c r="Z863" s="11"/>
      <c r="AA863" s="36"/>
      <c r="AB863" s="36"/>
      <c r="AC863" s="13"/>
      <c r="AD863" s="13"/>
      <c r="AE863" s="37"/>
      <c r="AF863" s="37"/>
      <c r="AG863" s="14"/>
      <c r="AH863" s="14"/>
      <c r="AI863" s="14"/>
      <c r="AZ863" s="24"/>
    </row>
    <row r="864">
      <c r="B864" s="24"/>
      <c r="E864" s="113"/>
      <c r="F864" s="266"/>
      <c r="G864" s="113"/>
      <c r="K864" s="36"/>
      <c r="L864" s="117"/>
      <c r="M864" s="128"/>
      <c r="N864" s="117"/>
      <c r="R864" s="117"/>
      <c r="T864" s="117"/>
      <c r="V864" s="117"/>
      <c r="X864" s="117"/>
      <c r="Y864" s="10"/>
      <c r="Z864" s="11"/>
      <c r="AA864" s="36"/>
      <c r="AB864" s="36"/>
      <c r="AC864" s="13"/>
      <c r="AD864" s="13"/>
      <c r="AE864" s="37"/>
      <c r="AF864" s="37"/>
      <c r="AG864" s="14"/>
      <c r="AH864" s="14"/>
      <c r="AI864" s="14"/>
      <c r="AZ864" s="24"/>
    </row>
    <row r="865">
      <c r="B865" s="24"/>
      <c r="E865" s="113"/>
      <c r="F865" s="266"/>
      <c r="G865" s="113"/>
      <c r="K865" s="36"/>
      <c r="L865" s="117"/>
      <c r="M865" s="128"/>
      <c r="N865" s="117"/>
      <c r="R865" s="117"/>
      <c r="T865" s="117"/>
      <c r="V865" s="117"/>
      <c r="X865" s="117"/>
      <c r="Y865" s="10"/>
      <c r="Z865" s="11"/>
      <c r="AA865" s="36"/>
      <c r="AB865" s="36"/>
      <c r="AC865" s="13"/>
      <c r="AD865" s="13"/>
      <c r="AE865" s="37"/>
      <c r="AF865" s="37"/>
      <c r="AG865" s="14"/>
      <c r="AH865" s="14"/>
      <c r="AI865" s="14"/>
      <c r="AZ865" s="24"/>
    </row>
    <row r="866">
      <c r="B866" s="24"/>
      <c r="E866" s="113"/>
      <c r="F866" s="266"/>
      <c r="G866" s="113"/>
      <c r="K866" s="36"/>
      <c r="L866" s="117"/>
      <c r="M866" s="128"/>
      <c r="N866" s="117"/>
      <c r="R866" s="117"/>
      <c r="T866" s="117"/>
      <c r="V866" s="117"/>
      <c r="X866" s="117"/>
      <c r="Y866" s="10"/>
      <c r="Z866" s="11"/>
      <c r="AA866" s="36"/>
      <c r="AB866" s="36"/>
      <c r="AC866" s="13"/>
      <c r="AD866" s="13"/>
      <c r="AE866" s="37"/>
      <c r="AF866" s="37"/>
      <c r="AG866" s="14"/>
      <c r="AH866" s="14"/>
      <c r="AI866" s="14"/>
      <c r="AZ866" s="24"/>
    </row>
    <row r="867">
      <c r="B867" s="24"/>
      <c r="E867" s="113"/>
      <c r="F867" s="266"/>
      <c r="G867" s="113"/>
      <c r="K867" s="36"/>
      <c r="L867" s="117"/>
      <c r="M867" s="128"/>
      <c r="N867" s="117"/>
      <c r="R867" s="117"/>
      <c r="T867" s="117"/>
      <c r="V867" s="117"/>
      <c r="X867" s="117"/>
      <c r="Y867" s="10"/>
      <c r="Z867" s="11"/>
      <c r="AA867" s="36"/>
      <c r="AB867" s="36"/>
      <c r="AC867" s="13"/>
      <c r="AD867" s="13"/>
      <c r="AE867" s="37"/>
      <c r="AF867" s="37"/>
      <c r="AG867" s="14"/>
      <c r="AH867" s="14"/>
      <c r="AI867" s="14"/>
      <c r="AZ867" s="24"/>
    </row>
    <row r="868">
      <c r="B868" s="24"/>
      <c r="E868" s="113"/>
      <c r="F868" s="266"/>
      <c r="G868" s="113"/>
      <c r="K868" s="36"/>
      <c r="L868" s="117"/>
      <c r="M868" s="128"/>
      <c r="N868" s="117"/>
      <c r="R868" s="117"/>
      <c r="T868" s="117"/>
      <c r="V868" s="117"/>
      <c r="X868" s="117"/>
      <c r="Y868" s="10"/>
      <c r="Z868" s="11"/>
      <c r="AA868" s="36"/>
      <c r="AB868" s="36"/>
      <c r="AC868" s="13"/>
      <c r="AD868" s="13"/>
      <c r="AE868" s="37"/>
      <c r="AF868" s="37"/>
      <c r="AG868" s="14"/>
      <c r="AH868" s="14"/>
      <c r="AI868" s="14"/>
      <c r="AZ868" s="24"/>
    </row>
    <row r="869">
      <c r="B869" s="24"/>
      <c r="E869" s="113"/>
      <c r="F869" s="266"/>
      <c r="G869" s="113"/>
      <c r="K869" s="36"/>
      <c r="L869" s="117"/>
      <c r="M869" s="128"/>
      <c r="N869" s="117"/>
      <c r="R869" s="117"/>
      <c r="T869" s="117"/>
      <c r="V869" s="117"/>
      <c r="X869" s="117"/>
      <c r="Y869" s="10"/>
      <c r="Z869" s="11"/>
      <c r="AA869" s="36"/>
      <c r="AB869" s="36"/>
      <c r="AC869" s="13"/>
      <c r="AD869" s="13"/>
      <c r="AE869" s="37"/>
      <c r="AF869" s="37"/>
      <c r="AG869" s="14"/>
      <c r="AH869" s="14"/>
      <c r="AI869" s="14"/>
      <c r="AZ869" s="24"/>
    </row>
    <row r="870">
      <c r="B870" s="24"/>
      <c r="E870" s="113"/>
      <c r="F870" s="266"/>
      <c r="G870" s="113"/>
      <c r="K870" s="36"/>
      <c r="L870" s="117"/>
      <c r="M870" s="128"/>
      <c r="N870" s="117"/>
      <c r="R870" s="117"/>
      <c r="T870" s="117"/>
      <c r="V870" s="117"/>
      <c r="X870" s="117"/>
      <c r="Y870" s="10"/>
      <c r="Z870" s="11"/>
      <c r="AA870" s="36"/>
      <c r="AB870" s="36"/>
      <c r="AC870" s="13"/>
      <c r="AD870" s="13"/>
      <c r="AE870" s="37"/>
      <c r="AF870" s="37"/>
      <c r="AG870" s="14"/>
      <c r="AH870" s="14"/>
      <c r="AI870" s="14"/>
      <c r="AZ870" s="24"/>
    </row>
    <row r="871">
      <c r="B871" s="24"/>
      <c r="E871" s="113"/>
      <c r="F871" s="266"/>
      <c r="G871" s="113"/>
      <c r="K871" s="36"/>
      <c r="L871" s="117"/>
      <c r="M871" s="128"/>
      <c r="N871" s="117"/>
      <c r="R871" s="117"/>
      <c r="T871" s="117"/>
      <c r="V871" s="117"/>
      <c r="X871" s="117"/>
      <c r="Y871" s="10"/>
      <c r="Z871" s="11"/>
      <c r="AA871" s="36"/>
      <c r="AB871" s="36"/>
      <c r="AC871" s="13"/>
      <c r="AD871" s="13"/>
      <c r="AE871" s="37"/>
      <c r="AF871" s="37"/>
      <c r="AG871" s="14"/>
      <c r="AH871" s="14"/>
      <c r="AI871" s="14"/>
      <c r="AZ871" s="24"/>
    </row>
    <row r="872">
      <c r="B872" s="24"/>
      <c r="E872" s="113"/>
      <c r="F872" s="266"/>
      <c r="G872" s="113"/>
      <c r="K872" s="36"/>
      <c r="L872" s="117"/>
      <c r="M872" s="128"/>
      <c r="N872" s="117"/>
      <c r="R872" s="117"/>
      <c r="T872" s="117"/>
      <c r="V872" s="117"/>
      <c r="X872" s="117"/>
      <c r="Y872" s="10"/>
      <c r="Z872" s="11"/>
      <c r="AA872" s="36"/>
      <c r="AB872" s="36"/>
      <c r="AC872" s="13"/>
      <c r="AD872" s="13"/>
      <c r="AE872" s="37"/>
      <c r="AF872" s="37"/>
      <c r="AG872" s="14"/>
      <c r="AH872" s="14"/>
      <c r="AI872" s="14"/>
      <c r="AZ872" s="24"/>
    </row>
    <row r="873">
      <c r="B873" s="24"/>
      <c r="E873" s="113"/>
      <c r="F873" s="266"/>
      <c r="G873" s="113"/>
      <c r="K873" s="36"/>
      <c r="L873" s="117"/>
      <c r="M873" s="128"/>
      <c r="N873" s="117"/>
      <c r="R873" s="117"/>
      <c r="T873" s="117"/>
      <c r="V873" s="117"/>
      <c r="X873" s="117"/>
      <c r="Y873" s="10"/>
      <c r="Z873" s="11"/>
      <c r="AA873" s="36"/>
      <c r="AB873" s="36"/>
      <c r="AC873" s="13"/>
      <c r="AD873" s="13"/>
      <c r="AE873" s="37"/>
      <c r="AF873" s="37"/>
      <c r="AG873" s="14"/>
      <c r="AH873" s="14"/>
      <c r="AI873" s="14"/>
      <c r="AZ873" s="24"/>
    </row>
    <row r="874">
      <c r="B874" s="24"/>
      <c r="E874" s="113"/>
      <c r="F874" s="266"/>
      <c r="G874" s="113"/>
      <c r="K874" s="36"/>
      <c r="L874" s="117"/>
      <c r="M874" s="128"/>
      <c r="N874" s="117"/>
      <c r="R874" s="117"/>
      <c r="T874" s="117"/>
      <c r="V874" s="117"/>
      <c r="X874" s="117"/>
      <c r="Y874" s="10"/>
      <c r="Z874" s="11"/>
      <c r="AA874" s="36"/>
      <c r="AB874" s="36"/>
      <c r="AC874" s="13"/>
      <c r="AD874" s="13"/>
      <c r="AE874" s="37"/>
      <c r="AF874" s="37"/>
      <c r="AG874" s="14"/>
      <c r="AH874" s="14"/>
      <c r="AI874" s="14"/>
      <c r="AZ874" s="24"/>
    </row>
    <row r="875">
      <c r="B875" s="24"/>
      <c r="E875" s="113"/>
      <c r="F875" s="266"/>
      <c r="G875" s="113"/>
      <c r="K875" s="36"/>
      <c r="L875" s="117"/>
      <c r="M875" s="128"/>
      <c r="N875" s="117"/>
      <c r="R875" s="117"/>
      <c r="T875" s="117"/>
      <c r="V875" s="117"/>
      <c r="X875" s="117"/>
      <c r="Y875" s="10"/>
      <c r="Z875" s="11"/>
      <c r="AA875" s="36"/>
      <c r="AB875" s="36"/>
      <c r="AC875" s="13"/>
      <c r="AD875" s="13"/>
      <c r="AE875" s="37"/>
      <c r="AF875" s="37"/>
      <c r="AG875" s="14"/>
      <c r="AH875" s="14"/>
      <c r="AI875" s="14"/>
      <c r="AZ875" s="24"/>
    </row>
    <row r="876">
      <c r="B876" s="24"/>
      <c r="E876" s="113"/>
      <c r="F876" s="266"/>
      <c r="G876" s="113"/>
      <c r="K876" s="36"/>
      <c r="L876" s="117"/>
      <c r="M876" s="128"/>
      <c r="N876" s="117"/>
      <c r="R876" s="117"/>
      <c r="T876" s="117"/>
      <c r="V876" s="117"/>
      <c r="X876" s="117"/>
      <c r="Y876" s="10"/>
      <c r="Z876" s="11"/>
      <c r="AA876" s="36"/>
      <c r="AB876" s="36"/>
      <c r="AC876" s="13"/>
      <c r="AD876" s="13"/>
      <c r="AE876" s="37"/>
      <c r="AF876" s="37"/>
      <c r="AG876" s="14"/>
      <c r="AH876" s="14"/>
      <c r="AI876" s="14"/>
      <c r="AZ876" s="24"/>
    </row>
    <row r="877">
      <c r="B877" s="24"/>
      <c r="E877" s="113"/>
      <c r="F877" s="266"/>
      <c r="G877" s="113"/>
      <c r="K877" s="36"/>
      <c r="L877" s="117"/>
      <c r="M877" s="128"/>
      <c r="N877" s="117"/>
      <c r="R877" s="117"/>
      <c r="T877" s="117"/>
      <c r="V877" s="117"/>
      <c r="X877" s="117"/>
      <c r="Y877" s="10"/>
      <c r="Z877" s="11"/>
      <c r="AA877" s="36"/>
      <c r="AB877" s="36"/>
      <c r="AC877" s="13"/>
      <c r="AD877" s="13"/>
      <c r="AE877" s="37"/>
      <c r="AF877" s="37"/>
      <c r="AG877" s="14"/>
      <c r="AH877" s="14"/>
      <c r="AI877" s="14"/>
      <c r="AZ877" s="24"/>
    </row>
    <row r="878">
      <c r="B878" s="24"/>
      <c r="E878" s="113"/>
      <c r="F878" s="266"/>
      <c r="G878" s="113"/>
      <c r="K878" s="36"/>
      <c r="L878" s="117"/>
      <c r="M878" s="128"/>
      <c r="N878" s="117"/>
      <c r="R878" s="117"/>
      <c r="T878" s="117"/>
      <c r="V878" s="117"/>
      <c r="X878" s="117"/>
      <c r="Y878" s="10"/>
      <c r="Z878" s="11"/>
      <c r="AA878" s="36"/>
      <c r="AB878" s="36"/>
      <c r="AC878" s="13"/>
      <c r="AD878" s="13"/>
      <c r="AE878" s="37"/>
      <c r="AF878" s="37"/>
      <c r="AG878" s="14"/>
      <c r="AH878" s="14"/>
      <c r="AI878" s="14"/>
      <c r="AZ878" s="24"/>
    </row>
    <row r="879">
      <c r="B879" s="24"/>
      <c r="E879" s="113"/>
      <c r="F879" s="266"/>
      <c r="G879" s="113"/>
      <c r="K879" s="36"/>
      <c r="L879" s="117"/>
      <c r="M879" s="128"/>
      <c r="N879" s="117"/>
      <c r="R879" s="117"/>
      <c r="T879" s="117"/>
      <c r="V879" s="117"/>
      <c r="X879" s="117"/>
      <c r="Y879" s="10"/>
      <c r="Z879" s="11"/>
      <c r="AA879" s="36"/>
      <c r="AB879" s="36"/>
      <c r="AC879" s="13"/>
      <c r="AD879" s="13"/>
      <c r="AE879" s="37"/>
      <c r="AF879" s="37"/>
      <c r="AG879" s="14"/>
      <c r="AH879" s="14"/>
      <c r="AI879" s="14"/>
      <c r="AZ879" s="24"/>
    </row>
    <row r="880">
      <c r="B880" s="24"/>
      <c r="E880" s="113"/>
      <c r="F880" s="266"/>
      <c r="G880" s="113"/>
      <c r="K880" s="36"/>
      <c r="L880" s="117"/>
      <c r="M880" s="128"/>
      <c r="N880" s="117"/>
      <c r="R880" s="117"/>
      <c r="T880" s="117"/>
      <c r="V880" s="117"/>
      <c r="X880" s="117"/>
      <c r="Y880" s="10"/>
      <c r="Z880" s="11"/>
      <c r="AA880" s="36"/>
      <c r="AB880" s="36"/>
      <c r="AC880" s="13"/>
      <c r="AD880" s="13"/>
      <c r="AE880" s="37"/>
      <c r="AF880" s="37"/>
      <c r="AG880" s="14"/>
      <c r="AH880" s="14"/>
      <c r="AI880" s="14"/>
      <c r="AZ880" s="24"/>
    </row>
    <row r="881">
      <c r="B881" s="24"/>
      <c r="E881" s="113"/>
      <c r="F881" s="266"/>
      <c r="G881" s="113"/>
      <c r="K881" s="36"/>
      <c r="L881" s="117"/>
      <c r="M881" s="128"/>
      <c r="N881" s="117"/>
      <c r="R881" s="117"/>
      <c r="T881" s="117"/>
      <c r="V881" s="117"/>
      <c r="X881" s="117"/>
      <c r="Y881" s="10"/>
      <c r="Z881" s="11"/>
      <c r="AA881" s="36"/>
      <c r="AB881" s="36"/>
      <c r="AC881" s="13"/>
      <c r="AD881" s="13"/>
      <c r="AE881" s="37"/>
      <c r="AF881" s="37"/>
      <c r="AG881" s="14"/>
      <c r="AH881" s="14"/>
      <c r="AI881" s="14"/>
      <c r="AZ881" s="24"/>
    </row>
    <row r="882">
      <c r="B882" s="24"/>
      <c r="E882" s="113"/>
      <c r="F882" s="266"/>
      <c r="G882" s="113"/>
      <c r="K882" s="36"/>
      <c r="L882" s="117"/>
      <c r="M882" s="128"/>
      <c r="N882" s="117"/>
      <c r="R882" s="117"/>
      <c r="T882" s="117"/>
      <c r="V882" s="117"/>
      <c r="X882" s="117"/>
      <c r="Y882" s="10"/>
      <c r="Z882" s="11"/>
      <c r="AA882" s="36"/>
      <c r="AB882" s="36"/>
      <c r="AC882" s="13"/>
      <c r="AD882" s="13"/>
      <c r="AE882" s="37"/>
      <c r="AF882" s="37"/>
      <c r="AG882" s="14"/>
      <c r="AH882" s="14"/>
      <c r="AI882" s="14"/>
      <c r="AZ882" s="24"/>
    </row>
    <row r="883">
      <c r="B883" s="24"/>
      <c r="E883" s="113"/>
      <c r="F883" s="266"/>
      <c r="G883" s="113"/>
      <c r="K883" s="36"/>
      <c r="L883" s="117"/>
      <c r="M883" s="128"/>
      <c r="N883" s="117"/>
      <c r="R883" s="117"/>
      <c r="T883" s="117"/>
      <c r="V883" s="117"/>
      <c r="X883" s="117"/>
      <c r="Y883" s="10"/>
      <c r="Z883" s="11"/>
      <c r="AA883" s="36"/>
      <c r="AB883" s="36"/>
      <c r="AC883" s="13"/>
      <c r="AD883" s="13"/>
      <c r="AE883" s="37"/>
      <c r="AF883" s="37"/>
      <c r="AG883" s="14"/>
      <c r="AH883" s="14"/>
      <c r="AI883" s="14"/>
      <c r="AZ883" s="24"/>
    </row>
    <row r="884">
      <c r="B884" s="24"/>
      <c r="E884" s="113"/>
      <c r="F884" s="266"/>
      <c r="G884" s="113"/>
      <c r="K884" s="36"/>
      <c r="L884" s="117"/>
      <c r="M884" s="128"/>
      <c r="N884" s="117"/>
      <c r="R884" s="117"/>
      <c r="T884" s="117"/>
      <c r="V884" s="117"/>
      <c r="X884" s="117"/>
      <c r="Y884" s="10"/>
      <c r="Z884" s="11"/>
      <c r="AA884" s="36"/>
      <c r="AB884" s="36"/>
      <c r="AC884" s="13"/>
      <c r="AD884" s="13"/>
      <c r="AE884" s="37"/>
      <c r="AF884" s="37"/>
      <c r="AG884" s="14"/>
      <c r="AH884" s="14"/>
      <c r="AI884" s="14"/>
      <c r="AZ884" s="24"/>
    </row>
    <row r="885">
      <c r="B885" s="24"/>
      <c r="E885" s="113"/>
      <c r="F885" s="266"/>
      <c r="G885" s="113"/>
      <c r="K885" s="36"/>
      <c r="L885" s="117"/>
      <c r="M885" s="128"/>
      <c r="N885" s="117"/>
      <c r="R885" s="117"/>
      <c r="T885" s="117"/>
      <c r="V885" s="117"/>
      <c r="X885" s="117"/>
      <c r="Y885" s="10"/>
      <c r="Z885" s="11"/>
      <c r="AA885" s="36"/>
      <c r="AB885" s="36"/>
      <c r="AC885" s="13"/>
      <c r="AD885" s="13"/>
      <c r="AE885" s="37"/>
      <c r="AF885" s="37"/>
      <c r="AG885" s="14"/>
      <c r="AH885" s="14"/>
      <c r="AI885" s="14"/>
      <c r="AZ885" s="24"/>
    </row>
    <row r="886">
      <c r="B886" s="24"/>
      <c r="E886" s="113"/>
      <c r="F886" s="266"/>
      <c r="G886" s="113"/>
      <c r="K886" s="36"/>
      <c r="L886" s="117"/>
      <c r="M886" s="128"/>
      <c r="N886" s="117"/>
      <c r="R886" s="117"/>
      <c r="T886" s="117"/>
      <c r="V886" s="117"/>
      <c r="X886" s="117"/>
      <c r="Y886" s="10"/>
      <c r="Z886" s="11"/>
      <c r="AA886" s="36"/>
      <c r="AB886" s="36"/>
      <c r="AC886" s="13"/>
      <c r="AD886" s="13"/>
      <c r="AE886" s="37"/>
      <c r="AF886" s="37"/>
      <c r="AG886" s="14"/>
      <c r="AH886" s="14"/>
      <c r="AI886" s="14"/>
      <c r="AZ886" s="24"/>
    </row>
    <row r="887">
      <c r="B887" s="24"/>
      <c r="E887" s="113"/>
      <c r="F887" s="266"/>
      <c r="G887" s="113"/>
      <c r="K887" s="36"/>
      <c r="L887" s="117"/>
      <c r="M887" s="128"/>
      <c r="N887" s="117"/>
      <c r="R887" s="117"/>
      <c r="T887" s="117"/>
      <c r="V887" s="117"/>
      <c r="X887" s="117"/>
      <c r="Y887" s="10"/>
      <c r="Z887" s="11"/>
      <c r="AA887" s="36"/>
      <c r="AB887" s="36"/>
      <c r="AC887" s="13"/>
      <c r="AD887" s="13"/>
      <c r="AE887" s="37"/>
      <c r="AF887" s="37"/>
      <c r="AG887" s="14"/>
      <c r="AH887" s="14"/>
      <c r="AI887" s="14"/>
      <c r="AZ887" s="24"/>
    </row>
    <row r="888">
      <c r="B888" s="24"/>
      <c r="E888" s="113"/>
      <c r="F888" s="266"/>
      <c r="G888" s="113"/>
      <c r="K888" s="36"/>
      <c r="L888" s="117"/>
      <c r="M888" s="128"/>
      <c r="N888" s="117"/>
      <c r="R888" s="117"/>
      <c r="T888" s="117"/>
      <c r="V888" s="117"/>
      <c r="X888" s="117"/>
      <c r="Y888" s="10"/>
      <c r="Z888" s="11"/>
      <c r="AA888" s="36"/>
      <c r="AB888" s="36"/>
      <c r="AC888" s="13"/>
      <c r="AD888" s="13"/>
      <c r="AE888" s="37"/>
      <c r="AF888" s="37"/>
      <c r="AG888" s="14"/>
      <c r="AH888" s="14"/>
      <c r="AI888" s="14"/>
      <c r="AZ888" s="24"/>
    </row>
    <row r="889">
      <c r="B889" s="24"/>
      <c r="E889" s="113"/>
      <c r="F889" s="266"/>
      <c r="G889" s="113"/>
      <c r="K889" s="36"/>
      <c r="L889" s="117"/>
      <c r="M889" s="128"/>
      <c r="N889" s="117"/>
      <c r="R889" s="117"/>
      <c r="T889" s="117"/>
      <c r="V889" s="117"/>
      <c r="X889" s="117"/>
      <c r="Y889" s="10"/>
      <c r="Z889" s="11"/>
      <c r="AA889" s="36"/>
      <c r="AB889" s="36"/>
      <c r="AC889" s="13"/>
      <c r="AD889" s="13"/>
      <c r="AE889" s="37"/>
      <c r="AF889" s="37"/>
      <c r="AG889" s="14"/>
      <c r="AH889" s="14"/>
      <c r="AI889" s="14"/>
      <c r="AZ889" s="24"/>
    </row>
    <row r="890">
      <c r="B890" s="24"/>
      <c r="E890" s="113"/>
      <c r="F890" s="266"/>
      <c r="G890" s="113"/>
      <c r="K890" s="36"/>
      <c r="L890" s="117"/>
      <c r="M890" s="128"/>
      <c r="N890" s="117"/>
      <c r="R890" s="117"/>
      <c r="T890" s="117"/>
      <c r="V890" s="117"/>
      <c r="X890" s="117"/>
      <c r="Y890" s="10"/>
      <c r="Z890" s="11"/>
      <c r="AA890" s="36"/>
      <c r="AB890" s="36"/>
      <c r="AC890" s="13"/>
      <c r="AD890" s="13"/>
      <c r="AE890" s="37"/>
      <c r="AF890" s="37"/>
      <c r="AG890" s="14"/>
      <c r="AH890" s="14"/>
      <c r="AI890" s="14"/>
      <c r="AZ890" s="24"/>
    </row>
    <row r="891">
      <c r="B891" s="24"/>
      <c r="E891" s="113"/>
      <c r="F891" s="266"/>
      <c r="G891" s="113"/>
      <c r="K891" s="36"/>
      <c r="L891" s="117"/>
      <c r="M891" s="128"/>
      <c r="N891" s="117"/>
      <c r="R891" s="117"/>
      <c r="T891" s="117"/>
      <c r="V891" s="117"/>
      <c r="X891" s="117"/>
      <c r="Y891" s="10"/>
      <c r="Z891" s="11"/>
      <c r="AA891" s="36"/>
      <c r="AB891" s="36"/>
      <c r="AC891" s="13"/>
      <c r="AD891" s="13"/>
      <c r="AE891" s="37"/>
      <c r="AF891" s="37"/>
      <c r="AG891" s="14"/>
      <c r="AH891" s="14"/>
      <c r="AI891" s="14"/>
      <c r="AZ891" s="24"/>
    </row>
    <row r="892">
      <c r="B892" s="24"/>
      <c r="E892" s="113"/>
      <c r="F892" s="266"/>
      <c r="G892" s="113"/>
      <c r="K892" s="36"/>
      <c r="L892" s="117"/>
      <c r="M892" s="128"/>
      <c r="N892" s="117"/>
      <c r="R892" s="117"/>
      <c r="T892" s="117"/>
      <c r="V892" s="117"/>
      <c r="X892" s="117"/>
      <c r="Y892" s="10"/>
      <c r="Z892" s="11"/>
      <c r="AA892" s="36"/>
      <c r="AB892" s="36"/>
      <c r="AC892" s="13"/>
      <c r="AD892" s="13"/>
      <c r="AE892" s="37"/>
      <c r="AF892" s="37"/>
      <c r="AG892" s="14"/>
      <c r="AH892" s="14"/>
      <c r="AI892" s="14"/>
      <c r="AZ892" s="24"/>
    </row>
    <row r="893">
      <c r="B893" s="24"/>
      <c r="E893" s="113"/>
      <c r="F893" s="266"/>
      <c r="G893" s="113"/>
      <c r="K893" s="36"/>
      <c r="L893" s="117"/>
      <c r="M893" s="128"/>
      <c r="N893" s="117"/>
      <c r="R893" s="117"/>
      <c r="T893" s="117"/>
      <c r="V893" s="117"/>
      <c r="X893" s="117"/>
      <c r="Y893" s="10"/>
      <c r="Z893" s="11"/>
      <c r="AA893" s="36"/>
      <c r="AB893" s="36"/>
      <c r="AC893" s="13"/>
      <c r="AD893" s="13"/>
      <c r="AE893" s="37"/>
      <c r="AF893" s="37"/>
      <c r="AG893" s="14"/>
      <c r="AH893" s="14"/>
      <c r="AI893" s="14"/>
      <c r="AZ893" s="24"/>
    </row>
    <row r="894">
      <c r="B894" s="24"/>
      <c r="E894" s="113"/>
      <c r="F894" s="266"/>
      <c r="G894" s="113"/>
      <c r="K894" s="36"/>
      <c r="L894" s="117"/>
      <c r="M894" s="128"/>
      <c r="N894" s="117"/>
      <c r="R894" s="117"/>
      <c r="T894" s="117"/>
      <c r="V894" s="117"/>
      <c r="X894" s="117"/>
      <c r="Y894" s="10"/>
      <c r="Z894" s="11"/>
      <c r="AA894" s="36"/>
      <c r="AB894" s="36"/>
      <c r="AC894" s="13"/>
      <c r="AD894" s="13"/>
      <c r="AE894" s="37"/>
      <c r="AF894" s="37"/>
      <c r="AG894" s="14"/>
      <c r="AH894" s="14"/>
      <c r="AI894" s="14"/>
      <c r="AZ894" s="24"/>
    </row>
    <row r="895">
      <c r="B895" s="24"/>
      <c r="E895" s="113"/>
      <c r="F895" s="266"/>
      <c r="G895" s="113"/>
      <c r="K895" s="36"/>
      <c r="L895" s="117"/>
      <c r="M895" s="128"/>
      <c r="N895" s="117"/>
      <c r="R895" s="117"/>
      <c r="T895" s="117"/>
      <c r="V895" s="117"/>
      <c r="X895" s="117"/>
      <c r="Y895" s="10"/>
      <c r="Z895" s="11"/>
      <c r="AA895" s="36"/>
      <c r="AB895" s="36"/>
      <c r="AC895" s="13"/>
      <c r="AD895" s="13"/>
      <c r="AE895" s="37"/>
      <c r="AF895" s="37"/>
      <c r="AG895" s="14"/>
      <c r="AH895" s="14"/>
      <c r="AI895" s="14"/>
      <c r="AZ895" s="24"/>
    </row>
    <row r="896">
      <c r="B896" s="24"/>
      <c r="E896" s="113"/>
      <c r="F896" s="266"/>
      <c r="G896" s="113"/>
      <c r="K896" s="36"/>
      <c r="L896" s="117"/>
      <c r="M896" s="128"/>
      <c r="N896" s="117"/>
      <c r="R896" s="117"/>
      <c r="T896" s="117"/>
      <c r="V896" s="117"/>
      <c r="X896" s="117"/>
      <c r="Y896" s="10"/>
      <c r="Z896" s="11"/>
      <c r="AA896" s="36"/>
      <c r="AB896" s="36"/>
      <c r="AC896" s="13"/>
      <c r="AD896" s="13"/>
      <c r="AE896" s="37"/>
      <c r="AF896" s="37"/>
      <c r="AG896" s="14"/>
      <c r="AH896" s="14"/>
      <c r="AI896" s="14"/>
      <c r="AZ896" s="24"/>
    </row>
    <row r="897">
      <c r="B897" s="24"/>
      <c r="E897" s="113"/>
      <c r="F897" s="266"/>
      <c r="G897" s="113"/>
      <c r="K897" s="36"/>
      <c r="L897" s="117"/>
      <c r="M897" s="128"/>
      <c r="N897" s="117"/>
      <c r="R897" s="117"/>
      <c r="T897" s="117"/>
      <c r="V897" s="117"/>
      <c r="X897" s="117"/>
      <c r="Y897" s="10"/>
      <c r="Z897" s="11"/>
      <c r="AA897" s="36"/>
      <c r="AB897" s="36"/>
      <c r="AC897" s="13"/>
      <c r="AD897" s="13"/>
      <c r="AE897" s="37"/>
      <c r="AF897" s="37"/>
      <c r="AG897" s="14"/>
      <c r="AH897" s="14"/>
      <c r="AI897" s="14"/>
      <c r="AZ897" s="24"/>
    </row>
    <row r="898">
      <c r="B898" s="24"/>
      <c r="E898" s="113"/>
      <c r="F898" s="266"/>
      <c r="G898" s="113"/>
      <c r="K898" s="36"/>
      <c r="L898" s="117"/>
      <c r="M898" s="128"/>
      <c r="N898" s="117"/>
      <c r="R898" s="117"/>
      <c r="T898" s="117"/>
      <c r="V898" s="117"/>
      <c r="X898" s="117"/>
      <c r="Y898" s="10"/>
      <c r="Z898" s="11"/>
      <c r="AA898" s="36"/>
      <c r="AB898" s="36"/>
      <c r="AC898" s="13"/>
      <c r="AD898" s="13"/>
      <c r="AE898" s="37"/>
      <c r="AF898" s="37"/>
      <c r="AG898" s="14"/>
      <c r="AH898" s="14"/>
      <c r="AI898" s="14"/>
      <c r="AZ898" s="24"/>
    </row>
    <row r="899">
      <c r="B899" s="24"/>
      <c r="E899" s="113"/>
      <c r="F899" s="266"/>
      <c r="G899" s="113"/>
      <c r="K899" s="36"/>
      <c r="L899" s="117"/>
      <c r="M899" s="128"/>
      <c r="N899" s="117"/>
      <c r="R899" s="117"/>
      <c r="T899" s="117"/>
      <c r="V899" s="117"/>
      <c r="X899" s="117"/>
      <c r="Y899" s="10"/>
      <c r="Z899" s="11"/>
      <c r="AA899" s="36"/>
      <c r="AB899" s="36"/>
      <c r="AC899" s="13"/>
      <c r="AD899" s="13"/>
      <c r="AE899" s="37"/>
      <c r="AF899" s="37"/>
      <c r="AG899" s="14"/>
      <c r="AH899" s="14"/>
      <c r="AI899" s="14"/>
      <c r="AZ899" s="24"/>
    </row>
    <row r="900">
      <c r="B900" s="24"/>
      <c r="E900" s="113"/>
      <c r="F900" s="266"/>
      <c r="G900" s="113"/>
      <c r="K900" s="36"/>
      <c r="L900" s="117"/>
      <c r="M900" s="128"/>
      <c r="N900" s="117"/>
      <c r="R900" s="117"/>
      <c r="T900" s="117"/>
      <c r="V900" s="117"/>
      <c r="X900" s="117"/>
      <c r="Y900" s="10"/>
      <c r="Z900" s="11"/>
      <c r="AA900" s="36"/>
      <c r="AB900" s="36"/>
      <c r="AC900" s="13"/>
      <c r="AD900" s="13"/>
      <c r="AE900" s="37"/>
      <c r="AF900" s="37"/>
      <c r="AG900" s="14"/>
      <c r="AH900" s="14"/>
      <c r="AI900" s="14"/>
      <c r="AZ900" s="24"/>
    </row>
    <row r="901">
      <c r="B901" s="24"/>
      <c r="E901" s="113"/>
      <c r="F901" s="266"/>
      <c r="G901" s="113"/>
      <c r="K901" s="36"/>
      <c r="L901" s="117"/>
      <c r="M901" s="128"/>
      <c r="N901" s="117"/>
      <c r="R901" s="117"/>
      <c r="T901" s="117"/>
      <c r="V901" s="117"/>
      <c r="X901" s="117"/>
      <c r="Y901" s="10"/>
      <c r="Z901" s="11"/>
      <c r="AA901" s="36"/>
      <c r="AB901" s="36"/>
      <c r="AC901" s="13"/>
      <c r="AD901" s="13"/>
      <c r="AE901" s="37"/>
      <c r="AF901" s="37"/>
      <c r="AG901" s="14"/>
      <c r="AH901" s="14"/>
      <c r="AI901" s="14"/>
      <c r="AZ901" s="24"/>
    </row>
    <row r="902">
      <c r="B902" s="24"/>
      <c r="E902" s="113"/>
      <c r="F902" s="266"/>
      <c r="G902" s="113"/>
      <c r="K902" s="36"/>
      <c r="L902" s="117"/>
      <c r="M902" s="128"/>
      <c r="N902" s="117"/>
      <c r="R902" s="117"/>
      <c r="T902" s="117"/>
      <c r="V902" s="117"/>
      <c r="X902" s="117"/>
      <c r="Y902" s="10"/>
      <c r="Z902" s="11"/>
      <c r="AA902" s="36"/>
      <c r="AB902" s="36"/>
      <c r="AC902" s="13"/>
      <c r="AD902" s="13"/>
      <c r="AE902" s="37"/>
      <c r="AF902" s="37"/>
      <c r="AG902" s="14"/>
      <c r="AH902" s="14"/>
      <c r="AI902" s="14"/>
      <c r="AZ902" s="24"/>
    </row>
    <row r="903">
      <c r="B903" s="24"/>
      <c r="E903" s="113"/>
      <c r="F903" s="266"/>
      <c r="G903" s="113"/>
      <c r="K903" s="36"/>
      <c r="L903" s="117"/>
      <c r="M903" s="128"/>
      <c r="N903" s="117"/>
      <c r="R903" s="117"/>
      <c r="T903" s="117"/>
      <c r="V903" s="117"/>
      <c r="X903" s="117"/>
      <c r="Y903" s="10"/>
      <c r="Z903" s="11"/>
      <c r="AA903" s="36"/>
      <c r="AB903" s="36"/>
      <c r="AC903" s="13"/>
      <c r="AD903" s="13"/>
      <c r="AE903" s="37"/>
      <c r="AF903" s="37"/>
      <c r="AG903" s="14"/>
      <c r="AH903" s="14"/>
      <c r="AI903" s="14"/>
      <c r="AZ903" s="24"/>
    </row>
    <row r="904">
      <c r="B904" s="24"/>
      <c r="E904" s="113"/>
      <c r="F904" s="266"/>
      <c r="G904" s="113"/>
      <c r="K904" s="36"/>
      <c r="L904" s="117"/>
      <c r="M904" s="128"/>
      <c r="N904" s="117"/>
      <c r="R904" s="117"/>
      <c r="T904" s="117"/>
      <c r="V904" s="117"/>
      <c r="X904" s="117"/>
      <c r="Y904" s="10"/>
      <c r="Z904" s="11"/>
      <c r="AA904" s="36"/>
      <c r="AB904" s="36"/>
      <c r="AC904" s="13"/>
      <c r="AD904" s="13"/>
      <c r="AE904" s="37"/>
      <c r="AF904" s="37"/>
      <c r="AG904" s="14"/>
      <c r="AH904" s="14"/>
      <c r="AI904" s="14"/>
      <c r="AZ904" s="24"/>
    </row>
    <row r="905">
      <c r="B905" s="24"/>
      <c r="E905" s="113"/>
      <c r="F905" s="266"/>
      <c r="G905" s="113"/>
      <c r="K905" s="36"/>
      <c r="L905" s="117"/>
      <c r="M905" s="128"/>
      <c r="N905" s="117"/>
      <c r="R905" s="117"/>
      <c r="T905" s="117"/>
      <c r="V905" s="117"/>
      <c r="X905" s="117"/>
      <c r="Y905" s="10"/>
      <c r="Z905" s="11"/>
      <c r="AA905" s="36"/>
      <c r="AB905" s="36"/>
      <c r="AC905" s="13"/>
      <c r="AD905" s="13"/>
      <c r="AE905" s="37"/>
      <c r="AF905" s="37"/>
      <c r="AG905" s="14"/>
      <c r="AH905" s="14"/>
      <c r="AI905" s="14"/>
      <c r="AZ905" s="24"/>
    </row>
    <row r="906">
      <c r="B906" s="24"/>
      <c r="E906" s="113"/>
      <c r="F906" s="266"/>
      <c r="G906" s="113"/>
      <c r="K906" s="36"/>
      <c r="L906" s="117"/>
      <c r="M906" s="128"/>
      <c r="N906" s="117"/>
      <c r="R906" s="117"/>
      <c r="T906" s="117"/>
      <c r="V906" s="117"/>
      <c r="X906" s="117"/>
      <c r="Y906" s="10"/>
      <c r="Z906" s="11"/>
      <c r="AA906" s="36"/>
      <c r="AB906" s="36"/>
      <c r="AC906" s="13"/>
      <c r="AD906" s="13"/>
      <c r="AE906" s="37"/>
      <c r="AF906" s="37"/>
      <c r="AG906" s="14"/>
      <c r="AH906" s="14"/>
      <c r="AI906" s="14"/>
      <c r="AZ906" s="24"/>
    </row>
    <row r="907">
      <c r="B907" s="24"/>
      <c r="E907" s="113"/>
      <c r="F907" s="266"/>
      <c r="G907" s="113"/>
      <c r="K907" s="36"/>
      <c r="L907" s="117"/>
      <c r="M907" s="128"/>
      <c r="N907" s="117"/>
      <c r="R907" s="117"/>
      <c r="T907" s="117"/>
      <c r="V907" s="117"/>
      <c r="X907" s="117"/>
      <c r="Y907" s="10"/>
      <c r="Z907" s="11"/>
      <c r="AA907" s="36"/>
      <c r="AB907" s="36"/>
      <c r="AC907" s="13"/>
      <c r="AD907" s="13"/>
      <c r="AE907" s="37"/>
      <c r="AF907" s="37"/>
      <c r="AG907" s="14"/>
      <c r="AH907" s="14"/>
      <c r="AI907" s="14"/>
      <c r="AZ907" s="24"/>
    </row>
    <row r="908">
      <c r="B908" s="24"/>
      <c r="E908" s="113"/>
      <c r="F908" s="266"/>
      <c r="G908" s="113"/>
      <c r="K908" s="36"/>
      <c r="L908" s="117"/>
      <c r="M908" s="128"/>
      <c r="N908" s="117"/>
      <c r="R908" s="117"/>
      <c r="T908" s="117"/>
      <c r="V908" s="117"/>
      <c r="X908" s="117"/>
      <c r="Y908" s="10"/>
      <c r="Z908" s="11"/>
      <c r="AA908" s="36"/>
      <c r="AB908" s="36"/>
      <c r="AC908" s="13"/>
      <c r="AD908" s="13"/>
      <c r="AE908" s="37"/>
      <c r="AF908" s="37"/>
      <c r="AG908" s="14"/>
      <c r="AH908" s="14"/>
      <c r="AI908" s="14"/>
      <c r="AZ908" s="24"/>
    </row>
    <row r="909">
      <c r="B909" s="24"/>
      <c r="E909" s="113"/>
      <c r="F909" s="266"/>
      <c r="G909" s="113"/>
      <c r="K909" s="36"/>
      <c r="L909" s="117"/>
      <c r="M909" s="128"/>
      <c r="N909" s="117"/>
      <c r="R909" s="117"/>
      <c r="T909" s="117"/>
      <c r="V909" s="117"/>
      <c r="X909" s="117"/>
      <c r="Y909" s="10"/>
      <c r="Z909" s="11"/>
      <c r="AA909" s="36"/>
      <c r="AB909" s="36"/>
      <c r="AC909" s="13"/>
      <c r="AD909" s="13"/>
      <c r="AE909" s="37"/>
      <c r="AF909" s="37"/>
      <c r="AG909" s="14"/>
      <c r="AH909" s="14"/>
      <c r="AI909" s="14"/>
      <c r="AZ909" s="24"/>
    </row>
    <row r="910">
      <c r="B910" s="24"/>
      <c r="E910" s="113"/>
      <c r="F910" s="266"/>
      <c r="G910" s="113"/>
      <c r="K910" s="36"/>
      <c r="L910" s="117"/>
      <c r="M910" s="128"/>
      <c r="N910" s="117"/>
      <c r="R910" s="117"/>
      <c r="T910" s="117"/>
      <c r="V910" s="117"/>
      <c r="X910" s="117"/>
      <c r="Y910" s="10"/>
      <c r="Z910" s="11"/>
      <c r="AA910" s="36"/>
      <c r="AB910" s="36"/>
      <c r="AC910" s="13"/>
      <c r="AD910" s="13"/>
      <c r="AE910" s="37"/>
      <c r="AF910" s="37"/>
      <c r="AG910" s="14"/>
      <c r="AH910" s="14"/>
      <c r="AI910" s="14"/>
      <c r="AZ910" s="24"/>
    </row>
    <row r="911">
      <c r="B911" s="24"/>
      <c r="E911" s="113"/>
      <c r="F911" s="266"/>
      <c r="G911" s="113"/>
      <c r="K911" s="36"/>
      <c r="L911" s="117"/>
      <c r="M911" s="128"/>
      <c r="N911" s="117"/>
      <c r="R911" s="117"/>
      <c r="T911" s="117"/>
      <c r="V911" s="117"/>
      <c r="X911" s="117"/>
      <c r="Y911" s="10"/>
      <c r="Z911" s="11"/>
      <c r="AA911" s="36"/>
      <c r="AB911" s="36"/>
      <c r="AC911" s="13"/>
      <c r="AD911" s="13"/>
      <c r="AE911" s="37"/>
      <c r="AF911" s="37"/>
      <c r="AG911" s="14"/>
      <c r="AH911" s="14"/>
      <c r="AI911" s="14"/>
      <c r="AZ911" s="24"/>
    </row>
    <row r="912">
      <c r="B912" s="24"/>
      <c r="E912" s="113"/>
      <c r="F912" s="266"/>
      <c r="G912" s="113"/>
      <c r="K912" s="36"/>
      <c r="L912" s="117"/>
      <c r="M912" s="128"/>
      <c r="N912" s="117"/>
      <c r="R912" s="117"/>
      <c r="T912" s="117"/>
      <c r="V912" s="117"/>
      <c r="X912" s="117"/>
      <c r="Y912" s="10"/>
      <c r="Z912" s="11"/>
      <c r="AA912" s="36"/>
      <c r="AB912" s="36"/>
      <c r="AC912" s="13"/>
      <c r="AD912" s="13"/>
      <c r="AE912" s="37"/>
      <c r="AF912" s="37"/>
      <c r="AG912" s="14"/>
      <c r="AH912" s="14"/>
      <c r="AI912" s="14"/>
      <c r="AZ912" s="24"/>
    </row>
    <row r="913">
      <c r="B913" s="24"/>
      <c r="E913" s="113"/>
      <c r="F913" s="266"/>
      <c r="G913" s="113"/>
      <c r="K913" s="36"/>
      <c r="L913" s="117"/>
      <c r="M913" s="128"/>
      <c r="N913" s="117"/>
      <c r="R913" s="117"/>
      <c r="T913" s="117"/>
      <c r="V913" s="117"/>
      <c r="X913" s="117"/>
      <c r="Y913" s="10"/>
      <c r="Z913" s="11"/>
      <c r="AA913" s="36"/>
      <c r="AB913" s="36"/>
      <c r="AC913" s="13"/>
      <c r="AD913" s="13"/>
      <c r="AE913" s="37"/>
      <c r="AF913" s="37"/>
      <c r="AG913" s="14"/>
      <c r="AH913" s="14"/>
      <c r="AI913" s="14"/>
      <c r="AZ913" s="24"/>
    </row>
    <row r="914">
      <c r="B914" s="24"/>
      <c r="E914" s="113"/>
      <c r="F914" s="266"/>
      <c r="G914" s="113"/>
      <c r="K914" s="36"/>
      <c r="L914" s="117"/>
      <c r="M914" s="128"/>
      <c r="N914" s="117"/>
      <c r="R914" s="117"/>
      <c r="T914" s="117"/>
      <c r="V914" s="117"/>
      <c r="X914" s="117"/>
      <c r="Y914" s="10"/>
      <c r="Z914" s="11"/>
      <c r="AA914" s="36"/>
      <c r="AB914" s="36"/>
      <c r="AC914" s="13"/>
      <c r="AD914" s="13"/>
      <c r="AE914" s="37"/>
      <c r="AF914" s="37"/>
      <c r="AG914" s="14"/>
      <c r="AH914" s="14"/>
      <c r="AI914" s="14"/>
      <c r="AZ914" s="24"/>
    </row>
    <row r="915">
      <c r="B915" s="24"/>
      <c r="E915" s="113"/>
      <c r="F915" s="266"/>
      <c r="G915" s="113"/>
      <c r="K915" s="36"/>
      <c r="L915" s="117"/>
      <c r="M915" s="128"/>
      <c r="N915" s="117"/>
      <c r="R915" s="117"/>
      <c r="T915" s="117"/>
      <c r="V915" s="117"/>
      <c r="X915" s="117"/>
      <c r="Y915" s="10"/>
      <c r="Z915" s="11"/>
      <c r="AA915" s="36"/>
      <c r="AB915" s="36"/>
      <c r="AC915" s="13"/>
      <c r="AD915" s="13"/>
      <c r="AE915" s="37"/>
      <c r="AF915" s="37"/>
      <c r="AG915" s="14"/>
      <c r="AH915" s="14"/>
      <c r="AI915" s="14"/>
      <c r="AZ915" s="24"/>
    </row>
    <row r="916">
      <c r="B916" s="24"/>
      <c r="E916" s="113"/>
      <c r="F916" s="266"/>
      <c r="G916" s="113"/>
      <c r="K916" s="36"/>
      <c r="L916" s="117"/>
      <c r="M916" s="128"/>
      <c r="N916" s="117"/>
      <c r="R916" s="117"/>
      <c r="T916" s="117"/>
      <c r="V916" s="117"/>
      <c r="X916" s="117"/>
      <c r="Y916" s="10"/>
      <c r="Z916" s="11"/>
      <c r="AA916" s="36"/>
      <c r="AB916" s="36"/>
      <c r="AC916" s="13"/>
      <c r="AD916" s="13"/>
      <c r="AE916" s="37"/>
      <c r="AF916" s="37"/>
      <c r="AG916" s="14"/>
      <c r="AH916" s="14"/>
      <c r="AI916" s="14"/>
      <c r="AZ916" s="24"/>
    </row>
    <row r="917">
      <c r="B917" s="24"/>
      <c r="E917" s="113"/>
      <c r="F917" s="266"/>
      <c r="G917" s="113"/>
      <c r="K917" s="36"/>
      <c r="L917" s="117"/>
      <c r="M917" s="128"/>
      <c r="N917" s="117"/>
      <c r="R917" s="117"/>
      <c r="T917" s="117"/>
      <c r="V917" s="117"/>
      <c r="X917" s="117"/>
      <c r="Y917" s="10"/>
      <c r="Z917" s="11"/>
      <c r="AA917" s="36"/>
      <c r="AB917" s="36"/>
      <c r="AC917" s="13"/>
      <c r="AD917" s="13"/>
      <c r="AE917" s="37"/>
      <c r="AF917" s="37"/>
      <c r="AG917" s="14"/>
      <c r="AH917" s="14"/>
      <c r="AI917" s="14"/>
      <c r="AZ917" s="24"/>
    </row>
    <row r="918">
      <c r="B918" s="24"/>
      <c r="E918" s="113"/>
      <c r="F918" s="266"/>
      <c r="G918" s="113"/>
      <c r="K918" s="36"/>
      <c r="L918" s="117"/>
      <c r="M918" s="128"/>
      <c r="N918" s="117"/>
      <c r="R918" s="117"/>
      <c r="T918" s="117"/>
      <c r="V918" s="117"/>
      <c r="X918" s="117"/>
      <c r="Y918" s="10"/>
      <c r="Z918" s="11"/>
      <c r="AA918" s="36"/>
      <c r="AB918" s="36"/>
      <c r="AC918" s="13"/>
      <c r="AD918" s="13"/>
      <c r="AE918" s="37"/>
      <c r="AF918" s="37"/>
      <c r="AG918" s="14"/>
      <c r="AH918" s="14"/>
      <c r="AI918" s="14"/>
      <c r="AZ918" s="24"/>
    </row>
    <row r="919">
      <c r="B919" s="24"/>
      <c r="E919" s="113"/>
      <c r="F919" s="266"/>
      <c r="G919" s="113"/>
      <c r="K919" s="36"/>
      <c r="L919" s="117"/>
      <c r="M919" s="128"/>
      <c r="N919" s="117"/>
      <c r="R919" s="117"/>
      <c r="T919" s="117"/>
      <c r="V919" s="117"/>
      <c r="X919" s="117"/>
      <c r="Y919" s="10"/>
      <c r="Z919" s="11"/>
      <c r="AA919" s="36"/>
      <c r="AB919" s="36"/>
      <c r="AC919" s="13"/>
      <c r="AD919" s="13"/>
      <c r="AE919" s="37"/>
      <c r="AF919" s="37"/>
      <c r="AG919" s="14"/>
      <c r="AH919" s="14"/>
      <c r="AI919" s="14"/>
      <c r="AZ919" s="24"/>
    </row>
    <row r="920">
      <c r="B920" s="24"/>
      <c r="E920" s="113"/>
      <c r="F920" s="266"/>
      <c r="G920" s="113"/>
      <c r="K920" s="36"/>
      <c r="L920" s="117"/>
      <c r="M920" s="128"/>
      <c r="N920" s="117"/>
      <c r="R920" s="117"/>
      <c r="T920" s="117"/>
      <c r="V920" s="117"/>
      <c r="X920" s="117"/>
      <c r="Y920" s="10"/>
      <c r="Z920" s="11"/>
      <c r="AA920" s="36"/>
      <c r="AB920" s="36"/>
      <c r="AC920" s="13"/>
      <c r="AD920" s="13"/>
      <c r="AE920" s="37"/>
      <c r="AF920" s="37"/>
      <c r="AG920" s="14"/>
      <c r="AH920" s="14"/>
      <c r="AI920" s="14"/>
      <c r="AZ920" s="24"/>
    </row>
    <row r="921">
      <c r="B921" s="24"/>
      <c r="E921" s="113"/>
      <c r="F921" s="266"/>
      <c r="G921" s="113"/>
      <c r="K921" s="36"/>
      <c r="L921" s="117"/>
      <c r="M921" s="128"/>
      <c r="N921" s="117"/>
      <c r="R921" s="117"/>
      <c r="T921" s="117"/>
      <c r="V921" s="117"/>
      <c r="X921" s="117"/>
      <c r="Y921" s="10"/>
      <c r="Z921" s="11"/>
      <c r="AA921" s="36"/>
      <c r="AB921" s="36"/>
      <c r="AC921" s="13"/>
      <c r="AD921" s="13"/>
      <c r="AE921" s="37"/>
      <c r="AF921" s="37"/>
      <c r="AG921" s="14"/>
      <c r="AH921" s="14"/>
      <c r="AI921" s="14"/>
      <c r="AZ921" s="24"/>
    </row>
    <row r="922">
      <c r="B922" s="24"/>
      <c r="E922" s="113"/>
      <c r="F922" s="266"/>
      <c r="G922" s="113"/>
      <c r="K922" s="36"/>
      <c r="L922" s="117"/>
      <c r="M922" s="128"/>
      <c r="N922" s="117"/>
      <c r="R922" s="117"/>
      <c r="T922" s="117"/>
      <c r="V922" s="117"/>
      <c r="X922" s="117"/>
      <c r="Y922" s="10"/>
      <c r="Z922" s="11"/>
      <c r="AA922" s="36"/>
      <c r="AB922" s="36"/>
      <c r="AC922" s="13"/>
      <c r="AD922" s="13"/>
      <c r="AE922" s="37"/>
      <c r="AF922" s="37"/>
      <c r="AG922" s="14"/>
      <c r="AH922" s="14"/>
      <c r="AI922" s="14"/>
      <c r="AZ922" s="24"/>
    </row>
    <row r="923">
      <c r="B923" s="24"/>
      <c r="E923" s="113"/>
      <c r="F923" s="266"/>
      <c r="G923" s="113"/>
      <c r="K923" s="36"/>
      <c r="L923" s="117"/>
      <c r="M923" s="128"/>
      <c r="N923" s="117"/>
      <c r="R923" s="117"/>
      <c r="T923" s="117"/>
      <c r="V923" s="117"/>
      <c r="X923" s="117"/>
      <c r="Y923" s="10"/>
      <c r="Z923" s="11"/>
      <c r="AA923" s="36"/>
      <c r="AB923" s="36"/>
      <c r="AC923" s="13"/>
      <c r="AD923" s="13"/>
      <c r="AE923" s="37"/>
      <c r="AF923" s="37"/>
      <c r="AG923" s="14"/>
      <c r="AH923" s="14"/>
      <c r="AI923" s="14"/>
      <c r="AZ923" s="24"/>
    </row>
    <row r="924">
      <c r="B924" s="24"/>
      <c r="E924" s="113"/>
      <c r="F924" s="266"/>
      <c r="G924" s="113"/>
      <c r="K924" s="36"/>
      <c r="L924" s="117"/>
      <c r="M924" s="128"/>
      <c r="N924" s="117"/>
      <c r="R924" s="117"/>
      <c r="T924" s="117"/>
      <c r="V924" s="117"/>
      <c r="X924" s="117"/>
      <c r="Y924" s="10"/>
      <c r="Z924" s="11"/>
      <c r="AA924" s="36"/>
      <c r="AB924" s="36"/>
      <c r="AC924" s="13"/>
      <c r="AD924" s="13"/>
      <c r="AE924" s="37"/>
      <c r="AF924" s="37"/>
      <c r="AG924" s="14"/>
      <c r="AH924" s="14"/>
      <c r="AI924" s="14"/>
      <c r="AZ924" s="24"/>
    </row>
    <row r="925">
      <c r="B925" s="24"/>
      <c r="E925" s="113"/>
      <c r="F925" s="266"/>
      <c r="G925" s="113"/>
      <c r="K925" s="36"/>
      <c r="L925" s="117"/>
      <c r="M925" s="128"/>
      <c r="N925" s="117"/>
      <c r="R925" s="117"/>
      <c r="T925" s="117"/>
      <c r="V925" s="117"/>
      <c r="X925" s="117"/>
      <c r="Y925" s="10"/>
      <c r="Z925" s="11"/>
      <c r="AA925" s="36"/>
      <c r="AB925" s="36"/>
      <c r="AC925" s="13"/>
      <c r="AD925" s="13"/>
      <c r="AE925" s="37"/>
      <c r="AF925" s="37"/>
      <c r="AG925" s="14"/>
      <c r="AH925" s="14"/>
      <c r="AI925" s="14"/>
      <c r="AZ925" s="24"/>
    </row>
    <row r="926">
      <c r="B926" s="24"/>
      <c r="E926" s="113"/>
      <c r="F926" s="266"/>
      <c r="G926" s="113"/>
      <c r="K926" s="36"/>
      <c r="L926" s="117"/>
      <c r="M926" s="128"/>
      <c r="N926" s="117"/>
      <c r="R926" s="117"/>
      <c r="T926" s="117"/>
      <c r="V926" s="117"/>
      <c r="X926" s="117"/>
      <c r="Y926" s="10"/>
      <c r="Z926" s="11"/>
      <c r="AA926" s="36"/>
      <c r="AB926" s="36"/>
      <c r="AC926" s="13"/>
      <c r="AD926" s="13"/>
      <c r="AE926" s="37"/>
      <c r="AF926" s="37"/>
      <c r="AG926" s="14"/>
      <c r="AH926" s="14"/>
      <c r="AI926" s="14"/>
      <c r="AZ926" s="24"/>
    </row>
    <row r="927">
      <c r="B927" s="24"/>
      <c r="E927" s="113"/>
      <c r="F927" s="266"/>
      <c r="G927" s="113"/>
      <c r="K927" s="36"/>
      <c r="L927" s="117"/>
      <c r="M927" s="128"/>
      <c r="N927" s="117"/>
      <c r="R927" s="117"/>
      <c r="T927" s="117"/>
      <c r="V927" s="117"/>
      <c r="X927" s="117"/>
      <c r="Y927" s="10"/>
      <c r="Z927" s="11"/>
      <c r="AA927" s="36"/>
      <c r="AB927" s="36"/>
      <c r="AC927" s="13"/>
      <c r="AD927" s="13"/>
      <c r="AE927" s="37"/>
      <c r="AF927" s="37"/>
      <c r="AG927" s="14"/>
      <c r="AH927" s="14"/>
      <c r="AI927" s="14"/>
      <c r="AZ927" s="24"/>
    </row>
    <row r="928">
      <c r="B928" s="24"/>
      <c r="E928" s="113"/>
      <c r="F928" s="266"/>
      <c r="G928" s="113"/>
      <c r="K928" s="36"/>
      <c r="L928" s="117"/>
      <c r="M928" s="128"/>
      <c r="N928" s="117"/>
      <c r="R928" s="117"/>
      <c r="T928" s="117"/>
      <c r="V928" s="117"/>
      <c r="X928" s="117"/>
      <c r="Y928" s="10"/>
      <c r="Z928" s="11"/>
      <c r="AA928" s="36"/>
      <c r="AB928" s="36"/>
      <c r="AC928" s="13"/>
      <c r="AD928" s="13"/>
      <c r="AE928" s="37"/>
      <c r="AF928" s="37"/>
      <c r="AG928" s="14"/>
      <c r="AH928" s="14"/>
      <c r="AI928" s="14"/>
      <c r="AZ928" s="24"/>
    </row>
    <row r="929">
      <c r="B929" s="24"/>
      <c r="E929" s="113"/>
      <c r="F929" s="266"/>
      <c r="G929" s="113"/>
      <c r="K929" s="36"/>
      <c r="L929" s="117"/>
      <c r="M929" s="128"/>
      <c r="N929" s="117"/>
      <c r="R929" s="117"/>
      <c r="T929" s="117"/>
      <c r="V929" s="117"/>
      <c r="X929" s="117"/>
      <c r="Y929" s="10"/>
      <c r="Z929" s="11"/>
      <c r="AA929" s="36"/>
      <c r="AB929" s="36"/>
      <c r="AC929" s="13"/>
      <c r="AD929" s="13"/>
      <c r="AE929" s="37"/>
      <c r="AF929" s="37"/>
      <c r="AG929" s="14"/>
      <c r="AH929" s="14"/>
      <c r="AI929" s="14"/>
      <c r="AZ929" s="24"/>
    </row>
    <row r="930">
      <c r="B930" s="24"/>
      <c r="E930" s="113"/>
      <c r="F930" s="266"/>
      <c r="G930" s="113"/>
      <c r="K930" s="36"/>
      <c r="L930" s="117"/>
      <c r="M930" s="128"/>
      <c r="N930" s="117"/>
      <c r="R930" s="117"/>
      <c r="T930" s="117"/>
      <c r="V930" s="117"/>
      <c r="X930" s="117"/>
      <c r="Y930" s="10"/>
      <c r="Z930" s="11"/>
      <c r="AA930" s="36"/>
      <c r="AB930" s="36"/>
      <c r="AC930" s="13"/>
      <c r="AD930" s="13"/>
      <c r="AE930" s="37"/>
      <c r="AF930" s="37"/>
      <c r="AG930" s="14"/>
      <c r="AH930" s="14"/>
      <c r="AI930" s="14"/>
      <c r="AZ930" s="24"/>
    </row>
    <row r="931">
      <c r="B931" s="24"/>
      <c r="E931" s="113"/>
      <c r="F931" s="266"/>
      <c r="G931" s="113"/>
      <c r="K931" s="36"/>
      <c r="L931" s="117"/>
      <c r="M931" s="128"/>
      <c r="N931" s="117"/>
      <c r="R931" s="117"/>
      <c r="T931" s="117"/>
      <c r="V931" s="117"/>
      <c r="X931" s="117"/>
      <c r="Y931" s="10"/>
      <c r="Z931" s="11"/>
      <c r="AA931" s="36"/>
      <c r="AB931" s="36"/>
      <c r="AC931" s="13"/>
      <c r="AD931" s="13"/>
      <c r="AE931" s="37"/>
      <c r="AF931" s="37"/>
      <c r="AG931" s="14"/>
      <c r="AH931" s="14"/>
      <c r="AI931" s="14"/>
      <c r="AZ931" s="24"/>
    </row>
    <row r="932">
      <c r="B932" s="24"/>
      <c r="E932" s="113"/>
      <c r="F932" s="266"/>
      <c r="G932" s="113"/>
      <c r="K932" s="36"/>
      <c r="L932" s="117"/>
      <c r="M932" s="128"/>
      <c r="N932" s="117"/>
      <c r="R932" s="117"/>
      <c r="T932" s="117"/>
      <c r="V932" s="117"/>
      <c r="X932" s="117"/>
      <c r="Y932" s="10"/>
      <c r="Z932" s="11"/>
      <c r="AA932" s="36"/>
      <c r="AB932" s="36"/>
      <c r="AC932" s="13"/>
      <c r="AD932" s="13"/>
      <c r="AE932" s="37"/>
      <c r="AF932" s="37"/>
      <c r="AG932" s="14"/>
      <c r="AH932" s="14"/>
      <c r="AI932" s="14"/>
      <c r="AZ932" s="24"/>
    </row>
    <row r="933">
      <c r="B933" s="24"/>
      <c r="E933" s="113"/>
      <c r="F933" s="266"/>
      <c r="G933" s="113"/>
      <c r="K933" s="36"/>
      <c r="L933" s="117"/>
      <c r="M933" s="128"/>
      <c r="N933" s="117"/>
      <c r="R933" s="117"/>
      <c r="T933" s="117"/>
      <c r="V933" s="117"/>
      <c r="X933" s="117"/>
      <c r="Y933" s="10"/>
      <c r="Z933" s="11"/>
      <c r="AA933" s="36"/>
      <c r="AB933" s="36"/>
      <c r="AC933" s="13"/>
      <c r="AD933" s="13"/>
      <c r="AE933" s="37"/>
      <c r="AF933" s="37"/>
      <c r="AG933" s="14"/>
      <c r="AH933" s="14"/>
      <c r="AI933" s="14"/>
      <c r="AZ933" s="24"/>
    </row>
    <row r="934">
      <c r="B934" s="24"/>
      <c r="E934" s="113"/>
      <c r="F934" s="266"/>
      <c r="G934" s="113"/>
      <c r="K934" s="36"/>
      <c r="L934" s="117"/>
      <c r="M934" s="128"/>
      <c r="N934" s="117"/>
      <c r="R934" s="117"/>
      <c r="T934" s="117"/>
      <c r="V934" s="117"/>
      <c r="X934" s="117"/>
      <c r="Y934" s="10"/>
      <c r="Z934" s="11"/>
      <c r="AA934" s="36"/>
      <c r="AB934" s="36"/>
      <c r="AC934" s="13"/>
      <c r="AD934" s="13"/>
      <c r="AE934" s="37"/>
      <c r="AF934" s="37"/>
      <c r="AG934" s="14"/>
      <c r="AH934" s="14"/>
      <c r="AI934" s="14"/>
      <c r="AZ934" s="24"/>
    </row>
    <row r="935">
      <c r="B935" s="24"/>
      <c r="E935" s="113"/>
      <c r="F935" s="266"/>
      <c r="G935" s="113"/>
      <c r="K935" s="36"/>
      <c r="L935" s="117"/>
      <c r="M935" s="128"/>
      <c r="N935" s="117"/>
      <c r="R935" s="117"/>
      <c r="T935" s="117"/>
      <c r="V935" s="117"/>
      <c r="X935" s="117"/>
      <c r="Y935" s="10"/>
      <c r="Z935" s="11"/>
      <c r="AA935" s="36"/>
      <c r="AB935" s="36"/>
      <c r="AC935" s="13"/>
      <c r="AD935" s="13"/>
      <c r="AE935" s="37"/>
      <c r="AF935" s="37"/>
      <c r="AG935" s="14"/>
      <c r="AH935" s="14"/>
      <c r="AI935" s="14"/>
      <c r="AZ935" s="24"/>
    </row>
    <row r="936">
      <c r="B936" s="24"/>
      <c r="E936" s="113"/>
      <c r="F936" s="266"/>
      <c r="G936" s="113"/>
      <c r="K936" s="36"/>
      <c r="L936" s="117"/>
      <c r="M936" s="128"/>
      <c r="N936" s="117"/>
      <c r="R936" s="117"/>
      <c r="T936" s="117"/>
      <c r="V936" s="117"/>
      <c r="X936" s="117"/>
      <c r="Y936" s="10"/>
      <c r="Z936" s="11"/>
      <c r="AA936" s="36"/>
      <c r="AB936" s="36"/>
      <c r="AC936" s="13"/>
      <c r="AD936" s="13"/>
      <c r="AE936" s="37"/>
      <c r="AF936" s="37"/>
      <c r="AG936" s="14"/>
      <c r="AH936" s="14"/>
      <c r="AI936" s="14"/>
      <c r="AZ936" s="24"/>
    </row>
    <row r="937">
      <c r="B937" s="24"/>
      <c r="E937" s="113"/>
      <c r="F937" s="266"/>
      <c r="G937" s="113"/>
      <c r="K937" s="36"/>
      <c r="L937" s="117"/>
      <c r="M937" s="128"/>
      <c r="N937" s="117"/>
      <c r="R937" s="117"/>
      <c r="T937" s="117"/>
      <c r="V937" s="117"/>
      <c r="X937" s="117"/>
      <c r="Y937" s="10"/>
      <c r="Z937" s="11"/>
      <c r="AA937" s="36"/>
      <c r="AB937" s="36"/>
      <c r="AC937" s="13"/>
      <c r="AD937" s="13"/>
      <c r="AE937" s="37"/>
      <c r="AF937" s="37"/>
      <c r="AG937" s="14"/>
      <c r="AH937" s="14"/>
      <c r="AI937" s="14"/>
      <c r="AZ937" s="24"/>
    </row>
    <row r="938">
      <c r="B938" s="24"/>
      <c r="E938" s="113"/>
      <c r="F938" s="266"/>
      <c r="G938" s="113"/>
      <c r="K938" s="36"/>
      <c r="L938" s="117"/>
      <c r="M938" s="128"/>
      <c r="N938" s="117"/>
      <c r="R938" s="117"/>
      <c r="T938" s="117"/>
      <c r="V938" s="117"/>
      <c r="X938" s="117"/>
      <c r="Y938" s="10"/>
      <c r="Z938" s="11"/>
      <c r="AA938" s="36"/>
      <c r="AB938" s="36"/>
      <c r="AC938" s="13"/>
      <c r="AD938" s="13"/>
      <c r="AE938" s="37"/>
      <c r="AF938" s="37"/>
      <c r="AG938" s="14"/>
      <c r="AH938" s="14"/>
      <c r="AI938" s="14"/>
      <c r="AZ938" s="24"/>
    </row>
    <row r="939">
      <c r="B939" s="24"/>
      <c r="E939" s="113"/>
      <c r="F939" s="266"/>
      <c r="G939" s="113"/>
      <c r="K939" s="36"/>
      <c r="L939" s="117"/>
      <c r="M939" s="128"/>
      <c r="N939" s="117"/>
      <c r="R939" s="117"/>
      <c r="T939" s="117"/>
      <c r="V939" s="117"/>
      <c r="X939" s="117"/>
      <c r="Y939" s="10"/>
      <c r="Z939" s="11"/>
      <c r="AA939" s="36"/>
      <c r="AB939" s="36"/>
      <c r="AC939" s="13"/>
      <c r="AD939" s="13"/>
      <c r="AE939" s="37"/>
      <c r="AF939" s="37"/>
      <c r="AG939" s="14"/>
      <c r="AH939" s="14"/>
      <c r="AI939" s="14"/>
      <c r="AZ939" s="24"/>
    </row>
    <row r="940">
      <c r="B940" s="24"/>
      <c r="E940" s="113"/>
      <c r="F940" s="266"/>
      <c r="G940" s="113"/>
      <c r="K940" s="36"/>
      <c r="L940" s="117"/>
      <c r="M940" s="128"/>
      <c r="N940" s="117"/>
      <c r="R940" s="117"/>
      <c r="T940" s="117"/>
      <c r="V940" s="117"/>
      <c r="X940" s="117"/>
      <c r="Y940" s="10"/>
      <c r="Z940" s="11"/>
      <c r="AA940" s="36"/>
      <c r="AB940" s="36"/>
      <c r="AC940" s="13"/>
      <c r="AD940" s="13"/>
      <c r="AE940" s="37"/>
      <c r="AF940" s="37"/>
      <c r="AG940" s="14"/>
      <c r="AH940" s="14"/>
      <c r="AI940" s="14"/>
      <c r="AZ940" s="24"/>
    </row>
    <row r="941">
      <c r="B941" s="24"/>
      <c r="E941" s="113"/>
      <c r="F941" s="266"/>
      <c r="G941" s="113"/>
      <c r="K941" s="36"/>
      <c r="L941" s="117"/>
      <c r="M941" s="128"/>
      <c r="N941" s="117"/>
      <c r="R941" s="117"/>
      <c r="T941" s="117"/>
      <c r="V941" s="117"/>
      <c r="X941" s="117"/>
      <c r="Y941" s="10"/>
      <c r="Z941" s="11"/>
      <c r="AA941" s="36"/>
      <c r="AB941" s="36"/>
      <c r="AC941" s="13"/>
      <c r="AD941" s="13"/>
      <c r="AE941" s="37"/>
      <c r="AF941" s="37"/>
      <c r="AG941" s="14"/>
      <c r="AH941" s="14"/>
      <c r="AI941" s="14"/>
      <c r="AZ941" s="24"/>
    </row>
    <row r="942">
      <c r="B942" s="24"/>
      <c r="E942" s="113"/>
      <c r="F942" s="266"/>
      <c r="G942" s="113"/>
      <c r="K942" s="36"/>
      <c r="L942" s="117"/>
      <c r="M942" s="128"/>
      <c r="N942" s="117"/>
      <c r="R942" s="117"/>
      <c r="T942" s="117"/>
      <c r="V942" s="117"/>
      <c r="X942" s="117"/>
      <c r="Y942" s="10"/>
      <c r="Z942" s="11"/>
      <c r="AA942" s="36"/>
      <c r="AB942" s="36"/>
      <c r="AC942" s="13"/>
      <c r="AD942" s="13"/>
      <c r="AE942" s="37"/>
      <c r="AF942" s="37"/>
      <c r="AG942" s="14"/>
      <c r="AH942" s="14"/>
      <c r="AI942" s="14"/>
      <c r="AZ942" s="24"/>
    </row>
    <row r="943">
      <c r="B943" s="24"/>
      <c r="E943" s="113"/>
      <c r="F943" s="266"/>
      <c r="G943" s="113"/>
      <c r="K943" s="36"/>
      <c r="L943" s="117"/>
      <c r="M943" s="128"/>
      <c r="N943" s="117"/>
      <c r="R943" s="117"/>
      <c r="T943" s="117"/>
      <c r="V943" s="117"/>
      <c r="X943" s="117"/>
      <c r="Y943" s="10"/>
      <c r="Z943" s="11"/>
      <c r="AA943" s="36"/>
      <c r="AB943" s="36"/>
      <c r="AC943" s="13"/>
      <c r="AD943" s="13"/>
      <c r="AE943" s="37"/>
      <c r="AF943" s="37"/>
      <c r="AG943" s="14"/>
      <c r="AH943" s="14"/>
      <c r="AI943" s="14"/>
      <c r="AZ943" s="24"/>
    </row>
    <row r="944">
      <c r="B944" s="24"/>
      <c r="E944" s="113"/>
      <c r="F944" s="266"/>
      <c r="G944" s="113"/>
      <c r="K944" s="36"/>
      <c r="L944" s="117"/>
      <c r="M944" s="128"/>
      <c r="N944" s="117"/>
      <c r="R944" s="117"/>
      <c r="T944" s="117"/>
      <c r="V944" s="117"/>
      <c r="X944" s="117"/>
      <c r="Y944" s="10"/>
      <c r="Z944" s="11"/>
      <c r="AA944" s="36"/>
      <c r="AB944" s="36"/>
      <c r="AC944" s="13"/>
      <c r="AD944" s="13"/>
      <c r="AE944" s="37"/>
      <c r="AF944" s="37"/>
      <c r="AG944" s="14"/>
      <c r="AH944" s="14"/>
      <c r="AI944" s="14"/>
      <c r="AZ944" s="24"/>
    </row>
    <row r="945">
      <c r="B945" s="24"/>
      <c r="E945" s="113"/>
      <c r="F945" s="266"/>
      <c r="G945" s="113"/>
      <c r="K945" s="36"/>
      <c r="L945" s="117"/>
      <c r="M945" s="128"/>
      <c r="N945" s="117"/>
      <c r="R945" s="117"/>
      <c r="T945" s="117"/>
      <c r="V945" s="117"/>
      <c r="X945" s="117"/>
      <c r="Y945" s="10"/>
      <c r="Z945" s="11"/>
      <c r="AA945" s="36"/>
      <c r="AB945" s="36"/>
      <c r="AC945" s="13"/>
      <c r="AD945" s="13"/>
      <c r="AE945" s="37"/>
      <c r="AF945" s="37"/>
      <c r="AG945" s="14"/>
      <c r="AH945" s="14"/>
      <c r="AI945" s="14"/>
      <c r="AZ945" s="24"/>
    </row>
    <row r="946">
      <c r="B946" s="24"/>
      <c r="E946" s="113"/>
      <c r="F946" s="266"/>
      <c r="G946" s="113"/>
      <c r="K946" s="36"/>
      <c r="L946" s="117"/>
      <c r="M946" s="128"/>
      <c r="N946" s="117"/>
      <c r="R946" s="117"/>
      <c r="T946" s="117"/>
      <c r="V946" s="117"/>
      <c r="X946" s="117"/>
      <c r="Y946" s="10"/>
      <c r="Z946" s="11"/>
      <c r="AA946" s="36"/>
      <c r="AB946" s="36"/>
      <c r="AC946" s="13"/>
      <c r="AD946" s="13"/>
      <c r="AE946" s="37"/>
      <c r="AF946" s="37"/>
      <c r="AG946" s="14"/>
      <c r="AH946" s="14"/>
      <c r="AI946" s="14"/>
      <c r="AZ946" s="24"/>
    </row>
    <row r="947">
      <c r="B947" s="24"/>
      <c r="E947" s="113"/>
      <c r="F947" s="266"/>
      <c r="G947" s="113"/>
      <c r="K947" s="36"/>
      <c r="L947" s="117"/>
      <c r="M947" s="128"/>
      <c r="N947" s="117"/>
      <c r="R947" s="117"/>
      <c r="T947" s="117"/>
      <c r="V947" s="117"/>
      <c r="X947" s="117"/>
      <c r="Y947" s="10"/>
      <c r="Z947" s="11"/>
      <c r="AA947" s="36"/>
      <c r="AB947" s="36"/>
      <c r="AC947" s="13"/>
      <c r="AD947" s="13"/>
      <c r="AE947" s="37"/>
      <c r="AF947" s="37"/>
      <c r="AG947" s="14"/>
      <c r="AH947" s="14"/>
      <c r="AI947" s="14"/>
      <c r="AZ947" s="24"/>
    </row>
    <row r="948">
      <c r="B948" s="24"/>
      <c r="E948" s="113"/>
      <c r="F948" s="266"/>
      <c r="G948" s="113"/>
      <c r="K948" s="36"/>
      <c r="L948" s="117"/>
      <c r="M948" s="128"/>
      <c r="N948" s="117"/>
      <c r="R948" s="117"/>
      <c r="T948" s="117"/>
      <c r="V948" s="117"/>
      <c r="X948" s="117"/>
      <c r="Y948" s="10"/>
      <c r="Z948" s="11"/>
      <c r="AA948" s="36"/>
      <c r="AB948" s="36"/>
      <c r="AC948" s="13"/>
      <c r="AD948" s="13"/>
      <c r="AE948" s="37"/>
      <c r="AF948" s="37"/>
      <c r="AG948" s="14"/>
      <c r="AH948" s="14"/>
      <c r="AI948" s="14"/>
      <c r="AZ948" s="24"/>
    </row>
    <row r="949">
      <c r="B949" s="24"/>
      <c r="E949" s="113"/>
      <c r="F949" s="266"/>
      <c r="G949" s="113"/>
      <c r="K949" s="36"/>
      <c r="L949" s="117"/>
      <c r="M949" s="128"/>
      <c r="N949" s="117"/>
      <c r="R949" s="117"/>
      <c r="T949" s="117"/>
      <c r="V949" s="117"/>
      <c r="X949" s="117"/>
      <c r="Y949" s="10"/>
      <c r="Z949" s="11"/>
      <c r="AA949" s="36"/>
      <c r="AB949" s="36"/>
      <c r="AC949" s="13"/>
      <c r="AD949" s="13"/>
      <c r="AE949" s="37"/>
      <c r="AF949" s="37"/>
      <c r="AG949" s="14"/>
      <c r="AH949" s="14"/>
      <c r="AI949" s="14"/>
      <c r="AZ949" s="24"/>
    </row>
    <row r="950">
      <c r="B950" s="24"/>
      <c r="E950" s="113"/>
      <c r="F950" s="266"/>
      <c r="G950" s="113"/>
      <c r="K950" s="36"/>
      <c r="L950" s="117"/>
      <c r="M950" s="128"/>
      <c r="N950" s="117"/>
      <c r="R950" s="117"/>
      <c r="T950" s="117"/>
      <c r="V950" s="117"/>
      <c r="X950" s="117"/>
      <c r="Y950" s="10"/>
      <c r="Z950" s="11"/>
      <c r="AA950" s="36"/>
      <c r="AB950" s="36"/>
      <c r="AC950" s="13"/>
      <c r="AD950" s="13"/>
      <c r="AE950" s="37"/>
      <c r="AF950" s="37"/>
      <c r="AG950" s="14"/>
      <c r="AH950" s="14"/>
      <c r="AI950" s="14"/>
      <c r="AZ950" s="24"/>
    </row>
    <row r="951">
      <c r="B951" s="24"/>
      <c r="E951" s="113"/>
      <c r="F951" s="266"/>
      <c r="G951" s="113"/>
      <c r="K951" s="36"/>
      <c r="L951" s="117"/>
      <c r="M951" s="128"/>
      <c r="N951" s="117"/>
      <c r="R951" s="117"/>
      <c r="T951" s="117"/>
      <c r="V951" s="117"/>
      <c r="X951" s="117"/>
      <c r="Y951" s="10"/>
      <c r="Z951" s="11"/>
      <c r="AA951" s="36"/>
      <c r="AB951" s="36"/>
      <c r="AC951" s="13"/>
      <c r="AD951" s="13"/>
      <c r="AE951" s="37"/>
      <c r="AF951" s="37"/>
      <c r="AG951" s="14"/>
      <c r="AH951" s="14"/>
      <c r="AI951" s="14"/>
      <c r="AZ951" s="24"/>
    </row>
    <row r="952">
      <c r="B952" s="24"/>
      <c r="E952" s="113"/>
      <c r="F952" s="266"/>
      <c r="G952" s="113"/>
      <c r="K952" s="36"/>
      <c r="L952" s="117"/>
      <c r="M952" s="128"/>
      <c r="N952" s="117"/>
      <c r="R952" s="117"/>
      <c r="T952" s="117"/>
      <c r="V952" s="117"/>
      <c r="X952" s="117"/>
      <c r="Y952" s="10"/>
      <c r="Z952" s="11"/>
      <c r="AA952" s="36"/>
      <c r="AB952" s="36"/>
      <c r="AC952" s="13"/>
      <c r="AD952" s="13"/>
      <c r="AE952" s="37"/>
      <c r="AF952" s="37"/>
      <c r="AG952" s="14"/>
      <c r="AH952" s="14"/>
      <c r="AI952" s="14"/>
      <c r="AZ952" s="24"/>
    </row>
    <row r="953">
      <c r="B953" s="24"/>
      <c r="E953" s="113"/>
      <c r="F953" s="266"/>
      <c r="G953" s="113"/>
      <c r="K953" s="36"/>
      <c r="L953" s="117"/>
      <c r="M953" s="128"/>
      <c r="N953" s="117"/>
      <c r="R953" s="117"/>
      <c r="T953" s="117"/>
      <c r="V953" s="117"/>
      <c r="X953" s="117"/>
      <c r="Y953" s="10"/>
      <c r="Z953" s="11"/>
      <c r="AA953" s="36"/>
      <c r="AB953" s="36"/>
      <c r="AC953" s="13"/>
      <c r="AD953" s="13"/>
      <c r="AE953" s="37"/>
      <c r="AF953" s="37"/>
      <c r="AG953" s="14"/>
      <c r="AH953" s="14"/>
      <c r="AI953" s="14"/>
      <c r="AZ953" s="24"/>
    </row>
    <row r="954">
      <c r="B954" s="24"/>
      <c r="E954" s="113"/>
      <c r="F954" s="266"/>
      <c r="G954" s="113"/>
      <c r="K954" s="36"/>
      <c r="L954" s="117"/>
      <c r="M954" s="128"/>
      <c r="N954" s="117"/>
      <c r="R954" s="117"/>
      <c r="T954" s="117"/>
      <c r="V954" s="117"/>
      <c r="X954" s="117"/>
      <c r="Y954" s="10"/>
      <c r="Z954" s="11"/>
      <c r="AA954" s="36"/>
      <c r="AB954" s="36"/>
      <c r="AC954" s="13"/>
      <c r="AD954" s="13"/>
      <c r="AE954" s="37"/>
      <c r="AF954" s="37"/>
      <c r="AG954" s="14"/>
      <c r="AH954" s="14"/>
      <c r="AI954" s="14"/>
      <c r="AZ954" s="24"/>
    </row>
    <row r="955">
      <c r="B955" s="24"/>
      <c r="E955" s="113"/>
      <c r="F955" s="266"/>
      <c r="G955" s="113"/>
      <c r="K955" s="36"/>
      <c r="L955" s="117"/>
      <c r="M955" s="128"/>
      <c r="N955" s="117"/>
      <c r="R955" s="117"/>
      <c r="T955" s="117"/>
      <c r="V955" s="117"/>
      <c r="X955" s="117"/>
      <c r="Y955" s="10"/>
      <c r="Z955" s="11"/>
      <c r="AA955" s="36"/>
      <c r="AB955" s="36"/>
      <c r="AC955" s="13"/>
      <c r="AD955" s="13"/>
      <c r="AE955" s="37"/>
      <c r="AF955" s="37"/>
      <c r="AG955" s="14"/>
      <c r="AH955" s="14"/>
      <c r="AI955" s="14"/>
      <c r="AZ955" s="24"/>
    </row>
    <row r="956">
      <c r="B956" s="24"/>
      <c r="E956" s="113"/>
      <c r="F956" s="266"/>
      <c r="G956" s="113"/>
      <c r="K956" s="36"/>
      <c r="L956" s="117"/>
      <c r="M956" s="128"/>
      <c r="N956" s="117"/>
      <c r="R956" s="117"/>
      <c r="T956" s="117"/>
      <c r="V956" s="117"/>
      <c r="X956" s="117"/>
      <c r="Y956" s="10"/>
      <c r="Z956" s="11"/>
      <c r="AA956" s="36"/>
      <c r="AB956" s="36"/>
      <c r="AC956" s="13"/>
      <c r="AD956" s="13"/>
      <c r="AE956" s="37"/>
      <c r="AF956" s="37"/>
      <c r="AG956" s="14"/>
      <c r="AH956" s="14"/>
      <c r="AI956" s="14"/>
      <c r="AZ956" s="24"/>
    </row>
    <row r="957">
      <c r="B957" s="24"/>
      <c r="E957" s="113"/>
      <c r="F957" s="266"/>
      <c r="G957" s="113"/>
      <c r="K957" s="36"/>
      <c r="L957" s="117"/>
      <c r="M957" s="128"/>
      <c r="N957" s="117"/>
      <c r="R957" s="117"/>
      <c r="T957" s="117"/>
      <c r="V957" s="117"/>
      <c r="X957" s="117"/>
      <c r="Y957" s="10"/>
      <c r="Z957" s="11"/>
      <c r="AA957" s="36"/>
      <c r="AB957" s="36"/>
      <c r="AC957" s="13"/>
      <c r="AD957" s="13"/>
      <c r="AE957" s="37"/>
      <c r="AF957" s="37"/>
      <c r="AG957" s="14"/>
      <c r="AH957" s="14"/>
      <c r="AI957" s="14"/>
      <c r="AZ957" s="24"/>
    </row>
    <row r="958">
      <c r="B958" s="24"/>
      <c r="E958" s="113"/>
      <c r="F958" s="266"/>
      <c r="G958" s="113"/>
      <c r="K958" s="36"/>
      <c r="L958" s="117"/>
      <c r="M958" s="128"/>
      <c r="N958" s="117"/>
      <c r="R958" s="117"/>
      <c r="T958" s="117"/>
      <c r="V958" s="117"/>
      <c r="X958" s="117"/>
      <c r="Y958" s="10"/>
      <c r="Z958" s="11"/>
      <c r="AA958" s="36"/>
      <c r="AB958" s="36"/>
      <c r="AC958" s="13"/>
      <c r="AD958" s="13"/>
      <c r="AE958" s="37"/>
      <c r="AF958" s="37"/>
      <c r="AG958" s="14"/>
      <c r="AH958" s="14"/>
      <c r="AI958" s="14"/>
      <c r="AZ958" s="24"/>
    </row>
    <row r="959">
      <c r="B959" s="24"/>
      <c r="E959" s="113"/>
      <c r="F959" s="266"/>
      <c r="G959" s="113"/>
      <c r="K959" s="36"/>
      <c r="L959" s="117"/>
      <c r="M959" s="128"/>
      <c r="N959" s="117"/>
      <c r="R959" s="117"/>
      <c r="T959" s="117"/>
      <c r="V959" s="117"/>
      <c r="X959" s="117"/>
      <c r="Y959" s="10"/>
      <c r="Z959" s="11"/>
      <c r="AA959" s="36"/>
      <c r="AB959" s="36"/>
      <c r="AC959" s="13"/>
      <c r="AD959" s="13"/>
      <c r="AE959" s="37"/>
      <c r="AF959" s="37"/>
      <c r="AG959" s="14"/>
      <c r="AH959" s="14"/>
      <c r="AI959" s="14"/>
      <c r="AZ959" s="24"/>
    </row>
    <row r="960">
      <c r="B960" s="24"/>
      <c r="E960" s="113"/>
      <c r="F960" s="266"/>
      <c r="G960" s="113"/>
      <c r="K960" s="36"/>
      <c r="L960" s="117"/>
      <c r="M960" s="128"/>
      <c r="N960" s="117"/>
      <c r="R960" s="117"/>
      <c r="T960" s="117"/>
      <c r="V960" s="117"/>
      <c r="X960" s="117"/>
      <c r="Y960" s="10"/>
      <c r="Z960" s="11"/>
      <c r="AA960" s="36"/>
      <c r="AB960" s="36"/>
      <c r="AC960" s="13"/>
      <c r="AD960" s="13"/>
      <c r="AE960" s="37"/>
      <c r="AF960" s="37"/>
      <c r="AG960" s="14"/>
      <c r="AH960" s="14"/>
      <c r="AI960" s="14"/>
      <c r="AZ960" s="24"/>
    </row>
    <row r="961">
      <c r="B961" s="24"/>
      <c r="E961" s="113"/>
      <c r="F961" s="266"/>
      <c r="G961" s="113"/>
      <c r="K961" s="36"/>
      <c r="L961" s="117"/>
      <c r="M961" s="128"/>
      <c r="N961" s="117"/>
      <c r="R961" s="117"/>
      <c r="T961" s="117"/>
      <c r="V961" s="117"/>
      <c r="X961" s="117"/>
      <c r="Y961" s="10"/>
      <c r="Z961" s="11"/>
      <c r="AA961" s="36"/>
      <c r="AB961" s="36"/>
      <c r="AC961" s="13"/>
      <c r="AD961" s="13"/>
      <c r="AE961" s="37"/>
      <c r="AF961" s="37"/>
      <c r="AG961" s="14"/>
      <c r="AH961" s="14"/>
      <c r="AI961" s="14"/>
      <c r="AZ961" s="24"/>
    </row>
    <row r="962">
      <c r="B962" s="24"/>
      <c r="E962" s="113"/>
      <c r="F962" s="266"/>
      <c r="G962" s="113"/>
      <c r="K962" s="36"/>
      <c r="L962" s="117"/>
      <c r="M962" s="128"/>
      <c r="N962" s="117"/>
      <c r="R962" s="117"/>
      <c r="T962" s="117"/>
      <c r="V962" s="117"/>
      <c r="X962" s="117"/>
      <c r="Y962" s="10"/>
      <c r="Z962" s="11"/>
      <c r="AA962" s="36"/>
      <c r="AB962" s="36"/>
      <c r="AC962" s="13"/>
      <c r="AD962" s="13"/>
      <c r="AE962" s="37"/>
      <c r="AF962" s="37"/>
      <c r="AG962" s="14"/>
      <c r="AH962" s="14"/>
      <c r="AI962" s="14"/>
      <c r="AZ962" s="24"/>
    </row>
    <row r="963">
      <c r="B963" s="24"/>
      <c r="E963" s="113"/>
      <c r="F963" s="266"/>
      <c r="G963" s="113"/>
      <c r="K963" s="36"/>
      <c r="L963" s="117"/>
      <c r="M963" s="128"/>
      <c r="N963" s="117"/>
      <c r="R963" s="117"/>
      <c r="T963" s="117"/>
      <c r="V963" s="117"/>
      <c r="X963" s="117"/>
      <c r="Y963" s="10"/>
      <c r="Z963" s="11"/>
      <c r="AA963" s="36"/>
      <c r="AB963" s="36"/>
      <c r="AC963" s="13"/>
      <c r="AD963" s="13"/>
      <c r="AE963" s="37"/>
      <c r="AF963" s="37"/>
      <c r="AG963" s="14"/>
      <c r="AH963" s="14"/>
      <c r="AI963" s="14"/>
      <c r="AZ963" s="24"/>
    </row>
    <row r="964">
      <c r="B964" s="24"/>
      <c r="E964" s="113"/>
      <c r="F964" s="266"/>
      <c r="G964" s="113"/>
      <c r="K964" s="36"/>
      <c r="L964" s="117"/>
      <c r="M964" s="128"/>
      <c r="N964" s="117"/>
      <c r="R964" s="117"/>
      <c r="T964" s="117"/>
      <c r="V964" s="117"/>
      <c r="X964" s="117"/>
      <c r="Y964" s="10"/>
      <c r="Z964" s="11"/>
      <c r="AA964" s="36"/>
      <c r="AB964" s="36"/>
      <c r="AC964" s="13"/>
      <c r="AD964" s="13"/>
      <c r="AE964" s="37"/>
      <c r="AF964" s="37"/>
      <c r="AG964" s="14"/>
      <c r="AH964" s="14"/>
      <c r="AI964" s="14"/>
      <c r="AZ964" s="24"/>
    </row>
    <row r="965">
      <c r="B965" s="24"/>
      <c r="E965" s="113"/>
      <c r="F965" s="266"/>
      <c r="G965" s="113"/>
      <c r="K965" s="36"/>
      <c r="L965" s="117"/>
      <c r="M965" s="128"/>
      <c r="N965" s="117"/>
      <c r="R965" s="117"/>
      <c r="T965" s="117"/>
      <c r="V965" s="117"/>
      <c r="X965" s="117"/>
      <c r="Y965" s="10"/>
      <c r="Z965" s="11"/>
      <c r="AA965" s="36"/>
      <c r="AB965" s="36"/>
      <c r="AC965" s="13"/>
      <c r="AD965" s="13"/>
      <c r="AE965" s="37"/>
      <c r="AF965" s="37"/>
      <c r="AG965" s="14"/>
      <c r="AH965" s="14"/>
      <c r="AI965" s="14"/>
      <c r="AZ965" s="24"/>
    </row>
    <row r="966">
      <c r="B966" s="24"/>
      <c r="E966" s="113"/>
      <c r="F966" s="266"/>
      <c r="G966" s="113"/>
      <c r="K966" s="36"/>
      <c r="L966" s="117"/>
      <c r="M966" s="128"/>
      <c r="N966" s="117"/>
      <c r="R966" s="117"/>
      <c r="T966" s="117"/>
      <c r="V966" s="117"/>
      <c r="X966" s="117"/>
      <c r="Y966" s="10"/>
      <c r="Z966" s="11"/>
      <c r="AA966" s="36"/>
      <c r="AB966" s="36"/>
      <c r="AC966" s="13"/>
      <c r="AD966" s="13"/>
      <c r="AE966" s="37"/>
      <c r="AF966" s="37"/>
      <c r="AG966" s="14"/>
      <c r="AH966" s="14"/>
      <c r="AI966" s="14"/>
      <c r="AZ966" s="24"/>
    </row>
    <row r="967">
      <c r="B967" s="24"/>
      <c r="E967" s="113"/>
      <c r="F967" s="266"/>
      <c r="G967" s="113"/>
      <c r="K967" s="36"/>
      <c r="L967" s="117"/>
      <c r="M967" s="128"/>
      <c r="N967" s="117"/>
      <c r="R967" s="117"/>
      <c r="T967" s="117"/>
      <c r="V967" s="117"/>
      <c r="X967" s="117"/>
      <c r="Y967" s="10"/>
      <c r="Z967" s="11"/>
      <c r="AA967" s="36"/>
      <c r="AB967" s="36"/>
      <c r="AC967" s="13"/>
      <c r="AD967" s="13"/>
      <c r="AE967" s="37"/>
      <c r="AF967" s="37"/>
      <c r="AG967" s="14"/>
      <c r="AH967" s="14"/>
      <c r="AI967" s="14"/>
      <c r="AZ967" s="24"/>
    </row>
    <row r="968">
      <c r="B968" s="24"/>
      <c r="E968" s="113"/>
      <c r="F968" s="266"/>
      <c r="G968" s="113"/>
      <c r="K968" s="36"/>
      <c r="L968" s="117"/>
      <c r="M968" s="128"/>
      <c r="N968" s="117"/>
      <c r="R968" s="117"/>
      <c r="T968" s="117"/>
      <c r="V968" s="117"/>
      <c r="X968" s="117"/>
      <c r="Y968" s="10"/>
      <c r="Z968" s="11"/>
      <c r="AA968" s="36"/>
      <c r="AB968" s="36"/>
      <c r="AC968" s="13"/>
      <c r="AD968" s="13"/>
      <c r="AE968" s="37"/>
      <c r="AF968" s="37"/>
      <c r="AG968" s="14"/>
      <c r="AH968" s="14"/>
      <c r="AI968" s="14"/>
      <c r="AZ968" s="24"/>
    </row>
    <row r="969">
      <c r="B969" s="24"/>
      <c r="E969" s="113"/>
      <c r="F969" s="266"/>
      <c r="G969" s="113"/>
      <c r="K969" s="36"/>
      <c r="L969" s="117"/>
      <c r="M969" s="128"/>
      <c r="N969" s="117"/>
      <c r="R969" s="117"/>
      <c r="T969" s="117"/>
      <c r="V969" s="117"/>
      <c r="X969" s="117"/>
      <c r="Y969" s="10"/>
      <c r="Z969" s="11"/>
      <c r="AA969" s="36"/>
      <c r="AB969" s="36"/>
      <c r="AC969" s="13"/>
      <c r="AD969" s="13"/>
      <c r="AE969" s="37"/>
      <c r="AF969" s="37"/>
      <c r="AG969" s="14"/>
      <c r="AH969" s="14"/>
      <c r="AI969" s="14"/>
      <c r="AZ969" s="24"/>
    </row>
    <row r="970">
      <c r="B970" s="24"/>
      <c r="E970" s="113"/>
      <c r="F970" s="266"/>
      <c r="G970" s="113"/>
      <c r="K970" s="36"/>
      <c r="L970" s="117"/>
      <c r="M970" s="128"/>
      <c r="N970" s="117"/>
      <c r="R970" s="117"/>
      <c r="T970" s="117"/>
      <c r="V970" s="117"/>
      <c r="X970" s="117"/>
      <c r="Y970" s="10"/>
      <c r="Z970" s="11"/>
      <c r="AA970" s="36"/>
      <c r="AB970" s="36"/>
      <c r="AC970" s="13"/>
      <c r="AD970" s="13"/>
      <c r="AE970" s="37"/>
      <c r="AF970" s="37"/>
      <c r="AG970" s="14"/>
      <c r="AH970" s="14"/>
      <c r="AI970" s="14"/>
      <c r="AZ970" s="24"/>
    </row>
    <row r="971">
      <c r="B971" s="24"/>
      <c r="E971" s="113"/>
      <c r="F971" s="266"/>
      <c r="G971" s="113"/>
      <c r="K971" s="36"/>
      <c r="L971" s="117"/>
      <c r="M971" s="128"/>
      <c r="N971" s="117"/>
      <c r="R971" s="117"/>
      <c r="T971" s="117"/>
      <c r="V971" s="117"/>
      <c r="X971" s="117"/>
      <c r="Y971" s="10"/>
      <c r="Z971" s="11"/>
      <c r="AA971" s="36"/>
      <c r="AB971" s="36"/>
      <c r="AC971" s="13"/>
      <c r="AD971" s="13"/>
      <c r="AE971" s="37"/>
      <c r="AF971" s="37"/>
      <c r="AG971" s="14"/>
      <c r="AH971" s="14"/>
      <c r="AI971" s="14"/>
      <c r="AZ971" s="24"/>
    </row>
    <row r="972">
      <c r="B972" s="24"/>
      <c r="E972" s="113"/>
      <c r="F972" s="266"/>
      <c r="G972" s="113"/>
      <c r="K972" s="36"/>
      <c r="L972" s="117"/>
      <c r="M972" s="128"/>
      <c r="N972" s="117"/>
      <c r="R972" s="117"/>
      <c r="T972" s="117"/>
      <c r="V972" s="117"/>
      <c r="X972" s="117"/>
      <c r="Y972" s="10"/>
      <c r="Z972" s="11"/>
      <c r="AA972" s="36"/>
      <c r="AB972" s="36"/>
      <c r="AC972" s="13"/>
      <c r="AD972" s="13"/>
      <c r="AE972" s="37"/>
      <c r="AF972" s="37"/>
      <c r="AG972" s="14"/>
      <c r="AH972" s="14"/>
      <c r="AI972" s="14"/>
      <c r="AZ972" s="24"/>
    </row>
    <row r="973">
      <c r="B973" s="24"/>
      <c r="E973" s="113"/>
      <c r="F973" s="266"/>
      <c r="G973" s="113"/>
      <c r="K973" s="36"/>
      <c r="L973" s="117"/>
      <c r="M973" s="128"/>
      <c r="N973" s="117"/>
      <c r="R973" s="117"/>
      <c r="T973" s="117"/>
      <c r="V973" s="117"/>
      <c r="X973" s="117"/>
      <c r="Y973" s="10"/>
      <c r="Z973" s="11"/>
      <c r="AA973" s="36"/>
      <c r="AB973" s="36"/>
      <c r="AC973" s="13"/>
      <c r="AD973" s="13"/>
      <c r="AE973" s="37"/>
      <c r="AF973" s="37"/>
      <c r="AG973" s="14"/>
      <c r="AH973" s="14"/>
      <c r="AI973" s="14"/>
      <c r="AZ973" s="24"/>
    </row>
    <row r="974">
      <c r="B974" s="24"/>
      <c r="E974" s="113"/>
      <c r="F974" s="266"/>
      <c r="G974" s="113"/>
      <c r="K974" s="36"/>
      <c r="L974" s="117"/>
      <c r="M974" s="128"/>
      <c r="N974" s="117"/>
      <c r="R974" s="117"/>
      <c r="T974" s="117"/>
      <c r="V974" s="117"/>
      <c r="X974" s="117"/>
      <c r="Y974" s="10"/>
      <c r="Z974" s="11"/>
      <c r="AA974" s="36"/>
      <c r="AB974" s="36"/>
      <c r="AC974" s="13"/>
      <c r="AD974" s="13"/>
      <c r="AE974" s="37"/>
      <c r="AF974" s="37"/>
      <c r="AG974" s="14"/>
      <c r="AH974" s="14"/>
      <c r="AI974" s="14"/>
      <c r="AZ974" s="24"/>
    </row>
    <row r="975">
      <c r="B975" s="24"/>
      <c r="E975" s="113"/>
      <c r="F975" s="266"/>
      <c r="G975" s="113"/>
      <c r="K975" s="36"/>
      <c r="L975" s="117"/>
      <c r="M975" s="128"/>
      <c r="N975" s="117"/>
      <c r="R975" s="117"/>
      <c r="T975" s="117"/>
      <c r="V975" s="117"/>
      <c r="X975" s="117"/>
      <c r="Y975" s="10"/>
      <c r="Z975" s="11"/>
      <c r="AA975" s="36"/>
      <c r="AB975" s="36"/>
      <c r="AC975" s="13"/>
      <c r="AD975" s="13"/>
      <c r="AE975" s="37"/>
      <c r="AF975" s="37"/>
      <c r="AG975" s="14"/>
      <c r="AH975" s="14"/>
      <c r="AI975" s="14"/>
      <c r="AZ975" s="24"/>
    </row>
    <row r="976">
      <c r="B976" s="24"/>
      <c r="E976" s="113"/>
      <c r="F976" s="266"/>
      <c r="G976" s="113"/>
      <c r="K976" s="36"/>
      <c r="L976" s="117"/>
      <c r="M976" s="128"/>
      <c r="N976" s="117"/>
      <c r="R976" s="117"/>
      <c r="T976" s="117"/>
      <c r="V976" s="117"/>
      <c r="X976" s="117"/>
      <c r="Y976" s="10"/>
      <c r="Z976" s="11"/>
      <c r="AA976" s="36"/>
      <c r="AB976" s="36"/>
      <c r="AC976" s="13"/>
      <c r="AD976" s="13"/>
      <c r="AE976" s="37"/>
      <c r="AF976" s="37"/>
      <c r="AG976" s="14"/>
      <c r="AH976" s="14"/>
      <c r="AI976" s="14"/>
      <c r="AZ976" s="24"/>
    </row>
    <row r="977">
      <c r="B977" s="24"/>
      <c r="E977" s="113"/>
      <c r="F977" s="266"/>
      <c r="G977" s="113"/>
      <c r="K977" s="36"/>
      <c r="L977" s="117"/>
      <c r="M977" s="128"/>
      <c r="N977" s="117"/>
      <c r="R977" s="117"/>
      <c r="T977" s="117"/>
      <c r="V977" s="117"/>
      <c r="X977" s="117"/>
      <c r="Y977" s="10"/>
      <c r="Z977" s="11"/>
      <c r="AA977" s="36"/>
      <c r="AB977" s="36"/>
      <c r="AC977" s="13"/>
      <c r="AD977" s="13"/>
      <c r="AE977" s="37"/>
      <c r="AF977" s="37"/>
      <c r="AG977" s="14"/>
      <c r="AH977" s="14"/>
      <c r="AI977" s="14"/>
      <c r="AZ977" s="24"/>
    </row>
    <row r="978">
      <c r="B978" s="24"/>
      <c r="E978" s="113"/>
      <c r="F978" s="266"/>
      <c r="G978" s="113"/>
      <c r="K978" s="36"/>
      <c r="L978" s="117"/>
      <c r="M978" s="128"/>
      <c r="N978" s="117"/>
      <c r="R978" s="117"/>
      <c r="T978" s="117"/>
      <c r="V978" s="117"/>
      <c r="X978" s="117"/>
      <c r="Y978" s="10"/>
      <c r="Z978" s="11"/>
      <c r="AA978" s="36"/>
      <c r="AB978" s="36"/>
      <c r="AC978" s="13"/>
      <c r="AD978" s="13"/>
      <c r="AE978" s="37"/>
      <c r="AF978" s="37"/>
      <c r="AG978" s="14"/>
      <c r="AH978" s="14"/>
      <c r="AI978" s="14"/>
      <c r="AZ978" s="24"/>
    </row>
    <row r="979">
      <c r="B979" s="24"/>
      <c r="E979" s="113"/>
      <c r="F979" s="266"/>
      <c r="G979" s="113"/>
      <c r="K979" s="36"/>
      <c r="L979" s="117"/>
      <c r="M979" s="128"/>
      <c r="N979" s="117"/>
      <c r="R979" s="117"/>
      <c r="T979" s="117"/>
      <c r="V979" s="117"/>
      <c r="X979" s="117"/>
      <c r="Y979" s="10"/>
      <c r="Z979" s="11"/>
      <c r="AA979" s="36"/>
      <c r="AB979" s="36"/>
      <c r="AC979" s="13"/>
      <c r="AD979" s="13"/>
      <c r="AE979" s="37"/>
      <c r="AF979" s="37"/>
      <c r="AG979" s="14"/>
      <c r="AH979" s="14"/>
      <c r="AI979" s="14"/>
      <c r="AZ979" s="24"/>
    </row>
    <row r="980">
      <c r="B980" s="24"/>
      <c r="E980" s="113"/>
      <c r="F980" s="266"/>
      <c r="G980" s="113"/>
      <c r="K980" s="36"/>
      <c r="L980" s="117"/>
      <c r="M980" s="128"/>
      <c r="N980" s="117"/>
      <c r="R980" s="117"/>
      <c r="T980" s="117"/>
      <c r="V980" s="117"/>
      <c r="X980" s="117"/>
      <c r="Y980" s="10"/>
      <c r="Z980" s="11"/>
      <c r="AA980" s="36"/>
      <c r="AB980" s="36"/>
      <c r="AC980" s="13"/>
      <c r="AD980" s="13"/>
      <c r="AE980" s="37"/>
      <c r="AF980" s="37"/>
      <c r="AG980" s="14"/>
      <c r="AH980" s="14"/>
      <c r="AI980" s="14"/>
      <c r="AZ980" s="24"/>
    </row>
    <row r="981">
      <c r="B981" s="24"/>
      <c r="E981" s="113"/>
      <c r="F981" s="266"/>
      <c r="G981" s="113"/>
      <c r="K981" s="36"/>
      <c r="L981" s="117"/>
      <c r="M981" s="128"/>
      <c r="N981" s="117"/>
      <c r="R981" s="117"/>
      <c r="T981" s="117"/>
      <c r="V981" s="117"/>
      <c r="X981" s="117"/>
      <c r="Y981" s="10"/>
      <c r="Z981" s="11"/>
      <c r="AA981" s="36"/>
      <c r="AB981" s="36"/>
      <c r="AC981" s="13"/>
      <c r="AD981" s="13"/>
      <c r="AE981" s="37"/>
      <c r="AF981" s="37"/>
      <c r="AG981" s="14"/>
      <c r="AH981" s="14"/>
      <c r="AI981" s="14"/>
      <c r="AZ981" s="24"/>
    </row>
    <row r="982">
      <c r="B982" s="24"/>
      <c r="E982" s="113"/>
      <c r="F982" s="266"/>
      <c r="G982" s="113"/>
      <c r="K982" s="36"/>
      <c r="L982" s="117"/>
      <c r="M982" s="128"/>
      <c r="N982" s="117"/>
      <c r="R982" s="117"/>
      <c r="T982" s="117"/>
      <c r="V982" s="117"/>
      <c r="X982" s="117"/>
      <c r="Y982" s="10"/>
      <c r="Z982" s="11"/>
      <c r="AA982" s="36"/>
      <c r="AB982" s="36"/>
      <c r="AC982" s="13"/>
      <c r="AD982" s="13"/>
      <c r="AE982" s="37"/>
      <c r="AF982" s="37"/>
      <c r="AG982" s="14"/>
      <c r="AH982" s="14"/>
      <c r="AI982" s="14"/>
      <c r="AZ982" s="24"/>
    </row>
    <row r="983">
      <c r="B983" s="24"/>
      <c r="E983" s="113"/>
      <c r="F983" s="266"/>
      <c r="G983" s="113"/>
      <c r="K983" s="36"/>
      <c r="L983" s="117"/>
      <c r="M983" s="128"/>
      <c r="N983" s="117"/>
      <c r="R983" s="117"/>
      <c r="T983" s="117"/>
      <c r="V983" s="117"/>
      <c r="X983" s="117"/>
      <c r="Y983" s="10"/>
      <c r="Z983" s="11"/>
      <c r="AA983" s="36"/>
      <c r="AB983" s="36"/>
      <c r="AC983" s="13"/>
      <c r="AD983" s="13"/>
      <c r="AE983" s="37"/>
      <c r="AF983" s="37"/>
      <c r="AG983" s="14"/>
      <c r="AH983" s="14"/>
      <c r="AI983" s="14"/>
      <c r="AZ983" s="24"/>
    </row>
    <row r="984">
      <c r="B984" s="24"/>
      <c r="E984" s="113"/>
      <c r="F984" s="266"/>
      <c r="G984" s="113"/>
      <c r="K984" s="36"/>
      <c r="L984" s="117"/>
      <c r="M984" s="128"/>
      <c r="N984" s="117"/>
      <c r="R984" s="117"/>
      <c r="T984" s="117"/>
      <c r="V984" s="117"/>
      <c r="X984" s="117"/>
      <c r="Y984" s="10"/>
      <c r="Z984" s="11"/>
      <c r="AA984" s="36"/>
      <c r="AB984" s="36"/>
      <c r="AC984" s="13"/>
      <c r="AD984" s="13"/>
      <c r="AE984" s="37"/>
      <c r="AF984" s="37"/>
      <c r="AG984" s="14"/>
      <c r="AH984" s="14"/>
      <c r="AI984" s="14"/>
      <c r="AZ984" s="24"/>
    </row>
    <row r="985">
      <c r="B985" s="24"/>
      <c r="E985" s="113"/>
      <c r="F985" s="266"/>
      <c r="G985" s="113"/>
      <c r="K985" s="36"/>
      <c r="L985" s="117"/>
      <c r="M985" s="128"/>
      <c r="N985" s="117"/>
      <c r="R985" s="117"/>
      <c r="T985" s="117"/>
      <c r="V985" s="117"/>
      <c r="X985" s="117"/>
      <c r="Y985" s="10"/>
      <c r="Z985" s="11"/>
      <c r="AA985" s="36"/>
      <c r="AB985" s="36"/>
      <c r="AC985" s="13"/>
      <c r="AD985" s="13"/>
      <c r="AE985" s="37"/>
      <c r="AF985" s="37"/>
      <c r="AG985" s="14"/>
      <c r="AH985" s="14"/>
      <c r="AI985" s="14"/>
      <c r="AZ985" s="24"/>
    </row>
    <row r="986">
      <c r="B986" s="24"/>
      <c r="E986" s="113"/>
      <c r="F986" s="266"/>
      <c r="G986" s="113"/>
      <c r="K986" s="36"/>
      <c r="L986" s="117"/>
      <c r="M986" s="128"/>
      <c r="N986" s="117"/>
      <c r="R986" s="117"/>
      <c r="T986" s="117"/>
      <c r="V986" s="117"/>
      <c r="X986" s="117"/>
      <c r="Y986" s="10"/>
      <c r="Z986" s="11"/>
      <c r="AA986" s="36"/>
      <c r="AB986" s="36"/>
      <c r="AC986" s="13"/>
      <c r="AD986" s="13"/>
      <c r="AE986" s="37"/>
      <c r="AF986" s="37"/>
      <c r="AG986" s="14"/>
      <c r="AH986" s="14"/>
      <c r="AI986" s="14"/>
      <c r="AZ986" s="24"/>
    </row>
    <row r="987">
      <c r="B987" s="24"/>
      <c r="E987" s="113"/>
      <c r="F987" s="266"/>
      <c r="G987" s="113"/>
      <c r="K987" s="36"/>
      <c r="L987" s="117"/>
      <c r="M987" s="128"/>
      <c r="N987" s="117"/>
      <c r="R987" s="117"/>
      <c r="T987" s="117"/>
      <c r="V987" s="117"/>
      <c r="X987" s="117"/>
      <c r="Y987" s="10"/>
      <c r="Z987" s="11"/>
      <c r="AA987" s="36"/>
      <c r="AB987" s="36"/>
      <c r="AC987" s="13"/>
      <c r="AD987" s="13"/>
      <c r="AE987" s="37"/>
      <c r="AF987" s="37"/>
      <c r="AG987" s="14"/>
      <c r="AH987" s="14"/>
      <c r="AI987" s="14"/>
      <c r="AZ987" s="24"/>
    </row>
    <row r="988">
      <c r="B988" s="24"/>
      <c r="E988" s="113"/>
      <c r="F988" s="266"/>
      <c r="G988" s="113"/>
      <c r="K988" s="36"/>
      <c r="L988" s="117"/>
      <c r="M988" s="128"/>
      <c r="N988" s="117"/>
      <c r="R988" s="117"/>
      <c r="T988" s="117"/>
      <c r="V988" s="117"/>
      <c r="X988" s="117"/>
      <c r="Y988" s="10"/>
      <c r="Z988" s="11"/>
      <c r="AA988" s="36"/>
      <c r="AB988" s="36"/>
      <c r="AC988" s="13"/>
      <c r="AD988" s="13"/>
      <c r="AE988" s="37"/>
      <c r="AF988" s="37"/>
      <c r="AG988" s="14"/>
      <c r="AH988" s="14"/>
      <c r="AI988" s="14"/>
      <c r="AZ988" s="24"/>
    </row>
    <row r="989">
      <c r="B989" s="24"/>
      <c r="E989" s="113"/>
      <c r="F989" s="266"/>
      <c r="G989" s="113"/>
      <c r="K989" s="36"/>
      <c r="L989" s="117"/>
      <c r="M989" s="128"/>
      <c r="N989" s="117"/>
      <c r="R989" s="117"/>
      <c r="T989" s="117"/>
      <c r="V989" s="117"/>
      <c r="X989" s="117"/>
      <c r="Y989" s="10"/>
      <c r="Z989" s="11"/>
      <c r="AA989" s="36"/>
      <c r="AB989" s="36"/>
      <c r="AC989" s="13"/>
      <c r="AD989" s="13"/>
      <c r="AE989" s="37"/>
      <c r="AF989" s="37"/>
      <c r="AG989" s="14"/>
      <c r="AH989" s="14"/>
      <c r="AI989" s="14"/>
      <c r="AZ989" s="24"/>
    </row>
    <row r="990">
      <c r="B990" s="24"/>
      <c r="E990" s="113"/>
      <c r="F990" s="266"/>
      <c r="G990" s="113"/>
      <c r="K990" s="36"/>
      <c r="L990" s="117"/>
      <c r="M990" s="128"/>
      <c r="N990" s="117"/>
      <c r="R990" s="117"/>
      <c r="T990" s="117"/>
      <c r="V990" s="117"/>
      <c r="X990" s="117"/>
      <c r="Y990" s="10"/>
      <c r="Z990" s="11"/>
      <c r="AA990" s="36"/>
      <c r="AB990" s="36"/>
      <c r="AC990" s="13"/>
      <c r="AD990" s="13"/>
      <c r="AE990" s="37"/>
      <c r="AF990" s="37"/>
      <c r="AG990" s="14"/>
      <c r="AH990" s="14"/>
      <c r="AI990" s="14"/>
      <c r="AZ990" s="24"/>
    </row>
    <row r="991">
      <c r="B991" s="24"/>
      <c r="E991" s="113"/>
      <c r="F991" s="266"/>
      <c r="G991" s="113"/>
      <c r="K991" s="36"/>
      <c r="L991" s="117"/>
      <c r="M991" s="128"/>
      <c r="N991" s="117"/>
      <c r="R991" s="117"/>
      <c r="T991" s="117"/>
      <c r="V991" s="117"/>
      <c r="X991" s="117"/>
      <c r="Y991" s="10"/>
      <c r="Z991" s="11"/>
      <c r="AA991" s="36"/>
      <c r="AB991" s="36"/>
      <c r="AC991" s="13"/>
      <c r="AD991" s="13"/>
      <c r="AE991" s="37"/>
      <c r="AF991" s="37"/>
      <c r="AG991" s="14"/>
      <c r="AH991" s="14"/>
      <c r="AI991" s="14"/>
      <c r="AZ991" s="24"/>
    </row>
    <row r="992">
      <c r="B992" s="24"/>
      <c r="E992" s="113"/>
      <c r="F992" s="266"/>
      <c r="G992" s="113"/>
      <c r="K992" s="36"/>
      <c r="L992" s="117"/>
      <c r="M992" s="128"/>
      <c r="N992" s="117"/>
      <c r="R992" s="117"/>
      <c r="T992" s="117"/>
      <c r="V992" s="117"/>
      <c r="X992" s="117"/>
      <c r="Y992" s="10"/>
      <c r="Z992" s="11"/>
      <c r="AA992" s="36"/>
      <c r="AB992" s="36"/>
      <c r="AC992" s="13"/>
      <c r="AD992" s="13"/>
      <c r="AE992" s="37"/>
      <c r="AF992" s="37"/>
      <c r="AG992" s="14"/>
      <c r="AH992" s="14"/>
      <c r="AI992" s="14"/>
      <c r="AZ992" s="24"/>
    </row>
    <row r="993">
      <c r="B993" s="24"/>
      <c r="E993" s="113"/>
      <c r="F993" s="266"/>
      <c r="G993" s="113"/>
      <c r="K993" s="36"/>
      <c r="L993" s="117"/>
      <c r="M993" s="128"/>
      <c r="N993" s="117"/>
      <c r="R993" s="117"/>
      <c r="T993" s="117"/>
      <c r="V993" s="117"/>
      <c r="X993" s="117"/>
      <c r="Y993" s="10"/>
      <c r="Z993" s="11"/>
      <c r="AA993" s="36"/>
      <c r="AB993" s="36"/>
      <c r="AC993" s="13"/>
      <c r="AD993" s="13"/>
      <c r="AE993" s="37"/>
      <c r="AF993" s="37"/>
      <c r="AG993" s="14"/>
      <c r="AH993" s="14"/>
      <c r="AI993" s="14"/>
      <c r="AZ993" s="24"/>
    </row>
    <row r="994">
      <c r="B994" s="24"/>
      <c r="E994" s="113"/>
      <c r="F994" s="266"/>
      <c r="G994" s="113"/>
      <c r="K994" s="36"/>
      <c r="L994" s="117"/>
      <c r="M994" s="128"/>
      <c r="N994" s="117"/>
      <c r="R994" s="117"/>
      <c r="T994" s="117"/>
      <c r="V994" s="117"/>
      <c r="X994" s="117"/>
      <c r="Y994" s="10"/>
      <c r="Z994" s="11"/>
      <c r="AA994" s="36"/>
      <c r="AB994" s="36"/>
      <c r="AC994" s="13"/>
      <c r="AD994" s="13"/>
      <c r="AE994" s="37"/>
      <c r="AF994" s="37"/>
      <c r="AG994" s="14"/>
      <c r="AH994" s="14"/>
      <c r="AI994" s="14"/>
      <c r="AZ994" s="24"/>
    </row>
    <row r="995">
      <c r="B995" s="24"/>
      <c r="E995" s="113"/>
      <c r="F995" s="266"/>
      <c r="G995" s="113"/>
      <c r="K995" s="36"/>
      <c r="L995" s="117"/>
      <c r="M995" s="128"/>
      <c r="N995" s="117"/>
      <c r="R995" s="117"/>
      <c r="T995" s="117"/>
      <c r="V995" s="117"/>
      <c r="X995" s="117"/>
      <c r="Y995" s="10"/>
      <c r="Z995" s="11"/>
      <c r="AA995" s="36"/>
      <c r="AB995" s="36"/>
      <c r="AC995" s="13"/>
      <c r="AD995" s="13"/>
      <c r="AE995" s="37"/>
      <c r="AF995" s="37"/>
      <c r="AG995" s="14"/>
      <c r="AH995" s="14"/>
      <c r="AI995" s="14"/>
      <c r="AZ995" s="24"/>
    </row>
    <row r="996">
      <c r="B996" s="24"/>
      <c r="E996" s="113"/>
      <c r="F996" s="266"/>
      <c r="G996" s="113"/>
      <c r="K996" s="36"/>
      <c r="L996" s="117"/>
      <c r="M996" s="128"/>
      <c r="N996" s="117"/>
      <c r="R996" s="117"/>
      <c r="T996" s="117"/>
      <c r="V996" s="117"/>
      <c r="X996" s="117"/>
      <c r="Y996" s="10"/>
      <c r="Z996" s="11"/>
      <c r="AA996" s="36"/>
      <c r="AB996" s="36"/>
      <c r="AC996" s="13"/>
      <c r="AD996" s="13"/>
      <c r="AE996" s="37"/>
      <c r="AF996" s="37"/>
      <c r="AG996" s="14"/>
      <c r="AH996" s="14"/>
      <c r="AI996" s="14"/>
      <c r="AZ996" s="24"/>
    </row>
    <row r="997">
      <c r="B997" s="24"/>
      <c r="E997" s="113"/>
      <c r="F997" s="266"/>
      <c r="G997" s="113"/>
      <c r="K997" s="36"/>
      <c r="L997" s="117"/>
      <c r="M997" s="128"/>
      <c r="N997" s="117"/>
      <c r="R997" s="117"/>
      <c r="T997" s="117"/>
      <c r="V997" s="117"/>
      <c r="X997" s="117"/>
      <c r="Y997" s="10"/>
      <c r="Z997" s="11"/>
      <c r="AA997" s="36"/>
      <c r="AB997" s="36"/>
      <c r="AC997" s="13"/>
      <c r="AD997" s="13"/>
      <c r="AE997" s="37"/>
      <c r="AF997" s="37"/>
      <c r="AG997" s="14"/>
      <c r="AH997" s="14"/>
      <c r="AI997" s="14"/>
      <c r="AZ997" s="24"/>
    </row>
    <row r="998">
      <c r="B998" s="24"/>
      <c r="E998" s="113"/>
      <c r="F998" s="266"/>
      <c r="G998" s="113"/>
      <c r="K998" s="36"/>
      <c r="L998" s="117"/>
      <c r="M998" s="128"/>
      <c r="N998" s="117"/>
      <c r="R998" s="117"/>
      <c r="T998" s="117"/>
      <c r="V998" s="117"/>
      <c r="X998" s="117"/>
      <c r="Y998" s="10"/>
      <c r="Z998" s="11"/>
      <c r="AA998" s="36"/>
      <c r="AB998" s="36"/>
      <c r="AC998" s="13"/>
      <c r="AD998" s="13"/>
      <c r="AE998" s="37"/>
      <c r="AF998" s="37"/>
      <c r="AG998" s="14"/>
      <c r="AH998" s="14"/>
      <c r="AI998" s="14"/>
      <c r="AZ998" s="24"/>
    </row>
    <row r="999">
      <c r="B999" s="24"/>
      <c r="E999" s="113"/>
      <c r="F999" s="266"/>
      <c r="G999" s="113"/>
      <c r="K999" s="36"/>
      <c r="L999" s="117"/>
      <c r="M999" s="128"/>
      <c r="N999" s="117"/>
      <c r="R999" s="117"/>
      <c r="T999" s="117"/>
      <c r="V999" s="117"/>
      <c r="X999" s="117"/>
      <c r="Y999" s="10"/>
      <c r="Z999" s="11"/>
      <c r="AA999" s="36"/>
      <c r="AB999" s="36"/>
      <c r="AC999" s="13"/>
      <c r="AD999" s="13"/>
      <c r="AE999" s="37"/>
      <c r="AF999" s="37"/>
      <c r="AG999" s="14"/>
      <c r="AH999" s="14"/>
      <c r="AI999" s="14"/>
      <c r="AZ999" s="24"/>
    </row>
    <row r="1000">
      <c r="B1000" s="24"/>
      <c r="E1000" s="113"/>
      <c r="F1000" s="266"/>
      <c r="G1000" s="113"/>
      <c r="K1000" s="36"/>
      <c r="L1000" s="117"/>
      <c r="M1000" s="128"/>
      <c r="N1000" s="117"/>
      <c r="R1000" s="117"/>
      <c r="T1000" s="117"/>
      <c r="V1000" s="117"/>
      <c r="X1000" s="117"/>
      <c r="Y1000" s="10"/>
      <c r="Z1000" s="11"/>
      <c r="AA1000" s="36"/>
      <c r="AB1000" s="36"/>
      <c r="AC1000" s="13"/>
      <c r="AD1000" s="13"/>
      <c r="AE1000" s="37"/>
      <c r="AF1000" s="37"/>
      <c r="AG1000" s="14"/>
      <c r="AH1000" s="14"/>
      <c r="AI1000" s="14"/>
      <c r="AZ1000" s="24"/>
    </row>
    <row r="1001">
      <c r="B1001" s="24"/>
      <c r="E1001" s="113"/>
      <c r="F1001" s="266"/>
      <c r="G1001" s="113"/>
      <c r="K1001" s="36"/>
      <c r="L1001" s="117"/>
      <c r="M1001" s="128"/>
      <c r="N1001" s="117"/>
      <c r="R1001" s="117"/>
      <c r="T1001" s="117"/>
      <c r="V1001" s="117"/>
      <c r="X1001" s="117"/>
      <c r="Y1001" s="10"/>
      <c r="Z1001" s="11"/>
      <c r="AA1001" s="36"/>
      <c r="AB1001" s="36"/>
      <c r="AC1001" s="13"/>
      <c r="AD1001" s="13"/>
      <c r="AE1001" s="37"/>
      <c r="AF1001" s="37"/>
      <c r="AG1001" s="14"/>
      <c r="AH1001" s="14"/>
      <c r="AI1001" s="14"/>
      <c r="AZ1001" s="24"/>
    </row>
    <row r="1002">
      <c r="B1002" s="24"/>
      <c r="E1002" s="113"/>
      <c r="F1002" s="266"/>
      <c r="G1002" s="113"/>
      <c r="K1002" s="36"/>
      <c r="L1002" s="117"/>
      <c r="M1002" s="128"/>
      <c r="N1002" s="117"/>
      <c r="R1002" s="117"/>
      <c r="T1002" s="117"/>
      <c r="V1002" s="117"/>
      <c r="X1002" s="117"/>
      <c r="Y1002" s="10"/>
      <c r="Z1002" s="11"/>
      <c r="AA1002" s="36"/>
      <c r="AB1002" s="36"/>
      <c r="AC1002" s="13"/>
      <c r="AD1002" s="13"/>
      <c r="AE1002" s="37"/>
      <c r="AF1002" s="37"/>
      <c r="AG1002" s="14"/>
      <c r="AH1002" s="14"/>
      <c r="AI1002" s="14"/>
      <c r="AZ1002" s="24"/>
    </row>
    <row r="1003">
      <c r="B1003" s="24"/>
      <c r="E1003" s="113"/>
      <c r="F1003" s="266"/>
      <c r="G1003" s="113"/>
      <c r="K1003" s="36"/>
      <c r="L1003" s="117"/>
      <c r="M1003" s="128"/>
      <c r="N1003" s="117"/>
      <c r="R1003" s="117"/>
      <c r="T1003" s="117"/>
      <c r="V1003" s="117"/>
      <c r="X1003" s="117"/>
      <c r="Y1003" s="10"/>
      <c r="Z1003" s="11"/>
      <c r="AA1003" s="36"/>
      <c r="AB1003" s="36"/>
      <c r="AC1003" s="13"/>
      <c r="AD1003" s="13"/>
      <c r="AE1003" s="37"/>
      <c r="AF1003" s="37"/>
      <c r="AG1003" s="14"/>
      <c r="AH1003" s="14"/>
      <c r="AI1003" s="14"/>
      <c r="AZ1003" s="24"/>
    </row>
    <row r="1004">
      <c r="B1004" s="24"/>
      <c r="E1004" s="113"/>
      <c r="F1004" s="266"/>
      <c r="G1004" s="113"/>
      <c r="K1004" s="36"/>
      <c r="L1004" s="117"/>
      <c r="M1004" s="128"/>
      <c r="N1004" s="117"/>
      <c r="R1004" s="117"/>
      <c r="T1004" s="117"/>
      <c r="V1004" s="117"/>
      <c r="X1004" s="117"/>
      <c r="Y1004" s="10"/>
      <c r="Z1004" s="11"/>
      <c r="AA1004" s="36"/>
      <c r="AB1004" s="36"/>
      <c r="AC1004" s="13"/>
      <c r="AD1004" s="13"/>
      <c r="AE1004" s="37"/>
      <c r="AF1004" s="37"/>
      <c r="AG1004" s="14"/>
      <c r="AH1004" s="14"/>
      <c r="AI1004" s="14"/>
      <c r="AZ1004" s="24"/>
    </row>
    <row r="1005">
      <c r="B1005" s="24"/>
      <c r="E1005" s="113"/>
      <c r="F1005" s="266"/>
      <c r="G1005" s="113"/>
      <c r="K1005" s="36"/>
      <c r="L1005" s="117"/>
      <c r="M1005" s="128"/>
      <c r="N1005" s="117"/>
      <c r="R1005" s="117"/>
      <c r="T1005" s="117"/>
      <c r="V1005" s="117"/>
      <c r="X1005" s="117"/>
      <c r="Y1005" s="10"/>
      <c r="Z1005" s="11"/>
      <c r="AA1005" s="36"/>
      <c r="AB1005" s="36"/>
      <c r="AC1005" s="13"/>
      <c r="AD1005" s="13"/>
      <c r="AE1005" s="37"/>
      <c r="AF1005" s="37"/>
      <c r="AG1005" s="14"/>
      <c r="AH1005" s="14"/>
      <c r="AI1005" s="14"/>
      <c r="AZ1005" s="24"/>
    </row>
    <row r="1006">
      <c r="B1006" s="24"/>
      <c r="E1006" s="113"/>
      <c r="F1006" s="266"/>
      <c r="G1006" s="113"/>
      <c r="K1006" s="36"/>
      <c r="L1006" s="117"/>
      <c r="M1006" s="128"/>
      <c r="N1006" s="117"/>
      <c r="R1006" s="117"/>
      <c r="T1006" s="117"/>
      <c r="V1006" s="117"/>
      <c r="X1006" s="117"/>
      <c r="Y1006" s="10"/>
      <c r="Z1006" s="11"/>
      <c r="AA1006" s="36"/>
      <c r="AB1006" s="36"/>
      <c r="AC1006" s="13"/>
      <c r="AD1006" s="13"/>
      <c r="AE1006" s="37"/>
      <c r="AF1006" s="37"/>
      <c r="AG1006" s="14"/>
      <c r="AH1006" s="14"/>
      <c r="AI1006" s="14"/>
      <c r="AZ1006" s="24"/>
    </row>
    <row r="1007">
      <c r="B1007" s="24"/>
      <c r="E1007" s="113"/>
      <c r="F1007" s="266"/>
      <c r="G1007" s="113"/>
      <c r="K1007" s="36"/>
      <c r="L1007" s="117"/>
      <c r="M1007" s="128"/>
      <c r="N1007" s="117"/>
      <c r="R1007" s="117"/>
      <c r="T1007" s="117"/>
      <c r="V1007" s="117"/>
      <c r="X1007" s="117"/>
      <c r="Y1007" s="10"/>
      <c r="Z1007" s="11"/>
      <c r="AA1007" s="36"/>
      <c r="AB1007" s="36"/>
      <c r="AC1007" s="13"/>
      <c r="AD1007" s="13"/>
      <c r="AE1007" s="37"/>
      <c r="AF1007" s="37"/>
      <c r="AG1007" s="14"/>
      <c r="AH1007" s="14"/>
      <c r="AI1007" s="14"/>
      <c r="AZ1007" s="24"/>
    </row>
    <row r="1008">
      <c r="B1008" s="24"/>
      <c r="E1008" s="113"/>
      <c r="F1008" s="266"/>
      <c r="G1008" s="113"/>
      <c r="K1008" s="36"/>
      <c r="L1008" s="117"/>
      <c r="M1008" s="128"/>
      <c r="N1008" s="117"/>
      <c r="R1008" s="117"/>
      <c r="T1008" s="117"/>
      <c r="V1008" s="117"/>
      <c r="X1008" s="117"/>
      <c r="Y1008" s="10"/>
      <c r="Z1008" s="11"/>
      <c r="AA1008" s="36"/>
      <c r="AB1008" s="36"/>
      <c r="AC1008" s="13"/>
      <c r="AD1008" s="13"/>
      <c r="AE1008" s="37"/>
      <c r="AF1008" s="37"/>
      <c r="AG1008" s="14"/>
      <c r="AH1008" s="14"/>
      <c r="AI1008" s="14"/>
      <c r="AZ1008" s="24"/>
    </row>
    <row r="1009">
      <c r="B1009" s="24"/>
      <c r="E1009" s="113"/>
      <c r="F1009" s="266"/>
      <c r="G1009" s="113"/>
      <c r="K1009" s="36"/>
      <c r="L1009" s="117"/>
      <c r="M1009" s="128"/>
      <c r="N1009" s="117"/>
      <c r="R1009" s="117"/>
      <c r="T1009" s="117"/>
      <c r="V1009" s="117"/>
      <c r="X1009" s="117"/>
      <c r="Y1009" s="10"/>
      <c r="Z1009" s="11"/>
      <c r="AA1009" s="36"/>
      <c r="AB1009" s="36"/>
      <c r="AC1009" s="13"/>
      <c r="AD1009" s="13"/>
      <c r="AE1009" s="37"/>
      <c r="AF1009" s="37"/>
      <c r="AG1009" s="14"/>
      <c r="AH1009" s="14"/>
      <c r="AI1009" s="14"/>
      <c r="AZ1009" s="24"/>
    </row>
    <row r="1010">
      <c r="B1010" s="24"/>
      <c r="E1010" s="113"/>
      <c r="F1010" s="266"/>
      <c r="G1010" s="113"/>
      <c r="K1010" s="36"/>
      <c r="L1010" s="117"/>
      <c r="M1010" s="128"/>
      <c r="N1010" s="117"/>
      <c r="R1010" s="117"/>
      <c r="T1010" s="117"/>
      <c r="V1010" s="117"/>
      <c r="X1010" s="117"/>
      <c r="Y1010" s="10"/>
      <c r="Z1010" s="11"/>
      <c r="AA1010" s="36"/>
      <c r="AB1010" s="36"/>
      <c r="AC1010" s="13"/>
      <c r="AD1010" s="13"/>
      <c r="AE1010" s="37"/>
      <c r="AF1010" s="37"/>
      <c r="AG1010" s="14"/>
      <c r="AH1010" s="14"/>
      <c r="AI1010" s="14"/>
      <c r="AZ1010" s="24"/>
    </row>
    <row r="1011">
      <c r="B1011" s="24"/>
      <c r="E1011" s="113"/>
      <c r="F1011" s="266"/>
      <c r="G1011" s="113"/>
      <c r="K1011" s="36"/>
      <c r="L1011" s="117"/>
      <c r="M1011" s="128"/>
      <c r="N1011" s="117"/>
      <c r="R1011" s="117"/>
      <c r="T1011" s="117"/>
      <c r="V1011" s="117"/>
      <c r="X1011" s="117"/>
      <c r="Y1011" s="10"/>
      <c r="Z1011" s="11"/>
      <c r="AA1011" s="36"/>
      <c r="AB1011" s="36"/>
      <c r="AC1011" s="13"/>
      <c r="AD1011" s="13"/>
      <c r="AE1011" s="37"/>
      <c r="AF1011" s="37"/>
      <c r="AG1011" s="14"/>
      <c r="AH1011" s="14"/>
      <c r="AI1011" s="14"/>
      <c r="AZ1011" s="24"/>
    </row>
    <row r="1012">
      <c r="B1012" s="24"/>
      <c r="E1012" s="113"/>
      <c r="F1012" s="266"/>
      <c r="G1012" s="113"/>
      <c r="K1012" s="36"/>
      <c r="L1012" s="117"/>
      <c r="M1012" s="128"/>
      <c r="N1012" s="117"/>
      <c r="R1012" s="117"/>
      <c r="T1012" s="117"/>
      <c r="V1012" s="117"/>
      <c r="X1012" s="117"/>
      <c r="Y1012" s="10"/>
      <c r="Z1012" s="11"/>
      <c r="AA1012" s="36"/>
      <c r="AB1012" s="36"/>
      <c r="AC1012" s="13"/>
      <c r="AD1012" s="13"/>
      <c r="AE1012" s="37"/>
      <c r="AF1012" s="37"/>
      <c r="AG1012" s="14"/>
      <c r="AH1012" s="14"/>
      <c r="AI1012" s="14"/>
      <c r="AZ1012" s="24"/>
    </row>
    <row r="1013">
      <c r="B1013" s="24"/>
      <c r="E1013" s="113"/>
      <c r="F1013" s="266"/>
      <c r="G1013" s="113"/>
      <c r="K1013" s="36"/>
      <c r="L1013" s="117"/>
      <c r="M1013" s="128"/>
      <c r="N1013" s="117"/>
      <c r="R1013" s="117"/>
      <c r="T1013" s="117"/>
      <c r="V1013" s="117"/>
      <c r="X1013" s="117"/>
      <c r="Y1013" s="10"/>
      <c r="Z1013" s="11"/>
      <c r="AA1013" s="36"/>
      <c r="AB1013" s="36"/>
      <c r="AC1013" s="13"/>
      <c r="AD1013" s="13"/>
      <c r="AE1013" s="37"/>
      <c r="AF1013" s="37"/>
      <c r="AG1013" s="14"/>
      <c r="AH1013" s="14"/>
      <c r="AI1013" s="14"/>
      <c r="AZ1013" s="24"/>
    </row>
    <row r="1014">
      <c r="B1014" s="24"/>
      <c r="E1014" s="113"/>
      <c r="F1014" s="266"/>
      <c r="G1014" s="113"/>
      <c r="K1014" s="36"/>
      <c r="L1014" s="117"/>
      <c r="M1014" s="128"/>
      <c r="N1014" s="117"/>
      <c r="R1014" s="117"/>
      <c r="T1014" s="117"/>
      <c r="V1014" s="117"/>
      <c r="X1014" s="117"/>
      <c r="Y1014" s="10"/>
      <c r="Z1014" s="11"/>
      <c r="AA1014" s="36"/>
      <c r="AB1014" s="36"/>
      <c r="AC1014" s="13"/>
      <c r="AD1014" s="13"/>
      <c r="AE1014" s="37"/>
      <c r="AF1014" s="37"/>
      <c r="AG1014" s="14"/>
      <c r="AH1014" s="14"/>
      <c r="AI1014" s="14"/>
      <c r="AZ1014" s="24"/>
    </row>
    <row r="1015">
      <c r="B1015" s="24"/>
      <c r="E1015" s="113"/>
      <c r="F1015" s="266"/>
      <c r="G1015" s="113"/>
      <c r="K1015" s="36"/>
      <c r="L1015" s="117"/>
      <c r="M1015" s="128"/>
      <c r="N1015" s="117"/>
      <c r="R1015" s="117"/>
      <c r="T1015" s="117"/>
      <c r="V1015" s="117"/>
      <c r="X1015" s="117"/>
      <c r="Y1015" s="10"/>
      <c r="Z1015" s="11"/>
      <c r="AA1015" s="36"/>
      <c r="AB1015" s="36"/>
      <c r="AC1015" s="13"/>
      <c r="AD1015" s="13"/>
      <c r="AE1015" s="37"/>
      <c r="AF1015" s="37"/>
      <c r="AG1015" s="14"/>
      <c r="AH1015" s="14"/>
      <c r="AI1015" s="14"/>
      <c r="AZ1015" s="24"/>
    </row>
    <row r="1016">
      <c r="B1016" s="24"/>
      <c r="E1016" s="113"/>
      <c r="F1016" s="266"/>
      <c r="G1016" s="113"/>
      <c r="K1016" s="36"/>
      <c r="L1016" s="117"/>
      <c r="M1016" s="128"/>
      <c r="N1016" s="117"/>
      <c r="R1016" s="117"/>
      <c r="T1016" s="117"/>
      <c r="V1016" s="117"/>
      <c r="X1016" s="117"/>
      <c r="Y1016" s="10"/>
      <c r="Z1016" s="11"/>
      <c r="AA1016" s="36"/>
      <c r="AB1016" s="36"/>
      <c r="AC1016" s="13"/>
      <c r="AD1016" s="13"/>
      <c r="AE1016" s="37"/>
      <c r="AF1016" s="37"/>
      <c r="AG1016" s="14"/>
      <c r="AH1016" s="14"/>
      <c r="AI1016" s="14"/>
      <c r="AZ1016" s="24"/>
    </row>
    <row r="1017">
      <c r="B1017" s="24"/>
      <c r="E1017" s="113"/>
      <c r="F1017" s="266"/>
      <c r="G1017" s="113"/>
      <c r="K1017" s="36"/>
      <c r="L1017" s="117"/>
      <c r="M1017" s="128"/>
      <c r="N1017" s="117"/>
      <c r="R1017" s="117"/>
      <c r="T1017" s="117"/>
      <c r="V1017" s="117"/>
      <c r="X1017" s="117"/>
      <c r="Y1017" s="10"/>
      <c r="Z1017" s="11"/>
      <c r="AA1017" s="36"/>
      <c r="AB1017" s="36"/>
      <c r="AC1017" s="13"/>
      <c r="AD1017" s="13"/>
      <c r="AE1017" s="37"/>
      <c r="AF1017" s="37"/>
      <c r="AG1017" s="14"/>
      <c r="AH1017" s="14"/>
      <c r="AI1017" s="14"/>
      <c r="AZ1017" s="24"/>
    </row>
    <row r="1018">
      <c r="B1018" s="24"/>
      <c r="E1018" s="113"/>
      <c r="F1018" s="266"/>
      <c r="G1018" s="113"/>
      <c r="K1018" s="36"/>
      <c r="L1018" s="117"/>
      <c r="M1018" s="128"/>
      <c r="N1018" s="117"/>
      <c r="R1018" s="117"/>
      <c r="T1018" s="117"/>
      <c r="V1018" s="117"/>
      <c r="X1018" s="117"/>
      <c r="Y1018" s="10"/>
      <c r="Z1018" s="11"/>
      <c r="AA1018" s="36"/>
      <c r="AB1018" s="36"/>
      <c r="AC1018" s="13"/>
      <c r="AD1018" s="13"/>
      <c r="AE1018" s="37"/>
      <c r="AF1018" s="37"/>
      <c r="AG1018" s="14"/>
      <c r="AH1018" s="14"/>
      <c r="AI1018" s="14"/>
      <c r="AZ1018" s="24"/>
    </row>
    <row r="1019">
      <c r="B1019" s="24"/>
      <c r="E1019" s="113"/>
      <c r="F1019" s="266"/>
      <c r="G1019" s="113"/>
      <c r="K1019" s="36"/>
      <c r="L1019" s="117"/>
      <c r="M1019" s="128"/>
      <c r="N1019" s="117"/>
      <c r="R1019" s="117"/>
      <c r="T1019" s="117"/>
      <c r="V1019" s="117"/>
      <c r="X1019" s="117"/>
      <c r="Y1019" s="10"/>
      <c r="Z1019" s="11"/>
      <c r="AA1019" s="36"/>
      <c r="AB1019" s="36"/>
      <c r="AC1019" s="13"/>
      <c r="AD1019" s="13"/>
      <c r="AE1019" s="37"/>
      <c r="AF1019" s="37"/>
      <c r="AG1019" s="14"/>
      <c r="AH1019" s="14"/>
      <c r="AI1019" s="14"/>
      <c r="AZ1019" s="24"/>
    </row>
    <row r="1020">
      <c r="B1020" s="24"/>
      <c r="E1020" s="113"/>
      <c r="F1020" s="266"/>
      <c r="G1020" s="113"/>
      <c r="K1020" s="36"/>
      <c r="L1020" s="117"/>
      <c r="M1020" s="128"/>
      <c r="N1020" s="117"/>
      <c r="R1020" s="117"/>
      <c r="T1020" s="117"/>
      <c r="V1020" s="117"/>
      <c r="X1020" s="117"/>
      <c r="Y1020" s="10"/>
      <c r="Z1020" s="11"/>
      <c r="AA1020" s="36"/>
      <c r="AB1020" s="36"/>
      <c r="AC1020" s="13"/>
      <c r="AD1020" s="13"/>
      <c r="AE1020" s="37"/>
      <c r="AF1020" s="37"/>
      <c r="AG1020" s="14"/>
      <c r="AH1020" s="14"/>
      <c r="AI1020" s="14"/>
      <c r="AZ1020" s="24"/>
    </row>
    <row r="1021">
      <c r="B1021" s="24"/>
      <c r="E1021" s="113"/>
      <c r="F1021" s="266"/>
      <c r="G1021" s="113"/>
      <c r="K1021" s="36"/>
      <c r="L1021" s="117"/>
      <c r="M1021" s="128"/>
      <c r="N1021" s="117"/>
      <c r="R1021" s="117"/>
      <c r="T1021" s="117"/>
      <c r="V1021" s="117"/>
      <c r="X1021" s="117"/>
      <c r="Y1021" s="10"/>
      <c r="Z1021" s="11"/>
      <c r="AA1021" s="36"/>
      <c r="AB1021" s="36"/>
      <c r="AC1021" s="13"/>
      <c r="AD1021" s="13"/>
      <c r="AE1021" s="37"/>
      <c r="AF1021" s="37"/>
      <c r="AG1021" s="14"/>
      <c r="AH1021" s="14"/>
      <c r="AI1021" s="14"/>
      <c r="AZ1021" s="24"/>
    </row>
    <row r="1022">
      <c r="B1022" s="24"/>
      <c r="E1022" s="113"/>
      <c r="F1022" s="266"/>
      <c r="G1022" s="113"/>
      <c r="K1022" s="36"/>
      <c r="L1022" s="117"/>
      <c r="M1022" s="128"/>
      <c r="N1022" s="117"/>
      <c r="R1022" s="117"/>
      <c r="T1022" s="117"/>
      <c r="V1022" s="117"/>
      <c r="X1022" s="117"/>
      <c r="Y1022" s="10"/>
      <c r="Z1022" s="11"/>
      <c r="AA1022" s="36"/>
      <c r="AB1022" s="36"/>
      <c r="AC1022" s="13"/>
      <c r="AD1022" s="13"/>
      <c r="AE1022" s="37"/>
      <c r="AF1022" s="37"/>
      <c r="AG1022" s="14"/>
      <c r="AH1022" s="14"/>
      <c r="AI1022" s="14"/>
      <c r="AZ1022" s="24"/>
    </row>
    <row r="1023">
      <c r="B1023" s="24"/>
      <c r="E1023" s="113"/>
      <c r="F1023" s="266"/>
      <c r="G1023" s="113"/>
      <c r="K1023" s="36"/>
      <c r="L1023" s="117"/>
      <c r="M1023" s="128"/>
      <c r="N1023" s="117"/>
      <c r="R1023" s="117"/>
      <c r="T1023" s="117"/>
      <c r="V1023" s="117"/>
      <c r="X1023" s="117"/>
      <c r="Y1023" s="10"/>
      <c r="Z1023" s="11"/>
      <c r="AA1023" s="36"/>
      <c r="AB1023" s="36"/>
      <c r="AC1023" s="13"/>
      <c r="AD1023" s="13"/>
      <c r="AE1023" s="37"/>
      <c r="AF1023" s="37"/>
      <c r="AG1023" s="14"/>
      <c r="AH1023" s="14"/>
      <c r="AI1023" s="14"/>
      <c r="AZ1023" s="24"/>
    </row>
    <row r="1024">
      <c r="B1024" s="24"/>
      <c r="E1024" s="113"/>
      <c r="F1024" s="266"/>
      <c r="G1024" s="113"/>
      <c r="K1024" s="36"/>
      <c r="L1024" s="117"/>
      <c r="M1024" s="128"/>
      <c r="N1024" s="117"/>
      <c r="R1024" s="117"/>
      <c r="T1024" s="117"/>
      <c r="V1024" s="117"/>
      <c r="X1024" s="117"/>
      <c r="Y1024" s="10"/>
      <c r="Z1024" s="11"/>
      <c r="AA1024" s="36"/>
      <c r="AB1024" s="36"/>
      <c r="AC1024" s="13"/>
      <c r="AD1024" s="13"/>
      <c r="AE1024" s="37"/>
      <c r="AF1024" s="37"/>
      <c r="AG1024" s="14"/>
      <c r="AH1024" s="14"/>
      <c r="AI1024" s="14"/>
      <c r="AZ1024" s="24"/>
    </row>
    <row r="1025">
      <c r="B1025" s="24"/>
      <c r="E1025" s="113"/>
      <c r="F1025" s="266"/>
      <c r="G1025" s="113"/>
      <c r="K1025" s="36"/>
      <c r="L1025" s="117"/>
      <c r="M1025" s="128"/>
      <c r="N1025" s="117"/>
      <c r="R1025" s="117"/>
      <c r="T1025" s="117"/>
      <c r="V1025" s="117"/>
      <c r="X1025" s="117"/>
      <c r="Y1025" s="10"/>
      <c r="Z1025" s="11"/>
      <c r="AA1025" s="36"/>
      <c r="AB1025" s="36"/>
      <c r="AC1025" s="13"/>
      <c r="AD1025" s="13"/>
      <c r="AE1025" s="37"/>
      <c r="AF1025" s="37"/>
      <c r="AG1025" s="14"/>
      <c r="AH1025" s="14"/>
      <c r="AI1025" s="14"/>
      <c r="AZ1025" s="24"/>
    </row>
    <row r="1026">
      <c r="B1026" s="24"/>
      <c r="E1026" s="113"/>
      <c r="F1026" s="266"/>
      <c r="G1026" s="113"/>
      <c r="K1026" s="36"/>
      <c r="L1026" s="117"/>
      <c r="M1026" s="128"/>
      <c r="N1026" s="117"/>
      <c r="R1026" s="117"/>
      <c r="T1026" s="117"/>
      <c r="V1026" s="117"/>
      <c r="X1026" s="117"/>
      <c r="Y1026" s="10"/>
      <c r="Z1026" s="11"/>
      <c r="AA1026" s="36"/>
      <c r="AB1026" s="36"/>
      <c r="AC1026" s="13"/>
      <c r="AD1026" s="13"/>
      <c r="AE1026" s="37"/>
      <c r="AF1026" s="37"/>
      <c r="AG1026" s="14"/>
      <c r="AH1026" s="14"/>
      <c r="AI1026" s="14"/>
      <c r="AZ1026" s="24"/>
    </row>
    <row r="1027">
      <c r="B1027" s="24"/>
      <c r="E1027" s="113"/>
      <c r="F1027" s="266"/>
      <c r="G1027" s="113"/>
      <c r="K1027" s="36"/>
      <c r="L1027" s="117"/>
      <c r="M1027" s="128"/>
      <c r="N1027" s="117"/>
      <c r="R1027" s="117"/>
      <c r="T1027" s="117"/>
      <c r="V1027" s="117"/>
      <c r="X1027" s="117"/>
      <c r="Y1027" s="10"/>
      <c r="Z1027" s="11"/>
      <c r="AA1027" s="36"/>
      <c r="AB1027" s="36"/>
      <c r="AC1027" s="13"/>
      <c r="AD1027" s="13"/>
      <c r="AE1027" s="37"/>
      <c r="AF1027" s="37"/>
      <c r="AG1027" s="14"/>
      <c r="AH1027" s="14"/>
      <c r="AI1027" s="14"/>
      <c r="AZ1027" s="24"/>
    </row>
    <row r="1028">
      <c r="B1028" s="24"/>
      <c r="E1028" s="113"/>
      <c r="F1028" s="266"/>
      <c r="G1028" s="113"/>
      <c r="K1028" s="36"/>
      <c r="L1028" s="117"/>
      <c r="M1028" s="128"/>
      <c r="N1028" s="117"/>
      <c r="R1028" s="117"/>
      <c r="T1028" s="117"/>
      <c r="V1028" s="117"/>
      <c r="X1028" s="117"/>
      <c r="Y1028" s="10"/>
      <c r="Z1028" s="11"/>
      <c r="AA1028" s="36"/>
      <c r="AB1028" s="36"/>
      <c r="AC1028" s="13"/>
      <c r="AD1028" s="13"/>
      <c r="AE1028" s="37"/>
      <c r="AF1028" s="37"/>
      <c r="AG1028" s="14"/>
      <c r="AH1028" s="14"/>
      <c r="AI1028" s="14"/>
      <c r="AZ1028" s="24"/>
    </row>
    <row r="1029">
      <c r="B1029" s="24"/>
      <c r="E1029" s="113"/>
      <c r="F1029" s="266"/>
      <c r="G1029" s="113"/>
      <c r="K1029" s="36"/>
      <c r="L1029" s="117"/>
      <c r="M1029" s="128"/>
      <c r="N1029" s="117"/>
      <c r="R1029" s="117"/>
      <c r="T1029" s="117"/>
      <c r="V1029" s="117"/>
      <c r="X1029" s="117"/>
      <c r="Y1029" s="10"/>
      <c r="Z1029" s="11"/>
      <c r="AA1029" s="36"/>
      <c r="AB1029" s="36"/>
      <c r="AC1029" s="13"/>
      <c r="AD1029" s="13"/>
      <c r="AE1029" s="37"/>
      <c r="AF1029" s="37"/>
      <c r="AG1029" s="14"/>
      <c r="AH1029" s="14"/>
      <c r="AI1029" s="14"/>
      <c r="AZ1029" s="24"/>
    </row>
    <row r="1030">
      <c r="B1030" s="24"/>
      <c r="E1030" s="113"/>
      <c r="F1030" s="266"/>
      <c r="G1030" s="113"/>
      <c r="K1030" s="36"/>
      <c r="L1030" s="117"/>
      <c r="M1030" s="128"/>
      <c r="N1030" s="117"/>
      <c r="R1030" s="117"/>
      <c r="T1030" s="117"/>
      <c r="V1030" s="117"/>
      <c r="X1030" s="117"/>
      <c r="Y1030" s="10"/>
      <c r="Z1030" s="11"/>
      <c r="AA1030" s="36"/>
      <c r="AB1030" s="36"/>
      <c r="AC1030" s="13"/>
      <c r="AD1030" s="13"/>
      <c r="AE1030" s="37"/>
      <c r="AF1030" s="37"/>
      <c r="AG1030" s="14"/>
      <c r="AH1030" s="14"/>
      <c r="AI1030" s="14"/>
      <c r="AZ1030" s="24"/>
    </row>
    <row r="1031">
      <c r="B1031" s="24"/>
      <c r="E1031" s="113"/>
      <c r="F1031" s="266"/>
      <c r="G1031" s="113"/>
      <c r="K1031" s="36"/>
      <c r="L1031" s="117"/>
      <c r="M1031" s="128"/>
      <c r="N1031" s="117"/>
      <c r="R1031" s="117"/>
      <c r="T1031" s="117"/>
      <c r="V1031" s="117"/>
      <c r="X1031" s="117"/>
      <c r="Y1031" s="10"/>
      <c r="Z1031" s="11"/>
      <c r="AA1031" s="36"/>
      <c r="AB1031" s="36"/>
      <c r="AC1031" s="13"/>
      <c r="AD1031" s="13"/>
      <c r="AE1031" s="37"/>
      <c r="AF1031" s="37"/>
      <c r="AG1031" s="14"/>
      <c r="AH1031" s="14"/>
      <c r="AI1031" s="14"/>
      <c r="AZ1031" s="24"/>
    </row>
    <row r="1032">
      <c r="B1032" s="24"/>
      <c r="E1032" s="113"/>
      <c r="F1032" s="266"/>
      <c r="G1032" s="113"/>
      <c r="K1032" s="36"/>
      <c r="L1032" s="117"/>
      <c r="M1032" s="128"/>
      <c r="N1032" s="117"/>
      <c r="R1032" s="117"/>
      <c r="T1032" s="117"/>
      <c r="V1032" s="117"/>
      <c r="X1032" s="117"/>
      <c r="Y1032" s="10"/>
      <c r="Z1032" s="11"/>
      <c r="AA1032" s="36"/>
      <c r="AB1032" s="36"/>
      <c r="AC1032" s="13"/>
      <c r="AD1032" s="13"/>
      <c r="AE1032" s="37"/>
      <c r="AF1032" s="37"/>
      <c r="AG1032" s="14"/>
      <c r="AH1032" s="14"/>
      <c r="AI1032" s="14"/>
      <c r="AZ1032" s="24"/>
    </row>
    <row r="1033">
      <c r="B1033" s="24"/>
      <c r="E1033" s="113"/>
      <c r="F1033" s="266"/>
      <c r="G1033" s="113"/>
      <c r="K1033" s="36"/>
      <c r="L1033" s="117"/>
      <c r="M1033" s="128"/>
      <c r="N1033" s="117"/>
      <c r="R1033" s="117"/>
      <c r="T1033" s="117"/>
      <c r="V1033" s="117"/>
      <c r="X1033" s="117"/>
      <c r="Y1033" s="10"/>
      <c r="Z1033" s="11"/>
      <c r="AA1033" s="36"/>
      <c r="AB1033" s="36"/>
      <c r="AC1033" s="13"/>
      <c r="AD1033" s="13"/>
      <c r="AE1033" s="37"/>
      <c r="AF1033" s="37"/>
      <c r="AG1033" s="14"/>
      <c r="AH1033" s="14"/>
      <c r="AI1033" s="14"/>
      <c r="AZ1033" s="24"/>
    </row>
    <row r="1034">
      <c r="B1034" s="24"/>
      <c r="E1034" s="113"/>
      <c r="F1034" s="266"/>
      <c r="G1034" s="113"/>
      <c r="K1034" s="36"/>
      <c r="L1034" s="117"/>
      <c r="M1034" s="128"/>
      <c r="N1034" s="117"/>
      <c r="R1034" s="117"/>
      <c r="T1034" s="117"/>
      <c r="V1034" s="117"/>
      <c r="X1034" s="117"/>
      <c r="Y1034" s="10"/>
      <c r="Z1034" s="11"/>
      <c r="AA1034" s="36"/>
      <c r="AB1034" s="36"/>
      <c r="AC1034" s="13"/>
      <c r="AD1034" s="13"/>
      <c r="AE1034" s="37"/>
      <c r="AF1034" s="37"/>
      <c r="AG1034" s="14"/>
      <c r="AH1034" s="14"/>
      <c r="AI1034" s="14"/>
      <c r="AZ1034" s="24"/>
    </row>
    <row r="1035">
      <c r="B1035" s="24"/>
      <c r="E1035" s="113"/>
      <c r="F1035" s="266"/>
      <c r="G1035" s="113"/>
      <c r="K1035" s="36"/>
      <c r="L1035" s="117"/>
      <c r="M1035" s="128"/>
      <c r="N1035" s="117"/>
      <c r="R1035" s="117"/>
      <c r="T1035" s="117"/>
      <c r="V1035" s="117"/>
      <c r="X1035" s="117"/>
      <c r="Y1035" s="10"/>
      <c r="Z1035" s="11"/>
      <c r="AA1035" s="36"/>
      <c r="AB1035" s="36"/>
      <c r="AC1035" s="13"/>
      <c r="AD1035" s="13"/>
      <c r="AE1035" s="37"/>
      <c r="AF1035" s="37"/>
      <c r="AG1035" s="14"/>
      <c r="AH1035" s="14"/>
      <c r="AI1035" s="14"/>
      <c r="AZ1035" s="24"/>
    </row>
    <row r="1036">
      <c r="B1036" s="24"/>
      <c r="E1036" s="113"/>
      <c r="F1036" s="266"/>
      <c r="G1036" s="113"/>
      <c r="K1036" s="36"/>
      <c r="L1036" s="117"/>
      <c r="M1036" s="128"/>
      <c r="N1036" s="117"/>
      <c r="R1036" s="117"/>
      <c r="T1036" s="117"/>
      <c r="V1036" s="117"/>
      <c r="X1036" s="117"/>
      <c r="Y1036" s="10"/>
      <c r="Z1036" s="11"/>
      <c r="AA1036" s="36"/>
      <c r="AB1036" s="36"/>
      <c r="AC1036" s="13"/>
      <c r="AD1036" s="13"/>
      <c r="AE1036" s="37"/>
      <c r="AF1036" s="37"/>
      <c r="AG1036" s="14"/>
      <c r="AH1036" s="14"/>
      <c r="AI1036" s="14"/>
      <c r="AZ1036" s="24"/>
    </row>
    <row r="1037">
      <c r="B1037" s="24"/>
      <c r="E1037" s="113"/>
      <c r="F1037" s="266"/>
      <c r="G1037" s="113"/>
      <c r="K1037" s="36"/>
      <c r="L1037" s="117"/>
      <c r="M1037" s="128"/>
      <c r="N1037" s="117"/>
      <c r="R1037" s="117"/>
      <c r="T1037" s="117"/>
      <c r="V1037" s="117"/>
      <c r="X1037" s="117"/>
      <c r="Y1037" s="10"/>
      <c r="Z1037" s="11"/>
      <c r="AA1037" s="36"/>
      <c r="AB1037" s="36"/>
      <c r="AC1037" s="13"/>
      <c r="AD1037" s="13"/>
      <c r="AE1037" s="37"/>
      <c r="AF1037" s="37"/>
      <c r="AG1037" s="14"/>
      <c r="AH1037" s="14"/>
      <c r="AI1037" s="14"/>
      <c r="AZ1037" s="24"/>
    </row>
    <row r="1038">
      <c r="B1038" s="24"/>
      <c r="E1038" s="113"/>
      <c r="F1038" s="266"/>
      <c r="G1038" s="113"/>
      <c r="K1038" s="36"/>
      <c r="L1038" s="117"/>
      <c r="M1038" s="128"/>
      <c r="N1038" s="117"/>
      <c r="R1038" s="117"/>
      <c r="T1038" s="117"/>
      <c r="V1038" s="117"/>
      <c r="X1038" s="117"/>
      <c r="Y1038" s="10"/>
      <c r="Z1038" s="11"/>
      <c r="AA1038" s="36"/>
      <c r="AB1038" s="36"/>
      <c r="AC1038" s="13"/>
      <c r="AD1038" s="13"/>
      <c r="AE1038" s="37"/>
      <c r="AF1038" s="37"/>
      <c r="AG1038" s="14"/>
      <c r="AH1038" s="14"/>
      <c r="AI1038" s="14"/>
      <c r="AZ1038" s="24"/>
    </row>
    <row r="1039">
      <c r="B1039" s="24"/>
      <c r="E1039" s="113"/>
      <c r="F1039" s="266"/>
      <c r="G1039" s="113"/>
      <c r="K1039" s="36"/>
      <c r="L1039" s="117"/>
      <c r="M1039" s="128"/>
      <c r="N1039" s="117"/>
      <c r="R1039" s="117"/>
      <c r="T1039" s="117"/>
      <c r="V1039" s="117"/>
      <c r="X1039" s="117"/>
      <c r="Y1039" s="10"/>
      <c r="Z1039" s="11"/>
      <c r="AA1039" s="36"/>
      <c r="AB1039" s="36"/>
      <c r="AC1039" s="13"/>
      <c r="AD1039" s="13"/>
      <c r="AE1039" s="37"/>
      <c r="AF1039" s="37"/>
      <c r="AG1039" s="14"/>
      <c r="AH1039" s="14"/>
      <c r="AI1039" s="14"/>
      <c r="AZ1039" s="24"/>
    </row>
    <row r="1040">
      <c r="B1040" s="24"/>
      <c r="E1040" s="113"/>
      <c r="F1040" s="266"/>
      <c r="G1040" s="113"/>
      <c r="K1040" s="36"/>
      <c r="L1040" s="117"/>
      <c r="M1040" s="128"/>
      <c r="N1040" s="117"/>
      <c r="R1040" s="117"/>
      <c r="T1040" s="117"/>
      <c r="V1040" s="117"/>
      <c r="X1040" s="117"/>
      <c r="Y1040" s="10"/>
      <c r="Z1040" s="11"/>
      <c r="AA1040" s="36"/>
      <c r="AB1040" s="36"/>
      <c r="AC1040" s="13"/>
      <c r="AD1040" s="13"/>
      <c r="AE1040" s="37"/>
      <c r="AF1040" s="37"/>
      <c r="AG1040" s="14"/>
      <c r="AH1040" s="14"/>
      <c r="AI1040" s="14"/>
      <c r="AZ1040" s="24"/>
    </row>
    <row r="1041">
      <c r="B1041" s="24"/>
      <c r="E1041" s="113"/>
      <c r="F1041" s="266"/>
      <c r="G1041" s="113"/>
      <c r="K1041" s="36"/>
      <c r="L1041" s="117"/>
      <c r="M1041" s="128"/>
      <c r="N1041" s="117"/>
      <c r="R1041" s="117"/>
      <c r="T1041" s="117"/>
      <c r="V1041" s="117"/>
      <c r="X1041" s="117"/>
      <c r="Y1041" s="10"/>
      <c r="Z1041" s="11"/>
      <c r="AA1041" s="36"/>
      <c r="AB1041" s="36"/>
      <c r="AC1041" s="13"/>
      <c r="AD1041" s="13"/>
      <c r="AE1041" s="37"/>
      <c r="AF1041" s="37"/>
      <c r="AG1041" s="14"/>
      <c r="AH1041" s="14"/>
      <c r="AI1041" s="14"/>
      <c r="AZ1041" s="24"/>
    </row>
    <row r="1042">
      <c r="B1042" s="24"/>
      <c r="E1042" s="113"/>
      <c r="F1042" s="266"/>
      <c r="G1042" s="113"/>
      <c r="K1042" s="36"/>
      <c r="L1042" s="117"/>
      <c r="M1042" s="128"/>
      <c r="N1042" s="117"/>
      <c r="R1042" s="117"/>
      <c r="T1042" s="117"/>
      <c r="V1042" s="117"/>
      <c r="X1042" s="117"/>
      <c r="Y1042" s="10"/>
      <c r="Z1042" s="11"/>
      <c r="AA1042" s="36"/>
      <c r="AB1042" s="36"/>
      <c r="AC1042" s="13"/>
      <c r="AD1042" s="13"/>
      <c r="AE1042" s="37"/>
      <c r="AF1042" s="37"/>
      <c r="AG1042" s="14"/>
      <c r="AH1042" s="14"/>
      <c r="AI1042" s="14"/>
      <c r="AZ1042" s="24"/>
    </row>
    <row r="1043">
      <c r="B1043" s="24"/>
      <c r="E1043" s="113"/>
      <c r="F1043" s="266"/>
      <c r="G1043" s="113"/>
      <c r="K1043" s="36"/>
      <c r="L1043" s="117"/>
      <c r="M1043" s="128"/>
      <c r="N1043" s="117"/>
      <c r="R1043" s="117"/>
      <c r="T1043" s="117"/>
      <c r="V1043" s="117"/>
      <c r="X1043" s="117"/>
      <c r="Y1043" s="10"/>
      <c r="Z1043" s="11"/>
      <c r="AA1043" s="36"/>
      <c r="AB1043" s="36"/>
      <c r="AC1043" s="13"/>
      <c r="AD1043" s="13"/>
      <c r="AE1043" s="37"/>
      <c r="AF1043" s="37"/>
      <c r="AG1043" s="14"/>
      <c r="AH1043" s="14"/>
      <c r="AI1043" s="14"/>
      <c r="AZ1043" s="24"/>
    </row>
    <row r="1044">
      <c r="B1044" s="24"/>
      <c r="E1044" s="113"/>
      <c r="F1044" s="266"/>
      <c r="G1044" s="113"/>
      <c r="K1044" s="36"/>
      <c r="L1044" s="117"/>
      <c r="M1044" s="128"/>
      <c r="N1044" s="117"/>
      <c r="R1044" s="117"/>
      <c r="T1044" s="117"/>
      <c r="V1044" s="117"/>
      <c r="X1044" s="117"/>
      <c r="Y1044" s="10"/>
      <c r="Z1044" s="11"/>
      <c r="AA1044" s="36"/>
      <c r="AB1044" s="36"/>
      <c r="AC1044" s="13"/>
      <c r="AD1044" s="13"/>
      <c r="AE1044" s="37"/>
      <c r="AF1044" s="37"/>
      <c r="AG1044" s="14"/>
      <c r="AH1044" s="14"/>
      <c r="AI1044" s="14"/>
      <c r="AZ1044" s="24"/>
    </row>
    <row r="1045">
      <c r="B1045" s="24"/>
      <c r="E1045" s="113"/>
      <c r="F1045" s="266"/>
      <c r="G1045" s="113"/>
      <c r="K1045" s="36"/>
      <c r="L1045" s="117"/>
      <c r="M1045" s="128"/>
      <c r="N1045" s="117"/>
      <c r="R1045" s="117"/>
      <c r="T1045" s="117"/>
      <c r="V1045" s="117"/>
      <c r="X1045" s="117"/>
      <c r="Y1045" s="10"/>
      <c r="Z1045" s="11"/>
      <c r="AA1045" s="36"/>
      <c r="AB1045" s="36"/>
      <c r="AC1045" s="13"/>
      <c r="AD1045" s="13"/>
      <c r="AE1045" s="37"/>
      <c r="AF1045" s="37"/>
      <c r="AG1045" s="14"/>
      <c r="AH1045" s="14"/>
      <c r="AI1045" s="14"/>
      <c r="AZ1045" s="24"/>
    </row>
    <row r="1046">
      <c r="B1046" s="24"/>
      <c r="E1046" s="113"/>
      <c r="F1046" s="266"/>
      <c r="G1046" s="113"/>
      <c r="K1046" s="36"/>
      <c r="L1046" s="117"/>
      <c r="M1046" s="128"/>
      <c r="N1046" s="117"/>
      <c r="R1046" s="117"/>
      <c r="T1046" s="117"/>
      <c r="V1046" s="117"/>
      <c r="X1046" s="117"/>
      <c r="Y1046" s="10"/>
      <c r="Z1046" s="11"/>
      <c r="AA1046" s="36"/>
      <c r="AB1046" s="36"/>
      <c r="AC1046" s="13"/>
      <c r="AD1046" s="13"/>
      <c r="AE1046" s="37"/>
      <c r="AF1046" s="37"/>
      <c r="AG1046" s="14"/>
      <c r="AH1046" s="14"/>
      <c r="AI1046" s="14"/>
      <c r="AZ1046" s="24"/>
    </row>
    <row r="1047">
      <c r="B1047" s="24"/>
      <c r="E1047" s="113"/>
      <c r="F1047" s="266"/>
      <c r="G1047" s="113"/>
      <c r="K1047" s="36"/>
      <c r="L1047" s="117"/>
      <c r="M1047" s="128"/>
      <c r="N1047" s="117"/>
      <c r="R1047" s="117"/>
      <c r="T1047" s="117"/>
      <c r="V1047" s="117"/>
      <c r="X1047" s="117"/>
      <c r="Y1047" s="10"/>
      <c r="Z1047" s="11"/>
      <c r="AA1047" s="36"/>
      <c r="AB1047" s="36"/>
      <c r="AC1047" s="13"/>
      <c r="AD1047" s="13"/>
      <c r="AE1047" s="37"/>
      <c r="AF1047" s="37"/>
      <c r="AG1047" s="14"/>
      <c r="AH1047" s="14"/>
      <c r="AI1047" s="14"/>
      <c r="AZ1047" s="24"/>
    </row>
    <row r="1048">
      <c r="B1048" s="24"/>
      <c r="E1048" s="113"/>
      <c r="F1048" s="266"/>
      <c r="G1048" s="113"/>
      <c r="K1048" s="36"/>
      <c r="L1048" s="117"/>
      <c r="M1048" s="128"/>
      <c r="N1048" s="117"/>
      <c r="R1048" s="117"/>
      <c r="T1048" s="117"/>
      <c r="V1048" s="117"/>
      <c r="X1048" s="117"/>
      <c r="Y1048" s="10"/>
      <c r="Z1048" s="11"/>
      <c r="AA1048" s="36"/>
      <c r="AB1048" s="36"/>
      <c r="AC1048" s="13"/>
      <c r="AD1048" s="13"/>
      <c r="AE1048" s="37"/>
      <c r="AF1048" s="37"/>
      <c r="AG1048" s="14"/>
      <c r="AH1048" s="14"/>
      <c r="AI1048" s="14"/>
      <c r="AZ1048" s="24"/>
    </row>
    <row r="1049">
      <c r="B1049" s="24"/>
      <c r="E1049" s="113"/>
      <c r="F1049" s="266"/>
      <c r="G1049" s="113"/>
      <c r="K1049" s="36"/>
      <c r="L1049" s="117"/>
      <c r="M1049" s="128"/>
      <c r="N1049" s="117"/>
      <c r="R1049" s="117"/>
      <c r="T1049" s="117"/>
      <c r="V1049" s="117"/>
      <c r="X1049" s="117"/>
      <c r="Y1049" s="10"/>
      <c r="Z1049" s="11"/>
      <c r="AA1049" s="36"/>
      <c r="AB1049" s="36"/>
      <c r="AC1049" s="13"/>
      <c r="AD1049" s="13"/>
      <c r="AE1049" s="37"/>
      <c r="AF1049" s="37"/>
      <c r="AG1049" s="14"/>
      <c r="AH1049" s="14"/>
      <c r="AI1049" s="14"/>
      <c r="AZ1049" s="24"/>
    </row>
    <row r="1050">
      <c r="B1050" s="24"/>
      <c r="E1050" s="113"/>
      <c r="F1050" s="266"/>
      <c r="G1050" s="113"/>
      <c r="K1050" s="36"/>
      <c r="L1050" s="117"/>
      <c r="M1050" s="128"/>
      <c r="N1050" s="117"/>
      <c r="R1050" s="117"/>
      <c r="T1050" s="117"/>
      <c r="V1050" s="117"/>
      <c r="X1050" s="117"/>
      <c r="Y1050" s="10"/>
      <c r="Z1050" s="11"/>
      <c r="AA1050" s="36"/>
      <c r="AB1050" s="36"/>
      <c r="AC1050" s="13"/>
      <c r="AD1050" s="13"/>
      <c r="AE1050" s="37"/>
      <c r="AF1050" s="37"/>
      <c r="AG1050" s="14"/>
      <c r="AH1050" s="14"/>
      <c r="AI1050" s="14"/>
      <c r="AZ1050" s="24"/>
    </row>
    <row r="1051">
      <c r="B1051" s="24"/>
      <c r="E1051" s="113"/>
      <c r="F1051" s="266"/>
      <c r="G1051" s="113"/>
      <c r="K1051" s="36"/>
      <c r="L1051" s="117"/>
      <c r="M1051" s="128"/>
      <c r="N1051" s="117"/>
      <c r="R1051" s="117"/>
      <c r="T1051" s="117"/>
      <c r="V1051" s="117"/>
      <c r="X1051" s="117"/>
      <c r="Y1051" s="10"/>
      <c r="Z1051" s="11"/>
      <c r="AA1051" s="36"/>
      <c r="AB1051" s="36"/>
      <c r="AC1051" s="13"/>
      <c r="AD1051" s="13"/>
      <c r="AE1051" s="37"/>
      <c r="AF1051" s="37"/>
      <c r="AG1051" s="14"/>
      <c r="AH1051" s="14"/>
      <c r="AI1051" s="14"/>
      <c r="AZ1051" s="24"/>
    </row>
    <row r="1052">
      <c r="B1052" s="24"/>
      <c r="E1052" s="113"/>
      <c r="F1052" s="266"/>
      <c r="G1052" s="113"/>
      <c r="K1052" s="36"/>
      <c r="L1052" s="117"/>
      <c r="M1052" s="128"/>
      <c r="N1052" s="117"/>
      <c r="R1052" s="117"/>
      <c r="T1052" s="117"/>
      <c r="V1052" s="117"/>
      <c r="X1052" s="117"/>
      <c r="Y1052" s="10"/>
      <c r="Z1052" s="11"/>
      <c r="AA1052" s="36"/>
      <c r="AB1052" s="36"/>
      <c r="AC1052" s="13"/>
      <c r="AD1052" s="13"/>
      <c r="AE1052" s="37"/>
      <c r="AF1052" s="37"/>
      <c r="AG1052" s="14"/>
      <c r="AH1052" s="14"/>
      <c r="AI1052" s="14"/>
      <c r="AZ1052" s="24"/>
    </row>
    <row r="1053">
      <c r="B1053" s="24"/>
      <c r="E1053" s="113"/>
      <c r="F1053" s="266"/>
      <c r="G1053" s="113"/>
      <c r="K1053" s="36"/>
      <c r="L1053" s="117"/>
      <c r="M1053" s="128"/>
      <c r="N1053" s="117"/>
      <c r="R1053" s="117"/>
      <c r="T1053" s="117"/>
      <c r="V1053" s="117"/>
      <c r="X1053" s="117"/>
      <c r="Y1053" s="10"/>
      <c r="Z1053" s="11"/>
      <c r="AA1053" s="36"/>
      <c r="AB1053" s="36"/>
      <c r="AC1053" s="13"/>
      <c r="AD1053" s="13"/>
      <c r="AE1053" s="37"/>
      <c r="AF1053" s="37"/>
      <c r="AG1053" s="14"/>
      <c r="AH1053" s="14"/>
      <c r="AI1053" s="14"/>
      <c r="AZ1053" s="24"/>
    </row>
    <row r="1054">
      <c r="B1054" s="24"/>
      <c r="E1054" s="113"/>
      <c r="F1054" s="266"/>
      <c r="G1054" s="113"/>
      <c r="K1054" s="36"/>
      <c r="L1054" s="117"/>
      <c r="M1054" s="128"/>
      <c r="N1054" s="117"/>
      <c r="R1054" s="117"/>
      <c r="T1054" s="117"/>
      <c r="V1054" s="117"/>
      <c r="X1054" s="117"/>
      <c r="Y1054" s="10"/>
      <c r="Z1054" s="11"/>
      <c r="AA1054" s="36"/>
      <c r="AB1054" s="36"/>
      <c r="AC1054" s="13"/>
      <c r="AD1054" s="13"/>
      <c r="AE1054" s="37"/>
      <c r="AF1054" s="37"/>
      <c r="AG1054" s="14"/>
      <c r="AH1054" s="14"/>
      <c r="AI1054" s="14"/>
      <c r="AZ1054" s="24"/>
    </row>
    <row r="1055">
      <c r="B1055" s="24"/>
      <c r="E1055" s="113"/>
      <c r="F1055" s="266"/>
      <c r="G1055" s="113"/>
      <c r="K1055" s="36"/>
      <c r="L1055" s="117"/>
      <c r="M1055" s="128"/>
      <c r="N1055" s="117"/>
      <c r="R1055" s="117"/>
      <c r="T1055" s="117"/>
      <c r="V1055" s="117"/>
      <c r="X1055" s="117"/>
      <c r="Y1055" s="10"/>
      <c r="Z1055" s="11"/>
      <c r="AA1055" s="36"/>
      <c r="AB1055" s="36"/>
      <c r="AC1055" s="13"/>
      <c r="AD1055" s="13"/>
      <c r="AE1055" s="37"/>
      <c r="AF1055" s="37"/>
      <c r="AG1055" s="14"/>
      <c r="AH1055" s="14"/>
      <c r="AI1055" s="14"/>
      <c r="AZ1055" s="24"/>
    </row>
    <row r="1056">
      <c r="B1056" s="24"/>
      <c r="E1056" s="113"/>
      <c r="F1056" s="266"/>
      <c r="G1056" s="113"/>
      <c r="K1056" s="36"/>
      <c r="L1056" s="117"/>
      <c r="M1056" s="128"/>
      <c r="N1056" s="117"/>
      <c r="R1056" s="117"/>
      <c r="T1056" s="117"/>
      <c r="V1056" s="117"/>
      <c r="X1056" s="117"/>
      <c r="Y1056" s="10"/>
      <c r="Z1056" s="11"/>
      <c r="AA1056" s="36"/>
      <c r="AB1056" s="36"/>
      <c r="AC1056" s="13"/>
      <c r="AD1056" s="13"/>
      <c r="AE1056" s="37"/>
      <c r="AF1056" s="37"/>
      <c r="AG1056" s="14"/>
      <c r="AH1056" s="14"/>
      <c r="AI1056" s="14"/>
      <c r="AZ1056" s="24"/>
    </row>
    <row r="1057">
      <c r="B1057" s="24"/>
      <c r="E1057" s="113"/>
      <c r="F1057" s="266"/>
      <c r="G1057" s="113"/>
      <c r="K1057" s="36"/>
      <c r="L1057" s="117"/>
      <c r="M1057" s="128"/>
      <c r="N1057" s="117"/>
      <c r="R1057" s="117"/>
      <c r="T1057" s="117"/>
      <c r="V1057" s="117"/>
      <c r="X1057" s="117"/>
      <c r="Y1057" s="10"/>
      <c r="Z1057" s="11"/>
      <c r="AA1057" s="36"/>
      <c r="AB1057" s="36"/>
      <c r="AC1057" s="13"/>
      <c r="AD1057" s="13"/>
      <c r="AE1057" s="37"/>
      <c r="AF1057" s="37"/>
      <c r="AG1057" s="14"/>
      <c r="AH1057" s="14"/>
      <c r="AI1057" s="14"/>
      <c r="AZ1057" s="24"/>
    </row>
    <row r="1058">
      <c r="B1058" s="24"/>
      <c r="E1058" s="113"/>
      <c r="F1058" s="266"/>
      <c r="G1058" s="113"/>
      <c r="K1058" s="36"/>
      <c r="L1058" s="117"/>
      <c r="M1058" s="128"/>
      <c r="N1058" s="117"/>
      <c r="R1058" s="117"/>
      <c r="T1058" s="117"/>
      <c r="V1058" s="117"/>
      <c r="X1058" s="117"/>
      <c r="Y1058" s="10"/>
      <c r="Z1058" s="11"/>
      <c r="AA1058" s="36"/>
      <c r="AB1058" s="36"/>
      <c r="AC1058" s="13"/>
      <c r="AD1058" s="13"/>
      <c r="AE1058" s="37"/>
      <c r="AF1058" s="37"/>
      <c r="AG1058" s="14"/>
      <c r="AH1058" s="14"/>
      <c r="AI1058" s="14"/>
      <c r="AZ1058" s="24"/>
    </row>
    <row r="1059">
      <c r="B1059" s="24"/>
      <c r="E1059" s="113"/>
      <c r="F1059" s="266"/>
      <c r="G1059" s="113"/>
      <c r="K1059" s="36"/>
      <c r="L1059" s="117"/>
      <c r="M1059" s="128"/>
      <c r="N1059" s="117"/>
      <c r="R1059" s="117"/>
      <c r="T1059" s="117"/>
      <c r="V1059" s="117"/>
      <c r="X1059" s="117"/>
      <c r="Y1059" s="10"/>
      <c r="Z1059" s="11"/>
      <c r="AA1059" s="36"/>
      <c r="AB1059" s="36"/>
      <c r="AC1059" s="13"/>
      <c r="AD1059" s="13"/>
      <c r="AE1059" s="37"/>
      <c r="AF1059" s="37"/>
      <c r="AG1059" s="14"/>
      <c r="AH1059" s="14"/>
      <c r="AI1059" s="14"/>
      <c r="AZ1059" s="24"/>
    </row>
    <row r="1060">
      <c r="B1060" s="24"/>
      <c r="E1060" s="113"/>
      <c r="F1060" s="266"/>
      <c r="G1060" s="113"/>
      <c r="K1060" s="36"/>
      <c r="L1060" s="117"/>
      <c r="M1060" s="128"/>
      <c r="N1060" s="117"/>
      <c r="R1060" s="117"/>
      <c r="T1060" s="117"/>
      <c r="V1060" s="117"/>
      <c r="X1060" s="117"/>
      <c r="Y1060" s="10"/>
      <c r="Z1060" s="11"/>
      <c r="AA1060" s="36"/>
      <c r="AB1060" s="36"/>
      <c r="AC1060" s="13"/>
      <c r="AD1060" s="13"/>
      <c r="AE1060" s="37"/>
      <c r="AF1060" s="37"/>
      <c r="AG1060" s="14"/>
      <c r="AH1060" s="14"/>
      <c r="AI1060" s="14"/>
      <c r="AZ1060" s="24"/>
    </row>
    <row r="1061">
      <c r="B1061" s="24"/>
      <c r="E1061" s="113"/>
      <c r="F1061" s="266"/>
      <c r="G1061" s="113"/>
      <c r="K1061" s="36"/>
      <c r="L1061" s="117"/>
      <c r="M1061" s="128"/>
      <c r="N1061" s="117"/>
      <c r="R1061" s="117"/>
      <c r="T1061" s="117"/>
      <c r="V1061" s="117"/>
      <c r="X1061" s="117"/>
      <c r="Y1061" s="10"/>
      <c r="Z1061" s="11"/>
      <c r="AA1061" s="36"/>
      <c r="AB1061" s="36"/>
      <c r="AC1061" s="13"/>
      <c r="AD1061" s="13"/>
      <c r="AE1061" s="37"/>
      <c r="AF1061" s="37"/>
      <c r="AG1061" s="14"/>
      <c r="AH1061" s="14"/>
      <c r="AI1061" s="14"/>
      <c r="AZ1061" s="24"/>
    </row>
    <row r="1062">
      <c r="B1062" s="24"/>
      <c r="E1062" s="113"/>
      <c r="F1062" s="266"/>
      <c r="G1062" s="113"/>
      <c r="K1062" s="36"/>
      <c r="L1062" s="117"/>
      <c r="M1062" s="128"/>
      <c r="N1062" s="117"/>
      <c r="R1062" s="117"/>
      <c r="T1062" s="117"/>
      <c r="V1062" s="117"/>
      <c r="X1062" s="117"/>
      <c r="Y1062" s="10"/>
      <c r="Z1062" s="11"/>
      <c r="AA1062" s="36"/>
      <c r="AB1062" s="36"/>
      <c r="AC1062" s="13"/>
      <c r="AD1062" s="13"/>
      <c r="AE1062" s="37"/>
      <c r="AF1062" s="37"/>
      <c r="AG1062" s="14"/>
      <c r="AH1062" s="14"/>
      <c r="AI1062" s="14"/>
      <c r="AZ1062" s="24"/>
    </row>
    <row r="1063">
      <c r="B1063" s="24"/>
      <c r="E1063" s="113"/>
      <c r="F1063" s="266"/>
      <c r="G1063" s="113"/>
      <c r="K1063" s="36"/>
      <c r="L1063" s="117"/>
      <c r="M1063" s="128"/>
      <c r="N1063" s="117"/>
      <c r="R1063" s="117"/>
      <c r="T1063" s="117"/>
      <c r="V1063" s="117"/>
      <c r="X1063" s="117"/>
      <c r="Y1063" s="10"/>
      <c r="Z1063" s="11"/>
      <c r="AA1063" s="36"/>
      <c r="AB1063" s="36"/>
      <c r="AC1063" s="13"/>
      <c r="AD1063" s="13"/>
      <c r="AE1063" s="37"/>
      <c r="AF1063" s="37"/>
      <c r="AG1063" s="14"/>
      <c r="AH1063" s="14"/>
      <c r="AI1063" s="14"/>
      <c r="AZ1063" s="24"/>
    </row>
    <row r="1064">
      <c r="B1064" s="24"/>
      <c r="E1064" s="113"/>
      <c r="F1064" s="266"/>
      <c r="G1064" s="113"/>
      <c r="K1064" s="36"/>
      <c r="L1064" s="117"/>
      <c r="M1064" s="128"/>
      <c r="N1064" s="117"/>
      <c r="R1064" s="117"/>
      <c r="T1064" s="117"/>
      <c r="V1064" s="117"/>
      <c r="X1064" s="117"/>
      <c r="Y1064" s="10"/>
      <c r="Z1064" s="11"/>
      <c r="AA1064" s="36"/>
      <c r="AB1064" s="36"/>
      <c r="AC1064" s="13"/>
      <c r="AD1064" s="13"/>
      <c r="AE1064" s="37"/>
      <c r="AF1064" s="37"/>
      <c r="AG1064" s="14"/>
      <c r="AH1064" s="14"/>
      <c r="AI1064" s="14"/>
      <c r="AZ1064" s="24"/>
    </row>
    <row r="1065">
      <c r="B1065" s="24"/>
      <c r="E1065" s="113"/>
      <c r="F1065" s="266"/>
      <c r="G1065" s="113"/>
      <c r="K1065" s="36"/>
      <c r="L1065" s="117"/>
      <c r="M1065" s="128"/>
      <c r="N1065" s="117"/>
      <c r="R1065" s="117"/>
      <c r="T1065" s="117"/>
      <c r="V1065" s="117"/>
      <c r="X1065" s="117"/>
      <c r="Y1065" s="10"/>
      <c r="Z1065" s="11"/>
      <c r="AA1065" s="36"/>
      <c r="AB1065" s="36"/>
      <c r="AC1065" s="13"/>
      <c r="AD1065" s="13"/>
      <c r="AE1065" s="37"/>
      <c r="AF1065" s="37"/>
      <c r="AG1065" s="14"/>
      <c r="AH1065" s="14"/>
      <c r="AI1065" s="14"/>
      <c r="AZ1065" s="24"/>
    </row>
    <row r="1066">
      <c r="B1066" s="24"/>
      <c r="E1066" s="113"/>
      <c r="F1066" s="266"/>
      <c r="G1066" s="113"/>
      <c r="K1066" s="36"/>
      <c r="L1066" s="117"/>
      <c r="M1066" s="128"/>
      <c r="N1066" s="117"/>
      <c r="R1066" s="117"/>
      <c r="T1066" s="117"/>
      <c r="V1066" s="117"/>
      <c r="X1066" s="117"/>
      <c r="Y1066" s="10"/>
      <c r="Z1066" s="11"/>
      <c r="AA1066" s="36"/>
      <c r="AB1066" s="36"/>
      <c r="AC1066" s="13"/>
      <c r="AD1066" s="13"/>
      <c r="AE1066" s="37"/>
      <c r="AF1066" s="37"/>
      <c r="AG1066" s="14"/>
      <c r="AH1066" s="14"/>
      <c r="AI1066" s="14"/>
      <c r="AZ1066" s="24"/>
    </row>
    <row r="1067">
      <c r="B1067" s="24"/>
      <c r="E1067" s="113"/>
      <c r="F1067" s="266"/>
      <c r="G1067" s="113"/>
      <c r="K1067" s="36"/>
      <c r="L1067" s="117"/>
      <c r="M1067" s="128"/>
      <c r="N1067" s="117"/>
      <c r="R1067" s="117"/>
      <c r="T1067" s="117"/>
      <c r="V1067" s="117"/>
      <c r="X1067" s="117"/>
      <c r="Y1067" s="10"/>
      <c r="Z1067" s="11"/>
      <c r="AA1067" s="36"/>
      <c r="AB1067" s="36"/>
      <c r="AC1067" s="13"/>
      <c r="AD1067" s="13"/>
      <c r="AE1067" s="37"/>
      <c r="AF1067" s="37"/>
      <c r="AG1067" s="14"/>
      <c r="AH1067" s="14"/>
      <c r="AI1067" s="14"/>
      <c r="AZ1067" s="24"/>
    </row>
    <row r="1068">
      <c r="B1068" s="24"/>
      <c r="E1068" s="113"/>
      <c r="F1068" s="266"/>
      <c r="G1068" s="113"/>
      <c r="K1068" s="36"/>
      <c r="L1068" s="117"/>
      <c r="M1068" s="128"/>
      <c r="N1068" s="117"/>
      <c r="R1068" s="117"/>
      <c r="T1068" s="117"/>
      <c r="V1068" s="117"/>
      <c r="X1068" s="117"/>
      <c r="Y1068" s="10"/>
      <c r="Z1068" s="11"/>
      <c r="AA1068" s="36"/>
      <c r="AB1068" s="36"/>
      <c r="AC1068" s="13"/>
      <c r="AD1068" s="13"/>
      <c r="AE1068" s="37"/>
      <c r="AF1068" s="37"/>
      <c r="AG1068" s="14"/>
      <c r="AH1068" s="14"/>
      <c r="AI1068" s="14"/>
      <c r="AZ1068" s="24"/>
    </row>
    <row r="1069">
      <c r="B1069" s="24"/>
      <c r="E1069" s="113"/>
      <c r="F1069" s="266"/>
      <c r="G1069" s="113"/>
      <c r="K1069" s="36"/>
      <c r="L1069" s="117"/>
      <c r="M1069" s="128"/>
      <c r="N1069" s="117"/>
      <c r="R1069" s="117"/>
      <c r="T1069" s="117"/>
      <c r="V1069" s="117"/>
      <c r="X1069" s="117"/>
      <c r="Y1069" s="10"/>
      <c r="Z1069" s="11"/>
      <c r="AA1069" s="36"/>
      <c r="AB1069" s="36"/>
      <c r="AC1069" s="13"/>
      <c r="AD1069" s="13"/>
      <c r="AE1069" s="37"/>
      <c r="AF1069" s="37"/>
      <c r="AG1069" s="14"/>
      <c r="AH1069" s="14"/>
      <c r="AI1069" s="14"/>
      <c r="AZ1069" s="24"/>
    </row>
    <row r="1070">
      <c r="B1070" s="24"/>
      <c r="E1070" s="113"/>
      <c r="F1070" s="266"/>
      <c r="G1070" s="113"/>
      <c r="K1070" s="36"/>
      <c r="L1070" s="117"/>
      <c r="M1070" s="128"/>
      <c r="N1070" s="117"/>
      <c r="R1070" s="117"/>
      <c r="T1070" s="117"/>
      <c r="V1070" s="117"/>
      <c r="X1070" s="117"/>
      <c r="Y1070" s="10"/>
      <c r="Z1070" s="11"/>
      <c r="AA1070" s="36"/>
      <c r="AB1070" s="36"/>
      <c r="AC1070" s="13"/>
      <c r="AD1070" s="13"/>
      <c r="AE1070" s="37"/>
      <c r="AF1070" s="37"/>
      <c r="AG1070" s="14"/>
      <c r="AH1070" s="14"/>
      <c r="AI1070" s="14"/>
      <c r="AZ1070" s="24"/>
    </row>
    <row r="1071">
      <c r="B1071" s="24"/>
      <c r="E1071" s="113"/>
      <c r="F1071" s="266"/>
      <c r="G1071" s="113"/>
      <c r="K1071" s="36"/>
      <c r="L1071" s="117"/>
      <c r="M1071" s="128"/>
      <c r="N1071" s="117"/>
      <c r="R1071" s="117"/>
      <c r="T1071" s="117"/>
      <c r="V1071" s="117"/>
      <c r="X1071" s="117"/>
      <c r="Y1071" s="10"/>
      <c r="Z1071" s="11"/>
      <c r="AA1071" s="36"/>
      <c r="AB1071" s="36"/>
      <c r="AC1071" s="13"/>
      <c r="AD1071" s="13"/>
      <c r="AE1071" s="37"/>
      <c r="AF1071" s="37"/>
      <c r="AG1071" s="14"/>
      <c r="AH1071" s="14"/>
      <c r="AI1071" s="14"/>
      <c r="AZ1071" s="24"/>
    </row>
    <row r="1072">
      <c r="B1072" s="24"/>
      <c r="E1072" s="113"/>
      <c r="F1072" s="266"/>
      <c r="G1072" s="113"/>
      <c r="K1072" s="36"/>
      <c r="L1072" s="117"/>
      <c r="M1072" s="128"/>
      <c r="N1072" s="117"/>
      <c r="R1072" s="117"/>
      <c r="T1072" s="117"/>
      <c r="V1072" s="117"/>
      <c r="X1072" s="117"/>
      <c r="Y1072" s="10"/>
      <c r="Z1072" s="11"/>
      <c r="AA1072" s="36"/>
      <c r="AB1072" s="36"/>
      <c r="AC1072" s="13"/>
      <c r="AD1072" s="13"/>
      <c r="AE1072" s="37"/>
      <c r="AF1072" s="37"/>
      <c r="AG1072" s="14"/>
      <c r="AH1072" s="14"/>
      <c r="AI1072" s="14"/>
      <c r="AZ1072" s="24"/>
    </row>
    <row r="1073">
      <c r="B1073" s="24"/>
      <c r="E1073" s="113"/>
      <c r="F1073" s="266"/>
      <c r="G1073" s="113"/>
      <c r="K1073" s="36"/>
      <c r="L1073" s="117"/>
      <c r="M1073" s="128"/>
      <c r="N1073" s="117"/>
      <c r="R1073" s="117"/>
      <c r="T1073" s="117"/>
      <c r="V1073" s="117"/>
      <c r="X1073" s="117"/>
      <c r="Y1073" s="10"/>
      <c r="Z1073" s="11"/>
      <c r="AA1073" s="36"/>
      <c r="AB1073" s="36"/>
      <c r="AC1073" s="13"/>
      <c r="AD1073" s="13"/>
      <c r="AE1073" s="37"/>
      <c r="AF1073" s="37"/>
      <c r="AG1073" s="14"/>
      <c r="AH1073" s="14"/>
      <c r="AI1073" s="14"/>
      <c r="AZ1073" s="24"/>
    </row>
    <row r="1074">
      <c r="B1074" s="24"/>
      <c r="E1074" s="113"/>
      <c r="F1074" s="266"/>
      <c r="G1074" s="113"/>
      <c r="K1074" s="36"/>
      <c r="L1074" s="117"/>
      <c r="M1074" s="128"/>
      <c r="N1074" s="117"/>
      <c r="R1074" s="117"/>
      <c r="T1074" s="117"/>
      <c r="V1074" s="117"/>
      <c r="X1074" s="117"/>
      <c r="Y1074" s="10"/>
      <c r="Z1074" s="11"/>
      <c r="AA1074" s="36"/>
      <c r="AB1074" s="36"/>
      <c r="AC1074" s="13"/>
      <c r="AD1074" s="13"/>
      <c r="AE1074" s="37"/>
      <c r="AF1074" s="37"/>
      <c r="AG1074" s="14"/>
      <c r="AH1074" s="14"/>
      <c r="AI1074" s="14"/>
      <c r="AZ1074" s="24"/>
    </row>
    <row r="1075">
      <c r="B1075" s="24"/>
      <c r="E1075" s="113"/>
      <c r="F1075" s="266"/>
      <c r="G1075" s="113"/>
      <c r="K1075" s="36"/>
      <c r="L1075" s="117"/>
      <c r="M1075" s="128"/>
      <c r="N1075" s="117"/>
      <c r="R1075" s="117"/>
      <c r="T1075" s="117"/>
      <c r="V1075" s="117"/>
      <c r="X1075" s="117"/>
      <c r="Y1075" s="10"/>
      <c r="Z1075" s="11"/>
      <c r="AA1075" s="36"/>
      <c r="AB1075" s="36"/>
      <c r="AC1075" s="13"/>
      <c r="AD1075" s="13"/>
      <c r="AE1075" s="37"/>
      <c r="AF1075" s="37"/>
      <c r="AG1075" s="14"/>
      <c r="AH1075" s="14"/>
      <c r="AI1075" s="14"/>
      <c r="AZ1075" s="24"/>
    </row>
    <row r="1076">
      <c r="B1076" s="24"/>
      <c r="E1076" s="113"/>
      <c r="F1076" s="266"/>
      <c r="G1076" s="113"/>
      <c r="K1076" s="36"/>
      <c r="L1076" s="117"/>
      <c r="M1076" s="128"/>
      <c r="N1076" s="117"/>
      <c r="R1076" s="117"/>
      <c r="T1076" s="117"/>
      <c r="V1076" s="117"/>
      <c r="X1076" s="117"/>
      <c r="Y1076" s="10"/>
      <c r="Z1076" s="11"/>
      <c r="AA1076" s="36"/>
      <c r="AB1076" s="36"/>
      <c r="AC1076" s="13"/>
      <c r="AD1076" s="13"/>
      <c r="AE1076" s="37"/>
      <c r="AF1076" s="37"/>
      <c r="AG1076" s="14"/>
      <c r="AH1076" s="14"/>
      <c r="AI1076" s="14"/>
      <c r="AZ1076" s="24"/>
    </row>
    <row r="1077">
      <c r="B1077" s="24"/>
      <c r="E1077" s="113"/>
      <c r="F1077" s="266"/>
      <c r="G1077" s="113"/>
      <c r="K1077" s="36"/>
      <c r="L1077" s="117"/>
      <c r="M1077" s="128"/>
      <c r="N1077" s="117"/>
      <c r="R1077" s="117"/>
      <c r="T1077" s="117"/>
      <c r="V1077" s="117"/>
      <c r="X1077" s="117"/>
      <c r="Y1077" s="10"/>
      <c r="Z1077" s="11"/>
      <c r="AA1077" s="36"/>
      <c r="AB1077" s="36"/>
      <c r="AC1077" s="13"/>
      <c r="AD1077" s="13"/>
      <c r="AE1077" s="37"/>
      <c r="AF1077" s="37"/>
      <c r="AG1077" s="14"/>
      <c r="AH1077" s="14"/>
      <c r="AI1077" s="14"/>
      <c r="AZ1077" s="24"/>
    </row>
    <row r="1078">
      <c r="B1078" s="24"/>
      <c r="E1078" s="113"/>
      <c r="F1078" s="266"/>
      <c r="G1078" s="113"/>
      <c r="K1078" s="36"/>
      <c r="L1078" s="117"/>
      <c r="M1078" s="128"/>
      <c r="N1078" s="117"/>
      <c r="R1078" s="117"/>
      <c r="T1078" s="117"/>
      <c r="V1078" s="117"/>
      <c r="X1078" s="117"/>
      <c r="Y1078" s="10"/>
      <c r="Z1078" s="11"/>
      <c r="AA1078" s="36"/>
      <c r="AB1078" s="36"/>
      <c r="AC1078" s="13"/>
      <c r="AD1078" s="13"/>
      <c r="AE1078" s="37"/>
      <c r="AF1078" s="37"/>
      <c r="AG1078" s="14"/>
      <c r="AH1078" s="14"/>
      <c r="AI1078" s="14"/>
      <c r="AZ1078" s="24"/>
    </row>
    <row r="1079">
      <c r="B1079" s="24"/>
      <c r="E1079" s="113"/>
      <c r="F1079" s="266"/>
      <c r="G1079" s="113"/>
      <c r="K1079" s="36"/>
      <c r="L1079" s="117"/>
      <c r="M1079" s="128"/>
      <c r="N1079" s="117"/>
      <c r="R1079" s="117"/>
      <c r="T1079" s="117"/>
      <c r="V1079" s="117"/>
      <c r="X1079" s="117"/>
      <c r="Y1079" s="10"/>
      <c r="Z1079" s="11"/>
      <c r="AA1079" s="36"/>
      <c r="AB1079" s="36"/>
      <c r="AC1079" s="13"/>
      <c r="AD1079" s="13"/>
      <c r="AE1079" s="37"/>
      <c r="AF1079" s="37"/>
      <c r="AG1079" s="14"/>
      <c r="AH1079" s="14"/>
      <c r="AI1079" s="14"/>
      <c r="AZ1079" s="24"/>
    </row>
    <row r="1080">
      <c r="B1080" s="24"/>
      <c r="E1080" s="113"/>
      <c r="F1080" s="266"/>
      <c r="G1080" s="113"/>
      <c r="K1080" s="36"/>
      <c r="L1080" s="117"/>
      <c r="M1080" s="128"/>
      <c r="N1080" s="117"/>
      <c r="R1080" s="117"/>
      <c r="T1080" s="117"/>
      <c r="V1080" s="117"/>
      <c r="X1080" s="117"/>
      <c r="Y1080" s="10"/>
      <c r="Z1080" s="11"/>
      <c r="AA1080" s="36"/>
      <c r="AB1080" s="36"/>
      <c r="AC1080" s="13"/>
      <c r="AD1080" s="13"/>
      <c r="AE1080" s="37"/>
      <c r="AF1080" s="37"/>
      <c r="AG1080" s="14"/>
      <c r="AH1080" s="14"/>
      <c r="AI1080" s="14"/>
      <c r="AZ1080" s="24"/>
    </row>
    <row r="1081">
      <c r="B1081" s="24"/>
      <c r="E1081" s="113"/>
      <c r="F1081" s="266"/>
      <c r="G1081" s="113"/>
      <c r="K1081" s="36"/>
      <c r="L1081" s="117"/>
      <c r="M1081" s="128"/>
      <c r="N1081" s="117"/>
      <c r="R1081" s="117"/>
      <c r="T1081" s="117"/>
      <c r="V1081" s="117"/>
      <c r="X1081" s="117"/>
      <c r="Y1081" s="10"/>
      <c r="Z1081" s="11"/>
      <c r="AA1081" s="36"/>
      <c r="AB1081" s="36"/>
      <c r="AC1081" s="13"/>
      <c r="AD1081" s="13"/>
      <c r="AE1081" s="37"/>
      <c r="AF1081" s="37"/>
      <c r="AG1081" s="14"/>
      <c r="AH1081" s="14"/>
      <c r="AI1081" s="14"/>
      <c r="AZ1081" s="24"/>
    </row>
    <row r="1082">
      <c r="B1082" s="24"/>
      <c r="E1082" s="113"/>
      <c r="F1082" s="266"/>
      <c r="G1082" s="113"/>
      <c r="K1082" s="36"/>
      <c r="L1082" s="117"/>
      <c r="M1082" s="128"/>
      <c r="N1082" s="117"/>
      <c r="R1082" s="117"/>
      <c r="T1082" s="117"/>
      <c r="V1082" s="117"/>
      <c r="X1082" s="117"/>
      <c r="Y1082" s="10"/>
      <c r="Z1082" s="11"/>
      <c r="AA1082" s="36"/>
      <c r="AB1082" s="36"/>
      <c r="AC1082" s="13"/>
      <c r="AD1082" s="13"/>
      <c r="AE1082" s="37"/>
      <c r="AF1082" s="37"/>
      <c r="AG1082" s="14"/>
      <c r="AH1082" s="14"/>
      <c r="AI1082" s="14"/>
      <c r="AZ1082" s="24"/>
    </row>
    <row r="1083">
      <c r="B1083" s="24"/>
      <c r="E1083" s="113"/>
      <c r="F1083" s="266"/>
      <c r="G1083" s="113"/>
      <c r="K1083" s="36"/>
      <c r="L1083" s="117"/>
      <c r="M1083" s="128"/>
      <c r="N1083" s="117"/>
      <c r="R1083" s="117"/>
      <c r="T1083" s="117"/>
      <c r="V1083" s="117"/>
      <c r="X1083" s="117"/>
      <c r="Y1083" s="10"/>
      <c r="Z1083" s="11"/>
      <c r="AA1083" s="36"/>
      <c r="AB1083" s="36"/>
      <c r="AC1083" s="13"/>
      <c r="AD1083" s="13"/>
      <c r="AE1083" s="37"/>
      <c r="AF1083" s="37"/>
      <c r="AG1083" s="14"/>
      <c r="AH1083" s="14"/>
      <c r="AI1083" s="14"/>
      <c r="AZ1083" s="24"/>
    </row>
    <row r="1084">
      <c r="B1084" s="24"/>
      <c r="E1084" s="113"/>
      <c r="F1084" s="266"/>
      <c r="G1084" s="113"/>
      <c r="K1084" s="36"/>
      <c r="L1084" s="117"/>
      <c r="M1084" s="128"/>
      <c r="N1084" s="117"/>
      <c r="R1084" s="117"/>
      <c r="T1084" s="117"/>
      <c r="V1084" s="117"/>
      <c r="X1084" s="117"/>
      <c r="Y1084" s="10"/>
      <c r="Z1084" s="11"/>
      <c r="AA1084" s="36"/>
      <c r="AB1084" s="36"/>
      <c r="AC1084" s="13"/>
      <c r="AD1084" s="13"/>
      <c r="AE1084" s="37"/>
      <c r="AF1084" s="37"/>
      <c r="AG1084" s="14"/>
      <c r="AH1084" s="14"/>
      <c r="AI1084" s="14"/>
      <c r="AZ1084" s="24"/>
    </row>
    <row r="1085">
      <c r="B1085" s="24"/>
      <c r="E1085" s="113"/>
      <c r="F1085" s="266"/>
      <c r="G1085" s="113"/>
      <c r="K1085" s="36"/>
      <c r="L1085" s="117"/>
      <c r="M1085" s="128"/>
      <c r="N1085" s="117"/>
      <c r="R1085" s="117"/>
      <c r="T1085" s="117"/>
      <c r="V1085" s="117"/>
      <c r="X1085" s="117"/>
      <c r="Y1085" s="10"/>
      <c r="Z1085" s="11"/>
      <c r="AA1085" s="36"/>
      <c r="AB1085" s="36"/>
      <c r="AC1085" s="13"/>
      <c r="AD1085" s="13"/>
      <c r="AE1085" s="37"/>
      <c r="AF1085" s="37"/>
      <c r="AG1085" s="14"/>
      <c r="AH1085" s="14"/>
      <c r="AI1085" s="14"/>
      <c r="AZ1085" s="24"/>
    </row>
    <row r="1086">
      <c r="B1086" s="24"/>
      <c r="E1086" s="113"/>
      <c r="F1086" s="266"/>
      <c r="G1086" s="113"/>
      <c r="K1086" s="36"/>
      <c r="L1086" s="117"/>
      <c r="M1086" s="128"/>
      <c r="N1086" s="117"/>
      <c r="R1086" s="117"/>
      <c r="T1086" s="117"/>
      <c r="V1086" s="117"/>
      <c r="X1086" s="117"/>
      <c r="Y1086" s="10"/>
      <c r="Z1086" s="11"/>
      <c r="AA1086" s="36"/>
      <c r="AB1086" s="36"/>
      <c r="AC1086" s="13"/>
      <c r="AD1086" s="13"/>
      <c r="AE1086" s="37"/>
      <c r="AF1086" s="37"/>
      <c r="AG1086" s="14"/>
      <c r="AH1086" s="14"/>
      <c r="AI1086" s="14"/>
      <c r="AZ1086" s="24"/>
    </row>
    <row r="1087">
      <c r="B1087" s="24"/>
      <c r="E1087" s="113"/>
      <c r="F1087" s="266"/>
      <c r="G1087" s="113"/>
      <c r="K1087" s="36"/>
      <c r="L1087" s="117"/>
      <c r="M1087" s="128"/>
      <c r="N1087" s="117"/>
      <c r="R1087" s="117"/>
      <c r="T1087" s="117"/>
      <c r="V1087" s="117"/>
      <c r="X1087" s="117"/>
      <c r="Y1087" s="10"/>
      <c r="Z1087" s="11"/>
      <c r="AA1087" s="36"/>
      <c r="AB1087" s="36"/>
      <c r="AC1087" s="13"/>
      <c r="AD1087" s="13"/>
      <c r="AE1087" s="37"/>
      <c r="AF1087" s="37"/>
      <c r="AG1087" s="14"/>
      <c r="AH1087" s="14"/>
      <c r="AI1087" s="14"/>
      <c r="AZ1087" s="24"/>
    </row>
    <row r="1088">
      <c r="B1088" s="24"/>
      <c r="E1088" s="113"/>
      <c r="F1088" s="266"/>
      <c r="G1088" s="113"/>
      <c r="K1088" s="36"/>
      <c r="L1088" s="117"/>
      <c r="M1088" s="128"/>
      <c r="N1088" s="117"/>
      <c r="R1088" s="117"/>
      <c r="T1088" s="117"/>
      <c r="V1088" s="117"/>
      <c r="X1088" s="117"/>
      <c r="Y1088" s="10"/>
      <c r="Z1088" s="11"/>
      <c r="AA1088" s="36"/>
      <c r="AB1088" s="36"/>
      <c r="AC1088" s="13"/>
      <c r="AD1088" s="13"/>
      <c r="AE1088" s="37"/>
      <c r="AF1088" s="37"/>
      <c r="AG1088" s="14"/>
      <c r="AH1088" s="14"/>
      <c r="AI1088" s="14"/>
      <c r="AZ1088" s="24"/>
    </row>
    <row r="1089">
      <c r="B1089" s="24"/>
      <c r="E1089" s="113"/>
      <c r="F1089" s="266"/>
      <c r="G1089" s="113"/>
      <c r="K1089" s="36"/>
      <c r="L1089" s="117"/>
      <c r="M1089" s="128"/>
      <c r="N1089" s="117"/>
      <c r="R1089" s="117"/>
      <c r="T1089" s="117"/>
      <c r="V1089" s="117"/>
      <c r="X1089" s="117"/>
      <c r="Y1089" s="10"/>
      <c r="Z1089" s="11"/>
      <c r="AA1089" s="36"/>
      <c r="AB1089" s="36"/>
      <c r="AC1089" s="13"/>
      <c r="AD1089" s="13"/>
      <c r="AE1089" s="37"/>
      <c r="AF1089" s="37"/>
      <c r="AG1089" s="14"/>
      <c r="AH1089" s="14"/>
      <c r="AI1089" s="14"/>
      <c r="AZ1089" s="24"/>
    </row>
    <row r="1090">
      <c r="B1090" s="24"/>
      <c r="E1090" s="113"/>
      <c r="F1090" s="266"/>
      <c r="G1090" s="113"/>
      <c r="K1090" s="36"/>
      <c r="L1090" s="117"/>
      <c r="M1090" s="128"/>
      <c r="N1090" s="117"/>
      <c r="R1090" s="117"/>
      <c r="T1090" s="117"/>
      <c r="V1090" s="117"/>
      <c r="X1090" s="117"/>
      <c r="Y1090" s="10"/>
      <c r="Z1090" s="11"/>
      <c r="AA1090" s="36"/>
      <c r="AB1090" s="36"/>
      <c r="AC1090" s="13"/>
      <c r="AD1090" s="13"/>
      <c r="AE1090" s="37"/>
      <c r="AF1090" s="37"/>
      <c r="AG1090" s="14"/>
      <c r="AH1090" s="14"/>
      <c r="AI1090" s="14"/>
      <c r="AZ1090" s="24"/>
    </row>
    <row r="1091">
      <c r="B1091" s="24"/>
      <c r="E1091" s="113"/>
      <c r="F1091" s="266"/>
      <c r="G1091" s="113"/>
      <c r="K1091" s="36"/>
      <c r="L1091" s="117"/>
      <c r="M1091" s="128"/>
      <c r="N1091" s="117"/>
      <c r="R1091" s="117"/>
      <c r="T1091" s="117"/>
      <c r="V1091" s="117"/>
      <c r="X1091" s="117"/>
      <c r="Y1091" s="10"/>
      <c r="Z1091" s="11"/>
      <c r="AA1091" s="36"/>
      <c r="AB1091" s="36"/>
      <c r="AC1091" s="13"/>
      <c r="AD1091" s="13"/>
      <c r="AE1091" s="37"/>
      <c r="AF1091" s="37"/>
      <c r="AG1091" s="14"/>
      <c r="AH1091" s="14"/>
      <c r="AI1091" s="14"/>
      <c r="AZ1091" s="24"/>
    </row>
    <row r="1092">
      <c r="B1092" s="24"/>
      <c r="E1092" s="113"/>
      <c r="F1092" s="266"/>
      <c r="G1092" s="113"/>
      <c r="K1092" s="36"/>
      <c r="L1092" s="117"/>
      <c r="M1092" s="128"/>
      <c r="N1092" s="117"/>
      <c r="R1092" s="117"/>
      <c r="T1092" s="117"/>
      <c r="V1092" s="117"/>
      <c r="X1092" s="117"/>
      <c r="Y1092" s="10"/>
      <c r="Z1092" s="11"/>
      <c r="AA1092" s="36"/>
      <c r="AB1092" s="36"/>
      <c r="AC1092" s="13"/>
      <c r="AD1092" s="13"/>
      <c r="AE1092" s="37"/>
      <c r="AF1092" s="37"/>
      <c r="AG1092" s="14"/>
      <c r="AH1092" s="14"/>
      <c r="AI1092" s="14"/>
      <c r="AZ1092" s="24"/>
    </row>
    <row r="1093">
      <c r="B1093" s="24"/>
      <c r="E1093" s="113"/>
      <c r="F1093" s="266"/>
      <c r="G1093" s="113"/>
      <c r="K1093" s="36"/>
      <c r="L1093" s="117"/>
      <c r="M1093" s="128"/>
      <c r="N1093" s="117"/>
      <c r="R1093" s="117"/>
      <c r="T1093" s="117"/>
      <c r="V1093" s="117"/>
      <c r="X1093" s="117"/>
      <c r="Y1093" s="10"/>
      <c r="Z1093" s="11"/>
      <c r="AA1093" s="36"/>
      <c r="AB1093" s="36"/>
      <c r="AC1093" s="13"/>
      <c r="AD1093" s="13"/>
      <c r="AE1093" s="37"/>
      <c r="AF1093" s="37"/>
      <c r="AG1093" s="14"/>
      <c r="AH1093" s="14"/>
      <c r="AI1093" s="14"/>
      <c r="AZ1093" s="24"/>
    </row>
    <row r="1094">
      <c r="B1094" s="24"/>
      <c r="E1094" s="113"/>
      <c r="F1094" s="266"/>
      <c r="G1094" s="113"/>
      <c r="K1094" s="36"/>
      <c r="L1094" s="117"/>
      <c r="M1094" s="128"/>
      <c r="N1094" s="117"/>
      <c r="R1094" s="117"/>
      <c r="T1094" s="117"/>
      <c r="V1094" s="117"/>
      <c r="X1094" s="117"/>
      <c r="Y1094" s="10"/>
      <c r="Z1094" s="11"/>
      <c r="AA1094" s="36"/>
      <c r="AB1094" s="36"/>
      <c r="AC1094" s="13"/>
      <c r="AD1094" s="13"/>
      <c r="AE1094" s="37"/>
      <c r="AF1094" s="37"/>
      <c r="AG1094" s="14"/>
      <c r="AH1094" s="14"/>
      <c r="AI1094" s="14"/>
      <c r="AZ1094" s="24"/>
    </row>
    <row r="1095">
      <c r="B1095" s="24"/>
      <c r="E1095" s="113"/>
      <c r="F1095" s="266"/>
      <c r="G1095" s="113"/>
      <c r="K1095" s="36"/>
      <c r="L1095" s="117"/>
      <c r="M1095" s="128"/>
      <c r="N1095" s="117"/>
      <c r="R1095" s="117"/>
      <c r="T1095" s="117"/>
      <c r="V1095" s="117"/>
      <c r="X1095" s="117"/>
      <c r="Y1095" s="10"/>
      <c r="Z1095" s="11"/>
      <c r="AA1095" s="36"/>
      <c r="AB1095" s="36"/>
      <c r="AC1095" s="13"/>
      <c r="AD1095" s="13"/>
      <c r="AE1095" s="37"/>
      <c r="AF1095" s="37"/>
      <c r="AG1095" s="14"/>
      <c r="AH1095" s="14"/>
      <c r="AI1095" s="14"/>
      <c r="AZ1095" s="24"/>
    </row>
    <row r="1096">
      <c r="B1096" s="24"/>
      <c r="E1096" s="113"/>
      <c r="F1096" s="266"/>
      <c r="G1096" s="113"/>
      <c r="K1096" s="36"/>
      <c r="L1096" s="117"/>
      <c r="M1096" s="128"/>
      <c r="N1096" s="117"/>
      <c r="R1096" s="117"/>
      <c r="T1096" s="117"/>
      <c r="V1096" s="117"/>
      <c r="X1096" s="117"/>
      <c r="Y1096" s="10"/>
      <c r="Z1096" s="11"/>
      <c r="AA1096" s="36"/>
      <c r="AB1096" s="36"/>
      <c r="AC1096" s="13"/>
      <c r="AD1096" s="13"/>
      <c r="AE1096" s="37"/>
      <c r="AF1096" s="37"/>
      <c r="AG1096" s="14"/>
      <c r="AH1096" s="14"/>
      <c r="AI1096" s="14"/>
      <c r="AZ1096" s="24"/>
    </row>
    <row r="1097">
      <c r="B1097" s="24"/>
      <c r="E1097" s="113"/>
      <c r="F1097" s="266"/>
      <c r="G1097" s="113"/>
      <c r="K1097" s="36"/>
      <c r="L1097" s="117"/>
      <c r="M1097" s="128"/>
      <c r="N1097" s="117"/>
      <c r="R1097" s="117"/>
      <c r="T1097" s="117"/>
      <c r="V1097" s="117"/>
      <c r="X1097" s="117"/>
      <c r="Y1097" s="10"/>
      <c r="Z1097" s="11"/>
      <c r="AA1097" s="36"/>
      <c r="AB1097" s="36"/>
      <c r="AC1097" s="13"/>
      <c r="AD1097" s="13"/>
      <c r="AE1097" s="37"/>
      <c r="AF1097" s="37"/>
      <c r="AG1097" s="14"/>
      <c r="AH1097" s="14"/>
      <c r="AI1097" s="14"/>
      <c r="AZ1097" s="24"/>
    </row>
    <row r="1098">
      <c r="B1098" s="24"/>
      <c r="E1098" s="113"/>
      <c r="F1098" s="266"/>
      <c r="G1098" s="113"/>
      <c r="K1098" s="36"/>
      <c r="L1098" s="117"/>
      <c r="M1098" s="128"/>
      <c r="N1098" s="117"/>
      <c r="R1098" s="117"/>
      <c r="T1098" s="117"/>
      <c r="V1098" s="117"/>
      <c r="X1098" s="117"/>
      <c r="Y1098" s="10"/>
      <c r="Z1098" s="11"/>
      <c r="AA1098" s="36"/>
      <c r="AB1098" s="36"/>
      <c r="AC1098" s="13"/>
      <c r="AD1098" s="13"/>
      <c r="AE1098" s="37"/>
      <c r="AF1098" s="37"/>
      <c r="AG1098" s="14"/>
      <c r="AH1098" s="14"/>
      <c r="AI1098" s="14"/>
      <c r="AZ1098" s="24"/>
    </row>
    <row r="1099">
      <c r="B1099" s="24"/>
      <c r="E1099" s="113"/>
      <c r="F1099" s="266"/>
      <c r="G1099" s="113"/>
      <c r="K1099" s="36"/>
      <c r="L1099" s="117"/>
      <c r="M1099" s="128"/>
      <c r="N1099" s="117"/>
      <c r="R1099" s="117"/>
      <c r="T1099" s="117"/>
      <c r="V1099" s="117"/>
      <c r="X1099" s="117"/>
      <c r="Y1099" s="10"/>
      <c r="Z1099" s="11"/>
      <c r="AA1099" s="36"/>
      <c r="AB1099" s="36"/>
      <c r="AC1099" s="13"/>
      <c r="AD1099" s="13"/>
      <c r="AE1099" s="37"/>
      <c r="AF1099" s="37"/>
      <c r="AG1099" s="14"/>
      <c r="AH1099" s="14"/>
      <c r="AI1099" s="14"/>
      <c r="AZ1099" s="24"/>
    </row>
    <row r="1100">
      <c r="B1100" s="24"/>
      <c r="E1100" s="113"/>
      <c r="F1100" s="266"/>
      <c r="G1100" s="113"/>
      <c r="K1100" s="36"/>
      <c r="L1100" s="117"/>
      <c r="M1100" s="128"/>
      <c r="N1100" s="117"/>
      <c r="R1100" s="117"/>
      <c r="T1100" s="117"/>
      <c r="V1100" s="117"/>
      <c r="X1100" s="117"/>
      <c r="Y1100" s="10"/>
      <c r="Z1100" s="11"/>
      <c r="AA1100" s="36"/>
      <c r="AB1100" s="36"/>
      <c r="AC1100" s="13"/>
      <c r="AD1100" s="13"/>
      <c r="AE1100" s="37"/>
      <c r="AF1100" s="37"/>
      <c r="AG1100" s="14"/>
      <c r="AH1100" s="14"/>
      <c r="AI1100" s="14"/>
      <c r="AZ1100" s="24"/>
    </row>
    <row r="1101">
      <c r="B1101" s="24"/>
      <c r="E1101" s="113"/>
      <c r="F1101" s="266"/>
      <c r="G1101" s="113"/>
      <c r="K1101" s="36"/>
      <c r="L1101" s="117"/>
      <c r="M1101" s="128"/>
      <c r="N1101" s="117"/>
      <c r="R1101" s="117"/>
      <c r="T1101" s="117"/>
      <c r="V1101" s="117"/>
      <c r="X1101" s="117"/>
      <c r="Y1101" s="10"/>
      <c r="Z1101" s="11"/>
      <c r="AA1101" s="36"/>
      <c r="AB1101" s="36"/>
      <c r="AC1101" s="13"/>
      <c r="AD1101" s="13"/>
      <c r="AE1101" s="37"/>
      <c r="AF1101" s="37"/>
      <c r="AG1101" s="14"/>
      <c r="AH1101" s="14"/>
      <c r="AI1101" s="14"/>
      <c r="AZ1101" s="24"/>
    </row>
    <row r="1102">
      <c r="B1102" s="24"/>
      <c r="E1102" s="113"/>
      <c r="F1102" s="266"/>
      <c r="G1102" s="113"/>
      <c r="K1102" s="36"/>
      <c r="L1102" s="117"/>
      <c r="M1102" s="128"/>
      <c r="N1102" s="117"/>
      <c r="R1102" s="117"/>
      <c r="T1102" s="117"/>
      <c r="V1102" s="117"/>
      <c r="X1102" s="117"/>
      <c r="Y1102" s="10"/>
      <c r="Z1102" s="11"/>
      <c r="AA1102" s="36"/>
      <c r="AB1102" s="36"/>
      <c r="AC1102" s="13"/>
      <c r="AD1102" s="13"/>
      <c r="AE1102" s="37"/>
      <c r="AF1102" s="37"/>
      <c r="AG1102" s="14"/>
      <c r="AH1102" s="14"/>
      <c r="AI1102" s="14"/>
      <c r="AZ1102" s="24"/>
    </row>
    <row r="1103">
      <c r="B1103" s="24"/>
      <c r="E1103" s="113"/>
      <c r="F1103" s="266"/>
      <c r="G1103" s="113"/>
      <c r="K1103" s="36"/>
      <c r="L1103" s="117"/>
      <c r="M1103" s="128"/>
      <c r="N1103" s="117"/>
      <c r="R1103" s="117"/>
      <c r="T1103" s="117"/>
      <c r="V1103" s="117"/>
      <c r="X1103" s="117"/>
      <c r="Y1103" s="10"/>
      <c r="Z1103" s="11"/>
      <c r="AA1103" s="36"/>
      <c r="AB1103" s="36"/>
      <c r="AC1103" s="13"/>
      <c r="AD1103" s="13"/>
      <c r="AE1103" s="37"/>
      <c r="AF1103" s="37"/>
      <c r="AG1103" s="14"/>
      <c r="AH1103" s="14"/>
      <c r="AI1103" s="14"/>
      <c r="AZ1103" s="24"/>
    </row>
    <row r="1104">
      <c r="B1104" s="24"/>
      <c r="E1104" s="113"/>
      <c r="F1104" s="266"/>
      <c r="G1104" s="113"/>
      <c r="K1104" s="36"/>
      <c r="L1104" s="117"/>
      <c r="M1104" s="128"/>
      <c r="N1104" s="117"/>
      <c r="R1104" s="117"/>
      <c r="T1104" s="117"/>
      <c r="V1104" s="117"/>
      <c r="X1104" s="117"/>
      <c r="Y1104" s="10"/>
      <c r="Z1104" s="11"/>
      <c r="AA1104" s="36"/>
      <c r="AB1104" s="36"/>
      <c r="AC1104" s="13"/>
      <c r="AD1104" s="13"/>
      <c r="AE1104" s="37"/>
      <c r="AF1104" s="37"/>
      <c r="AG1104" s="14"/>
      <c r="AH1104" s="14"/>
      <c r="AI1104" s="14"/>
      <c r="AZ1104" s="24"/>
    </row>
    <row r="1105">
      <c r="B1105" s="24"/>
      <c r="E1105" s="113"/>
      <c r="F1105" s="266"/>
      <c r="G1105" s="113"/>
      <c r="K1105" s="36"/>
      <c r="L1105" s="117"/>
      <c r="M1105" s="128"/>
      <c r="N1105" s="117"/>
      <c r="R1105" s="117"/>
      <c r="T1105" s="117"/>
      <c r="V1105" s="117"/>
      <c r="X1105" s="117"/>
      <c r="Y1105" s="10"/>
      <c r="Z1105" s="11"/>
      <c r="AA1105" s="36"/>
      <c r="AB1105" s="36"/>
      <c r="AC1105" s="13"/>
      <c r="AD1105" s="13"/>
      <c r="AE1105" s="37"/>
      <c r="AF1105" s="37"/>
      <c r="AG1105" s="14"/>
      <c r="AH1105" s="14"/>
      <c r="AI1105" s="14"/>
      <c r="AZ1105" s="24"/>
    </row>
    <row r="1106">
      <c r="B1106" s="24"/>
      <c r="E1106" s="113"/>
      <c r="F1106" s="266"/>
      <c r="G1106" s="113"/>
      <c r="K1106" s="36"/>
      <c r="L1106" s="117"/>
      <c r="M1106" s="128"/>
      <c r="N1106" s="117"/>
      <c r="R1106" s="117"/>
      <c r="T1106" s="117"/>
      <c r="V1106" s="117"/>
      <c r="X1106" s="117"/>
      <c r="Y1106" s="10"/>
      <c r="Z1106" s="11"/>
      <c r="AA1106" s="36"/>
      <c r="AB1106" s="36"/>
      <c r="AC1106" s="13"/>
      <c r="AD1106" s="13"/>
      <c r="AE1106" s="37"/>
      <c r="AF1106" s="37"/>
      <c r="AG1106" s="14"/>
      <c r="AH1106" s="14"/>
      <c r="AI1106" s="14"/>
      <c r="AZ1106" s="24"/>
    </row>
    <row r="1107">
      <c r="B1107" s="24"/>
      <c r="E1107" s="113"/>
      <c r="F1107" s="266"/>
      <c r="G1107" s="113"/>
      <c r="K1107" s="36"/>
      <c r="L1107" s="117"/>
      <c r="M1107" s="128"/>
      <c r="N1107" s="117"/>
      <c r="R1107" s="117"/>
      <c r="T1107" s="117"/>
      <c r="V1107" s="117"/>
      <c r="X1107" s="117"/>
      <c r="Y1107" s="10"/>
      <c r="Z1107" s="11"/>
      <c r="AA1107" s="36"/>
      <c r="AB1107" s="36"/>
      <c r="AC1107" s="13"/>
      <c r="AD1107" s="13"/>
      <c r="AE1107" s="37"/>
      <c r="AF1107" s="37"/>
      <c r="AG1107" s="14"/>
      <c r="AH1107" s="14"/>
      <c r="AI1107" s="14"/>
      <c r="AZ1107" s="24"/>
    </row>
    <row r="1108">
      <c r="B1108" s="24"/>
      <c r="E1108" s="113"/>
      <c r="F1108" s="266"/>
      <c r="G1108" s="113"/>
      <c r="K1108" s="36"/>
      <c r="L1108" s="117"/>
      <c r="M1108" s="128"/>
      <c r="N1108" s="117"/>
      <c r="R1108" s="117"/>
      <c r="T1108" s="117"/>
      <c r="V1108" s="117"/>
      <c r="X1108" s="117"/>
      <c r="Y1108" s="10"/>
      <c r="Z1108" s="11"/>
      <c r="AA1108" s="36"/>
      <c r="AB1108" s="36"/>
      <c r="AC1108" s="13"/>
      <c r="AD1108" s="13"/>
      <c r="AE1108" s="37"/>
      <c r="AF1108" s="37"/>
      <c r="AG1108" s="14"/>
      <c r="AH1108" s="14"/>
      <c r="AI1108" s="14"/>
      <c r="AZ1108" s="24"/>
    </row>
    <row r="1109">
      <c r="B1109" s="24"/>
      <c r="E1109" s="113"/>
      <c r="F1109" s="266"/>
      <c r="G1109" s="113"/>
      <c r="K1109" s="36"/>
      <c r="L1109" s="117"/>
      <c r="M1109" s="128"/>
      <c r="N1109" s="117"/>
      <c r="R1109" s="117"/>
      <c r="T1109" s="117"/>
      <c r="V1109" s="117"/>
      <c r="X1109" s="117"/>
      <c r="Y1109" s="10"/>
      <c r="Z1109" s="11"/>
      <c r="AA1109" s="36"/>
      <c r="AB1109" s="36"/>
      <c r="AC1109" s="13"/>
      <c r="AD1109" s="13"/>
      <c r="AE1109" s="37"/>
      <c r="AF1109" s="37"/>
      <c r="AG1109" s="14"/>
      <c r="AH1109" s="14"/>
      <c r="AI1109" s="14"/>
      <c r="AZ1109" s="24"/>
    </row>
    <row r="1110">
      <c r="B1110" s="24"/>
      <c r="E1110" s="113"/>
      <c r="F1110" s="266"/>
      <c r="G1110" s="113"/>
      <c r="K1110" s="36"/>
      <c r="L1110" s="117"/>
      <c r="M1110" s="128"/>
      <c r="N1110" s="117"/>
      <c r="R1110" s="117"/>
      <c r="T1110" s="117"/>
      <c r="V1110" s="117"/>
      <c r="X1110" s="117"/>
      <c r="Y1110" s="10"/>
      <c r="Z1110" s="11"/>
      <c r="AA1110" s="36"/>
      <c r="AB1110" s="36"/>
      <c r="AC1110" s="13"/>
      <c r="AD1110" s="13"/>
      <c r="AE1110" s="37"/>
      <c r="AF1110" s="37"/>
      <c r="AG1110" s="14"/>
      <c r="AH1110" s="14"/>
      <c r="AI1110" s="14"/>
      <c r="AZ1110" s="24"/>
    </row>
    <row r="1111">
      <c r="B1111" s="24"/>
      <c r="E1111" s="113"/>
      <c r="F1111" s="266"/>
      <c r="G1111" s="113"/>
      <c r="K1111" s="36"/>
      <c r="L1111" s="117"/>
      <c r="M1111" s="128"/>
      <c r="N1111" s="117"/>
      <c r="R1111" s="117"/>
      <c r="T1111" s="117"/>
      <c r="V1111" s="117"/>
      <c r="X1111" s="117"/>
      <c r="Y1111" s="10"/>
      <c r="Z1111" s="11"/>
      <c r="AA1111" s="36"/>
      <c r="AB1111" s="36"/>
      <c r="AC1111" s="13"/>
      <c r="AD1111" s="13"/>
      <c r="AE1111" s="37"/>
      <c r="AF1111" s="37"/>
      <c r="AG1111" s="14"/>
      <c r="AH1111" s="14"/>
      <c r="AI1111" s="14"/>
      <c r="AZ1111" s="24"/>
    </row>
    <row r="1112">
      <c r="B1112" s="24"/>
      <c r="E1112" s="113"/>
      <c r="F1112" s="266"/>
      <c r="G1112" s="113"/>
      <c r="K1112" s="36"/>
      <c r="L1112" s="117"/>
      <c r="M1112" s="128"/>
      <c r="N1112" s="117"/>
      <c r="R1112" s="117"/>
      <c r="T1112" s="117"/>
      <c r="V1112" s="117"/>
      <c r="X1112" s="117"/>
      <c r="Y1112" s="10"/>
      <c r="Z1112" s="11"/>
      <c r="AA1112" s="36"/>
      <c r="AB1112" s="36"/>
      <c r="AC1112" s="13"/>
      <c r="AD1112" s="13"/>
      <c r="AE1112" s="37"/>
      <c r="AF1112" s="37"/>
      <c r="AG1112" s="14"/>
      <c r="AH1112" s="14"/>
      <c r="AI1112" s="14"/>
      <c r="AZ1112" s="24"/>
    </row>
    <row r="1113">
      <c r="B1113" s="24"/>
      <c r="E1113" s="113"/>
      <c r="F1113" s="266"/>
      <c r="G1113" s="113"/>
      <c r="K1113" s="36"/>
      <c r="L1113" s="117"/>
      <c r="M1113" s="128"/>
      <c r="N1113" s="117"/>
      <c r="R1113" s="117"/>
      <c r="T1113" s="117"/>
      <c r="V1113" s="117"/>
      <c r="X1113" s="117"/>
      <c r="Y1113" s="10"/>
      <c r="Z1113" s="11"/>
      <c r="AA1113" s="36"/>
      <c r="AB1113" s="36"/>
      <c r="AC1113" s="13"/>
      <c r="AD1113" s="13"/>
      <c r="AE1113" s="37"/>
      <c r="AF1113" s="37"/>
      <c r="AG1113" s="14"/>
      <c r="AH1113" s="14"/>
      <c r="AI1113" s="14"/>
      <c r="AZ1113" s="24"/>
    </row>
    <row r="1114">
      <c r="B1114" s="24"/>
      <c r="E1114" s="113"/>
      <c r="F1114" s="266"/>
      <c r="G1114" s="113"/>
      <c r="K1114" s="36"/>
      <c r="L1114" s="117"/>
      <c r="M1114" s="128"/>
      <c r="N1114" s="117"/>
      <c r="R1114" s="117"/>
      <c r="T1114" s="117"/>
      <c r="V1114" s="117"/>
      <c r="X1114" s="117"/>
      <c r="Y1114" s="10"/>
      <c r="Z1114" s="11"/>
      <c r="AA1114" s="36"/>
      <c r="AB1114" s="36"/>
      <c r="AC1114" s="13"/>
      <c r="AD1114" s="13"/>
      <c r="AE1114" s="37"/>
      <c r="AF1114" s="37"/>
      <c r="AG1114" s="14"/>
      <c r="AH1114" s="14"/>
      <c r="AI1114" s="14"/>
      <c r="AZ1114" s="24"/>
    </row>
    <row r="1115">
      <c r="B1115" s="24"/>
      <c r="E1115" s="113"/>
      <c r="F1115" s="266"/>
      <c r="G1115" s="113"/>
      <c r="K1115" s="36"/>
      <c r="L1115" s="117"/>
      <c r="M1115" s="128"/>
      <c r="N1115" s="117"/>
      <c r="R1115" s="117"/>
      <c r="T1115" s="117"/>
      <c r="V1115" s="117"/>
      <c r="X1115" s="117"/>
      <c r="Y1115" s="10"/>
      <c r="Z1115" s="11"/>
      <c r="AA1115" s="36"/>
      <c r="AB1115" s="36"/>
      <c r="AC1115" s="13"/>
      <c r="AD1115" s="13"/>
      <c r="AE1115" s="37"/>
      <c r="AF1115" s="37"/>
      <c r="AG1115" s="14"/>
      <c r="AH1115" s="14"/>
      <c r="AI1115" s="14"/>
      <c r="AZ1115" s="24"/>
    </row>
    <row r="1116">
      <c r="B1116" s="24"/>
      <c r="E1116" s="113"/>
      <c r="F1116" s="266"/>
      <c r="G1116" s="113"/>
      <c r="K1116" s="36"/>
      <c r="L1116" s="117"/>
      <c r="M1116" s="128"/>
      <c r="N1116" s="117"/>
      <c r="R1116" s="117"/>
      <c r="T1116" s="117"/>
      <c r="V1116" s="117"/>
      <c r="X1116" s="117"/>
      <c r="Y1116" s="10"/>
      <c r="Z1116" s="11"/>
      <c r="AA1116" s="36"/>
      <c r="AB1116" s="36"/>
      <c r="AC1116" s="13"/>
      <c r="AD1116" s="13"/>
      <c r="AE1116" s="37"/>
      <c r="AF1116" s="37"/>
      <c r="AG1116" s="14"/>
      <c r="AH1116" s="14"/>
      <c r="AI1116" s="14"/>
      <c r="AZ1116" s="24"/>
    </row>
    <row r="1117">
      <c r="B1117" s="24"/>
      <c r="E1117" s="113"/>
      <c r="F1117" s="266"/>
      <c r="G1117" s="113"/>
      <c r="K1117" s="36"/>
      <c r="L1117" s="117"/>
      <c r="M1117" s="128"/>
      <c r="N1117" s="117"/>
      <c r="R1117" s="117"/>
      <c r="T1117" s="117"/>
      <c r="V1117" s="117"/>
      <c r="X1117" s="117"/>
      <c r="Y1117" s="10"/>
      <c r="Z1117" s="11"/>
      <c r="AA1117" s="36"/>
      <c r="AB1117" s="36"/>
      <c r="AC1117" s="13"/>
      <c r="AD1117" s="13"/>
      <c r="AE1117" s="37"/>
      <c r="AF1117" s="37"/>
      <c r="AG1117" s="14"/>
      <c r="AH1117" s="14"/>
      <c r="AI1117" s="14"/>
      <c r="AZ1117" s="24"/>
    </row>
    <row r="1118">
      <c r="B1118" s="24"/>
      <c r="E1118" s="113"/>
      <c r="F1118" s="266"/>
      <c r="G1118" s="113"/>
      <c r="K1118" s="36"/>
      <c r="L1118" s="117"/>
      <c r="M1118" s="128"/>
      <c r="N1118" s="117"/>
      <c r="R1118" s="117"/>
      <c r="T1118" s="117"/>
      <c r="V1118" s="117"/>
      <c r="X1118" s="117"/>
      <c r="Y1118" s="10"/>
      <c r="Z1118" s="11"/>
      <c r="AA1118" s="36"/>
      <c r="AB1118" s="36"/>
      <c r="AC1118" s="13"/>
      <c r="AD1118" s="13"/>
      <c r="AE1118" s="37"/>
      <c r="AF1118" s="37"/>
      <c r="AG1118" s="14"/>
      <c r="AH1118" s="14"/>
      <c r="AI1118" s="14"/>
      <c r="AZ1118" s="24"/>
    </row>
    <row r="1119">
      <c r="B1119" s="24"/>
      <c r="K1119" s="36"/>
      <c r="M1119" s="128"/>
      <c r="Y1119" s="10"/>
      <c r="Z1119" s="11"/>
      <c r="AA1119" s="36"/>
      <c r="AB1119" s="36"/>
      <c r="AC1119" s="13"/>
      <c r="AD1119" s="13"/>
      <c r="AE1119" s="37"/>
      <c r="AF1119" s="37"/>
      <c r="AG1119" s="14"/>
      <c r="AH1119" s="14"/>
      <c r="AI1119" s="14"/>
      <c r="AZ1119" s="24"/>
    </row>
    <row r="1120">
      <c r="B1120" s="24"/>
      <c r="K1120" s="36"/>
      <c r="M1120" s="128"/>
      <c r="Y1120" s="10"/>
      <c r="Z1120" s="11"/>
      <c r="AE1120" s="37"/>
      <c r="AF1120" s="37"/>
      <c r="AG1120" s="14"/>
      <c r="AH1120" s="14"/>
      <c r="AI1120" s="14"/>
      <c r="AZ1120" s="24"/>
    </row>
    <row r="1121">
      <c r="B1121" s="24"/>
      <c r="K1121" s="36"/>
      <c r="M1121" s="128"/>
      <c r="Y1121" s="10"/>
      <c r="Z1121" s="11"/>
      <c r="AE1121" s="37"/>
      <c r="AF1121" s="37"/>
      <c r="AG1121" s="14"/>
      <c r="AH1121" s="14"/>
      <c r="AI1121" s="14"/>
      <c r="AZ1121" s="24"/>
    </row>
    <row r="1122">
      <c r="B1122" s="24"/>
      <c r="K1122" s="36"/>
      <c r="M1122" s="128"/>
      <c r="Y1122" s="10"/>
      <c r="Z1122" s="11"/>
      <c r="AG1122" s="14"/>
      <c r="AH1122" s="14"/>
      <c r="AI1122" s="14"/>
      <c r="AZ1122" s="24"/>
    </row>
    <row r="1123">
      <c r="B1123" s="24"/>
      <c r="K1123" s="36"/>
      <c r="M1123" s="128"/>
      <c r="Y1123" s="10"/>
      <c r="Z1123" s="11"/>
      <c r="AG1123" s="14"/>
      <c r="AH1123" s="14"/>
      <c r="AI1123" s="14"/>
      <c r="AZ1123" s="24"/>
    </row>
    <row r="1124">
      <c r="B1124" s="24"/>
      <c r="K1124" s="36"/>
      <c r="M1124" s="128"/>
      <c r="Y1124" s="10"/>
      <c r="Z1124" s="11"/>
      <c r="AZ1124" s="24"/>
    </row>
    <row r="1125">
      <c r="B1125" s="24"/>
      <c r="K1125" s="36"/>
      <c r="M1125" s="128"/>
      <c r="Y1125" s="10"/>
      <c r="Z1125" s="11"/>
      <c r="AZ1125" s="24"/>
    </row>
    <row r="1126">
      <c r="B1126" s="24"/>
      <c r="K1126" s="36"/>
      <c r="M1126" s="128"/>
      <c r="AZ1126" s="24"/>
    </row>
    <row r="1127">
      <c r="B1127" s="24"/>
      <c r="K1127" s="36"/>
      <c r="M1127" s="128"/>
      <c r="AZ1127" s="24"/>
    </row>
  </sheetData>
  <mergeCells count="621">
    <mergeCell ref="AL1:AL2"/>
    <mergeCell ref="AN1:AN2"/>
    <mergeCell ref="AP1:AP2"/>
    <mergeCell ref="AR1:AR2"/>
    <mergeCell ref="AT1:AT2"/>
    <mergeCell ref="AV1:AV2"/>
    <mergeCell ref="AX1:AX2"/>
    <mergeCell ref="Y5:Z5"/>
    <mergeCell ref="AA5:AB5"/>
    <mergeCell ref="AC5:AD5"/>
    <mergeCell ref="AG5:AI5"/>
    <mergeCell ref="AJ1:AJ2"/>
    <mergeCell ref="E2:F2"/>
    <mergeCell ref="I2:J2"/>
    <mergeCell ref="AA2:AB2"/>
    <mergeCell ref="G3:H3"/>
    <mergeCell ref="I3:J3"/>
    <mergeCell ref="I4:J4"/>
    <mergeCell ref="U7:V7"/>
    <mergeCell ref="W7:X7"/>
    <mergeCell ref="G4:H4"/>
    <mergeCell ref="G5:H5"/>
    <mergeCell ref="I5:J5"/>
    <mergeCell ref="E7:F7"/>
    <mergeCell ref="M7:N7"/>
    <mergeCell ref="O7:R7"/>
    <mergeCell ref="S7:T7"/>
    <mergeCell ref="O13:R13"/>
    <mergeCell ref="S13:T13"/>
    <mergeCell ref="U13:V13"/>
    <mergeCell ref="W13:X13"/>
    <mergeCell ref="C14:D14"/>
    <mergeCell ref="E14:F14"/>
    <mergeCell ref="G14:H14"/>
    <mergeCell ref="I14:J14"/>
    <mergeCell ref="C21:D22"/>
    <mergeCell ref="C23:D23"/>
    <mergeCell ref="C24:D24"/>
    <mergeCell ref="E24:F24"/>
    <mergeCell ref="G24:H24"/>
    <mergeCell ref="I24:J24"/>
    <mergeCell ref="E25:F25"/>
    <mergeCell ref="C26:D26"/>
    <mergeCell ref="E26:F26"/>
    <mergeCell ref="G26:H26"/>
    <mergeCell ref="I26:J26"/>
    <mergeCell ref="E27:F27"/>
    <mergeCell ref="G27:H27"/>
    <mergeCell ref="I27:J27"/>
    <mergeCell ref="C8:D8"/>
    <mergeCell ref="E8:F8"/>
    <mergeCell ref="G8:H8"/>
    <mergeCell ref="I8:J8"/>
    <mergeCell ref="E9:F9"/>
    <mergeCell ref="G9:H9"/>
    <mergeCell ref="I9:J9"/>
    <mergeCell ref="C9:D10"/>
    <mergeCell ref="C11:D11"/>
    <mergeCell ref="E12:F12"/>
    <mergeCell ref="G12:H12"/>
    <mergeCell ref="I12:J12"/>
    <mergeCell ref="E13:F13"/>
    <mergeCell ref="M13:N13"/>
    <mergeCell ref="E18:F18"/>
    <mergeCell ref="E19:F19"/>
    <mergeCell ref="M19:N19"/>
    <mergeCell ref="O19:R19"/>
    <mergeCell ref="S19:T19"/>
    <mergeCell ref="U19:V19"/>
    <mergeCell ref="W19:X19"/>
    <mergeCell ref="C15:D16"/>
    <mergeCell ref="E15:F15"/>
    <mergeCell ref="G15:H15"/>
    <mergeCell ref="I15:J15"/>
    <mergeCell ref="C17:D17"/>
    <mergeCell ref="G18:H18"/>
    <mergeCell ref="I18:J18"/>
    <mergeCell ref="C20:D20"/>
    <mergeCell ref="E20:F20"/>
    <mergeCell ref="G20:H20"/>
    <mergeCell ref="I20:J20"/>
    <mergeCell ref="E21:F21"/>
    <mergeCell ref="G21:H21"/>
    <mergeCell ref="I21:J21"/>
    <mergeCell ref="M25:N25"/>
    <mergeCell ref="O25:R25"/>
    <mergeCell ref="S25:T25"/>
    <mergeCell ref="U25:V25"/>
    <mergeCell ref="W25:X25"/>
    <mergeCell ref="O31:R31"/>
    <mergeCell ref="S31:T31"/>
    <mergeCell ref="U31:V31"/>
    <mergeCell ref="W31:X31"/>
    <mergeCell ref="C27:D28"/>
    <mergeCell ref="C29:D29"/>
    <mergeCell ref="E30:F30"/>
    <mergeCell ref="G30:H30"/>
    <mergeCell ref="I30:J30"/>
    <mergeCell ref="E31:F31"/>
    <mergeCell ref="M31:N31"/>
    <mergeCell ref="C32:D32"/>
    <mergeCell ref="E32:F32"/>
    <mergeCell ref="G32:H32"/>
    <mergeCell ref="I32:J32"/>
    <mergeCell ref="E33:F33"/>
    <mergeCell ref="G33:H33"/>
    <mergeCell ref="I33:J33"/>
    <mergeCell ref="O37:R37"/>
    <mergeCell ref="S37:T37"/>
    <mergeCell ref="U37:V37"/>
    <mergeCell ref="W37:X37"/>
    <mergeCell ref="C33:D34"/>
    <mergeCell ref="C35:D35"/>
    <mergeCell ref="E36:F36"/>
    <mergeCell ref="G36:H36"/>
    <mergeCell ref="I36:J36"/>
    <mergeCell ref="E37:F37"/>
    <mergeCell ref="M37:N37"/>
    <mergeCell ref="C38:D38"/>
    <mergeCell ref="E38:F38"/>
    <mergeCell ref="G38:H38"/>
    <mergeCell ref="I38:J38"/>
    <mergeCell ref="C39:D40"/>
    <mergeCell ref="G39:H39"/>
    <mergeCell ref="I39:J39"/>
    <mergeCell ref="O43:R43"/>
    <mergeCell ref="S43:T43"/>
    <mergeCell ref="U43:V43"/>
    <mergeCell ref="W43:X43"/>
    <mergeCell ref="E39:F39"/>
    <mergeCell ref="E42:F42"/>
    <mergeCell ref="G42:H42"/>
    <mergeCell ref="I42:J42"/>
    <mergeCell ref="C43:D43"/>
    <mergeCell ref="E43:F43"/>
    <mergeCell ref="M43:N43"/>
    <mergeCell ref="C44:D44"/>
    <mergeCell ref="E44:F44"/>
    <mergeCell ref="G44:H44"/>
    <mergeCell ref="I44:J44"/>
    <mergeCell ref="C45:D46"/>
    <mergeCell ref="G45:H45"/>
    <mergeCell ref="I45:J45"/>
    <mergeCell ref="S49:T49"/>
    <mergeCell ref="U49:V49"/>
    <mergeCell ref="W49:X49"/>
    <mergeCell ref="E45:F45"/>
    <mergeCell ref="E48:F48"/>
    <mergeCell ref="G48:H48"/>
    <mergeCell ref="I48:J48"/>
    <mergeCell ref="E49:F49"/>
    <mergeCell ref="M49:N49"/>
    <mergeCell ref="O49:R49"/>
    <mergeCell ref="C50:D50"/>
    <mergeCell ref="E50:F50"/>
    <mergeCell ref="G50:H50"/>
    <mergeCell ref="I50:J50"/>
    <mergeCell ref="C51:D52"/>
    <mergeCell ref="G51:H51"/>
    <mergeCell ref="I51:J51"/>
    <mergeCell ref="M55:N55"/>
    <mergeCell ref="O55:R55"/>
    <mergeCell ref="S55:T55"/>
    <mergeCell ref="U55:V55"/>
    <mergeCell ref="W55:X55"/>
    <mergeCell ref="E51:F51"/>
    <mergeCell ref="E54:F54"/>
    <mergeCell ref="G54:H54"/>
    <mergeCell ref="I54:J54"/>
    <mergeCell ref="E55:F55"/>
    <mergeCell ref="G55:H55"/>
    <mergeCell ref="I55:J55"/>
    <mergeCell ref="I61:J61"/>
    <mergeCell ref="M61:N61"/>
    <mergeCell ref="O61:R61"/>
    <mergeCell ref="S61:T61"/>
    <mergeCell ref="U61:V61"/>
    <mergeCell ref="W61:X61"/>
    <mergeCell ref="C56:D56"/>
    <mergeCell ref="E56:F56"/>
    <mergeCell ref="G56:H56"/>
    <mergeCell ref="I56:J56"/>
    <mergeCell ref="E57:F57"/>
    <mergeCell ref="G57:H57"/>
    <mergeCell ref="I57:J57"/>
    <mergeCell ref="C57:D58"/>
    <mergeCell ref="C59:D59"/>
    <mergeCell ref="E60:F60"/>
    <mergeCell ref="G60:H60"/>
    <mergeCell ref="I60:J60"/>
    <mergeCell ref="E61:F61"/>
    <mergeCell ref="G61:H61"/>
    <mergeCell ref="C62:D62"/>
    <mergeCell ref="E62:F62"/>
    <mergeCell ref="G62:H62"/>
    <mergeCell ref="I62:J62"/>
    <mergeCell ref="E63:F63"/>
    <mergeCell ref="G63:H63"/>
    <mergeCell ref="I63:J63"/>
    <mergeCell ref="I67:J67"/>
    <mergeCell ref="M67:N67"/>
    <mergeCell ref="O67:R67"/>
    <mergeCell ref="S67:T67"/>
    <mergeCell ref="U67:V67"/>
    <mergeCell ref="W67:X67"/>
    <mergeCell ref="C63:D64"/>
    <mergeCell ref="C65:D65"/>
    <mergeCell ref="E66:F66"/>
    <mergeCell ref="G66:H66"/>
    <mergeCell ref="I66:J66"/>
    <mergeCell ref="E67:F67"/>
    <mergeCell ref="G67:H67"/>
    <mergeCell ref="I73:J73"/>
    <mergeCell ref="M73:N73"/>
    <mergeCell ref="O73:R73"/>
    <mergeCell ref="S73:T73"/>
    <mergeCell ref="U73:V73"/>
    <mergeCell ref="W73:X73"/>
    <mergeCell ref="C74:D74"/>
    <mergeCell ref="E74:F74"/>
    <mergeCell ref="G74:H74"/>
    <mergeCell ref="I74:J74"/>
    <mergeCell ref="C92:D92"/>
    <mergeCell ref="E92:F92"/>
    <mergeCell ref="G92:H92"/>
    <mergeCell ref="I92:J92"/>
    <mergeCell ref="E93:F93"/>
    <mergeCell ref="G93:H93"/>
    <mergeCell ref="I93:J93"/>
    <mergeCell ref="C93:D94"/>
    <mergeCell ref="C95:D95"/>
    <mergeCell ref="E96:F96"/>
    <mergeCell ref="G96:H96"/>
    <mergeCell ref="I96:J96"/>
    <mergeCell ref="E97:F97"/>
    <mergeCell ref="G97:H97"/>
    <mergeCell ref="C146:D146"/>
    <mergeCell ref="E146:F146"/>
    <mergeCell ref="G146:H146"/>
    <mergeCell ref="I146:J146"/>
    <mergeCell ref="E147:F147"/>
    <mergeCell ref="G147:H147"/>
    <mergeCell ref="I147:J147"/>
    <mergeCell ref="C147:D148"/>
    <mergeCell ref="C149:D149"/>
    <mergeCell ref="E150:F150"/>
    <mergeCell ref="G150:H150"/>
    <mergeCell ref="I150:J150"/>
    <mergeCell ref="E151:F151"/>
    <mergeCell ref="G151:H151"/>
    <mergeCell ref="U157:V157"/>
    <mergeCell ref="W157:X157"/>
    <mergeCell ref="E156:F156"/>
    <mergeCell ref="E157:F157"/>
    <mergeCell ref="G157:H157"/>
    <mergeCell ref="I157:J157"/>
    <mergeCell ref="M157:N157"/>
    <mergeCell ref="O157:R157"/>
    <mergeCell ref="S157:T157"/>
    <mergeCell ref="C153:D154"/>
    <mergeCell ref="E153:F153"/>
    <mergeCell ref="G153:H153"/>
    <mergeCell ref="I153:J153"/>
    <mergeCell ref="C155:D155"/>
    <mergeCell ref="G156:H156"/>
    <mergeCell ref="I156:J156"/>
    <mergeCell ref="I163:J163"/>
    <mergeCell ref="M163:N163"/>
    <mergeCell ref="O163:R163"/>
    <mergeCell ref="S163:T163"/>
    <mergeCell ref="U163:V163"/>
    <mergeCell ref="W163:X163"/>
    <mergeCell ref="C164:D164"/>
    <mergeCell ref="E164:F164"/>
    <mergeCell ref="G164:H164"/>
    <mergeCell ref="I164:J164"/>
    <mergeCell ref="C176:D176"/>
    <mergeCell ref="E176:F176"/>
    <mergeCell ref="G176:H176"/>
    <mergeCell ref="I176:J176"/>
    <mergeCell ref="E177:F177"/>
    <mergeCell ref="G177:H177"/>
    <mergeCell ref="I177:J177"/>
    <mergeCell ref="C177:D178"/>
    <mergeCell ref="C179:D179"/>
    <mergeCell ref="E180:F180"/>
    <mergeCell ref="G180:H180"/>
    <mergeCell ref="I180:J180"/>
    <mergeCell ref="E181:F181"/>
    <mergeCell ref="M181:N181"/>
    <mergeCell ref="C182:D182"/>
    <mergeCell ref="E182:F182"/>
    <mergeCell ref="G182:H182"/>
    <mergeCell ref="I182:J182"/>
    <mergeCell ref="E183:F183"/>
    <mergeCell ref="G183:H183"/>
    <mergeCell ref="I183:J183"/>
    <mergeCell ref="M187:N187"/>
    <mergeCell ref="O187:R187"/>
    <mergeCell ref="S187:T187"/>
    <mergeCell ref="U187:V187"/>
    <mergeCell ref="W187:X187"/>
    <mergeCell ref="C183:D184"/>
    <mergeCell ref="C185:D185"/>
    <mergeCell ref="C186:D186"/>
    <mergeCell ref="E186:F186"/>
    <mergeCell ref="G186:H186"/>
    <mergeCell ref="I186:J186"/>
    <mergeCell ref="E187:F187"/>
    <mergeCell ref="C189:D190"/>
    <mergeCell ref="C191:D191"/>
    <mergeCell ref="E192:F192"/>
    <mergeCell ref="G192:H192"/>
    <mergeCell ref="I192:J192"/>
    <mergeCell ref="C188:D188"/>
    <mergeCell ref="E188:F188"/>
    <mergeCell ref="G188:H188"/>
    <mergeCell ref="I188:J188"/>
    <mergeCell ref="E189:F189"/>
    <mergeCell ref="G189:H189"/>
    <mergeCell ref="I189:J189"/>
    <mergeCell ref="C158:D158"/>
    <mergeCell ref="E158:F158"/>
    <mergeCell ref="G158:H158"/>
    <mergeCell ref="I158:J158"/>
    <mergeCell ref="E159:F159"/>
    <mergeCell ref="G159:H159"/>
    <mergeCell ref="I159:J159"/>
    <mergeCell ref="C159:D160"/>
    <mergeCell ref="C161:D161"/>
    <mergeCell ref="E162:F162"/>
    <mergeCell ref="G162:H162"/>
    <mergeCell ref="I162:J162"/>
    <mergeCell ref="E163:F163"/>
    <mergeCell ref="G163:H163"/>
    <mergeCell ref="U169:V169"/>
    <mergeCell ref="W169:X169"/>
    <mergeCell ref="E168:F168"/>
    <mergeCell ref="E169:F169"/>
    <mergeCell ref="G169:H169"/>
    <mergeCell ref="I169:J169"/>
    <mergeCell ref="M169:N169"/>
    <mergeCell ref="O169:R169"/>
    <mergeCell ref="S169:T169"/>
    <mergeCell ref="C165:D166"/>
    <mergeCell ref="E165:F165"/>
    <mergeCell ref="G165:H165"/>
    <mergeCell ref="I165:J165"/>
    <mergeCell ref="C167:D167"/>
    <mergeCell ref="G168:H168"/>
    <mergeCell ref="I168:J168"/>
    <mergeCell ref="I175:J175"/>
    <mergeCell ref="M175:N175"/>
    <mergeCell ref="O175:R175"/>
    <mergeCell ref="S175:T175"/>
    <mergeCell ref="U175:V175"/>
    <mergeCell ref="W175:X175"/>
    <mergeCell ref="O181:R181"/>
    <mergeCell ref="S181:T181"/>
    <mergeCell ref="U181:V181"/>
    <mergeCell ref="W181:X181"/>
    <mergeCell ref="C68:D68"/>
    <mergeCell ref="E68:F68"/>
    <mergeCell ref="G68:H68"/>
    <mergeCell ref="I68:J68"/>
    <mergeCell ref="E69:F69"/>
    <mergeCell ref="G69:H69"/>
    <mergeCell ref="I69:J69"/>
    <mergeCell ref="C69:D70"/>
    <mergeCell ref="C71:D71"/>
    <mergeCell ref="E72:F72"/>
    <mergeCell ref="G72:H72"/>
    <mergeCell ref="I72:J72"/>
    <mergeCell ref="E73:F73"/>
    <mergeCell ref="G73:H73"/>
    <mergeCell ref="U79:V79"/>
    <mergeCell ref="W79:X79"/>
    <mergeCell ref="E78:F78"/>
    <mergeCell ref="E79:F79"/>
    <mergeCell ref="G79:H79"/>
    <mergeCell ref="I79:J79"/>
    <mergeCell ref="M79:N79"/>
    <mergeCell ref="O79:R79"/>
    <mergeCell ref="S79:T79"/>
    <mergeCell ref="C75:D76"/>
    <mergeCell ref="E75:F75"/>
    <mergeCell ref="G75:H75"/>
    <mergeCell ref="I75:J75"/>
    <mergeCell ref="C77:D77"/>
    <mergeCell ref="G78:H78"/>
    <mergeCell ref="I78:J78"/>
    <mergeCell ref="I85:J85"/>
    <mergeCell ref="M85:N85"/>
    <mergeCell ref="O85:R85"/>
    <mergeCell ref="S85:T85"/>
    <mergeCell ref="U85:V85"/>
    <mergeCell ref="W85:X85"/>
    <mergeCell ref="C86:D86"/>
    <mergeCell ref="E86:F86"/>
    <mergeCell ref="G86:H86"/>
    <mergeCell ref="I86:J86"/>
    <mergeCell ref="C80:D80"/>
    <mergeCell ref="E80:F80"/>
    <mergeCell ref="G80:H80"/>
    <mergeCell ref="I80:J80"/>
    <mergeCell ref="E81:F81"/>
    <mergeCell ref="G81:H81"/>
    <mergeCell ref="I81:J81"/>
    <mergeCell ref="C81:D82"/>
    <mergeCell ref="C83:D83"/>
    <mergeCell ref="E84:F84"/>
    <mergeCell ref="G84:H84"/>
    <mergeCell ref="I84:J84"/>
    <mergeCell ref="E85:F85"/>
    <mergeCell ref="G85:H85"/>
    <mergeCell ref="U91:V91"/>
    <mergeCell ref="W91:X91"/>
    <mergeCell ref="E90:F90"/>
    <mergeCell ref="E91:F91"/>
    <mergeCell ref="G91:H91"/>
    <mergeCell ref="I91:J91"/>
    <mergeCell ref="M91:N91"/>
    <mergeCell ref="O91:R91"/>
    <mergeCell ref="S91:T91"/>
    <mergeCell ref="C87:D88"/>
    <mergeCell ref="E87:F87"/>
    <mergeCell ref="G87:H87"/>
    <mergeCell ref="I87:J87"/>
    <mergeCell ref="C89:D89"/>
    <mergeCell ref="G90:H90"/>
    <mergeCell ref="I90:J90"/>
    <mergeCell ref="I97:J97"/>
    <mergeCell ref="M97:N97"/>
    <mergeCell ref="O97:R97"/>
    <mergeCell ref="S97:T97"/>
    <mergeCell ref="U97:V97"/>
    <mergeCell ref="W97:X97"/>
    <mergeCell ref="I103:J103"/>
    <mergeCell ref="M103:N103"/>
    <mergeCell ref="O103:R103"/>
    <mergeCell ref="S103:T103"/>
    <mergeCell ref="U103:V103"/>
    <mergeCell ref="W103:X103"/>
    <mergeCell ref="C98:D98"/>
    <mergeCell ref="E98:F98"/>
    <mergeCell ref="G98:H98"/>
    <mergeCell ref="I98:J98"/>
    <mergeCell ref="E99:F99"/>
    <mergeCell ref="G99:H99"/>
    <mergeCell ref="I99:J99"/>
    <mergeCell ref="C99:D100"/>
    <mergeCell ref="C102:D102"/>
    <mergeCell ref="E102:F102"/>
    <mergeCell ref="G102:H102"/>
    <mergeCell ref="I102:J102"/>
    <mergeCell ref="E103:F103"/>
    <mergeCell ref="G103:H103"/>
    <mergeCell ref="C104:D104"/>
    <mergeCell ref="E104:F104"/>
    <mergeCell ref="G104:H104"/>
    <mergeCell ref="I104:J104"/>
    <mergeCell ref="E105:F105"/>
    <mergeCell ref="G105:H105"/>
    <mergeCell ref="I105:J105"/>
    <mergeCell ref="I109:J109"/>
    <mergeCell ref="M109:N109"/>
    <mergeCell ref="O109:R109"/>
    <mergeCell ref="S109:T109"/>
    <mergeCell ref="U109:V109"/>
    <mergeCell ref="W109:X109"/>
    <mergeCell ref="C105:D106"/>
    <mergeCell ref="C107:D107"/>
    <mergeCell ref="E108:F108"/>
    <mergeCell ref="G108:H108"/>
    <mergeCell ref="I108:J108"/>
    <mergeCell ref="E109:F109"/>
    <mergeCell ref="G109:H109"/>
    <mergeCell ref="I115:J115"/>
    <mergeCell ref="M115:N115"/>
    <mergeCell ref="O115:R115"/>
    <mergeCell ref="S115:T115"/>
    <mergeCell ref="U115:V115"/>
    <mergeCell ref="W115:X115"/>
    <mergeCell ref="C116:D116"/>
    <mergeCell ref="E116:F116"/>
    <mergeCell ref="G116:H116"/>
    <mergeCell ref="I116:J116"/>
    <mergeCell ref="C110:D110"/>
    <mergeCell ref="E110:F110"/>
    <mergeCell ref="G110:H110"/>
    <mergeCell ref="I110:J110"/>
    <mergeCell ref="E111:F111"/>
    <mergeCell ref="G111:H111"/>
    <mergeCell ref="I111:J111"/>
    <mergeCell ref="C111:D112"/>
    <mergeCell ref="C113:D113"/>
    <mergeCell ref="E114:F114"/>
    <mergeCell ref="G114:H114"/>
    <mergeCell ref="I114:J114"/>
    <mergeCell ref="E115:F115"/>
    <mergeCell ref="G115:H115"/>
    <mergeCell ref="U121:V121"/>
    <mergeCell ref="W121:X121"/>
    <mergeCell ref="E120:F120"/>
    <mergeCell ref="E121:F121"/>
    <mergeCell ref="G121:H121"/>
    <mergeCell ref="I121:J121"/>
    <mergeCell ref="M121:N121"/>
    <mergeCell ref="O121:R121"/>
    <mergeCell ref="S121:T121"/>
    <mergeCell ref="C117:D118"/>
    <mergeCell ref="E117:F117"/>
    <mergeCell ref="G117:H117"/>
    <mergeCell ref="I117:J117"/>
    <mergeCell ref="C119:D119"/>
    <mergeCell ref="G120:H120"/>
    <mergeCell ref="I120:J120"/>
    <mergeCell ref="I127:J127"/>
    <mergeCell ref="M127:N127"/>
    <mergeCell ref="O127:R127"/>
    <mergeCell ref="S127:T127"/>
    <mergeCell ref="U127:V127"/>
    <mergeCell ref="W127:X127"/>
    <mergeCell ref="C128:D128"/>
    <mergeCell ref="E128:F128"/>
    <mergeCell ref="G128:H128"/>
    <mergeCell ref="I128:J128"/>
    <mergeCell ref="C122:D122"/>
    <mergeCell ref="E122:F122"/>
    <mergeCell ref="G122:H122"/>
    <mergeCell ref="I122:J122"/>
    <mergeCell ref="E123:F123"/>
    <mergeCell ref="G123:H123"/>
    <mergeCell ref="I123:J123"/>
    <mergeCell ref="C123:D124"/>
    <mergeCell ref="C125:D125"/>
    <mergeCell ref="E126:F126"/>
    <mergeCell ref="G126:H126"/>
    <mergeCell ref="I126:J126"/>
    <mergeCell ref="E127:F127"/>
    <mergeCell ref="G127:H127"/>
    <mergeCell ref="U133:V133"/>
    <mergeCell ref="W133:X133"/>
    <mergeCell ref="E132:F132"/>
    <mergeCell ref="E133:F133"/>
    <mergeCell ref="G133:H133"/>
    <mergeCell ref="I133:J133"/>
    <mergeCell ref="M133:N133"/>
    <mergeCell ref="O133:R133"/>
    <mergeCell ref="S133:T133"/>
    <mergeCell ref="C129:D130"/>
    <mergeCell ref="E129:F129"/>
    <mergeCell ref="G129:H129"/>
    <mergeCell ref="I129:J129"/>
    <mergeCell ref="C131:D131"/>
    <mergeCell ref="G132:H132"/>
    <mergeCell ref="I132:J132"/>
    <mergeCell ref="I139:J139"/>
    <mergeCell ref="M139:N139"/>
    <mergeCell ref="O139:R139"/>
    <mergeCell ref="S139:T139"/>
    <mergeCell ref="U139:V139"/>
    <mergeCell ref="W139:X139"/>
    <mergeCell ref="C140:D140"/>
    <mergeCell ref="E140:F140"/>
    <mergeCell ref="G140:H140"/>
    <mergeCell ref="I140:J140"/>
    <mergeCell ref="C134:D134"/>
    <mergeCell ref="E134:F134"/>
    <mergeCell ref="G134:H134"/>
    <mergeCell ref="I134:J134"/>
    <mergeCell ref="E135:F135"/>
    <mergeCell ref="G135:H135"/>
    <mergeCell ref="I135:J135"/>
    <mergeCell ref="C135:D136"/>
    <mergeCell ref="C137:D137"/>
    <mergeCell ref="E138:F138"/>
    <mergeCell ref="G138:H138"/>
    <mergeCell ref="I138:J138"/>
    <mergeCell ref="E139:F139"/>
    <mergeCell ref="G139:H139"/>
    <mergeCell ref="U145:V145"/>
    <mergeCell ref="W145:X145"/>
    <mergeCell ref="E144:F144"/>
    <mergeCell ref="E145:F145"/>
    <mergeCell ref="G145:H145"/>
    <mergeCell ref="I145:J145"/>
    <mergeCell ref="M145:N145"/>
    <mergeCell ref="O145:R145"/>
    <mergeCell ref="S145:T145"/>
    <mergeCell ref="C141:D142"/>
    <mergeCell ref="E141:F141"/>
    <mergeCell ref="G141:H141"/>
    <mergeCell ref="I141:J141"/>
    <mergeCell ref="C143:D143"/>
    <mergeCell ref="G144:H144"/>
    <mergeCell ref="I144:J144"/>
    <mergeCell ref="I151:J151"/>
    <mergeCell ref="M151:N151"/>
    <mergeCell ref="O151:R151"/>
    <mergeCell ref="S151:T151"/>
    <mergeCell ref="U151:V151"/>
    <mergeCell ref="W151:X151"/>
    <mergeCell ref="C152:D152"/>
    <mergeCell ref="E152:F152"/>
    <mergeCell ref="G152:H152"/>
    <mergeCell ref="I152:J152"/>
    <mergeCell ref="C170:D170"/>
    <mergeCell ref="E170:F170"/>
    <mergeCell ref="G170:H170"/>
    <mergeCell ref="I170:J170"/>
    <mergeCell ref="E171:F171"/>
    <mergeCell ref="G171:H171"/>
    <mergeCell ref="I171:J171"/>
    <mergeCell ref="C171:D172"/>
    <mergeCell ref="C173:D173"/>
    <mergeCell ref="E174:F174"/>
    <mergeCell ref="G174:H174"/>
    <mergeCell ref="I174:J174"/>
    <mergeCell ref="E175:F175"/>
    <mergeCell ref="G175:H175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topLeftCell="G1" activePane="topRight" state="frozen"/>
      <selection activeCell="H2" sqref="H2" pane="topRight"/>
    </sheetView>
  </sheetViews>
  <sheetFormatPr customHeight="1" defaultColWidth="12.63" defaultRowHeight="15.75"/>
  <cols>
    <col customWidth="1" min="1" max="1" width="18.88"/>
    <col customWidth="1" min="2" max="2" width="0.88"/>
    <col customWidth="1" min="3" max="3" width="6.25"/>
    <col customWidth="1" min="4" max="4" width="5.5"/>
    <col customWidth="1" min="5" max="5" width="5.0"/>
    <col customWidth="1" min="6" max="6" width="4.88"/>
    <col customWidth="1" min="7" max="7" width="5.38"/>
    <col customWidth="1" min="8" max="8" width="5.13"/>
    <col customWidth="1" min="9" max="9" width="4.13"/>
    <col customWidth="1" min="10" max="10" width="6.0"/>
    <col customWidth="1" min="11" max="11" width="9.38"/>
    <col customWidth="1" min="12" max="12" width="10.13"/>
    <col customWidth="1" min="13" max="15" width="3.63"/>
    <col customWidth="1" min="16" max="16" width="3.75"/>
    <col customWidth="1" min="17" max="17" width="3.63"/>
    <col customWidth="1" min="18" max="20" width="4.5"/>
    <col customWidth="1" min="21" max="21" width="3.25"/>
    <col customWidth="1" min="22" max="22" width="4.25"/>
    <col customWidth="1" min="23" max="25" width="3.88"/>
    <col customWidth="1" min="26" max="26" width="3.75"/>
    <col customWidth="1" min="27" max="27" width="7.38"/>
    <col customWidth="1" min="28" max="28" width="16.38"/>
    <col customWidth="1" min="29" max="29" width="4.38"/>
    <col customWidth="1" min="30" max="30" width="23.0"/>
    <col customWidth="1" min="31" max="31" width="5.63"/>
    <col customWidth="1" min="32" max="32" width="20.38"/>
    <col customWidth="1" min="35" max="35" width="6.38"/>
    <col customWidth="1" min="36" max="36" width="5.13"/>
    <col customWidth="1" min="37" max="37" width="16.13"/>
    <col customWidth="1" min="38" max="38" width="6.88"/>
    <col customWidth="1" min="40" max="40" width="5.88"/>
    <col customWidth="1" min="42" max="42" width="5.38"/>
    <col customWidth="1" min="44" max="44" width="5.63"/>
    <col customWidth="1" min="46" max="46" width="6.63"/>
    <col customWidth="1" min="48" max="48" width="5.13"/>
    <col customWidth="1" min="50" max="50" width="4.63"/>
    <col customWidth="1" min="52" max="52" width="4.75"/>
    <col customWidth="1" min="54" max="54" width="1.25"/>
  </cols>
  <sheetData>
    <row r="1">
      <c r="A1" s="1"/>
      <c r="B1" s="2"/>
      <c r="C1" s="1"/>
      <c r="D1" s="1"/>
      <c r="E1" s="3"/>
      <c r="F1" s="3"/>
      <c r="G1" s="4"/>
      <c r="H1" s="4"/>
      <c r="I1" s="5"/>
      <c r="J1" s="5"/>
      <c r="K1" s="6"/>
      <c r="L1" s="7"/>
      <c r="M1" s="114"/>
      <c r="N1" s="8"/>
      <c r="O1" s="8"/>
      <c r="P1" s="8"/>
      <c r="Q1" s="8"/>
      <c r="R1" s="8"/>
      <c r="S1" s="8"/>
      <c r="T1" s="8"/>
      <c r="U1" s="9"/>
      <c r="V1" s="9"/>
      <c r="W1" s="9"/>
      <c r="X1" s="9"/>
      <c r="Y1" s="9"/>
      <c r="Z1" s="9"/>
      <c r="AA1" s="10"/>
      <c r="AB1" s="11"/>
      <c r="AC1" s="12"/>
      <c r="AD1" s="12"/>
      <c r="AE1" s="13"/>
      <c r="AF1" s="13"/>
      <c r="AG1" s="1"/>
      <c r="AH1" s="1"/>
      <c r="AI1" s="14"/>
      <c r="AJ1" s="14"/>
      <c r="AK1" s="14"/>
      <c r="AL1" s="15" t="s">
        <v>0</v>
      </c>
      <c r="AM1" s="16" t="s">
        <v>1</v>
      </c>
      <c r="AN1" s="17" t="s">
        <v>2</v>
      </c>
      <c r="AO1" s="16" t="s">
        <v>3</v>
      </c>
      <c r="AP1" s="18" t="s">
        <v>4</v>
      </c>
      <c r="AQ1" s="16" t="s">
        <v>5</v>
      </c>
      <c r="AR1" s="19" t="s">
        <v>6</v>
      </c>
      <c r="AS1" s="16" t="s">
        <v>7</v>
      </c>
      <c r="AT1" s="20" t="s">
        <v>8</v>
      </c>
      <c r="AU1" s="16" t="s">
        <v>9</v>
      </c>
      <c r="AV1" s="21" t="s">
        <v>10</v>
      </c>
      <c r="AW1" s="16" t="s">
        <v>11</v>
      </c>
      <c r="AX1" s="22" t="s">
        <v>12</v>
      </c>
      <c r="AY1" s="16" t="s">
        <v>13</v>
      </c>
      <c r="AZ1" s="23" t="s">
        <v>14</v>
      </c>
      <c r="BA1" s="16" t="s">
        <v>15</v>
      </c>
      <c r="BB1" s="24"/>
    </row>
    <row r="2">
      <c r="A2" s="1"/>
      <c r="B2" s="2"/>
      <c r="C2" s="1"/>
      <c r="D2" s="1"/>
      <c r="E2" s="3"/>
      <c r="G2" s="341" t="s">
        <v>347</v>
      </c>
      <c r="H2" s="4"/>
      <c r="I2" s="342" t="s">
        <v>17</v>
      </c>
      <c r="K2" s="6"/>
      <c r="L2" s="7"/>
      <c r="M2" s="114"/>
      <c r="N2" s="8"/>
      <c r="O2" s="8"/>
      <c r="P2" s="8"/>
      <c r="Q2" s="8"/>
      <c r="R2" s="8"/>
      <c r="S2" s="8"/>
      <c r="T2" s="8"/>
      <c r="U2" s="9"/>
      <c r="V2" s="9"/>
      <c r="W2" s="9"/>
      <c r="X2" s="9"/>
      <c r="Y2" s="9"/>
      <c r="Z2" s="9"/>
      <c r="AA2" s="10"/>
      <c r="AB2" s="11"/>
      <c r="AC2" s="12" t="s">
        <v>18</v>
      </c>
      <c r="AE2" s="13"/>
      <c r="AF2" s="25" t="s">
        <v>19</v>
      </c>
      <c r="AG2" s="343" t="s">
        <v>20</v>
      </c>
      <c r="AH2" s="343" t="s">
        <v>21</v>
      </c>
      <c r="AI2" s="14"/>
      <c r="AJ2" s="14"/>
      <c r="AK2" s="14"/>
      <c r="AM2" s="16" t="s">
        <v>22</v>
      </c>
      <c r="AO2" s="16" t="s">
        <v>23</v>
      </c>
      <c r="AQ2" s="16" t="s">
        <v>24</v>
      </c>
      <c r="AS2" s="16" t="s">
        <v>25</v>
      </c>
      <c r="AU2" s="16" t="s">
        <v>26</v>
      </c>
      <c r="AW2" s="16" t="s">
        <v>27</v>
      </c>
      <c r="AY2" s="16" t="s">
        <v>28</v>
      </c>
      <c r="BA2" s="16" t="s">
        <v>29</v>
      </c>
      <c r="BB2" s="24"/>
    </row>
    <row r="3">
      <c r="A3" s="1"/>
      <c r="B3" s="2"/>
      <c r="C3" s="1"/>
      <c r="D3" s="1"/>
      <c r="E3" s="26"/>
      <c r="F3" s="26"/>
      <c r="G3" s="369" t="s">
        <v>31</v>
      </c>
      <c r="I3" s="291" t="s">
        <v>147</v>
      </c>
      <c r="K3" s="6"/>
      <c r="L3" s="7"/>
      <c r="M3" s="114"/>
      <c r="N3" s="8"/>
      <c r="O3" s="8"/>
      <c r="P3" s="8"/>
      <c r="Q3" s="8"/>
      <c r="R3" s="8"/>
      <c r="S3" s="8"/>
      <c r="T3" s="8"/>
      <c r="U3" s="9"/>
      <c r="V3" s="9"/>
      <c r="W3" s="9"/>
      <c r="X3" s="9"/>
      <c r="Y3" s="9"/>
      <c r="Z3" s="9"/>
      <c r="AA3" s="10"/>
      <c r="AB3" s="11"/>
      <c r="AC3" s="29" t="s">
        <v>32</v>
      </c>
      <c r="AD3" s="29" t="s">
        <v>33</v>
      </c>
      <c r="AE3" s="13"/>
      <c r="AF3" s="1" t="s">
        <v>35</v>
      </c>
      <c r="AG3" s="1" t="s">
        <v>34</v>
      </c>
      <c r="AH3" s="1" t="s">
        <v>75</v>
      </c>
      <c r="AI3" s="14"/>
      <c r="AJ3" s="14"/>
      <c r="AK3" s="14"/>
      <c r="AL3" s="30" t="s">
        <v>43</v>
      </c>
      <c r="AM3" s="16" t="s">
        <v>46</v>
      </c>
      <c r="AN3" s="22" t="s">
        <v>45</v>
      </c>
      <c r="AO3" s="16" t="s">
        <v>48</v>
      </c>
      <c r="AP3" s="32" t="s">
        <v>47</v>
      </c>
      <c r="AQ3" s="16" t="s">
        <v>50</v>
      </c>
      <c r="AR3" s="30" t="s">
        <v>49</v>
      </c>
      <c r="AS3" s="16" t="s">
        <v>52</v>
      </c>
      <c r="AT3" s="33" t="s">
        <v>51</v>
      </c>
      <c r="AU3" s="16" t="s">
        <v>38</v>
      </c>
      <c r="AV3" s="30" t="s">
        <v>37</v>
      </c>
      <c r="AW3" s="16" t="s">
        <v>40</v>
      </c>
      <c r="AX3" s="31" t="s">
        <v>39</v>
      </c>
      <c r="AY3" s="16" t="s">
        <v>42</v>
      </c>
      <c r="AZ3" s="22" t="s">
        <v>41</v>
      </c>
      <c r="BA3" s="16" t="s">
        <v>44</v>
      </c>
      <c r="BB3" s="24"/>
    </row>
    <row r="4">
      <c r="A4" s="1"/>
      <c r="B4" s="2"/>
      <c r="C4" s="1"/>
      <c r="D4" s="1"/>
      <c r="E4" s="26"/>
      <c r="F4" s="26"/>
      <c r="G4" s="317" t="s">
        <v>71</v>
      </c>
      <c r="I4" s="293" t="s">
        <v>202</v>
      </c>
      <c r="K4" s="6"/>
      <c r="L4" s="7"/>
      <c r="M4" s="114"/>
      <c r="N4" s="8"/>
      <c r="O4" s="8"/>
      <c r="P4" s="8"/>
      <c r="Q4" s="8"/>
      <c r="R4" s="8"/>
      <c r="S4" s="8"/>
      <c r="T4" s="8"/>
      <c r="U4" s="9"/>
      <c r="V4" s="9"/>
      <c r="W4" s="9"/>
      <c r="X4" s="9"/>
      <c r="Y4" s="9"/>
      <c r="Z4" s="9"/>
      <c r="AA4" s="10"/>
      <c r="AB4" s="11"/>
      <c r="AC4" s="36"/>
      <c r="AD4" s="36"/>
      <c r="AE4" s="13"/>
      <c r="AF4" s="13"/>
      <c r="AG4" s="37"/>
      <c r="AH4" s="37"/>
      <c r="AI4" s="14"/>
      <c r="AJ4" s="14"/>
      <c r="AK4" s="14"/>
      <c r="AL4" s="33" t="s">
        <v>51</v>
      </c>
      <c r="AM4" s="16" t="s">
        <v>40</v>
      </c>
      <c r="AN4" s="30" t="s">
        <v>37</v>
      </c>
      <c r="AO4" s="16" t="s">
        <v>42</v>
      </c>
      <c r="AP4" s="31" t="s">
        <v>39</v>
      </c>
      <c r="AQ4" s="16" t="s">
        <v>44</v>
      </c>
      <c r="AR4" s="22" t="s">
        <v>41</v>
      </c>
      <c r="AS4" s="16" t="s">
        <v>46</v>
      </c>
      <c r="AT4" s="30" t="s">
        <v>43</v>
      </c>
      <c r="AU4" s="16" t="s">
        <v>48</v>
      </c>
      <c r="AV4" s="22" t="s">
        <v>45</v>
      </c>
      <c r="AW4" s="16" t="s">
        <v>50</v>
      </c>
      <c r="AX4" s="32" t="s">
        <v>47</v>
      </c>
      <c r="AY4" s="16" t="s">
        <v>52</v>
      </c>
      <c r="AZ4" s="30" t="s">
        <v>49</v>
      </c>
      <c r="BA4" s="16" t="s">
        <v>38</v>
      </c>
      <c r="BB4" s="24"/>
    </row>
    <row r="5">
      <c r="A5" s="1"/>
      <c r="B5" s="2"/>
      <c r="C5" s="1"/>
      <c r="D5" s="1"/>
      <c r="E5" s="26"/>
      <c r="F5" s="26"/>
      <c r="G5" s="38" t="s">
        <v>321</v>
      </c>
      <c r="I5" s="39" t="s">
        <v>305</v>
      </c>
      <c r="K5" s="6"/>
      <c r="L5" s="7"/>
      <c r="M5" s="114"/>
      <c r="N5" s="8"/>
      <c r="O5" s="8"/>
      <c r="P5" s="8"/>
      <c r="Q5" s="8"/>
      <c r="R5" s="8"/>
      <c r="S5" s="8"/>
      <c r="T5" s="8"/>
      <c r="U5" s="9"/>
      <c r="V5" s="9"/>
      <c r="W5" s="9"/>
      <c r="X5" s="9"/>
      <c r="Y5" s="9"/>
      <c r="Z5" s="9"/>
      <c r="AA5" s="40" t="s">
        <v>57</v>
      </c>
      <c r="AB5" s="41"/>
      <c r="AC5" s="42" t="s">
        <v>58</v>
      </c>
      <c r="AD5" s="41"/>
      <c r="AE5" s="40" t="s">
        <v>59</v>
      </c>
      <c r="AF5" s="41"/>
      <c r="AG5" s="43" t="s">
        <v>60</v>
      </c>
      <c r="AH5" s="43" t="s">
        <v>61</v>
      </c>
      <c r="AI5" s="42" t="s">
        <v>306</v>
      </c>
      <c r="AJ5" s="44"/>
      <c r="AK5" s="41"/>
      <c r="AL5" s="45"/>
      <c r="AM5" s="16"/>
      <c r="AN5" s="45"/>
      <c r="AO5" s="16"/>
      <c r="AP5" s="45"/>
      <c r="AQ5" s="16"/>
      <c r="AR5" s="45"/>
      <c r="AS5" s="16"/>
      <c r="AT5" s="46"/>
      <c r="AU5" s="16"/>
      <c r="AV5" s="46"/>
      <c r="AW5" s="16"/>
      <c r="AX5" s="47"/>
      <c r="AY5" s="16"/>
      <c r="AZ5" s="47"/>
      <c r="BA5" s="16"/>
      <c r="BB5" s="48"/>
      <c r="BC5" s="16"/>
      <c r="BD5" s="16"/>
    </row>
    <row r="6" ht="3.75" customHeight="1">
      <c r="A6" s="2"/>
      <c r="B6" s="2"/>
      <c r="C6" s="2"/>
      <c r="D6" s="2"/>
      <c r="E6" s="49"/>
      <c r="F6" s="49"/>
      <c r="G6" s="49"/>
      <c r="H6" s="49"/>
      <c r="I6" s="49"/>
      <c r="J6" s="49"/>
      <c r="K6" s="50"/>
      <c r="L6" s="51"/>
      <c r="M6" s="294"/>
      <c r="N6" s="52"/>
      <c r="O6" s="52"/>
      <c r="P6" s="52"/>
      <c r="Q6" s="52"/>
      <c r="R6" s="52"/>
      <c r="S6" s="52"/>
      <c r="T6" s="52"/>
      <c r="U6" s="53"/>
      <c r="V6" s="53"/>
      <c r="W6" s="53"/>
      <c r="X6" s="53"/>
      <c r="Y6" s="53"/>
      <c r="Z6" s="53"/>
      <c r="AA6" s="54"/>
      <c r="AB6" s="55"/>
      <c r="AC6" s="56"/>
      <c r="AD6" s="56"/>
      <c r="AE6" s="57"/>
      <c r="AF6" s="57"/>
      <c r="AG6" s="58"/>
      <c r="AH6" s="58"/>
      <c r="AI6" s="59"/>
      <c r="AJ6" s="59"/>
      <c r="AK6" s="59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60"/>
      <c r="BA6" s="24"/>
      <c r="BB6" s="24"/>
      <c r="BC6" s="24"/>
      <c r="BD6" s="24"/>
      <c r="BE6" s="24"/>
      <c r="BF6" s="24"/>
      <c r="BG6" s="24"/>
    </row>
    <row r="7">
      <c r="A7" s="188" t="s">
        <v>199</v>
      </c>
      <c r="B7" s="62"/>
      <c r="C7" s="63"/>
      <c r="D7" s="63"/>
      <c r="E7" s="64">
        <f>(O8+P8+Q8+R8)/(O9+P9+Q9+R9)</f>
        <v>0.6625</v>
      </c>
      <c r="F7" s="65"/>
      <c r="G7" s="66"/>
      <c r="H7" s="66"/>
      <c r="I7" s="67"/>
      <c r="J7" s="67"/>
      <c r="K7" s="68"/>
      <c r="L7" s="69"/>
      <c r="M7" s="63" t="s">
        <v>64</v>
      </c>
      <c r="N7" s="70"/>
      <c r="O7" s="71" t="s">
        <v>65</v>
      </c>
      <c r="P7" s="72"/>
      <c r="Q7" s="72"/>
      <c r="R7" s="70"/>
      <c r="S7" s="71" t="s">
        <v>66</v>
      </c>
      <c r="T7" s="70"/>
      <c r="U7" s="71" t="s">
        <v>67</v>
      </c>
      <c r="V7" s="70"/>
      <c r="W7" s="71" t="s">
        <v>348</v>
      </c>
      <c r="X7" s="70"/>
      <c r="Y7" s="71" t="s">
        <v>68</v>
      </c>
      <c r="Z7" s="70"/>
      <c r="AA7" s="134" t="s">
        <v>69</v>
      </c>
      <c r="AB7" s="74" t="s">
        <v>70</v>
      </c>
      <c r="AC7" s="75" t="s">
        <v>71</v>
      </c>
      <c r="AD7" s="75" t="s">
        <v>72</v>
      </c>
      <c r="AE7" s="76" t="s">
        <v>73</v>
      </c>
      <c r="AF7" s="77" t="s">
        <v>74</v>
      </c>
      <c r="AG7" s="63" t="s">
        <v>35</v>
      </c>
      <c r="AH7" s="78" t="s">
        <v>75</v>
      </c>
      <c r="AI7" s="79" t="s">
        <v>76</v>
      </c>
      <c r="AJ7" s="79">
        <v>240.0</v>
      </c>
      <c r="AK7" s="79" t="s">
        <v>77</v>
      </c>
      <c r="AL7" s="80" t="str">
        <f>AL1</f>
        <v>開</v>
      </c>
      <c r="AM7" s="81" t="s">
        <v>38</v>
      </c>
      <c r="AN7" s="82" t="str">
        <f>AN1</f>
        <v>休</v>
      </c>
      <c r="AO7" s="81" t="s">
        <v>40</v>
      </c>
      <c r="AP7" s="82" t="s">
        <v>4</v>
      </c>
      <c r="AQ7" s="81" t="s">
        <v>42</v>
      </c>
      <c r="AR7" s="82" t="str">
        <f>AR1</f>
        <v>傷</v>
      </c>
      <c r="AS7" s="81" t="s">
        <v>44</v>
      </c>
      <c r="AT7" s="82" t="s">
        <v>8</v>
      </c>
      <c r="AU7" s="81" t="s">
        <v>46</v>
      </c>
      <c r="AV7" s="82" t="str">
        <f>AV1</f>
        <v>景</v>
      </c>
      <c r="AW7" s="81" t="s">
        <v>48</v>
      </c>
      <c r="AX7" s="82" t="str">
        <f>AX1</f>
        <v>死</v>
      </c>
      <c r="AY7" s="81" t="s">
        <v>50</v>
      </c>
      <c r="AZ7" s="82" t="str">
        <f>AZ1</f>
        <v>驚</v>
      </c>
      <c r="BA7" s="81" t="s">
        <v>52</v>
      </c>
      <c r="BB7" s="83"/>
      <c r="BC7" s="84"/>
      <c r="BD7" s="84"/>
      <c r="BE7" s="84"/>
    </row>
    <row r="8">
      <c r="A8" s="85">
        <v>1.0</v>
      </c>
      <c r="B8" s="86"/>
      <c r="C8" s="12" t="s">
        <v>146</v>
      </c>
      <c r="E8" s="136" t="s">
        <v>147</v>
      </c>
      <c r="F8" s="88"/>
      <c r="G8" s="369" t="s">
        <v>222</v>
      </c>
      <c r="I8" s="268" t="str">
        <f t="shared" ref="I8:I9" si="1">I3:J3</f>
        <v>丙</v>
      </c>
      <c r="K8" s="90">
        <f>L8/L9</f>
        <v>0.6375</v>
      </c>
      <c r="L8" s="91">
        <f t="shared" ref="L8:L9" si="2">Z8+Y8+X8+W8+V8+U8+T8+S8+R8+Q8+P8+O8</f>
        <v>765</v>
      </c>
      <c r="M8" s="92">
        <v>0.0</v>
      </c>
      <c r="N8" s="93">
        <v>0.0</v>
      </c>
      <c r="O8" s="92">
        <v>55.0</v>
      </c>
      <c r="P8" s="92">
        <v>100.0</v>
      </c>
      <c r="Q8" s="92">
        <v>100.0</v>
      </c>
      <c r="R8" s="93">
        <v>10.0</v>
      </c>
      <c r="S8" s="92">
        <v>40.0</v>
      </c>
      <c r="T8" s="93">
        <v>110.0</v>
      </c>
      <c r="U8" s="92">
        <v>5.0</v>
      </c>
      <c r="V8" s="93">
        <v>60.0</v>
      </c>
      <c r="W8" s="92">
        <v>110.0</v>
      </c>
      <c r="X8" s="93">
        <v>5.0</v>
      </c>
      <c r="Y8" s="92">
        <v>110.0</v>
      </c>
      <c r="Z8" s="93">
        <v>60.0</v>
      </c>
      <c r="AA8" s="73" t="s">
        <v>80</v>
      </c>
      <c r="AB8" s="94" t="s">
        <v>81</v>
      </c>
      <c r="AC8" s="36"/>
      <c r="AD8" s="29"/>
      <c r="AE8" s="95" t="s">
        <v>82</v>
      </c>
      <c r="AF8" s="96" t="s">
        <v>83</v>
      </c>
      <c r="AG8" s="37"/>
      <c r="AH8" s="97"/>
      <c r="AI8" s="12" t="s">
        <v>84</v>
      </c>
      <c r="AJ8" s="12">
        <v>0.0</v>
      </c>
      <c r="AK8" s="12" t="s">
        <v>85</v>
      </c>
      <c r="AL8" s="98" t="s">
        <v>51</v>
      </c>
      <c r="AM8" s="101" t="s">
        <v>95</v>
      </c>
      <c r="AN8" s="100" t="s">
        <v>86</v>
      </c>
      <c r="AO8" s="99" t="s">
        <v>87</v>
      </c>
      <c r="AP8" s="100" t="s">
        <v>88</v>
      </c>
      <c r="AQ8" s="101" t="s">
        <v>89</v>
      </c>
      <c r="AR8" s="100" t="s">
        <v>45</v>
      </c>
      <c r="AS8" s="102" t="s">
        <v>90</v>
      </c>
      <c r="AT8" s="100" t="s">
        <v>43</v>
      </c>
      <c r="AU8" s="101" t="s">
        <v>91</v>
      </c>
      <c r="AV8" s="100" t="s">
        <v>41</v>
      </c>
      <c r="AW8" s="103" t="s">
        <v>92</v>
      </c>
      <c r="AX8" s="100" t="s">
        <v>39</v>
      </c>
      <c r="AY8" s="99" t="s">
        <v>93</v>
      </c>
      <c r="AZ8" s="100" t="s">
        <v>37</v>
      </c>
      <c r="BA8" s="99" t="s">
        <v>94</v>
      </c>
      <c r="BB8" s="24"/>
      <c r="BC8" s="47" t="s">
        <v>86</v>
      </c>
      <c r="BD8" s="104" t="s">
        <v>87</v>
      </c>
      <c r="BE8" s="47" t="s">
        <v>88</v>
      </c>
      <c r="BF8" s="105" t="s">
        <v>89</v>
      </c>
      <c r="BG8" s="47"/>
    </row>
    <row r="9">
      <c r="A9" s="344" t="str">
        <f>G2</f>
        <v>กรกฎาคม</v>
      </c>
      <c r="B9" s="86"/>
      <c r="C9" s="106" t="s">
        <v>151</v>
      </c>
      <c r="E9" s="107" t="s">
        <v>84</v>
      </c>
      <c r="F9" s="88"/>
      <c r="G9" s="293" t="s">
        <v>202</v>
      </c>
      <c r="I9" s="35" t="str">
        <f t="shared" si="1"/>
        <v>午</v>
      </c>
      <c r="K9" s="36"/>
      <c r="L9" s="109">
        <f t="shared" si="2"/>
        <v>1200</v>
      </c>
      <c r="M9" s="9">
        <v>0.0</v>
      </c>
      <c r="N9" s="110">
        <v>0.0</v>
      </c>
      <c r="O9" s="9">
        <v>100.0</v>
      </c>
      <c r="P9" s="9">
        <v>100.0</v>
      </c>
      <c r="Q9" s="9">
        <v>100.0</v>
      </c>
      <c r="R9" s="110">
        <v>100.0</v>
      </c>
      <c r="S9" s="9">
        <v>100.0</v>
      </c>
      <c r="T9" s="110">
        <v>100.0</v>
      </c>
      <c r="U9" s="9">
        <v>100.0</v>
      </c>
      <c r="V9" s="110">
        <v>100.0</v>
      </c>
      <c r="W9" s="9">
        <v>100.0</v>
      </c>
      <c r="X9" s="110">
        <v>100.0</v>
      </c>
      <c r="Y9" s="9">
        <v>100.0</v>
      </c>
      <c r="Z9" s="110">
        <v>100.0</v>
      </c>
      <c r="AA9" s="73" t="s">
        <v>98</v>
      </c>
      <c r="AB9" s="94" t="s">
        <v>99</v>
      </c>
      <c r="AC9" s="36"/>
      <c r="AD9" s="36"/>
      <c r="AE9" s="111"/>
      <c r="AF9" s="112"/>
      <c r="AG9" s="37"/>
      <c r="AH9" s="97"/>
      <c r="AI9" s="14"/>
      <c r="AJ9" s="14"/>
      <c r="AK9" s="14"/>
      <c r="AL9" s="113"/>
      <c r="AM9" s="105" t="s">
        <v>107</v>
      </c>
      <c r="AO9" s="104" t="s">
        <v>100</v>
      </c>
      <c r="AQ9" s="114" t="s">
        <v>101</v>
      </c>
      <c r="AS9" s="105" t="s">
        <v>102</v>
      </c>
      <c r="AU9" s="105" t="s">
        <v>103</v>
      </c>
      <c r="AW9" s="104" t="s">
        <v>104</v>
      </c>
      <c r="AY9" s="104" t="s">
        <v>105</v>
      </c>
      <c r="BA9" s="104" t="s">
        <v>106</v>
      </c>
      <c r="BB9" s="24"/>
      <c r="BD9" s="104" t="s">
        <v>100</v>
      </c>
      <c r="BF9" s="114" t="s">
        <v>101</v>
      </c>
    </row>
    <row r="10">
      <c r="A10" s="85">
        <v>2569.0</v>
      </c>
      <c r="B10" s="86"/>
      <c r="E10" s="345" t="s">
        <v>110</v>
      </c>
      <c r="F10" s="349" t="s">
        <v>116</v>
      </c>
      <c r="G10" s="9" t="s">
        <v>108</v>
      </c>
      <c r="H10" s="9" t="s">
        <v>214</v>
      </c>
      <c r="I10" s="9" t="s">
        <v>204</v>
      </c>
      <c r="J10" s="9" t="s">
        <v>214</v>
      </c>
      <c r="K10" s="36"/>
      <c r="L10" s="117"/>
      <c r="M10" s="118" t="str">
        <f t="shared" ref="M10:P10" si="3">C10</f>
        <v/>
      </c>
      <c r="N10" s="119" t="str">
        <f t="shared" si="3"/>
        <v/>
      </c>
      <c r="O10" s="118" t="str">
        <f t="shared" si="3"/>
        <v>A11</v>
      </c>
      <c r="P10" s="118" t="str">
        <f t="shared" si="3"/>
        <v>B5</v>
      </c>
      <c r="Q10" s="118" t="str">
        <f t="shared" ref="Q10:R10" si="4">E11</f>
        <v>B5</v>
      </c>
      <c r="R10" s="119" t="str">
        <f t="shared" si="4"/>
        <v>C7</v>
      </c>
      <c r="S10" s="9" t="s">
        <v>112</v>
      </c>
      <c r="T10" s="110" t="s">
        <v>204</v>
      </c>
      <c r="U10" s="9" t="str">
        <f t="shared" ref="U10:V10" si="5">G10</f>
        <v>A8</v>
      </c>
      <c r="V10" s="110" t="str">
        <f t="shared" si="5"/>
        <v>B11</v>
      </c>
      <c r="W10" s="9" t="s">
        <v>204</v>
      </c>
      <c r="X10" s="110" t="s">
        <v>108</v>
      </c>
      <c r="Y10" s="118" t="str">
        <f t="shared" ref="Y10:Z10" si="6">I10</f>
        <v>A5</v>
      </c>
      <c r="Z10" s="120" t="str">
        <f t="shared" si="6"/>
        <v>B11</v>
      </c>
      <c r="AA10" s="73" t="s">
        <v>116</v>
      </c>
      <c r="AB10" s="94" t="s">
        <v>117</v>
      </c>
      <c r="AC10" s="36"/>
      <c r="AD10" s="36"/>
      <c r="AE10" s="111"/>
      <c r="AF10" s="112"/>
      <c r="AG10" s="37"/>
      <c r="AH10" s="97"/>
      <c r="AI10" s="14"/>
      <c r="AJ10" s="14"/>
      <c r="AK10" s="14"/>
      <c r="AL10" s="113"/>
      <c r="AM10" s="105" t="s">
        <v>125</v>
      </c>
      <c r="AO10" s="104" t="s">
        <v>118</v>
      </c>
      <c r="AQ10" s="114" t="s">
        <v>119</v>
      </c>
      <c r="AS10" s="105" t="s">
        <v>120</v>
      </c>
      <c r="AU10" s="105" t="s">
        <v>121</v>
      </c>
      <c r="AW10" s="104" t="s">
        <v>122</v>
      </c>
      <c r="AY10" s="104" t="s">
        <v>123</v>
      </c>
      <c r="BA10" s="104" t="s">
        <v>124</v>
      </c>
      <c r="BB10" s="24"/>
      <c r="BD10" s="104" t="s">
        <v>118</v>
      </c>
      <c r="BF10" s="114" t="s">
        <v>119</v>
      </c>
    </row>
    <row r="11">
      <c r="A11" s="85">
        <f>A10-543</f>
        <v>2026</v>
      </c>
      <c r="B11" s="86"/>
      <c r="C11" s="347"/>
      <c r="E11" s="115" t="s">
        <v>116</v>
      </c>
      <c r="F11" s="348" t="s">
        <v>220</v>
      </c>
      <c r="G11" s="9"/>
      <c r="H11" s="118"/>
      <c r="I11" s="118"/>
      <c r="J11" s="118"/>
      <c r="K11" s="36"/>
      <c r="L11" s="117"/>
      <c r="M11" s="8"/>
      <c r="N11" s="121"/>
      <c r="O11" s="8"/>
      <c r="P11" s="8"/>
      <c r="Q11" s="8"/>
      <c r="R11" s="121"/>
      <c r="S11" s="8"/>
      <c r="T11" s="121"/>
      <c r="U11" s="9"/>
      <c r="V11" s="110"/>
      <c r="W11" s="9"/>
      <c r="X11" s="110"/>
      <c r="Y11" s="9"/>
      <c r="Z11" s="110"/>
      <c r="AA11" s="73" t="s">
        <v>126</v>
      </c>
      <c r="AB11" s="94" t="s">
        <v>128</v>
      </c>
      <c r="AC11" s="36"/>
      <c r="AD11" s="36"/>
      <c r="AE11" s="111"/>
      <c r="AF11" s="112"/>
      <c r="AG11" s="37"/>
      <c r="AH11" s="97"/>
      <c r="AI11" s="14"/>
      <c r="AJ11" s="14"/>
      <c r="AK11" s="14"/>
      <c r="AL11" s="113"/>
      <c r="AM11" s="105" t="s">
        <v>136</v>
      </c>
      <c r="AO11" s="104" t="s">
        <v>129</v>
      </c>
      <c r="AQ11" s="114" t="s">
        <v>130</v>
      </c>
      <c r="AS11" s="105" t="s">
        <v>131</v>
      </c>
      <c r="AU11" s="105" t="s">
        <v>132</v>
      </c>
      <c r="AW11" s="104" t="s">
        <v>133</v>
      </c>
      <c r="AY11" s="104" t="s">
        <v>134</v>
      </c>
      <c r="BA11" s="104" t="s">
        <v>135</v>
      </c>
      <c r="BB11" s="24"/>
      <c r="BD11" s="104" t="s">
        <v>129</v>
      </c>
      <c r="BF11" s="114" t="s">
        <v>130</v>
      </c>
    </row>
    <row r="12">
      <c r="A12" s="388" t="s">
        <v>242</v>
      </c>
      <c r="B12" s="2"/>
      <c r="C12" s="1" t="s">
        <v>336</v>
      </c>
      <c r="E12" s="389" t="s">
        <v>157</v>
      </c>
      <c r="F12" s="125"/>
      <c r="G12" s="39" t="s">
        <v>304</v>
      </c>
      <c r="I12" s="39" t="str">
        <f>I5</f>
        <v>อสูรปี N</v>
      </c>
      <c r="K12" s="90"/>
      <c r="L12" s="126"/>
      <c r="M12" s="8"/>
      <c r="N12" s="121"/>
      <c r="O12" s="8"/>
      <c r="P12" s="8"/>
      <c r="Q12" s="8"/>
      <c r="R12" s="121"/>
      <c r="S12" s="8"/>
      <c r="T12" s="121"/>
      <c r="U12" s="9"/>
      <c r="V12" s="110"/>
      <c r="W12" s="9"/>
      <c r="X12" s="110"/>
      <c r="Y12" s="9"/>
      <c r="Z12" s="110"/>
      <c r="AA12" s="127"/>
      <c r="AB12" s="155"/>
      <c r="AC12" s="36"/>
      <c r="AD12" s="36"/>
      <c r="AE12" s="235"/>
      <c r="AF12" s="236"/>
      <c r="AG12" s="237"/>
      <c r="AH12" s="238"/>
      <c r="AI12" s="239"/>
      <c r="AJ12" s="239"/>
      <c r="AK12" s="239"/>
      <c r="AL12" s="113"/>
      <c r="BA12" s="128"/>
      <c r="BB12" s="24"/>
      <c r="BD12" s="129"/>
      <c r="BF12" s="128"/>
    </row>
    <row r="13">
      <c r="A13" s="188" t="s">
        <v>63</v>
      </c>
      <c r="B13" s="62"/>
      <c r="C13" s="63"/>
      <c r="D13" s="63"/>
      <c r="E13" s="64">
        <f>(O14+P14+Q14+R14)/(O15+P15+Q15+R15)</f>
        <v>0.475</v>
      </c>
      <c r="F13" s="65"/>
      <c r="G13" s="133"/>
      <c r="H13" s="66"/>
      <c r="I13" s="67"/>
      <c r="J13" s="67"/>
      <c r="K13" s="68"/>
      <c r="L13" s="69"/>
      <c r="M13" s="63" t="s">
        <v>64</v>
      </c>
      <c r="N13" s="70"/>
      <c r="O13" s="71" t="s">
        <v>65</v>
      </c>
      <c r="P13" s="72"/>
      <c r="Q13" s="72"/>
      <c r="R13" s="70"/>
      <c r="S13" s="71" t="s">
        <v>66</v>
      </c>
      <c r="T13" s="70"/>
      <c r="U13" s="71" t="s">
        <v>67</v>
      </c>
      <c r="V13" s="70"/>
      <c r="W13" s="71" t="s">
        <v>348</v>
      </c>
      <c r="X13" s="70"/>
      <c r="Y13" s="71" t="s">
        <v>68</v>
      </c>
      <c r="Z13" s="70"/>
      <c r="AA13" s="134" t="s">
        <v>116</v>
      </c>
      <c r="AB13" s="74" t="s">
        <v>140</v>
      </c>
      <c r="AC13" s="75" t="s">
        <v>31</v>
      </c>
      <c r="AD13" s="75" t="s">
        <v>141</v>
      </c>
      <c r="AE13" s="135" t="s">
        <v>142</v>
      </c>
      <c r="AF13" s="74" t="s">
        <v>143</v>
      </c>
      <c r="AG13" s="63" t="s">
        <v>75</v>
      </c>
      <c r="AH13" s="78" t="s">
        <v>144</v>
      </c>
      <c r="AI13" s="79" t="s">
        <v>32</v>
      </c>
      <c r="AJ13" s="79">
        <v>270.0</v>
      </c>
      <c r="AK13" s="79" t="s">
        <v>145</v>
      </c>
      <c r="AL13" s="80" t="str">
        <f>AL7</f>
        <v>開</v>
      </c>
      <c r="AM13" s="81" t="s">
        <v>48</v>
      </c>
      <c r="AN13" s="82" t="str">
        <f>AN7</f>
        <v>休</v>
      </c>
      <c r="AO13" s="81" t="s">
        <v>50</v>
      </c>
      <c r="AP13" s="82" t="s">
        <v>4</v>
      </c>
      <c r="AQ13" s="81" t="s">
        <v>52</v>
      </c>
      <c r="AR13" s="82" t="str">
        <f>AR7</f>
        <v>傷</v>
      </c>
      <c r="AS13" s="81" t="s">
        <v>38</v>
      </c>
      <c r="AT13" s="82" t="s">
        <v>8</v>
      </c>
      <c r="AU13" s="81" t="s">
        <v>40</v>
      </c>
      <c r="AV13" s="82" t="str">
        <f>AV7</f>
        <v>景</v>
      </c>
      <c r="AW13" s="81" t="s">
        <v>42</v>
      </c>
      <c r="AX13" s="82" t="str">
        <f>AX7</f>
        <v>死</v>
      </c>
      <c r="AY13" s="81" t="s">
        <v>44</v>
      </c>
      <c r="AZ13" s="82" t="str">
        <f>AZ7</f>
        <v>驚</v>
      </c>
      <c r="BA13" s="81" t="s">
        <v>46</v>
      </c>
      <c r="BB13" s="83"/>
      <c r="BC13" s="84"/>
      <c r="BD13" s="84"/>
      <c r="BE13" s="84"/>
    </row>
    <row r="14">
      <c r="A14" s="85">
        <f>A8+1</f>
        <v>2</v>
      </c>
      <c r="B14" s="86"/>
      <c r="C14" s="12" t="s">
        <v>160</v>
      </c>
      <c r="E14" s="160" t="s">
        <v>161</v>
      </c>
      <c r="F14" s="88"/>
      <c r="G14" s="374" t="str">
        <f t="shared" ref="G14:G15" si="8">G8:H8</f>
        <v>甲</v>
      </c>
      <c r="I14" s="275" t="str">
        <f t="shared" ref="I14:I15" si="9">I8:J8</f>
        <v>丙</v>
      </c>
      <c r="K14" s="90">
        <f>L14/L15</f>
        <v>0.6125</v>
      </c>
      <c r="L14" s="91">
        <f t="shared" ref="L14:L15" si="10">Z14+Y14+X14+W14+V14+U14+T14+S14+R14+Q14+P14+O14</f>
        <v>735</v>
      </c>
      <c r="M14" s="92">
        <v>0.0</v>
      </c>
      <c r="N14" s="93">
        <v>0.0</v>
      </c>
      <c r="O14" s="92">
        <v>50.0</v>
      </c>
      <c r="P14" s="92">
        <v>90.0</v>
      </c>
      <c r="Q14" s="92">
        <v>30.0</v>
      </c>
      <c r="R14" s="93">
        <v>20.0</v>
      </c>
      <c r="S14" s="92">
        <v>95.0</v>
      </c>
      <c r="T14" s="93">
        <v>100.0</v>
      </c>
      <c r="U14" s="92">
        <f t="shared" ref="U14:Z14" si="7">U8</f>
        <v>5</v>
      </c>
      <c r="V14" s="93">
        <f t="shared" si="7"/>
        <v>60</v>
      </c>
      <c r="W14" s="92">
        <f t="shared" si="7"/>
        <v>110</v>
      </c>
      <c r="X14" s="93">
        <f t="shared" si="7"/>
        <v>5</v>
      </c>
      <c r="Y14" s="92">
        <f t="shared" si="7"/>
        <v>110</v>
      </c>
      <c r="Z14" s="93">
        <f t="shared" si="7"/>
        <v>60</v>
      </c>
      <c r="AA14" s="73" t="s">
        <v>126</v>
      </c>
      <c r="AB14" s="94" t="s">
        <v>70</v>
      </c>
      <c r="AC14" s="29"/>
      <c r="AD14" s="29"/>
      <c r="AE14" s="139" t="s">
        <v>148</v>
      </c>
      <c r="AF14" s="96" t="s">
        <v>149</v>
      </c>
      <c r="AG14" s="37"/>
      <c r="AH14" s="97"/>
      <c r="AI14" s="12" t="s">
        <v>97</v>
      </c>
      <c r="AJ14" s="12">
        <v>330.0</v>
      </c>
      <c r="AK14" s="12" t="s">
        <v>150</v>
      </c>
      <c r="AL14" s="98" t="s">
        <v>51</v>
      </c>
      <c r="AM14" s="101" t="s">
        <v>95</v>
      </c>
      <c r="AN14" s="100" t="s">
        <v>86</v>
      </c>
      <c r="AO14" s="99" t="s">
        <v>87</v>
      </c>
      <c r="AP14" s="100" t="s">
        <v>88</v>
      </c>
      <c r="AQ14" s="101" t="s">
        <v>89</v>
      </c>
      <c r="AR14" s="100" t="s">
        <v>45</v>
      </c>
      <c r="AS14" s="102" t="s">
        <v>90</v>
      </c>
      <c r="AT14" s="100" t="s">
        <v>43</v>
      </c>
      <c r="AU14" s="101" t="s">
        <v>91</v>
      </c>
      <c r="AV14" s="100" t="s">
        <v>41</v>
      </c>
      <c r="AW14" s="103" t="s">
        <v>92</v>
      </c>
      <c r="AX14" s="100" t="s">
        <v>39</v>
      </c>
      <c r="AY14" s="99" t="s">
        <v>93</v>
      </c>
      <c r="AZ14" s="100" t="s">
        <v>37</v>
      </c>
      <c r="BA14" s="99" t="s">
        <v>94</v>
      </c>
      <c r="BB14" s="24"/>
    </row>
    <row r="15">
      <c r="A15" s="344" t="str">
        <f t="shared" ref="A15:A17" si="11">A9</f>
        <v>กรกฎาคม</v>
      </c>
      <c r="B15" s="86"/>
      <c r="C15" s="106" t="s">
        <v>162</v>
      </c>
      <c r="E15" s="162" t="s">
        <v>53</v>
      </c>
      <c r="F15" s="88"/>
      <c r="G15" s="223" t="str">
        <f t="shared" si="8"/>
        <v>午</v>
      </c>
      <c r="I15" s="142" t="str">
        <f t="shared" si="9"/>
        <v>午</v>
      </c>
      <c r="K15" s="36"/>
      <c r="L15" s="109">
        <f t="shared" si="10"/>
        <v>1200</v>
      </c>
      <c r="M15" s="9">
        <v>0.0</v>
      </c>
      <c r="N15" s="110">
        <v>0.0</v>
      </c>
      <c r="O15" s="9">
        <v>100.0</v>
      </c>
      <c r="P15" s="9">
        <v>100.0</v>
      </c>
      <c r="Q15" s="9">
        <v>100.0</v>
      </c>
      <c r="R15" s="110">
        <v>100.0</v>
      </c>
      <c r="S15" s="9">
        <v>100.0</v>
      </c>
      <c r="T15" s="110">
        <v>100.0</v>
      </c>
      <c r="U15" s="9">
        <v>100.0</v>
      </c>
      <c r="V15" s="110">
        <v>100.0</v>
      </c>
      <c r="W15" s="9">
        <v>100.0</v>
      </c>
      <c r="X15" s="110">
        <v>100.0</v>
      </c>
      <c r="Y15" s="9">
        <v>100.0</v>
      </c>
      <c r="Z15" s="110">
        <v>100.0</v>
      </c>
      <c r="AA15" s="73" t="s">
        <v>69</v>
      </c>
      <c r="AB15" s="94" t="s">
        <v>152</v>
      </c>
      <c r="AC15" s="36"/>
      <c r="AD15" s="36"/>
      <c r="AE15" s="111"/>
      <c r="AF15" s="112"/>
      <c r="AG15" s="37"/>
      <c r="AH15" s="97"/>
      <c r="AI15" s="14"/>
      <c r="AJ15" s="14"/>
      <c r="AK15" s="14"/>
      <c r="AL15" s="113"/>
      <c r="AM15" s="105" t="s">
        <v>107</v>
      </c>
      <c r="AO15" s="104" t="s">
        <v>100</v>
      </c>
      <c r="AQ15" s="114" t="s">
        <v>101</v>
      </c>
      <c r="AS15" s="105" t="s">
        <v>102</v>
      </c>
      <c r="AU15" s="105" t="s">
        <v>103</v>
      </c>
      <c r="AW15" s="104" t="s">
        <v>104</v>
      </c>
      <c r="AY15" s="104" t="s">
        <v>105</v>
      </c>
      <c r="BA15" s="104" t="s">
        <v>106</v>
      </c>
      <c r="BB15" s="24"/>
    </row>
    <row r="16">
      <c r="A16" s="85">
        <f t="shared" si="11"/>
        <v>2569</v>
      </c>
      <c r="B16" s="86"/>
      <c r="E16" s="345" t="s">
        <v>164</v>
      </c>
      <c r="F16" s="349" t="s">
        <v>126</v>
      </c>
      <c r="G16" s="115" t="str">
        <f t="shared" ref="G16:H16" si="12">G10</f>
        <v>A8</v>
      </c>
      <c r="H16" s="9" t="str">
        <f t="shared" si="12"/>
        <v>B11</v>
      </c>
      <c r="I16" s="9" t="s">
        <v>204</v>
      </c>
      <c r="J16" s="9" t="s">
        <v>214</v>
      </c>
      <c r="K16" s="36"/>
      <c r="L16" s="117"/>
      <c r="M16" s="118" t="str">
        <f t="shared" ref="M16:P16" si="13">C16</f>
        <v/>
      </c>
      <c r="N16" s="119" t="str">
        <f t="shared" si="13"/>
        <v/>
      </c>
      <c r="O16" s="118" t="str">
        <f t="shared" si="13"/>
        <v>A9</v>
      </c>
      <c r="P16" s="118" t="str">
        <f t="shared" si="13"/>
        <v>B6</v>
      </c>
      <c r="Q16" s="118" t="str">
        <f t="shared" ref="Q16:R16" si="14">E17</f>
        <v>B4</v>
      </c>
      <c r="R16" s="119" t="str">
        <f t="shared" si="14"/>
        <v>C8</v>
      </c>
      <c r="S16" s="9" t="s">
        <v>219</v>
      </c>
      <c r="T16" s="110" t="s">
        <v>213</v>
      </c>
      <c r="U16" s="9" t="str">
        <f t="shared" ref="U16:X16" si="15">U10</f>
        <v>A8</v>
      </c>
      <c r="V16" s="119" t="str">
        <f t="shared" si="15"/>
        <v>B11</v>
      </c>
      <c r="W16" s="9" t="str">
        <f t="shared" si="15"/>
        <v>A5</v>
      </c>
      <c r="X16" s="110" t="str">
        <f t="shared" si="15"/>
        <v>A8</v>
      </c>
      <c r="Y16" s="118" t="str">
        <f>I16</f>
        <v>A5</v>
      </c>
      <c r="Z16" s="120" t="str">
        <f>Z10</f>
        <v>B11</v>
      </c>
      <c r="AA16" s="73" t="s">
        <v>80</v>
      </c>
      <c r="AB16" s="94" t="s">
        <v>153</v>
      </c>
      <c r="AC16" s="36"/>
      <c r="AD16" s="36"/>
      <c r="AE16" s="111"/>
      <c r="AF16" s="112"/>
      <c r="AG16" s="37"/>
      <c r="AH16" s="97"/>
      <c r="AI16" s="14"/>
      <c r="AJ16" s="14"/>
      <c r="AK16" s="14"/>
      <c r="AL16" s="113"/>
      <c r="AM16" s="105" t="s">
        <v>125</v>
      </c>
      <c r="AO16" s="104" t="s">
        <v>118</v>
      </c>
      <c r="AQ16" s="114" t="s">
        <v>119</v>
      </c>
      <c r="AS16" s="105" t="s">
        <v>120</v>
      </c>
      <c r="AU16" s="105" t="s">
        <v>121</v>
      </c>
      <c r="AW16" s="104" t="s">
        <v>122</v>
      </c>
      <c r="AY16" s="104" t="s">
        <v>123</v>
      </c>
      <c r="BA16" s="104" t="s">
        <v>124</v>
      </c>
      <c r="BB16" s="24"/>
    </row>
    <row r="17">
      <c r="A17" s="85">
        <f t="shared" si="11"/>
        <v>2026</v>
      </c>
      <c r="B17" s="86"/>
      <c r="C17" s="304"/>
      <c r="E17" s="115" t="s">
        <v>109</v>
      </c>
      <c r="F17" s="348" t="s">
        <v>225</v>
      </c>
      <c r="G17" s="115"/>
      <c r="H17" s="118"/>
      <c r="I17" s="118"/>
      <c r="J17" s="118"/>
      <c r="K17" s="36"/>
      <c r="L17" s="117"/>
      <c r="M17" s="8"/>
      <c r="N17" s="121"/>
      <c r="O17" s="8"/>
      <c r="P17" s="8"/>
      <c r="Q17" s="8"/>
      <c r="R17" s="121"/>
      <c r="S17" s="8"/>
      <c r="T17" s="121"/>
      <c r="U17" s="9"/>
      <c r="V17" s="110"/>
      <c r="W17" s="9"/>
      <c r="X17" s="110"/>
      <c r="Y17" s="9"/>
      <c r="Z17" s="110"/>
      <c r="AA17" s="73" t="s">
        <v>98</v>
      </c>
      <c r="AB17" s="94" t="s">
        <v>155</v>
      </c>
      <c r="AC17" s="36"/>
      <c r="AD17" s="36"/>
      <c r="AE17" s="111"/>
      <c r="AF17" s="112"/>
      <c r="AG17" s="37"/>
      <c r="AH17" s="97"/>
      <c r="AI17" s="14"/>
      <c r="AJ17" s="14"/>
      <c r="AK17" s="14"/>
      <c r="AL17" s="113"/>
      <c r="AM17" s="105" t="s">
        <v>136</v>
      </c>
      <c r="AO17" s="104" t="s">
        <v>129</v>
      </c>
      <c r="AQ17" s="114" t="s">
        <v>130</v>
      </c>
      <c r="AS17" s="105" t="s">
        <v>131</v>
      </c>
      <c r="AU17" s="105" t="s">
        <v>132</v>
      </c>
      <c r="AW17" s="104" t="s">
        <v>133</v>
      </c>
      <c r="AY17" s="104" t="s">
        <v>134</v>
      </c>
      <c r="BA17" s="104" t="s">
        <v>135</v>
      </c>
      <c r="BB17" s="24"/>
    </row>
    <row r="18">
      <c r="A18" s="351"/>
      <c r="B18" s="144"/>
      <c r="C18" s="1"/>
      <c r="D18" s="123"/>
      <c r="E18" s="164" t="s">
        <v>168</v>
      </c>
      <c r="F18" s="88"/>
      <c r="G18" s="146" t="str">
        <f>G12</f>
        <v>อสูรเดือน N</v>
      </c>
      <c r="H18" s="147"/>
      <c r="I18" s="148" t="str">
        <f>I12:J12</f>
        <v>อสูรปี N</v>
      </c>
      <c r="J18" s="147"/>
      <c r="K18" s="149"/>
      <c r="L18" s="150"/>
      <c r="M18" s="151"/>
      <c r="N18" s="152"/>
      <c r="O18" s="151"/>
      <c r="P18" s="151"/>
      <c r="Q18" s="151"/>
      <c r="R18" s="152"/>
      <c r="S18" s="8"/>
      <c r="T18" s="121"/>
      <c r="U18" s="153"/>
      <c r="V18" s="154"/>
      <c r="W18" s="9"/>
      <c r="X18" s="110"/>
      <c r="Y18" s="153"/>
      <c r="Z18" s="154"/>
      <c r="AA18" s="127"/>
      <c r="AB18" s="155"/>
      <c r="AC18" s="36"/>
      <c r="AD18" s="36"/>
      <c r="AE18" s="111"/>
      <c r="AF18" s="112"/>
      <c r="AG18" s="37"/>
      <c r="AH18" s="97"/>
      <c r="AI18" s="14"/>
      <c r="AJ18" s="14"/>
      <c r="AK18" s="14"/>
      <c r="AL18" s="113"/>
      <c r="BA18" s="128"/>
      <c r="BB18" s="159"/>
      <c r="BC18" s="158"/>
      <c r="BD18" s="158"/>
      <c r="BE18" s="158"/>
    </row>
    <row r="19">
      <c r="A19" s="188" t="s">
        <v>139</v>
      </c>
      <c r="B19" s="62"/>
      <c r="C19" s="63"/>
      <c r="D19" s="63"/>
      <c r="E19" s="64">
        <f>(O20+P20+Q20+R20)/(O21+P21+Q21+R21)</f>
        <v>0.4875</v>
      </c>
      <c r="F19" s="65"/>
      <c r="G19" s="133"/>
      <c r="H19" s="66"/>
      <c r="I19" s="67"/>
      <c r="J19" s="67"/>
      <c r="K19" s="68"/>
      <c r="L19" s="69"/>
      <c r="M19" s="63" t="s">
        <v>64</v>
      </c>
      <c r="N19" s="70"/>
      <c r="O19" s="71" t="s">
        <v>65</v>
      </c>
      <c r="P19" s="72"/>
      <c r="Q19" s="72"/>
      <c r="R19" s="70"/>
      <c r="S19" s="71" t="s">
        <v>66</v>
      </c>
      <c r="T19" s="70"/>
      <c r="U19" s="71" t="s">
        <v>67</v>
      </c>
      <c r="V19" s="70"/>
      <c r="W19" s="71" t="s">
        <v>348</v>
      </c>
      <c r="X19" s="70"/>
      <c r="Y19" s="71" t="s">
        <v>68</v>
      </c>
      <c r="Z19" s="70"/>
      <c r="AA19" s="134" t="s">
        <v>116</v>
      </c>
      <c r="AB19" s="74" t="s">
        <v>159</v>
      </c>
      <c r="AC19" s="75" t="s">
        <v>32</v>
      </c>
      <c r="AD19" s="75" t="s">
        <v>33</v>
      </c>
      <c r="AE19" s="135" t="s">
        <v>142</v>
      </c>
      <c r="AF19" s="74" t="s">
        <v>143</v>
      </c>
      <c r="AG19" s="63" t="s">
        <v>75</v>
      </c>
      <c r="AH19" s="78" t="s">
        <v>36</v>
      </c>
      <c r="AI19" s="79" t="s">
        <v>97</v>
      </c>
      <c r="AJ19" s="79">
        <v>330.0</v>
      </c>
      <c r="AK19" s="79" t="s">
        <v>150</v>
      </c>
      <c r="AL19" s="80" t="str">
        <f>AL13</f>
        <v>開</v>
      </c>
      <c r="AM19" s="81" t="s">
        <v>50</v>
      </c>
      <c r="AN19" s="82" t="str">
        <f>AN13</f>
        <v>休</v>
      </c>
      <c r="AO19" s="81" t="s">
        <v>52</v>
      </c>
      <c r="AP19" s="82" t="s">
        <v>4</v>
      </c>
      <c r="AQ19" s="81" t="s">
        <v>38</v>
      </c>
      <c r="AR19" s="82" t="str">
        <f>AR13</f>
        <v>傷</v>
      </c>
      <c r="AS19" s="81" t="s">
        <v>40</v>
      </c>
      <c r="AT19" s="82" t="s">
        <v>8</v>
      </c>
      <c r="AU19" s="81" t="s">
        <v>42</v>
      </c>
      <c r="AV19" s="82" t="str">
        <f>AV13</f>
        <v>景</v>
      </c>
      <c r="AW19" s="81" t="s">
        <v>44</v>
      </c>
      <c r="AX19" s="82" t="str">
        <f>AX13</f>
        <v>死</v>
      </c>
      <c r="AY19" s="81" t="s">
        <v>46</v>
      </c>
      <c r="AZ19" s="82" t="str">
        <f>AZ13</f>
        <v>驚</v>
      </c>
      <c r="BA19" s="81" t="s">
        <v>48</v>
      </c>
      <c r="BB19" s="83"/>
      <c r="BC19" s="84"/>
      <c r="BD19" s="84"/>
      <c r="BE19" s="84"/>
    </row>
    <row r="20">
      <c r="A20" s="85">
        <f>A14+1</f>
        <v>3</v>
      </c>
      <c r="B20" s="86"/>
      <c r="C20" s="12" t="s">
        <v>176</v>
      </c>
      <c r="E20" s="168" t="s">
        <v>79</v>
      </c>
      <c r="G20" s="374" t="str">
        <f t="shared" ref="G20:G21" si="17">G8:H8</f>
        <v>甲</v>
      </c>
      <c r="I20" s="275" t="str">
        <f t="shared" ref="I20:I21" si="18">I8:J8</f>
        <v>丙</v>
      </c>
      <c r="K20" s="90">
        <f>L20/L21</f>
        <v>0.6291666667</v>
      </c>
      <c r="L20" s="91">
        <f t="shared" ref="L20:L21" si="19">Z20+Y20+X20+W20+V20+U20+T20+S20+R20+Q20+P20+O20</f>
        <v>755</v>
      </c>
      <c r="M20" s="92">
        <v>0.0</v>
      </c>
      <c r="N20" s="93">
        <v>0.0</v>
      </c>
      <c r="O20" s="92">
        <v>75.0</v>
      </c>
      <c r="P20" s="92">
        <v>0.0</v>
      </c>
      <c r="Q20" s="92">
        <v>20.0</v>
      </c>
      <c r="R20" s="93">
        <v>100.0</v>
      </c>
      <c r="S20" s="92">
        <v>100.0</v>
      </c>
      <c r="T20" s="93">
        <v>110.0</v>
      </c>
      <c r="U20" s="92">
        <f t="shared" ref="U20:Z20" si="16">U8</f>
        <v>5</v>
      </c>
      <c r="V20" s="93">
        <f t="shared" si="16"/>
        <v>60</v>
      </c>
      <c r="W20" s="92">
        <f t="shared" si="16"/>
        <v>110</v>
      </c>
      <c r="X20" s="93">
        <f t="shared" si="16"/>
        <v>5</v>
      </c>
      <c r="Y20" s="92">
        <f t="shared" si="16"/>
        <v>110</v>
      </c>
      <c r="Z20" s="92">
        <f t="shared" si="16"/>
        <v>60</v>
      </c>
      <c r="AA20" s="73" t="s">
        <v>126</v>
      </c>
      <c r="AB20" s="94" t="s">
        <v>152</v>
      </c>
      <c r="AC20" s="36"/>
      <c r="AD20" s="36"/>
      <c r="AE20" s="139" t="s">
        <v>148</v>
      </c>
      <c r="AF20" s="96" t="s">
        <v>149</v>
      </c>
      <c r="AG20" s="37"/>
      <c r="AH20" s="97"/>
      <c r="AI20" s="12" t="s">
        <v>32</v>
      </c>
      <c r="AJ20" s="12">
        <v>270.0</v>
      </c>
      <c r="AK20" s="12" t="s">
        <v>145</v>
      </c>
      <c r="AL20" s="98" t="s">
        <v>86</v>
      </c>
      <c r="AM20" s="99" t="s">
        <v>87</v>
      </c>
      <c r="AN20" s="100" t="s">
        <v>88</v>
      </c>
      <c r="AO20" s="101" t="s">
        <v>89</v>
      </c>
      <c r="AP20" s="100" t="s">
        <v>45</v>
      </c>
      <c r="AQ20" s="102" t="s">
        <v>90</v>
      </c>
      <c r="AR20" s="100" t="s">
        <v>43</v>
      </c>
      <c r="AS20" s="101" t="s">
        <v>91</v>
      </c>
      <c r="AT20" s="100" t="s">
        <v>41</v>
      </c>
      <c r="AU20" s="103" t="s">
        <v>92</v>
      </c>
      <c r="AV20" s="100" t="s">
        <v>39</v>
      </c>
      <c r="AW20" s="99" t="s">
        <v>93</v>
      </c>
      <c r="AX20" s="100" t="s">
        <v>37</v>
      </c>
      <c r="AY20" s="99" t="s">
        <v>94</v>
      </c>
      <c r="AZ20" s="100" t="s">
        <v>51</v>
      </c>
      <c r="BA20" s="101" t="s">
        <v>95</v>
      </c>
      <c r="BB20" s="24"/>
    </row>
    <row r="21">
      <c r="A21" s="344" t="str">
        <f>A15</f>
        <v>กรกฎาคม</v>
      </c>
      <c r="B21" s="86"/>
      <c r="C21" s="161" t="s">
        <v>179</v>
      </c>
      <c r="E21" s="171" t="s">
        <v>180</v>
      </c>
      <c r="G21" s="223" t="str">
        <f t="shared" si="17"/>
        <v>午</v>
      </c>
      <c r="I21" s="142" t="str">
        <f t="shared" si="18"/>
        <v>午</v>
      </c>
      <c r="K21" s="36"/>
      <c r="L21" s="109">
        <f t="shared" si="19"/>
        <v>1200</v>
      </c>
      <c r="M21" s="9">
        <v>0.0</v>
      </c>
      <c r="N21" s="110">
        <v>0.0</v>
      </c>
      <c r="O21" s="9">
        <v>100.0</v>
      </c>
      <c r="P21" s="9">
        <v>100.0</v>
      </c>
      <c r="Q21" s="9">
        <v>100.0</v>
      </c>
      <c r="R21" s="110">
        <v>100.0</v>
      </c>
      <c r="S21" s="9">
        <v>100.0</v>
      </c>
      <c r="T21" s="110">
        <v>100.0</v>
      </c>
      <c r="U21" s="9">
        <v>100.0</v>
      </c>
      <c r="V21" s="110">
        <v>100.0</v>
      </c>
      <c r="W21" s="9">
        <v>100.0</v>
      </c>
      <c r="X21" s="110">
        <v>100.0</v>
      </c>
      <c r="Y21" s="9">
        <v>100.0</v>
      </c>
      <c r="Z21" s="110">
        <v>100.0</v>
      </c>
      <c r="AA21" s="73" t="s">
        <v>69</v>
      </c>
      <c r="AB21" s="94" t="s">
        <v>163</v>
      </c>
      <c r="AC21" s="36"/>
      <c r="AD21" s="36"/>
      <c r="AE21" s="111"/>
      <c r="AF21" s="112"/>
      <c r="AG21" s="37"/>
      <c r="AH21" s="97"/>
      <c r="AI21" s="14"/>
      <c r="AJ21" s="14"/>
      <c r="AK21" s="14"/>
      <c r="AL21" s="113"/>
      <c r="AM21" s="104" t="s">
        <v>100</v>
      </c>
      <c r="AO21" s="114" t="s">
        <v>101</v>
      </c>
      <c r="AQ21" s="105" t="s">
        <v>102</v>
      </c>
      <c r="AS21" s="105" t="s">
        <v>103</v>
      </c>
      <c r="AU21" s="104" t="s">
        <v>104</v>
      </c>
      <c r="AW21" s="104" t="s">
        <v>105</v>
      </c>
      <c r="AY21" s="104" t="s">
        <v>106</v>
      </c>
      <c r="BA21" s="105" t="s">
        <v>107</v>
      </c>
      <c r="BB21" s="24"/>
    </row>
    <row r="22">
      <c r="A22" s="85">
        <f>A10</f>
        <v>2569</v>
      </c>
      <c r="B22" s="86"/>
      <c r="E22" s="345" t="s">
        <v>182</v>
      </c>
      <c r="F22" s="349" t="s">
        <v>111</v>
      </c>
      <c r="G22" s="115" t="str">
        <f t="shared" ref="G22:J22" si="20">G10</f>
        <v>A8</v>
      </c>
      <c r="H22" s="9" t="str">
        <f t="shared" si="20"/>
        <v>B11</v>
      </c>
      <c r="I22" s="9" t="str">
        <f t="shared" si="20"/>
        <v>A5</v>
      </c>
      <c r="J22" s="9" t="str">
        <f t="shared" si="20"/>
        <v>B11</v>
      </c>
      <c r="K22" s="36"/>
      <c r="L22" s="117"/>
      <c r="M22" s="118" t="str">
        <f t="shared" ref="M22:P22" si="21">C22</f>
        <v/>
      </c>
      <c r="N22" s="119" t="str">
        <f t="shared" si="21"/>
        <v/>
      </c>
      <c r="O22" s="118" t="str">
        <f t="shared" si="21"/>
        <v>A1</v>
      </c>
      <c r="P22" s="118" t="str">
        <f t="shared" si="21"/>
        <v>B7</v>
      </c>
      <c r="Q22" s="118" t="str">
        <f t="shared" ref="Q22:R22" si="22">E23</f>
        <v>B3</v>
      </c>
      <c r="R22" s="119" t="str">
        <f t="shared" si="22"/>
        <v>C9</v>
      </c>
      <c r="S22" s="9" t="s">
        <v>213</v>
      </c>
      <c r="T22" s="110" t="s">
        <v>204</v>
      </c>
      <c r="U22" s="9" t="str">
        <f t="shared" ref="U22:W22" si="23">U10</f>
        <v>A8</v>
      </c>
      <c r="V22" s="119" t="str">
        <f t="shared" si="23"/>
        <v>B11</v>
      </c>
      <c r="W22" s="9" t="str">
        <f t="shared" si="23"/>
        <v>A5</v>
      </c>
      <c r="X22" s="110" t="s">
        <v>108</v>
      </c>
      <c r="Y22" s="118" t="str">
        <f t="shared" ref="Y22:Z22" si="24">I22</f>
        <v>A5</v>
      </c>
      <c r="Z22" s="120" t="str">
        <f t="shared" si="24"/>
        <v>B11</v>
      </c>
      <c r="AA22" s="73" t="s">
        <v>80</v>
      </c>
      <c r="AB22" s="94" t="s">
        <v>117</v>
      </c>
      <c r="AC22" s="36"/>
      <c r="AD22" s="36"/>
      <c r="AE22" s="111"/>
      <c r="AF22" s="112"/>
      <c r="AG22" s="37"/>
      <c r="AH22" s="97"/>
      <c r="AI22" s="14"/>
      <c r="AJ22" s="14"/>
      <c r="AK22" s="14"/>
      <c r="AL22" s="113"/>
      <c r="AM22" s="104" t="s">
        <v>118</v>
      </c>
      <c r="AO22" s="114" t="s">
        <v>119</v>
      </c>
      <c r="AQ22" s="105" t="s">
        <v>120</v>
      </c>
      <c r="AS22" s="105" t="s">
        <v>121</v>
      </c>
      <c r="AU22" s="104" t="s">
        <v>122</v>
      </c>
      <c r="AW22" s="104" t="s">
        <v>123</v>
      </c>
      <c r="AY22" s="104" t="s">
        <v>124</v>
      </c>
      <c r="BA22" s="105" t="s">
        <v>125</v>
      </c>
      <c r="BB22" s="24"/>
    </row>
    <row r="23">
      <c r="A23" s="85">
        <f>A22-543</f>
        <v>2026</v>
      </c>
      <c r="B23" s="86"/>
      <c r="C23" s="163"/>
      <c r="E23" s="115" t="s">
        <v>183</v>
      </c>
      <c r="F23" s="348" t="s">
        <v>229</v>
      </c>
      <c r="G23" s="115"/>
      <c r="H23" s="118"/>
      <c r="I23" s="118"/>
      <c r="J23" s="118"/>
      <c r="K23" s="36"/>
      <c r="L23" s="117"/>
      <c r="M23" s="8"/>
      <c r="N23" s="121"/>
      <c r="O23" s="8"/>
      <c r="P23" s="8"/>
      <c r="Q23" s="8"/>
      <c r="R23" s="121"/>
      <c r="S23" s="8"/>
      <c r="T23" s="121"/>
      <c r="U23" s="9"/>
      <c r="V23" s="110"/>
      <c r="W23" s="9"/>
      <c r="X23" s="110"/>
      <c r="Y23" s="9"/>
      <c r="Z23" s="110"/>
      <c r="AA23" s="73" t="s">
        <v>98</v>
      </c>
      <c r="AB23" s="94" t="s">
        <v>128</v>
      </c>
      <c r="AC23" s="36"/>
      <c r="AD23" s="36"/>
      <c r="AE23" s="111"/>
      <c r="AF23" s="112"/>
      <c r="AG23" s="37"/>
      <c r="AH23" s="97"/>
      <c r="AI23" s="14"/>
      <c r="AJ23" s="14"/>
      <c r="AK23" s="14"/>
      <c r="AL23" s="113"/>
      <c r="AM23" s="104" t="s">
        <v>129</v>
      </c>
      <c r="AO23" s="114" t="s">
        <v>130</v>
      </c>
      <c r="AQ23" s="105" t="s">
        <v>131</v>
      </c>
      <c r="AS23" s="105" t="s">
        <v>132</v>
      </c>
      <c r="AU23" s="104" t="s">
        <v>133</v>
      </c>
      <c r="AW23" s="104" t="s">
        <v>134</v>
      </c>
      <c r="AY23" s="104" t="s">
        <v>135</v>
      </c>
      <c r="BA23" s="105" t="s">
        <v>136</v>
      </c>
      <c r="BB23" s="24"/>
    </row>
    <row r="24">
      <c r="A24" s="381" t="s">
        <v>331</v>
      </c>
      <c r="B24" s="2"/>
      <c r="C24" s="304"/>
      <c r="E24" s="164" t="s">
        <v>185</v>
      </c>
      <c r="F24" s="88"/>
      <c r="G24" s="165" t="str">
        <f>G12:H12</f>
        <v>อสูรเดือน N</v>
      </c>
      <c r="I24" s="166" t="str">
        <f>I12:J12</f>
        <v>อสูรปี N</v>
      </c>
      <c r="K24" s="90"/>
      <c r="L24" s="126"/>
      <c r="M24" s="8"/>
      <c r="N24" s="121"/>
      <c r="O24" s="8"/>
      <c r="P24" s="8"/>
      <c r="Q24" s="8"/>
      <c r="R24" s="121"/>
      <c r="S24" s="8"/>
      <c r="T24" s="121"/>
      <c r="U24" s="9"/>
      <c r="V24" s="110"/>
      <c r="W24" s="9"/>
      <c r="X24" s="110"/>
      <c r="Y24" s="9"/>
      <c r="Z24" s="110"/>
      <c r="AA24" s="127"/>
      <c r="AB24" s="155"/>
      <c r="AC24" s="156"/>
      <c r="AD24" s="156"/>
      <c r="AE24" s="111"/>
      <c r="AF24" s="112"/>
      <c r="AG24" s="37"/>
      <c r="AH24" s="97"/>
      <c r="AI24" s="14"/>
      <c r="AJ24" s="14"/>
      <c r="AK24" s="14"/>
      <c r="AL24" s="113"/>
      <c r="AM24" s="128"/>
      <c r="AO24" s="128"/>
      <c r="AQ24" s="128"/>
      <c r="AS24" s="129"/>
      <c r="AU24" s="130"/>
      <c r="AW24" s="131"/>
      <c r="AY24" s="131"/>
      <c r="BA24" s="131"/>
      <c r="BB24" s="24"/>
    </row>
    <row r="25">
      <c r="A25" s="188" t="s">
        <v>158</v>
      </c>
      <c r="B25" s="62"/>
      <c r="C25" s="63"/>
      <c r="D25" s="63"/>
      <c r="E25" s="64">
        <f>(O26+P26+Q26+R26)/(O27+P27+Q27+R27)</f>
        <v>0.5125</v>
      </c>
      <c r="F25" s="65"/>
      <c r="G25" s="133"/>
      <c r="H25" s="66"/>
      <c r="I25" s="67"/>
      <c r="J25" s="67"/>
      <c r="K25" s="68"/>
      <c r="L25" s="69"/>
      <c r="M25" s="63" t="s">
        <v>64</v>
      </c>
      <c r="N25" s="70"/>
      <c r="O25" s="71" t="s">
        <v>65</v>
      </c>
      <c r="P25" s="72"/>
      <c r="Q25" s="72"/>
      <c r="R25" s="70"/>
      <c r="S25" s="71" t="s">
        <v>66</v>
      </c>
      <c r="T25" s="70"/>
      <c r="U25" s="71" t="s">
        <v>67</v>
      </c>
      <c r="V25" s="70"/>
      <c r="W25" s="71" t="s">
        <v>348</v>
      </c>
      <c r="X25" s="70"/>
      <c r="Y25" s="71" t="s">
        <v>68</v>
      </c>
      <c r="Z25" s="70"/>
      <c r="AA25" s="134" t="s">
        <v>80</v>
      </c>
      <c r="AB25" s="74" t="s">
        <v>170</v>
      </c>
      <c r="AC25" s="75" t="s">
        <v>171</v>
      </c>
      <c r="AD25" s="75" t="s">
        <v>172</v>
      </c>
      <c r="AE25" s="167" t="s">
        <v>173</v>
      </c>
      <c r="AF25" s="74" t="s">
        <v>174</v>
      </c>
      <c r="AG25" s="63" t="s">
        <v>34</v>
      </c>
      <c r="AH25" s="78" t="s">
        <v>36</v>
      </c>
      <c r="AI25" s="79" t="s">
        <v>71</v>
      </c>
      <c r="AJ25" s="79">
        <v>210.0</v>
      </c>
      <c r="AK25" s="79" t="s">
        <v>175</v>
      </c>
      <c r="AL25" s="80" t="str">
        <f>AL19</f>
        <v>開</v>
      </c>
      <c r="AM25" s="81" t="s">
        <v>48</v>
      </c>
      <c r="AN25" s="82" t="str">
        <f>AN19</f>
        <v>休</v>
      </c>
      <c r="AO25" s="81" t="s">
        <v>50</v>
      </c>
      <c r="AP25" s="82" t="s">
        <v>4</v>
      </c>
      <c r="AQ25" s="81" t="s">
        <v>52</v>
      </c>
      <c r="AR25" s="82" t="str">
        <f>AR19</f>
        <v>傷</v>
      </c>
      <c r="AS25" s="81" t="s">
        <v>38</v>
      </c>
      <c r="AT25" s="82" t="s">
        <v>8</v>
      </c>
      <c r="AU25" s="81" t="s">
        <v>40</v>
      </c>
      <c r="AV25" s="82" t="str">
        <f>AV19</f>
        <v>景</v>
      </c>
      <c r="AW25" s="81" t="s">
        <v>42</v>
      </c>
      <c r="AX25" s="82" t="str">
        <f>AX19</f>
        <v>死</v>
      </c>
      <c r="AY25" s="81" t="s">
        <v>44</v>
      </c>
      <c r="AZ25" s="82" t="str">
        <f>AZ19</f>
        <v>驚</v>
      </c>
      <c r="BA25" s="81" t="s">
        <v>46</v>
      </c>
      <c r="BB25" s="83"/>
      <c r="BC25" s="84"/>
      <c r="BD25" s="84"/>
      <c r="BE25" s="84"/>
    </row>
    <row r="26">
      <c r="A26" s="85">
        <f>A20+1</f>
        <v>4</v>
      </c>
      <c r="B26" s="86"/>
      <c r="C26" s="12" t="s">
        <v>187</v>
      </c>
      <c r="E26" s="168" t="s">
        <v>30</v>
      </c>
      <c r="F26" s="88"/>
      <c r="G26" s="374" t="str">
        <f t="shared" ref="G26:G27" si="26">G8:H8</f>
        <v>甲</v>
      </c>
      <c r="I26" s="275" t="str">
        <f t="shared" ref="I26:I27" si="27">I8:J8</f>
        <v>丙</v>
      </c>
      <c r="K26" s="90">
        <f>L26/L27</f>
        <v>0.6375</v>
      </c>
      <c r="L26" s="91">
        <f t="shared" ref="L26:L27" si="28">Z26+Y26+X26+W26+V26+U26+T26+S26+R26+Q26+P26+O26</f>
        <v>765</v>
      </c>
      <c r="M26" s="92">
        <v>0.0</v>
      </c>
      <c r="N26" s="93">
        <v>0.0</v>
      </c>
      <c r="O26" s="92">
        <v>15.0</v>
      </c>
      <c r="P26" s="92">
        <v>90.0</v>
      </c>
      <c r="Q26" s="92">
        <v>70.0</v>
      </c>
      <c r="R26" s="93">
        <v>30.0</v>
      </c>
      <c r="S26" s="92">
        <v>110.0</v>
      </c>
      <c r="T26" s="93">
        <v>100.0</v>
      </c>
      <c r="U26" s="92">
        <f t="shared" ref="U26:Z26" si="25">U8</f>
        <v>5</v>
      </c>
      <c r="V26" s="93">
        <f t="shared" si="25"/>
        <v>60</v>
      </c>
      <c r="W26" s="92">
        <f t="shared" si="25"/>
        <v>110</v>
      </c>
      <c r="X26" s="93">
        <f t="shared" si="25"/>
        <v>5</v>
      </c>
      <c r="Y26" s="92">
        <f t="shared" si="25"/>
        <v>110</v>
      </c>
      <c r="Z26" s="93">
        <f t="shared" si="25"/>
        <v>60</v>
      </c>
      <c r="AA26" s="73" t="s">
        <v>98</v>
      </c>
      <c r="AB26" s="94" t="s">
        <v>70</v>
      </c>
      <c r="AC26" s="36"/>
      <c r="AD26" s="169" t="s">
        <v>177</v>
      </c>
      <c r="AE26" s="170" t="s">
        <v>73</v>
      </c>
      <c r="AF26" s="94" t="s">
        <v>74</v>
      </c>
      <c r="AG26" s="37"/>
      <c r="AH26" s="97"/>
      <c r="AI26" s="12" t="s">
        <v>53</v>
      </c>
      <c r="AJ26" s="12">
        <v>30.0</v>
      </c>
      <c r="AK26" s="12" t="s">
        <v>178</v>
      </c>
      <c r="AL26" s="98" t="s">
        <v>51</v>
      </c>
      <c r="AM26" s="101" t="s">
        <v>95</v>
      </c>
      <c r="AN26" s="100" t="s">
        <v>86</v>
      </c>
      <c r="AO26" s="99" t="s">
        <v>87</v>
      </c>
      <c r="AP26" s="100" t="s">
        <v>88</v>
      </c>
      <c r="AQ26" s="101" t="s">
        <v>89</v>
      </c>
      <c r="AR26" s="100" t="s">
        <v>45</v>
      </c>
      <c r="AS26" s="102" t="s">
        <v>90</v>
      </c>
      <c r="AT26" s="100" t="s">
        <v>43</v>
      </c>
      <c r="AU26" s="101" t="s">
        <v>91</v>
      </c>
      <c r="AV26" s="100" t="s">
        <v>41</v>
      </c>
      <c r="AW26" s="103" t="s">
        <v>92</v>
      </c>
      <c r="AX26" s="100" t="s">
        <v>39</v>
      </c>
      <c r="AY26" s="99" t="s">
        <v>93</v>
      </c>
      <c r="AZ26" s="100" t="s">
        <v>37</v>
      </c>
      <c r="BA26" s="99" t="s">
        <v>94</v>
      </c>
      <c r="BB26" s="24"/>
    </row>
    <row r="27">
      <c r="A27" s="344" t="str">
        <f>A15</f>
        <v>กรกฎาคม</v>
      </c>
      <c r="B27" s="86"/>
      <c r="C27" s="175" t="s">
        <v>188</v>
      </c>
      <c r="E27" s="171" t="s">
        <v>189</v>
      </c>
      <c r="F27" s="88"/>
      <c r="G27" s="223" t="str">
        <f t="shared" si="26"/>
        <v>午</v>
      </c>
      <c r="I27" s="142" t="str">
        <f t="shared" si="27"/>
        <v>午</v>
      </c>
      <c r="K27" s="36"/>
      <c r="L27" s="109">
        <f t="shared" si="28"/>
        <v>1200</v>
      </c>
      <c r="M27" s="9">
        <v>0.0</v>
      </c>
      <c r="N27" s="110">
        <v>0.0</v>
      </c>
      <c r="O27" s="9">
        <v>100.0</v>
      </c>
      <c r="P27" s="9">
        <v>100.0</v>
      </c>
      <c r="Q27" s="9">
        <v>100.0</v>
      </c>
      <c r="R27" s="110">
        <v>100.0</v>
      </c>
      <c r="S27" s="9">
        <v>100.0</v>
      </c>
      <c r="T27" s="110">
        <v>100.0</v>
      </c>
      <c r="U27" s="9">
        <v>100.0</v>
      </c>
      <c r="V27" s="110">
        <v>100.0</v>
      </c>
      <c r="W27" s="9">
        <v>100.0</v>
      </c>
      <c r="X27" s="110">
        <v>100.0</v>
      </c>
      <c r="Y27" s="9">
        <v>100.0</v>
      </c>
      <c r="Z27" s="110">
        <v>100.0</v>
      </c>
      <c r="AA27" s="73" t="s">
        <v>116</v>
      </c>
      <c r="AB27" s="94" t="s">
        <v>181</v>
      </c>
      <c r="AC27" s="36"/>
      <c r="AD27" s="36"/>
      <c r="AE27" s="111"/>
      <c r="AF27" s="112"/>
      <c r="AG27" s="37"/>
      <c r="AH27" s="97"/>
      <c r="AI27" s="14"/>
      <c r="AJ27" s="14"/>
      <c r="AK27" s="14"/>
      <c r="AL27" s="113"/>
      <c r="AM27" s="105" t="s">
        <v>107</v>
      </c>
      <c r="AO27" s="104" t="s">
        <v>100</v>
      </c>
      <c r="AQ27" s="114" t="s">
        <v>101</v>
      </c>
      <c r="AS27" s="105" t="s">
        <v>102</v>
      </c>
      <c r="AU27" s="105" t="s">
        <v>103</v>
      </c>
      <c r="AW27" s="104" t="s">
        <v>104</v>
      </c>
      <c r="AY27" s="104" t="s">
        <v>105</v>
      </c>
      <c r="BA27" s="104" t="s">
        <v>106</v>
      </c>
      <c r="BB27" s="24"/>
    </row>
    <row r="28">
      <c r="A28" s="85">
        <f>A10</f>
        <v>2569</v>
      </c>
      <c r="B28" s="86"/>
      <c r="E28" s="345" t="s">
        <v>115</v>
      </c>
      <c r="F28" s="349" t="s">
        <v>69</v>
      </c>
      <c r="G28" s="115" t="str">
        <f t="shared" ref="G28:J28" si="29">G10</f>
        <v>A8</v>
      </c>
      <c r="H28" s="9" t="str">
        <f t="shared" si="29"/>
        <v>B11</v>
      </c>
      <c r="I28" s="9" t="str">
        <f t="shared" si="29"/>
        <v>A5</v>
      </c>
      <c r="J28" s="9" t="str">
        <f t="shared" si="29"/>
        <v>B11</v>
      </c>
      <c r="K28" s="36"/>
      <c r="L28" s="117"/>
      <c r="M28" s="118" t="str">
        <f t="shared" ref="M28:P28" si="30">C28</f>
        <v/>
      </c>
      <c r="N28" s="119" t="str">
        <f t="shared" si="30"/>
        <v/>
      </c>
      <c r="O28" s="118" t="str">
        <f t="shared" si="30"/>
        <v>A7</v>
      </c>
      <c r="P28" s="118" t="str">
        <f t="shared" si="30"/>
        <v>B8</v>
      </c>
      <c r="Q28" s="118" t="str">
        <f t="shared" ref="Q28:R28" si="31">E29</f>
        <v>B2</v>
      </c>
      <c r="R28" s="119" t="str">
        <f t="shared" si="31"/>
        <v>C10</v>
      </c>
      <c r="S28" s="9" t="s">
        <v>204</v>
      </c>
      <c r="T28" s="110" t="s">
        <v>213</v>
      </c>
      <c r="U28" s="9" t="str">
        <f t="shared" ref="U28:X28" si="32">U10</f>
        <v>A8</v>
      </c>
      <c r="V28" s="119" t="str">
        <f t="shared" si="32"/>
        <v>B11</v>
      </c>
      <c r="W28" s="9" t="str">
        <f t="shared" si="32"/>
        <v>A5</v>
      </c>
      <c r="X28" s="110" t="str">
        <f t="shared" si="32"/>
        <v>A8</v>
      </c>
      <c r="Y28" s="118" t="str">
        <f t="shared" ref="Y28:Z28" si="33">I28</f>
        <v>A5</v>
      </c>
      <c r="Z28" s="120" t="str">
        <f t="shared" si="33"/>
        <v>B11</v>
      </c>
      <c r="AA28" s="73" t="s">
        <v>126</v>
      </c>
      <c r="AB28" s="94" t="s">
        <v>163</v>
      </c>
      <c r="AC28" s="36"/>
      <c r="AD28" s="36"/>
      <c r="AE28" s="111"/>
      <c r="AF28" s="112"/>
      <c r="AG28" s="37"/>
      <c r="AH28" s="97"/>
      <c r="AI28" s="14"/>
      <c r="AJ28" s="14"/>
      <c r="AK28" s="14"/>
      <c r="AL28" s="113"/>
      <c r="AM28" s="105" t="s">
        <v>125</v>
      </c>
      <c r="AO28" s="104" t="s">
        <v>118</v>
      </c>
      <c r="AQ28" s="114" t="s">
        <v>119</v>
      </c>
      <c r="AS28" s="105" t="s">
        <v>120</v>
      </c>
      <c r="AU28" s="105" t="s">
        <v>121</v>
      </c>
      <c r="AW28" s="104" t="s">
        <v>122</v>
      </c>
      <c r="AY28" s="104" t="s">
        <v>123</v>
      </c>
      <c r="BA28" s="104" t="s">
        <v>124</v>
      </c>
      <c r="BB28" s="24"/>
    </row>
    <row r="29">
      <c r="A29" s="85">
        <f>A28-543</f>
        <v>2026</v>
      </c>
      <c r="B29" s="86"/>
      <c r="E29" s="115" t="s">
        <v>98</v>
      </c>
      <c r="F29" s="348" t="s">
        <v>232</v>
      </c>
      <c r="G29" s="115"/>
      <c r="H29" s="118"/>
      <c r="I29" s="118"/>
      <c r="J29" s="118"/>
      <c r="K29" s="36"/>
      <c r="L29" s="117"/>
      <c r="M29" s="8"/>
      <c r="N29" s="121"/>
      <c r="O29" s="8"/>
      <c r="P29" s="8"/>
      <c r="Q29" s="8"/>
      <c r="R29" s="121"/>
      <c r="S29" s="8"/>
      <c r="T29" s="121"/>
      <c r="U29" s="9"/>
      <c r="V29" s="110"/>
      <c r="W29" s="9"/>
      <c r="X29" s="110"/>
      <c r="Y29" s="9"/>
      <c r="Z29" s="110"/>
      <c r="AA29" s="73" t="s">
        <v>69</v>
      </c>
      <c r="AB29" s="94" t="s">
        <v>99</v>
      </c>
      <c r="AC29" s="36"/>
      <c r="AD29" s="36"/>
      <c r="AE29" s="111"/>
      <c r="AF29" s="112"/>
      <c r="AG29" s="37"/>
      <c r="AH29" s="97"/>
      <c r="AI29" s="14"/>
      <c r="AJ29" s="14"/>
      <c r="AK29" s="14"/>
      <c r="AL29" s="113"/>
      <c r="AM29" s="105" t="s">
        <v>136</v>
      </c>
      <c r="AO29" s="104" t="s">
        <v>129</v>
      </c>
      <c r="AQ29" s="114" t="s">
        <v>130</v>
      </c>
      <c r="AS29" s="105" t="s">
        <v>131</v>
      </c>
      <c r="AU29" s="105" t="s">
        <v>132</v>
      </c>
      <c r="AW29" s="104" t="s">
        <v>133</v>
      </c>
      <c r="AY29" s="104" t="s">
        <v>134</v>
      </c>
      <c r="BA29" s="104" t="s">
        <v>135</v>
      </c>
      <c r="BB29" s="24"/>
    </row>
    <row r="30">
      <c r="A30" s="373"/>
      <c r="B30" s="144"/>
      <c r="C30" s="1"/>
      <c r="D30" s="123"/>
      <c r="E30" s="164" t="s">
        <v>137</v>
      </c>
      <c r="F30" s="88"/>
      <c r="G30" s="173" t="str">
        <f>G12:H12</f>
        <v>อสูรเดือน N</v>
      </c>
      <c r="H30" s="147"/>
      <c r="I30" s="174" t="str">
        <f>I12:J12</f>
        <v>อสูรปี N</v>
      </c>
      <c r="J30" s="147"/>
      <c r="K30" s="149"/>
      <c r="L30" s="150"/>
      <c r="M30" s="151"/>
      <c r="N30" s="152"/>
      <c r="O30" s="151"/>
      <c r="P30" s="151"/>
      <c r="Q30" s="151"/>
      <c r="R30" s="152"/>
      <c r="S30" s="151"/>
      <c r="T30" s="152"/>
      <c r="U30" s="153"/>
      <c r="V30" s="154"/>
      <c r="W30" s="9"/>
      <c r="X30" s="110"/>
      <c r="Y30" s="153"/>
      <c r="Z30" s="154"/>
      <c r="AA30" s="127"/>
      <c r="AB30" s="155"/>
      <c r="AC30" s="36"/>
      <c r="AD30" s="36"/>
      <c r="AE30" s="111"/>
      <c r="AF30" s="112"/>
      <c r="AG30" s="37"/>
      <c r="AH30" s="97"/>
      <c r="AI30" s="14"/>
      <c r="AJ30" s="14"/>
      <c r="AK30" s="14"/>
      <c r="AL30" s="113"/>
      <c r="BA30" s="128"/>
      <c r="BB30" s="24"/>
    </row>
    <row r="31">
      <c r="A31" s="188" t="s">
        <v>169</v>
      </c>
      <c r="B31" s="83"/>
      <c r="C31" s="63"/>
      <c r="D31" s="63"/>
      <c r="E31" s="358">
        <f>(O32+P32+Q32+R32)/(O33+P33+Q33+R33)</f>
        <v>0.675</v>
      </c>
      <c r="F31" s="65"/>
      <c r="G31" s="66"/>
      <c r="H31" s="66"/>
      <c r="I31" s="67"/>
      <c r="J31" s="67"/>
      <c r="K31" s="177"/>
      <c r="L31" s="178"/>
      <c r="M31" s="63" t="s">
        <v>64</v>
      </c>
      <c r="N31" s="70"/>
      <c r="O31" s="71" t="s">
        <v>65</v>
      </c>
      <c r="P31" s="72"/>
      <c r="Q31" s="72"/>
      <c r="R31" s="70"/>
      <c r="S31" s="71" t="s">
        <v>66</v>
      </c>
      <c r="T31" s="70"/>
      <c r="U31" s="71" t="s">
        <v>67</v>
      </c>
      <c r="V31" s="70"/>
      <c r="W31" s="71" t="s">
        <v>348</v>
      </c>
      <c r="X31" s="70"/>
      <c r="Y31" s="71" t="s">
        <v>68</v>
      </c>
      <c r="Z31" s="70"/>
      <c r="AA31" s="134" t="s">
        <v>80</v>
      </c>
      <c r="AB31" s="74" t="s">
        <v>159</v>
      </c>
      <c r="AC31" s="75" t="s">
        <v>171</v>
      </c>
      <c r="AD31" s="75" t="s">
        <v>172</v>
      </c>
      <c r="AE31" s="167" t="s">
        <v>173</v>
      </c>
      <c r="AF31" s="74" t="s">
        <v>174</v>
      </c>
      <c r="AG31" s="63" t="s">
        <v>34</v>
      </c>
      <c r="AH31" s="78" t="s">
        <v>75</v>
      </c>
      <c r="AI31" s="79" t="s">
        <v>84</v>
      </c>
      <c r="AJ31" s="79">
        <v>0.0</v>
      </c>
      <c r="AK31" s="390" t="s">
        <v>85</v>
      </c>
      <c r="AL31" s="80" t="str">
        <f>AL7</f>
        <v>開</v>
      </c>
      <c r="AM31" s="81" t="s">
        <v>50</v>
      </c>
      <c r="AN31" s="82" t="str">
        <f>AN7</f>
        <v>休</v>
      </c>
      <c r="AO31" s="81" t="s">
        <v>52</v>
      </c>
      <c r="AP31" s="82" t="s">
        <v>4</v>
      </c>
      <c r="AQ31" s="81" t="s">
        <v>38</v>
      </c>
      <c r="AR31" s="82" t="str">
        <f>AR7</f>
        <v>傷</v>
      </c>
      <c r="AS31" s="81" t="s">
        <v>40</v>
      </c>
      <c r="AT31" s="82" t="s">
        <v>8</v>
      </c>
      <c r="AU31" s="81" t="s">
        <v>42</v>
      </c>
      <c r="AV31" s="82" t="str">
        <f>AV7</f>
        <v>景</v>
      </c>
      <c r="AW31" s="81" t="s">
        <v>44</v>
      </c>
      <c r="AX31" s="82" t="str">
        <f>AX7</f>
        <v>死</v>
      </c>
      <c r="AY31" s="81" t="s">
        <v>46</v>
      </c>
      <c r="AZ31" s="82" t="str">
        <f>AZ7</f>
        <v>驚</v>
      </c>
      <c r="BA31" s="81" t="s">
        <v>48</v>
      </c>
      <c r="BB31" s="83"/>
      <c r="BC31" s="84"/>
      <c r="BD31" s="84"/>
      <c r="BE31" s="84"/>
    </row>
    <row r="32">
      <c r="A32" s="85">
        <f>A26+1</f>
        <v>5</v>
      </c>
      <c r="B32" s="86"/>
      <c r="C32" s="359" t="s">
        <v>298</v>
      </c>
      <c r="E32" s="194" t="s">
        <v>195</v>
      </c>
      <c r="G32" s="374" t="str">
        <f t="shared" ref="G32:G34" si="35">G8</f>
        <v>甲</v>
      </c>
      <c r="I32" s="268" t="str">
        <f t="shared" ref="I32:I33" si="36">I3</f>
        <v>丙</v>
      </c>
      <c r="K32" s="90">
        <f>L32/L33</f>
        <v>0.575</v>
      </c>
      <c r="L32" s="91">
        <f t="shared" ref="L32:L33" si="37">Z32+Y32+X32+W32+V32+U32+T32+S32+R32+Q32+P32+O32</f>
        <v>690</v>
      </c>
      <c r="M32" s="92">
        <v>0.0</v>
      </c>
      <c r="N32" s="93">
        <v>0.0</v>
      </c>
      <c r="O32" s="92">
        <v>70.0</v>
      </c>
      <c r="P32" s="92">
        <v>50.0</v>
      </c>
      <c r="Q32" s="92">
        <v>70.0</v>
      </c>
      <c r="R32" s="93">
        <v>80.0</v>
      </c>
      <c r="S32" s="92">
        <v>35.0</v>
      </c>
      <c r="T32" s="93">
        <v>35.0</v>
      </c>
      <c r="U32" s="92">
        <f>U8</f>
        <v>5</v>
      </c>
      <c r="V32" s="93">
        <f>V14</f>
        <v>60</v>
      </c>
      <c r="W32" s="92">
        <f t="shared" ref="W32:X32" si="34">W8</f>
        <v>110</v>
      </c>
      <c r="X32" s="93">
        <f t="shared" si="34"/>
        <v>5</v>
      </c>
      <c r="Y32" s="92">
        <v>110.0</v>
      </c>
      <c r="Z32" s="93">
        <v>60.0</v>
      </c>
      <c r="AA32" s="73" t="s">
        <v>98</v>
      </c>
      <c r="AB32" s="94" t="s">
        <v>152</v>
      </c>
      <c r="AC32" s="36"/>
      <c r="AD32" s="169" t="s">
        <v>177</v>
      </c>
      <c r="AE32" s="170" t="s">
        <v>73</v>
      </c>
      <c r="AF32" s="94" t="s">
        <v>74</v>
      </c>
      <c r="AG32" s="37"/>
      <c r="AH32" s="97"/>
      <c r="AI32" s="12" t="s">
        <v>76</v>
      </c>
      <c r="AJ32" s="12">
        <v>240.0</v>
      </c>
      <c r="AK32" s="391" t="s">
        <v>77</v>
      </c>
      <c r="AL32" s="98" t="s">
        <v>51</v>
      </c>
      <c r="AM32" s="101" t="s">
        <v>95</v>
      </c>
      <c r="AN32" s="100" t="s">
        <v>86</v>
      </c>
      <c r="AO32" s="99" t="s">
        <v>87</v>
      </c>
      <c r="AP32" s="100" t="s">
        <v>88</v>
      </c>
      <c r="AQ32" s="101" t="s">
        <v>89</v>
      </c>
      <c r="AR32" s="100" t="s">
        <v>45</v>
      </c>
      <c r="AS32" s="102" t="s">
        <v>90</v>
      </c>
      <c r="AT32" s="100" t="s">
        <v>43</v>
      </c>
      <c r="AU32" s="101" t="s">
        <v>91</v>
      </c>
      <c r="AV32" s="100" t="s">
        <v>41</v>
      </c>
      <c r="AW32" s="103" t="s">
        <v>92</v>
      </c>
      <c r="AX32" s="100" t="s">
        <v>39</v>
      </c>
      <c r="AY32" s="99" t="s">
        <v>93</v>
      </c>
      <c r="AZ32" s="100" t="s">
        <v>37</v>
      </c>
      <c r="BA32" s="99" t="s">
        <v>94</v>
      </c>
      <c r="BB32" s="24"/>
    </row>
    <row r="33">
      <c r="A33" s="344" t="str">
        <f>A9</f>
        <v>กรกฎาคม</v>
      </c>
      <c r="B33" s="86"/>
      <c r="C33" s="175" t="s">
        <v>211</v>
      </c>
      <c r="E33" s="162" t="s">
        <v>197</v>
      </c>
      <c r="G33" s="223" t="str">
        <f t="shared" si="35"/>
        <v>午</v>
      </c>
      <c r="I33" s="35" t="str">
        <f t="shared" si="36"/>
        <v>午</v>
      </c>
      <c r="K33" s="36"/>
      <c r="L33" s="109">
        <f t="shared" si="37"/>
        <v>1200</v>
      </c>
      <c r="M33" s="9">
        <v>0.0</v>
      </c>
      <c r="N33" s="110">
        <v>0.0</v>
      </c>
      <c r="O33" s="9">
        <v>100.0</v>
      </c>
      <c r="P33" s="9">
        <v>100.0</v>
      </c>
      <c r="Q33" s="9">
        <v>100.0</v>
      </c>
      <c r="R33" s="110">
        <v>100.0</v>
      </c>
      <c r="S33" s="9">
        <v>100.0</v>
      </c>
      <c r="T33" s="110">
        <v>100.0</v>
      </c>
      <c r="U33" s="9">
        <v>100.0</v>
      </c>
      <c r="V33" s="110">
        <v>100.0</v>
      </c>
      <c r="W33" s="9">
        <v>100.0</v>
      </c>
      <c r="X33" s="110">
        <v>100.0</v>
      </c>
      <c r="Y33" s="9">
        <v>100.0</v>
      </c>
      <c r="Z33" s="110">
        <v>100.0</v>
      </c>
      <c r="AA33" s="73" t="s">
        <v>116</v>
      </c>
      <c r="AB33" s="94" t="s">
        <v>81</v>
      </c>
      <c r="AC33" s="36"/>
      <c r="AD33" s="36"/>
      <c r="AE33" s="111"/>
      <c r="AF33" s="112"/>
      <c r="AG33" s="37"/>
      <c r="AH33" s="97"/>
      <c r="AI33" s="14"/>
      <c r="AJ33" s="14"/>
      <c r="AK33" s="392"/>
      <c r="AL33" s="113"/>
      <c r="AM33" s="105" t="s">
        <v>107</v>
      </c>
      <c r="AO33" s="104" t="s">
        <v>100</v>
      </c>
      <c r="AQ33" s="114" t="s">
        <v>101</v>
      </c>
      <c r="AS33" s="105" t="s">
        <v>102</v>
      </c>
      <c r="AU33" s="105" t="s">
        <v>103</v>
      </c>
      <c r="AW33" s="104" t="s">
        <v>104</v>
      </c>
      <c r="AY33" s="104" t="s">
        <v>105</v>
      </c>
      <c r="BA33" s="104" t="s">
        <v>106</v>
      </c>
      <c r="BB33" s="24"/>
    </row>
    <row r="34">
      <c r="A34" s="344" t="str">
        <f>I2</f>
        <v>2569</v>
      </c>
      <c r="B34" s="86"/>
      <c r="E34" s="345" t="s">
        <v>165</v>
      </c>
      <c r="F34" s="349" t="s">
        <v>212</v>
      </c>
      <c r="G34" s="9" t="str">
        <f t="shared" si="35"/>
        <v>A8</v>
      </c>
      <c r="H34" s="9" t="str">
        <f>H10</f>
        <v>B11</v>
      </c>
      <c r="I34" s="9" t="s">
        <v>204</v>
      </c>
      <c r="J34" s="9" t="s">
        <v>214</v>
      </c>
      <c r="K34" s="36"/>
      <c r="L34" s="117"/>
      <c r="M34" s="118" t="str">
        <f t="shared" ref="M34:P34" si="38">C34</f>
        <v/>
      </c>
      <c r="N34" s="119" t="str">
        <f t="shared" si="38"/>
        <v/>
      </c>
      <c r="O34" s="118" t="str">
        <f t="shared" si="38"/>
        <v>A12</v>
      </c>
      <c r="P34" s="118" t="str">
        <f t="shared" si="38"/>
        <v>B9</v>
      </c>
      <c r="Q34" s="118" t="str">
        <f t="shared" ref="Q34:R34" si="39">E35</f>
        <v>B1</v>
      </c>
      <c r="R34" s="119" t="str">
        <f t="shared" si="39"/>
        <v>C11</v>
      </c>
      <c r="S34" s="9" t="s">
        <v>198</v>
      </c>
      <c r="T34" s="110" t="s">
        <v>112</v>
      </c>
      <c r="U34" s="9" t="str">
        <f t="shared" ref="U34:X34" si="40">U10</f>
        <v>A8</v>
      </c>
      <c r="V34" s="110" t="str">
        <f t="shared" si="40"/>
        <v>B11</v>
      </c>
      <c r="W34" s="9" t="str">
        <f t="shared" si="40"/>
        <v>A5</v>
      </c>
      <c r="X34" s="110" t="str">
        <f t="shared" si="40"/>
        <v>A8</v>
      </c>
      <c r="Y34" s="118" t="str">
        <f t="shared" ref="Y34:Z34" si="41">I34</f>
        <v>A5</v>
      </c>
      <c r="Z34" s="120" t="str">
        <f t="shared" si="41"/>
        <v>B11</v>
      </c>
      <c r="AA34" s="73" t="s">
        <v>126</v>
      </c>
      <c r="AB34" s="94" t="s">
        <v>99</v>
      </c>
      <c r="AC34" s="36"/>
      <c r="AD34" s="36"/>
      <c r="AE34" s="111"/>
      <c r="AF34" s="112"/>
      <c r="AG34" s="37"/>
      <c r="AH34" s="97"/>
      <c r="AI34" s="14"/>
      <c r="AJ34" s="14"/>
      <c r="AK34" s="392"/>
      <c r="AL34" s="113"/>
      <c r="AM34" s="105" t="s">
        <v>125</v>
      </c>
      <c r="AO34" s="104" t="s">
        <v>118</v>
      </c>
      <c r="AQ34" s="114" t="s">
        <v>119</v>
      </c>
      <c r="AS34" s="105" t="s">
        <v>120</v>
      </c>
      <c r="AU34" s="105" t="s">
        <v>121</v>
      </c>
      <c r="AW34" s="104" t="s">
        <v>122</v>
      </c>
      <c r="AY34" s="104" t="s">
        <v>123</v>
      </c>
      <c r="BA34" s="104" t="s">
        <v>124</v>
      </c>
      <c r="BB34" s="24"/>
    </row>
    <row r="35">
      <c r="A35" s="344">
        <f>A34-543</f>
        <v>2026</v>
      </c>
      <c r="B35" s="86"/>
      <c r="C35" s="181"/>
      <c r="E35" s="115" t="s">
        <v>80</v>
      </c>
      <c r="F35" s="348" t="s">
        <v>236</v>
      </c>
      <c r="G35" s="9"/>
      <c r="H35" s="118"/>
      <c r="I35" s="118"/>
      <c r="J35" s="118"/>
      <c r="K35" s="182"/>
      <c r="L35" s="183"/>
      <c r="M35" s="8"/>
      <c r="N35" s="121"/>
      <c r="O35" s="8"/>
      <c r="P35" s="8"/>
      <c r="Q35" s="8"/>
      <c r="R35" s="121"/>
      <c r="S35" s="8"/>
      <c r="T35" s="121"/>
      <c r="U35" s="9"/>
      <c r="V35" s="110"/>
      <c r="W35" s="9"/>
      <c r="X35" s="110"/>
      <c r="Y35" s="9"/>
      <c r="Z35" s="110"/>
      <c r="AA35" s="73" t="s">
        <v>69</v>
      </c>
      <c r="AB35" s="94" t="s">
        <v>155</v>
      </c>
      <c r="AC35" s="36"/>
      <c r="AD35" s="36"/>
      <c r="AE35" s="111"/>
      <c r="AF35" s="112"/>
      <c r="AG35" s="37"/>
      <c r="AH35" s="97"/>
      <c r="AI35" s="14"/>
      <c r="AJ35" s="14"/>
      <c r="AK35" s="392"/>
      <c r="AL35" s="113"/>
      <c r="AM35" s="105" t="s">
        <v>136</v>
      </c>
      <c r="AO35" s="104" t="s">
        <v>129</v>
      </c>
      <c r="AQ35" s="114" t="s">
        <v>130</v>
      </c>
      <c r="AS35" s="105" t="s">
        <v>131</v>
      </c>
      <c r="AU35" s="105" t="s">
        <v>132</v>
      </c>
      <c r="AW35" s="104" t="s">
        <v>133</v>
      </c>
      <c r="AY35" s="104" t="s">
        <v>134</v>
      </c>
      <c r="BA35" s="104" t="s">
        <v>135</v>
      </c>
      <c r="BB35" s="24"/>
    </row>
    <row r="36">
      <c r="A36" s="357"/>
      <c r="B36" s="144"/>
      <c r="C36" s="185"/>
      <c r="D36" s="186"/>
      <c r="E36" s="393" t="s">
        <v>157</v>
      </c>
      <c r="F36" s="125"/>
      <c r="G36" s="394" t="str">
        <f>G12</f>
        <v>อสูรเดือน N</v>
      </c>
      <c r="H36" s="147"/>
      <c r="I36" s="148" t="str">
        <f>I12</f>
        <v>อสูรปี N</v>
      </c>
      <c r="J36" s="147"/>
      <c r="K36" s="149"/>
      <c r="L36" s="150"/>
      <c r="M36" s="151"/>
      <c r="N36" s="152"/>
      <c r="O36" s="151"/>
      <c r="P36" s="151"/>
      <c r="Q36" s="151"/>
      <c r="R36" s="152"/>
      <c r="S36" s="151"/>
      <c r="T36" s="152"/>
      <c r="U36" s="153"/>
      <c r="V36" s="154"/>
      <c r="W36" s="9"/>
      <c r="X36" s="110"/>
      <c r="Y36" s="153"/>
      <c r="Z36" s="154"/>
      <c r="AA36" s="233"/>
      <c r="AB36" s="234"/>
      <c r="AC36" s="156"/>
      <c r="AD36" s="156"/>
      <c r="AE36" s="235"/>
      <c r="AF36" s="236"/>
      <c r="AG36" s="237"/>
      <c r="AH36" s="238"/>
      <c r="AI36" s="239"/>
      <c r="AJ36" s="239"/>
      <c r="AK36" s="395"/>
      <c r="AL36" s="113"/>
      <c r="BA36" s="128"/>
      <c r="BB36" s="24"/>
    </row>
    <row r="37">
      <c r="A37" s="188" t="s">
        <v>186</v>
      </c>
      <c r="B37" s="83"/>
      <c r="C37" s="63"/>
      <c r="D37" s="63"/>
      <c r="E37" s="64">
        <f>(O38+P38+Q38+R38)/(O39+P39+Q39+R39)</f>
        <v>0.2125</v>
      </c>
      <c r="F37" s="65"/>
      <c r="G37" s="66"/>
      <c r="H37" s="66"/>
      <c r="I37" s="67"/>
      <c r="J37" s="67"/>
      <c r="K37" s="177"/>
      <c r="L37" s="178"/>
      <c r="M37" s="63" t="s">
        <v>64</v>
      </c>
      <c r="N37" s="70"/>
      <c r="O37" s="71" t="s">
        <v>65</v>
      </c>
      <c r="P37" s="72"/>
      <c r="Q37" s="72"/>
      <c r="R37" s="70"/>
      <c r="S37" s="71" t="s">
        <v>66</v>
      </c>
      <c r="T37" s="70"/>
      <c r="U37" s="71" t="s">
        <v>67</v>
      </c>
      <c r="V37" s="70"/>
      <c r="W37" s="71" t="s">
        <v>348</v>
      </c>
      <c r="X37" s="70"/>
      <c r="Y37" s="71" t="s">
        <v>68</v>
      </c>
      <c r="Z37" s="70"/>
      <c r="AA37" s="134" t="s">
        <v>80</v>
      </c>
      <c r="AB37" s="74" t="s">
        <v>159</v>
      </c>
      <c r="AC37" s="75" t="s">
        <v>171</v>
      </c>
      <c r="AD37" s="75" t="s">
        <v>172</v>
      </c>
      <c r="AE37" s="167" t="s">
        <v>173</v>
      </c>
      <c r="AF37" s="74" t="s">
        <v>174</v>
      </c>
      <c r="AG37" s="63" t="s">
        <v>34</v>
      </c>
      <c r="AH37" s="78" t="s">
        <v>75</v>
      </c>
      <c r="AI37" s="79" t="s">
        <v>84</v>
      </c>
      <c r="AJ37" s="79">
        <v>0.0</v>
      </c>
      <c r="AK37" s="390" t="s">
        <v>85</v>
      </c>
      <c r="AL37" s="80" t="str">
        <f>AL13</f>
        <v>開</v>
      </c>
      <c r="AM37" s="81" t="s">
        <v>50</v>
      </c>
      <c r="AN37" s="82" t="str">
        <f>AN13</f>
        <v>休</v>
      </c>
      <c r="AO37" s="81" t="s">
        <v>52</v>
      </c>
      <c r="AP37" s="82" t="s">
        <v>4</v>
      </c>
      <c r="AQ37" s="81" t="s">
        <v>38</v>
      </c>
      <c r="AR37" s="82" t="str">
        <f>AR13</f>
        <v>傷</v>
      </c>
      <c r="AS37" s="81" t="s">
        <v>40</v>
      </c>
      <c r="AT37" s="82" t="s">
        <v>8</v>
      </c>
      <c r="AU37" s="81" t="s">
        <v>42</v>
      </c>
      <c r="AV37" s="82" t="str">
        <f>AV13</f>
        <v>景</v>
      </c>
      <c r="AW37" s="81" t="s">
        <v>44</v>
      </c>
      <c r="AX37" s="82" t="str">
        <f>AX13</f>
        <v>死</v>
      </c>
      <c r="AY37" s="81" t="s">
        <v>46</v>
      </c>
      <c r="AZ37" s="82" t="str">
        <f>AZ13</f>
        <v>驚</v>
      </c>
      <c r="BA37" s="81" t="s">
        <v>48</v>
      </c>
      <c r="BB37" s="83"/>
      <c r="BC37" s="84"/>
      <c r="BD37" s="84"/>
      <c r="BE37" s="84"/>
    </row>
    <row r="38">
      <c r="A38" s="85">
        <f>A32+1</f>
        <v>6</v>
      </c>
      <c r="B38" s="86"/>
      <c r="C38" s="12" t="s">
        <v>78</v>
      </c>
      <c r="E38" s="199" t="s">
        <v>201</v>
      </c>
      <c r="G38" s="374" t="str">
        <f t="shared" ref="G38:G40" si="43">G14</f>
        <v>甲</v>
      </c>
      <c r="I38" s="268" t="str">
        <f t="shared" ref="I38:I39" si="44">I9</f>
        <v>午</v>
      </c>
      <c r="K38" s="90">
        <f>L38/L39</f>
        <v>0.3916666667</v>
      </c>
      <c r="L38" s="91">
        <f t="shared" ref="L38:L39" si="45">Z38+Y38+X38+W38+V38+U38+T38+S38+R38+Q38+P38+O38</f>
        <v>470</v>
      </c>
      <c r="M38" s="92">
        <v>0.0</v>
      </c>
      <c r="N38" s="93">
        <v>0.0</v>
      </c>
      <c r="O38" s="92">
        <v>5.0</v>
      </c>
      <c r="P38" s="92">
        <v>40.0</v>
      </c>
      <c r="Q38" s="92">
        <v>10.0</v>
      </c>
      <c r="R38" s="93">
        <v>30.0</v>
      </c>
      <c r="S38" s="92">
        <v>20.0</v>
      </c>
      <c r="T38" s="93">
        <v>15.0</v>
      </c>
      <c r="U38" s="92">
        <f>U14</f>
        <v>5</v>
      </c>
      <c r="V38" s="93">
        <f>V20</f>
        <v>60</v>
      </c>
      <c r="W38" s="92">
        <f t="shared" ref="W38:X38" si="42">W8</f>
        <v>110</v>
      </c>
      <c r="X38" s="93">
        <f t="shared" si="42"/>
        <v>5</v>
      </c>
      <c r="Y38" s="92">
        <v>110.0</v>
      </c>
      <c r="Z38" s="93">
        <v>60.0</v>
      </c>
      <c r="AA38" s="73" t="s">
        <v>98</v>
      </c>
      <c r="AB38" s="94" t="s">
        <v>152</v>
      </c>
      <c r="AC38" s="36"/>
      <c r="AD38" s="169" t="s">
        <v>177</v>
      </c>
      <c r="AE38" s="170" t="s">
        <v>73</v>
      </c>
      <c r="AF38" s="94" t="s">
        <v>74</v>
      </c>
      <c r="AG38" s="37"/>
      <c r="AH38" s="97"/>
      <c r="AI38" s="12" t="s">
        <v>76</v>
      </c>
      <c r="AJ38" s="12">
        <v>240.0</v>
      </c>
      <c r="AK38" s="391" t="s">
        <v>77</v>
      </c>
      <c r="AL38" s="98" t="s">
        <v>51</v>
      </c>
      <c r="AM38" s="101" t="s">
        <v>95</v>
      </c>
      <c r="AN38" s="100" t="s">
        <v>86</v>
      </c>
      <c r="AO38" s="99" t="s">
        <v>87</v>
      </c>
      <c r="AP38" s="100" t="s">
        <v>88</v>
      </c>
      <c r="AQ38" s="101" t="s">
        <v>89</v>
      </c>
      <c r="AR38" s="100" t="s">
        <v>45</v>
      </c>
      <c r="AS38" s="102" t="s">
        <v>90</v>
      </c>
      <c r="AT38" s="100" t="s">
        <v>43</v>
      </c>
      <c r="AU38" s="101" t="s">
        <v>91</v>
      </c>
      <c r="AV38" s="100" t="s">
        <v>41</v>
      </c>
      <c r="AW38" s="103" t="s">
        <v>92</v>
      </c>
      <c r="AX38" s="100" t="s">
        <v>39</v>
      </c>
      <c r="AY38" s="99" t="s">
        <v>93</v>
      </c>
      <c r="AZ38" s="100" t="s">
        <v>37</v>
      </c>
      <c r="BA38" s="99" t="s">
        <v>94</v>
      </c>
      <c r="BB38" s="24"/>
    </row>
    <row r="39">
      <c r="A39" s="344" t="str">
        <f>A15</f>
        <v>กรกฎาคม</v>
      </c>
      <c r="B39" s="86"/>
      <c r="C39" s="161" t="s">
        <v>217</v>
      </c>
      <c r="E39" s="201" t="s">
        <v>54</v>
      </c>
      <c r="G39" s="223" t="str">
        <f t="shared" si="43"/>
        <v>午</v>
      </c>
      <c r="I39" s="35" t="str">
        <f t="shared" si="44"/>
        <v>A5</v>
      </c>
      <c r="K39" s="36"/>
      <c r="L39" s="109">
        <f t="shared" si="45"/>
        <v>1200</v>
      </c>
      <c r="M39" s="9">
        <v>0.0</v>
      </c>
      <c r="N39" s="110">
        <v>0.0</v>
      </c>
      <c r="O39" s="9">
        <v>100.0</v>
      </c>
      <c r="P39" s="9">
        <v>100.0</v>
      </c>
      <c r="Q39" s="9">
        <v>100.0</v>
      </c>
      <c r="R39" s="110">
        <v>100.0</v>
      </c>
      <c r="S39" s="9">
        <v>100.0</v>
      </c>
      <c r="T39" s="110">
        <v>100.0</v>
      </c>
      <c r="U39" s="9">
        <v>100.0</v>
      </c>
      <c r="V39" s="110">
        <v>100.0</v>
      </c>
      <c r="W39" s="9">
        <v>100.0</v>
      </c>
      <c r="X39" s="110">
        <v>100.0</v>
      </c>
      <c r="Y39" s="9">
        <v>100.0</v>
      </c>
      <c r="Z39" s="110">
        <v>100.0</v>
      </c>
      <c r="AA39" s="73" t="s">
        <v>116</v>
      </c>
      <c r="AB39" s="94" t="s">
        <v>81</v>
      </c>
      <c r="AC39" s="36"/>
      <c r="AD39" s="36"/>
      <c r="AE39" s="111"/>
      <c r="AF39" s="112"/>
      <c r="AG39" s="37"/>
      <c r="AH39" s="97"/>
      <c r="AI39" s="14"/>
      <c r="AJ39" s="14"/>
      <c r="AK39" s="392"/>
      <c r="AL39" s="113"/>
      <c r="AM39" s="105" t="s">
        <v>107</v>
      </c>
      <c r="AO39" s="104" t="s">
        <v>100</v>
      </c>
      <c r="AQ39" s="114" t="s">
        <v>101</v>
      </c>
      <c r="AS39" s="105" t="s">
        <v>102</v>
      </c>
      <c r="AU39" s="105" t="s">
        <v>103</v>
      </c>
      <c r="AW39" s="104" t="s">
        <v>104</v>
      </c>
      <c r="AY39" s="104" t="s">
        <v>105</v>
      </c>
      <c r="BA39" s="104" t="s">
        <v>106</v>
      </c>
      <c r="BB39" s="24"/>
    </row>
    <row r="40">
      <c r="A40" s="344" t="str">
        <f>I2</f>
        <v>2569</v>
      </c>
      <c r="B40" s="86"/>
      <c r="E40" s="345" t="s">
        <v>108</v>
      </c>
      <c r="F40" s="349" t="s">
        <v>218</v>
      </c>
      <c r="G40" s="9" t="str">
        <f t="shared" si="43"/>
        <v>A8</v>
      </c>
      <c r="H40" s="9" t="str">
        <f>H16</f>
        <v>B11</v>
      </c>
      <c r="I40" s="9" t="s">
        <v>204</v>
      </c>
      <c r="J40" s="9" t="s">
        <v>214</v>
      </c>
      <c r="K40" s="36"/>
      <c r="L40" s="117"/>
      <c r="M40" s="118" t="str">
        <f t="shared" ref="M40:P40" si="46">C40</f>
        <v/>
      </c>
      <c r="N40" s="119" t="str">
        <f t="shared" si="46"/>
        <v/>
      </c>
      <c r="O40" s="118" t="str">
        <f t="shared" si="46"/>
        <v>A8</v>
      </c>
      <c r="P40" s="118" t="str">
        <f t="shared" si="46"/>
        <v>B10</v>
      </c>
      <c r="Q40" s="118" t="str">
        <f t="shared" ref="Q40:R40" si="47">E41</f>
        <v>B12</v>
      </c>
      <c r="R40" s="119" t="str">
        <f t="shared" si="47"/>
        <v>C12</v>
      </c>
      <c r="S40" s="9" t="s">
        <v>115</v>
      </c>
      <c r="T40" s="110" t="s">
        <v>115</v>
      </c>
      <c r="U40" s="9" t="str">
        <f t="shared" ref="U40:V40" si="48">U16</f>
        <v>A8</v>
      </c>
      <c r="V40" s="110" t="str">
        <f t="shared" si="48"/>
        <v>B11</v>
      </c>
      <c r="W40" s="9" t="str">
        <f t="shared" ref="W40:X40" si="49">W10</f>
        <v>A5</v>
      </c>
      <c r="X40" s="110" t="str">
        <f t="shared" si="49"/>
        <v>A8</v>
      </c>
      <c r="Y40" s="118" t="str">
        <f t="shared" ref="Y40:Z40" si="50">I40</f>
        <v>A5</v>
      </c>
      <c r="Z40" s="120" t="str">
        <f t="shared" si="50"/>
        <v>B11</v>
      </c>
      <c r="AA40" s="73" t="s">
        <v>126</v>
      </c>
      <c r="AB40" s="94" t="s">
        <v>99</v>
      </c>
      <c r="AC40" s="36"/>
      <c r="AD40" s="36"/>
      <c r="AE40" s="111"/>
      <c r="AF40" s="112"/>
      <c r="AG40" s="37"/>
      <c r="AH40" s="97"/>
      <c r="AI40" s="14"/>
      <c r="AJ40" s="14"/>
      <c r="AK40" s="392"/>
      <c r="AL40" s="113"/>
      <c r="AM40" s="105" t="s">
        <v>125</v>
      </c>
      <c r="AO40" s="104" t="s">
        <v>118</v>
      </c>
      <c r="AQ40" s="114" t="s">
        <v>119</v>
      </c>
      <c r="AS40" s="105" t="s">
        <v>120</v>
      </c>
      <c r="AU40" s="105" t="s">
        <v>121</v>
      </c>
      <c r="AW40" s="104" t="s">
        <v>122</v>
      </c>
      <c r="AY40" s="104" t="s">
        <v>123</v>
      </c>
      <c r="BA40" s="104" t="s">
        <v>124</v>
      </c>
      <c r="BB40" s="24"/>
    </row>
    <row r="41">
      <c r="A41" s="344">
        <f>A40-543</f>
        <v>2026</v>
      </c>
      <c r="B41" s="86"/>
      <c r="C41" s="181"/>
      <c r="E41" s="115" t="s">
        <v>113</v>
      </c>
      <c r="F41" s="348" t="s">
        <v>127</v>
      </c>
      <c r="G41" s="9"/>
      <c r="H41" s="118"/>
      <c r="I41" s="118"/>
      <c r="J41" s="118"/>
      <c r="K41" s="182"/>
      <c r="L41" s="183"/>
      <c r="M41" s="8"/>
      <c r="N41" s="121"/>
      <c r="O41" s="8"/>
      <c r="P41" s="8"/>
      <c r="Q41" s="8"/>
      <c r="R41" s="121"/>
      <c r="S41" s="8"/>
      <c r="T41" s="121"/>
      <c r="U41" s="9"/>
      <c r="V41" s="110"/>
      <c r="W41" s="9"/>
      <c r="X41" s="110"/>
      <c r="Y41" s="9"/>
      <c r="Z41" s="110"/>
      <c r="AA41" s="73" t="s">
        <v>69</v>
      </c>
      <c r="AB41" s="94" t="s">
        <v>155</v>
      </c>
      <c r="AC41" s="36"/>
      <c r="AD41" s="36"/>
      <c r="AE41" s="111"/>
      <c r="AF41" s="112"/>
      <c r="AG41" s="37"/>
      <c r="AH41" s="97"/>
      <c r="AI41" s="14"/>
      <c r="AJ41" s="14"/>
      <c r="AK41" s="392"/>
      <c r="AL41" s="113"/>
      <c r="AM41" s="105" t="s">
        <v>136</v>
      </c>
      <c r="AO41" s="104" t="s">
        <v>129</v>
      </c>
      <c r="AQ41" s="114" t="s">
        <v>130</v>
      </c>
      <c r="AS41" s="105" t="s">
        <v>131</v>
      </c>
      <c r="AU41" s="105" t="s">
        <v>132</v>
      </c>
      <c r="AW41" s="104" t="s">
        <v>133</v>
      </c>
      <c r="AY41" s="104" t="s">
        <v>134</v>
      </c>
      <c r="BA41" s="104" t="s">
        <v>135</v>
      </c>
      <c r="BB41" s="24"/>
    </row>
    <row r="42">
      <c r="A42" s="357"/>
      <c r="B42" s="144"/>
      <c r="C42" s="185"/>
      <c r="D42" s="186"/>
      <c r="E42" s="164" t="s">
        <v>168</v>
      </c>
      <c r="F42" s="88"/>
      <c r="G42" s="394" t="str">
        <f>G18</f>
        <v>อสูรเดือน N</v>
      </c>
      <c r="H42" s="147"/>
      <c r="I42" s="148" t="str">
        <f>I18</f>
        <v>อสูรปี N</v>
      </c>
      <c r="J42" s="147"/>
      <c r="K42" s="149"/>
      <c r="L42" s="150"/>
      <c r="M42" s="151"/>
      <c r="N42" s="152"/>
      <c r="O42" s="151"/>
      <c r="P42" s="151"/>
      <c r="Q42" s="151"/>
      <c r="R42" s="152"/>
      <c r="S42" s="151"/>
      <c r="T42" s="152"/>
      <c r="U42" s="153"/>
      <c r="V42" s="154"/>
      <c r="W42" s="9"/>
      <c r="X42" s="110"/>
      <c r="Y42" s="153"/>
      <c r="Z42" s="154"/>
      <c r="AA42" s="233"/>
      <c r="AB42" s="234"/>
      <c r="AC42" s="156"/>
      <c r="AD42" s="156"/>
      <c r="AE42" s="235"/>
      <c r="AF42" s="236"/>
      <c r="AG42" s="237"/>
      <c r="AH42" s="238"/>
      <c r="AI42" s="239"/>
      <c r="AJ42" s="239"/>
      <c r="AK42" s="395"/>
      <c r="AL42" s="113"/>
      <c r="BA42" s="128"/>
      <c r="BB42" s="24"/>
    </row>
    <row r="43">
      <c r="A43" s="188" t="s">
        <v>191</v>
      </c>
      <c r="B43" s="83"/>
      <c r="C43" s="63"/>
      <c r="D43" s="63"/>
      <c r="E43" s="64">
        <f>(O44+P44+Q44+R44)/(O45+P45+Q45+R45)</f>
        <v>0.6375</v>
      </c>
      <c r="F43" s="65"/>
      <c r="G43" s="66"/>
      <c r="H43" s="66"/>
      <c r="I43" s="67"/>
      <c r="J43" s="67"/>
      <c r="K43" s="177"/>
      <c r="L43" s="178"/>
      <c r="M43" s="63" t="s">
        <v>64</v>
      </c>
      <c r="N43" s="70"/>
      <c r="O43" s="71" t="s">
        <v>65</v>
      </c>
      <c r="P43" s="72"/>
      <c r="Q43" s="72"/>
      <c r="R43" s="70"/>
      <c r="S43" s="71" t="s">
        <v>66</v>
      </c>
      <c r="T43" s="70"/>
      <c r="U43" s="71" t="s">
        <v>67</v>
      </c>
      <c r="V43" s="70"/>
      <c r="W43" s="71" t="s">
        <v>348</v>
      </c>
      <c r="X43" s="70"/>
      <c r="Y43" s="71" t="s">
        <v>68</v>
      </c>
      <c r="Z43" s="70"/>
      <c r="AA43" s="134" t="s">
        <v>80</v>
      </c>
      <c r="AB43" s="74" t="s">
        <v>159</v>
      </c>
      <c r="AC43" s="75" t="s">
        <v>171</v>
      </c>
      <c r="AD43" s="75" t="s">
        <v>172</v>
      </c>
      <c r="AE43" s="167" t="s">
        <v>173</v>
      </c>
      <c r="AF43" s="74" t="s">
        <v>174</v>
      </c>
      <c r="AG43" s="63" t="s">
        <v>34</v>
      </c>
      <c r="AH43" s="78" t="s">
        <v>75</v>
      </c>
      <c r="AI43" s="79" t="s">
        <v>84</v>
      </c>
      <c r="AJ43" s="79">
        <v>0.0</v>
      </c>
      <c r="AK43" s="79" t="s">
        <v>85</v>
      </c>
      <c r="AL43" s="80" t="str">
        <f>AL25</f>
        <v>開</v>
      </c>
      <c r="AM43" s="81" t="s">
        <v>50</v>
      </c>
      <c r="AN43" s="82" t="str">
        <f>AN25</f>
        <v>休</v>
      </c>
      <c r="AO43" s="81" t="s">
        <v>52</v>
      </c>
      <c r="AP43" s="82" t="s">
        <v>4</v>
      </c>
      <c r="AQ43" s="81" t="s">
        <v>38</v>
      </c>
      <c r="AR43" s="82" t="str">
        <f>AR25</f>
        <v>傷</v>
      </c>
      <c r="AS43" s="81" t="s">
        <v>40</v>
      </c>
      <c r="AT43" s="82" t="s">
        <v>8</v>
      </c>
      <c r="AU43" s="81" t="s">
        <v>42</v>
      </c>
      <c r="AV43" s="82" t="str">
        <f>AV25</f>
        <v>景</v>
      </c>
      <c r="AW43" s="81" t="s">
        <v>44</v>
      </c>
      <c r="AX43" s="82" t="str">
        <f>AX25</f>
        <v>死</v>
      </c>
      <c r="AY43" s="81" t="s">
        <v>46</v>
      </c>
      <c r="AZ43" s="82" t="str">
        <f>AZ25</f>
        <v>驚</v>
      </c>
      <c r="BA43" s="81" t="s">
        <v>48</v>
      </c>
      <c r="BB43" s="83"/>
      <c r="BC43" s="84"/>
      <c r="BD43" s="84"/>
      <c r="BE43" s="84"/>
    </row>
    <row r="44">
      <c r="A44" s="179">
        <f>A38+1</f>
        <v>7</v>
      </c>
      <c r="B44" s="86"/>
      <c r="C44" s="12" t="s">
        <v>146</v>
      </c>
      <c r="E44" s="203" t="s">
        <v>209</v>
      </c>
      <c r="G44" s="374" t="str">
        <f t="shared" ref="G44:G45" si="52">G8:H8</f>
        <v>甲</v>
      </c>
      <c r="I44" s="268" t="str">
        <f t="shared" ref="I44:I45" si="53">I8:J8</f>
        <v>丙</v>
      </c>
      <c r="K44" s="90">
        <f>L44/L45</f>
        <v>0.5625</v>
      </c>
      <c r="L44" s="91">
        <f t="shared" ref="L44:L45" si="54">Z44+Y44+X44+W44+V44+U44+T44+S44+R44+Q44+P44+O44</f>
        <v>675</v>
      </c>
      <c r="M44" s="92">
        <v>0.0</v>
      </c>
      <c r="N44" s="93">
        <v>0.0</v>
      </c>
      <c r="O44" s="92">
        <v>65.0</v>
      </c>
      <c r="P44" s="92">
        <v>60.0</v>
      </c>
      <c r="Q44" s="92">
        <v>60.0</v>
      </c>
      <c r="R44" s="93">
        <v>70.0</v>
      </c>
      <c r="S44" s="92">
        <v>5.0</v>
      </c>
      <c r="T44" s="93">
        <v>65.0</v>
      </c>
      <c r="U44" s="92">
        <f t="shared" ref="U44:X44" si="51">U8</f>
        <v>5</v>
      </c>
      <c r="V44" s="93">
        <f t="shared" si="51"/>
        <v>60</v>
      </c>
      <c r="W44" s="92">
        <f t="shared" si="51"/>
        <v>110</v>
      </c>
      <c r="X44" s="93">
        <f t="shared" si="51"/>
        <v>5</v>
      </c>
      <c r="Y44" s="92">
        <v>110.0</v>
      </c>
      <c r="Z44" s="93">
        <v>60.0</v>
      </c>
      <c r="AA44" s="73" t="s">
        <v>98</v>
      </c>
      <c r="AB44" s="94" t="s">
        <v>152</v>
      </c>
      <c r="AC44" s="36"/>
      <c r="AD44" s="169" t="s">
        <v>177</v>
      </c>
      <c r="AE44" s="170" t="s">
        <v>73</v>
      </c>
      <c r="AF44" s="94" t="s">
        <v>74</v>
      </c>
      <c r="AG44" s="37"/>
      <c r="AH44" s="97"/>
      <c r="AI44" s="12" t="s">
        <v>76</v>
      </c>
      <c r="AJ44" s="12">
        <v>240.0</v>
      </c>
      <c r="AK44" s="12" t="s">
        <v>77</v>
      </c>
      <c r="AL44" s="98" t="s">
        <v>51</v>
      </c>
      <c r="AM44" s="101" t="s">
        <v>95</v>
      </c>
      <c r="AN44" s="100" t="s">
        <v>86</v>
      </c>
      <c r="AO44" s="99" t="s">
        <v>87</v>
      </c>
      <c r="AP44" s="100" t="s">
        <v>88</v>
      </c>
      <c r="AQ44" s="101" t="s">
        <v>89</v>
      </c>
      <c r="AR44" s="100" t="s">
        <v>45</v>
      </c>
      <c r="AS44" s="102" t="s">
        <v>90</v>
      </c>
      <c r="AT44" s="100" t="s">
        <v>43</v>
      </c>
      <c r="AU44" s="101" t="s">
        <v>91</v>
      </c>
      <c r="AV44" s="100" t="s">
        <v>41</v>
      </c>
      <c r="AW44" s="103" t="s">
        <v>92</v>
      </c>
      <c r="AX44" s="100" t="s">
        <v>39</v>
      </c>
      <c r="AY44" s="99" t="s">
        <v>93</v>
      </c>
      <c r="AZ44" s="100" t="s">
        <v>37</v>
      </c>
      <c r="BA44" s="99" t="s">
        <v>94</v>
      </c>
      <c r="BB44" s="24"/>
    </row>
    <row r="45">
      <c r="A45" s="344" t="str">
        <f>A27</f>
        <v>กรกฎาคม</v>
      </c>
      <c r="B45" s="86"/>
      <c r="C45" s="175" t="s">
        <v>223</v>
      </c>
      <c r="E45" s="201" t="s">
        <v>202</v>
      </c>
      <c r="G45" s="223" t="str">
        <f t="shared" si="52"/>
        <v>午</v>
      </c>
      <c r="I45" s="35" t="str">
        <f t="shared" si="53"/>
        <v>午</v>
      </c>
      <c r="K45" s="36"/>
      <c r="L45" s="109">
        <f t="shared" si="54"/>
        <v>1200</v>
      </c>
      <c r="M45" s="9">
        <v>0.0</v>
      </c>
      <c r="N45" s="110">
        <v>0.0</v>
      </c>
      <c r="O45" s="9">
        <v>100.0</v>
      </c>
      <c r="P45" s="9">
        <v>100.0</v>
      </c>
      <c r="Q45" s="9">
        <v>100.0</v>
      </c>
      <c r="R45" s="110">
        <v>100.0</v>
      </c>
      <c r="S45" s="9">
        <v>100.0</v>
      </c>
      <c r="T45" s="110">
        <v>100.0</v>
      </c>
      <c r="U45" s="9">
        <v>100.0</v>
      </c>
      <c r="V45" s="110">
        <v>100.0</v>
      </c>
      <c r="W45" s="9">
        <v>100.0</v>
      </c>
      <c r="X45" s="110">
        <v>100.0</v>
      </c>
      <c r="Y45" s="9">
        <v>100.0</v>
      </c>
      <c r="Z45" s="110">
        <v>100.0</v>
      </c>
      <c r="AA45" s="73" t="s">
        <v>116</v>
      </c>
      <c r="AB45" s="94" t="s">
        <v>81</v>
      </c>
      <c r="AC45" s="36"/>
      <c r="AD45" s="36"/>
      <c r="AE45" s="111"/>
      <c r="AF45" s="112"/>
      <c r="AG45" s="37"/>
      <c r="AH45" s="97"/>
      <c r="AI45" s="14"/>
      <c r="AJ45" s="14"/>
      <c r="AK45" s="14"/>
      <c r="AL45" s="113"/>
      <c r="AM45" s="105" t="s">
        <v>107</v>
      </c>
      <c r="AO45" s="104" t="s">
        <v>100</v>
      </c>
      <c r="AQ45" s="114" t="s">
        <v>101</v>
      </c>
      <c r="AS45" s="105" t="s">
        <v>102</v>
      </c>
      <c r="AU45" s="105" t="s">
        <v>103</v>
      </c>
      <c r="AW45" s="104" t="s">
        <v>104</v>
      </c>
      <c r="AY45" s="104" t="s">
        <v>105</v>
      </c>
      <c r="BA45" s="104" t="s">
        <v>106</v>
      </c>
      <c r="BB45" s="24"/>
    </row>
    <row r="46">
      <c r="A46" s="85">
        <f>A10</f>
        <v>2569</v>
      </c>
      <c r="B46" s="86"/>
      <c r="E46" s="345" t="s">
        <v>110</v>
      </c>
      <c r="F46" s="349" t="s">
        <v>214</v>
      </c>
      <c r="G46" s="9" t="str">
        <f t="shared" ref="G46:H46" si="55">G10</f>
        <v>A8</v>
      </c>
      <c r="H46" s="9" t="str">
        <f t="shared" si="55"/>
        <v>B11</v>
      </c>
      <c r="I46" s="9" t="s">
        <v>204</v>
      </c>
      <c r="J46" s="9" t="s">
        <v>214</v>
      </c>
      <c r="K46" s="36"/>
      <c r="L46" s="117"/>
      <c r="M46" s="118" t="str">
        <f t="shared" ref="M46:P46" si="56">C46</f>
        <v/>
      </c>
      <c r="N46" s="119" t="str">
        <f t="shared" si="56"/>
        <v/>
      </c>
      <c r="O46" s="118" t="str">
        <f t="shared" si="56"/>
        <v>A11</v>
      </c>
      <c r="P46" s="118" t="str">
        <f t="shared" si="56"/>
        <v>B11</v>
      </c>
      <c r="Q46" s="118" t="str">
        <f t="shared" ref="Q46:R46" si="57">E47</f>
        <v>B11</v>
      </c>
      <c r="R46" s="119" t="str">
        <f t="shared" si="57"/>
        <v>C1</v>
      </c>
      <c r="S46" s="9" t="s">
        <v>108</v>
      </c>
      <c r="T46" s="110" t="s">
        <v>110</v>
      </c>
      <c r="U46" s="9" t="str">
        <f t="shared" ref="U46:X46" si="58">U10</f>
        <v>A8</v>
      </c>
      <c r="V46" s="110" t="str">
        <f t="shared" si="58"/>
        <v>B11</v>
      </c>
      <c r="W46" s="9" t="str">
        <f t="shared" si="58"/>
        <v>A5</v>
      </c>
      <c r="X46" s="110" t="str">
        <f t="shared" si="58"/>
        <v>A8</v>
      </c>
      <c r="Y46" s="118" t="str">
        <f t="shared" ref="Y46:Z46" si="59">I46</f>
        <v>A5</v>
      </c>
      <c r="Z46" s="120" t="str">
        <f t="shared" si="59"/>
        <v>B11</v>
      </c>
      <c r="AA46" s="73" t="s">
        <v>126</v>
      </c>
      <c r="AB46" s="94" t="s">
        <v>99</v>
      </c>
      <c r="AC46" s="36"/>
      <c r="AD46" s="36"/>
      <c r="AE46" s="111"/>
      <c r="AF46" s="112"/>
      <c r="AG46" s="37"/>
      <c r="AH46" s="97"/>
      <c r="AI46" s="14"/>
      <c r="AJ46" s="14"/>
      <c r="AK46" s="14"/>
      <c r="AL46" s="113"/>
      <c r="AM46" s="105" t="s">
        <v>125</v>
      </c>
      <c r="AO46" s="104" t="s">
        <v>118</v>
      </c>
      <c r="AQ46" s="114" t="s">
        <v>119</v>
      </c>
      <c r="AS46" s="105" t="s">
        <v>120</v>
      </c>
      <c r="AU46" s="105" t="s">
        <v>121</v>
      </c>
      <c r="AW46" s="104" t="s">
        <v>122</v>
      </c>
      <c r="AY46" s="104" t="s">
        <v>123</v>
      </c>
      <c r="BA46" s="104" t="s">
        <v>124</v>
      </c>
      <c r="BB46" s="24"/>
    </row>
    <row r="47">
      <c r="A47" s="85">
        <f>A46-543</f>
        <v>2026</v>
      </c>
      <c r="B47" s="86"/>
      <c r="C47" s="396" t="s">
        <v>335</v>
      </c>
      <c r="E47" s="115" t="s">
        <v>214</v>
      </c>
      <c r="F47" s="348" t="s">
        <v>154</v>
      </c>
      <c r="G47" s="9"/>
      <c r="H47" s="118"/>
      <c r="I47" s="118"/>
      <c r="J47" s="118"/>
      <c r="K47" s="182"/>
      <c r="L47" s="183"/>
      <c r="M47" s="8"/>
      <c r="N47" s="121"/>
      <c r="O47" s="8"/>
      <c r="P47" s="8"/>
      <c r="Q47" s="8"/>
      <c r="R47" s="121"/>
      <c r="S47" s="8"/>
      <c r="T47" s="121"/>
      <c r="U47" s="9"/>
      <c r="V47" s="110"/>
      <c r="W47" s="9"/>
      <c r="X47" s="110"/>
      <c r="Y47" s="9"/>
      <c r="Z47" s="110"/>
      <c r="AA47" s="73" t="s">
        <v>69</v>
      </c>
      <c r="AB47" s="94" t="s">
        <v>155</v>
      </c>
      <c r="AC47" s="36"/>
      <c r="AD47" s="36"/>
      <c r="AE47" s="111"/>
      <c r="AF47" s="112"/>
      <c r="AG47" s="37"/>
      <c r="AH47" s="97"/>
      <c r="AI47" s="14"/>
      <c r="AJ47" s="14"/>
      <c r="AK47" s="14"/>
      <c r="AL47" s="113"/>
      <c r="AM47" s="105" t="s">
        <v>136</v>
      </c>
      <c r="AO47" s="104" t="s">
        <v>129</v>
      </c>
      <c r="AQ47" s="114" t="s">
        <v>130</v>
      </c>
      <c r="AS47" s="105" t="s">
        <v>131</v>
      </c>
      <c r="AU47" s="105" t="s">
        <v>132</v>
      </c>
      <c r="AW47" s="104" t="s">
        <v>133</v>
      </c>
      <c r="AY47" s="104" t="s">
        <v>134</v>
      </c>
      <c r="BA47" s="104" t="s">
        <v>135</v>
      </c>
      <c r="BB47" s="24"/>
    </row>
    <row r="48">
      <c r="A48" s="357"/>
      <c r="B48" s="2"/>
      <c r="C48" s="185"/>
      <c r="D48" s="186"/>
      <c r="E48" s="164" t="s">
        <v>185</v>
      </c>
      <c r="F48" s="88"/>
      <c r="G48" s="39" t="str">
        <f>G24</f>
        <v>อสูรเดือน N</v>
      </c>
      <c r="I48" s="166" t="str">
        <f>I12:J12</f>
        <v>อสูรปี N</v>
      </c>
      <c r="K48" s="90"/>
      <c r="L48" s="126"/>
      <c r="M48" s="8"/>
      <c r="N48" s="121"/>
      <c r="O48" s="8"/>
      <c r="P48" s="8"/>
      <c r="Q48" s="8"/>
      <c r="R48" s="121"/>
      <c r="S48" s="8"/>
      <c r="T48" s="121"/>
      <c r="U48" s="9"/>
      <c r="V48" s="110"/>
      <c r="W48" s="9"/>
      <c r="X48" s="110"/>
      <c r="Y48" s="9"/>
      <c r="Z48" s="110"/>
      <c r="AA48" s="127"/>
      <c r="AB48" s="155"/>
      <c r="AC48" s="36"/>
      <c r="AD48" s="36"/>
      <c r="AE48" s="111"/>
      <c r="AF48" s="112"/>
      <c r="AG48" s="37"/>
      <c r="AH48" s="97"/>
      <c r="AI48" s="14"/>
      <c r="AJ48" s="14"/>
      <c r="AK48" s="14"/>
      <c r="AL48" s="113"/>
      <c r="BA48" s="128"/>
      <c r="BB48" s="24"/>
    </row>
    <row r="49">
      <c r="A49" s="188" t="s">
        <v>191</v>
      </c>
      <c r="B49" s="83"/>
      <c r="C49" s="63"/>
      <c r="D49" s="63"/>
      <c r="E49" s="64">
        <f>(O50+P50+Q50+R50)/(O51+P51+Q51+R51)</f>
        <v>0.5125</v>
      </c>
      <c r="F49" s="65"/>
      <c r="G49" s="66"/>
      <c r="H49" s="66"/>
      <c r="I49" s="67"/>
      <c r="J49" s="67"/>
      <c r="K49" s="177"/>
      <c r="L49" s="178"/>
      <c r="M49" s="63" t="s">
        <v>64</v>
      </c>
      <c r="N49" s="70"/>
      <c r="O49" s="71" t="s">
        <v>65</v>
      </c>
      <c r="P49" s="72"/>
      <c r="Q49" s="72"/>
      <c r="R49" s="70"/>
      <c r="S49" s="71" t="s">
        <v>66</v>
      </c>
      <c r="T49" s="70"/>
      <c r="U49" s="71" t="s">
        <v>67</v>
      </c>
      <c r="V49" s="70"/>
      <c r="W49" s="71" t="s">
        <v>348</v>
      </c>
      <c r="X49" s="70"/>
      <c r="Y49" s="71" t="s">
        <v>68</v>
      </c>
      <c r="Z49" s="70"/>
      <c r="AA49" s="134" t="s">
        <v>80</v>
      </c>
      <c r="AB49" s="74" t="s">
        <v>159</v>
      </c>
      <c r="AC49" s="75" t="s">
        <v>171</v>
      </c>
      <c r="AD49" s="75" t="s">
        <v>172</v>
      </c>
      <c r="AE49" s="167" t="s">
        <v>173</v>
      </c>
      <c r="AF49" s="74" t="s">
        <v>174</v>
      </c>
      <c r="AG49" s="63" t="s">
        <v>34</v>
      </c>
      <c r="AH49" s="78" t="s">
        <v>75</v>
      </c>
      <c r="AI49" s="79" t="s">
        <v>84</v>
      </c>
      <c r="AJ49" s="79">
        <v>0.0</v>
      </c>
      <c r="AK49" s="79" t="s">
        <v>85</v>
      </c>
      <c r="AL49" s="80" t="str">
        <f>AL43</f>
        <v>開</v>
      </c>
      <c r="AM49" s="81" t="s">
        <v>50</v>
      </c>
      <c r="AN49" s="82" t="str">
        <f>AN43</f>
        <v>休</v>
      </c>
      <c r="AO49" s="81" t="s">
        <v>52</v>
      </c>
      <c r="AP49" s="82" t="s">
        <v>4</v>
      </c>
      <c r="AQ49" s="81" t="s">
        <v>38</v>
      </c>
      <c r="AR49" s="82" t="str">
        <f>AR43</f>
        <v>傷</v>
      </c>
      <c r="AS49" s="81" t="s">
        <v>40</v>
      </c>
      <c r="AT49" s="82" t="s">
        <v>8</v>
      </c>
      <c r="AU49" s="81" t="s">
        <v>42</v>
      </c>
      <c r="AV49" s="82" t="str">
        <f>AV43</f>
        <v>景</v>
      </c>
      <c r="AW49" s="81" t="s">
        <v>44</v>
      </c>
      <c r="AX49" s="82" t="str">
        <f>AX43</f>
        <v>死</v>
      </c>
      <c r="AY49" s="81" t="s">
        <v>46</v>
      </c>
      <c r="AZ49" s="82" t="str">
        <f>AZ43</f>
        <v>驚</v>
      </c>
      <c r="BA49" s="81" t="s">
        <v>48</v>
      </c>
      <c r="BB49" s="83"/>
      <c r="BC49" s="84"/>
      <c r="BD49" s="84"/>
      <c r="BE49" s="84"/>
    </row>
    <row r="50">
      <c r="A50" s="179">
        <f t="shared" ref="A50:A51" si="60">A44</f>
        <v>7</v>
      </c>
      <c r="B50" s="86"/>
      <c r="C50" s="12" t="s">
        <v>146</v>
      </c>
      <c r="E50" s="203" t="s">
        <v>209</v>
      </c>
      <c r="G50" s="374" t="str">
        <f t="shared" ref="G50:G51" si="61">G3:H3</f>
        <v>乙</v>
      </c>
      <c r="I50" s="268" t="str">
        <f t="shared" ref="I50:I51" si="62">I3:J3</f>
        <v>丙</v>
      </c>
      <c r="K50" s="90">
        <f>L50/L51</f>
        <v>0.5958333333</v>
      </c>
      <c r="L50" s="91">
        <f t="shared" ref="L50:L51" si="63">Z50+Y50+X50+W50+V50+U50+T50+S50+R50+Q50+P50+O50</f>
        <v>715</v>
      </c>
      <c r="M50" s="92">
        <v>0.0</v>
      </c>
      <c r="N50" s="93">
        <v>0.0</v>
      </c>
      <c r="O50" s="92">
        <v>65.0</v>
      </c>
      <c r="P50" s="92">
        <v>50.0</v>
      </c>
      <c r="Q50" s="92">
        <v>60.0</v>
      </c>
      <c r="R50" s="93">
        <v>30.0</v>
      </c>
      <c r="S50" s="92">
        <v>80.0</v>
      </c>
      <c r="T50" s="93">
        <v>65.0</v>
      </c>
      <c r="U50" s="92">
        <v>75.0</v>
      </c>
      <c r="V50" s="93">
        <v>10.0</v>
      </c>
      <c r="W50" s="92">
        <v>30.0</v>
      </c>
      <c r="X50" s="93">
        <v>80.0</v>
      </c>
      <c r="Y50" s="92">
        <v>110.0</v>
      </c>
      <c r="Z50" s="93">
        <v>60.0</v>
      </c>
      <c r="AA50" s="73" t="s">
        <v>98</v>
      </c>
      <c r="AB50" s="94" t="s">
        <v>152</v>
      </c>
      <c r="AC50" s="36"/>
      <c r="AD50" s="169" t="s">
        <v>177</v>
      </c>
      <c r="AE50" s="170" t="s">
        <v>73</v>
      </c>
      <c r="AF50" s="94" t="s">
        <v>74</v>
      </c>
      <c r="AG50" s="37"/>
      <c r="AH50" s="97"/>
      <c r="AI50" s="12" t="s">
        <v>76</v>
      </c>
      <c r="AJ50" s="12">
        <v>240.0</v>
      </c>
      <c r="AK50" s="12" t="s">
        <v>77</v>
      </c>
      <c r="AL50" s="98" t="s">
        <v>51</v>
      </c>
      <c r="AM50" s="101" t="s">
        <v>95</v>
      </c>
      <c r="AN50" s="100" t="s">
        <v>86</v>
      </c>
      <c r="AO50" s="99" t="s">
        <v>87</v>
      </c>
      <c r="AP50" s="100" t="s">
        <v>88</v>
      </c>
      <c r="AQ50" s="101" t="s">
        <v>89</v>
      </c>
      <c r="AR50" s="100" t="s">
        <v>45</v>
      </c>
      <c r="AS50" s="102" t="s">
        <v>90</v>
      </c>
      <c r="AT50" s="100" t="s">
        <v>43</v>
      </c>
      <c r="AU50" s="101" t="s">
        <v>91</v>
      </c>
      <c r="AV50" s="100" t="s">
        <v>41</v>
      </c>
      <c r="AW50" s="103" t="s">
        <v>92</v>
      </c>
      <c r="AX50" s="100" t="s">
        <v>39</v>
      </c>
      <c r="AY50" s="99" t="s">
        <v>93</v>
      </c>
      <c r="AZ50" s="100" t="s">
        <v>37</v>
      </c>
      <c r="BA50" s="99" t="s">
        <v>94</v>
      </c>
      <c r="BB50" s="24"/>
    </row>
    <row r="51">
      <c r="A51" s="344" t="str">
        <f t="shared" si="60"/>
        <v>กรกฎาคม</v>
      </c>
      <c r="B51" s="86"/>
      <c r="C51" s="175" t="s">
        <v>211</v>
      </c>
      <c r="E51" s="201" t="s">
        <v>202</v>
      </c>
      <c r="G51" s="397" t="str">
        <f t="shared" si="61"/>
        <v>未</v>
      </c>
      <c r="I51" s="35" t="str">
        <f t="shared" si="62"/>
        <v>午</v>
      </c>
      <c r="K51" s="36"/>
      <c r="L51" s="109">
        <f t="shared" si="63"/>
        <v>1200</v>
      </c>
      <c r="M51" s="9">
        <v>0.0</v>
      </c>
      <c r="N51" s="110">
        <v>0.0</v>
      </c>
      <c r="O51" s="9">
        <v>100.0</v>
      </c>
      <c r="P51" s="9">
        <v>100.0</v>
      </c>
      <c r="Q51" s="9">
        <v>100.0</v>
      </c>
      <c r="R51" s="110">
        <v>100.0</v>
      </c>
      <c r="S51" s="9">
        <v>100.0</v>
      </c>
      <c r="T51" s="110">
        <v>100.0</v>
      </c>
      <c r="U51" s="9">
        <v>100.0</v>
      </c>
      <c r="V51" s="110">
        <v>100.0</v>
      </c>
      <c r="W51" s="9">
        <v>100.0</v>
      </c>
      <c r="X51" s="110">
        <v>100.0</v>
      </c>
      <c r="Y51" s="9">
        <v>100.0</v>
      </c>
      <c r="Z51" s="110">
        <v>100.0</v>
      </c>
      <c r="AA51" s="73" t="s">
        <v>116</v>
      </c>
      <c r="AB51" s="94" t="s">
        <v>81</v>
      </c>
      <c r="AC51" s="36"/>
      <c r="AD51" s="36"/>
      <c r="AE51" s="111"/>
      <c r="AF51" s="112"/>
      <c r="AG51" s="37"/>
      <c r="AH51" s="97"/>
      <c r="AI51" s="14"/>
      <c r="AJ51" s="14"/>
      <c r="AK51" s="14"/>
      <c r="AL51" s="113"/>
      <c r="AM51" s="105" t="s">
        <v>107</v>
      </c>
      <c r="AO51" s="104" t="s">
        <v>100</v>
      </c>
      <c r="AQ51" s="114" t="s">
        <v>101</v>
      </c>
      <c r="AS51" s="105" t="s">
        <v>102</v>
      </c>
      <c r="AU51" s="105" t="s">
        <v>103</v>
      </c>
      <c r="AW51" s="104" t="s">
        <v>104</v>
      </c>
      <c r="AY51" s="104" t="s">
        <v>105</v>
      </c>
      <c r="BA51" s="104" t="s">
        <v>106</v>
      </c>
      <c r="BB51" s="24"/>
    </row>
    <row r="52">
      <c r="A52" s="85">
        <f>A16</f>
        <v>2569</v>
      </c>
      <c r="B52" s="86"/>
      <c r="E52" s="115" t="s">
        <v>110</v>
      </c>
      <c r="F52" s="116" t="s">
        <v>212</v>
      </c>
      <c r="G52" s="9" t="s">
        <v>165</v>
      </c>
      <c r="H52" s="9" t="s">
        <v>113</v>
      </c>
      <c r="I52" s="9" t="s">
        <v>204</v>
      </c>
      <c r="J52" s="9" t="s">
        <v>214</v>
      </c>
      <c r="K52" s="36"/>
      <c r="L52" s="117"/>
      <c r="M52" s="118" t="str">
        <f t="shared" ref="M52:P52" si="64">C52</f>
        <v/>
      </c>
      <c r="N52" s="119" t="str">
        <f t="shared" si="64"/>
        <v/>
      </c>
      <c r="O52" s="118" t="str">
        <f t="shared" si="64"/>
        <v>A11</v>
      </c>
      <c r="P52" s="118" t="str">
        <f t="shared" si="64"/>
        <v>B9</v>
      </c>
      <c r="Q52" s="118" t="str">
        <f t="shared" ref="Q52:R52" si="65">E53</f>
        <v>B11</v>
      </c>
      <c r="R52" s="119" t="str">
        <f t="shared" si="65"/>
        <v>C12</v>
      </c>
      <c r="S52" s="9" t="s">
        <v>182</v>
      </c>
      <c r="T52" s="110" t="s">
        <v>165</v>
      </c>
      <c r="U52" s="9" t="str">
        <f t="shared" ref="U52:V52" si="66">G52</f>
        <v>A12</v>
      </c>
      <c r="V52" s="110" t="str">
        <f t="shared" si="66"/>
        <v>B12</v>
      </c>
      <c r="W52" s="9" t="s">
        <v>198</v>
      </c>
      <c r="X52" s="110" t="s">
        <v>182</v>
      </c>
      <c r="Y52" s="118" t="str">
        <f t="shared" ref="Y52:Z52" si="67">I52</f>
        <v>A5</v>
      </c>
      <c r="Z52" s="120" t="str">
        <f t="shared" si="67"/>
        <v>B11</v>
      </c>
      <c r="AA52" s="73" t="s">
        <v>126</v>
      </c>
      <c r="AB52" s="94" t="s">
        <v>99</v>
      </c>
      <c r="AC52" s="36"/>
      <c r="AD52" s="36"/>
      <c r="AE52" s="111"/>
      <c r="AF52" s="112"/>
      <c r="AG52" s="37"/>
      <c r="AH52" s="97"/>
      <c r="AI52" s="14"/>
      <c r="AJ52" s="14"/>
      <c r="AK52" s="14"/>
      <c r="AL52" s="113"/>
      <c r="AM52" s="105" t="s">
        <v>125</v>
      </c>
      <c r="AO52" s="104" t="s">
        <v>118</v>
      </c>
      <c r="AQ52" s="114" t="s">
        <v>119</v>
      </c>
      <c r="AS52" s="105" t="s">
        <v>120</v>
      </c>
      <c r="AU52" s="105" t="s">
        <v>121</v>
      </c>
      <c r="AW52" s="104" t="s">
        <v>122</v>
      </c>
      <c r="AY52" s="104" t="s">
        <v>123</v>
      </c>
      <c r="BA52" s="104" t="s">
        <v>124</v>
      </c>
      <c r="BB52" s="24"/>
    </row>
    <row r="53">
      <c r="A53" s="85">
        <f>A52-543</f>
        <v>2026</v>
      </c>
      <c r="B53" s="86"/>
      <c r="C53" s="396" t="s">
        <v>335</v>
      </c>
      <c r="E53" s="115" t="s">
        <v>214</v>
      </c>
      <c r="F53" s="116" t="s">
        <v>127</v>
      </c>
      <c r="G53" s="9"/>
      <c r="H53" s="118"/>
      <c r="I53" s="118"/>
      <c r="J53" s="118"/>
      <c r="K53" s="182"/>
      <c r="L53" s="183"/>
      <c r="M53" s="8"/>
      <c r="N53" s="121"/>
      <c r="O53" s="8"/>
      <c r="P53" s="8"/>
      <c r="Q53" s="8"/>
      <c r="R53" s="121"/>
      <c r="S53" s="8"/>
      <c r="T53" s="121"/>
      <c r="U53" s="9"/>
      <c r="V53" s="110"/>
      <c r="W53" s="9"/>
      <c r="X53" s="110"/>
      <c r="Y53" s="9"/>
      <c r="Z53" s="110"/>
      <c r="AA53" s="73" t="s">
        <v>69</v>
      </c>
      <c r="AB53" s="94" t="s">
        <v>155</v>
      </c>
      <c r="AC53" s="36"/>
      <c r="AD53" s="36"/>
      <c r="AE53" s="111"/>
      <c r="AF53" s="112"/>
      <c r="AG53" s="37"/>
      <c r="AH53" s="97"/>
      <c r="AI53" s="14"/>
      <c r="AJ53" s="14"/>
      <c r="AK53" s="14"/>
      <c r="AL53" s="113"/>
      <c r="AM53" s="105" t="s">
        <v>136</v>
      </c>
      <c r="AO53" s="104" t="s">
        <v>129</v>
      </c>
      <c r="AQ53" s="114" t="s">
        <v>130</v>
      </c>
      <c r="AS53" s="105" t="s">
        <v>131</v>
      </c>
      <c r="AU53" s="105" t="s">
        <v>132</v>
      </c>
      <c r="AW53" s="104" t="s">
        <v>133</v>
      </c>
      <c r="AY53" s="104" t="s">
        <v>134</v>
      </c>
      <c r="BA53" s="104" t="s">
        <v>135</v>
      </c>
      <c r="BB53" s="24"/>
    </row>
    <row r="54">
      <c r="A54" s="184">
        <v>0.37222222222222223</v>
      </c>
      <c r="B54" s="2"/>
      <c r="C54" s="185"/>
      <c r="D54" s="186"/>
      <c r="E54" s="164" t="s">
        <v>185</v>
      </c>
      <c r="F54" s="88"/>
      <c r="G54" s="39" t="str">
        <f>G5</f>
        <v>อสูรเดือน W</v>
      </c>
      <c r="I54" s="166" t="str">
        <f>I18:J18</f>
        <v>อสูรปี N</v>
      </c>
      <c r="K54" s="90"/>
      <c r="L54" s="126"/>
      <c r="M54" s="8"/>
      <c r="N54" s="121"/>
      <c r="O54" s="8"/>
      <c r="P54" s="8"/>
      <c r="Q54" s="8"/>
      <c r="R54" s="121"/>
      <c r="S54" s="8"/>
      <c r="T54" s="121"/>
      <c r="U54" s="9"/>
      <c r="V54" s="110"/>
      <c r="W54" s="9"/>
      <c r="X54" s="110"/>
      <c r="Y54" s="9"/>
      <c r="Z54" s="110"/>
      <c r="AA54" s="127"/>
      <c r="AB54" s="155"/>
      <c r="AC54" s="36"/>
      <c r="AD54" s="36"/>
      <c r="AE54" s="111"/>
      <c r="AF54" s="112"/>
      <c r="AG54" s="37"/>
      <c r="AH54" s="97"/>
      <c r="AI54" s="14"/>
      <c r="AJ54" s="14"/>
      <c r="AK54" s="14"/>
      <c r="AL54" s="113"/>
      <c r="BA54" s="128"/>
      <c r="BB54" s="24"/>
    </row>
    <row r="55">
      <c r="A55" s="188" t="s">
        <v>199</v>
      </c>
      <c r="B55" s="189"/>
      <c r="C55" s="63"/>
      <c r="D55" s="72"/>
      <c r="E55" s="64">
        <f>(O56+P56+Q56+R56)/(O57+P57+Q57+R57)</f>
        <v>0.575</v>
      </c>
      <c r="F55" s="65"/>
      <c r="G55" s="133"/>
      <c r="H55" s="66"/>
      <c r="I55" s="67"/>
      <c r="J55" s="67"/>
      <c r="K55" s="68"/>
      <c r="L55" s="69"/>
      <c r="M55" s="63" t="s">
        <v>64</v>
      </c>
      <c r="N55" s="70"/>
      <c r="O55" s="71" t="s">
        <v>65</v>
      </c>
      <c r="P55" s="72"/>
      <c r="Q55" s="72"/>
      <c r="R55" s="70"/>
      <c r="S55" s="71" t="s">
        <v>66</v>
      </c>
      <c r="T55" s="70"/>
      <c r="U55" s="71" t="s">
        <v>67</v>
      </c>
      <c r="V55" s="70"/>
      <c r="W55" s="71" t="s">
        <v>348</v>
      </c>
      <c r="X55" s="70"/>
      <c r="Y55" s="71" t="s">
        <v>68</v>
      </c>
      <c r="Z55" s="70"/>
      <c r="AA55" s="134" t="s">
        <v>80</v>
      </c>
      <c r="AB55" s="74" t="s">
        <v>181</v>
      </c>
      <c r="AC55" s="75" t="s">
        <v>31</v>
      </c>
      <c r="AD55" s="75" t="s">
        <v>141</v>
      </c>
      <c r="AE55" s="190" t="s">
        <v>173</v>
      </c>
      <c r="AF55" s="77" t="s">
        <v>193</v>
      </c>
      <c r="AG55" s="63" t="s">
        <v>36</v>
      </c>
      <c r="AH55" s="78" t="s">
        <v>144</v>
      </c>
      <c r="AI55" s="79" t="s">
        <v>53</v>
      </c>
      <c r="AJ55" s="79">
        <v>30.0</v>
      </c>
      <c r="AK55" s="79" t="s">
        <v>178</v>
      </c>
      <c r="AL55" s="80" t="str">
        <f>AL43</f>
        <v>開</v>
      </c>
      <c r="AM55" s="81" t="s">
        <v>44</v>
      </c>
      <c r="AN55" s="82" t="str">
        <f>AN43</f>
        <v>休</v>
      </c>
      <c r="AO55" s="81" t="s">
        <v>46</v>
      </c>
      <c r="AP55" s="82" t="s">
        <v>4</v>
      </c>
      <c r="AQ55" s="81" t="s">
        <v>48</v>
      </c>
      <c r="AR55" s="82" t="str">
        <f>AR43</f>
        <v>傷</v>
      </c>
      <c r="AS55" s="81" t="s">
        <v>50</v>
      </c>
      <c r="AT55" s="82" t="s">
        <v>8</v>
      </c>
      <c r="AU55" s="81" t="s">
        <v>52</v>
      </c>
      <c r="AV55" s="82" t="str">
        <f>AV43</f>
        <v>景</v>
      </c>
      <c r="AW55" s="81" t="s">
        <v>38</v>
      </c>
      <c r="AX55" s="82" t="str">
        <f>AX43</f>
        <v>死</v>
      </c>
      <c r="AY55" s="81" t="s">
        <v>40</v>
      </c>
      <c r="AZ55" s="82" t="str">
        <f>AZ43</f>
        <v>驚</v>
      </c>
      <c r="BA55" s="81" t="s">
        <v>42</v>
      </c>
      <c r="BB55" s="191"/>
      <c r="BC55" s="84"/>
      <c r="BD55" s="84"/>
      <c r="BE55" s="84"/>
    </row>
    <row r="56">
      <c r="A56" s="192">
        <f>A44+1</f>
        <v>8</v>
      </c>
      <c r="B56" s="193"/>
      <c r="C56" s="12" t="s">
        <v>216</v>
      </c>
      <c r="E56" s="203" t="s">
        <v>171</v>
      </c>
      <c r="G56" s="374" t="str">
        <f t="shared" ref="G56:G57" si="70">G3:H3</f>
        <v>乙</v>
      </c>
      <c r="I56" s="275" t="str">
        <f t="shared" ref="I56:I57" si="71">I44:J44</f>
        <v>丙</v>
      </c>
      <c r="K56" s="90">
        <f>L56/L57</f>
        <v>0.5958333333</v>
      </c>
      <c r="L56" s="91">
        <f t="shared" ref="L56:L57" si="72">Z56+Y56+X56+W56+V56+U56+T56+S56+R56+Q56+P56+O56</f>
        <v>715</v>
      </c>
      <c r="M56" s="92">
        <v>0.0</v>
      </c>
      <c r="N56" s="93">
        <v>0.0</v>
      </c>
      <c r="O56" s="92">
        <v>70.0</v>
      </c>
      <c r="P56" s="92">
        <v>60.0</v>
      </c>
      <c r="Q56" s="92">
        <v>70.0</v>
      </c>
      <c r="R56" s="93">
        <v>30.0</v>
      </c>
      <c r="S56" s="92">
        <v>75.0</v>
      </c>
      <c r="T56" s="93">
        <v>45.0</v>
      </c>
      <c r="U56" s="92">
        <f t="shared" ref="U56:X56" si="68">U50</f>
        <v>75</v>
      </c>
      <c r="V56" s="93">
        <f t="shared" si="68"/>
        <v>10</v>
      </c>
      <c r="W56" s="92">
        <f t="shared" si="68"/>
        <v>30</v>
      </c>
      <c r="X56" s="93">
        <f t="shared" si="68"/>
        <v>80</v>
      </c>
      <c r="Y56" s="92">
        <f t="shared" ref="Y56:Z56" si="69">Y44</f>
        <v>110</v>
      </c>
      <c r="Z56" s="93">
        <f t="shared" si="69"/>
        <v>60</v>
      </c>
      <c r="AA56" s="73" t="s">
        <v>98</v>
      </c>
      <c r="AB56" s="94" t="s">
        <v>163</v>
      </c>
      <c r="AC56" s="36"/>
      <c r="AD56" s="36"/>
      <c r="AE56" s="195" t="s">
        <v>196</v>
      </c>
      <c r="AF56" s="96" t="s">
        <v>149</v>
      </c>
      <c r="AG56" s="37"/>
      <c r="AH56" s="97"/>
      <c r="AI56" s="12" t="s">
        <v>71</v>
      </c>
      <c r="AJ56" s="12">
        <v>210.0</v>
      </c>
      <c r="AK56" s="12" t="s">
        <v>175</v>
      </c>
      <c r="AL56" s="98" t="s">
        <v>88</v>
      </c>
      <c r="AM56" s="101" t="s">
        <v>89</v>
      </c>
      <c r="AN56" s="100" t="s">
        <v>45</v>
      </c>
      <c r="AO56" s="102" t="s">
        <v>90</v>
      </c>
      <c r="AP56" s="100" t="s">
        <v>43</v>
      </c>
      <c r="AQ56" s="101" t="s">
        <v>91</v>
      </c>
      <c r="AR56" s="100" t="s">
        <v>41</v>
      </c>
      <c r="AS56" s="103" t="s">
        <v>92</v>
      </c>
      <c r="AT56" s="100" t="s">
        <v>39</v>
      </c>
      <c r="AU56" s="99" t="s">
        <v>93</v>
      </c>
      <c r="AV56" s="100" t="s">
        <v>37</v>
      </c>
      <c r="AW56" s="99" t="s">
        <v>94</v>
      </c>
      <c r="AX56" s="100" t="s">
        <v>51</v>
      </c>
      <c r="AY56" s="101" t="s">
        <v>95</v>
      </c>
      <c r="AZ56" s="100" t="s">
        <v>86</v>
      </c>
      <c r="BA56" s="99" t="s">
        <v>87</v>
      </c>
      <c r="BB56" s="24"/>
    </row>
    <row r="57">
      <c r="A57" s="200" t="str">
        <f>A45</f>
        <v>กรกฎาคม</v>
      </c>
      <c r="B57" s="193"/>
      <c r="C57" s="175" t="s">
        <v>223</v>
      </c>
      <c r="E57" s="162" t="s">
        <v>71</v>
      </c>
      <c r="G57" s="397" t="str">
        <f t="shared" si="70"/>
        <v>未</v>
      </c>
      <c r="I57" s="142" t="str">
        <f t="shared" si="71"/>
        <v>午</v>
      </c>
      <c r="K57" s="36"/>
      <c r="L57" s="109">
        <f t="shared" si="72"/>
        <v>1200</v>
      </c>
      <c r="M57" s="9">
        <v>0.0</v>
      </c>
      <c r="N57" s="110">
        <v>0.0</v>
      </c>
      <c r="O57" s="9">
        <v>100.0</v>
      </c>
      <c r="P57" s="9">
        <v>100.0</v>
      </c>
      <c r="Q57" s="9">
        <v>100.0</v>
      </c>
      <c r="R57" s="110">
        <v>100.0</v>
      </c>
      <c r="S57" s="9">
        <v>100.0</v>
      </c>
      <c r="T57" s="110">
        <v>100.0</v>
      </c>
      <c r="U57" s="9">
        <v>100.0</v>
      </c>
      <c r="V57" s="110">
        <v>100.0</v>
      </c>
      <c r="W57" s="9">
        <v>100.0</v>
      </c>
      <c r="X57" s="110">
        <v>100.0</v>
      </c>
      <c r="Y57" s="9">
        <v>100.0</v>
      </c>
      <c r="Z57" s="110">
        <v>100.0</v>
      </c>
      <c r="AA57" s="73" t="s">
        <v>116</v>
      </c>
      <c r="AB57" s="94" t="s">
        <v>153</v>
      </c>
      <c r="AC57" s="36"/>
      <c r="AD57" s="36"/>
      <c r="AE57" s="111"/>
      <c r="AF57" s="112"/>
      <c r="AG57" s="37"/>
      <c r="AH57" s="97"/>
      <c r="AI57" s="14"/>
      <c r="AJ57" s="14"/>
      <c r="AK57" s="14"/>
      <c r="AL57" s="113"/>
      <c r="AM57" s="114" t="s">
        <v>101</v>
      </c>
      <c r="AO57" s="105" t="s">
        <v>102</v>
      </c>
      <c r="AQ57" s="105" t="s">
        <v>103</v>
      </c>
      <c r="AS57" s="104" t="s">
        <v>104</v>
      </c>
      <c r="AU57" s="104" t="s">
        <v>105</v>
      </c>
      <c r="AW57" s="104" t="s">
        <v>106</v>
      </c>
      <c r="AY57" s="105" t="s">
        <v>107</v>
      </c>
      <c r="BA57" s="104" t="s">
        <v>100</v>
      </c>
      <c r="BB57" s="24"/>
    </row>
    <row r="58">
      <c r="A58" s="192">
        <f>A10</f>
        <v>2569</v>
      </c>
      <c r="B58" s="193"/>
      <c r="E58" s="115" t="s">
        <v>164</v>
      </c>
      <c r="F58" s="116" t="s">
        <v>218</v>
      </c>
      <c r="G58" s="115" t="str">
        <f t="shared" ref="G58:H58" si="73">G52</f>
        <v>A12</v>
      </c>
      <c r="H58" s="9" t="str">
        <f t="shared" si="73"/>
        <v>B12</v>
      </c>
      <c r="I58" s="9" t="str">
        <f t="shared" ref="I58:J58" si="74">I46</f>
        <v>A5</v>
      </c>
      <c r="J58" s="9" t="str">
        <f t="shared" si="74"/>
        <v>B11</v>
      </c>
      <c r="K58" s="36"/>
      <c r="L58" s="117"/>
      <c r="M58" s="118" t="str">
        <f t="shared" ref="M58:P58" si="75">C58</f>
        <v/>
      </c>
      <c r="N58" s="119" t="str">
        <f t="shared" si="75"/>
        <v/>
      </c>
      <c r="O58" s="118" t="str">
        <f t="shared" si="75"/>
        <v>A9</v>
      </c>
      <c r="P58" s="118" t="str">
        <f t="shared" si="75"/>
        <v>B10</v>
      </c>
      <c r="Q58" s="118" t="str">
        <f t="shared" ref="Q58:R58" si="76">E59</f>
        <v>B10</v>
      </c>
      <c r="R58" s="119" t="str">
        <f t="shared" si="76"/>
        <v>C1</v>
      </c>
      <c r="S58" s="9" t="s">
        <v>165</v>
      </c>
      <c r="T58" s="110" t="s">
        <v>164</v>
      </c>
      <c r="U58" s="9" t="str">
        <f t="shared" ref="U58:V58" si="77">G58</f>
        <v>A12</v>
      </c>
      <c r="V58" s="119" t="str">
        <f t="shared" si="77"/>
        <v>B12</v>
      </c>
      <c r="W58" s="9" t="str">
        <f t="shared" ref="W58:X58" si="78">W52</f>
        <v>A6</v>
      </c>
      <c r="X58" s="110" t="str">
        <f t="shared" si="78"/>
        <v>A1</v>
      </c>
      <c r="Y58" s="118" t="str">
        <f t="shared" ref="Y58:Z58" si="79">I58</f>
        <v>A5</v>
      </c>
      <c r="Z58" s="120" t="str">
        <f t="shared" si="79"/>
        <v>B11</v>
      </c>
      <c r="AA58" s="73" t="s">
        <v>126</v>
      </c>
      <c r="AB58" s="94" t="s">
        <v>155</v>
      </c>
      <c r="AC58" s="36"/>
      <c r="AD58" s="36"/>
      <c r="AE58" s="111"/>
      <c r="AF58" s="112"/>
      <c r="AG58" s="37"/>
      <c r="AH58" s="97"/>
      <c r="AI58" s="14"/>
      <c r="AJ58" s="14"/>
      <c r="AK58" s="14"/>
      <c r="AL58" s="113"/>
      <c r="AM58" s="114" t="s">
        <v>119</v>
      </c>
      <c r="AO58" s="105" t="s">
        <v>120</v>
      </c>
      <c r="AQ58" s="105" t="s">
        <v>121</v>
      </c>
      <c r="AS58" s="104" t="s">
        <v>122</v>
      </c>
      <c r="AU58" s="104" t="s">
        <v>123</v>
      </c>
      <c r="AW58" s="104" t="s">
        <v>124</v>
      </c>
      <c r="AY58" s="105" t="s">
        <v>125</v>
      </c>
      <c r="BA58" s="104" t="s">
        <v>118</v>
      </c>
      <c r="BB58" s="24"/>
    </row>
    <row r="59">
      <c r="A59" s="192">
        <f>A58-543</f>
        <v>2026</v>
      </c>
      <c r="B59" s="193"/>
      <c r="C59" s="140"/>
      <c r="D59" s="140"/>
      <c r="E59" s="115" t="s">
        <v>218</v>
      </c>
      <c r="F59" s="116" t="s">
        <v>154</v>
      </c>
      <c r="G59" s="115"/>
      <c r="H59" s="118"/>
      <c r="I59" s="118"/>
      <c r="J59" s="118"/>
      <c r="K59" s="36"/>
      <c r="L59" s="117"/>
      <c r="M59" s="8"/>
      <c r="N59" s="121"/>
      <c r="O59" s="8"/>
      <c r="P59" s="8"/>
      <c r="Q59" s="8"/>
      <c r="R59" s="121"/>
      <c r="S59" s="8"/>
      <c r="T59" s="121"/>
      <c r="U59" s="9"/>
      <c r="V59" s="110"/>
      <c r="W59" s="9"/>
      <c r="X59" s="110"/>
      <c r="Y59" s="9"/>
      <c r="Z59" s="110"/>
      <c r="AA59" s="73" t="s">
        <v>69</v>
      </c>
      <c r="AB59" s="94" t="s">
        <v>128</v>
      </c>
      <c r="AC59" s="36"/>
      <c r="AD59" s="36"/>
      <c r="AE59" s="111"/>
      <c r="AF59" s="112"/>
      <c r="AG59" s="37"/>
      <c r="AH59" s="97"/>
      <c r="AI59" s="14"/>
      <c r="AJ59" s="14"/>
      <c r="AK59" s="14"/>
      <c r="AL59" s="113"/>
      <c r="AM59" s="114" t="s">
        <v>130</v>
      </c>
      <c r="AO59" s="105" t="s">
        <v>131</v>
      </c>
      <c r="AQ59" s="105" t="s">
        <v>132</v>
      </c>
      <c r="AS59" s="104" t="s">
        <v>133</v>
      </c>
      <c r="AU59" s="104" t="s">
        <v>134</v>
      </c>
      <c r="AW59" s="104" t="s">
        <v>135</v>
      </c>
      <c r="AY59" s="105" t="s">
        <v>136</v>
      </c>
      <c r="BA59" s="104" t="s">
        <v>129</v>
      </c>
      <c r="BB59" s="24"/>
    </row>
    <row r="60">
      <c r="A60" s="318"/>
      <c r="B60" s="197"/>
      <c r="C60" s="123"/>
      <c r="D60" s="123"/>
      <c r="E60" s="198" t="s">
        <v>137</v>
      </c>
      <c r="F60" s="88"/>
      <c r="G60" s="165" t="str">
        <f>G5</f>
        <v>อสูรเดือน W</v>
      </c>
      <c r="I60" s="166" t="str">
        <f>I12:J12</f>
        <v>อสูรปี N</v>
      </c>
      <c r="K60" s="90"/>
      <c r="L60" s="126"/>
      <c r="M60" s="8"/>
      <c r="N60" s="121"/>
      <c r="O60" s="8"/>
      <c r="P60" s="8"/>
      <c r="Q60" s="8"/>
      <c r="R60" s="121"/>
      <c r="S60" s="8"/>
      <c r="T60" s="121"/>
      <c r="U60" s="9"/>
      <c r="V60" s="110"/>
      <c r="W60" s="9"/>
      <c r="X60" s="110"/>
      <c r="Y60" s="9"/>
      <c r="Z60" s="110"/>
      <c r="AA60" s="127"/>
      <c r="AB60" s="155"/>
      <c r="AC60" s="36"/>
      <c r="AD60" s="36"/>
      <c r="AE60" s="111"/>
      <c r="AF60" s="112"/>
      <c r="AG60" s="37"/>
      <c r="AH60" s="97"/>
      <c r="AI60" s="14"/>
      <c r="AJ60" s="14"/>
      <c r="AK60" s="14"/>
      <c r="AL60" s="113"/>
      <c r="AW60" s="128"/>
      <c r="BB60" s="24"/>
    </row>
    <row r="61">
      <c r="A61" s="188" t="s">
        <v>63</v>
      </c>
      <c r="B61" s="189"/>
      <c r="C61" s="63"/>
      <c r="D61" s="63"/>
      <c r="E61" s="64">
        <f>(O62+P62+Q62+R62)/(O63+P63+Q63+R63)</f>
        <v>0.3625</v>
      </c>
      <c r="F61" s="65"/>
      <c r="G61" s="133"/>
      <c r="H61" s="66"/>
      <c r="I61" s="67"/>
      <c r="J61" s="67"/>
      <c r="K61" s="68"/>
      <c r="L61" s="69"/>
      <c r="M61" s="63" t="s">
        <v>64</v>
      </c>
      <c r="N61" s="70"/>
      <c r="O61" s="71" t="s">
        <v>65</v>
      </c>
      <c r="P61" s="72"/>
      <c r="Q61" s="72"/>
      <c r="R61" s="70"/>
      <c r="S61" s="71" t="s">
        <v>66</v>
      </c>
      <c r="T61" s="70"/>
      <c r="U61" s="71" t="s">
        <v>67</v>
      </c>
      <c r="V61" s="70"/>
      <c r="W61" s="71" t="s">
        <v>348</v>
      </c>
      <c r="X61" s="70"/>
      <c r="Y61" s="71" t="s">
        <v>68</v>
      </c>
      <c r="Z61" s="70"/>
      <c r="AA61" s="134" t="s">
        <v>69</v>
      </c>
      <c r="AB61" s="74" t="s">
        <v>70</v>
      </c>
      <c r="AC61" s="75" t="s">
        <v>171</v>
      </c>
      <c r="AD61" s="75" t="s">
        <v>172</v>
      </c>
      <c r="AE61" s="190" t="s">
        <v>173</v>
      </c>
      <c r="AF61" s="77" t="s">
        <v>193</v>
      </c>
      <c r="AG61" s="63" t="s">
        <v>36</v>
      </c>
      <c r="AH61" s="78" t="s">
        <v>36</v>
      </c>
      <c r="AI61" s="79" t="s">
        <v>180</v>
      </c>
      <c r="AJ61" s="79">
        <v>60.0</v>
      </c>
      <c r="AK61" s="79" t="s">
        <v>200</v>
      </c>
      <c r="AL61" s="80" t="str">
        <f>AL49</f>
        <v>開</v>
      </c>
      <c r="AM61" s="81" t="s">
        <v>44</v>
      </c>
      <c r="AN61" s="82" t="str">
        <f>AN49</f>
        <v>休</v>
      </c>
      <c r="AO61" s="81" t="s">
        <v>46</v>
      </c>
      <c r="AP61" s="82" t="s">
        <v>4</v>
      </c>
      <c r="AQ61" s="81" t="s">
        <v>48</v>
      </c>
      <c r="AR61" s="82" t="str">
        <f>AR49</f>
        <v>傷</v>
      </c>
      <c r="AS61" s="81" t="s">
        <v>50</v>
      </c>
      <c r="AT61" s="82" t="s">
        <v>8</v>
      </c>
      <c r="AU61" s="81" t="s">
        <v>52</v>
      </c>
      <c r="AV61" s="82" t="str">
        <f>AV49</f>
        <v>景</v>
      </c>
      <c r="AW61" s="81" t="s">
        <v>38</v>
      </c>
      <c r="AX61" s="82" t="str">
        <f>AX49</f>
        <v>死</v>
      </c>
      <c r="AY61" s="81" t="s">
        <v>40</v>
      </c>
      <c r="AZ61" s="82" t="str">
        <f>AZ49</f>
        <v>驚</v>
      </c>
      <c r="BA61" s="81" t="s">
        <v>42</v>
      </c>
      <c r="BB61" s="83"/>
      <c r="BC61" s="84"/>
      <c r="BD61" s="84"/>
      <c r="BE61" s="84"/>
    </row>
    <row r="62">
      <c r="A62" s="192">
        <f>A56+1</f>
        <v>9</v>
      </c>
      <c r="B62" s="193"/>
      <c r="C62" s="12" t="s">
        <v>221</v>
      </c>
      <c r="E62" s="87" t="s">
        <v>222</v>
      </c>
      <c r="G62" s="374" t="str">
        <f t="shared" ref="G62:G63" si="82">G3:H3</f>
        <v>乙</v>
      </c>
      <c r="I62" s="268" t="str">
        <f t="shared" ref="I62:I63" si="83">I44:J44</f>
        <v>丙</v>
      </c>
      <c r="K62" s="90">
        <f>L62/L63</f>
        <v>0.5166666667</v>
      </c>
      <c r="L62" s="91">
        <f t="shared" ref="L62:L63" si="84">Z62+Y62+X62+W62+V62+U62+T62+S62+R62+Q62+P62+O62</f>
        <v>620</v>
      </c>
      <c r="M62" s="92">
        <v>0.0</v>
      </c>
      <c r="N62" s="93">
        <v>0.0</v>
      </c>
      <c r="O62" s="92">
        <v>5.0</v>
      </c>
      <c r="P62" s="92">
        <v>60.0</v>
      </c>
      <c r="Q62" s="92">
        <v>50.0</v>
      </c>
      <c r="R62" s="93">
        <v>30.0</v>
      </c>
      <c r="S62" s="92">
        <v>55.0</v>
      </c>
      <c r="T62" s="93">
        <v>55.0</v>
      </c>
      <c r="U62" s="92">
        <f t="shared" ref="U62:X62" si="80">U50</f>
        <v>75</v>
      </c>
      <c r="V62" s="93">
        <f t="shared" si="80"/>
        <v>10</v>
      </c>
      <c r="W62" s="92">
        <f t="shared" si="80"/>
        <v>30</v>
      </c>
      <c r="X62" s="93">
        <f t="shared" si="80"/>
        <v>80</v>
      </c>
      <c r="Y62" s="92">
        <f t="shared" ref="Y62:Z62" si="81">Y44</f>
        <v>110</v>
      </c>
      <c r="Z62" s="93">
        <f t="shared" si="81"/>
        <v>60</v>
      </c>
      <c r="AA62" s="73" t="s">
        <v>80</v>
      </c>
      <c r="AB62" s="94" t="s">
        <v>81</v>
      </c>
      <c r="AC62" s="36"/>
      <c r="AD62" s="169" t="s">
        <v>177</v>
      </c>
      <c r="AE62" s="195" t="s">
        <v>196</v>
      </c>
      <c r="AF62" s="96" t="s">
        <v>149</v>
      </c>
      <c r="AG62" s="37"/>
      <c r="AH62" s="97"/>
      <c r="AI62" s="12" t="s">
        <v>202</v>
      </c>
      <c r="AJ62" s="12">
        <v>180.0</v>
      </c>
      <c r="AK62" s="12" t="s">
        <v>203</v>
      </c>
      <c r="AL62" s="98" t="s">
        <v>86</v>
      </c>
      <c r="AM62" s="99" t="s">
        <v>87</v>
      </c>
      <c r="AN62" s="100" t="s">
        <v>88</v>
      </c>
      <c r="AO62" s="101" t="s">
        <v>89</v>
      </c>
      <c r="AP62" s="100" t="s">
        <v>45</v>
      </c>
      <c r="AQ62" s="102" t="s">
        <v>90</v>
      </c>
      <c r="AR62" s="100" t="s">
        <v>43</v>
      </c>
      <c r="AS62" s="101" t="s">
        <v>91</v>
      </c>
      <c r="AT62" s="100" t="s">
        <v>41</v>
      </c>
      <c r="AU62" s="103" t="s">
        <v>92</v>
      </c>
      <c r="AV62" s="100" t="s">
        <v>39</v>
      </c>
      <c r="AW62" s="99" t="s">
        <v>93</v>
      </c>
      <c r="AX62" s="100" t="s">
        <v>37</v>
      </c>
      <c r="AY62" s="99" t="s">
        <v>94</v>
      </c>
      <c r="AZ62" s="100" t="s">
        <v>51</v>
      </c>
      <c r="BA62" s="101" t="s">
        <v>95</v>
      </c>
      <c r="BB62" s="24"/>
    </row>
    <row r="63">
      <c r="A63" s="200" t="str">
        <f>G2</f>
        <v>กรกฎาคม</v>
      </c>
      <c r="B63" s="193"/>
      <c r="C63" s="175" t="s">
        <v>223</v>
      </c>
      <c r="E63" s="209" t="s">
        <v>76</v>
      </c>
      <c r="G63" s="397" t="str">
        <f t="shared" si="82"/>
        <v>未</v>
      </c>
      <c r="I63" s="142" t="str">
        <f t="shared" si="83"/>
        <v>午</v>
      </c>
      <c r="K63" s="36"/>
      <c r="L63" s="109">
        <f t="shared" si="84"/>
        <v>1200</v>
      </c>
      <c r="M63" s="9">
        <v>0.0</v>
      </c>
      <c r="N63" s="110">
        <v>0.0</v>
      </c>
      <c r="O63" s="9">
        <v>100.0</v>
      </c>
      <c r="P63" s="9">
        <v>100.0</v>
      </c>
      <c r="Q63" s="9">
        <v>100.0</v>
      </c>
      <c r="R63" s="110">
        <v>100.0</v>
      </c>
      <c r="S63" s="9">
        <v>100.0</v>
      </c>
      <c r="T63" s="110">
        <v>100.0</v>
      </c>
      <c r="U63" s="9">
        <v>100.0</v>
      </c>
      <c r="V63" s="110">
        <v>100.0</v>
      </c>
      <c r="W63" s="9">
        <v>100.0</v>
      </c>
      <c r="X63" s="110">
        <v>100.0</v>
      </c>
      <c r="Y63" s="9">
        <v>100.0</v>
      </c>
      <c r="Z63" s="110">
        <v>100.0</v>
      </c>
      <c r="AA63" s="73" t="s">
        <v>98</v>
      </c>
      <c r="AB63" s="94" t="s">
        <v>99</v>
      </c>
      <c r="AC63" s="36"/>
      <c r="AD63" s="36"/>
      <c r="AE63" s="111"/>
      <c r="AF63" s="112"/>
      <c r="AG63" s="37"/>
      <c r="AH63" s="97"/>
      <c r="AI63" s="14"/>
      <c r="AJ63" s="14"/>
      <c r="AK63" s="14"/>
      <c r="AL63" s="113"/>
      <c r="AM63" s="104" t="s">
        <v>100</v>
      </c>
      <c r="AO63" s="114" t="s">
        <v>101</v>
      </c>
      <c r="AQ63" s="105" t="s">
        <v>102</v>
      </c>
      <c r="AS63" s="105" t="s">
        <v>103</v>
      </c>
      <c r="AU63" s="104" t="s">
        <v>104</v>
      </c>
      <c r="AW63" s="104" t="s">
        <v>105</v>
      </c>
      <c r="AY63" s="104" t="s">
        <v>106</v>
      </c>
      <c r="BA63" s="105" t="s">
        <v>107</v>
      </c>
      <c r="BB63" s="24"/>
    </row>
    <row r="64">
      <c r="A64" s="192">
        <f>A10</f>
        <v>2569</v>
      </c>
      <c r="B64" s="193"/>
      <c r="E64" s="115" t="s">
        <v>114</v>
      </c>
      <c r="F64" s="116" t="s">
        <v>214</v>
      </c>
      <c r="G64" s="115" t="str">
        <f t="shared" ref="G64:H64" si="85">G52</f>
        <v>A12</v>
      </c>
      <c r="H64" s="9" t="str">
        <f t="shared" si="85"/>
        <v>B12</v>
      </c>
      <c r="I64" s="9" t="str">
        <f t="shared" ref="I64:J64" si="86">I46</f>
        <v>A5</v>
      </c>
      <c r="J64" s="9" t="str">
        <f t="shared" si="86"/>
        <v>B11</v>
      </c>
      <c r="K64" s="36"/>
      <c r="L64" s="117"/>
      <c r="M64" s="118" t="str">
        <f t="shared" ref="M64:P64" si="87">C64</f>
        <v/>
      </c>
      <c r="N64" s="119" t="str">
        <f t="shared" si="87"/>
        <v/>
      </c>
      <c r="O64" s="118" t="str">
        <f t="shared" si="87"/>
        <v>A10</v>
      </c>
      <c r="P64" s="118" t="str">
        <f t="shared" si="87"/>
        <v>B11</v>
      </c>
      <c r="Q64" s="118" t="str">
        <f t="shared" ref="Q64:R64" si="88">E65</f>
        <v>B9</v>
      </c>
      <c r="R64" s="119" t="str">
        <f t="shared" si="88"/>
        <v>C2</v>
      </c>
      <c r="S64" s="9" t="s">
        <v>110</v>
      </c>
      <c r="T64" s="110" t="s">
        <v>164</v>
      </c>
      <c r="U64" s="9" t="str">
        <f t="shared" ref="U64:V64" si="89">G64</f>
        <v>A12</v>
      </c>
      <c r="V64" s="119" t="str">
        <f t="shared" si="89"/>
        <v>B12</v>
      </c>
      <c r="W64" s="9" t="str">
        <f t="shared" ref="W64:X64" si="90">W52</f>
        <v>A6</v>
      </c>
      <c r="X64" s="110" t="str">
        <f t="shared" si="90"/>
        <v>A1</v>
      </c>
      <c r="Y64" s="118" t="str">
        <f t="shared" ref="Y64:Z64" si="91">I64</f>
        <v>A5</v>
      </c>
      <c r="Z64" s="120" t="str">
        <f t="shared" si="91"/>
        <v>B11</v>
      </c>
      <c r="AA64" s="73" t="s">
        <v>116</v>
      </c>
      <c r="AB64" s="94" t="s">
        <v>117</v>
      </c>
      <c r="AC64" s="36"/>
      <c r="AD64" s="36"/>
      <c r="AE64" s="111"/>
      <c r="AF64" s="112"/>
      <c r="AG64" s="37"/>
      <c r="AH64" s="97"/>
      <c r="AI64" s="14"/>
      <c r="AJ64" s="14"/>
      <c r="AK64" s="14"/>
      <c r="AL64" s="113"/>
      <c r="AM64" s="104" t="s">
        <v>118</v>
      </c>
      <c r="AO64" s="114" t="s">
        <v>119</v>
      </c>
      <c r="AQ64" s="105" t="s">
        <v>120</v>
      </c>
      <c r="AS64" s="105" t="s">
        <v>121</v>
      </c>
      <c r="AU64" s="104" t="s">
        <v>122</v>
      </c>
      <c r="AW64" s="104" t="s">
        <v>123</v>
      </c>
      <c r="AY64" s="104" t="s">
        <v>124</v>
      </c>
      <c r="BA64" s="105" t="s">
        <v>125</v>
      </c>
      <c r="BB64" s="24"/>
    </row>
    <row r="65">
      <c r="A65" s="192">
        <f>A64-543</f>
        <v>2026</v>
      </c>
      <c r="B65" s="193"/>
      <c r="C65" s="140"/>
      <c r="D65" s="140"/>
      <c r="E65" s="115" t="s">
        <v>212</v>
      </c>
      <c r="F65" s="116" t="s">
        <v>167</v>
      </c>
      <c r="G65" s="115"/>
      <c r="H65" s="118"/>
      <c r="I65" s="118"/>
      <c r="J65" s="118"/>
      <c r="K65" s="36"/>
      <c r="L65" s="117"/>
      <c r="M65" s="326"/>
      <c r="N65" s="327"/>
      <c r="O65" s="118"/>
      <c r="P65" s="118"/>
      <c r="Q65" s="118"/>
      <c r="R65" s="119"/>
      <c r="S65" s="118"/>
      <c r="T65" s="119"/>
      <c r="V65" s="117"/>
      <c r="W65" s="9"/>
      <c r="X65" s="110"/>
      <c r="Z65" s="117"/>
      <c r="AA65" s="73" t="s">
        <v>126</v>
      </c>
      <c r="AB65" s="94" t="s">
        <v>128</v>
      </c>
      <c r="AC65" s="36"/>
      <c r="AD65" s="36"/>
      <c r="AE65" s="111"/>
      <c r="AF65" s="112"/>
      <c r="AG65" s="37"/>
      <c r="AH65" s="97"/>
      <c r="AI65" s="14"/>
      <c r="AJ65" s="14"/>
      <c r="AK65" s="14"/>
      <c r="AL65" s="113"/>
      <c r="AM65" s="104" t="s">
        <v>129</v>
      </c>
      <c r="AO65" s="114" t="s">
        <v>130</v>
      </c>
      <c r="AQ65" s="105" t="s">
        <v>131</v>
      </c>
      <c r="AS65" s="105" t="s">
        <v>132</v>
      </c>
      <c r="AU65" s="104" t="s">
        <v>133</v>
      </c>
      <c r="AW65" s="104" t="s">
        <v>134</v>
      </c>
      <c r="AY65" s="104" t="s">
        <v>135</v>
      </c>
      <c r="BA65" s="105" t="s">
        <v>136</v>
      </c>
      <c r="BB65" s="24"/>
    </row>
    <row r="66">
      <c r="A66" s="196"/>
      <c r="B66" s="197"/>
      <c r="C66" s="123"/>
      <c r="D66" s="123"/>
      <c r="E66" s="176" t="s">
        <v>157</v>
      </c>
      <c r="F66" s="88"/>
      <c r="G66" s="165" t="str">
        <f>G5</f>
        <v>อสูรเดือน W</v>
      </c>
      <c r="I66" s="166" t="str">
        <f>I12:J12</f>
        <v>อสูรปี N</v>
      </c>
      <c r="K66" s="90"/>
      <c r="L66" s="126"/>
      <c r="M66" s="8"/>
      <c r="N66" s="121"/>
      <c r="O66" s="9"/>
      <c r="P66" s="9"/>
      <c r="Q66" s="9"/>
      <c r="R66" s="110"/>
      <c r="S66" s="9"/>
      <c r="T66" s="110"/>
      <c r="U66" s="9"/>
      <c r="V66" s="110"/>
      <c r="W66" s="9"/>
      <c r="X66" s="110"/>
      <c r="Y66" s="9"/>
      <c r="Z66" s="110"/>
      <c r="AA66" s="127"/>
      <c r="AB66" s="155"/>
      <c r="AC66" s="36"/>
      <c r="AD66" s="36"/>
      <c r="AE66" s="111"/>
      <c r="AF66" s="112"/>
      <c r="AG66" s="37"/>
      <c r="AH66" s="97"/>
      <c r="AI66" s="14"/>
      <c r="AJ66" s="14"/>
      <c r="AK66" s="14"/>
      <c r="AL66" s="113"/>
      <c r="AM66" s="128"/>
      <c r="AO66" s="128"/>
      <c r="AQ66" s="128"/>
      <c r="AS66" s="129"/>
      <c r="AU66" s="130"/>
      <c r="AW66" s="131"/>
      <c r="AY66" s="131"/>
      <c r="BA66" s="131"/>
      <c r="BB66" s="24"/>
    </row>
    <row r="67">
      <c r="A67" s="188" t="s">
        <v>139</v>
      </c>
      <c r="B67" s="189"/>
      <c r="C67" s="63"/>
      <c r="D67" s="63"/>
      <c r="E67" s="64">
        <f>(O68+P68+Q68+R68)/(O69+P69+Q69+R69)</f>
        <v>0.5625</v>
      </c>
      <c r="F67" s="65"/>
      <c r="G67" s="133"/>
      <c r="H67" s="72"/>
      <c r="I67" s="67"/>
      <c r="J67" s="72"/>
      <c r="K67" s="68"/>
      <c r="L67" s="69"/>
      <c r="M67" s="63" t="s">
        <v>64</v>
      </c>
      <c r="N67" s="70"/>
      <c r="O67" s="71" t="s">
        <v>65</v>
      </c>
      <c r="P67" s="72"/>
      <c r="Q67" s="72"/>
      <c r="R67" s="70"/>
      <c r="S67" s="71" t="s">
        <v>66</v>
      </c>
      <c r="T67" s="70"/>
      <c r="U67" s="71" t="s">
        <v>67</v>
      </c>
      <c r="V67" s="70"/>
      <c r="W67" s="71" t="s">
        <v>348</v>
      </c>
      <c r="X67" s="70"/>
      <c r="Y67" s="71" t="s">
        <v>68</v>
      </c>
      <c r="Z67" s="70"/>
      <c r="AA67" s="134" t="s">
        <v>116</v>
      </c>
      <c r="AB67" s="74" t="s">
        <v>140</v>
      </c>
      <c r="AC67" s="75" t="s">
        <v>206</v>
      </c>
      <c r="AD67" s="75" t="s">
        <v>207</v>
      </c>
      <c r="AE67" s="202" t="s">
        <v>142</v>
      </c>
      <c r="AF67" s="74" t="s">
        <v>143</v>
      </c>
      <c r="AG67" s="63" t="s">
        <v>144</v>
      </c>
      <c r="AH67" s="78" t="s">
        <v>34</v>
      </c>
      <c r="AI67" s="79" t="s">
        <v>189</v>
      </c>
      <c r="AJ67" s="79">
        <v>90.0</v>
      </c>
      <c r="AK67" s="79" t="s">
        <v>208</v>
      </c>
      <c r="AL67" s="80" t="str">
        <f>AL61</f>
        <v>開</v>
      </c>
      <c r="AM67" s="81" t="s">
        <v>52</v>
      </c>
      <c r="AN67" s="82" t="str">
        <f>AN61</f>
        <v>休</v>
      </c>
      <c r="AO67" s="81" t="s">
        <v>38</v>
      </c>
      <c r="AP67" s="82" t="s">
        <v>4</v>
      </c>
      <c r="AQ67" s="81" t="s">
        <v>40</v>
      </c>
      <c r="AR67" s="82" t="str">
        <f>AR61</f>
        <v>傷</v>
      </c>
      <c r="AS67" s="81" t="s">
        <v>42</v>
      </c>
      <c r="AT67" s="82" t="str">
        <f>AT61</f>
        <v>杜</v>
      </c>
      <c r="AU67" s="81" t="s">
        <v>44</v>
      </c>
      <c r="AV67" s="82" t="str">
        <f>AV61</f>
        <v>景</v>
      </c>
      <c r="AW67" s="81" t="s">
        <v>46</v>
      </c>
      <c r="AX67" s="82" t="str">
        <f>AX61</f>
        <v>死</v>
      </c>
      <c r="AY67" s="81" t="s">
        <v>48</v>
      </c>
      <c r="AZ67" s="82" t="str">
        <f>AZ61</f>
        <v>驚</v>
      </c>
      <c r="BA67" s="81" t="s">
        <v>50</v>
      </c>
      <c r="BB67" s="83"/>
      <c r="BC67" s="84"/>
      <c r="BD67" s="84"/>
      <c r="BE67" s="84"/>
    </row>
    <row r="68">
      <c r="A68" s="192">
        <f>A62+1</f>
        <v>10</v>
      </c>
      <c r="B68" s="193"/>
      <c r="C68" s="12" t="s">
        <v>221</v>
      </c>
      <c r="E68" s="87" t="s">
        <v>31</v>
      </c>
      <c r="G68" s="374" t="str">
        <f t="shared" ref="G68:G69" si="94">G3:H3</f>
        <v>乙</v>
      </c>
      <c r="I68" s="268" t="str">
        <f t="shared" ref="I68:I69" si="95">I44:J44</f>
        <v>丙</v>
      </c>
      <c r="K68" s="90">
        <f>L68/L69</f>
        <v>0.5541666667</v>
      </c>
      <c r="L68" s="91">
        <f t="shared" ref="L68:L69" si="96">Z68+Y68+X68+W68+V68+U68+T68+S68+R68+Q68+P68+O68</f>
        <v>665</v>
      </c>
      <c r="M68" s="92">
        <v>0.0</v>
      </c>
      <c r="N68" s="93">
        <v>0.0</v>
      </c>
      <c r="O68" s="92">
        <v>65.0</v>
      </c>
      <c r="P68" s="92">
        <v>70.0</v>
      </c>
      <c r="Q68" s="92">
        <v>60.0</v>
      </c>
      <c r="R68" s="93">
        <v>30.0</v>
      </c>
      <c r="S68" s="92">
        <v>0.0</v>
      </c>
      <c r="T68" s="93">
        <v>75.0</v>
      </c>
      <c r="U68" s="92">
        <f t="shared" ref="U68:X68" si="92">U50</f>
        <v>75</v>
      </c>
      <c r="V68" s="93">
        <f t="shared" si="92"/>
        <v>10</v>
      </c>
      <c r="W68" s="92">
        <f t="shared" si="92"/>
        <v>30</v>
      </c>
      <c r="X68" s="93">
        <f t="shared" si="92"/>
        <v>80</v>
      </c>
      <c r="Y68" s="92">
        <f t="shared" ref="Y68:Z68" si="93">Y44</f>
        <v>110</v>
      </c>
      <c r="Z68" s="93">
        <f t="shared" si="93"/>
        <v>60</v>
      </c>
      <c r="AA68" s="73" t="s">
        <v>126</v>
      </c>
      <c r="AB68" s="94" t="s">
        <v>70</v>
      </c>
      <c r="AC68" s="36"/>
      <c r="AD68" s="29"/>
      <c r="AE68" s="204" t="s">
        <v>82</v>
      </c>
      <c r="AF68" s="96" t="s">
        <v>83</v>
      </c>
      <c r="AG68" s="37"/>
      <c r="AH68" s="97"/>
      <c r="AI68" s="12" t="s">
        <v>54</v>
      </c>
      <c r="AJ68" s="12">
        <v>150.0</v>
      </c>
      <c r="AK68" s="12" t="s">
        <v>210</v>
      </c>
      <c r="AL68" s="98" t="s">
        <v>37</v>
      </c>
      <c r="AM68" s="99" t="s">
        <v>94</v>
      </c>
      <c r="AN68" s="100" t="s">
        <v>51</v>
      </c>
      <c r="AO68" s="101" t="s">
        <v>95</v>
      </c>
      <c r="AP68" s="100" t="s">
        <v>86</v>
      </c>
      <c r="AQ68" s="99" t="s">
        <v>87</v>
      </c>
      <c r="AR68" s="100" t="s">
        <v>88</v>
      </c>
      <c r="AS68" s="101" t="s">
        <v>89</v>
      </c>
      <c r="AT68" s="100" t="s">
        <v>45</v>
      </c>
      <c r="AU68" s="102" t="s">
        <v>90</v>
      </c>
      <c r="AV68" s="100" t="s">
        <v>43</v>
      </c>
      <c r="AW68" s="101" t="s">
        <v>91</v>
      </c>
      <c r="AX68" s="100" t="s">
        <v>41</v>
      </c>
      <c r="AY68" s="103" t="s">
        <v>92</v>
      </c>
      <c r="AZ68" s="100" t="s">
        <v>39</v>
      </c>
      <c r="BA68" s="99" t="s">
        <v>93</v>
      </c>
      <c r="BB68" s="24"/>
    </row>
    <row r="69">
      <c r="A69" s="200" t="str">
        <f>G2</f>
        <v>กรกฎาคม</v>
      </c>
      <c r="B69" s="193"/>
      <c r="C69" s="360" t="s">
        <v>231</v>
      </c>
      <c r="E69" s="209" t="s">
        <v>32</v>
      </c>
      <c r="G69" s="397" t="str">
        <f t="shared" si="94"/>
        <v>未</v>
      </c>
      <c r="I69" s="142" t="str">
        <f t="shared" si="95"/>
        <v>午</v>
      </c>
      <c r="K69" s="36"/>
      <c r="L69" s="109">
        <f t="shared" si="96"/>
        <v>1200</v>
      </c>
      <c r="M69" s="9">
        <v>0.0</v>
      </c>
      <c r="N69" s="110">
        <v>0.0</v>
      </c>
      <c r="O69" s="9">
        <v>100.0</v>
      </c>
      <c r="P69" s="9">
        <v>100.0</v>
      </c>
      <c r="Q69" s="9">
        <v>100.0</v>
      </c>
      <c r="R69" s="110">
        <v>100.0</v>
      </c>
      <c r="S69" s="9">
        <v>100.0</v>
      </c>
      <c r="T69" s="110">
        <v>100.0</v>
      </c>
      <c r="U69" s="9">
        <v>100.0</v>
      </c>
      <c r="V69" s="110">
        <v>100.0</v>
      </c>
      <c r="W69" s="9">
        <v>100.0</v>
      </c>
      <c r="X69" s="110">
        <v>100.0</v>
      </c>
      <c r="Y69" s="9">
        <v>100.0</v>
      </c>
      <c r="Z69" s="110">
        <v>100.0</v>
      </c>
      <c r="AA69" s="73" t="s">
        <v>69</v>
      </c>
      <c r="AB69" s="94" t="s">
        <v>152</v>
      </c>
      <c r="AC69" s="36"/>
      <c r="AD69" s="36"/>
      <c r="AE69" s="111"/>
      <c r="AF69" s="112"/>
      <c r="AG69" s="37"/>
      <c r="AH69" s="97"/>
      <c r="AI69" s="14"/>
      <c r="AJ69" s="14"/>
      <c r="AK69" s="14"/>
      <c r="AL69" s="113"/>
      <c r="AM69" s="104" t="s">
        <v>106</v>
      </c>
      <c r="AO69" s="105" t="s">
        <v>107</v>
      </c>
      <c r="AQ69" s="104" t="s">
        <v>100</v>
      </c>
      <c r="AS69" s="114" t="s">
        <v>101</v>
      </c>
      <c r="AU69" s="105" t="s">
        <v>102</v>
      </c>
      <c r="AW69" s="105" t="s">
        <v>103</v>
      </c>
      <c r="AY69" s="104" t="s">
        <v>104</v>
      </c>
      <c r="BA69" s="104" t="s">
        <v>105</v>
      </c>
      <c r="BB69" s="24"/>
    </row>
    <row r="70">
      <c r="A70" s="192">
        <f>A10</f>
        <v>2569</v>
      </c>
      <c r="B70" s="193"/>
      <c r="E70" s="115" t="s">
        <v>114</v>
      </c>
      <c r="F70" s="116" t="s">
        <v>113</v>
      </c>
      <c r="G70" s="115" t="str">
        <f t="shared" ref="G70:H70" si="97">G52</f>
        <v>A12</v>
      </c>
      <c r="H70" s="9" t="str">
        <f t="shared" si="97"/>
        <v>B12</v>
      </c>
      <c r="I70" s="9" t="str">
        <f t="shared" ref="I70:J70" si="98">I46</f>
        <v>A5</v>
      </c>
      <c r="J70" s="9" t="str">
        <f t="shared" si="98"/>
        <v>B11</v>
      </c>
      <c r="K70" s="36"/>
      <c r="L70" s="117"/>
      <c r="M70" s="118" t="str">
        <f t="shared" ref="M70:P70" si="99">C70</f>
        <v/>
      </c>
      <c r="N70" s="119" t="str">
        <f t="shared" si="99"/>
        <v/>
      </c>
      <c r="O70" s="118" t="str">
        <f t="shared" si="99"/>
        <v>A10</v>
      </c>
      <c r="P70" s="118" t="str">
        <f t="shared" si="99"/>
        <v>B12</v>
      </c>
      <c r="Q70" s="118" t="str">
        <f t="shared" ref="Q70:R70" si="100">E71</f>
        <v>B8</v>
      </c>
      <c r="R70" s="119" t="str">
        <f t="shared" si="100"/>
        <v>C3</v>
      </c>
      <c r="S70" s="9" t="s">
        <v>114</v>
      </c>
      <c r="T70" s="110" t="s">
        <v>165</v>
      </c>
      <c r="U70" s="9" t="str">
        <f t="shared" ref="U70:V70" si="101">G70</f>
        <v>A12</v>
      </c>
      <c r="V70" s="119" t="str">
        <f t="shared" si="101"/>
        <v>B12</v>
      </c>
      <c r="W70" s="9" t="str">
        <f t="shared" ref="W70:X70" si="102">W52</f>
        <v>A6</v>
      </c>
      <c r="X70" s="110" t="str">
        <f t="shared" si="102"/>
        <v>A1</v>
      </c>
      <c r="Y70" s="118" t="str">
        <f t="shared" ref="Y70:Z70" si="103">I70</f>
        <v>A5</v>
      </c>
      <c r="Z70" s="120" t="str">
        <f t="shared" si="103"/>
        <v>B11</v>
      </c>
      <c r="AA70" s="73" t="s">
        <v>80</v>
      </c>
      <c r="AB70" s="94" t="s">
        <v>153</v>
      </c>
      <c r="AC70" s="36"/>
      <c r="AD70" s="36"/>
      <c r="AE70" s="111"/>
      <c r="AF70" s="112"/>
      <c r="AG70" s="37"/>
      <c r="AH70" s="97"/>
      <c r="AI70" s="14"/>
      <c r="AJ70" s="14"/>
      <c r="AK70" s="14"/>
      <c r="AL70" s="113"/>
      <c r="AM70" s="104" t="s">
        <v>124</v>
      </c>
      <c r="AO70" s="105" t="s">
        <v>125</v>
      </c>
      <c r="AQ70" s="104" t="s">
        <v>118</v>
      </c>
      <c r="AS70" s="114" t="s">
        <v>119</v>
      </c>
      <c r="AU70" s="105" t="s">
        <v>120</v>
      </c>
      <c r="AW70" s="105" t="s">
        <v>121</v>
      </c>
      <c r="AY70" s="104" t="s">
        <v>122</v>
      </c>
      <c r="BA70" s="104" t="s">
        <v>123</v>
      </c>
      <c r="BB70" s="24"/>
    </row>
    <row r="71">
      <c r="A71" s="192">
        <f>A70-543</f>
        <v>2026</v>
      </c>
      <c r="B71" s="193"/>
      <c r="C71" s="106"/>
      <c r="D71" s="106"/>
      <c r="E71" s="115" t="s">
        <v>69</v>
      </c>
      <c r="F71" s="116" t="s">
        <v>184</v>
      </c>
      <c r="G71" s="115"/>
      <c r="H71" s="118"/>
      <c r="I71" s="118"/>
      <c r="J71" s="118"/>
      <c r="K71" s="36"/>
      <c r="L71" s="117"/>
      <c r="M71" s="326"/>
      <c r="N71" s="327"/>
      <c r="R71" s="117"/>
      <c r="T71" s="117"/>
      <c r="V71" s="117"/>
      <c r="W71" s="9"/>
      <c r="X71" s="110"/>
      <c r="Z71" s="117"/>
      <c r="AA71" s="73" t="s">
        <v>98</v>
      </c>
      <c r="AB71" s="94" t="s">
        <v>155</v>
      </c>
      <c r="AC71" s="36"/>
      <c r="AD71" s="36"/>
      <c r="AE71" s="111"/>
      <c r="AF71" s="112"/>
      <c r="AG71" s="37"/>
      <c r="AH71" s="97"/>
      <c r="AI71" s="14"/>
      <c r="AJ71" s="14"/>
      <c r="AK71" s="14"/>
      <c r="AL71" s="113"/>
      <c r="AM71" s="104" t="s">
        <v>135</v>
      </c>
      <c r="AO71" s="105" t="s">
        <v>136</v>
      </c>
      <c r="AQ71" s="104" t="s">
        <v>129</v>
      </c>
      <c r="AS71" s="114" t="s">
        <v>130</v>
      </c>
      <c r="AU71" s="105" t="s">
        <v>131</v>
      </c>
      <c r="AW71" s="105" t="s">
        <v>132</v>
      </c>
      <c r="AY71" s="104" t="s">
        <v>133</v>
      </c>
      <c r="BA71" s="104" t="s">
        <v>134</v>
      </c>
      <c r="BB71" s="24"/>
    </row>
    <row r="72">
      <c r="A72" s="351"/>
      <c r="B72" s="197"/>
      <c r="C72" s="123"/>
      <c r="D72" s="123"/>
      <c r="E72" s="164" t="s">
        <v>168</v>
      </c>
      <c r="F72" s="88"/>
      <c r="G72" s="165" t="str">
        <f>G5</f>
        <v>อสูรเดือน W</v>
      </c>
      <c r="I72" s="166" t="str">
        <f>I12:J12</f>
        <v>อสูรปี N</v>
      </c>
      <c r="K72" s="90"/>
      <c r="L72" s="126"/>
      <c r="M72" s="8"/>
      <c r="N72" s="121"/>
      <c r="O72" s="8"/>
      <c r="P72" s="8"/>
      <c r="Q72" s="8"/>
      <c r="R72" s="121"/>
      <c r="S72" s="8"/>
      <c r="T72" s="121"/>
      <c r="U72" s="9"/>
      <c r="V72" s="110"/>
      <c r="W72" s="9"/>
      <c r="X72" s="110"/>
      <c r="Y72" s="9"/>
      <c r="Z72" s="110"/>
      <c r="AA72" s="127"/>
      <c r="AB72" s="155"/>
      <c r="AC72" s="36"/>
      <c r="AD72" s="36"/>
      <c r="AE72" s="111"/>
      <c r="AF72" s="112"/>
      <c r="AG72" s="37"/>
      <c r="AH72" s="97"/>
      <c r="AI72" s="14"/>
      <c r="AJ72" s="14"/>
      <c r="AK72" s="14"/>
      <c r="AL72" s="113"/>
      <c r="BA72" s="128"/>
      <c r="BB72" s="24"/>
    </row>
    <row r="73">
      <c r="A73" s="188" t="s">
        <v>158</v>
      </c>
      <c r="B73" s="189"/>
      <c r="C73" s="63"/>
      <c r="D73" s="63"/>
      <c r="E73" s="64">
        <f>(O74+P74+Q74+R74)/(O75+P75+Q75+R75)</f>
        <v>0.6125</v>
      </c>
      <c r="F73" s="65"/>
      <c r="G73" s="133"/>
      <c r="H73" s="72"/>
      <c r="I73" s="67"/>
      <c r="J73" s="72"/>
      <c r="K73" s="68"/>
      <c r="L73" s="69"/>
      <c r="M73" s="63" t="s">
        <v>64</v>
      </c>
      <c r="N73" s="70"/>
      <c r="O73" s="71" t="s">
        <v>65</v>
      </c>
      <c r="P73" s="72"/>
      <c r="Q73" s="72"/>
      <c r="R73" s="70"/>
      <c r="S73" s="71" t="s">
        <v>66</v>
      </c>
      <c r="T73" s="70"/>
      <c r="U73" s="71" t="s">
        <v>67</v>
      </c>
      <c r="V73" s="70"/>
      <c r="W73" s="71" t="s">
        <v>348</v>
      </c>
      <c r="X73" s="70"/>
      <c r="Y73" s="71" t="s">
        <v>68</v>
      </c>
      <c r="Z73" s="70"/>
      <c r="AA73" s="134" t="s">
        <v>116</v>
      </c>
      <c r="AB73" s="74" t="s">
        <v>159</v>
      </c>
      <c r="AC73" s="75" t="s">
        <v>189</v>
      </c>
      <c r="AD73" s="75" t="s">
        <v>192</v>
      </c>
      <c r="AE73" s="202" t="s">
        <v>142</v>
      </c>
      <c r="AF73" s="74" t="s">
        <v>143</v>
      </c>
      <c r="AG73" s="63" t="s">
        <v>144</v>
      </c>
      <c r="AH73" s="78" t="s">
        <v>75</v>
      </c>
      <c r="AI73" s="79" t="s">
        <v>54</v>
      </c>
      <c r="AJ73" s="79">
        <v>150.0</v>
      </c>
      <c r="AK73" s="79" t="s">
        <v>210</v>
      </c>
      <c r="AL73" s="80" t="str">
        <f>AL67</f>
        <v>開</v>
      </c>
      <c r="AM73" s="81" t="s">
        <v>48</v>
      </c>
      <c r="AN73" s="82" t="str">
        <f>AN67</f>
        <v>休</v>
      </c>
      <c r="AO73" s="81" t="s">
        <v>50</v>
      </c>
      <c r="AP73" s="82" t="s">
        <v>4</v>
      </c>
      <c r="AQ73" s="81" t="s">
        <v>52</v>
      </c>
      <c r="AR73" s="82" t="str">
        <f>AR67</f>
        <v>傷</v>
      </c>
      <c r="AS73" s="81" t="s">
        <v>38</v>
      </c>
      <c r="AT73" s="82" t="s">
        <v>8</v>
      </c>
      <c r="AU73" s="81" t="s">
        <v>40</v>
      </c>
      <c r="AV73" s="82" t="str">
        <f>AV67</f>
        <v>景</v>
      </c>
      <c r="AW73" s="81" t="s">
        <v>42</v>
      </c>
      <c r="AX73" s="82" t="str">
        <f>AX67</f>
        <v>死</v>
      </c>
      <c r="AY73" s="81" t="s">
        <v>44</v>
      </c>
      <c r="AZ73" s="82" t="str">
        <f>AZ67</f>
        <v>驚</v>
      </c>
      <c r="BA73" s="81" t="s">
        <v>46</v>
      </c>
      <c r="BB73" s="83"/>
      <c r="BC73" s="84"/>
      <c r="BD73" s="84"/>
      <c r="BE73" s="84"/>
    </row>
    <row r="74">
      <c r="A74" s="192">
        <f>A68+1</f>
        <v>11</v>
      </c>
      <c r="B74" s="193"/>
      <c r="C74" s="12" t="s">
        <v>216</v>
      </c>
      <c r="E74" s="214" t="s">
        <v>147</v>
      </c>
      <c r="G74" s="374" t="str">
        <f t="shared" ref="G74:G75" si="106">G3:H3</f>
        <v>乙</v>
      </c>
      <c r="I74" s="275" t="str">
        <f t="shared" ref="I74:I75" si="107">I44:J44</f>
        <v>丙</v>
      </c>
      <c r="K74" s="90">
        <f>L74/L75</f>
        <v>0.5791666667</v>
      </c>
      <c r="L74" s="91">
        <f t="shared" ref="L74:L75" si="108">Z74+Y74+X74+W74+V74+U74+T74+S74+R74+Q74+P74+O74</f>
        <v>695</v>
      </c>
      <c r="M74" s="92">
        <v>0.0</v>
      </c>
      <c r="N74" s="93">
        <v>0.0</v>
      </c>
      <c r="O74" s="92">
        <v>45.0</v>
      </c>
      <c r="P74" s="92">
        <v>80.0</v>
      </c>
      <c r="Q74" s="92">
        <v>40.0</v>
      </c>
      <c r="R74" s="93">
        <v>80.0</v>
      </c>
      <c r="S74" s="92">
        <v>55.0</v>
      </c>
      <c r="T74" s="93">
        <v>30.0</v>
      </c>
      <c r="U74" s="92">
        <f t="shared" ref="U74:X74" si="104">U50</f>
        <v>75</v>
      </c>
      <c r="V74" s="93">
        <f t="shared" si="104"/>
        <v>10</v>
      </c>
      <c r="W74" s="92">
        <f t="shared" si="104"/>
        <v>30</v>
      </c>
      <c r="X74" s="93">
        <f t="shared" si="104"/>
        <v>80</v>
      </c>
      <c r="Y74" s="92">
        <f t="shared" ref="Y74:Z74" si="105">Y44</f>
        <v>110</v>
      </c>
      <c r="Z74" s="93">
        <f t="shared" si="105"/>
        <v>60</v>
      </c>
      <c r="AA74" s="73" t="s">
        <v>126</v>
      </c>
      <c r="AB74" s="94" t="s">
        <v>152</v>
      </c>
      <c r="AC74" s="36"/>
      <c r="AD74" s="36"/>
      <c r="AE74" s="204" t="s">
        <v>82</v>
      </c>
      <c r="AF74" s="96" t="s">
        <v>83</v>
      </c>
      <c r="AG74" s="37"/>
      <c r="AH74" s="97"/>
      <c r="AI74" s="12" t="s">
        <v>189</v>
      </c>
      <c r="AJ74" s="12">
        <v>90.0</v>
      </c>
      <c r="AK74" s="12" t="s">
        <v>208</v>
      </c>
      <c r="AL74" s="98" t="s">
        <v>43</v>
      </c>
      <c r="AM74" s="101" t="s">
        <v>91</v>
      </c>
      <c r="AN74" s="100" t="s">
        <v>41</v>
      </c>
      <c r="AO74" s="103" t="s">
        <v>92</v>
      </c>
      <c r="AP74" s="100" t="s">
        <v>39</v>
      </c>
      <c r="AQ74" s="99" t="s">
        <v>93</v>
      </c>
      <c r="AR74" s="100" t="s">
        <v>37</v>
      </c>
      <c r="AS74" s="99" t="s">
        <v>94</v>
      </c>
      <c r="AT74" s="100" t="s">
        <v>51</v>
      </c>
      <c r="AU74" s="101" t="s">
        <v>95</v>
      </c>
      <c r="AV74" s="100" t="s">
        <v>86</v>
      </c>
      <c r="AW74" s="99" t="s">
        <v>87</v>
      </c>
      <c r="AX74" s="100" t="s">
        <v>88</v>
      </c>
      <c r="AY74" s="101" t="s">
        <v>89</v>
      </c>
      <c r="AZ74" s="100" t="s">
        <v>45</v>
      </c>
      <c r="BA74" s="102" t="s">
        <v>90</v>
      </c>
      <c r="BB74" s="24"/>
    </row>
    <row r="75">
      <c r="A75" s="200" t="str">
        <f>A63</f>
        <v>กรกฎาคม</v>
      </c>
      <c r="B75" s="193"/>
      <c r="C75" s="106" t="s">
        <v>235</v>
      </c>
      <c r="E75" s="162" t="s">
        <v>206</v>
      </c>
      <c r="G75" s="397" t="str">
        <f t="shared" si="106"/>
        <v>未</v>
      </c>
      <c r="I75" s="142" t="str">
        <f t="shared" si="107"/>
        <v>午</v>
      </c>
      <c r="K75" s="36"/>
      <c r="L75" s="109">
        <f t="shared" si="108"/>
        <v>1200</v>
      </c>
      <c r="M75" s="9">
        <v>0.0</v>
      </c>
      <c r="N75" s="110">
        <v>0.0</v>
      </c>
      <c r="O75" s="9">
        <v>100.0</v>
      </c>
      <c r="P75" s="9">
        <v>100.0</v>
      </c>
      <c r="Q75" s="9">
        <v>100.0</v>
      </c>
      <c r="R75" s="110">
        <v>100.0</v>
      </c>
      <c r="S75" s="9">
        <v>100.0</v>
      </c>
      <c r="T75" s="110">
        <v>100.0</v>
      </c>
      <c r="U75" s="9">
        <v>100.0</v>
      </c>
      <c r="V75" s="110">
        <v>100.0</v>
      </c>
      <c r="W75" s="9">
        <v>100.0</v>
      </c>
      <c r="X75" s="110">
        <v>100.0</v>
      </c>
      <c r="Y75" s="9">
        <v>100.0</v>
      </c>
      <c r="Z75" s="110">
        <v>100.0</v>
      </c>
      <c r="AA75" s="73" t="s">
        <v>69</v>
      </c>
      <c r="AB75" s="94" t="s">
        <v>163</v>
      </c>
      <c r="AC75" s="36"/>
      <c r="AD75" s="36"/>
      <c r="AE75" s="111"/>
      <c r="AF75" s="112"/>
      <c r="AG75" s="37"/>
      <c r="AH75" s="97"/>
      <c r="AI75" s="14"/>
      <c r="AJ75" s="14"/>
      <c r="AK75" s="14"/>
      <c r="AL75" s="113"/>
      <c r="AM75" s="105" t="s">
        <v>103</v>
      </c>
      <c r="AO75" s="104" t="s">
        <v>104</v>
      </c>
      <c r="AQ75" s="104" t="s">
        <v>105</v>
      </c>
      <c r="AS75" s="104" t="s">
        <v>106</v>
      </c>
      <c r="AU75" s="105" t="s">
        <v>107</v>
      </c>
      <c r="AW75" s="104" t="s">
        <v>100</v>
      </c>
      <c r="AY75" s="114" t="s">
        <v>101</v>
      </c>
      <c r="BA75" s="105" t="s">
        <v>102</v>
      </c>
      <c r="BB75" s="24"/>
    </row>
    <row r="76">
      <c r="A76" s="192">
        <f>A10</f>
        <v>2569</v>
      </c>
      <c r="B76" s="193"/>
      <c r="E76" s="115" t="s">
        <v>164</v>
      </c>
      <c r="F76" s="116" t="s">
        <v>80</v>
      </c>
      <c r="G76" s="115" t="str">
        <f t="shared" ref="G76:H76" si="109">G52</f>
        <v>A12</v>
      </c>
      <c r="H76" s="9" t="str">
        <f t="shared" si="109"/>
        <v>B12</v>
      </c>
      <c r="I76" s="9" t="str">
        <f t="shared" ref="I76:J76" si="110">I46</f>
        <v>A5</v>
      </c>
      <c r="J76" s="9" t="str">
        <f t="shared" si="110"/>
        <v>B11</v>
      </c>
      <c r="K76" s="36"/>
      <c r="L76" s="117"/>
      <c r="M76" s="118" t="str">
        <f t="shared" ref="M76:P76" si="111">C76</f>
        <v/>
      </c>
      <c r="N76" s="119" t="str">
        <f t="shared" si="111"/>
        <v/>
      </c>
      <c r="O76" s="118" t="str">
        <f t="shared" si="111"/>
        <v>A9</v>
      </c>
      <c r="P76" s="118" t="str">
        <f t="shared" si="111"/>
        <v>B1</v>
      </c>
      <c r="Q76" s="118" t="str">
        <f t="shared" ref="Q76:R76" si="112">E77</f>
        <v>B7</v>
      </c>
      <c r="R76" s="119" t="str">
        <f t="shared" si="112"/>
        <v>C4</v>
      </c>
      <c r="S76" s="9" t="s">
        <v>164</v>
      </c>
      <c r="T76" s="110" t="s">
        <v>198</v>
      </c>
      <c r="U76" s="9" t="str">
        <f t="shared" ref="U76:V76" si="113">G76</f>
        <v>A12</v>
      </c>
      <c r="V76" s="119" t="str">
        <f t="shared" si="113"/>
        <v>B12</v>
      </c>
      <c r="W76" s="9" t="str">
        <f t="shared" ref="W76:X76" si="114">W52</f>
        <v>A6</v>
      </c>
      <c r="X76" s="110" t="str">
        <f t="shared" si="114"/>
        <v>A1</v>
      </c>
      <c r="Y76" s="118" t="str">
        <f t="shared" ref="Y76:Z76" si="115">I76</f>
        <v>A5</v>
      </c>
      <c r="Z76" s="120" t="str">
        <f t="shared" si="115"/>
        <v>B11</v>
      </c>
      <c r="AA76" s="73" t="s">
        <v>80</v>
      </c>
      <c r="AB76" s="94" t="s">
        <v>117</v>
      </c>
      <c r="AC76" s="36"/>
      <c r="AD76" s="36"/>
      <c r="AE76" s="111"/>
      <c r="AF76" s="112"/>
      <c r="AG76" s="37"/>
      <c r="AH76" s="97"/>
      <c r="AI76" s="14"/>
      <c r="AJ76" s="14"/>
      <c r="AK76" s="14"/>
      <c r="AL76" s="113"/>
      <c r="AM76" s="105" t="s">
        <v>121</v>
      </c>
      <c r="AO76" s="104" t="s">
        <v>122</v>
      </c>
      <c r="AQ76" s="104" t="s">
        <v>123</v>
      </c>
      <c r="AS76" s="104" t="s">
        <v>124</v>
      </c>
      <c r="AU76" s="105" t="s">
        <v>125</v>
      </c>
      <c r="AW76" s="104" t="s">
        <v>118</v>
      </c>
      <c r="AY76" s="114" t="s">
        <v>119</v>
      </c>
      <c r="BA76" s="105" t="s">
        <v>120</v>
      </c>
      <c r="BB76" s="24"/>
    </row>
    <row r="77">
      <c r="A77" s="192">
        <f>A76-543</f>
        <v>2026</v>
      </c>
      <c r="B77" s="193"/>
      <c r="C77" s="347"/>
      <c r="E77" s="115" t="s">
        <v>111</v>
      </c>
      <c r="F77" s="116" t="s">
        <v>190</v>
      </c>
      <c r="G77" s="115"/>
      <c r="H77" s="118"/>
      <c r="I77" s="118"/>
      <c r="J77" s="118"/>
      <c r="K77" s="36"/>
      <c r="L77" s="117"/>
      <c r="M77" s="326"/>
      <c r="N77" s="327"/>
      <c r="R77" s="117"/>
      <c r="T77" s="117"/>
      <c r="V77" s="117"/>
      <c r="W77" s="9"/>
      <c r="X77" s="110"/>
      <c r="Z77" s="117"/>
      <c r="AA77" s="73" t="s">
        <v>98</v>
      </c>
      <c r="AB77" s="94" t="s">
        <v>128</v>
      </c>
      <c r="AC77" s="36"/>
      <c r="AD77" s="36"/>
      <c r="AE77" s="111"/>
      <c r="AF77" s="112"/>
      <c r="AG77" s="37"/>
      <c r="AH77" s="97"/>
      <c r="AI77" s="14"/>
      <c r="AJ77" s="14"/>
      <c r="AK77" s="14"/>
      <c r="AL77" s="113"/>
      <c r="AM77" s="105" t="s">
        <v>132</v>
      </c>
      <c r="AO77" s="104" t="s">
        <v>133</v>
      </c>
      <c r="AQ77" s="104" t="s">
        <v>134</v>
      </c>
      <c r="AS77" s="104" t="s">
        <v>135</v>
      </c>
      <c r="AU77" s="105" t="s">
        <v>136</v>
      </c>
      <c r="AW77" s="104" t="s">
        <v>129</v>
      </c>
      <c r="AY77" s="114" t="s">
        <v>130</v>
      </c>
      <c r="BA77" s="105" t="s">
        <v>131</v>
      </c>
      <c r="BB77" s="24"/>
    </row>
    <row r="78">
      <c r="A78" s="329"/>
      <c r="B78" s="206"/>
      <c r="C78" s="123"/>
      <c r="D78" s="123"/>
      <c r="E78" s="164" t="s">
        <v>185</v>
      </c>
      <c r="F78" s="88"/>
      <c r="G78" s="207" t="str">
        <f>G5:H5</f>
        <v>อสูรเดือน W</v>
      </c>
      <c r="I78" s="208" t="str">
        <f>I5:J5</f>
        <v>อสูรปี N</v>
      </c>
      <c r="K78" s="36"/>
      <c r="L78" s="117"/>
      <c r="M78" s="128"/>
      <c r="N78" s="117"/>
      <c r="R78" s="117"/>
      <c r="S78" s="8"/>
      <c r="T78" s="121"/>
      <c r="V78" s="117"/>
      <c r="W78" s="9"/>
      <c r="X78" s="110"/>
      <c r="Z78" s="117"/>
      <c r="AA78" s="127"/>
      <c r="AB78" s="155"/>
      <c r="AC78" s="36"/>
      <c r="AD78" s="36"/>
      <c r="AE78" s="111"/>
      <c r="AF78" s="112"/>
      <c r="AG78" s="37"/>
      <c r="AH78" s="97"/>
      <c r="AI78" s="14"/>
      <c r="AJ78" s="14"/>
      <c r="AK78" s="14"/>
      <c r="AL78" s="113"/>
      <c r="AS78" s="128"/>
      <c r="BB78" s="24"/>
    </row>
    <row r="79">
      <c r="A79" s="188" t="s">
        <v>169</v>
      </c>
      <c r="B79" s="189"/>
      <c r="C79" s="63"/>
      <c r="D79" s="63"/>
      <c r="E79" s="64">
        <f>(O80+P80+Q80+R80)/(O81+P81+Q81+R81)</f>
        <v>0.4375</v>
      </c>
      <c r="F79" s="65"/>
      <c r="G79" s="133"/>
      <c r="H79" s="72"/>
      <c r="I79" s="67"/>
      <c r="J79" s="72"/>
      <c r="K79" s="68"/>
      <c r="L79" s="69"/>
      <c r="M79" s="63" t="s">
        <v>64</v>
      </c>
      <c r="N79" s="70"/>
      <c r="O79" s="71" t="s">
        <v>65</v>
      </c>
      <c r="P79" s="72"/>
      <c r="Q79" s="72"/>
      <c r="R79" s="70"/>
      <c r="S79" s="71" t="s">
        <v>66</v>
      </c>
      <c r="T79" s="70"/>
      <c r="U79" s="71" t="s">
        <v>67</v>
      </c>
      <c r="V79" s="70"/>
      <c r="W79" s="71" t="s">
        <v>348</v>
      </c>
      <c r="X79" s="70"/>
      <c r="Y79" s="71" t="s">
        <v>68</v>
      </c>
      <c r="Z79" s="70"/>
      <c r="AA79" s="134" t="s">
        <v>80</v>
      </c>
      <c r="AB79" s="74" t="s">
        <v>170</v>
      </c>
      <c r="AC79" s="75" t="s">
        <v>171</v>
      </c>
      <c r="AD79" s="75" t="s">
        <v>172</v>
      </c>
      <c r="AE79" s="135" t="s">
        <v>142</v>
      </c>
      <c r="AF79" s="74" t="s">
        <v>143</v>
      </c>
      <c r="AG79" s="63" t="s">
        <v>35</v>
      </c>
      <c r="AH79" s="78" t="s">
        <v>144</v>
      </c>
      <c r="AI79" s="79" t="s">
        <v>71</v>
      </c>
      <c r="AJ79" s="79">
        <v>210.0</v>
      </c>
      <c r="AK79" s="79" t="s">
        <v>175</v>
      </c>
      <c r="AL79" s="80" t="str">
        <f>AL73</f>
        <v>開</v>
      </c>
      <c r="AM79" s="81" t="s">
        <v>38</v>
      </c>
      <c r="AN79" s="82" t="str">
        <f>AN73</f>
        <v>休</v>
      </c>
      <c r="AO79" s="81" t="s">
        <v>40</v>
      </c>
      <c r="AP79" s="82" t="s">
        <v>4</v>
      </c>
      <c r="AQ79" s="81" t="s">
        <v>42</v>
      </c>
      <c r="AR79" s="82" t="str">
        <f>AR73</f>
        <v>傷</v>
      </c>
      <c r="AS79" s="81" t="s">
        <v>44</v>
      </c>
      <c r="AT79" s="82" t="s">
        <v>8</v>
      </c>
      <c r="AU79" s="81" t="s">
        <v>46</v>
      </c>
      <c r="AV79" s="82" t="str">
        <f>AV73</f>
        <v>景</v>
      </c>
      <c r="AW79" s="81" t="s">
        <v>48</v>
      </c>
      <c r="AX79" s="82" t="str">
        <f>AX73</f>
        <v>死</v>
      </c>
      <c r="AY79" s="81" t="s">
        <v>50</v>
      </c>
      <c r="AZ79" s="82" t="str">
        <f>AZ73</f>
        <v>驚</v>
      </c>
      <c r="BA79" s="81" t="s">
        <v>52</v>
      </c>
      <c r="BB79" s="83"/>
      <c r="BC79" s="84"/>
      <c r="BD79" s="84"/>
      <c r="BE79" s="84"/>
    </row>
    <row r="80">
      <c r="A80" s="192">
        <f>A74+1</f>
        <v>12</v>
      </c>
      <c r="B80" s="193"/>
      <c r="C80" s="12" t="s">
        <v>146</v>
      </c>
      <c r="E80" s="160" t="s">
        <v>161</v>
      </c>
      <c r="G80" s="374" t="str">
        <f t="shared" ref="G80:G81" si="118">G3:H3</f>
        <v>乙</v>
      </c>
      <c r="I80" s="275" t="str">
        <f t="shared" ref="I80:I81" si="119">I44:J44</f>
        <v>丙</v>
      </c>
      <c r="K80" s="90">
        <f>L80/L81</f>
        <v>0.5458333333</v>
      </c>
      <c r="L80" s="91">
        <f t="shared" ref="L80:L81" si="120">Z80+Y80+X80+W80+V80+U80+T80+S80+R80+Q80+P80+O80</f>
        <v>655</v>
      </c>
      <c r="M80" s="92">
        <v>0.0</v>
      </c>
      <c r="N80" s="93">
        <v>0.0</v>
      </c>
      <c r="O80" s="92">
        <v>55.0</v>
      </c>
      <c r="P80" s="92">
        <v>20.0</v>
      </c>
      <c r="Q80" s="92">
        <v>50.0</v>
      </c>
      <c r="R80" s="93">
        <v>50.0</v>
      </c>
      <c r="S80" s="92">
        <v>25.0</v>
      </c>
      <c r="T80" s="93">
        <v>90.0</v>
      </c>
      <c r="U80" s="92">
        <f t="shared" ref="U80:X80" si="116">U50</f>
        <v>75</v>
      </c>
      <c r="V80" s="93">
        <f t="shared" si="116"/>
        <v>10</v>
      </c>
      <c r="W80" s="92">
        <f t="shared" si="116"/>
        <v>30</v>
      </c>
      <c r="X80" s="93">
        <f t="shared" si="116"/>
        <v>80</v>
      </c>
      <c r="Y80" s="92">
        <f t="shared" ref="Y80:Z80" si="117">Y44</f>
        <v>110</v>
      </c>
      <c r="Z80" s="93">
        <f t="shared" si="117"/>
        <v>60</v>
      </c>
      <c r="AA80" s="73" t="s">
        <v>98</v>
      </c>
      <c r="AB80" s="94" t="s">
        <v>70</v>
      </c>
      <c r="AC80" s="36"/>
      <c r="AD80" s="169" t="s">
        <v>177</v>
      </c>
      <c r="AE80" s="278" t="s">
        <v>148</v>
      </c>
      <c r="AF80" s="96" t="s">
        <v>149</v>
      </c>
      <c r="AG80" s="37"/>
      <c r="AH80" s="97"/>
      <c r="AI80" s="12" t="s">
        <v>53</v>
      </c>
      <c r="AJ80" s="12">
        <v>30.0</v>
      </c>
      <c r="AK80" s="12" t="s">
        <v>178</v>
      </c>
      <c r="AL80" s="98" t="s">
        <v>86</v>
      </c>
      <c r="AM80" s="99" t="s">
        <v>87</v>
      </c>
      <c r="AN80" s="100" t="s">
        <v>88</v>
      </c>
      <c r="AO80" s="101" t="s">
        <v>89</v>
      </c>
      <c r="AP80" s="100" t="s">
        <v>45</v>
      </c>
      <c r="AQ80" s="102" t="s">
        <v>90</v>
      </c>
      <c r="AR80" s="100" t="s">
        <v>43</v>
      </c>
      <c r="AS80" s="101" t="s">
        <v>91</v>
      </c>
      <c r="AT80" s="100" t="s">
        <v>41</v>
      </c>
      <c r="AU80" s="103" t="s">
        <v>92</v>
      </c>
      <c r="AV80" s="100" t="s">
        <v>39</v>
      </c>
      <c r="AW80" s="99" t="s">
        <v>93</v>
      </c>
      <c r="AX80" s="100" t="s">
        <v>37</v>
      </c>
      <c r="AY80" s="99" t="s">
        <v>94</v>
      </c>
      <c r="AZ80" s="100" t="s">
        <v>51</v>
      </c>
      <c r="BA80" s="101" t="s">
        <v>95</v>
      </c>
      <c r="BB80" s="24"/>
    </row>
    <row r="81">
      <c r="A81" s="200" t="str">
        <f>G2</f>
        <v>กรกฎาคม</v>
      </c>
      <c r="B81" s="193"/>
      <c r="C81" s="161"/>
      <c r="E81" s="107" t="s">
        <v>97</v>
      </c>
      <c r="G81" s="397" t="str">
        <f t="shared" si="118"/>
        <v>未</v>
      </c>
      <c r="I81" s="142" t="str">
        <f t="shared" si="119"/>
        <v>午</v>
      </c>
      <c r="K81" s="36"/>
      <c r="L81" s="109">
        <f t="shared" si="120"/>
        <v>1200</v>
      </c>
      <c r="M81" s="9">
        <v>0.0</v>
      </c>
      <c r="N81" s="110">
        <v>0.0</v>
      </c>
      <c r="O81" s="9">
        <v>100.0</v>
      </c>
      <c r="P81" s="9">
        <v>100.0</v>
      </c>
      <c r="Q81" s="9">
        <v>100.0</v>
      </c>
      <c r="R81" s="110">
        <v>100.0</v>
      </c>
      <c r="S81" s="9">
        <v>100.0</v>
      </c>
      <c r="T81" s="110">
        <v>100.0</v>
      </c>
      <c r="U81" s="9">
        <v>100.0</v>
      </c>
      <c r="V81" s="110">
        <v>100.0</v>
      </c>
      <c r="W81" s="9">
        <v>100.0</v>
      </c>
      <c r="X81" s="110">
        <v>100.0</v>
      </c>
      <c r="Y81" s="9">
        <v>100.0</v>
      </c>
      <c r="Z81" s="110">
        <v>100.0</v>
      </c>
      <c r="AA81" s="73" t="s">
        <v>116</v>
      </c>
      <c r="AB81" s="94" t="s">
        <v>181</v>
      </c>
      <c r="AC81" s="36"/>
      <c r="AD81" s="36"/>
      <c r="AE81" s="111"/>
      <c r="AF81" s="112"/>
      <c r="AG81" s="37"/>
      <c r="AH81" s="97"/>
      <c r="AI81" s="14"/>
      <c r="AJ81" s="14"/>
      <c r="AK81" s="14"/>
      <c r="AL81" s="113"/>
      <c r="AM81" s="104" t="s">
        <v>100</v>
      </c>
      <c r="AO81" s="114" t="s">
        <v>101</v>
      </c>
      <c r="AQ81" s="105" t="s">
        <v>102</v>
      </c>
      <c r="AS81" s="105" t="s">
        <v>103</v>
      </c>
      <c r="AU81" s="104" t="s">
        <v>104</v>
      </c>
      <c r="AW81" s="104" t="s">
        <v>105</v>
      </c>
      <c r="AY81" s="104" t="s">
        <v>106</v>
      </c>
      <c r="BA81" s="105" t="s">
        <v>107</v>
      </c>
      <c r="BB81" s="24"/>
    </row>
    <row r="82">
      <c r="A82" s="192">
        <f>A10</f>
        <v>2569</v>
      </c>
      <c r="B82" s="193"/>
      <c r="E82" s="115" t="s">
        <v>110</v>
      </c>
      <c r="F82" s="116" t="s">
        <v>98</v>
      </c>
      <c r="G82" s="115" t="str">
        <f t="shared" ref="G82:H82" si="121">G52</f>
        <v>A12</v>
      </c>
      <c r="H82" s="9" t="str">
        <f t="shared" si="121"/>
        <v>B12</v>
      </c>
      <c r="I82" s="9" t="str">
        <f t="shared" ref="I82:J82" si="122">I46</f>
        <v>A5</v>
      </c>
      <c r="J82" s="9" t="str">
        <f t="shared" si="122"/>
        <v>B11</v>
      </c>
      <c r="K82" s="36"/>
      <c r="L82" s="117"/>
      <c r="M82" s="118" t="str">
        <f t="shared" ref="M82:P82" si="123">C82</f>
        <v/>
      </c>
      <c r="N82" s="119" t="str">
        <f t="shared" si="123"/>
        <v/>
      </c>
      <c r="O82" s="118" t="str">
        <f t="shared" si="123"/>
        <v>A11</v>
      </c>
      <c r="P82" s="118" t="str">
        <f t="shared" si="123"/>
        <v>B2</v>
      </c>
      <c r="Q82" s="118" t="str">
        <f t="shared" ref="Q82:R82" si="124">E83</f>
        <v>B6</v>
      </c>
      <c r="R82" s="119" t="str">
        <f t="shared" si="124"/>
        <v>C5</v>
      </c>
      <c r="S82" s="9" t="s">
        <v>108</v>
      </c>
      <c r="T82" s="110" t="s">
        <v>219</v>
      </c>
      <c r="U82" s="9" t="str">
        <f t="shared" ref="U82:V82" si="125">G82</f>
        <v>A12</v>
      </c>
      <c r="V82" s="119" t="str">
        <f t="shared" si="125"/>
        <v>B12</v>
      </c>
      <c r="W82" s="9" t="str">
        <f t="shared" ref="W82:X82" si="126">W52</f>
        <v>A6</v>
      </c>
      <c r="X82" s="110" t="str">
        <f t="shared" si="126"/>
        <v>A1</v>
      </c>
      <c r="Y82" s="118" t="str">
        <f t="shared" ref="Y82:Z82" si="127">I82</f>
        <v>A5</v>
      </c>
      <c r="Z82" s="120" t="str">
        <f t="shared" si="127"/>
        <v>B11</v>
      </c>
      <c r="AA82" s="73" t="s">
        <v>126</v>
      </c>
      <c r="AB82" s="94" t="s">
        <v>163</v>
      </c>
      <c r="AC82" s="36"/>
      <c r="AD82" s="36"/>
      <c r="AE82" s="111"/>
      <c r="AF82" s="112"/>
      <c r="AG82" s="37"/>
      <c r="AH82" s="97"/>
      <c r="AI82" s="14"/>
      <c r="AJ82" s="14"/>
      <c r="AK82" s="14"/>
      <c r="AL82" s="113"/>
      <c r="AM82" s="104" t="s">
        <v>118</v>
      </c>
      <c r="AO82" s="114" t="s">
        <v>119</v>
      </c>
      <c r="AQ82" s="105" t="s">
        <v>120</v>
      </c>
      <c r="AS82" s="105" t="s">
        <v>121</v>
      </c>
      <c r="AU82" s="104" t="s">
        <v>122</v>
      </c>
      <c r="AW82" s="104" t="s">
        <v>123</v>
      </c>
      <c r="AY82" s="104" t="s">
        <v>124</v>
      </c>
      <c r="BA82" s="105" t="s">
        <v>125</v>
      </c>
      <c r="BB82" s="24"/>
    </row>
    <row r="83">
      <c r="A83" s="192">
        <f>A82-543</f>
        <v>2026</v>
      </c>
      <c r="B83" s="193"/>
      <c r="C83" s="331"/>
      <c r="E83" s="115" t="s">
        <v>126</v>
      </c>
      <c r="F83" s="116" t="s">
        <v>205</v>
      </c>
      <c r="G83" s="115"/>
      <c r="H83" s="118"/>
      <c r="I83" s="118"/>
      <c r="J83" s="118"/>
      <c r="K83" s="36"/>
      <c r="L83" s="117"/>
      <c r="M83" s="326"/>
      <c r="N83" s="327"/>
      <c r="R83" s="117"/>
      <c r="T83" s="117"/>
      <c r="V83" s="117"/>
      <c r="W83" s="9"/>
      <c r="X83" s="110"/>
      <c r="Z83" s="117"/>
      <c r="AA83" s="73" t="s">
        <v>69</v>
      </c>
      <c r="AB83" s="94" t="s">
        <v>99</v>
      </c>
      <c r="AC83" s="36"/>
      <c r="AD83" s="36"/>
      <c r="AE83" s="111"/>
      <c r="AF83" s="112"/>
      <c r="AG83" s="37"/>
      <c r="AH83" s="97"/>
      <c r="AI83" s="14"/>
      <c r="AJ83" s="14"/>
      <c r="AK83" s="14"/>
      <c r="AL83" s="113"/>
      <c r="AM83" s="104" t="s">
        <v>129</v>
      </c>
      <c r="AO83" s="114" t="s">
        <v>130</v>
      </c>
      <c r="AQ83" s="105" t="s">
        <v>131</v>
      </c>
      <c r="AS83" s="105" t="s">
        <v>132</v>
      </c>
      <c r="AU83" s="104" t="s">
        <v>133</v>
      </c>
      <c r="AW83" s="104" t="s">
        <v>134</v>
      </c>
      <c r="AY83" s="104" t="s">
        <v>135</v>
      </c>
      <c r="BA83" s="105" t="s">
        <v>136</v>
      </c>
      <c r="BB83" s="24"/>
    </row>
    <row r="84">
      <c r="A84" s="398" t="s">
        <v>156</v>
      </c>
      <c r="B84" s="206"/>
      <c r="C84" s="123"/>
      <c r="D84" s="123"/>
      <c r="E84" s="176" t="s">
        <v>137</v>
      </c>
      <c r="F84" s="88"/>
      <c r="G84" s="210" t="str">
        <f>G5:H5</f>
        <v>อสูรเดือน W</v>
      </c>
      <c r="I84" s="211" t="str">
        <f>I5:J5</f>
        <v>อสูรปี N</v>
      </c>
      <c r="K84" s="36"/>
      <c r="L84" s="117"/>
      <c r="M84" s="326"/>
      <c r="N84" s="327"/>
      <c r="R84" s="117"/>
      <c r="S84" s="8"/>
      <c r="T84" s="121"/>
      <c r="V84" s="117"/>
      <c r="W84" s="9"/>
      <c r="X84" s="110"/>
      <c r="Z84" s="117"/>
      <c r="AA84" s="127"/>
      <c r="AB84" s="155"/>
      <c r="AC84" s="36"/>
      <c r="AD84" s="36"/>
      <c r="AE84" s="111"/>
      <c r="AF84" s="112"/>
      <c r="AG84" s="37"/>
      <c r="AH84" s="97"/>
      <c r="AI84" s="14"/>
      <c r="AJ84" s="14"/>
      <c r="AK84" s="14"/>
      <c r="AL84" s="113"/>
      <c r="AM84" s="128"/>
      <c r="AO84" s="128"/>
      <c r="AQ84" s="128"/>
      <c r="AS84" s="129"/>
      <c r="AU84" s="130"/>
      <c r="AW84" s="131"/>
      <c r="AY84" s="131"/>
      <c r="BA84" s="131"/>
      <c r="BB84" s="24"/>
    </row>
    <row r="85">
      <c r="A85" s="188" t="s">
        <v>186</v>
      </c>
      <c r="B85" s="189"/>
      <c r="C85" s="63"/>
      <c r="D85" s="63"/>
      <c r="E85" s="64">
        <f>(O86+P86+Q86+R86)/(O87+P87+Q87+R87)</f>
        <v>0.6375</v>
      </c>
      <c r="F85" s="65"/>
      <c r="G85" s="133"/>
      <c r="H85" s="72"/>
      <c r="I85" s="67"/>
      <c r="J85" s="72"/>
      <c r="K85" s="68"/>
      <c r="L85" s="69"/>
      <c r="M85" s="63" t="s">
        <v>64</v>
      </c>
      <c r="N85" s="70"/>
      <c r="O85" s="71" t="s">
        <v>65</v>
      </c>
      <c r="P85" s="72"/>
      <c r="Q85" s="72"/>
      <c r="R85" s="70"/>
      <c r="S85" s="71" t="s">
        <v>66</v>
      </c>
      <c r="T85" s="70"/>
      <c r="U85" s="71" t="s">
        <v>67</v>
      </c>
      <c r="V85" s="70"/>
      <c r="W85" s="71" t="s">
        <v>348</v>
      </c>
      <c r="X85" s="70"/>
      <c r="Y85" s="71" t="s">
        <v>68</v>
      </c>
      <c r="Z85" s="70"/>
      <c r="AA85" s="134" t="s">
        <v>80</v>
      </c>
      <c r="AB85" s="74" t="s">
        <v>159</v>
      </c>
      <c r="AC85" s="75" t="s">
        <v>202</v>
      </c>
      <c r="AD85" s="75" t="s">
        <v>226</v>
      </c>
      <c r="AE85" s="135" t="s">
        <v>142</v>
      </c>
      <c r="AF85" s="74" t="s">
        <v>143</v>
      </c>
      <c r="AG85" s="63" t="s">
        <v>35</v>
      </c>
      <c r="AH85" s="78" t="s">
        <v>36</v>
      </c>
      <c r="AI85" s="79" t="s">
        <v>76</v>
      </c>
      <c r="AJ85" s="79">
        <v>240.0</v>
      </c>
      <c r="AK85" s="79" t="s">
        <v>77</v>
      </c>
      <c r="AL85" s="80" t="str">
        <f>AL79</f>
        <v>開</v>
      </c>
      <c r="AM85" s="81" t="s">
        <v>38</v>
      </c>
      <c r="AN85" s="82" t="str">
        <f>AN79</f>
        <v>休</v>
      </c>
      <c r="AO85" s="81" t="s">
        <v>40</v>
      </c>
      <c r="AP85" s="82" t="s">
        <v>4</v>
      </c>
      <c r="AQ85" s="81" t="s">
        <v>42</v>
      </c>
      <c r="AR85" s="82" t="str">
        <f>AR79</f>
        <v>傷</v>
      </c>
      <c r="AS85" s="81" t="s">
        <v>44</v>
      </c>
      <c r="AT85" s="82" t="s">
        <v>8</v>
      </c>
      <c r="AU85" s="81" t="s">
        <v>46</v>
      </c>
      <c r="AV85" s="82" t="str">
        <f>AV79</f>
        <v>景</v>
      </c>
      <c r="AW85" s="81" t="s">
        <v>48</v>
      </c>
      <c r="AX85" s="82" t="str">
        <f>AX79</f>
        <v>死</v>
      </c>
      <c r="AY85" s="81" t="s">
        <v>50</v>
      </c>
      <c r="AZ85" s="82" t="str">
        <f>AZ79</f>
        <v>驚</v>
      </c>
      <c r="BA85" s="81" t="s">
        <v>52</v>
      </c>
      <c r="BB85" s="83"/>
      <c r="BC85" s="84"/>
      <c r="BD85" s="84"/>
      <c r="BE85" s="84"/>
    </row>
    <row r="86">
      <c r="A86" s="192">
        <f>A80+1</f>
        <v>13</v>
      </c>
      <c r="B86" s="193"/>
      <c r="C86" s="12" t="s">
        <v>146</v>
      </c>
      <c r="E86" s="168" t="s">
        <v>79</v>
      </c>
      <c r="G86" s="374" t="str">
        <f t="shared" ref="G86:G87" si="130">G3:H3</f>
        <v>乙</v>
      </c>
      <c r="I86" s="275" t="str">
        <f t="shared" ref="I86:I87" si="131">I44:J44</f>
        <v>丙</v>
      </c>
      <c r="K86" s="90">
        <f>L86/L87</f>
        <v>0.5666666667</v>
      </c>
      <c r="L86" s="91">
        <f t="shared" ref="L86:L87" si="132">Z86+Y86+X86+W86+V86+U86+T86+S86+R86+Q86+P86+O86</f>
        <v>680</v>
      </c>
      <c r="M86" s="92">
        <v>0.0</v>
      </c>
      <c r="N86" s="93">
        <v>0.0</v>
      </c>
      <c r="O86" s="92">
        <v>65.0</v>
      </c>
      <c r="P86" s="92">
        <v>30.0</v>
      </c>
      <c r="Q86" s="92">
        <v>80.0</v>
      </c>
      <c r="R86" s="93">
        <v>80.0</v>
      </c>
      <c r="S86" s="92">
        <v>25.0</v>
      </c>
      <c r="T86" s="93">
        <v>35.0</v>
      </c>
      <c r="U86" s="92">
        <f t="shared" ref="U86:X86" si="128">U50</f>
        <v>75</v>
      </c>
      <c r="V86" s="93">
        <f t="shared" si="128"/>
        <v>10</v>
      </c>
      <c r="W86" s="92">
        <f t="shared" si="128"/>
        <v>30</v>
      </c>
      <c r="X86" s="93">
        <f t="shared" si="128"/>
        <v>80</v>
      </c>
      <c r="Y86" s="92">
        <f t="shared" ref="Y86:Z86" si="129">Y44</f>
        <v>110</v>
      </c>
      <c r="Z86" s="93">
        <f t="shared" si="129"/>
        <v>60</v>
      </c>
      <c r="AA86" s="73" t="s">
        <v>98</v>
      </c>
      <c r="AB86" s="94" t="s">
        <v>152</v>
      </c>
      <c r="AC86" s="36"/>
      <c r="AD86" s="29" t="s">
        <v>227</v>
      </c>
      <c r="AE86" s="139" t="s">
        <v>148</v>
      </c>
      <c r="AF86" s="96" t="s">
        <v>149</v>
      </c>
      <c r="AG86" s="37"/>
      <c r="AH86" s="97"/>
      <c r="AI86" s="12" t="s">
        <v>84</v>
      </c>
      <c r="AJ86" s="12">
        <v>0.0</v>
      </c>
      <c r="AK86" s="12" t="s">
        <v>85</v>
      </c>
      <c r="AL86" s="98" t="s">
        <v>37</v>
      </c>
      <c r="AM86" s="99" t="s">
        <v>94</v>
      </c>
      <c r="AN86" s="100" t="s">
        <v>51</v>
      </c>
      <c r="AO86" s="101" t="s">
        <v>95</v>
      </c>
      <c r="AP86" s="100" t="s">
        <v>86</v>
      </c>
      <c r="AQ86" s="99" t="s">
        <v>87</v>
      </c>
      <c r="AR86" s="100" t="s">
        <v>88</v>
      </c>
      <c r="AS86" s="101" t="s">
        <v>89</v>
      </c>
      <c r="AT86" s="100" t="s">
        <v>45</v>
      </c>
      <c r="AU86" s="102" t="s">
        <v>90</v>
      </c>
      <c r="AV86" s="100" t="s">
        <v>43</v>
      </c>
      <c r="AW86" s="101" t="s">
        <v>91</v>
      </c>
      <c r="AX86" s="100" t="s">
        <v>41</v>
      </c>
      <c r="AY86" s="103" t="s">
        <v>92</v>
      </c>
      <c r="AZ86" s="100" t="s">
        <v>39</v>
      </c>
      <c r="BA86" s="99" t="s">
        <v>93</v>
      </c>
      <c r="BB86" s="24"/>
    </row>
    <row r="87">
      <c r="A87" s="200" t="str">
        <f>A63</f>
        <v>กรกฎาคม</v>
      </c>
      <c r="B87" s="193"/>
      <c r="C87" s="106" t="s">
        <v>96</v>
      </c>
      <c r="E87" s="107" t="s">
        <v>84</v>
      </c>
      <c r="G87" s="397" t="str">
        <f t="shared" si="130"/>
        <v>未</v>
      </c>
      <c r="I87" s="142" t="str">
        <f t="shared" si="131"/>
        <v>午</v>
      </c>
      <c r="K87" s="36"/>
      <c r="L87" s="109">
        <f t="shared" si="132"/>
        <v>1200</v>
      </c>
      <c r="M87" s="9">
        <v>0.0</v>
      </c>
      <c r="N87" s="110">
        <v>0.0</v>
      </c>
      <c r="O87" s="9">
        <v>100.0</v>
      </c>
      <c r="P87" s="9">
        <v>100.0</v>
      </c>
      <c r="Q87" s="9">
        <v>100.0</v>
      </c>
      <c r="R87" s="110">
        <v>100.0</v>
      </c>
      <c r="S87" s="9">
        <v>100.0</v>
      </c>
      <c r="T87" s="110">
        <v>100.0</v>
      </c>
      <c r="U87" s="9">
        <v>100.0</v>
      </c>
      <c r="V87" s="110">
        <v>100.0</v>
      </c>
      <c r="W87" s="9">
        <v>100.0</v>
      </c>
      <c r="X87" s="110">
        <v>100.0</v>
      </c>
      <c r="Y87" s="9">
        <v>100.0</v>
      </c>
      <c r="Z87" s="110">
        <v>100.0</v>
      </c>
      <c r="AA87" s="73" t="s">
        <v>116</v>
      </c>
      <c r="AB87" s="94" t="s">
        <v>81</v>
      </c>
      <c r="AC87" s="36"/>
      <c r="AD87" s="36"/>
      <c r="AE87" s="111"/>
      <c r="AF87" s="112"/>
      <c r="AG87" s="37"/>
      <c r="AH87" s="97"/>
      <c r="AI87" s="14"/>
      <c r="AJ87" s="14"/>
      <c r="AK87" s="14"/>
      <c r="AL87" s="113"/>
      <c r="AM87" s="104" t="s">
        <v>106</v>
      </c>
      <c r="AO87" s="105" t="s">
        <v>107</v>
      </c>
      <c r="AQ87" s="104" t="s">
        <v>100</v>
      </c>
      <c r="AS87" s="114" t="s">
        <v>101</v>
      </c>
      <c r="AU87" s="105" t="s">
        <v>102</v>
      </c>
      <c r="AW87" s="105" t="s">
        <v>103</v>
      </c>
      <c r="AY87" s="104" t="s">
        <v>104</v>
      </c>
      <c r="BA87" s="104" t="s">
        <v>105</v>
      </c>
      <c r="BB87" s="24"/>
    </row>
    <row r="88">
      <c r="A88" s="192">
        <f>A10</f>
        <v>2569</v>
      </c>
      <c r="B88" s="193"/>
      <c r="E88" s="115" t="s">
        <v>110</v>
      </c>
      <c r="F88" s="116" t="s">
        <v>183</v>
      </c>
      <c r="G88" s="115" t="str">
        <f t="shared" ref="G88:H88" si="133">G52</f>
        <v>A12</v>
      </c>
      <c r="H88" s="9" t="str">
        <f t="shared" si="133"/>
        <v>B12</v>
      </c>
      <c r="I88" s="9" t="str">
        <f t="shared" ref="I88:J88" si="134">I46</f>
        <v>A5</v>
      </c>
      <c r="J88" s="9" t="str">
        <f t="shared" si="134"/>
        <v>B11</v>
      </c>
      <c r="K88" s="36"/>
      <c r="L88" s="117"/>
      <c r="M88" s="118" t="str">
        <f t="shared" ref="M88:P88" si="135">C88</f>
        <v/>
      </c>
      <c r="N88" s="119" t="str">
        <f t="shared" si="135"/>
        <v/>
      </c>
      <c r="O88" s="118" t="str">
        <f t="shared" si="135"/>
        <v>A11</v>
      </c>
      <c r="P88" s="118" t="str">
        <f t="shared" si="135"/>
        <v>B3</v>
      </c>
      <c r="Q88" s="118" t="str">
        <f t="shared" ref="Q88:R88" si="136">E89</f>
        <v>B5</v>
      </c>
      <c r="R88" s="119" t="str">
        <f t="shared" si="136"/>
        <v>C6</v>
      </c>
      <c r="S88" s="9" t="s">
        <v>115</v>
      </c>
      <c r="T88" s="110" t="s">
        <v>198</v>
      </c>
      <c r="U88" s="9" t="str">
        <f t="shared" ref="U88:V88" si="137">G88</f>
        <v>A12</v>
      </c>
      <c r="V88" s="119" t="str">
        <f t="shared" si="137"/>
        <v>B12</v>
      </c>
      <c r="W88" s="9" t="str">
        <f t="shared" ref="W88:X88" si="138">W52</f>
        <v>A6</v>
      </c>
      <c r="X88" s="110" t="str">
        <f t="shared" si="138"/>
        <v>A1</v>
      </c>
      <c r="Y88" s="118" t="str">
        <f t="shared" ref="Y88:Z88" si="139">I88</f>
        <v>A5</v>
      </c>
      <c r="Z88" s="120" t="str">
        <f t="shared" si="139"/>
        <v>B11</v>
      </c>
      <c r="AA88" s="73" t="s">
        <v>126</v>
      </c>
      <c r="AB88" s="94" t="s">
        <v>99</v>
      </c>
      <c r="AC88" s="36"/>
      <c r="AD88" s="36"/>
      <c r="AE88" s="111"/>
      <c r="AF88" s="112"/>
      <c r="AG88" s="37"/>
      <c r="AH88" s="97"/>
      <c r="AI88" s="14"/>
      <c r="AJ88" s="14"/>
      <c r="AK88" s="14"/>
      <c r="AL88" s="113"/>
      <c r="AM88" s="104" t="s">
        <v>124</v>
      </c>
      <c r="AO88" s="105" t="s">
        <v>125</v>
      </c>
      <c r="AQ88" s="104" t="s">
        <v>118</v>
      </c>
      <c r="AS88" s="114" t="s">
        <v>119</v>
      </c>
      <c r="AU88" s="105" t="s">
        <v>120</v>
      </c>
      <c r="AW88" s="105" t="s">
        <v>121</v>
      </c>
      <c r="AY88" s="104" t="s">
        <v>122</v>
      </c>
      <c r="BA88" s="104" t="s">
        <v>123</v>
      </c>
      <c r="BB88" s="24"/>
    </row>
    <row r="89">
      <c r="A89" s="192">
        <f>A88-543</f>
        <v>2026</v>
      </c>
      <c r="B89" s="193"/>
      <c r="C89" s="163"/>
      <c r="E89" s="115" t="s">
        <v>116</v>
      </c>
      <c r="F89" s="116" t="s">
        <v>215</v>
      </c>
      <c r="G89" s="115"/>
      <c r="H89" s="118"/>
      <c r="I89" s="118"/>
      <c r="J89" s="118"/>
      <c r="K89" s="36"/>
      <c r="L89" s="117"/>
      <c r="M89" s="326"/>
      <c r="N89" s="327"/>
      <c r="R89" s="117"/>
      <c r="T89" s="117"/>
      <c r="V89" s="117"/>
      <c r="W89" s="9"/>
      <c r="X89" s="110"/>
      <c r="Z89" s="117"/>
      <c r="AA89" s="73" t="s">
        <v>69</v>
      </c>
      <c r="AB89" s="94" t="s">
        <v>155</v>
      </c>
      <c r="AC89" s="36"/>
      <c r="AD89" s="36"/>
      <c r="AE89" s="111"/>
      <c r="AF89" s="112"/>
      <c r="AG89" s="37"/>
      <c r="AH89" s="97"/>
      <c r="AI89" s="14"/>
      <c r="AJ89" s="14"/>
      <c r="AK89" s="14"/>
      <c r="AL89" s="113"/>
      <c r="AM89" s="104" t="s">
        <v>135</v>
      </c>
      <c r="AO89" s="105" t="s">
        <v>136</v>
      </c>
      <c r="AQ89" s="104" t="s">
        <v>129</v>
      </c>
      <c r="AS89" s="114" t="s">
        <v>130</v>
      </c>
      <c r="AU89" s="105" t="s">
        <v>131</v>
      </c>
      <c r="AW89" s="105" t="s">
        <v>132</v>
      </c>
      <c r="AY89" s="104" t="s">
        <v>133</v>
      </c>
      <c r="BA89" s="104" t="s">
        <v>134</v>
      </c>
      <c r="BB89" s="24"/>
    </row>
    <row r="90">
      <c r="A90" s="279"/>
      <c r="B90" s="206"/>
      <c r="C90" s="123"/>
      <c r="D90" s="123"/>
      <c r="E90" s="176" t="s">
        <v>157</v>
      </c>
      <c r="F90" s="88"/>
      <c r="G90" s="207" t="str">
        <f>G5:H5</f>
        <v>อสูรเดือน W</v>
      </c>
      <c r="I90" s="208" t="str">
        <f>I5:J5</f>
        <v>อสูรปี N</v>
      </c>
      <c r="K90" s="36"/>
      <c r="L90" s="117"/>
      <c r="M90" s="326"/>
      <c r="N90" s="327"/>
      <c r="R90" s="117"/>
      <c r="T90" s="117"/>
      <c r="V90" s="117"/>
      <c r="W90" s="9"/>
      <c r="X90" s="110"/>
      <c r="Z90" s="117"/>
      <c r="AA90" s="127"/>
      <c r="AB90" s="155"/>
      <c r="AC90" s="36"/>
      <c r="AD90" s="36"/>
      <c r="AE90" s="111"/>
      <c r="AF90" s="112"/>
      <c r="AG90" s="37"/>
      <c r="AH90" s="97"/>
      <c r="AI90" s="14"/>
      <c r="AJ90" s="14"/>
      <c r="AK90" s="14"/>
      <c r="AL90" s="113"/>
      <c r="AQ90" s="128"/>
      <c r="BB90" s="24"/>
    </row>
    <row r="91">
      <c r="A91" s="188" t="s">
        <v>191</v>
      </c>
      <c r="B91" s="189"/>
      <c r="C91" s="63"/>
      <c r="D91" s="63"/>
      <c r="E91" s="216">
        <f>(O92+P92+Q92+R92)/(O93+P93+Q93+R93)</f>
        <v>0.575</v>
      </c>
      <c r="F91" s="65"/>
      <c r="G91" s="133"/>
      <c r="H91" s="72"/>
      <c r="I91" s="67"/>
      <c r="J91" s="72"/>
      <c r="K91" s="68"/>
      <c r="L91" s="69"/>
      <c r="M91" s="63" t="s">
        <v>64</v>
      </c>
      <c r="N91" s="70"/>
      <c r="O91" s="71" t="s">
        <v>65</v>
      </c>
      <c r="P91" s="72"/>
      <c r="Q91" s="72"/>
      <c r="R91" s="70"/>
      <c r="S91" s="71" t="s">
        <v>66</v>
      </c>
      <c r="T91" s="70"/>
      <c r="U91" s="71" t="s">
        <v>67</v>
      </c>
      <c r="V91" s="70"/>
      <c r="W91" s="71" t="s">
        <v>348</v>
      </c>
      <c r="X91" s="70"/>
      <c r="Y91" s="71" t="s">
        <v>68</v>
      </c>
      <c r="Z91" s="70"/>
      <c r="AA91" s="134" t="s">
        <v>80</v>
      </c>
      <c r="AB91" s="74" t="s">
        <v>181</v>
      </c>
      <c r="AC91" s="75" t="s">
        <v>202</v>
      </c>
      <c r="AD91" s="75" t="s">
        <v>226</v>
      </c>
      <c r="AE91" s="167" t="s">
        <v>173</v>
      </c>
      <c r="AF91" s="74" t="s">
        <v>174</v>
      </c>
      <c r="AG91" s="63" t="s">
        <v>75</v>
      </c>
      <c r="AH91" s="78" t="s">
        <v>34</v>
      </c>
      <c r="AI91" s="79" t="s">
        <v>32</v>
      </c>
      <c r="AJ91" s="79">
        <v>270.0</v>
      </c>
      <c r="AK91" s="79" t="s">
        <v>145</v>
      </c>
      <c r="AL91" s="80" t="str">
        <f>AL85</f>
        <v>開</v>
      </c>
      <c r="AM91" s="81" t="s">
        <v>40</v>
      </c>
      <c r="AN91" s="82" t="str">
        <f>AN85</f>
        <v>休</v>
      </c>
      <c r="AO91" s="81" t="s">
        <v>42</v>
      </c>
      <c r="AP91" s="82" t="s">
        <v>4</v>
      </c>
      <c r="AQ91" s="81" t="s">
        <v>44</v>
      </c>
      <c r="AR91" s="82" t="str">
        <f>AR85</f>
        <v>傷</v>
      </c>
      <c r="AS91" s="81" t="s">
        <v>46</v>
      </c>
      <c r="AT91" s="82" t="s">
        <v>8</v>
      </c>
      <c r="AU91" s="81" t="s">
        <v>48</v>
      </c>
      <c r="AV91" s="82" t="str">
        <f>AV85</f>
        <v>景</v>
      </c>
      <c r="AW91" s="81" t="s">
        <v>50</v>
      </c>
      <c r="AX91" s="82" t="str">
        <f>AX85</f>
        <v>死</v>
      </c>
      <c r="AY91" s="81" t="s">
        <v>52</v>
      </c>
      <c r="AZ91" s="82" t="str">
        <f>AZ85</f>
        <v>驚</v>
      </c>
      <c r="BA91" s="81" t="s">
        <v>38</v>
      </c>
      <c r="BB91" s="83"/>
      <c r="BC91" s="84"/>
      <c r="BD91" s="84"/>
      <c r="BE91" s="84"/>
    </row>
    <row r="92">
      <c r="A92" s="192">
        <f>A86+1</f>
        <v>14</v>
      </c>
      <c r="B92" s="193"/>
      <c r="C92" s="12" t="s">
        <v>216</v>
      </c>
      <c r="E92" s="168" t="s">
        <v>30</v>
      </c>
      <c r="G92" s="374" t="str">
        <f t="shared" ref="G92:G93" si="142">G3:H3</f>
        <v>乙</v>
      </c>
      <c r="I92" s="275" t="str">
        <f t="shared" ref="I92:I93" si="143">I44:J44</f>
        <v>丙</v>
      </c>
      <c r="K92" s="90">
        <f>L92/L93</f>
        <v>0.6</v>
      </c>
      <c r="L92" s="91">
        <f t="shared" ref="L92:L93" si="144">Z92+Y92+X92+W92+V92+U92+T92+S92+R92+Q92+P92+O92</f>
        <v>720</v>
      </c>
      <c r="M92" s="92">
        <v>0.0</v>
      </c>
      <c r="N92" s="93">
        <v>0.0</v>
      </c>
      <c r="O92" s="92">
        <v>50.0</v>
      </c>
      <c r="P92" s="92">
        <v>100.0</v>
      </c>
      <c r="Q92" s="92">
        <v>0.0</v>
      </c>
      <c r="R92" s="93">
        <v>80.0</v>
      </c>
      <c r="S92" s="92">
        <v>35.0</v>
      </c>
      <c r="T92" s="93">
        <v>90.0</v>
      </c>
      <c r="U92" s="92">
        <f t="shared" ref="U92:X92" si="140">U50</f>
        <v>75</v>
      </c>
      <c r="V92" s="93">
        <f t="shared" si="140"/>
        <v>10</v>
      </c>
      <c r="W92" s="92">
        <f t="shared" si="140"/>
        <v>30</v>
      </c>
      <c r="X92" s="93">
        <f t="shared" si="140"/>
        <v>80</v>
      </c>
      <c r="Y92" s="92">
        <f t="shared" ref="Y92:Z92" si="141">Y44</f>
        <v>110</v>
      </c>
      <c r="Z92" s="93">
        <f t="shared" si="141"/>
        <v>60</v>
      </c>
      <c r="AA92" s="73" t="s">
        <v>98</v>
      </c>
      <c r="AB92" s="94" t="s">
        <v>163</v>
      </c>
      <c r="AC92" s="36"/>
      <c r="AD92" s="29" t="s">
        <v>227</v>
      </c>
      <c r="AE92" s="170" t="s">
        <v>73</v>
      </c>
      <c r="AF92" s="25" t="s">
        <v>74</v>
      </c>
      <c r="AG92" s="97"/>
      <c r="AH92" s="97"/>
      <c r="AI92" s="12" t="s">
        <v>97</v>
      </c>
      <c r="AJ92" s="12">
        <v>330.0</v>
      </c>
      <c r="AK92" s="12" t="s">
        <v>150</v>
      </c>
      <c r="AL92" s="98" t="s">
        <v>86</v>
      </c>
      <c r="AM92" s="99" t="s">
        <v>87</v>
      </c>
      <c r="AN92" s="100" t="s">
        <v>88</v>
      </c>
      <c r="AO92" s="101" t="s">
        <v>89</v>
      </c>
      <c r="AP92" s="100" t="s">
        <v>45</v>
      </c>
      <c r="AQ92" s="102" t="s">
        <v>90</v>
      </c>
      <c r="AR92" s="100" t="s">
        <v>43</v>
      </c>
      <c r="AS92" s="101" t="s">
        <v>91</v>
      </c>
      <c r="AT92" s="100" t="s">
        <v>41</v>
      </c>
      <c r="AU92" s="103" t="s">
        <v>92</v>
      </c>
      <c r="AV92" s="100" t="s">
        <v>39</v>
      </c>
      <c r="AW92" s="99" t="s">
        <v>93</v>
      </c>
      <c r="AX92" s="100" t="s">
        <v>37</v>
      </c>
      <c r="AY92" s="99" t="s">
        <v>94</v>
      </c>
      <c r="AZ92" s="100" t="s">
        <v>51</v>
      </c>
      <c r="BA92" s="101" t="s">
        <v>95</v>
      </c>
      <c r="BB92" s="24"/>
    </row>
    <row r="93">
      <c r="A93" s="215" t="str">
        <f>G2</f>
        <v>กรกฎาคม</v>
      </c>
      <c r="B93" s="193"/>
      <c r="C93" s="161" t="s">
        <v>151</v>
      </c>
      <c r="E93" s="162" t="s">
        <v>53</v>
      </c>
      <c r="G93" s="397" t="str">
        <f t="shared" si="142"/>
        <v>未</v>
      </c>
      <c r="I93" s="142" t="str">
        <f t="shared" si="143"/>
        <v>午</v>
      </c>
      <c r="K93" s="36"/>
      <c r="L93" s="109">
        <f t="shared" si="144"/>
        <v>1200</v>
      </c>
      <c r="M93" s="9">
        <v>0.0</v>
      </c>
      <c r="N93" s="110">
        <v>0.0</v>
      </c>
      <c r="O93" s="9">
        <v>100.0</v>
      </c>
      <c r="P93" s="9">
        <v>100.0</v>
      </c>
      <c r="Q93" s="9">
        <v>100.0</v>
      </c>
      <c r="R93" s="110">
        <v>100.0</v>
      </c>
      <c r="S93" s="9">
        <v>100.0</v>
      </c>
      <c r="T93" s="110">
        <v>100.0</v>
      </c>
      <c r="U93" s="9">
        <v>100.0</v>
      </c>
      <c r="V93" s="110">
        <v>100.0</v>
      </c>
      <c r="W93" s="9">
        <v>100.0</v>
      </c>
      <c r="X93" s="110">
        <v>100.0</v>
      </c>
      <c r="Y93" s="9">
        <v>100.0</v>
      </c>
      <c r="Z93" s="110">
        <v>100.0</v>
      </c>
      <c r="AA93" s="73" t="s">
        <v>116</v>
      </c>
      <c r="AB93" s="94" t="s">
        <v>153</v>
      </c>
      <c r="AC93" s="36"/>
      <c r="AD93" s="36"/>
      <c r="AE93" s="111"/>
      <c r="AF93" s="13"/>
      <c r="AG93" s="280"/>
      <c r="AH93" s="280"/>
      <c r="AI93" s="14"/>
      <c r="AJ93" s="14"/>
      <c r="AK93" s="14"/>
      <c r="AL93" s="113"/>
      <c r="AM93" s="104" t="s">
        <v>100</v>
      </c>
      <c r="AO93" s="114" t="s">
        <v>101</v>
      </c>
      <c r="AQ93" s="105" t="s">
        <v>102</v>
      </c>
      <c r="AS93" s="105" t="s">
        <v>103</v>
      </c>
      <c r="AU93" s="104" t="s">
        <v>104</v>
      </c>
      <c r="AW93" s="104" t="s">
        <v>105</v>
      </c>
      <c r="AY93" s="104" t="s">
        <v>106</v>
      </c>
      <c r="BA93" s="105" t="s">
        <v>107</v>
      </c>
      <c r="BB93" s="24"/>
    </row>
    <row r="94">
      <c r="A94" s="192">
        <f>A10</f>
        <v>2569</v>
      </c>
      <c r="B94" s="193"/>
      <c r="E94" s="115" t="s">
        <v>164</v>
      </c>
      <c r="F94" s="116" t="s">
        <v>109</v>
      </c>
      <c r="G94" s="115" t="str">
        <f t="shared" ref="G94:H94" si="145">G52</f>
        <v>A12</v>
      </c>
      <c r="H94" s="9" t="str">
        <f t="shared" si="145"/>
        <v>B12</v>
      </c>
      <c r="I94" s="9" t="str">
        <f t="shared" ref="I94:J94" si="146">I46</f>
        <v>A5</v>
      </c>
      <c r="J94" s="9" t="str">
        <f t="shared" si="146"/>
        <v>B11</v>
      </c>
      <c r="K94" s="36"/>
      <c r="L94" s="117"/>
      <c r="M94" s="118" t="str">
        <f t="shared" ref="M94:P94" si="147">C94</f>
        <v/>
      </c>
      <c r="N94" s="119" t="str">
        <f t="shared" si="147"/>
        <v/>
      </c>
      <c r="O94" s="118" t="str">
        <f t="shared" si="147"/>
        <v>A9</v>
      </c>
      <c r="P94" s="118" t="str">
        <f t="shared" si="147"/>
        <v>B4</v>
      </c>
      <c r="Q94" s="118" t="str">
        <f t="shared" ref="Q94:R94" si="148">E95</f>
        <v>B4</v>
      </c>
      <c r="R94" s="119" t="str">
        <f t="shared" si="148"/>
        <v>C7</v>
      </c>
      <c r="S94" s="9" t="s">
        <v>198</v>
      </c>
      <c r="T94" s="110" t="s">
        <v>219</v>
      </c>
      <c r="U94" s="9" t="str">
        <f t="shared" ref="U94:V94" si="149">G94</f>
        <v>A12</v>
      </c>
      <c r="V94" s="119" t="str">
        <f t="shared" si="149"/>
        <v>B12</v>
      </c>
      <c r="W94" s="9" t="str">
        <f t="shared" ref="W94:X94" si="150">W52</f>
        <v>A6</v>
      </c>
      <c r="X94" s="110" t="str">
        <f t="shared" si="150"/>
        <v>A1</v>
      </c>
      <c r="Y94" s="118" t="str">
        <f t="shared" ref="Y94:Z94" si="151">I94</f>
        <v>A5</v>
      </c>
      <c r="Z94" s="120" t="str">
        <f t="shared" si="151"/>
        <v>B11</v>
      </c>
      <c r="AA94" s="73" t="s">
        <v>126</v>
      </c>
      <c r="AB94" s="94" t="s">
        <v>155</v>
      </c>
      <c r="AC94" s="36"/>
      <c r="AD94" s="36"/>
      <c r="AE94" s="111"/>
      <c r="AF94" s="112"/>
      <c r="AG94" s="37"/>
      <c r="AH94" s="97"/>
      <c r="AI94" s="14"/>
      <c r="AJ94" s="14"/>
      <c r="AK94" s="14"/>
      <c r="AL94" s="113"/>
      <c r="AM94" s="104" t="s">
        <v>118</v>
      </c>
      <c r="AO94" s="114" t="s">
        <v>119</v>
      </c>
      <c r="AQ94" s="105" t="s">
        <v>120</v>
      </c>
      <c r="AS94" s="105" t="s">
        <v>121</v>
      </c>
      <c r="AU94" s="104" t="s">
        <v>122</v>
      </c>
      <c r="AW94" s="104" t="s">
        <v>123</v>
      </c>
      <c r="AY94" s="104" t="s">
        <v>124</v>
      </c>
      <c r="BA94" s="105" t="s">
        <v>125</v>
      </c>
      <c r="BB94" s="24"/>
    </row>
    <row r="95">
      <c r="A95" s="192">
        <f>A94-543</f>
        <v>2026</v>
      </c>
      <c r="B95" s="193"/>
      <c r="C95" s="396" t="s">
        <v>335</v>
      </c>
      <c r="E95" s="115" t="s">
        <v>109</v>
      </c>
      <c r="F95" s="116" t="s">
        <v>220</v>
      </c>
      <c r="G95" s="115"/>
      <c r="H95" s="118"/>
      <c r="I95" s="118"/>
      <c r="J95" s="118"/>
      <c r="K95" s="36"/>
      <c r="L95" s="117"/>
      <c r="M95" s="326"/>
      <c r="N95" s="327"/>
      <c r="R95" s="117"/>
      <c r="T95" s="117"/>
      <c r="V95" s="117"/>
      <c r="W95" s="9"/>
      <c r="X95" s="110"/>
      <c r="Z95" s="117"/>
      <c r="AA95" s="73" t="s">
        <v>69</v>
      </c>
      <c r="AB95" s="94" t="s">
        <v>128</v>
      </c>
      <c r="AC95" s="36"/>
      <c r="AD95" s="36"/>
      <c r="AE95" s="111"/>
      <c r="AF95" s="112"/>
      <c r="AG95" s="37"/>
      <c r="AH95" s="97"/>
      <c r="AI95" s="14"/>
      <c r="AJ95" s="14"/>
      <c r="AK95" s="14"/>
      <c r="AL95" s="113"/>
      <c r="AM95" s="104" t="s">
        <v>129</v>
      </c>
      <c r="AO95" s="114" t="s">
        <v>130</v>
      </c>
      <c r="AQ95" s="105" t="s">
        <v>131</v>
      </c>
      <c r="AS95" s="105" t="s">
        <v>132</v>
      </c>
      <c r="AU95" s="104" t="s">
        <v>133</v>
      </c>
      <c r="AW95" s="104" t="s">
        <v>134</v>
      </c>
      <c r="AY95" s="104" t="s">
        <v>135</v>
      </c>
      <c r="BA95" s="105" t="s">
        <v>136</v>
      </c>
      <c r="BB95" s="24"/>
    </row>
    <row r="96">
      <c r="A96" s="351"/>
      <c r="B96" s="206"/>
      <c r="C96" s="1" t="s">
        <v>336</v>
      </c>
      <c r="E96" s="164" t="s">
        <v>168</v>
      </c>
      <c r="F96" s="88"/>
      <c r="G96" s="207" t="str">
        <f>G5:H5</f>
        <v>อสูรเดือน W</v>
      </c>
      <c r="I96" s="208" t="str">
        <f>I5:J5</f>
        <v>อสูรปี N</v>
      </c>
      <c r="K96" s="36"/>
      <c r="L96" s="117"/>
      <c r="M96" s="128"/>
      <c r="N96" s="117"/>
      <c r="R96" s="117"/>
      <c r="T96" s="117"/>
      <c r="V96" s="117"/>
      <c r="W96" s="9"/>
      <c r="X96" s="110"/>
      <c r="Z96" s="117"/>
      <c r="AA96" s="127"/>
      <c r="AB96" s="155"/>
      <c r="AC96" s="36"/>
      <c r="AD96" s="36"/>
      <c r="AE96" s="111"/>
      <c r="AF96" s="112"/>
      <c r="AG96" s="37"/>
      <c r="AH96" s="97"/>
      <c r="AI96" s="14"/>
      <c r="AJ96" s="14"/>
      <c r="AK96" s="14"/>
      <c r="AL96" s="113"/>
      <c r="BA96" s="128"/>
      <c r="BB96" s="24"/>
    </row>
    <row r="97">
      <c r="A97" s="188" t="s">
        <v>199</v>
      </c>
      <c r="B97" s="189"/>
      <c r="C97" s="63"/>
      <c r="D97" s="63"/>
      <c r="E97" s="64">
        <f>(O98+P98+Q98+R98)/(O99+P99+Q99+R99)</f>
        <v>0.6125</v>
      </c>
      <c r="F97" s="65"/>
      <c r="G97" s="133"/>
      <c r="H97" s="72"/>
      <c r="I97" s="67"/>
      <c r="J97" s="72"/>
      <c r="K97" s="68"/>
      <c r="L97" s="69"/>
      <c r="M97" s="63" t="s">
        <v>64</v>
      </c>
      <c r="N97" s="70"/>
      <c r="O97" s="71" t="s">
        <v>65</v>
      </c>
      <c r="P97" s="72"/>
      <c r="Q97" s="72"/>
      <c r="R97" s="70"/>
      <c r="S97" s="71" t="s">
        <v>66</v>
      </c>
      <c r="T97" s="70"/>
      <c r="U97" s="71" t="s">
        <v>67</v>
      </c>
      <c r="V97" s="70"/>
      <c r="W97" s="71" t="s">
        <v>348</v>
      </c>
      <c r="X97" s="70"/>
      <c r="Y97" s="71" t="s">
        <v>68</v>
      </c>
      <c r="Z97" s="70"/>
      <c r="AA97" s="134" t="s">
        <v>69</v>
      </c>
      <c r="AB97" s="74" t="s">
        <v>70</v>
      </c>
      <c r="AC97" s="75" t="s">
        <v>32</v>
      </c>
      <c r="AD97" s="75" t="s">
        <v>233</v>
      </c>
      <c r="AE97" s="167" t="s">
        <v>173</v>
      </c>
      <c r="AF97" s="74" t="s">
        <v>174</v>
      </c>
      <c r="AG97" s="63" t="s">
        <v>75</v>
      </c>
      <c r="AH97" s="78" t="s">
        <v>75</v>
      </c>
      <c r="AI97" s="79" t="s">
        <v>97</v>
      </c>
      <c r="AJ97" s="79">
        <v>330.0</v>
      </c>
      <c r="AK97" s="79" t="s">
        <v>150</v>
      </c>
      <c r="AL97" s="80" t="str">
        <f>AL91</f>
        <v>開</v>
      </c>
      <c r="AM97" s="81" t="s">
        <v>46</v>
      </c>
      <c r="AN97" s="82" t="str">
        <f>AN91</f>
        <v>休</v>
      </c>
      <c r="AO97" s="81" t="s">
        <v>48</v>
      </c>
      <c r="AP97" s="82" t="s">
        <v>4</v>
      </c>
      <c r="AQ97" s="81" t="s">
        <v>50</v>
      </c>
      <c r="AR97" s="82" t="str">
        <f>AR91</f>
        <v>傷</v>
      </c>
      <c r="AS97" s="81" t="s">
        <v>52</v>
      </c>
      <c r="AT97" s="82" t="s">
        <v>8</v>
      </c>
      <c r="AU97" s="81" t="s">
        <v>38</v>
      </c>
      <c r="AV97" s="82" t="str">
        <f>AV91</f>
        <v>景</v>
      </c>
      <c r="AW97" s="81" t="s">
        <v>40</v>
      </c>
      <c r="AX97" s="82" t="str">
        <f>AX91</f>
        <v>死</v>
      </c>
      <c r="AY97" s="81" t="s">
        <v>42</v>
      </c>
      <c r="AZ97" s="82" t="str">
        <f>AZ91</f>
        <v>驚</v>
      </c>
      <c r="BA97" s="81" t="s">
        <v>44</v>
      </c>
      <c r="BB97" s="83"/>
      <c r="BC97" s="84"/>
      <c r="BD97" s="84"/>
      <c r="BE97" s="84"/>
    </row>
    <row r="98">
      <c r="A98" s="192">
        <f>A92+1</f>
        <v>15</v>
      </c>
      <c r="B98" s="193"/>
      <c r="C98" s="12" t="s">
        <v>221</v>
      </c>
      <c r="E98" s="194" t="s">
        <v>195</v>
      </c>
      <c r="G98" s="374" t="str">
        <f t="shared" ref="G98:G99" si="154">G3:H3</f>
        <v>乙</v>
      </c>
      <c r="I98" s="275" t="str">
        <f t="shared" ref="I98:I99" si="155">I44:J44</f>
        <v>丙</v>
      </c>
      <c r="K98" s="90">
        <f>L98/L99</f>
        <v>0.6791666667</v>
      </c>
      <c r="L98" s="91">
        <f t="shared" ref="L98:L99" si="156">Z98+Y98+X98+W98+V98+U98+T98+S98+R98+Q98+P98+O98</f>
        <v>815</v>
      </c>
      <c r="M98" s="92">
        <v>0.0</v>
      </c>
      <c r="N98" s="93">
        <v>0.0</v>
      </c>
      <c r="O98" s="92">
        <v>55.0</v>
      </c>
      <c r="P98" s="92">
        <v>90.0</v>
      </c>
      <c r="Q98" s="92">
        <v>90.0</v>
      </c>
      <c r="R98" s="93">
        <v>10.0</v>
      </c>
      <c r="S98" s="92">
        <v>110.0</v>
      </c>
      <c r="T98" s="93">
        <v>95.0</v>
      </c>
      <c r="U98" s="92">
        <f t="shared" ref="U98:X98" si="152">U50</f>
        <v>75</v>
      </c>
      <c r="V98" s="93">
        <f t="shared" si="152"/>
        <v>10</v>
      </c>
      <c r="W98" s="92">
        <f t="shared" si="152"/>
        <v>30</v>
      </c>
      <c r="X98" s="93">
        <f t="shared" si="152"/>
        <v>80</v>
      </c>
      <c r="Y98" s="92">
        <f t="shared" ref="Y98:Z98" si="153">Y44</f>
        <v>110</v>
      </c>
      <c r="Z98" s="93">
        <f t="shared" si="153"/>
        <v>60</v>
      </c>
      <c r="AA98" s="73" t="s">
        <v>80</v>
      </c>
      <c r="AB98" s="94" t="s">
        <v>81</v>
      </c>
      <c r="AC98" s="36"/>
      <c r="AD98" s="29" t="s">
        <v>234</v>
      </c>
      <c r="AE98" s="170" t="s">
        <v>73</v>
      </c>
      <c r="AF98" s="94" t="s">
        <v>74</v>
      </c>
      <c r="AG98" s="37"/>
      <c r="AH98" s="97"/>
      <c r="AI98" s="12" t="s">
        <v>32</v>
      </c>
      <c r="AJ98" s="12">
        <v>270.0</v>
      </c>
      <c r="AK98" s="12" t="s">
        <v>145</v>
      </c>
      <c r="AL98" s="98" t="s">
        <v>43</v>
      </c>
      <c r="AM98" s="101" t="s">
        <v>91</v>
      </c>
      <c r="AN98" s="100" t="s">
        <v>41</v>
      </c>
      <c r="AO98" s="103" t="s">
        <v>92</v>
      </c>
      <c r="AP98" s="100" t="s">
        <v>39</v>
      </c>
      <c r="AQ98" s="99" t="s">
        <v>93</v>
      </c>
      <c r="AR98" s="100" t="s">
        <v>37</v>
      </c>
      <c r="AS98" s="99" t="s">
        <v>94</v>
      </c>
      <c r="AT98" s="100" t="s">
        <v>51</v>
      </c>
      <c r="AU98" s="101" t="s">
        <v>95</v>
      </c>
      <c r="AV98" s="100" t="s">
        <v>86</v>
      </c>
      <c r="AW98" s="99" t="s">
        <v>87</v>
      </c>
      <c r="AX98" s="100" t="s">
        <v>88</v>
      </c>
      <c r="AY98" s="101" t="s">
        <v>89</v>
      </c>
      <c r="AZ98" s="100" t="s">
        <v>45</v>
      </c>
      <c r="BA98" s="102" t="s">
        <v>90</v>
      </c>
      <c r="BB98" s="24"/>
    </row>
    <row r="99">
      <c r="A99" s="215" t="str">
        <f>G2</f>
        <v>กรกฎาคม</v>
      </c>
      <c r="B99" s="193"/>
      <c r="C99" s="161" t="s">
        <v>162</v>
      </c>
      <c r="E99" s="218" t="s">
        <v>180</v>
      </c>
      <c r="G99" s="397" t="str">
        <f t="shared" si="154"/>
        <v>未</v>
      </c>
      <c r="I99" s="142" t="str">
        <f t="shared" si="155"/>
        <v>午</v>
      </c>
      <c r="K99" s="36"/>
      <c r="L99" s="109">
        <f t="shared" si="156"/>
        <v>1200</v>
      </c>
      <c r="M99" s="9">
        <v>0.0</v>
      </c>
      <c r="N99" s="110">
        <v>0.0</v>
      </c>
      <c r="O99" s="9">
        <v>100.0</v>
      </c>
      <c r="P99" s="9">
        <v>100.0</v>
      </c>
      <c r="Q99" s="9">
        <v>100.0</v>
      </c>
      <c r="R99" s="110">
        <v>100.0</v>
      </c>
      <c r="S99" s="9">
        <v>100.0</v>
      </c>
      <c r="T99" s="110">
        <v>100.0</v>
      </c>
      <c r="U99" s="9">
        <v>100.0</v>
      </c>
      <c r="V99" s="110">
        <v>100.0</v>
      </c>
      <c r="W99" s="9">
        <v>100.0</v>
      </c>
      <c r="X99" s="110">
        <v>100.0</v>
      </c>
      <c r="Y99" s="9">
        <v>100.0</v>
      </c>
      <c r="Z99" s="110">
        <v>100.0</v>
      </c>
      <c r="AA99" s="73" t="s">
        <v>98</v>
      </c>
      <c r="AB99" s="94" t="s">
        <v>99</v>
      </c>
      <c r="AC99" s="36"/>
      <c r="AD99" s="36"/>
      <c r="AE99" s="111"/>
      <c r="AF99" s="112"/>
      <c r="AG99" s="37"/>
      <c r="AH99" s="97"/>
      <c r="AI99" s="14"/>
      <c r="AJ99" s="14"/>
      <c r="AK99" s="14"/>
      <c r="AL99" s="113"/>
      <c r="AM99" s="105" t="s">
        <v>103</v>
      </c>
      <c r="AO99" s="104" t="s">
        <v>104</v>
      </c>
      <c r="AQ99" s="104" t="s">
        <v>105</v>
      </c>
      <c r="AS99" s="104" t="s">
        <v>106</v>
      </c>
      <c r="AU99" s="105" t="s">
        <v>107</v>
      </c>
      <c r="AW99" s="104" t="s">
        <v>100</v>
      </c>
      <c r="AY99" s="114" t="s">
        <v>101</v>
      </c>
      <c r="BA99" s="105" t="s">
        <v>102</v>
      </c>
      <c r="BB99" s="24"/>
    </row>
    <row r="100">
      <c r="A100" s="192">
        <f>A10</f>
        <v>2569</v>
      </c>
      <c r="B100" s="193"/>
      <c r="E100" s="115" t="s">
        <v>114</v>
      </c>
      <c r="F100" s="116" t="s">
        <v>116</v>
      </c>
      <c r="G100" s="115" t="str">
        <f t="shared" ref="G100:H100" si="157">G52</f>
        <v>A12</v>
      </c>
      <c r="H100" s="9" t="str">
        <f t="shared" si="157"/>
        <v>B12</v>
      </c>
      <c r="I100" s="9" t="str">
        <f t="shared" ref="I100:J100" si="158">I46</f>
        <v>A5</v>
      </c>
      <c r="J100" s="9" t="str">
        <f t="shared" si="158"/>
        <v>B11</v>
      </c>
      <c r="K100" s="36"/>
      <c r="L100" s="117"/>
      <c r="M100" s="118" t="str">
        <f t="shared" ref="M100:P100" si="159">C100</f>
        <v/>
      </c>
      <c r="N100" s="119" t="str">
        <f t="shared" si="159"/>
        <v/>
      </c>
      <c r="O100" s="118" t="str">
        <f t="shared" si="159"/>
        <v>A10</v>
      </c>
      <c r="P100" s="118" t="str">
        <f t="shared" si="159"/>
        <v>B5</v>
      </c>
      <c r="Q100" s="118" t="str">
        <f t="shared" ref="Q100:R100" si="160">E101</f>
        <v>B3</v>
      </c>
      <c r="R100" s="119" t="str">
        <f t="shared" si="160"/>
        <v>C8</v>
      </c>
      <c r="S100" s="9" t="s">
        <v>204</v>
      </c>
      <c r="T100" s="110" t="s">
        <v>219</v>
      </c>
      <c r="U100" s="9" t="str">
        <f t="shared" ref="U100:V100" si="161">G100</f>
        <v>A12</v>
      </c>
      <c r="V100" s="119" t="str">
        <f t="shared" si="161"/>
        <v>B12</v>
      </c>
      <c r="W100" s="9" t="str">
        <f t="shared" ref="W100:X100" si="162">W52</f>
        <v>A6</v>
      </c>
      <c r="X100" s="110" t="str">
        <f t="shared" si="162"/>
        <v>A1</v>
      </c>
      <c r="Y100" s="118" t="str">
        <f t="shared" ref="Y100:Z100" si="163">I100</f>
        <v>A5</v>
      </c>
      <c r="Z100" s="120" t="str">
        <f t="shared" si="163"/>
        <v>B11</v>
      </c>
      <c r="AA100" s="73" t="s">
        <v>116</v>
      </c>
      <c r="AB100" s="94" t="s">
        <v>117</v>
      </c>
      <c r="AC100" s="36"/>
      <c r="AD100" s="36"/>
      <c r="AE100" s="111"/>
      <c r="AF100" s="112"/>
      <c r="AG100" s="37"/>
      <c r="AH100" s="97"/>
      <c r="AI100" s="14"/>
      <c r="AJ100" s="14"/>
      <c r="AK100" s="14"/>
      <c r="AL100" s="113"/>
      <c r="AM100" s="105" t="s">
        <v>121</v>
      </c>
      <c r="AO100" s="104" t="s">
        <v>122</v>
      </c>
      <c r="AQ100" s="104" t="s">
        <v>123</v>
      </c>
      <c r="AS100" s="104" t="s">
        <v>124</v>
      </c>
      <c r="AU100" s="105" t="s">
        <v>125</v>
      </c>
      <c r="AW100" s="104" t="s">
        <v>118</v>
      </c>
      <c r="AY100" s="114" t="s">
        <v>119</v>
      </c>
      <c r="BA100" s="105" t="s">
        <v>120</v>
      </c>
      <c r="BB100" s="24"/>
    </row>
    <row r="101">
      <c r="A101" s="192">
        <f>A100-543</f>
        <v>2026</v>
      </c>
      <c r="B101" s="193"/>
      <c r="C101" s="181"/>
      <c r="E101" s="115" t="s">
        <v>183</v>
      </c>
      <c r="F101" s="116" t="s">
        <v>225</v>
      </c>
      <c r="G101" s="115"/>
      <c r="H101" s="118"/>
      <c r="I101" s="118"/>
      <c r="J101" s="118"/>
      <c r="K101" s="36"/>
      <c r="L101" s="117"/>
      <c r="M101" s="326"/>
      <c r="N101" s="327"/>
      <c r="R101" s="117"/>
      <c r="T101" s="117"/>
      <c r="V101" s="117"/>
      <c r="W101" s="9"/>
      <c r="X101" s="110"/>
      <c r="Z101" s="117"/>
      <c r="AA101" s="73" t="s">
        <v>126</v>
      </c>
      <c r="AB101" s="94" t="s">
        <v>128</v>
      </c>
      <c r="AC101" s="36"/>
      <c r="AD101" s="36"/>
      <c r="AE101" s="111"/>
      <c r="AF101" s="112"/>
      <c r="AG101" s="37"/>
      <c r="AH101" s="97"/>
      <c r="AI101" s="14"/>
      <c r="AJ101" s="14"/>
      <c r="AK101" s="14"/>
      <c r="AL101" s="113"/>
      <c r="AM101" s="105" t="s">
        <v>132</v>
      </c>
      <c r="AO101" s="104" t="s">
        <v>133</v>
      </c>
      <c r="AQ101" s="104" t="s">
        <v>134</v>
      </c>
      <c r="AS101" s="104" t="s">
        <v>135</v>
      </c>
      <c r="AU101" s="105" t="s">
        <v>136</v>
      </c>
      <c r="AW101" s="104" t="s">
        <v>129</v>
      </c>
      <c r="AY101" s="114" t="s">
        <v>130</v>
      </c>
      <c r="BA101" s="105" t="s">
        <v>131</v>
      </c>
      <c r="BB101" s="24"/>
    </row>
    <row r="102">
      <c r="A102" s="388" t="s">
        <v>242</v>
      </c>
      <c r="B102" s="206"/>
      <c r="C102" s="123"/>
      <c r="D102" s="123"/>
      <c r="E102" s="164" t="s">
        <v>185</v>
      </c>
      <c r="F102" s="88"/>
      <c r="G102" s="207" t="str">
        <f>G5:H5</f>
        <v>อสูรเดือน W</v>
      </c>
      <c r="I102" s="208" t="str">
        <f>I5:J5</f>
        <v>อสูรปี N</v>
      </c>
      <c r="K102" s="36"/>
      <c r="L102" s="117"/>
      <c r="M102" s="326"/>
      <c r="N102" s="327"/>
      <c r="R102" s="117"/>
      <c r="T102" s="117"/>
      <c r="V102" s="117"/>
      <c r="W102" s="9"/>
      <c r="X102" s="110"/>
      <c r="Z102" s="117"/>
      <c r="AA102" s="127"/>
      <c r="AB102" s="155"/>
      <c r="AC102" s="36"/>
      <c r="AD102" s="36"/>
      <c r="AE102" s="111"/>
      <c r="AF102" s="112"/>
      <c r="AG102" s="37"/>
      <c r="AH102" s="97"/>
      <c r="AI102" s="14"/>
      <c r="AJ102" s="14"/>
      <c r="AK102" s="14"/>
      <c r="AL102" s="113"/>
      <c r="AS102" s="128"/>
      <c r="BB102" s="24"/>
    </row>
    <row r="103">
      <c r="A103" s="188" t="s">
        <v>63</v>
      </c>
      <c r="B103" s="189"/>
      <c r="C103" s="63"/>
      <c r="D103" s="63"/>
      <c r="E103" s="64">
        <f>(O104+P104+Q104+R104)/(O105+P105+Q105+R105)</f>
        <v>0.45</v>
      </c>
      <c r="F103" s="65"/>
      <c r="G103" s="133"/>
      <c r="H103" s="72"/>
      <c r="I103" s="67"/>
      <c r="J103" s="72"/>
      <c r="K103" s="68"/>
      <c r="L103" s="69"/>
      <c r="M103" s="63" t="s">
        <v>64</v>
      </c>
      <c r="N103" s="70"/>
      <c r="O103" s="71" t="s">
        <v>65</v>
      </c>
      <c r="P103" s="72"/>
      <c r="Q103" s="72"/>
      <c r="R103" s="70"/>
      <c r="S103" s="71" t="s">
        <v>66</v>
      </c>
      <c r="T103" s="70"/>
      <c r="U103" s="71" t="s">
        <v>67</v>
      </c>
      <c r="V103" s="70"/>
      <c r="W103" s="71" t="s">
        <v>348</v>
      </c>
      <c r="X103" s="70"/>
      <c r="Y103" s="71" t="s">
        <v>68</v>
      </c>
      <c r="Z103" s="70"/>
      <c r="AA103" s="134" t="s">
        <v>116</v>
      </c>
      <c r="AB103" s="74" t="s">
        <v>140</v>
      </c>
      <c r="AC103" s="75" t="s">
        <v>209</v>
      </c>
      <c r="AD103" s="75" t="s">
        <v>238</v>
      </c>
      <c r="AE103" s="76" t="s">
        <v>73</v>
      </c>
      <c r="AF103" s="77" t="s">
        <v>74</v>
      </c>
      <c r="AG103" s="63" t="s">
        <v>34</v>
      </c>
      <c r="AH103" s="78" t="s">
        <v>144</v>
      </c>
      <c r="AI103" s="79" t="s">
        <v>71</v>
      </c>
      <c r="AJ103" s="79">
        <v>210.0</v>
      </c>
      <c r="AK103" s="79" t="s">
        <v>175</v>
      </c>
      <c r="AL103" s="80" t="str">
        <f>AL97</f>
        <v>開</v>
      </c>
      <c r="AM103" s="81" t="s">
        <v>46</v>
      </c>
      <c r="AN103" s="82" t="str">
        <f>AN97</f>
        <v>休</v>
      </c>
      <c r="AO103" s="81" t="s">
        <v>48</v>
      </c>
      <c r="AP103" s="82" t="s">
        <v>4</v>
      </c>
      <c r="AQ103" s="81" t="s">
        <v>50</v>
      </c>
      <c r="AR103" s="82" t="str">
        <f>AR97</f>
        <v>傷</v>
      </c>
      <c r="AS103" s="81" t="s">
        <v>52</v>
      </c>
      <c r="AT103" s="82" t="s">
        <v>8</v>
      </c>
      <c r="AU103" s="81" t="s">
        <v>38</v>
      </c>
      <c r="AV103" s="82" t="str">
        <f>AV97</f>
        <v>景</v>
      </c>
      <c r="AW103" s="81" t="s">
        <v>40</v>
      </c>
      <c r="AX103" s="82" t="str">
        <f>AX97</f>
        <v>死</v>
      </c>
      <c r="AY103" s="81" t="s">
        <v>42</v>
      </c>
      <c r="AZ103" s="82" t="str">
        <f>AZ97</f>
        <v>驚</v>
      </c>
      <c r="BA103" s="81" t="s">
        <v>44</v>
      </c>
      <c r="BB103" s="83"/>
      <c r="BC103" s="84"/>
      <c r="BD103" s="84"/>
      <c r="BE103" s="84"/>
    </row>
    <row r="104">
      <c r="A104" s="192">
        <f>A98+1</f>
        <v>16</v>
      </c>
      <c r="B104" s="193"/>
      <c r="C104" s="12" t="s">
        <v>221</v>
      </c>
      <c r="E104" s="199" t="s">
        <v>201</v>
      </c>
      <c r="G104" s="374" t="str">
        <f t="shared" ref="G104:G105" si="166">G3:H3</f>
        <v>乙</v>
      </c>
      <c r="I104" s="275" t="str">
        <f t="shared" ref="I104:I105" si="167">I44:J44</f>
        <v>丙</v>
      </c>
      <c r="K104" s="90">
        <f>L104/L105</f>
        <v>0.5625</v>
      </c>
      <c r="L104" s="91">
        <f t="shared" ref="L104:L105" si="168">Z104+Y104+X104+W104+V104+U104+T104+S104+R104+Q104+P104+O104</f>
        <v>675</v>
      </c>
      <c r="M104" s="92">
        <v>0.0</v>
      </c>
      <c r="N104" s="93">
        <v>0.0</v>
      </c>
      <c r="O104" s="92">
        <v>60.0</v>
      </c>
      <c r="P104" s="92">
        <v>0.0</v>
      </c>
      <c r="Q104" s="92">
        <v>100.0</v>
      </c>
      <c r="R104" s="93">
        <v>20.0</v>
      </c>
      <c r="S104" s="92">
        <v>100.0</v>
      </c>
      <c r="T104" s="93">
        <v>30.0</v>
      </c>
      <c r="U104" s="92">
        <f t="shared" ref="U104:X104" si="164">U50</f>
        <v>75</v>
      </c>
      <c r="V104" s="93">
        <f t="shared" si="164"/>
        <v>10</v>
      </c>
      <c r="W104" s="92">
        <f t="shared" si="164"/>
        <v>30</v>
      </c>
      <c r="X104" s="93">
        <f t="shared" si="164"/>
        <v>80</v>
      </c>
      <c r="Y104" s="92">
        <f t="shared" ref="Y104:Z104" si="165">Y44</f>
        <v>110</v>
      </c>
      <c r="Z104" s="93">
        <f t="shared" si="165"/>
        <v>60</v>
      </c>
      <c r="AA104" s="73" t="s">
        <v>126</v>
      </c>
      <c r="AB104" s="94" t="s">
        <v>70</v>
      </c>
      <c r="AC104" s="36"/>
      <c r="AD104" s="36"/>
      <c r="AE104" s="95" t="s">
        <v>82</v>
      </c>
      <c r="AF104" s="96" t="s">
        <v>83</v>
      </c>
      <c r="AG104" s="37"/>
      <c r="AH104" s="97"/>
      <c r="AI104" s="12" t="s">
        <v>53</v>
      </c>
      <c r="AJ104" s="12">
        <v>30.0</v>
      </c>
      <c r="AK104" s="12" t="s">
        <v>178</v>
      </c>
      <c r="AL104" s="98" t="s">
        <v>43</v>
      </c>
      <c r="AM104" s="101" t="s">
        <v>91</v>
      </c>
      <c r="AN104" s="100" t="s">
        <v>41</v>
      </c>
      <c r="AO104" s="103" t="s">
        <v>92</v>
      </c>
      <c r="AP104" s="100" t="s">
        <v>39</v>
      </c>
      <c r="AQ104" s="99" t="s">
        <v>93</v>
      </c>
      <c r="AR104" s="100" t="s">
        <v>37</v>
      </c>
      <c r="AS104" s="99" t="s">
        <v>94</v>
      </c>
      <c r="AT104" s="100" t="s">
        <v>51</v>
      </c>
      <c r="AU104" s="101" t="s">
        <v>95</v>
      </c>
      <c r="AV104" s="100" t="s">
        <v>86</v>
      </c>
      <c r="AW104" s="99" t="s">
        <v>87</v>
      </c>
      <c r="AX104" s="100" t="s">
        <v>88</v>
      </c>
      <c r="AY104" s="101" t="s">
        <v>89</v>
      </c>
      <c r="AZ104" s="100" t="s">
        <v>45</v>
      </c>
      <c r="BA104" s="102" t="s">
        <v>90</v>
      </c>
      <c r="BB104" s="24"/>
    </row>
    <row r="105">
      <c r="A105" s="215" t="str">
        <f>G2</f>
        <v>กรกฎาคม</v>
      </c>
      <c r="B105" s="193"/>
      <c r="C105" s="106" t="s">
        <v>162</v>
      </c>
      <c r="E105" s="171" t="s">
        <v>189</v>
      </c>
      <c r="G105" s="397" t="str">
        <f t="shared" si="166"/>
        <v>未</v>
      </c>
      <c r="I105" s="142" t="str">
        <f t="shared" si="167"/>
        <v>午</v>
      </c>
      <c r="K105" s="36"/>
      <c r="L105" s="109">
        <f t="shared" si="168"/>
        <v>1200</v>
      </c>
      <c r="M105" s="9">
        <v>0.0</v>
      </c>
      <c r="N105" s="110">
        <v>0.0</v>
      </c>
      <c r="O105" s="9">
        <v>100.0</v>
      </c>
      <c r="P105" s="9">
        <v>100.0</v>
      </c>
      <c r="Q105" s="9">
        <v>100.0</v>
      </c>
      <c r="R105" s="110">
        <v>100.0</v>
      </c>
      <c r="S105" s="9">
        <v>100.0</v>
      </c>
      <c r="T105" s="110">
        <v>100.0</v>
      </c>
      <c r="U105" s="9">
        <v>100.0</v>
      </c>
      <c r="V105" s="110">
        <v>100.0</v>
      </c>
      <c r="W105" s="9">
        <v>100.0</v>
      </c>
      <c r="X105" s="110">
        <v>100.0</v>
      </c>
      <c r="Y105" s="9">
        <v>100.0</v>
      </c>
      <c r="Z105" s="110">
        <v>100.0</v>
      </c>
      <c r="AA105" s="73" t="s">
        <v>69</v>
      </c>
      <c r="AB105" s="94" t="s">
        <v>152</v>
      </c>
      <c r="AC105" s="36"/>
      <c r="AD105" s="36"/>
      <c r="AE105" s="111"/>
      <c r="AF105" s="112"/>
      <c r="AG105" s="37"/>
      <c r="AH105" s="97"/>
      <c r="AI105" s="14"/>
      <c r="AJ105" s="14"/>
      <c r="AK105" s="14"/>
      <c r="AL105" s="113"/>
      <c r="AM105" s="105" t="s">
        <v>103</v>
      </c>
      <c r="AO105" s="104" t="s">
        <v>104</v>
      </c>
      <c r="AQ105" s="104" t="s">
        <v>105</v>
      </c>
      <c r="AS105" s="104" t="s">
        <v>106</v>
      </c>
      <c r="AU105" s="105" t="s">
        <v>107</v>
      </c>
      <c r="AW105" s="104" t="s">
        <v>100</v>
      </c>
      <c r="AY105" s="114" t="s">
        <v>101</v>
      </c>
      <c r="BA105" s="105" t="s">
        <v>102</v>
      </c>
      <c r="BB105" s="24"/>
    </row>
    <row r="106">
      <c r="A106" s="192">
        <f>A10</f>
        <v>2569</v>
      </c>
      <c r="B106" s="193"/>
      <c r="E106" s="115" t="s">
        <v>114</v>
      </c>
      <c r="F106" s="116" t="s">
        <v>126</v>
      </c>
      <c r="G106" s="115" t="str">
        <f t="shared" ref="G106:H106" si="169">G52</f>
        <v>A12</v>
      </c>
      <c r="H106" s="9" t="str">
        <f t="shared" si="169"/>
        <v>B12</v>
      </c>
      <c r="I106" s="9" t="str">
        <f t="shared" ref="I106:J106" si="170">I46</f>
        <v>A5</v>
      </c>
      <c r="J106" s="9" t="str">
        <f t="shared" si="170"/>
        <v>B11</v>
      </c>
      <c r="K106" s="36"/>
      <c r="L106" s="117"/>
      <c r="M106" s="118" t="str">
        <f t="shared" ref="M106:P106" si="171">C106</f>
        <v/>
      </c>
      <c r="N106" s="119" t="str">
        <f t="shared" si="171"/>
        <v/>
      </c>
      <c r="O106" s="118" t="str">
        <f t="shared" si="171"/>
        <v>A10</v>
      </c>
      <c r="P106" s="118" t="str">
        <f t="shared" si="171"/>
        <v>B6</v>
      </c>
      <c r="Q106" s="118" t="str">
        <f t="shared" ref="Q106:R106" si="172">E107</f>
        <v>B2</v>
      </c>
      <c r="R106" s="119" t="str">
        <f t="shared" si="172"/>
        <v>C9</v>
      </c>
      <c r="S106" s="9" t="s">
        <v>213</v>
      </c>
      <c r="T106" s="110" t="s">
        <v>198</v>
      </c>
      <c r="U106" s="9" t="str">
        <f t="shared" ref="U106:V106" si="173">G106</f>
        <v>A12</v>
      </c>
      <c r="V106" s="119" t="str">
        <f t="shared" si="173"/>
        <v>B12</v>
      </c>
      <c r="W106" s="9" t="str">
        <f t="shared" ref="W106:X106" si="174">W52</f>
        <v>A6</v>
      </c>
      <c r="X106" s="110" t="str">
        <f t="shared" si="174"/>
        <v>A1</v>
      </c>
      <c r="Y106" s="118" t="str">
        <f t="shared" ref="Y106:Z106" si="175">I106</f>
        <v>A5</v>
      </c>
      <c r="Z106" s="120" t="str">
        <f t="shared" si="175"/>
        <v>B11</v>
      </c>
      <c r="AA106" s="73" t="s">
        <v>80</v>
      </c>
      <c r="AB106" s="94" t="s">
        <v>153</v>
      </c>
      <c r="AC106" s="36"/>
      <c r="AD106" s="36"/>
      <c r="AE106" s="111"/>
      <c r="AF106" s="112"/>
      <c r="AG106" s="37"/>
      <c r="AH106" s="97"/>
      <c r="AI106" s="14"/>
      <c r="AJ106" s="14"/>
      <c r="AK106" s="14"/>
      <c r="AL106" s="113"/>
      <c r="AM106" s="105" t="s">
        <v>121</v>
      </c>
      <c r="AO106" s="104" t="s">
        <v>122</v>
      </c>
      <c r="AQ106" s="104" t="s">
        <v>123</v>
      </c>
      <c r="AS106" s="104" t="s">
        <v>124</v>
      </c>
      <c r="AU106" s="105" t="s">
        <v>125</v>
      </c>
      <c r="AW106" s="104" t="s">
        <v>118</v>
      </c>
      <c r="AY106" s="114" t="s">
        <v>119</v>
      </c>
      <c r="BA106" s="105" t="s">
        <v>120</v>
      </c>
      <c r="BB106" s="24"/>
    </row>
    <row r="107">
      <c r="A107" s="192">
        <f>A106-543</f>
        <v>2026</v>
      </c>
      <c r="B107" s="193"/>
      <c r="E107" s="115" t="s">
        <v>98</v>
      </c>
      <c r="F107" s="116" t="s">
        <v>229</v>
      </c>
      <c r="G107" s="115"/>
      <c r="H107" s="118"/>
      <c r="I107" s="118"/>
      <c r="J107" s="118"/>
      <c r="K107" s="36"/>
      <c r="L107" s="117"/>
      <c r="M107" s="326"/>
      <c r="N107" s="327"/>
      <c r="R107" s="117"/>
      <c r="T107" s="117"/>
      <c r="V107" s="117"/>
      <c r="W107" s="9"/>
      <c r="X107" s="110"/>
      <c r="Z107" s="117"/>
      <c r="AA107" s="73" t="s">
        <v>98</v>
      </c>
      <c r="AB107" s="94" t="s">
        <v>155</v>
      </c>
      <c r="AC107" s="36"/>
      <c r="AD107" s="36"/>
      <c r="AE107" s="111"/>
      <c r="AF107" s="112"/>
      <c r="AG107" s="37"/>
      <c r="AH107" s="97"/>
      <c r="AI107" s="14"/>
      <c r="AJ107" s="14"/>
      <c r="AK107" s="14"/>
      <c r="AL107" s="113"/>
      <c r="AM107" s="105" t="s">
        <v>132</v>
      </c>
      <c r="AO107" s="104" t="s">
        <v>133</v>
      </c>
      <c r="AQ107" s="104" t="s">
        <v>134</v>
      </c>
      <c r="AS107" s="104" t="s">
        <v>135</v>
      </c>
      <c r="AU107" s="105" t="s">
        <v>136</v>
      </c>
      <c r="AW107" s="104" t="s">
        <v>129</v>
      </c>
      <c r="AY107" s="114" t="s">
        <v>130</v>
      </c>
      <c r="BA107" s="105" t="s">
        <v>131</v>
      </c>
      <c r="BB107" s="24"/>
    </row>
    <row r="108">
      <c r="A108" s="381" t="s">
        <v>331</v>
      </c>
      <c r="B108" s="206"/>
      <c r="C108" s="123"/>
      <c r="D108" s="123"/>
      <c r="E108" s="176" t="s">
        <v>137</v>
      </c>
      <c r="F108" s="88"/>
      <c r="G108" s="210" t="str">
        <f>G5:H5</f>
        <v>อสูรเดือน W</v>
      </c>
      <c r="I108" s="334"/>
      <c r="K108" s="36"/>
      <c r="L108" s="117"/>
      <c r="M108" s="326"/>
      <c r="N108" s="327"/>
      <c r="R108" s="117"/>
      <c r="T108" s="117"/>
      <c r="V108" s="117"/>
      <c r="W108" s="9"/>
      <c r="X108" s="110"/>
      <c r="Z108" s="117"/>
      <c r="AA108" s="127"/>
      <c r="AB108" s="155"/>
      <c r="AC108" s="36"/>
      <c r="AD108" s="36"/>
      <c r="AE108" s="111"/>
      <c r="AF108" s="112"/>
      <c r="AG108" s="37"/>
      <c r="AH108" s="97"/>
      <c r="AI108" s="14"/>
      <c r="AJ108" s="14"/>
      <c r="AK108" s="14"/>
      <c r="AL108" s="113"/>
      <c r="AO108" s="128"/>
      <c r="BB108" s="24"/>
    </row>
    <row r="109">
      <c r="A109" s="188" t="s">
        <v>139</v>
      </c>
      <c r="B109" s="189"/>
      <c r="C109" s="63"/>
      <c r="D109" s="63"/>
      <c r="E109" s="64">
        <f>(O110+P110+Q110+R110)/(O111+P111+Q111+R111)</f>
        <v>0.675</v>
      </c>
      <c r="F109" s="65"/>
      <c r="G109" s="133"/>
      <c r="H109" s="72"/>
      <c r="I109" s="67"/>
      <c r="J109" s="72"/>
      <c r="K109" s="68"/>
      <c r="L109" s="69"/>
      <c r="M109" s="63" t="s">
        <v>64</v>
      </c>
      <c r="N109" s="70"/>
      <c r="O109" s="71" t="s">
        <v>65</v>
      </c>
      <c r="P109" s="72"/>
      <c r="Q109" s="72"/>
      <c r="R109" s="70"/>
      <c r="S109" s="71" t="s">
        <v>66</v>
      </c>
      <c r="T109" s="70"/>
      <c r="U109" s="71" t="s">
        <v>67</v>
      </c>
      <c r="V109" s="70"/>
      <c r="W109" s="71" t="s">
        <v>348</v>
      </c>
      <c r="X109" s="70"/>
      <c r="Y109" s="71" t="s">
        <v>68</v>
      </c>
      <c r="Z109" s="70"/>
      <c r="AA109" s="134" t="s">
        <v>116</v>
      </c>
      <c r="AB109" s="74" t="s">
        <v>159</v>
      </c>
      <c r="AC109" s="75" t="s">
        <v>32</v>
      </c>
      <c r="AD109" s="75" t="s">
        <v>233</v>
      </c>
      <c r="AE109" s="76" t="s">
        <v>73</v>
      </c>
      <c r="AF109" s="77" t="s">
        <v>74</v>
      </c>
      <c r="AG109" s="63" t="s">
        <v>34</v>
      </c>
      <c r="AH109" s="78" t="s">
        <v>36</v>
      </c>
      <c r="AI109" s="79" t="s">
        <v>84</v>
      </c>
      <c r="AJ109" s="79">
        <v>0.0</v>
      </c>
      <c r="AK109" s="79" t="s">
        <v>85</v>
      </c>
      <c r="AL109" s="80" t="str">
        <f>AL103</f>
        <v>開</v>
      </c>
      <c r="AM109" s="81" t="s">
        <v>40</v>
      </c>
      <c r="AN109" s="82" t="str">
        <f>AN103</f>
        <v>休</v>
      </c>
      <c r="AO109" s="81" t="s">
        <v>42</v>
      </c>
      <c r="AP109" s="82" t="s">
        <v>4</v>
      </c>
      <c r="AQ109" s="81" t="s">
        <v>44</v>
      </c>
      <c r="AR109" s="82" t="str">
        <f>AR103</f>
        <v>傷</v>
      </c>
      <c r="AS109" s="81" t="s">
        <v>46</v>
      </c>
      <c r="AT109" s="82" t="s">
        <v>8</v>
      </c>
      <c r="AU109" s="81" t="s">
        <v>48</v>
      </c>
      <c r="AV109" s="82" t="str">
        <f>AV103</f>
        <v>景</v>
      </c>
      <c r="AW109" s="81" t="s">
        <v>50</v>
      </c>
      <c r="AX109" s="82" t="str">
        <f>AX103</f>
        <v>死</v>
      </c>
      <c r="AY109" s="81" t="s">
        <v>52</v>
      </c>
      <c r="AZ109" s="82" t="str">
        <f>AZ103</f>
        <v>驚</v>
      </c>
      <c r="BA109" s="81" t="s">
        <v>38</v>
      </c>
      <c r="BB109" s="83"/>
      <c r="BC109" s="84"/>
      <c r="BD109" s="84"/>
      <c r="BE109" s="84"/>
    </row>
    <row r="110">
      <c r="A110" s="192">
        <f>A104+1</f>
        <v>17</v>
      </c>
      <c r="B110" s="193"/>
      <c r="C110" s="12" t="s">
        <v>216</v>
      </c>
      <c r="E110" s="203" t="s">
        <v>209</v>
      </c>
      <c r="G110" s="374" t="str">
        <f t="shared" ref="G110:G111" si="178">G3:H3</f>
        <v>乙</v>
      </c>
      <c r="I110" s="275" t="str">
        <f t="shared" ref="I110:I111" si="179">I44:J44</f>
        <v>丙</v>
      </c>
      <c r="K110" s="90">
        <f>L110/L111</f>
        <v>0.6625</v>
      </c>
      <c r="L110" s="91">
        <f t="shared" ref="L110:L111" si="180">Z110+Y110+X110+W110+V110+U110+T110+S110+R110+Q110+P110+O110</f>
        <v>795</v>
      </c>
      <c r="M110" s="92">
        <v>0.0</v>
      </c>
      <c r="N110" s="93">
        <v>0.0</v>
      </c>
      <c r="O110" s="92">
        <v>50.0</v>
      </c>
      <c r="P110" s="92">
        <v>90.0</v>
      </c>
      <c r="Q110" s="92">
        <v>30.0</v>
      </c>
      <c r="R110" s="93">
        <v>100.0</v>
      </c>
      <c r="S110" s="92">
        <v>95.0</v>
      </c>
      <c r="T110" s="93">
        <v>65.0</v>
      </c>
      <c r="U110" s="92">
        <f t="shared" ref="U110:X110" si="176">U50</f>
        <v>75</v>
      </c>
      <c r="V110" s="93">
        <f t="shared" si="176"/>
        <v>10</v>
      </c>
      <c r="W110" s="92">
        <f t="shared" si="176"/>
        <v>30</v>
      </c>
      <c r="X110" s="93">
        <f t="shared" si="176"/>
        <v>80</v>
      </c>
      <c r="Y110" s="92">
        <f t="shared" ref="Y110:Z110" si="177">Y44</f>
        <v>110</v>
      </c>
      <c r="Z110" s="93">
        <f t="shared" si="177"/>
        <v>60</v>
      </c>
      <c r="AA110" s="73" t="s">
        <v>126</v>
      </c>
      <c r="AB110" s="94" t="s">
        <v>152</v>
      </c>
      <c r="AC110" s="36"/>
      <c r="AD110" s="29" t="s">
        <v>234</v>
      </c>
      <c r="AE110" s="95" t="s">
        <v>82</v>
      </c>
      <c r="AF110" s="96" t="s">
        <v>83</v>
      </c>
      <c r="AG110" s="37"/>
      <c r="AH110" s="97"/>
      <c r="AI110" s="12" t="s">
        <v>76</v>
      </c>
      <c r="AJ110" s="12">
        <v>240.0</v>
      </c>
      <c r="AK110" s="12" t="s">
        <v>77</v>
      </c>
      <c r="AL110" s="98" t="s">
        <v>88</v>
      </c>
      <c r="AM110" s="101" t="s">
        <v>89</v>
      </c>
      <c r="AN110" s="100" t="s">
        <v>45</v>
      </c>
      <c r="AO110" s="102" t="s">
        <v>90</v>
      </c>
      <c r="AP110" s="100" t="s">
        <v>43</v>
      </c>
      <c r="AQ110" s="101" t="s">
        <v>91</v>
      </c>
      <c r="AR110" s="100" t="s">
        <v>41</v>
      </c>
      <c r="AS110" s="103" t="s">
        <v>92</v>
      </c>
      <c r="AT110" s="100" t="s">
        <v>39</v>
      </c>
      <c r="AU110" s="99" t="s">
        <v>93</v>
      </c>
      <c r="AV110" s="100" t="s">
        <v>37</v>
      </c>
      <c r="AW110" s="99" t="s">
        <v>94</v>
      </c>
      <c r="AX110" s="100" t="s">
        <v>51</v>
      </c>
      <c r="AY110" s="101" t="s">
        <v>95</v>
      </c>
      <c r="AZ110" s="100" t="s">
        <v>86</v>
      </c>
      <c r="BA110" s="99" t="s">
        <v>87</v>
      </c>
      <c r="BB110" s="24"/>
    </row>
    <row r="111">
      <c r="A111" s="215" t="str">
        <f>G2</f>
        <v>กรกฎาคม</v>
      </c>
      <c r="B111" s="193"/>
      <c r="C111" s="175" t="s">
        <v>188</v>
      </c>
      <c r="E111" s="162" t="s">
        <v>197</v>
      </c>
      <c r="G111" s="397" t="str">
        <f t="shared" si="178"/>
        <v>未</v>
      </c>
      <c r="I111" s="142" t="str">
        <f t="shared" si="179"/>
        <v>午</v>
      </c>
      <c r="K111" s="36"/>
      <c r="L111" s="109">
        <f t="shared" si="180"/>
        <v>1200</v>
      </c>
      <c r="M111" s="9">
        <v>0.0</v>
      </c>
      <c r="N111" s="110">
        <v>0.0</v>
      </c>
      <c r="O111" s="9">
        <v>100.0</v>
      </c>
      <c r="P111" s="9">
        <v>100.0</v>
      </c>
      <c r="Q111" s="9">
        <v>100.0</v>
      </c>
      <c r="R111" s="110">
        <v>100.0</v>
      </c>
      <c r="S111" s="9">
        <v>100.0</v>
      </c>
      <c r="T111" s="110">
        <v>100.0</v>
      </c>
      <c r="U111" s="9">
        <v>100.0</v>
      </c>
      <c r="V111" s="110">
        <v>100.0</v>
      </c>
      <c r="W111" s="9">
        <v>100.0</v>
      </c>
      <c r="X111" s="110">
        <v>100.0</v>
      </c>
      <c r="Y111" s="9">
        <v>100.0</v>
      </c>
      <c r="Z111" s="110">
        <v>100.0</v>
      </c>
      <c r="AA111" s="73" t="s">
        <v>69</v>
      </c>
      <c r="AB111" s="94" t="s">
        <v>163</v>
      </c>
      <c r="AC111" s="36"/>
      <c r="AD111" s="36"/>
      <c r="AE111" s="111"/>
      <c r="AF111" s="112"/>
      <c r="AG111" s="37"/>
      <c r="AH111" s="97"/>
      <c r="AI111" s="14"/>
      <c r="AJ111" s="14"/>
      <c r="AK111" s="14"/>
      <c r="AL111" s="113"/>
      <c r="AM111" s="114" t="s">
        <v>101</v>
      </c>
      <c r="AO111" s="105" t="s">
        <v>102</v>
      </c>
      <c r="AQ111" s="105" t="s">
        <v>103</v>
      </c>
      <c r="AS111" s="104" t="s">
        <v>104</v>
      </c>
      <c r="AU111" s="104" t="s">
        <v>105</v>
      </c>
      <c r="AW111" s="104" t="s">
        <v>106</v>
      </c>
      <c r="AY111" s="105" t="s">
        <v>107</v>
      </c>
      <c r="BA111" s="104" t="s">
        <v>100</v>
      </c>
      <c r="BB111" s="24"/>
    </row>
    <row r="112">
      <c r="A112" s="192">
        <v>2569.0</v>
      </c>
      <c r="B112" s="193"/>
      <c r="E112" s="115" t="s">
        <v>164</v>
      </c>
      <c r="F112" s="116" t="s">
        <v>111</v>
      </c>
      <c r="G112" s="115" t="str">
        <f t="shared" ref="G112:H112" si="181">G52</f>
        <v>A12</v>
      </c>
      <c r="H112" s="9" t="str">
        <f t="shared" si="181"/>
        <v>B12</v>
      </c>
      <c r="I112" s="9" t="str">
        <f t="shared" ref="I112:J112" si="182">I46</f>
        <v>A5</v>
      </c>
      <c r="J112" s="9" t="str">
        <f t="shared" si="182"/>
        <v>B11</v>
      </c>
      <c r="K112" s="36"/>
      <c r="L112" s="117"/>
      <c r="M112" s="118" t="str">
        <f t="shared" ref="M112:P112" si="183">C112</f>
        <v/>
      </c>
      <c r="N112" s="119" t="str">
        <f t="shared" si="183"/>
        <v/>
      </c>
      <c r="O112" s="118" t="str">
        <f t="shared" si="183"/>
        <v>A9</v>
      </c>
      <c r="P112" s="118" t="str">
        <f t="shared" si="183"/>
        <v>B7</v>
      </c>
      <c r="Q112" s="118" t="str">
        <f t="shared" ref="Q112:R112" si="184">E113</f>
        <v>B1</v>
      </c>
      <c r="R112" s="119" t="str">
        <f t="shared" si="184"/>
        <v>C10</v>
      </c>
      <c r="S112" s="9" t="s">
        <v>219</v>
      </c>
      <c r="T112" s="110" t="s">
        <v>165</v>
      </c>
      <c r="U112" s="9" t="str">
        <f t="shared" ref="U112:V112" si="185">G112</f>
        <v>A12</v>
      </c>
      <c r="V112" s="119" t="str">
        <f t="shared" si="185"/>
        <v>B12</v>
      </c>
      <c r="W112" s="9" t="str">
        <f t="shared" ref="W112:X112" si="186">W52</f>
        <v>A6</v>
      </c>
      <c r="X112" s="110" t="str">
        <f t="shared" si="186"/>
        <v>A1</v>
      </c>
      <c r="Y112" s="118" t="str">
        <f t="shared" ref="Y112:Z112" si="187">I112</f>
        <v>A5</v>
      </c>
      <c r="Z112" s="120" t="str">
        <f t="shared" si="187"/>
        <v>B11</v>
      </c>
      <c r="AA112" s="73" t="s">
        <v>80</v>
      </c>
      <c r="AB112" s="94" t="s">
        <v>117</v>
      </c>
      <c r="AC112" s="36"/>
      <c r="AD112" s="36"/>
      <c r="AE112" s="111"/>
      <c r="AF112" s="112"/>
      <c r="AG112" s="37"/>
      <c r="AH112" s="97"/>
      <c r="AI112" s="14"/>
      <c r="AJ112" s="14"/>
      <c r="AK112" s="14"/>
      <c r="AL112" s="113"/>
      <c r="AM112" s="114" t="s">
        <v>119</v>
      </c>
      <c r="AO112" s="105" t="s">
        <v>120</v>
      </c>
      <c r="AQ112" s="105" t="s">
        <v>121</v>
      </c>
      <c r="AS112" s="104" t="s">
        <v>122</v>
      </c>
      <c r="AU112" s="104" t="s">
        <v>123</v>
      </c>
      <c r="AW112" s="104" t="s">
        <v>124</v>
      </c>
      <c r="AY112" s="105" t="s">
        <v>125</v>
      </c>
      <c r="BA112" s="104" t="s">
        <v>118</v>
      </c>
      <c r="BB112" s="24"/>
    </row>
    <row r="113">
      <c r="A113" s="192">
        <f>A112-543</f>
        <v>2026</v>
      </c>
      <c r="B113" s="193"/>
      <c r="E113" s="115" t="s">
        <v>80</v>
      </c>
      <c r="F113" s="116" t="s">
        <v>232</v>
      </c>
      <c r="G113" s="115"/>
      <c r="H113" s="118"/>
      <c r="I113" s="118"/>
      <c r="J113" s="118"/>
      <c r="K113" s="36"/>
      <c r="L113" s="117"/>
      <c r="M113" s="326"/>
      <c r="N113" s="327"/>
      <c r="R113" s="117"/>
      <c r="T113" s="117"/>
      <c r="V113" s="117"/>
      <c r="W113" s="9"/>
      <c r="X113" s="110"/>
      <c r="Z113" s="117"/>
      <c r="AA113" s="73" t="s">
        <v>98</v>
      </c>
      <c r="AB113" s="94" t="s">
        <v>128</v>
      </c>
      <c r="AC113" s="36"/>
      <c r="AD113" s="36"/>
      <c r="AE113" s="111"/>
      <c r="AF113" s="112"/>
      <c r="AG113" s="37"/>
      <c r="AH113" s="97"/>
      <c r="AI113" s="14"/>
      <c r="AJ113" s="14"/>
      <c r="AK113" s="14"/>
      <c r="AL113" s="113"/>
      <c r="AM113" s="114" t="s">
        <v>130</v>
      </c>
      <c r="AO113" s="105" t="s">
        <v>131</v>
      </c>
      <c r="AQ113" s="105" t="s">
        <v>132</v>
      </c>
      <c r="AS113" s="104" t="s">
        <v>133</v>
      </c>
      <c r="AU113" s="104" t="s">
        <v>134</v>
      </c>
      <c r="AW113" s="104" t="s">
        <v>135</v>
      </c>
      <c r="AY113" s="105" t="s">
        <v>136</v>
      </c>
      <c r="BA113" s="104" t="s">
        <v>129</v>
      </c>
      <c r="BB113" s="24"/>
    </row>
    <row r="114">
      <c r="A114" s="370"/>
      <c r="B114" s="206"/>
      <c r="C114" s="123"/>
      <c r="D114" s="123"/>
      <c r="E114" s="176" t="s">
        <v>157</v>
      </c>
      <c r="F114" s="88"/>
      <c r="G114" s="207" t="str">
        <f>G5:H5</f>
        <v>อสูรเดือน W</v>
      </c>
      <c r="I114" s="208" t="str">
        <f>I5:J5</f>
        <v>อสูรปี N</v>
      </c>
      <c r="K114" s="36"/>
      <c r="L114" s="117"/>
      <c r="M114" s="128"/>
      <c r="N114" s="117"/>
      <c r="R114" s="117"/>
      <c r="T114" s="117"/>
      <c r="V114" s="117"/>
      <c r="W114" s="9"/>
      <c r="X114" s="110"/>
      <c r="Z114" s="117"/>
      <c r="AA114" s="127"/>
      <c r="AB114" s="155"/>
      <c r="AC114" s="36"/>
      <c r="AD114" s="36"/>
      <c r="AE114" s="111"/>
      <c r="AF114" s="112"/>
      <c r="AG114" s="37"/>
      <c r="AH114" s="97"/>
      <c r="AI114" s="14"/>
      <c r="AJ114" s="14"/>
      <c r="AK114" s="14"/>
      <c r="AL114" s="113"/>
      <c r="AW114" s="128"/>
      <c r="BB114" s="24"/>
    </row>
    <row r="115">
      <c r="A115" s="188" t="s">
        <v>158</v>
      </c>
      <c r="B115" s="189"/>
      <c r="C115" s="63"/>
      <c r="D115" s="63"/>
      <c r="E115" s="64">
        <f>(O116+P116+Q116+R116)/(O117+P117+Q117+R117)</f>
        <v>0.25</v>
      </c>
      <c r="F115" s="65"/>
      <c r="G115" s="133"/>
      <c r="H115" s="72"/>
      <c r="I115" s="67"/>
      <c r="J115" s="72"/>
      <c r="K115" s="68"/>
      <c r="L115" s="69"/>
      <c r="M115" s="63" t="s">
        <v>64</v>
      </c>
      <c r="N115" s="70"/>
      <c r="O115" s="71" t="s">
        <v>65</v>
      </c>
      <c r="P115" s="72"/>
      <c r="Q115" s="72"/>
      <c r="R115" s="70"/>
      <c r="S115" s="71" t="s">
        <v>66</v>
      </c>
      <c r="T115" s="70"/>
      <c r="U115" s="71" t="s">
        <v>67</v>
      </c>
      <c r="V115" s="70"/>
      <c r="W115" s="71" t="s">
        <v>348</v>
      </c>
      <c r="X115" s="70"/>
      <c r="Y115" s="71" t="s">
        <v>68</v>
      </c>
      <c r="Z115" s="70"/>
      <c r="AA115" s="134" t="s">
        <v>80</v>
      </c>
      <c r="AB115" s="74" t="s">
        <v>170</v>
      </c>
      <c r="AC115" s="75" t="s">
        <v>201</v>
      </c>
      <c r="AD115" s="75" t="s">
        <v>240</v>
      </c>
      <c r="AE115" s="202" t="s">
        <v>142</v>
      </c>
      <c r="AF115" s="74" t="s">
        <v>143</v>
      </c>
      <c r="AG115" s="63" t="s">
        <v>36</v>
      </c>
      <c r="AH115" s="78" t="s">
        <v>34</v>
      </c>
      <c r="AI115" s="79" t="s">
        <v>53</v>
      </c>
      <c r="AJ115" s="79">
        <v>30.0</v>
      </c>
      <c r="AK115" s="79" t="s">
        <v>178</v>
      </c>
      <c r="AL115" s="80" t="str">
        <f>AL109</f>
        <v>開</v>
      </c>
      <c r="AM115" s="81" t="s">
        <v>46</v>
      </c>
      <c r="AN115" s="82" t="str">
        <f>AN109</f>
        <v>休</v>
      </c>
      <c r="AO115" s="81" t="s">
        <v>48</v>
      </c>
      <c r="AP115" s="82" t="str">
        <f>AP109</f>
        <v>生</v>
      </c>
      <c r="AQ115" s="81" t="s">
        <v>50</v>
      </c>
      <c r="AR115" s="82" t="str">
        <f>AR109</f>
        <v>傷</v>
      </c>
      <c r="AS115" s="81" t="s">
        <v>52</v>
      </c>
      <c r="AT115" s="82" t="str">
        <f>AT109</f>
        <v>杜</v>
      </c>
      <c r="AU115" s="81" t="s">
        <v>38</v>
      </c>
      <c r="AV115" s="82" t="str">
        <f>AV109</f>
        <v>景</v>
      </c>
      <c r="AW115" s="81" t="s">
        <v>40</v>
      </c>
      <c r="AX115" s="82" t="str">
        <f>AX109</f>
        <v>死</v>
      </c>
      <c r="AY115" s="81" t="s">
        <v>42</v>
      </c>
      <c r="AZ115" s="82" t="str">
        <f>AZ109</f>
        <v>驚</v>
      </c>
      <c r="BA115" s="81" t="s">
        <v>44</v>
      </c>
      <c r="BB115" s="83"/>
      <c r="BC115" s="84"/>
      <c r="BD115" s="84"/>
      <c r="BE115" s="84"/>
    </row>
    <row r="116">
      <c r="A116" s="192">
        <f>A110+1</f>
        <v>18</v>
      </c>
      <c r="B116" s="193"/>
      <c r="C116" s="12" t="s">
        <v>146</v>
      </c>
      <c r="E116" s="203" t="s">
        <v>171</v>
      </c>
      <c r="G116" s="374" t="str">
        <f t="shared" ref="G116:G117" si="190">G3:H3</f>
        <v>乙</v>
      </c>
      <c r="I116" s="275" t="str">
        <f t="shared" ref="I116:I117" si="191">I44:J44</f>
        <v>丙</v>
      </c>
      <c r="K116" s="90">
        <f>L116/L117</f>
        <v>0.4541666667</v>
      </c>
      <c r="L116" s="91">
        <f t="shared" ref="L116:L117" si="192">Z116+Y116+X116+W116+V116+U116+T116+S116+R116+Q116+P116+O116</f>
        <v>545</v>
      </c>
      <c r="M116" s="92">
        <v>0.0</v>
      </c>
      <c r="N116" s="93">
        <v>0.0</v>
      </c>
      <c r="O116" s="92">
        <v>0.0</v>
      </c>
      <c r="P116" s="92">
        <v>50.0</v>
      </c>
      <c r="Q116" s="92">
        <v>20.0</v>
      </c>
      <c r="R116" s="93">
        <v>30.0</v>
      </c>
      <c r="S116" s="92">
        <v>35.0</v>
      </c>
      <c r="T116" s="93">
        <v>45.0</v>
      </c>
      <c r="U116" s="92">
        <f t="shared" ref="U116:X116" si="188">U50</f>
        <v>75</v>
      </c>
      <c r="V116" s="93">
        <f t="shared" si="188"/>
        <v>10</v>
      </c>
      <c r="W116" s="92">
        <f t="shared" si="188"/>
        <v>30</v>
      </c>
      <c r="X116" s="93">
        <f t="shared" si="188"/>
        <v>80</v>
      </c>
      <c r="Y116" s="92">
        <f t="shared" ref="Y116:Z116" si="189">Y44</f>
        <v>110</v>
      </c>
      <c r="Z116" s="93">
        <f t="shared" si="189"/>
        <v>60</v>
      </c>
      <c r="AA116" s="73" t="s">
        <v>98</v>
      </c>
      <c r="AB116" s="94" t="s">
        <v>70</v>
      </c>
      <c r="AC116" s="36"/>
      <c r="AD116" s="36"/>
      <c r="AE116" s="204" t="s">
        <v>82</v>
      </c>
      <c r="AF116" s="96" t="s">
        <v>83</v>
      </c>
      <c r="AG116" s="37"/>
      <c r="AH116" s="97"/>
      <c r="AI116" s="12" t="s">
        <v>71</v>
      </c>
      <c r="AJ116" s="12">
        <v>210.0</v>
      </c>
      <c r="AK116" s="12" t="s">
        <v>175</v>
      </c>
      <c r="AL116" s="98" t="s">
        <v>86</v>
      </c>
      <c r="AM116" s="99" t="s">
        <v>87</v>
      </c>
      <c r="AN116" s="100" t="s">
        <v>88</v>
      </c>
      <c r="AO116" s="101" t="s">
        <v>89</v>
      </c>
      <c r="AP116" s="100" t="s">
        <v>45</v>
      </c>
      <c r="AQ116" s="102" t="s">
        <v>90</v>
      </c>
      <c r="AR116" s="100" t="s">
        <v>43</v>
      </c>
      <c r="AS116" s="101" t="s">
        <v>91</v>
      </c>
      <c r="AT116" s="100" t="s">
        <v>41</v>
      </c>
      <c r="AU116" s="103" t="s">
        <v>92</v>
      </c>
      <c r="AV116" s="100" t="s">
        <v>39</v>
      </c>
      <c r="AW116" s="99" t="s">
        <v>93</v>
      </c>
      <c r="AX116" s="100" t="s">
        <v>37</v>
      </c>
      <c r="AY116" s="99" t="s">
        <v>94</v>
      </c>
      <c r="AZ116" s="100" t="s">
        <v>51</v>
      </c>
      <c r="BA116" s="101" t="s">
        <v>95</v>
      </c>
      <c r="BB116" s="24"/>
    </row>
    <row r="117">
      <c r="A117" s="215" t="str">
        <f>G2</f>
        <v>กรกฎาคม</v>
      </c>
      <c r="B117" s="193"/>
      <c r="C117" s="175" t="s">
        <v>211</v>
      </c>
      <c r="E117" s="201" t="s">
        <v>54</v>
      </c>
      <c r="G117" s="397" t="str">
        <f t="shared" si="190"/>
        <v>未</v>
      </c>
      <c r="I117" s="142" t="str">
        <f t="shared" si="191"/>
        <v>午</v>
      </c>
      <c r="K117" s="36"/>
      <c r="L117" s="109">
        <f t="shared" si="192"/>
        <v>1200</v>
      </c>
      <c r="M117" s="9">
        <v>0.0</v>
      </c>
      <c r="N117" s="110">
        <v>0.0</v>
      </c>
      <c r="O117" s="9">
        <v>100.0</v>
      </c>
      <c r="P117" s="9">
        <v>100.0</v>
      </c>
      <c r="Q117" s="9">
        <v>100.0</v>
      </c>
      <c r="R117" s="110">
        <v>100.0</v>
      </c>
      <c r="S117" s="9">
        <v>100.0</v>
      </c>
      <c r="T117" s="110">
        <v>100.0</v>
      </c>
      <c r="U117" s="9">
        <v>100.0</v>
      </c>
      <c r="V117" s="110">
        <v>100.0</v>
      </c>
      <c r="W117" s="9">
        <v>100.0</v>
      </c>
      <c r="X117" s="110">
        <v>100.0</v>
      </c>
      <c r="Y117" s="9">
        <v>100.0</v>
      </c>
      <c r="Z117" s="110">
        <v>100.0</v>
      </c>
      <c r="AA117" s="73" t="s">
        <v>116</v>
      </c>
      <c r="AB117" s="94" t="s">
        <v>181</v>
      </c>
      <c r="AC117" s="36"/>
      <c r="AD117" s="36"/>
      <c r="AE117" s="111"/>
      <c r="AF117" s="112"/>
      <c r="AG117" s="37"/>
      <c r="AH117" s="97"/>
      <c r="AI117" s="14"/>
      <c r="AJ117" s="14"/>
      <c r="AK117" s="14"/>
      <c r="AL117" s="113"/>
      <c r="AM117" s="104" t="s">
        <v>100</v>
      </c>
      <c r="AO117" s="114" t="s">
        <v>101</v>
      </c>
      <c r="AQ117" s="105" t="s">
        <v>102</v>
      </c>
      <c r="AS117" s="105" t="s">
        <v>103</v>
      </c>
      <c r="AU117" s="104" t="s">
        <v>104</v>
      </c>
      <c r="AW117" s="104" t="s">
        <v>105</v>
      </c>
      <c r="AY117" s="104" t="s">
        <v>106</v>
      </c>
      <c r="BA117" s="105" t="s">
        <v>107</v>
      </c>
      <c r="BB117" s="24"/>
    </row>
    <row r="118">
      <c r="A118" s="192">
        <v>2569.0</v>
      </c>
      <c r="B118" s="193"/>
      <c r="E118" s="115" t="s">
        <v>110</v>
      </c>
      <c r="F118" s="116" t="s">
        <v>69</v>
      </c>
      <c r="G118" s="115" t="str">
        <f t="shared" ref="G118:H118" si="193">G52</f>
        <v>A12</v>
      </c>
      <c r="H118" s="9" t="str">
        <f t="shared" si="193"/>
        <v>B12</v>
      </c>
      <c r="I118" s="9" t="str">
        <f t="shared" ref="I118:J118" si="194">I46</f>
        <v>A5</v>
      </c>
      <c r="J118" s="9" t="str">
        <f t="shared" si="194"/>
        <v>B11</v>
      </c>
      <c r="K118" s="36"/>
      <c r="L118" s="117"/>
      <c r="M118" s="118" t="str">
        <f t="shared" ref="M118:P118" si="195">C118</f>
        <v/>
      </c>
      <c r="N118" s="119" t="str">
        <f t="shared" si="195"/>
        <v/>
      </c>
      <c r="O118" s="118" t="str">
        <f t="shared" si="195"/>
        <v>A11</v>
      </c>
      <c r="P118" s="118" t="str">
        <f t="shared" si="195"/>
        <v>B8</v>
      </c>
      <c r="Q118" s="118" t="str">
        <f t="shared" ref="Q118:R118" si="196">E119</f>
        <v>B12</v>
      </c>
      <c r="R118" s="119" t="str">
        <f t="shared" si="196"/>
        <v>C11</v>
      </c>
      <c r="S118" s="9" t="s">
        <v>112</v>
      </c>
      <c r="T118" s="110" t="s">
        <v>164</v>
      </c>
      <c r="U118" s="9" t="str">
        <f t="shared" ref="U118:V118" si="197">G118</f>
        <v>A12</v>
      </c>
      <c r="V118" s="119" t="str">
        <f t="shared" si="197"/>
        <v>B12</v>
      </c>
      <c r="W118" s="9" t="str">
        <f t="shared" ref="W118:X118" si="198">W52</f>
        <v>A6</v>
      </c>
      <c r="X118" s="110" t="str">
        <f t="shared" si="198"/>
        <v>A1</v>
      </c>
      <c r="Y118" s="118" t="str">
        <f t="shared" ref="Y118:Z118" si="199">I118</f>
        <v>A5</v>
      </c>
      <c r="Z118" s="120" t="str">
        <f t="shared" si="199"/>
        <v>B11</v>
      </c>
      <c r="AA118" s="73" t="s">
        <v>126</v>
      </c>
      <c r="AB118" s="94" t="s">
        <v>163</v>
      </c>
      <c r="AC118" s="36"/>
      <c r="AD118" s="36"/>
      <c r="AE118" s="111"/>
      <c r="AF118" s="112"/>
      <c r="AG118" s="37"/>
      <c r="AH118" s="97"/>
      <c r="AI118" s="14"/>
      <c r="AJ118" s="14"/>
      <c r="AK118" s="14"/>
      <c r="AL118" s="113"/>
      <c r="AM118" s="104" t="s">
        <v>118</v>
      </c>
      <c r="AO118" s="114" t="s">
        <v>119</v>
      </c>
      <c r="AQ118" s="105" t="s">
        <v>120</v>
      </c>
      <c r="AS118" s="105" t="s">
        <v>121</v>
      </c>
      <c r="AU118" s="104" t="s">
        <v>122</v>
      </c>
      <c r="AW118" s="104" t="s">
        <v>123</v>
      </c>
      <c r="AY118" s="104" t="s">
        <v>124</v>
      </c>
      <c r="BA118" s="105" t="s">
        <v>125</v>
      </c>
      <c r="BB118" s="24"/>
    </row>
    <row r="119">
      <c r="A119" s="192">
        <f>A118-543</f>
        <v>2026</v>
      </c>
      <c r="B119" s="193"/>
      <c r="C119" s="347"/>
      <c r="E119" s="115" t="s">
        <v>113</v>
      </c>
      <c r="F119" s="116" t="s">
        <v>236</v>
      </c>
      <c r="G119" s="115"/>
      <c r="H119" s="118"/>
      <c r="I119" s="118"/>
      <c r="J119" s="118"/>
      <c r="K119" s="36"/>
      <c r="L119" s="117"/>
      <c r="M119" s="326"/>
      <c r="N119" s="327"/>
      <c r="R119" s="117"/>
      <c r="T119" s="117"/>
      <c r="V119" s="117"/>
      <c r="W119" s="9"/>
      <c r="X119" s="110"/>
      <c r="Z119" s="117"/>
      <c r="AA119" s="73" t="s">
        <v>69</v>
      </c>
      <c r="AB119" s="94" t="s">
        <v>99</v>
      </c>
      <c r="AC119" s="36"/>
      <c r="AD119" s="36"/>
      <c r="AE119" s="111"/>
      <c r="AF119" s="112"/>
      <c r="AG119" s="37"/>
      <c r="AH119" s="97"/>
      <c r="AI119" s="14"/>
      <c r="AJ119" s="14"/>
      <c r="AK119" s="14"/>
      <c r="AL119" s="113"/>
      <c r="AM119" s="104" t="s">
        <v>129</v>
      </c>
      <c r="AO119" s="114" t="s">
        <v>130</v>
      </c>
      <c r="AQ119" s="105" t="s">
        <v>131</v>
      </c>
      <c r="AS119" s="105" t="s">
        <v>132</v>
      </c>
      <c r="AU119" s="104" t="s">
        <v>133</v>
      </c>
      <c r="AW119" s="104" t="s">
        <v>134</v>
      </c>
      <c r="AY119" s="104" t="s">
        <v>135</v>
      </c>
      <c r="BA119" s="105" t="s">
        <v>136</v>
      </c>
      <c r="BB119" s="24"/>
    </row>
    <row r="120">
      <c r="A120" s="351"/>
      <c r="B120" s="206"/>
      <c r="C120" s="123"/>
      <c r="D120" s="123"/>
      <c r="E120" s="164" t="s">
        <v>168</v>
      </c>
      <c r="F120" s="88"/>
      <c r="G120" s="207" t="str">
        <f>G5:H5</f>
        <v>อสูรเดือน W</v>
      </c>
      <c r="I120" s="208" t="str">
        <f>I5:J5</f>
        <v>อสูรปี N</v>
      </c>
      <c r="K120" s="36"/>
      <c r="L120" s="117"/>
      <c r="M120" s="128"/>
      <c r="N120" s="117"/>
      <c r="R120" s="117"/>
      <c r="T120" s="117"/>
      <c r="V120" s="117"/>
      <c r="W120" s="9"/>
      <c r="X120" s="110"/>
      <c r="Z120" s="117"/>
      <c r="AA120" s="127"/>
      <c r="AB120" s="155"/>
      <c r="AC120" s="36"/>
      <c r="AD120" s="36"/>
      <c r="AE120" s="111"/>
      <c r="AF120" s="112"/>
      <c r="AG120" s="37"/>
      <c r="AH120" s="97"/>
      <c r="AI120" s="14"/>
      <c r="AJ120" s="14"/>
      <c r="AK120" s="14"/>
      <c r="AL120" s="113"/>
      <c r="AM120" s="128"/>
      <c r="BA120" s="220"/>
      <c r="BB120" s="24"/>
    </row>
    <row r="121">
      <c r="A121" s="188" t="s">
        <v>169</v>
      </c>
      <c r="B121" s="189"/>
      <c r="C121" s="63"/>
      <c r="D121" s="63"/>
      <c r="E121" s="64">
        <f>(O122+P122+Q122+R122)/(O123+P123+Q123+R123)</f>
        <v>0.5</v>
      </c>
      <c r="F121" s="65"/>
      <c r="G121" s="133"/>
      <c r="H121" s="72"/>
      <c r="I121" s="67"/>
      <c r="J121" s="72"/>
      <c r="K121" s="68"/>
      <c r="L121" s="69"/>
      <c r="M121" s="63" t="s">
        <v>64</v>
      </c>
      <c r="N121" s="70"/>
      <c r="O121" s="71" t="s">
        <v>65</v>
      </c>
      <c r="P121" s="72"/>
      <c r="Q121" s="72"/>
      <c r="R121" s="70"/>
      <c r="S121" s="71" t="s">
        <v>66</v>
      </c>
      <c r="T121" s="70"/>
      <c r="U121" s="71" t="s">
        <v>67</v>
      </c>
      <c r="V121" s="70"/>
      <c r="W121" s="71" t="s">
        <v>348</v>
      </c>
      <c r="X121" s="70"/>
      <c r="Y121" s="71" t="s">
        <v>68</v>
      </c>
      <c r="Z121" s="70"/>
      <c r="AA121" s="134" t="s">
        <v>80</v>
      </c>
      <c r="AB121" s="74" t="s">
        <v>159</v>
      </c>
      <c r="AC121" s="75" t="s">
        <v>209</v>
      </c>
      <c r="AD121" s="75" t="s">
        <v>238</v>
      </c>
      <c r="AE121" s="202" t="s">
        <v>142</v>
      </c>
      <c r="AF121" s="74" t="s">
        <v>143</v>
      </c>
      <c r="AG121" s="63" t="s">
        <v>36</v>
      </c>
      <c r="AH121" s="78" t="s">
        <v>75</v>
      </c>
      <c r="AI121" s="79" t="s">
        <v>180</v>
      </c>
      <c r="AJ121" s="79">
        <v>60.0</v>
      </c>
      <c r="AK121" s="79" t="s">
        <v>200</v>
      </c>
      <c r="AL121" s="80" t="str">
        <f>AL115</f>
        <v>開</v>
      </c>
      <c r="AM121" s="81" t="s">
        <v>46</v>
      </c>
      <c r="AN121" s="82" t="str">
        <f>AN115</f>
        <v>休</v>
      </c>
      <c r="AO121" s="81" t="s">
        <v>48</v>
      </c>
      <c r="AP121" s="82" t="str">
        <f>AP115</f>
        <v>生</v>
      </c>
      <c r="AQ121" s="81" t="s">
        <v>50</v>
      </c>
      <c r="AR121" s="82" t="str">
        <f>AR115</f>
        <v>傷</v>
      </c>
      <c r="AS121" s="81" t="s">
        <v>52</v>
      </c>
      <c r="AT121" s="82" t="str">
        <f>AT115</f>
        <v>杜</v>
      </c>
      <c r="AU121" s="81" t="s">
        <v>38</v>
      </c>
      <c r="AV121" s="82" t="str">
        <f>AV115</f>
        <v>景</v>
      </c>
      <c r="AW121" s="81" t="s">
        <v>40</v>
      </c>
      <c r="AX121" s="82" t="str">
        <f>AX115</f>
        <v>死</v>
      </c>
      <c r="AY121" s="81" t="s">
        <v>42</v>
      </c>
      <c r="AZ121" s="82" t="str">
        <f>AZ115</f>
        <v>驚</v>
      </c>
      <c r="BA121" s="81" t="s">
        <v>44</v>
      </c>
      <c r="BB121" s="83"/>
      <c r="BC121" s="84"/>
      <c r="BD121" s="84"/>
      <c r="BE121" s="84"/>
    </row>
    <row r="122">
      <c r="A122" s="192">
        <f>A116+1</f>
        <v>19</v>
      </c>
      <c r="B122" s="193"/>
      <c r="C122" s="12" t="s">
        <v>78</v>
      </c>
      <c r="E122" s="87" t="s">
        <v>222</v>
      </c>
      <c r="G122" s="374" t="str">
        <f t="shared" ref="G122:G123" si="202">G3:H3</f>
        <v>乙</v>
      </c>
      <c r="I122" s="275" t="str">
        <f t="shared" ref="I122:I123" si="203">I44:J44</f>
        <v>丙</v>
      </c>
      <c r="K122" s="90">
        <f>L122/L123</f>
        <v>0.5833333333</v>
      </c>
      <c r="L122" s="91">
        <f t="shared" ref="L122:L123" si="204">Z122+Y122+X122+W122+V122+U122+T122+S122+R122+Q122+P122+O122</f>
        <v>700</v>
      </c>
      <c r="M122" s="92">
        <v>0.0</v>
      </c>
      <c r="N122" s="93">
        <v>0.0</v>
      </c>
      <c r="O122" s="92">
        <v>0.0</v>
      </c>
      <c r="P122" s="92">
        <v>40.0</v>
      </c>
      <c r="Q122" s="92">
        <v>80.0</v>
      </c>
      <c r="R122" s="93">
        <v>80.0</v>
      </c>
      <c r="S122" s="92">
        <v>80.0</v>
      </c>
      <c r="T122" s="93">
        <v>55.0</v>
      </c>
      <c r="U122" s="92">
        <f t="shared" ref="U122:X122" si="200">U50</f>
        <v>75</v>
      </c>
      <c r="V122" s="93">
        <f t="shared" si="200"/>
        <v>10</v>
      </c>
      <c r="W122" s="92">
        <f t="shared" si="200"/>
        <v>30</v>
      </c>
      <c r="X122" s="93">
        <f t="shared" si="200"/>
        <v>80</v>
      </c>
      <c r="Y122" s="92">
        <f t="shared" ref="Y122:Z122" si="201">Y44</f>
        <v>110</v>
      </c>
      <c r="Z122" s="93">
        <f t="shared" si="201"/>
        <v>60</v>
      </c>
      <c r="AA122" s="73" t="s">
        <v>98</v>
      </c>
      <c r="AB122" s="94" t="s">
        <v>152</v>
      </c>
      <c r="AC122" s="36"/>
      <c r="AD122" s="36"/>
      <c r="AE122" s="204" t="s">
        <v>82</v>
      </c>
      <c r="AF122" s="96" t="s">
        <v>83</v>
      </c>
      <c r="AG122" s="37"/>
      <c r="AH122" s="97"/>
      <c r="AI122" s="12" t="s">
        <v>202</v>
      </c>
      <c r="AJ122" s="12">
        <v>180.0</v>
      </c>
      <c r="AK122" s="12" t="s">
        <v>203</v>
      </c>
      <c r="AL122" s="98" t="s">
        <v>37</v>
      </c>
      <c r="AM122" s="99" t="s">
        <v>94</v>
      </c>
      <c r="AN122" s="100" t="s">
        <v>51</v>
      </c>
      <c r="AO122" s="101" t="s">
        <v>95</v>
      </c>
      <c r="AP122" s="100" t="s">
        <v>86</v>
      </c>
      <c r="AQ122" s="99" t="s">
        <v>87</v>
      </c>
      <c r="AR122" s="100" t="s">
        <v>88</v>
      </c>
      <c r="AS122" s="101" t="s">
        <v>89</v>
      </c>
      <c r="AT122" s="100" t="s">
        <v>45</v>
      </c>
      <c r="AU122" s="102" t="s">
        <v>90</v>
      </c>
      <c r="AV122" s="100" t="s">
        <v>43</v>
      </c>
      <c r="AW122" s="101" t="s">
        <v>91</v>
      </c>
      <c r="AX122" s="100" t="s">
        <v>41</v>
      </c>
      <c r="AY122" s="103" t="s">
        <v>92</v>
      </c>
      <c r="AZ122" s="100" t="s">
        <v>39</v>
      </c>
      <c r="BA122" s="99" t="s">
        <v>93</v>
      </c>
      <c r="BB122" s="24"/>
    </row>
    <row r="123">
      <c r="A123" s="215" t="str">
        <f>G2</f>
        <v>กรกฎาคม</v>
      </c>
      <c r="B123" s="193"/>
      <c r="C123" s="161" t="s">
        <v>217</v>
      </c>
      <c r="E123" s="223" t="s">
        <v>202</v>
      </c>
      <c r="G123" s="397" t="str">
        <f t="shared" si="202"/>
        <v>未</v>
      </c>
      <c r="I123" s="142" t="str">
        <f t="shared" si="203"/>
        <v>午</v>
      </c>
      <c r="K123" s="36"/>
      <c r="L123" s="109">
        <f t="shared" si="204"/>
        <v>1200</v>
      </c>
      <c r="M123" s="9">
        <v>0.0</v>
      </c>
      <c r="N123" s="110">
        <v>0.0</v>
      </c>
      <c r="O123" s="9">
        <v>100.0</v>
      </c>
      <c r="P123" s="9">
        <v>100.0</v>
      </c>
      <c r="Q123" s="9">
        <v>100.0</v>
      </c>
      <c r="R123" s="110">
        <v>100.0</v>
      </c>
      <c r="S123" s="9">
        <v>100.0</v>
      </c>
      <c r="T123" s="110">
        <v>100.0</v>
      </c>
      <c r="U123" s="9">
        <v>100.0</v>
      </c>
      <c r="V123" s="110">
        <v>100.0</v>
      </c>
      <c r="W123" s="9">
        <v>100.0</v>
      </c>
      <c r="X123" s="110">
        <v>100.0</v>
      </c>
      <c r="Y123" s="9">
        <v>100.0</v>
      </c>
      <c r="Z123" s="110">
        <v>100.0</v>
      </c>
      <c r="AA123" s="73" t="s">
        <v>116</v>
      </c>
      <c r="AB123" s="94" t="s">
        <v>81</v>
      </c>
      <c r="AC123" s="36"/>
      <c r="AD123" s="36"/>
      <c r="AE123" s="111"/>
      <c r="AF123" s="112"/>
      <c r="AG123" s="37"/>
      <c r="AH123" s="97"/>
      <c r="AI123" s="14"/>
      <c r="AJ123" s="14"/>
      <c r="AK123" s="14"/>
      <c r="AL123" s="113"/>
      <c r="AM123" s="104" t="s">
        <v>106</v>
      </c>
      <c r="AO123" s="105" t="s">
        <v>107</v>
      </c>
      <c r="AQ123" s="104" t="s">
        <v>100</v>
      </c>
      <c r="AS123" s="114" t="s">
        <v>101</v>
      </c>
      <c r="AU123" s="105" t="s">
        <v>102</v>
      </c>
      <c r="AW123" s="105" t="s">
        <v>103</v>
      </c>
      <c r="AY123" s="104" t="s">
        <v>104</v>
      </c>
      <c r="BA123" s="104" t="s">
        <v>105</v>
      </c>
      <c r="BB123" s="24"/>
    </row>
    <row r="124">
      <c r="A124" s="192">
        <v>2569.0</v>
      </c>
      <c r="B124" s="193"/>
      <c r="E124" s="115" t="s">
        <v>108</v>
      </c>
      <c r="F124" s="116" t="s">
        <v>212</v>
      </c>
      <c r="G124" s="115" t="str">
        <f t="shared" ref="G124:H124" si="205">G52</f>
        <v>A12</v>
      </c>
      <c r="H124" s="9" t="str">
        <f t="shared" si="205"/>
        <v>B12</v>
      </c>
      <c r="I124" s="9" t="str">
        <f t="shared" ref="I124:J124" si="206">I46</f>
        <v>A5</v>
      </c>
      <c r="J124" s="9" t="str">
        <f t="shared" si="206"/>
        <v>B11</v>
      </c>
      <c r="K124" s="36"/>
      <c r="L124" s="117"/>
      <c r="M124" s="118" t="str">
        <f t="shared" ref="M124:P124" si="207">C124</f>
        <v/>
      </c>
      <c r="N124" s="119" t="str">
        <f t="shared" si="207"/>
        <v/>
      </c>
      <c r="O124" s="118" t="str">
        <f t="shared" si="207"/>
        <v>A8</v>
      </c>
      <c r="P124" s="118" t="str">
        <f t="shared" si="207"/>
        <v>B9</v>
      </c>
      <c r="Q124" s="118" t="str">
        <f t="shared" ref="Q124:R124" si="208">E125</f>
        <v>B11</v>
      </c>
      <c r="R124" s="119" t="str">
        <f t="shared" si="208"/>
        <v>C12</v>
      </c>
      <c r="S124" s="9" t="s">
        <v>182</v>
      </c>
      <c r="T124" s="110" t="s">
        <v>164</v>
      </c>
      <c r="U124" s="9" t="str">
        <f t="shared" ref="U124:V124" si="209">G124</f>
        <v>A12</v>
      </c>
      <c r="V124" s="119" t="str">
        <f t="shared" si="209"/>
        <v>B12</v>
      </c>
      <c r="W124" s="9" t="str">
        <f t="shared" ref="W124:X124" si="210">W52</f>
        <v>A6</v>
      </c>
      <c r="X124" s="110" t="str">
        <f t="shared" si="210"/>
        <v>A1</v>
      </c>
      <c r="Y124" s="118" t="str">
        <f t="shared" ref="Y124:Z124" si="211">I124</f>
        <v>A5</v>
      </c>
      <c r="Z124" s="120" t="str">
        <f t="shared" si="211"/>
        <v>B11</v>
      </c>
      <c r="AA124" s="73" t="s">
        <v>126</v>
      </c>
      <c r="AB124" s="94" t="s">
        <v>99</v>
      </c>
      <c r="AC124" s="36"/>
      <c r="AD124" s="36"/>
      <c r="AE124" s="111"/>
      <c r="AF124" s="112"/>
      <c r="AG124" s="37"/>
      <c r="AH124" s="97"/>
      <c r="AI124" s="14"/>
      <c r="AJ124" s="14"/>
      <c r="AK124" s="14"/>
      <c r="AL124" s="113"/>
      <c r="AM124" s="104" t="s">
        <v>124</v>
      </c>
      <c r="AO124" s="105" t="s">
        <v>125</v>
      </c>
      <c r="AQ124" s="104" t="s">
        <v>118</v>
      </c>
      <c r="AS124" s="114" t="s">
        <v>119</v>
      </c>
      <c r="AU124" s="105" t="s">
        <v>120</v>
      </c>
      <c r="AW124" s="105" t="s">
        <v>121</v>
      </c>
      <c r="AY124" s="104" t="s">
        <v>122</v>
      </c>
      <c r="BA124" s="104" t="s">
        <v>123</v>
      </c>
      <c r="BB124" s="24"/>
    </row>
    <row r="125">
      <c r="A125" s="192">
        <f>A124-543</f>
        <v>2026</v>
      </c>
      <c r="B125" s="193"/>
      <c r="C125" s="12"/>
      <c r="E125" s="115" t="s">
        <v>214</v>
      </c>
      <c r="F125" s="116" t="s">
        <v>127</v>
      </c>
      <c r="G125" s="115"/>
      <c r="H125" s="118"/>
      <c r="I125" s="118"/>
      <c r="J125" s="118"/>
      <c r="K125" s="36"/>
      <c r="L125" s="117"/>
      <c r="M125" s="326"/>
      <c r="N125" s="327"/>
      <c r="R125" s="117"/>
      <c r="T125" s="117"/>
      <c r="V125" s="117"/>
      <c r="W125" s="9"/>
      <c r="X125" s="110"/>
      <c r="Z125" s="117"/>
      <c r="AA125" s="73" t="s">
        <v>69</v>
      </c>
      <c r="AB125" s="94" t="s">
        <v>155</v>
      </c>
      <c r="AC125" s="36"/>
      <c r="AD125" s="36"/>
      <c r="AE125" s="111"/>
      <c r="AF125" s="112"/>
      <c r="AG125" s="37"/>
      <c r="AH125" s="97"/>
      <c r="AI125" s="14"/>
      <c r="AJ125" s="14"/>
      <c r="AK125" s="14"/>
      <c r="AL125" s="113"/>
      <c r="AM125" s="104" t="s">
        <v>135</v>
      </c>
      <c r="AO125" s="105" t="s">
        <v>136</v>
      </c>
      <c r="AQ125" s="104" t="s">
        <v>129</v>
      </c>
      <c r="AS125" s="114" t="s">
        <v>130</v>
      </c>
      <c r="AU125" s="105" t="s">
        <v>131</v>
      </c>
      <c r="AW125" s="105" t="s">
        <v>132</v>
      </c>
      <c r="AY125" s="104" t="s">
        <v>133</v>
      </c>
      <c r="BA125" s="104" t="s">
        <v>134</v>
      </c>
      <c r="BB125" s="24"/>
    </row>
    <row r="126">
      <c r="A126" s="399" t="s">
        <v>324</v>
      </c>
      <c r="B126" s="206"/>
      <c r="C126" s="1"/>
      <c r="E126" s="164" t="s">
        <v>185</v>
      </c>
      <c r="F126" s="88"/>
      <c r="G126" s="207" t="str">
        <f>G5:H5</f>
        <v>อสูรเดือน W</v>
      </c>
      <c r="I126" s="208" t="str">
        <f>I5:J5</f>
        <v>อสูรปี N</v>
      </c>
      <c r="K126" s="36"/>
      <c r="L126" s="117"/>
      <c r="M126" s="326"/>
      <c r="N126" s="327"/>
      <c r="R126" s="117"/>
      <c r="T126" s="117"/>
      <c r="V126" s="117"/>
      <c r="W126" s="9"/>
      <c r="X126" s="110"/>
      <c r="Z126" s="117"/>
      <c r="AA126" s="127"/>
      <c r="AB126" s="155"/>
      <c r="AC126" s="36"/>
      <c r="AD126" s="36"/>
      <c r="AE126" s="111"/>
      <c r="AF126" s="112"/>
      <c r="AG126" s="37"/>
      <c r="AH126" s="97"/>
      <c r="AI126" s="14"/>
      <c r="AJ126" s="14"/>
      <c r="AK126" s="14"/>
      <c r="AL126" s="113"/>
      <c r="AW126" s="128"/>
      <c r="BB126" s="24"/>
    </row>
    <row r="127">
      <c r="A127" s="188" t="s">
        <v>186</v>
      </c>
      <c r="B127" s="189"/>
      <c r="C127" s="63"/>
      <c r="D127" s="63"/>
      <c r="E127" s="216">
        <f>(O128+P128+Q128+R128)/(O129+P129+Q129+R129)</f>
        <v>0.5125</v>
      </c>
      <c r="F127" s="65"/>
      <c r="G127" s="133"/>
      <c r="H127" s="72"/>
      <c r="I127" s="67"/>
      <c r="J127" s="72"/>
      <c r="K127" s="68"/>
      <c r="L127" s="69"/>
      <c r="M127" s="63" t="s">
        <v>64</v>
      </c>
      <c r="N127" s="70"/>
      <c r="O127" s="71" t="s">
        <v>65</v>
      </c>
      <c r="P127" s="72"/>
      <c r="Q127" s="72"/>
      <c r="R127" s="70"/>
      <c r="S127" s="71" t="s">
        <v>66</v>
      </c>
      <c r="T127" s="70"/>
      <c r="U127" s="71" t="s">
        <v>67</v>
      </c>
      <c r="V127" s="70"/>
      <c r="W127" s="71" t="s">
        <v>348</v>
      </c>
      <c r="X127" s="70"/>
      <c r="Y127" s="71" t="s">
        <v>68</v>
      </c>
      <c r="Z127" s="70"/>
      <c r="AA127" s="134" t="s">
        <v>80</v>
      </c>
      <c r="AB127" s="74" t="s">
        <v>181</v>
      </c>
      <c r="AC127" s="75" t="s">
        <v>76</v>
      </c>
      <c r="AD127" s="75" t="s">
        <v>243</v>
      </c>
      <c r="AE127" s="135" t="s">
        <v>142</v>
      </c>
      <c r="AF127" s="74" t="s">
        <v>143</v>
      </c>
      <c r="AG127" s="63" t="s">
        <v>144</v>
      </c>
      <c r="AH127" s="78" t="s">
        <v>144</v>
      </c>
      <c r="AI127" s="79" t="s">
        <v>189</v>
      </c>
      <c r="AJ127" s="79">
        <v>90.0</v>
      </c>
      <c r="AK127" s="79" t="s">
        <v>208</v>
      </c>
      <c r="AL127" s="80" t="str">
        <f>AL121</f>
        <v>開</v>
      </c>
      <c r="AM127" s="81" t="s">
        <v>42</v>
      </c>
      <c r="AN127" s="82" t="str">
        <f>AN121</f>
        <v>休</v>
      </c>
      <c r="AO127" s="81" t="s">
        <v>44</v>
      </c>
      <c r="AP127" s="82" t="s">
        <v>4</v>
      </c>
      <c r="AQ127" s="81" t="s">
        <v>46</v>
      </c>
      <c r="AR127" s="82" t="str">
        <f>AR121</f>
        <v>傷</v>
      </c>
      <c r="AS127" s="81" t="s">
        <v>48</v>
      </c>
      <c r="AT127" s="82" t="s">
        <v>8</v>
      </c>
      <c r="AU127" s="81" t="s">
        <v>50</v>
      </c>
      <c r="AV127" s="82" t="str">
        <f>AV121</f>
        <v>景</v>
      </c>
      <c r="AW127" s="81" t="s">
        <v>52</v>
      </c>
      <c r="AX127" s="82" t="str">
        <f>AX121</f>
        <v>死</v>
      </c>
      <c r="AY127" s="81" t="s">
        <v>38</v>
      </c>
      <c r="AZ127" s="82" t="str">
        <f>AZ121</f>
        <v>驚</v>
      </c>
      <c r="BA127" s="81" t="s">
        <v>40</v>
      </c>
      <c r="BB127" s="83"/>
      <c r="BC127" s="84"/>
      <c r="BD127" s="84"/>
      <c r="BE127" s="84"/>
    </row>
    <row r="128">
      <c r="A128" s="192">
        <f>A122+1</f>
        <v>20</v>
      </c>
      <c r="B128" s="193"/>
      <c r="C128" s="400" t="s">
        <v>298</v>
      </c>
      <c r="E128" s="87" t="s">
        <v>31</v>
      </c>
      <c r="G128" s="374" t="str">
        <f t="shared" ref="G128:G129" si="214">G3:H3</f>
        <v>乙</v>
      </c>
      <c r="I128" s="275" t="str">
        <f t="shared" ref="I128:I129" si="215">I44:J44</f>
        <v>丙</v>
      </c>
      <c r="K128" s="90">
        <f>L128/L129</f>
        <v>0.6</v>
      </c>
      <c r="L128" s="91">
        <f t="shared" ref="L128:L129" si="216">Z128+Y128+X128+W128+V128+U128+T128+S128+R128+Q128+P128+O128</f>
        <v>720</v>
      </c>
      <c r="M128" s="92">
        <v>0.0</v>
      </c>
      <c r="N128" s="93">
        <v>0.0</v>
      </c>
      <c r="O128" s="92">
        <v>75.0</v>
      </c>
      <c r="P128" s="92">
        <v>40.0</v>
      </c>
      <c r="Q128" s="92">
        <v>40.0</v>
      </c>
      <c r="R128" s="93">
        <v>50.0</v>
      </c>
      <c r="S128" s="92">
        <v>75.0</v>
      </c>
      <c r="T128" s="93">
        <v>75.0</v>
      </c>
      <c r="U128" s="92">
        <f t="shared" ref="U128:X128" si="212">U50</f>
        <v>75</v>
      </c>
      <c r="V128" s="93">
        <f t="shared" si="212"/>
        <v>10</v>
      </c>
      <c r="W128" s="92">
        <f t="shared" si="212"/>
        <v>30</v>
      </c>
      <c r="X128" s="93">
        <f t="shared" si="212"/>
        <v>80</v>
      </c>
      <c r="Y128" s="92">
        <f t="shared" ref="Y128:Z128" si="213">Y44</f>
        <v>110</v>
      </c>
      <c r="Z128" s="93">
        <f t="shared" si="213"/>
        <v>60</v>
      </c>
      <c r="AA128" s="73" t="s">
        <v>98</v>
      </c>
      <c r="AB128" s="94" t="s">
        <v>163</v>
      </c>
      <c r="AC128" s="36"/>
      <c r="AD128" s="36"/>
      <c r="AE128" s="139" t="s">
        <v>148</v>
      </c>
      <c r="AF128" s="96" t="s">
        <v>149</v>
      </c>
      <c r="AG128" s="37"/>
      <c r="AH128" s="97"/>
      <c r="AI128" s="12" t="s">
        <v>54</v>
      </c>
      <c r="AJ128" s="12">
        <v>150.0</v>
      </c>
      <c r="AK128" s="12" t="s">
        <v>210</v>
      </c>
      <c r="AL128" s="98" t="s">
        <v>39</v>
      </c>
      <c r="AM128" s="99" t="s">
        <v>93</v>
      </c>
      <c r="AN128" s="100" t="s">
        <v>37</v>
      </c>
      <c r="AO128" s="99" t="s">
        <v>94</v>
      </c>
      <c r="AP128" s="100" t="s">
        <v>51</v>
      </c>
      <c r="AQ128" s="101" t="s">
        <v>95</v>
      </c>
      <c r="AR128" s="100" t="s">
        <v>86</v>
      </c>
      <c r="AS128" s="99" t="s">
        <v>87</v>
      </c>
      <c r="AT128" s="100" t="s">
        <v>88</v>
      </c>
      <c r="AU128" s="101" t="s">
        <v>89</v>
      </c>
      <c r="AV128" s="100" t="s">
        <v>45</v>
      </c>
      <c r="AW128" s="102" t="s">
        <v>90</v>
      </c>
      <c r="AX128" s="100" t="s">
        <v>43</v>
      </c>
      <c r="AY128" s="101" t="s">
        <v>91</v>
      </c>
      <c r="AZ128" s="100" t="s">
        <v>41</v>
      </c>
      <c r="BA128" s="103" t="s">
        <v>92</v>
      </c>
      <c r="BB128" s="24"/>
    </row>
    <row r="129">
      <c r="A129" s="215" t="str">
        <f>G2</f>
        <v>กรกฎาคม</v>
      </c>
      <c r="B129" s="193"/>
      <c r="C129" s="175" t="s">
        <v>223</v>
      </c>
      <c r="E129" s="162" t="s">
        <v>71</v>
      </c>
      <c r="G129" s="397" t="str">
        <f t="shared" si="214"/>
        <v>未</v>
      </c>
      <c r="I129" s="142" t="str">
        <f t="shared" si="215"/>
        <v>午</v>
      </c>
      <c r="K129" s="36"/>
      <c r="L129" s="109">
        <f t="shared" si="216"/>
        <v>1200</v>
      </c>
      <c r="M129" s="9">
        <v>0.0</v>
      </c>
      <c r="N129" s="110">
        <v>0.0</v>
      </c>
      <c r="O129" s="9">
        <v>100.0</v>
      </c>
      <c r="P129" s="9">
        <v>100.0</v>
      </c>
      <c r="Q129" s="9">
        <v>100.0</v>
      </c>
      <c r="R129" s="110">
        <v>100.0</v>
      </c>
      <c r="S129" s="9">
        <v>100.0</v>
      </c>
      <c r="T129" s="110">
        <v>100.0</v>
      </c>
      <c r="U129" s="9">
        <v>100.0</v>
      </c>
      <c r="V129" s="110">
        <v>100.0</v>
      </c>
      <c r="W129" s="9">
        <v>100.0</v>
      </c>
      <c r="X129" s="110">
        <v>100.0</v>
      </c>
      <c r="Y129" s="9">
        <v>100.0</v>
      </c>
      <c r="Z129" s="110">
        <v>100.0</v>
      </c>
      <c r="AA129" s="73" t="s">
        <v>116</v>
      </c>
      <c r="AB129" s="94" t="s">
        <v>153</v>
      </c>
      <c r="AC129" s="36"/>
      <c r="AD129" s="36"/>
      <c r="AE129" s="111"/>
      <c r="AF129" s="112"/>
      <c r="AG129" s="37"/>
      <c r="AH129" s="97"/>
      <c r="AI129" s="14"/>
      <c r="AJ129" s="14"/>
      <c r="AK129" s="14"/>
      <c r="AL129" s="113"/>
      <c r="AM129" s="104" t="s">
        <v>105</v>
      </c>
      <c r="AO129" s="104" t="s">
        <v>106</v>
      </c>
      <c r="AQ129" s="105" t="s">
        <v>107</v>
      </c>
      <c r="AS129" s="104" t="s">
        <v>100</v>
      </c>
      <c r="AU129" s="114" t="s">
        <v>101</v>
      </c>
      <c r="AW129" s="105" t="s">
        <v>102</v>
      </c>
      <c r="AY129" s="105" t="s">
        <v>103</v>
      </c>
      <c r="BA129" s="104" t="s">
        <v>104</v>
      </c>
      <c r="BB129" s="24"/>
    </row>
    <row r="130">
      <c r="A130" s="192">
        <v>2569.0</v>
      </c>
      <c r="B130" s="193"/>
      <c r="E130" s="115" t="s">
        <v>165</v>
      </c>
      <c r="F130" s="116" t="s">
        <v>218</v>
      </c>
      <c r="G130" s="115" t="str">
        <f t="shared" ref="G130:H130" si="217">G52</f>
        <v>A12</v>
      </c>
      <c r="H130" s="9" t="str">
        <f t="shared" si="217"/>
        <v>B12</v>
      </c>
      <c r="I130" s="9" t="str">
        <f t="shared" ref="I130:J130" si="218">I46</f>
        <v>A5</v>
      </c>
      <c r="J130" s="9" t="str">
        <f t="shared" si="218"/>
        <v>B11</v>
      </c>
      <c r="K130" s="36"/>
      <c r="L130" s="117"/>
      <c r="M130" s="118" t="str">
        <f t="shared" ref="M130:P130" si="219">C130</f>
        <v/>
      </c>
      <c r="N130" s="119" t="str">
        <f t="shared" si="219"/>
        <v/>
      </c>
      <c r="O130" s="118" t="str">
        <f t="shared" si="219"/>
        <v>A12</v>
      </c>
      <c r="P130" s="118" t="str">
        <f t="shared" si="219"/>
        <v>B10</v>
      </c>
      <c r="Q130" s="118" t="str">
        <f t="shared" ref="Q130:R130" si="220">E131</f>
        <v>B10</v>
      </c>
      <c r="R130" s="119" t="str">
        <f t="shared" si="220"/>
        <v>C1</v>
      </c>
      <c r="S130" s="9" t="s">
        <v>165</v>
      </c>
      <c r="T130" s="110" t="s">
        <v>165</v>
      </c>
      <c r="U130" s="9" t="str">
        <f t="shared" ref="U130:V130" si="221">G130</f>
        <v>A12</v>
      </c>
      <c r="V130" s="119" t="str">
        <f t="shared" si="221"/>
        <v>B12</v>
      </c>
      <c r="W130" s="9" t="str">
        <f t="shared" ref="W130:X130" si="222">W52</f>
        <v>A6</v>
      </c>
      <c r="X130" s="110" t="str">
        <f t="shared" si="222"/>
        <v>A1</v>
      </c>
      <c r="Y130" s="118" t="str">
        <f t="shared" ref="Y130:Z130" si="223">I130</f>
        <v>A5</v>
      </c>
      <c r="Z130" s="120" t="str">
        <f t="shared" si="223"/>
        <v>B11</v>
      </c>
      <c r="AA130" s="73" t="s">
        <v>126</v>
      </c>
      <c r="AB130" s="94" t="s">
        <v>155</v>
      </c>
      <c r="AC130" s="36"/>
      <c r="AD130" s="36"/>
      <c r="AE130" s="111"/>
      <c r="AF130" s="112"/>
      <c r="AG130" s="37"/>
      <c r="AH130" s="97"/>
      <c r="AI130" s="14"/>
      <c r="AJ130" s="14"/>
      <c r="AK130" s="14"/>
      <c r="AL130" s="113"/>
      <c r="AM130" s="104" t="s">
        <v>123</v>
      </c>
      <c r="AO130" s="104" t="s">
        <v>124</v>
      </c>
      <c r="AQ130" s="105" t="s">
        <v>125</v>
      </c>
      <c r="AS130" s="104" t="s">
        <v>118</v>
      </c>
      <c r="AU130" s="114" t="s">
        <v>119</v>
      </c>
      <c r="AW130" s="105" t="s">
        <v>120</v>
      </c>
      <c r="AY130" s="105" t="s">
        <v>121</v>
      </c>
      <c r="BA130" s="104" t="s">
        <v>122</v>
      </c>
      <c r="BB130" s="24"/>
    </row>
    <row r="131">
      <c r="A131" s="192">
        <f>A130-543</f>
        <v>2026</v>
      </c>
      <c r="B131" s="193"/>
      <c r="C131" s="12"/>
      <c r="E131" s="115" t="s">
        <v>218</v>
      </c>
      <c r="F131" s="116" t="s">
        <v>154</v>
      </c>
      <c r="G131" s="115"/>
      <c r="H131" s="118"/>
      <c r="I131" s="118"/>
      <c r="J131" s="118"/>
      <c r="K131" s="36"/>
      <c r="L131" s="117"/>
      <c r="M131" s="326"/>
      <c r="N131" s="327"/>
      <c r="R131" s="117"/>
      <c r="T131" s="117"/>
      <c r="V131" s="117"/>
      <c r="W131" s="9"/>
      <c r="X131" s="110"/>
      <c r="Z131" s="117"/>
      <c r="AA131" s="73" t="s">
        <v>69</v>
      </c>
      <c r="AB131" s="94" t="s">
        <v>128</v>
      </c>
      <c r="AC131" s="36"/>
      <c r="AD131" s="36"/>
      <c r="AE131" s="111"/>
      <c r="AF131" s="112"/>
      <c r="AG131" s="37"/>
      <c r="AH131" s="97"/>
      <c r="AI131" s="14"/>
      <c r="AJ131" s="14"/>
      <c r="AK131" s="14"/>
      <c r="AL131" s="113"/>
      <c r="AM131" s="104" t="s">
        <v>134</v>
      </c>
      <c r="AO131" s="104" t="s">
        <v>135</v>
      </c>
      <c r="AQ131" s="105" t="s">
        <v>136</v>
      </c>
      <c r="AS131" s="104" t="s">
        <v>129</v>
      </c>
      <c r="AU131" s="114" t="s">
        <v>130</v>
      </c>
      <c r="AW131" s="105" t="s">
        <v>131</v>
      </c>
      <c r="AY131" s="105" t="s">
        <v>132</v>
      </c>
      <c r="BA131" s="104" t="s">
        <v>133</v>
      </c>
      <c r="BB131" s="24"/>
    </row>
    <row r="132">
      <c r="A132" s="279"/>
      <c r="B132" s="206"/>
      <c r="C132" s="123"/>
      <c r="D132" s="123"/>
      <c r="E132" s="176" t="s">
        <v>137</v>
      </c>
      <c r="F132" s="88"/>
      <c r="G132" s="207" t="str">
        <f>G5:H5</f>
        <v>อสูรเดือน W</v>
      </c>
      <c r="I132" s="208" t="str">
        <f>I5:J5</f>
        <v>อสูรปี N</v>
      </c>
      <c r="K132" s="36"/>
      <c r="L132" s="117"/>
      <c r="M132" s="128"/>
      <c r="N132" s="117"/>
      <c r="R132" s="117"/>
      <c r="T132" s="117"/>
      <c r="V132" s="117"/>
      <c r="W132" s="9"/>
      <c r="X132" s="110"/>
      <c r="Z132" s="117"/>
      <c r="AA132" s="127"/>
      <c r="AB132" s="155"/>
      <c r="AC132" s="36"/>
      <c r="AD132" s="36"/>
      <c r="AE132" s="111"/>
      <c r="AF132" s="112"/>
      <c r="AG132" s="37"/>
      <c r="AH132" s="97"/>
      <c r="AI132" s="14"/>
      <c r="AJ132" s="14"/>
      <c r="AK132" s="14"/>
      <c r="AL132" s="113"/>
      <c r="AW132" s="128"/>
      <c r="BB132" s="24"/>
    </row>
    <row r="133">
      <c r="A133" s="188" t="s">
        <v>191</v>
      </c>
      <c r="B133" s="189"/>
      <c r="C133" s="63"/>
      <c r="D133" s="63"/>
      <c r="E133" s="64">
        <f>(O134+P134+Q134+R134)/(O135+P135+Q135+R135)</f>
        <v>0.3375</v>
      </c>
      <c r="F133" s="65"/>
      <c r="G133" s="133"/>
      <c r="H133" s="72"/>
      <c r="I133" s="67"/>
      <c r="J133" s="72"/>
      <c r="K133" s="68"/>
      <c r="L133" s="69"/>
      <c r="M133" s="63" t="s">
        <v>64</v>
      </c>
      <c r="N133" s="70"/>
      <c r="O133" s="71" t="s">
        <v>65</v>
      </c>
      <c r="P133" s="72"/>
      <c r="Q133" s="72"/>
      <c r="R133" s="70"/>
      <c r="S133" s="71" t="s">
        <v>66</v>
      </c>
      <c r="T133" s="70"/>
      <c r="U133" s="71" t="s">
        <v>67</v>
      </c>
      <c r="V133" s="70"/>
      <c r="W133" s="71" t="s">
        <v>348</v>
      </c>
      <c r="X133" s="70"/>
      <c r="Y133" s="71" t="s">
        <v>68</v>
      </c>
      <c r="Z133" s="70"/>
      <c r="AA133" s="134" t="s">
        <v>69</v>
      </c>
      <c r="AB133" s="74" t="s">
        <v>70</v>
      </c>
      <c r="AC133" s="79" t="s">
        <v>161</v>
      </c>
      <c r="AD133" s="221" t="s">
        <v>244</v>
      </c>
      <c r="AE133" s="135" t="s">
        <v>142</v>
      </c>
      <c r="AF133" s="74" t="s">
        <v>143</v>
      </c>
      <c r="AG133" s="63" t="s">
        <v>144</v>
      </c>
      <c r="AH133" s="78" t="s">
        <v>36</v>
      </c>
      <c r="AI133" s="79" t="s">
        <v>54</v>
      </c>
      <c r="AJ133" s="79">
        <v>150.0</v>
      </c>
      <c r="AK133" s="79" t="s">
        <v>210</v>
      </c>
      <c r="AL133" s="80" t="str">
        <f>AL127</f>
        <v>開</v>
      </c>
      <c r="AM133" s="81" t="s">
        <v>46</v>
      </c>
      <c r="AN133" s="82" t="str">
        <f>AN127</f>
        <v>休</v>
      </c>
      <c r="AO133" s="81" t="s">
        <v>48</v>
      </c>
      <c r="AP133" s="82" t="str">
        <f>AP127</f>
        <v>生</v>
      </c>
      <c r="AQ133" s="81" t="s">
        <v>50</v>
      </c>
      <c r="AR133" s="82" t="str">
        <f>AR127</f>
        <v>傷</v>
      </c>
      <c r="AS133" s="81" t="s">
        <v>52</v>
      </c>
      <c r="AT133" s="82" t="str">
        <f>AT127</f>
        <v>杜</v>
      </c>
      <c r="AU133" s="81" t="s">
        <v>38</v>
      </c>
      <c r="AV133" s="82" t="str">
        <f>AV127</f>
        <v>景</v>
      </c>
      <c r="AW133" s="81" t="s">
        <v>40</v>
      </c>
      <c r="AX133" s="82" t="str">
        <f>AX127</f>
        <v>死</v>
      </c>
      <c r="AY133" s="81" t="s">
        <v>42</v>
      </c>
      <c r="AZ133" s="82" t="str">
        <f>AZ127</f>
        <v>驚</v>
      </c>
      <c r="BA133" s="81" t="s">
        <v>44</v>
      </c>
      <c r="BB133" s="83"/>
      <c r="BC133" s="84"/>
      <c r="BD133" s="84"/>
      <c r="BE133" s="84"/>
    </row>
    <row r="134">
      <c r="A134" s="192">
        <f>A128+1</f>
        <v>21</v>
      </c>
      <c r="B134" s="193"/>
      <c r="C134" s="12" t="s">
        <v>187</v>
      </c>
      <c r="E134" s="214" t="s">
        <v>147</v>
      </c>
      <c r="G134" s="374" t="str">
        <f t="shared" ref="G134:G135" si="226">G3:H3</f>
        <v>乙</v>
      </c>
      <c r="I134" s="275" t="str">
        <f t="shared" ref="I134:I135" si="227">I44:J44</f>
        <v>丙</v>
      </c>
      <c r="K134" s="90">
        <f>L134/L135</f>
        <v>0.525</v>
      </c>
      <c r="L134" s="91">
        <f t="shared" ref="L134:L135" si="228">Z134+Y134+X134+W134+V134+U134+T134+S134+R134+Q134+P134+O134</f>
        <v>630</v>
      </c>
      <c r="M134" s="92">
        <v>0.0</v>
      </c>
      <c r="N134" s="93">
        <v>0.0</v>
      </c>
      <c r="O134" s="92">
        <v>65.0</v>
      </c>
      <c r="P134" s="92">
        <v>10.0</v>
      </c>
      <c r="Q134" s="92">
        <v>10.0</v>
      </c>
      <c r="R134" s="93">
        <v>50.0</v>
      </c>
      <c r="S134" s="92">
        <v>65.0</v>
      </c>
      <c r="T134" s="93">
        <v>65.0</v>
      </c>
      <c r="U134" s="92">
        <f t="shared" ref="U134:X134" si="224">U50</f>
        <v>75</v>
      </c>
      <c r="V134" s="93">
        <f t="shared" si="224"/>
        <v>10</v>
      </c>
      <c r="W134" s="92">
        <f t="shared" si="224"/>
        <v>30</v>
      </c>
      <c r="X134" s="93">
        <f t="shared" si="224"/>
        <v>80</v>
      </c>
      <c r="Y134" s="92">
        <f t="shared" ref="Y134:Z134" si="225">Y44</f>
        <v>110</v>
      </c>
      <c r="Z134" s="93">
        <f t="shared" si="225"/>
        <v>60</v>
      </c>
      <c r="AA134" s="73" t="s">
        <v>80</v>
      </c>
      <c r="AB134" s="94" t="s">
        <v>81</v>
      </c>
      <c r="AC134" s="36"/>
      <c r="AD134" s="29"/>
      <c r="AE134" s="139" t="s">
        <v>148</v>
      </c>
      <c r="AF134" s="96" t="s">
        <v>149</v>
      </c>
      <c r="AG134" s="37"/>
      <c r="AH134" s="97"/>
      <c r="AI134" s="12" t="s">
        <v>189</v>
      </c>
      <c r="AJ134" s="12">
        <v>90.0</v>
      </c>
      <c r="AK134" s="12" t="s">
        <v>208</v>
      </c>
      <c r="AL134" s="98" t="s">
        <v>39</v>
      </c>
      <c r="AM134" s="99" t="s">
        <v>93</v>
      </c>
      <c r="AN134" s="100" t="s">
        <v>37</v>
      </c>
      <c r="AO134" s="99" t="s">
        <v>94</v>
      </c>
      <c r="AP134" s="100" t="s">
        <v>51</v>
      </c>
      <c r="AQ134" s="101" t="s">
        <v>95</v>
      </c>
      <c r="AR134" s="100" t="s">
        <v>86</v>
      </c>
      <c r="AS134" s="99" t="s">
        <v>87</v>
      </c>
      <c r="AT134" s="100" t="s">
        <v>88</v>
      </c>
      <c r="AU134" s="101" t="s">
        <v>89</v>
      </c>
      <c r="AV134" s="100" t="s">
        <v>45</v>
      </c>
      <c r="AW134" s="102" t="s">
        <v>90</v>
      </c>
      <c r="AX134" s="100" t="s">
        <v>43</v>
      </c>
      <c r="AY134" s="101" t="s">
        <v>91</v>
      </c>
      <c r="AZ134" s="100" t="s">
        <v>41</v>
      </c>
      <c r="BA134" s="103" t="s">
        <v>92</v>
      </c>
      <c r="BB134" s="24"/>
    </row>
    <row r="135">
      <c r="A135" s="215" t="str">
        <f>G2</f>
        <v>กรกฎาคม</v>
      </c>
      <c r="B135" s="193"/>
      <c r="C135" s="175" t="s">
        <v>223</v>
      </c>
      <c r="E135" s="209" t="s">
        <v>76</v>
      </c>
      <c r="G135" s="397" t="str">
        <f t="shared" si="226"/>
        <v>未</v>
      </c>
      <c r="I135" s="142" t="str">
        <f t="shared" si="227"/>
        <v>午</v>
      </c>
      <c r="K135" s="36"/>
      <c r="L135" s="109">
        <f t="shared" si="228"/>
        <v>1200</v>
      </c>
      <c r="M135" s="9">
        <v>0.0</v>
      </c>
      <c r="N135" s="110">
        <v>0.0</v>
      </c>
      <c r="O135" s="9">
        <v>100.0</v>
      </c>
      <c r="P135" s="9">
        <v>100.0</v>
      </c>
      <c r="Q135" s="9">
        <v>100.0</v>
      </c>
      <c r="R135" s="110">
        <v>100.0</v>
      </c>
      <c r="S135" s="9">
        <v>100.0</v>
      </c>
      <c r="T135" s="110">
        <v>100.0</v>
      </c>
      <c r="U135" s="9">
        <v>100.0</v>
      </c>
      <c r="V135" s="110">
        <v>100.0</v>
      </c>
      <c r="W135" s="9">
        <v>100.0</v>
      </c>
      <c r="X135" s="110">
        <v>100.0</v>
      </c>
      <c r="Y135" s="9">
        <v>100.0</v>
      </c>
      <c r="Z135" s="110">
        <v>100.0</v>
      </c>
      <c r="AA135" s="73" t="s">
        <v>98</v>
      </c>
      <c r="AB135" s="94" t="s">
        <v>99</v>
      </c>
      <c r="AC135" s="36"/>
      <c r="AD135" s="36"/>
      <c r="AE135" s="111"/>
      <c r="AF135" s="112"/>
      <c r="AG135" s="37"/>
      <c r="AH135" s="97"/>
      <c r="AI135" s="14"/>
      <c r="AJ135" s="14"/>
      <c r="AK135" s="14"/>
      <c r="AL135" s="113"/>
      <c r="AM135" s="104" t="s">
        <v>105</v>
      </c>
      <c r="AO135" s="104" t="s">
        <v>106</v>
      </c>
      <c r="AQ135" s="105" t="s">
        <v>107</v>
      </c>
      <c r="AS135" s="104" t="s">
        <v>100</v>
      </c>
      <c r="AU135" s="114" t="s">
        <v>101</v>
      </c>
      <c r="AW135" s="105" t="s">
        <v>102</v>
      </c>
      <c r="AY135" s="105" t="s">
        <v>103</v>
      </c>
      <c r="BA135" s="104" t="s">
        <v>104</v>
      </c>
      <c r="BB135" s="24"/>
    </row>
    <row r="136">
      <c r="A136" s="192">
        <v>2569.0</v>
      </c>
      <c r="B136" s="193"/>
      <c r="E136" s="115" t="s">
        <v>115</v>
      </c>
      <c r="F136" s="116" t="s">
        <v>214</v>
      </c>
      <c r="G136" s="115" t="str">
        <f t="shared" ref="G136:H136" si="229">G52</f>
        <v>A12</v>
      </c>
      <c r="H136" s="9" t="str">
        <f t="shared" si="229"/>
        <v>B12</v>
      </c>
      <c r="I136" s="9" t="str">
        <f t="shared" ref="I136:J136" si="230">I46</f>
        <v>A5</v>
      </c>
      <c r="J136" s="9" t="str">
        <f t="shared" si="230"/>
        <v>B11</v>
      </c>
      <c r="K136" s="36"/>
      <c r="L136" s="117"/>
      <c r="M136" s="118" t="str">
        <f t="shared" ref="M136:P136" si="231">C136</f>
        <v/>
      </c>
      <c r="N136" s="119" t="str">
        <f t="shared" si="231"/>
        <v/>
      </c>
      <c r="O136" s="118" t="str">
        <f t="shared" si="231"/>
        <v>A7</v>
      </c>
      <c r="P136" s="118" t="str">
        <f t="shared" si="231"/>
        <v>B11</v>
      </c>
      <c r="Q136" s="118" t="str">
        <f t="shared" ref="Q136:R136" si="232">E137</f>
        <v>B9</v>
      </c>
      <c r="R136" s="119" t="str">
        <f t="shared" si="232"/>
        <v>C2</v>
      </c>
      <c r="S136" s="9" t="s">
        <v>110</v>
      </c>
      <c r="T136" s="110" t="s">
        <v>110</v>
      </c>
      <c r="U136" s="9" t="str">
        <f t="shared" ref="U136:V136" si="233">G136</f>
        <v>A12</v>
      </c>
      <c r="V136" s="119" t="str">
        <f t="shared" si="233"/>
        <v>B12</v>
      </c>
      <c r="W136" s="9" t="str">
        <f t="shared" ref="W136:X136" si="234">W52</f>
        <v>A6</v>
      </c>
      <c r="X136" s="110" t="str">
        <f t="shared" si="234"/>
        <v>A1</v>
      </c>
      <c r="Y136" s="118" t="str">
        <f t="shared" ref="Y136:Z136" si="235">I136</f>
        <v>A5</v>
      </c>
      <c r="Z136" s="120" t="str">
        <f t="shared" si="235"/>
        <v>B11</v>
      </c>
      <c r="AA136" s="73" t="s">
        <v>116</v>
      </c>
      <c r="AB136" s="94" t="s">
        <v>117</v>
      </c>
      <c r="AC136" s="36"/>
      <c r="AD136" s="36"/>
      <c r="AE136" s="111"/>
      <c r="AF136" s="112"/>
      <c r="AG136" s="37"/>
      <c r="AH136" s="97"/>
      <c r="AI136" s="14"/>
      <c r="AJ136" s="14"/>
      <c r="AK136" s="14"/>
      <c r="AL136" s="113"/>
      <c r="AM136" s="104" t="s">
        <v>123</v>
      </c>
      <c r="AO136" s="104" t="s">
        <v>124</v>
      </c>
      <c r="AQ136" s="105" t="s">
        <v>125</v>
      </c>
      <c r="AS136" s="104" t="s">
        <v>118</v>
      </c>
      <c r="AU136" s="114" t="s">
        <v>119</v>
      </c>
      <c r="AW136" s="105" t="s">
        <v>120</v>
      </c>
      <c r="AY136" s="105" t="s">
        <v>121</v>
      </c>
      <c r="BA136" s="104" t="s">
        <v>122</v>
      </c>
      <c r="BB136" s="24"/>
    </row>
    <row r="137">
      <c r="A137" s="192">
        <f>A136-543</f>
        <v>2026</v>
      </c>
      <c r="B137" s="193"/>
      <c r="E137" s="115" t="s">
        <v>212</v>
      </c>
      <c r="F137" s="116" t="s">
        <v>167</v>
      </c>
      <c r="G137" s="115"/>
      <c r="H137" s="118"/>
      <c r="I137" s="118"/>
      <c r="J137" s="118"/>
      <c r="K137" s="36"/>
      <c r="L137" s="117"/>
      <c r="M137" s="326"/>
      <c r="N137" s="327"/>
      <c r="R137" s="117"/>
      <c r="T137" s="117"/>
      <c r="V137" s="117"/>
      <c r="W137" s="9"/>
      <c r="X137" s="110"/>
      <c r="Z137" s="117"/>
      <c r="AA137" s="73" t="s">
        <v>126</v>
      </c>
      <c r="AB137" s="94" t="s">
        <v>128</v>
      </c>
      <c r="AC137" s="36"/>
      <c r="AD137" s="36"/>
      <c r="AE137" s="111"/>
      <c r="AF137" s="112"/>
      <c r="AG137" s="37"/>
      <c r="AH137" s="97"/>
      <c r="AI137" s="14"/>
      <c r="AJ137" s="14"/>
      <c r="AK137" s="14"/>
      <c r="AL137" s="113"/>
      <c r="AM137" s="104" t="s">
        <v>134</v>
      </c>
      <c r="AO137" s="104" t="s">
        <v>135</v>
      </c>
      <c r="AQ137" s="105" t="s">
        <v>136</v>
      </c>
      <c r="AS137" s="104" t="s">
        <v>129</v>
      </c>
      <c r="AU137" s="114" t="s">
        <v>130</v>
      </c>
      <c r="AW137" s="105" t="s">
        <v>131</v>
      </c>
      <c r="AY137" s="105" t="s">
        <v>132</v>
      </c>
      <c r="BA137" s="104" t="s">
        <v>133</v>
      </c>
      <c r="BB137" s="24"/>
    </row>
    <row r="138">
      <c r="A138" s="113"/>
      <c r="B138" s="206"/>
      <c r="C138" s="123"/>
      <c r="D138" s="123"/>
      <c r="E138" s="176" t="s">
        <v>157</v>
      </c>
      <c r="F138" s="88"/>
      <c r="G138" s="207" t="str">
        <f>G5:H5</f>
        <v>อสูรเดือน W</v>
      </c>
      <c r="I138" s="208" t="str">
        <f>I5:J5</f>
        <v>อสูรปี N</v>
      </c>
      <c r="K138" s="36"/>
      <c r="L138" s="117"/>
      <c r="M138" s="128"/>
      <c r="N138" s="117"/>
      <c r="R138" s="117"/>
      <c r="T138" s="117"/>
      <c r="V138" s="117"/>
      <c r="W138" s="9"/>
      <c r="X138" s="110"/>
      <c r="Z138" s="117"/>
      <c r="AA138" s="127"/>
      <c r="AB138" s="155"/>
      <c r="AC138" s="36"/>
      <c r="AD138" s="36"/>
      <c r="AE138" s="111"/>
      <c r="AF138" s="112"/>
      <c r="AG138" s="37"/>
      <c r="AH138" s="97"/>
      <c r="AI138" s="14"/>
      <c r="AJ138" s="14"/>
      <c r="AK138" s="14"/>
      <c r="AL138" s="113"/>
      <c r="AM138" s="128"/>
      <c r="BB138" s="24"/>
    </row>
    <row r="139">
      <c r="A139" s="188" t="s">
        <v>199</v>
      </c>
      <c r="B139" s="189"/>
      <c r="C139" s="63"/>
      <c r="D139" s="63"/>
      <c r="E139" s="64">
        <f>(O140+P140+Q140+R140)/(O141+P141+Q141+R141)</f>
        <v>0.4125</v>
      </c>
      <c r="F139" s="65"/>
      <c r="G139" s="133"/>
      <c r="H139" s="72"/>
      <c r="I139" s="67"/>
      <c r="J139" s="72"/>
      <c r="K139" s="68"/>
      <c r="L139" s="69"/>
      <c r="M139" s="63" t="s">
        <v>64</v>
      </c>
      <c r="N139" s="70"/>
      <c r="O139" s="71" t="s">
        <v>65</v>
      </c>
      <c r="P139" s="72"/>
      <c r="Q139" s="72"/>
      <c r="R139" s="70"/>
      <c r="S139" s="71" t="s">
        <v>66</v>
      </c>
      <c r="T139" s="70"/>
      <c r="U139" s="71" t="s">
        <v>67</v>
      </c>
      <c r="V139" s="70"/>
      <c r="W139" s="71" t="s">
        <v>348</v>
      </c>
      <c r="X139" s="70"/>
      <c r="Y139" s="71" t="s">
        <v>68</v>
      </c>
      <c r="Z139" s="70"/>
      <c r="AA139" s="134" t="s">
        <v>116</v>
      </c>
      <c r="AB139" s="74" t="s">
        <v>140</v>
      </c>
      <c r="AC139" s="75" t="s">
        <v>209</v>
      </c>
      <c r="AD139" s="75" t="s">
        <v>238</v>
      </c>
      <c r="AE139" s="190" t="s">
        <v>173</v>
      </c>
      <c r="AF139" s="77" t="s">
        <v>193</v>
      </c>
      <c r="AG139" s="63" t="s">
        <v>35</v>
      </c>
      <c r="AH139" s="78" t="s">
        <v>34</v>
      </c>
      <c r="AI139" s="79" t="s">
        <v>71</v>
      </c>
      <c r="AJ139" s="79">
        <v>210.0</v>
      </c>
      <c r="AK139" s="79" t="s">
        <v>175</v>
      </c>
      <c r="AL139" s="80" t="str">
        <f>AL133</f>
        <v>開</v>
      </c>
      <c r="AM139" s="81" t="s">
        <v>38</v>
      </c>
      <c r="AN139" s="82" t="str">
        <f>AN133</f>
        <v>休</v>
      </c>
      <c r="AO139" s="81" t="s">
        <v>40</v>
      </c>
      <c r="AP139" s="82" t="s">
        <v>4</v>
      </c>
      <c r="AQ139" s="81" t="s">
        <v>42</v>
      </c>
      <c r="AR139" s="82" t="str">
        <f>AR133</f>
        <v>傷</v>
      </c>
      <c r="AS139" s="81" t="s">
        <v>44</v>
      </c>
      <c r="AT139" s="82" t="s">
        <v>8</v>
      </c>
      <c r="AU139" s="81" t="s">
        <v>46</v>
      </c>
      <c r="AV139" s="82" t="str">
        <f>AV133</f>
        <v>景</v>
      </c>
      <c r="AW139" s="81" t="s">
        <v>48</v>
      </c>
      <c r="AX139" s="82" t="str">
        <f>AX133</f>
        <v>死</v>
      </c>
      <c r="AY139" s="81" t="s">
        <v>50</v>
      </c>
      <c r="AZ139" s="82" t="str">
        <f>AZ133</f>
        <v>驚</v>
      </c>
      <c r="BA139" s="81" t="s">
        <v>52</v>
      </c>
      <c r="BB139" s="83"/>
      <c r="BC139" s="84"/>
      <c r="BD139" s="84"/>
      <c r="BE139" s="84"/>
    </row>
    <row r="140">
      <c r="A140" s="285">
        <f>A134+1</f>
        <v>22</v>
      </c>
      <c r="B140" s="193"/>
      <c r="C140" s="12" t="s">
        <v>176</v>
      </c>
      <c r="E140" s="160" t="s">
        <v>161</v>
      </c>
      <c r="G140" s="374" t="str">
        <f t="shared" ref="G140:G141" si="238">G3:H3</f>
        <v>乙</v>
      </c>
      <c r="I140" s="275" t="str">
        <f t="shared" ref="I140:I141" si="239">I44:J44</f>
        <v>丙</v>
      </c>
      <c r="K140" s="90">
        <f>L140/L141</f>
        <v>0.4583333333</v>
      </c>
      <c r="L140" s="91">
        <f t="shared" ref="L140:L141" si="240">Z140+Y140+X140+W140+V140+U140+T140+S140+R140+Q140+P140+O140</f>
        <v>550</v>
      </c>
      <c r="M140" s="92">
        <v>0.0</v>
      </c>
      <c r="N140" s="93">
        <v>0.0</v>
      </c>
      <c r="O140" s="92">
        <v>5.0</v>
      </c>
      <c r="P140" s="92">
        <v>70.0</v>
      </c>
      <c r="Q140" s="92">
        <v>60.0</v>
      </c>
      <c r="R140" s="93">
        <v>30.0</v>
      </c>
      <c r="S140" s="92">
        <v>0.0</v>
      </c>
      <c r="T140" s="93">
        <v>20.0</v>
      </c>
      <c r="U140" s="92">
        <f t="shared" ref="U140:X140" si="236">U50</f>
        <v>75</v>
      </c>
      <c r="V140" s="93">
        <f t="shared" si="236"/>
        <v>10</v>
      </c>
      <c r="W140" s="92">
        <f t="shared" si="236"/>
        <v>30</v>
      </c>
      <c r="X140" s="93">
        <f t="shared" si="236"/>
        <v>80</v>
      </c>
      <c r="Y140" s="92">
        <f t="shared" ref="Y140:Z140" si="237">Y44</f>
        <v>110</v>
      </c>
      <c r="Z140" s="93">
        <f t="shared" si="237"/>
        <v>60</v>
      </c>
      <c r="AA140" s="73" t="s">
        <v>126</v>
      </c>
      <c r="AB140" s="94" t="s">
        <v>70</v>
      </c>
      <c r="AC140" s="36"/>
      <c r="AD140" s="36"/>
      <c r="AE140" s="195" t="s">
        <v>196</v>
      </c>
      <c r="AF140" s="96" t="s">
        <v>149</v>
      </c>
      <c r="AG140" s="37"/>
      <c r="AH140" s="97"/>
      <c r="AI140" s="12" t="s">
        <v>53</v>
      </c>
      <c r="AJ140" s="12">
        <v>30.0</v>
      </c>
      <c r="AK140" s="12" t="s">
        <v>178</v>
      </c>
      <c r="AL140" s="98" t="s">
        <v>37</v>
      </c>
      <c r="AM140" s="99" t="s">
        <v>94</v>
      </c>
      <c r="AN140" s="100" t="s">
        <v>51</v>
      </c>
      <c r="AO140" s="101" t="s">
        <v>95</v>
      </c>
      <c r="AP140" s="100" t="s">
        <v>86</v>
      </c>
      <c r="AQ140" s="99" t="s">
        <v>87</v>
      </c>
      <c r="AR140" s="100" t="s">
        <v>88</v>
      </c>
      <c r="AS140" s="101" t="s">
        <v>89</v>
      </c>
      <c r="AT140" s="100" t="s">
        <v>45</v>
      </c>
      <c r="AU140" s="102" t="s">
        <v>90</v>
      </c>
      <c r="AV140" s="100" t="s">
        <v>43</v>
      </c>
      <c r="AW140" s="101" t="s">
        <v>91</v>
      </c>
      <c r="AX140" s="100" t="s">
        <v>41</v>
      </c>
      <c r="AY140" s="103" t="s">
        <v>92</v>
      </c>
      <c r="AZ140" s="100" t="s">
        <v>39</v>
      </c>
      <c r="BA140" s="99" t="s">
        <v>93</v>
      </c>
      <c r="BB140" s="24"/>
    </row>
    <row r="141">
      <c r="A141" s="215" t="str">
        <f>G2</f>
        <v>กรกฎาคม</v>
      </c>
      <c r="B141" s="193"/>
      <c r="C141" s="360" t="s">
        <v>231</v>
      </c>
      <c r="E141" s="209" t="s">
        <v>32</v>
      </c>
      <c r="G141" s="397" t="str">
        <f t="shared" si="238"/>
        <v>未</v>
      </c>
      <c r="I141" s="142" t="str">
        <f t="shared" si="239"/>
        <v>午</v>
      </c>
      <c r="K141" s="36"/>
      <c r="L141" s="109">
        <f t="shared" si="240"/>
        <v>1200</v>
      </c>
      <c r="M141" s="9">
        <v>0.0</v>
      </c>
      <c r="N141" s="110">
        <v>0.0</v>
      </c>
      <c r="O141" s="9">
        <v>100.0</v>
      </c>
      <c r="P141" s="9">
        <v>100.0</v>
      </c>
      <c r="Q141" s="9">
        <v>100.0</v>
      </c>
      <c r="R141" s="110">
        <v>100.0</v>
      </c>
      <c r="S141" s="9">
        <v>100.0</v>
      </c>
      <c r="T141" s="110">
        <v>100.0</v>
      </c>
      <c r="U141" s="9">
        <v>100.0</v>
      </c>
      <c r="V141" s="110">
        <v>100.0</v>
      </c>
      <c r="W141" s="9">
        <v>100.0</v>
      </c>
      <c r="X141" s="110">
        <v>100.0</v>
      </c>
      <c r="Y141" s="9">
        <v>100.0</v>
      </c>
      <c r="Z141" s="110">
        <v>100.0</v>
      </c>
      <c r="AA141" s="73" t="s">
        <v>69</v>
      </c>
      <c r="AB141" s="94" t="s">
        <v>152</v>
      </c>
      <c r="AC141" s="36"/>
      <c r="AD141" s="36"/>
      <c r="AE141" s="111"/>
      <c r="AF141" s="112"/>
      <c r="AG141" s="37"/>
      <c r="AH141" s="97"/>
      <c r="AI141" s="14"/>
      <c r="AJ141" s="14"/>
      <c r="AK141" s="14"/>
      <c r="AL141" s="113"/>
      <c r="AM141" s="104" t="s">
        <v>106</v>
      </c>
      <c r="AO141" s="105" t="s">
        <v>107</v>
      </c>
      <c r="AQ141" s="104" t="s">
        <v>100</v>
      </c>
      <c r="AS141" s="114" t="s">
        <v>101</v>
      </c>
      <c r="AU141" s="105" t="s">
        <v>102</v>
      </c>
      <c r="AW141" s="105" t="s">
        <v>103</v>
      </c>
      <c r="AY141" s="104" t="s">
        <v>104</v>
      </c>
      <c r="BA141" s="104" t="s">
        <v>105</v>
      </c>
      <c r="BB141" s="24"/>
    </row>
    <row r="142">
      <c r="A142" s="192">
        <v>2569.0</v>
      </c>
      <c r="B142" s="193"/>
      <c r="E142" s="115" t="s">
        <v>182</v>
      </c>
      <c r="F142" s="116" t="s">
        <v>214</v>
      </c>
      <c r="G142" s="115" t="str">
        <f t="shared" ref="G142:H142" si="241">G52</f>
        <v>A12</v>
      </c>
      <c r="H142" s="9" t="str">
        <f t="shared" si="241"/>
        <v>B12</v>
      </c>
      <c r="I142" s="9" t="str">
        <f t="shared" ref="I142:J142" si="242">I46</f>
        <v>A5</v>
      </c>
      <c r="J142" s="9" t="str">
        <f t="shared" si="242"/>
        <v>B11</v>
      </c>
      <c r="K142" s="36"/>
      <c r="L142" s="117"/>
      <c r="M142" s="118" t="str">
        <f t="shared" ref="M142:P142" si="243">C142</f>
        <v/>
      </c>
      <c r="N142" s="119" t="str">
        <f t="shared" si="243"/>
        <v/>
      </c>
      <c r="O142" s="118" t="str">
        <f t="shared" si="243"/>
        <v>A1</v>
      </c>
      <c r="P142" s="118" t="str">
        <f t="shared" si="243"/>
        <v>B11</v>
      </c>
      <c r="Q142" s="118" t="str">
        <f t="shared" ref="Q142:R142" si="244">E143</f>
        <v>B8</v>
      </c>
      <c r="R142" s="119" t="str">
        <f t="shared" si="244"/>
        <v>C3</v>
      </c>
      <c r="S142" s="9" t="s">
        <v>114</v>
      </c>
      <c r="T142" s="110" t="s">
        <v>115</v>
      </c>
      <c r="U142" s="9" t="str">
        <f t="shared" ref="U142:V142" si="245">G142</f>
        <v>A12</v>
      </c>
      <c r="V142" s="119" t="str">
        <f t="shared" si="245"/>
        <v>B12</v>
      </c>
      <c r="W142" s="9" t="str">
        <f t="shared" ref="W142:X142" si="246">W52</f>
        <v>A6</v>
      </c>
      <c r="X142" s="110" t="str">
        <f t="shared" si="246"/>
        <v>A1</v>
      </c>
      <c r="Y142" s="118" t="str">
        <f t="shared" ref="Y142:Z142" si="247">I142</f>
        <v>A5</v>
      </c>
      <c r="Z142" s="120" t="str">
        <f t="shared" si="247"/>
        <v>B11</v>
      </c>
      <c r="AA142" s="73" t="s">
        <v>80</v>
      </c>
      <c r="AB142" s="94" t="s">
        <v>153</v>
      </c>
      <c r="AC142" s="36"/>
      <c r="AD142" s="36"/>
      <c r="AE142" s="111"/>
      <c r="AF142" s="112"/>
      <c r="AG142" s="37"/>
      <c r="AH142" s="97"/>
      <c r="AI142" s="14"/>
      <c r="AJ142" s="14"/>
      <c r="AK142" s="14"/>
      <c r="AL142" s="113"/>
      <c r="AM142" s="104" t="s">
        <v>124</v>
      </c>
      <c r="AO142" s="105" t="s">
        <v>125</v>
      </c>
      <c r="AQ142" s="104" t="s">
        <v>118</v>
      </c>
      <c r="AS142" s="114" t="s">
        <v>119</v>
      </c>
      <c r="AU142" s="105" t="s">
        <v>120</v>
      </c>
      <c r="AW142" s="105" t="s">
        <v>121</v>
      </c>
      <c r="AY142" s="104" t="s">
        <v>122</v>
      </c>
      <c r="BA142" s="104" t="s">
        <v>123</v>
      </c>
      <c r="BB142" s="24"/>
    </row>
    <row r="143">
      <c r="A143" s="192">
        <f>A142-543</f>
        <v>2026</v>
      </c>
      <c r="B143" s="193"/>
      <c r="C143" s="401" t="s">
        <v>335</v>
      </c>
      <c r="E143" s="115" t="s">
        <v>69</v>
      </c>
      <c r="F143" s="116" t="s">
        <v>184</v>
      </c>
      <c r="G143" s="115"/>
      <c r="H143" s="118"/>
      <c r="I143" s="118"/>
      <c r="J143" s="118"/>
      <c r="K143" s="36"/>
      <c r="L143" s="117"/>
      <c r="M143" s="326"/>
      <c r="N143" s="327"/>
      <c r="R143" s="117"/>
      <c r="T143" s="117"/>
      <c r="V143" s="117"/>
      <c r="W143" s="9"/>
      <c r="X143" s="110"/>
      <c r="Z143" s="117"/>
      <c r="AA143" s="73" t="s">
        <v>98</v>
      </c>
      <c r="AB143" s="94" t="s">
        <v>155</v>
      </c>
      <c r="AC143" s="36"/>
      <c r="AD143" s="36"/>
      <c r="AE143" s="111"/>
      <c r="AF143" s="112"/>
      <c r="AG143" s="37"/>
      <c r="AH143" s="97"/>
      <c r="AI143" s="14"/>
      <c r="AJ143" s="14"/>
      <c r="AK143" s="14"/>
      <c r="AL143" s="113"/>
      <c r="AM143" s="104" t="s">
        <v>135</v>
      </c>
      <c r="AO143" s="105" t="s">
        <v>136</v>
      </c>
      <c r="AQ143" s="104" t="s">
        <v>129</v>
      </c>
      <c r="AS143" s="114" t="s">
        <v>130</v>
      </c>
      <c r="AU143" s="105" t="s">
        <v>131</v>
      </c>
      <c r="AW143" s="105" t="s">
        <v>132</v>
      </c>
      <c r="AY143" s="104" t="s">
        <v>133</v>
      </c>
      <c r="BA143" s="104" t="s">
        <v>134</v>
      </c>
      <c r="BB143" s="24"/>
    </row>
    <row r="144">
      <c r="A144" s="380"/>
      <c r="B144" s="206"/>
      <c r="C144" s="123"/>
      <c r="D144" s="123"/>
      <c r="E144" s="164" t="s">
        <v>168</v>
      </c>
      <c r="F144" s="88"/>
      <c r="G144" s="207" t="str">
        <f>G5:H5</f>
        <v>อสูรเดือน W</v>
      </c>
      <c r="I144" s="208" t="str">
        <f>I5:J5</f>
        <v>อสูรปี N</v>
      </c>
      <c r="K144" s="36"/>
      <c r="L144" s="117"/>
      <c r="M144" s="326"/>
      <c r="N144" s="327"/>
      <c r="R144" s="117"/>
      <c r="T144" s="117"/>
      <c r="V144" s="117"/>
      <c r="W144" s="9"/>
      <c r="X144" s="110"/>
      <c r="Z144" s="117"/>
      <c r="AA144" s="127"/>
      <c r="AB144" s="155"/>
      <c r="AC144" s="36"/>
      <c r="AD144" s="36"/>
      <c r="AE144" s="111"/>
      <c r="AF144" s="112"/>
      <c r="AG144" s="37"/>
      <c r="AH144" s="97"/>
      <c r="AI144" s="14"/>
      <c r="AJ144" s="14"/>
      <c r="AK144" s="14"/>
      <c r="AL144" s="113"/>
      <c r="AQ144" s="128"/>
      <c r="BB144" s="24"/>
    </row>
    <row r="145">
      <c r="A145" s="188" t="s">
        <v>63</v>
      </c>
      <c r="B145" s="189"/>
      <c r="C145" s="63"/>
      <c r="D145" s="63"/>
      <c r="E145" s="64">
        <f>(O146+P146+Q146+R146)/(O147+P147+Q147+R147)</f>
        <v>0.6875</v>
      </c>
      <c r="F145" s="65"/>
      <c r="G145" s="133"/>
      <c r="H145" s="72"/>
      <c r="I145" s="67"/>
      <c r="J145" s="72"/>
      <c r="K145" s="68"/>
      <c r="L145" s="69"/>
      <c r="M145" s="63" t="s">
        <v>64</v>
      </c>
      <c r="N145" s="70"/>
      <c r="O145" s="71" t="s">
        <v>65</v>
      </c>
      <c r="P145" s="72"/>
      <c r="Q145" s="72"/>
      <c r="R145" s="70"/>
      <c r="S145" s="71" t="s">
        <v>66</v>
      </c>
      <c r="T145" s="70"/>
      <c r="U145" s="71" t="s">
        <v>67</v>
      </c>
      <c r="V145" s="70"/>
      <c r="W145" s="71" t="s">
        <v>348</v>
      </c>
      <c r="X145" s="70"/>
      <c r="Y145" s="71" t="s">
        <v>68</v>
      </c>
      <c r="Z145" s="70"/>
      <c r="AA145" s="134" t="s">
        <v>116</v>
      </c>
      <c r="AB145" s="74" t="s">
        <v>159</v>
      </c>
      <c r="AC145" s="75" t="s">
        <v>202</v>
      </c>
      <c r="AD145" s="75" t="s">
        <v>226</v>
      </c>
      <c r="AE145" s="190" t="s">
        <v>173</v>
      </c>
      <c r="AF145" s="77" t="s">
        <v>193</v>
      </c>
      <c r="AG145" s="63" t="s">
        <v>35</v>
      </c>
      <c r="AH145" s="78" t="s">
        <v>75</v>
      </c>
      <c r="AI145" s="79" t="s">
        <v>76</v>
      </c>
      <c r="AJ145" s="79">
        <v>240.0</v>
      </c>
      <c r="AK145" s="79" t="s">
        <v>77</v>
      </c>
      <c r="AL145" s="80" t="str">
        <f>AL139</f>
        <v>開</v>
      </c>
      <c r="AM145" s="81" t="s">
        <v>38</v>
      </c>
      <c r="AN145" s="82" t="str">
        <f>AN139</f>
        <v>休</v>
      </c>
      <c r="AO145" s="81" t="s">
        <v>40</v>
      </c>
      <c r="AP145" s="82" t="s">
        <v>4</v>
      </c>
      <c r="AQ145" s="81" t="s">
        <v>42</v>
      </c>
      <c r="AR145" s="82" t="str">
        <f>AR139</f>
        <v>傷</v>
      </c>
      <c r="AS145" s="81" t="s">
        <v>44</v>
      </c>
      <c r="AT145" s="82" t="s">
        <v>8</v>
      </c>
      <c r="AU145" s="81" t="s">
        <v>46</v>
      </c>
      <c r="AV145" s="82" t="str">
        <f>AV139</f>
        <v>景</v>
      </c>
      <c r="AW145" s="81" t="s">
        <v>48</v>
      </c>
      <c r="AX145" s="82" t="str">
        <f>AX139</f>
        <v>死</v>
      </c>
      <c r="AY145" s="81" t="s">
        <v>50</v>
      </c>
      <c r="AZ145" s="82" t="str">
        <f>AZ139</f>
        <v>驚</v>
      </c>
      <c r="BA145" s="81" t="s">
        <v>52</v>
      </c>
      <c r="BB145" s="83"/>
      <c r="BC145" s="84"/>
      <c r="BD145" s="84"/>
      <c r="BE145" s="84"/>
    </row>
    <row r="146">
      <c r="A146" s="192">
        <f>A140+1</f>
        <v>23</v>
      </c>
      <c r="B146" s="193"/>
      <c r="C146" s="12" t="s">
        <v>216</v>
      </c>
      <c r="E146" s="168" t="s">
        <v>79</v>
      </c>
      <c r="G146" s="374" t="str">
        <f t="shared" ref="G146:G147" si="250">G3:H3</f>
        <v>乙</v>
      </c>
      <c r="I146" s="275" t="str">
        <f t="shared" ref="I146:I147" si="251">I44:J44</f>
        <v>丙</v>
      </c>
      <c r="K146" s="90">
        <f>L146/L147</f>
        <v>0.6</v>
      </c>
      <c r="L146" s="91">
        <f t="shared" ref="L146:L147" si="252">Z146+Y146+X146+W146+V146+U146+T146+S146+R146+Q146+P146+O146</f>
        <v>720</v>
      </c>
      <c r="M146" s="92">
        <v>0.0</v>
      </c>
      <c r="N146" s="93">
        <v>0.0</v>
      </c>
      <c r="O146" s="92">
        <v>75.0</v>
      </c>
      <c r="P146" s="92">
        <v>80.0</v>
      </c>
      <c r="Q146" s="92">
        <v>40.0</v>
      </c>
      <c r="R146" s="93">
        <v>80.0</v>
      </c>
      <c r="S146" s="92">
        <v>45.0</v>
      </c>
      <c r="T146" s="93">
        <v>35.0</v>
      </c>
      <c r="U146" s="92">
        <f t="shared" ref="U146:X146" si="248">U50</f>
        <v>75</v>
      </c>
      <c r="V146" s="93">
        <f t="shared" si="248"/>
        <v>10</v>
      </c>
      <c r="W146" s="92">
        <f t="shared" si="248"/>
        <v>30</v>
      </c>
      <c r="X146" s="93">
        <f t="shared" si="248"/>
        <v>80</v>
      </c>
      <c r="Y146" s="92">
        <f t="shared" ref="Y146:Z146" si="249">Y44</f>
        <v>110</v>
      </c>
      <c r="Z146" s="93">
        <f t="shared" si="249"/>
        <v>60</v>
      </c>
      <c r="AA146" s="73" t="s">
        <v>126</v>
      </c>
      <c r="AB146" s="94" t="s">
        <v>152</v>
      </c>
      <c r="AC146" s="36"/>
      <c r="AD146" s="29" t="s">
        <v>227</v>
      </c>
      <c r="AE146" s="195" t="s">
        <v>196</v>
      </c>
      <c r="AF146" s="96" t="s">
        <v>149</v>
      </c>
      <c r="AG146" s="37"/>
      <c r="AH146" s="97"/>
      <c r="AI146" s="12" t="s">
        <v>84</v>
      </c>
      <c r="AJ146" s="12">
        <v>0.0</v>
      </c>
      <c r="AK146" s="12" t="s">
        <v>85</v>
      </c>
      <c r="AL146" s="98" t="s">
        <v>37</v>
      </c>
      <c r="AM146" s="99" t="s">
        <v>94</v>
      </c>
      <c r="AN146" s="100" t="s">
        <v>88</v>
      </c>
      <c r="AO146" s="101" t="s">
        <v>89</v>
      </c>
      <c r="AP146" s="100" t="s">
        <v>45</v>
      </c>
      <c r="AQ146" s="102" t="s">
        <v>90</v>
      </c>
      <c r="AR146" s="100" t="s">
        <v>43</v>
      </c>
      <c r="AS146" s="101" t="s">
        <v>91</v>
      </c>
      <c r="AT146" s="100" t="s">
        <v>41</v>
      </c>
      <c r="AU146" s="103" t="s">
        <v>92</v>
      </c>
      <c r="AV146" s="100" t="s">
        <v>41</v>
      </c>
      <c r="AW146" s="103" t="s">
        <v>92</v>
      </c>
      <c r="AX146" s="100" t="s">
        <v>39</v>
      </c>
      <c r="AY146" s="99" t="s">
        <v>93</v>
      </c>
      <c r="AZ146" s="100" t="s">
        <v>51</v>
      </c>
      <c r="BA146" s="101" t="s">
        <v>95</v>
      </c>
      <c r="BB146" s="24"/>
    </row>
    <row r="147">
      <c r="A147" s="215" t="str">
        <f>G2</f>
        <v>กรกฎาคม</v>
      </c>
      <c r="B147" s="193"/>
      <c r="C147" s="106" t="s">
        <v>235</v>
      </c>
      <c r="E147" s="162" t="s">
        <v>206</v>
      </c>
      <c r="G147" s="397" t="str">
        <f t="shared" si="250"/>
        <v>未</v>
      </c>
      <c r="I147" s="142" t="str">
        <f t="shared" si="251"/>
        <v>午</v>
      </c>
      <c r="K147" s="36"/>
      <c r="L147" s="109">
        <f t="shared" si="252"/>
        <v>1200</v>
      </c>
      <c r="M147" s="9">
        <v>0.0</v>
      </c>
      <c r="N147" s="110">
        <v>0.0</v>
      </c>
      <c r="O147" s="9">
        <v>100.0</v>
      </c>
      <c r="P147" s="9">
        <v>100.0</v>
      </c>
      <c r="Q147" s="9">
        <v>100.0</v>
      </c>
      <c r="R147" s="110">
        <v>100.0</v>
      </c>
      <c r="S147" s="9">
        <v>100.0</v>
      </c>
      <c r="T147" s="110">
        <v>100.0</v>
      </c>
      <c r="U147" s="9">
        <v>100.0</v>
      </c>
      <c r="V147" s="110">
        <v>100.0</v>
      </c>
      <c r="W147" s="9">
        <v>100.0</v>
      </c>
      <c r="X147" s="110">
        <v>100.0</v>
      </c>
      <c r="Y147" s="9">
        <v>100.0</v>
      </c>
      <c r="Z147" s="110">
        <v>100.0</v>
      </c>
      <c r="AA147" s="73" t="s">
        <v>69</v>
      </c>
      <c r="AB147" s="94" t="s">
        <v>163</v>
      </c>
      <c r="AC147" s="36"/>
      <c r="AD147" s="36"/>
      <c r="AE147" s="111"/>
      <c r="AF147" s="112"/>
      <c r="AG147" s="37"/>
      <c r="AH147" s="97"/>
      <c r="AI147" s="14"/>
      <c r="AJ147" s="14"/>
      <c r="AK147" s="14"/>
      <c r="AL147" s="113"/>
      <c r="AM147" s="104" t="s">
        <v>106</v>
      </c>
      <c r="AO147" s="114" t="s">
        <v>101</v>
      </c>
      <c r="AQ147" s="105" t="s">
        <v>102</v>
      </c>
      <c r="AS147" s="105" t="s">
        <v>103</v>
      </c>
      <c r="AU147" s="104" t="s">
        <v>104</v>
      </c>
      <c r="AW147" s="104" t="s">
        <v>104</v>
      </c>
      <c r="AY147" s="104" t="s">
        <v>105</v>
      </c>
      <c r="BA147" s="105" t="s">
        <v>107</v>
      </c>
      <c r="BB147" s="24"/>
    </row>
    <row r="148">
      <c r="A148" s="192">
        <v>2569.0</v>
      </c>
      <c r="B148" s="193"/>
      <c r="E148" s="115" t="s">
        <v>164</v>
      </c>
      <c r="F148" s="116" t="s">
        <v>80</v>
      </c>
      <c r="G148" s="115" t="str">
        <f t="shared" ref="G148:H148" si="253">G52</f>
        <v>A12</v>
      </c>
      <c r="H148" s="9" t="str">
        <f t="shared" si="253"/>
        <v>B12</v>
      </c>
      <c r="I148" s="9" t="str">
        <f t="shared" ref="I148:J148" si="254">I46</f>
        <v>A5</v>
      </c>
      <c r="J148" s="9" t="str">
        <f t="shared" si="254"/>
        <v>B11</v>
      </c>
      <c r="K148" s="36"/>
      <c r="L148" s="117"/>
      <c r="M148" s="118" t="str">
        <f t="shared" ref="M148:P148" si="255">C148</f>
        <v/>
      </c>
      <c r="N148" s="119" t="str">
        <f t="shared" si="255"/>
        <v/>
      </c>
      <c r="O148" s="118" t="str">
        <f t="shared" si="255"/>
        <v>A9</v>
      </c>
      <c r="P148" s="118" t="str">
        <f t="shared" si="255"/>
        <v>B1</v>
      </c>
      <c r="Q148" s="118" t="str">
        <f t="shared" ref="Q148:R148" si="256">E149</f>
        <v>B7</v>
      </c>
      <c r="R148" s="119" t="str">
        <f t="shared" si="256"/>
        <v>C4</v>
      </c>
      <c r="S148" s="9" t="s">
        <v>164</v>
      </c>
      <c r="T148" s="110" t="s">
        <v>112</v>
      </c>
      <c r="U148" s="9" t="str">
        <f t="shared" ref="U148:V148" si="257">G148</f>
        <v>A12</v>
      </c>
      <c r="V148" s="119" t="str">
        <f t="shared" si="257"/>
        <v>B12</v>
      </c>
      <c r="W148" s="9" t="str">
        <f t="shared" ref="W148:X148" si="258">W52</f>
        <v>A6</v>
      </c>
      <c r="X148" s="110" t="str">
        <f t="shared" si="258"/>
        <v>A1</v>
      </c>
      <c r="Y148" s="118" t="str">
        <f t="shared" ref="Y148:Z148" si="259">I148</f>
        <v>A5</v>
      </c>
      <c r="Z148" s="120" t="str">
        <f t="shared" si="259"/>
        <v>B11</v>
      </c>
      <c r="AA148" s="73" t="s">
        <v>80</v>
      </c>
      <c r="AB148" s="94" t="s">
        <v>117</v>
      </c>
      <c r="AC148" s="36"/>
      <c r="AD148" s="36"/>
      <c r="AE148" s="111"/>
      <c r="AF148" s="112"/>
      <c r="AG148" s="37"/>
      <c r="AH148" s="97"/>
      <c r="AI148" s="14"/>
      <c r="AJ148" s="14"/>
      <c r="AK148" s="14"/>
      <c r="AL148" s="113"/>
      <c r="AM148" s="104" t="s">
        <v>124</v>
      </c>
      <c r="AO148" s="114" t="s">
        <v>119</v>
      </c>
      <c r="AQ148" s="105" t="s">
        <v>120</v>
      </c>
      <c r="AS148" s="105" t="s">
        <v>121</v>
      </c>
      <c r="AU148" s="104" t="s">
        <v>122</v>
      </c>
      <c r="AW148" s="104" t="s">
        <v>122</v>
      </c>
      <c r="AY148" s="104" t="s">
        <v>123</v>
      </c>
      <c r="BA148" s="105" t="s">
        <v>125</v>
      </c>
      <c r="BB148" s="24"/>
    </row>
    <row r="149">
      <c r="A149" s="192">
        <f>A148-543</f>
        <v>2026</v>
      </c>
      <c r="B149" s="193"/>
      <c r="C149" s="12"/>
      <c r="E149" s="115" t="s">
        <v>111</v>
      </c>
      <c r="F149" s="116" t="s">
        <v>190</v>
      </c>
      <c r="G149" s="115"/>
      <c r="H149" s="118"/>
      <c r="I149" s="118"/>
      <c r="J149" s="118"/>
      <c r="K149" s="36"/>
      <c r="L149" s="117"/>
      <c r="M149" s="326"/>
      <c r="N149" s="327"/>
      <c r="R149" s="117"/>
      <c r="T149" s="117"/>
      <c r="V149" s="117"/>
      <c r="W149" s="9"/>
      <c r="X149" s="110"/>
      <c r="Z149" s="117"/>
      <c r="AA149" s="73" t="s">
        <v>98</v>
      </c>
      <c r="AB149" s="94" t="s">
        <v>128</v>
      </c>
      <c r="AC149" s="36"/>
      <c r="AD149" s="36"/>
      <c r="AE149" s="111"/>
      <c r="AF149" s="112"/>
      <c r="AG149" s="37"/>
      <c r="AH149" s="97"/>
      <c r="AI149" s="14"/>
      <c r="AJ149" s="14"/>
      <c r="AK149" s="14"/>
      <c r="AL149" s="113"/>
      <c r="AM149" s="104" t="s">
        <v>135</v>
      </c>
      <c r="AO149" s="114" t="s">
        <v>130</v>
      </c>
      <c r="AQ149" s="105" t="s">
        <v>131</v>
      </c>
      <c r="AS149" s="105" t="s">
        <v>132</v>
      </c>
      <c r="AU149" s="104" t="s">
        <v>133</v>
      </c>
      <c r="AW149" s="104" t="s">
        <v>133</v>
      </c>
      <c r="AY149" s="104" t="s">
        <v>134</v>
      </c>
      <c r="BA149" s="105" t="s">
        <v>136</v>
      </c>
      <c r="BB149" s="24"/>
    </row>
    <row r="150">
      <c r="A150" s="351"/>
      <c r="B150" s="206"/>
      <c r="C150" s="1"/>
      <c r="D150" s="123"/>
      <c r="E150" s="164" t="s">
        <v>185</v>
      </c>
      <c r="F150" s="88"/>
      <c r="G150" s="207" t="str">
        <f>G5:H5</f>
        <v>อสูรเดือน W</v>
      </c>
      <c r="I150" s="208" t="str">
        <f>I5:J5</f>
        <v>อสูรปี N</v>
      </c>
      <c r="K150" s="36"/>
      <c r="L150" s="117"/>
      <c r="M150" s="326"/>
      <c r="N150" s="327"/>
      <c r="R150" s="117"/>
      <c r="T150" s="117"/>
      <c r="V150" s="117"/>
      <c r="W150" s="9"/>
      <c r="X150" s="110"/>
      <c r="Z150" s="117"/>
      <c r="AA150" s="127"/>
      <c r="AB150" s="155"/>
      <c r="AC150" s="36"/>
      <c r="AD150" s="36"/>
      <c r="AE150" s="111"/>
      <c r="AF150" s="112"/>
      <c r="AG150" s="37"/>
      <c r="AH150" s="97"/>
      <c r="AI150" s="14"/>
      <c r="AJ150" s="14"/>
      <c r="AK150" s="14"/>
      <c r="AL150" s="113"/>
      <c r="AO150" s="128"/>
      <c r="BB150" s="24"/>
    </row>
    <row r="151">
      <c r="A151" s="188" t="s">
        <v>139</v>
      </c>
      <c r="B151" s="189"/>
      <c r="C151" s="63"/>
      <c r="D151" s="63"/>
      <c r="E151" s="64">
        <f>(O152+P152+Q152+R152)/(O153+P153+Q153+R153)</f>
        <v>0.3625</v>
      </c>
      <c r="F151" s="65"/>
      <c r="G151" s="133"/>
      <c r="H151" s="72"/>
      <c r="I151" s="67"/>
      <c r="J151" s="72"/>
      <c r="K151" s="68"/>
      <c r="L151" s="69"/>
      <c r="M151" s="63" t="s">
        <v>64</v>
      </c>
      <c r="N151" s="70"/>
      <c r="O151" s="71" t="s">
        <v>65</v>
      </c>
      <c r="P151" s="72"/>
      <c r="Q151" s="72"/>
      <c r="R151" s="70"/>
      <c r="S151" s="71" t="s">
        <v>66</v>
      </c>
      <c r="T151" s="70"/>
      <c r="U151" s="71" t="s">
        <v>67</v>
      </c>
      <c r="V151" s="70"/>
      <c r="W151" s="71" t="s">
        <v>348</v>
      </c>
      <c r="X151" s="70"/>
      <c r="Y151" s="71" t="s">
        <v>68</v>
      </c>
      <c r="Z151" s="70"/>
      <c r="AA151" s="134" t="s">
        <v>80</v>
      </c>
      <c r="AB151" s="74" t="s">
        <v>170</v>
      </c>
      <c r="AC151" s="75" t="s">
        <v>32</v>
      </c>
      <c r="AD151" s="75" t="s">
        <v>233</v>
      </c>
      <c r="AE151" s="76" t="s">
        <v>73</v>
      </c>
      <c r="AF151" s="77" t="s">
        <v>74</v>
      </c>
      <c r="AG151" s="63" t="s">
        <v>75</v>
      </c>
      <c r="AH151" s="78" t="s">
        <v>144</v>
      </c>
      <c r="AI151" s="79" t="s">
        <v>32</v>
      </c>
      <c r="AJ151" s="79">
        <v>270.0</v>
      </c>
      <c r="AK151" s="79" t="s">
        <v>145</v>
      </c>
      <c r="AL151" s="80" t="str">
        <f>AL145</f>
        <v>開</v>
      </c>
      <c r="AM151" s="81" t="s">
        <v>42</v>
      </c>
      <c r="AN151" s="82" t="str">
        <f>AN145</f>
        <v>休</v>
      </c>
      <c r="AO151" s="81" t="s">
        <v>44</v>
      </c>
      <c r="AP151" s="82" t="s">
        <v>4</v>
      </c>
      <c r="AQ151" s="81" t="s">
        <v>46</v>
      </c>
      <c r="AR151" s="82" t="str">
        <f>AR145</f>
        <v>傷</v>
      </c>
      <c r="AS151" s="81" t="s">
        <v>48</v>
      </c>
      <c r="AT151" s="82" t="s">
        <v>8</v>
      </c>
      <c r="AU151" s="81" t="s">
        <v>50</v>
      </c>
      <c r="AV151" s="82" t="str">
        <f>AV145</f>
        <v>景</v>
      </c>
      <c r="AW151" s="81" t="s">
        <v>52</v>
      </c>
      <c r="AX151" s="82" t="str">
        <f>AX145</f>
        <v>死</v>
      </c>
      <c r="AY151" s="81" t="s">
        <v>38</v>
      </c>
      <c r="AZ151" s="82" t="str">
        <f>AZ145</f>
        <v>驚</v>
      </c>
      <c r="BA151" s="81" t="s">
        <v>40</v>
      </c>
      <c r="BB151" s="83"/>
      <c r="BC151" s="84"/>
      <c r="BD151" s="84"/>
      <c r="BE151" s="84"/>
    </row>
    <row r="152">
      <c r="A152" s="192">
        <f>A146+1</f>
        <v>24</v>
      </c>
      <c r="B152" s="193"/>
      <c r="C152" s="12" t="s">
        <v>146</v>
      </c>
      <c r="E152" s="168" t="s">
        <v>30</v>
      </c>
      <c r="G152" s="374" t="str">
        <f t="shared" ref="G152:G153" si="262">G3:H3</f>
        <v>乙</v>
      </c>
      <c r="I152" s="275" t="str">
        <f t="shared" ref="I152:I153" si="263">I44:J44</f>
        <v>丙</v>
      </c>
      <c r="K152" s="90">
        <f>L152/L153</f>
        <v>0.5166666667</v>
      </c>
      <c r="L152" s="91">
        <f t="shared" ref="L152:L153" si="264">Z152+Y152+X152+W152+V152+U152+T152+S152+R152+Q152+P152+O152</f>
        <v>620</v>
      </c>
      <c r="M152" s="92">
        <v>0.0</v>
      </c>
      <c r="N152" s="93">
        <v>0.0</v>
      </c>
      <c r="O152" s="92">
        <v>25.0</v>
      </c>
      <c r="P152" s="92">
        <v>20.0</v>
      </c>
      <c r="Q152" s="92">
        <v>50.0</v>
      </c>
      <c r="R152" s="93">
        <v>50.0</v>
      </c>
      <c r="S152" s="92">
        <v>10.0</v>
      </c>
      <c r="T152" s="93">
        <v>100.0</v>
      </c>
      <c r="U152" s="92">
        <f t="shared" ref="U152:X152" si="260">U50</f>
        <v>75</v>
      </c>
      <c r="V152" s="93">
        <f t="shared" si="260"/>
        <v>10</v>
      </c>
      <c r="W152" s="92">
        <f t="shared" si="260"/>
        <v>30</v>
      </c>
      <c r="X152" s="93">
        <f t="shared" si="260"/>
        <v>80</v>
      </c>
      <c r="Y152" s="92">
        <f t="shared" ref="Y152:Z152" si="261">Y44</f>
        <v>110</v>
      </c>
      <c r="Z152" s="93">
        <f t="shared" si="261"/>
        <v>60</v>
      </c>
      <c r="AA152" s="73" t="s">
        <v>98</v>
      </c>
      <c r="AB152" s="94" t="s">
        <v>70</v>
      </c>
      <c r="AC152" s="36"/>
      <c r="AD152" s="29" t="s">
        <v>234</v>
      </c>
      <c r="AE152" s="95" t="s">
        <v>82</v>
      </c>
      <c r="AF152" s="96" t="s">
        <v>83</v>
      </c>
      <c r="AG152" s="37"/>
      <c r="AH152" s="97"/>
      <c r="AI152" s="12" t="s">
        <v>97</v>
      </c>
      <c r="AJ152" s="12">
        <v>330.0</v>
      </c>
      <c r="AK152" s="12" t="s">
        <v>150</v>
      </c>
      <c r="AL152" s="98" t="s">
        <v>39</v>
      </c>
      <c r="AM152" s="99" t="s">
        <v>93</v>
      </c>
      <c r="AN152" s="100" t="s">
        <v>37</v>
      </c>
      <c r="AO152" s="99" t="s">
        <v>94</v>
      </c>
      <c r="AP152" s="100" t="s">
        <v>51</v>
      </c>
      <c r="AQ152" s="101" t="s">
        <v>95</v>
      </c>
      <c r="AR152" s="100" t="s">
        <v>86</v>
      </c>
      <c r="AS152" s="99" t="s">
        <v>87</v>
      </c>
      <c r="AT152" s="100" t="s">
        <v>88</v>
      </c>
      <c r="AU152" s="101" t="s">
        <v>89</v>
      </c>
      <c r="AV152" s="100" t="s">
        <v>45</v>
      </c>
      <c r="AW152" s="102" t="s">
        <v>90</v>
      </c>
      <c r="AX152" s="100" t="s">
        <v>43</v>
      </c>
      <c r="AY152" s="101" t="s">
        <v>91</v>
      </c>
      <c r="AZ152" s="100" t="s">
        <v>41</v>
      </c>
      <c r="BA152" s="103" t="s">
        <v>92</v>
      </c>
      <c r="BB152" s="24"/>
    </row>
    <row r="153">
      <c r="A153" s="215" t="str">
        <f>G2</f>
        <v>กรกฎาคม</v>
      </c>
      <c r="B153" s="193"/>
      <c r="C153" s="161" t="s">
        <v>239</v>
      </c>
      <c r="E153" s="107" t="s">
        <v>97</v>
      </c>
      <c r="G153" s="397" t="str">
        <f t="shared" si="262"/>
        <v>未</v>
      </c>
      <c r="I153" s="142" t="str">
        <f t="shared" si="263"/>
        <v>午</v>
      </c>
      <c r="K153" s="36"/>
      <c r="L153" s="109">
        <f t="shared" si="264"/>
        <v>1200</v>
      </c>
      <c r="M153" s="9">
        <v>0.0</v>
      </c>
      <c r="N153" s="110">
        <v>0.0</v>
      </c>
      <c r="O153" s="9">
        <v>100.0</v>
      </c>
      <c r="P153" s="9">
        <v>100.0</v>
      </c>
      <c r="Q153" s="9">
        <v>100.0</v>
      </c>
      <c r="R153" s="110">
        <v>100.0</v>
      </c>
      <c r="S153" s="9">
        <v>100.0</v>
      </c>
      <c r="T153" s="110">
        <v>100.0</v>
      </c>
      <c r="U153" s="9">
        <v>100.0</v>
      </c>
      <c r="V153" s="110">
        <v>100.0</v>
      </c>
      <c r="W153" s="9">
        <v>100.0</v>
      </c>
      <c r="X153" s="110">
        <v>100.0</v>
      </c>
      <c r="Y153" s="9">
        <v>100.0</v>
      </c>
      <c r="Z153" s="110">
        <v>100.0</v>
      </c>
      <c r="AA153" s="73" t="s">
        <v>116</v>
      </c>
      <c r="AB153" s="94" t="s">
        <v>181</v>
      </c>
      <c r="AC153" s="36"/>
      <c r="AD153" s="36"/>
      <c r="AE153" s="111"/>
      <c r="AF153" s="112"/>
      <c r="AG153" s="37"/>
      <c r="AH153" s="97"/>
      <c r="AI153" s="14"/>
      <c r="AJ153" s="14"/>
      <c r="AK153" s="14"/>
      <c r="AL153" s="113"/>
      <c r="AM153" s="104" t="s">
        <v>105</v>
      </c>
      <c r="AO153" s="104" t="s">
        <v>106</v>
      </c>
      <c r="AQ153" s="105" t="s">
        <v>107</v>
      </c>
      <c r="AS153" s="104" t="s">
        <v>100</v>
      </c>
      <c r="AU153" s="114" t="s">
        <v>101</v>
      </c>
      <c r="AW153" s="105" t="s">
        <v>102</v>
      </c>
      <c r="AY153" s="105" t="s">
        <v>103</v>
      </c>
      <c r="BA153" s="104" t="s">
        <v>104</v>
      </c>
      <c r="BB153" s="24"/>
    </row>
    <row r="154">
      <c r="A154" s="192">
        <v>2569.0</v>
      </c>
      <c r="B154" s="193"/>
      <c r="E154" s="115" t="s">
        <v>110</v>
      </c>
      <c r="F154" s="116" t="s">
        <v>98</v>
      </c>
      <c r="G154" s="115" t="str">
        <f t="shared" ref="G154:H154" si="265">G52</f>
        <v>A12</v>
      </c>
      <c r="H154" s="9" t="str">
        <f t="shared" si="265"/>
        <v>B12</v>
      </c>
      <c r="I154" s="9" t="str">
        <f t="shared" ref="I154:J154" si="266">I46</f>
        <v>A5</v>
      </c>
      <c r="J154" s="9" t="str">
        <f t="shared" si="266"/>
        <v>B11</v>
      </c>
      <c r="K154" s="36"/>
      <c r="L154" s="117"/>
      <c r="M154" s="118" t="str">
        <f t="shared" ref="M154:N154" si="267">C154</f>
        <v/>
      </c>
      <c r="N154" s="119" t="str">
        <f t="shared" si="267"/>
        <v/>
      </c>
      <c r="O154" s="402" t="str">
        <f t="shared" ref="O154:P154" si="268">E153</f>
        <v>亥</v>
      </c>
      <c r="P154" s="118" t="str">
        <f t="shared" si="268"/>
        <v/>
      </c>
      <c r="Q154" s="118" t="str">
        <f t="shared" ref="Q154:R154" si="269">E154</f>
        <v>A11</v>
      </c>
      <c r="R154" s="119" t="str">
        <f t="shared" si="269"/>
        <v>B2</v>
      </c>
      <c r="S154" s="9" t="s">
        <v>108</v>
      </c>
      <c r="T154" s="110" t="s">
        <v>213</v>
      </c>
      <c r="U154" s="9" t="str">
        <f t="shared" ref="U154:V154" si="270">G154</f>
        <v>A12</v>
      </c>
      <c r="V154" s="119" t="str">
        <f t="shared" si="270"/>
        <v>B12</v>
      </c>
      <c r="W154" s="9" t="str">
        <f t="shared" ref="W154:X154" si="271">W52</f>
        <v>A6</v>
      </c>
      <c r="X154" s="110" t="str">
        <f t="shared" si="271"/>
        <v>A1</v>
      </c>
      <c r="Y154" s="118" t="str">
        <f t="shared" ref="Y154:Z154" si="272">I154</f>
        <v>A5</v>
      </c>
      <c r="Z154" s="120" t="str">
        <f t="shared" si="272"/>
        <v>B11</v>
      </c>
      <c r="AA154" s="73" t="s">
        <v>126</v>
      </c>
      <c r="AB154" s="94" t="s">
        <v>163</v>
      </c>
      <c r="AC154" s="36"/>
      <c r="AD154" s="36"/>
      <c r="AE154" s="111"/>
      <c r="AF154" s="112"/>
      <c r="AG154" s="37"/>
      <c r="AH154" s="97"/>
      <c r="AI154" s="14"/>
      <c r="AJ154" s="14"/>
      <c r="AK154" s="14"/>
      <c r="AL154" s="113"/>
      <c r="AM154" s="104" t="s">
        <v>123</v>
      </c>
      <c r="AO154" s="104" t="s">
        <v>124</v>
      </c>
      <c r="AQ154" s="105" t="s">
        <v>125</v>
      </c>
      <c r="AS154" s="104" t="s">
        <v>118</v>
      </c>
      <c r="AU154" s="114" t="s">
        <v>119</v>
      </c>
      <c r="AW154" s="105" t="s">
        <v>120</v>
      </c>
      <c r="AY154" s="105" t="s">
        <v>121</v>
      </c>
      <c r="BA154" s="104" t="s">
        <v>122</v>
      </c>
      <c r="BB154" s="24"/>
    </row>
    <row r="155">
      <c r="A155" s="192">
        <f>A154-543</f>
        <v>2026</v>
      </c>
      <c r="B155" s="193"/>
      <c r="E155" s="115" t="s">
        <v>126</v>
      </c>
      <c r="F155" s="116" t="s">
        <v>205</v>
      </c>
      <c r="G155" s="115"/>
      <c r="H155" s="118"/>
      <c r="I155" s="118"/>
      <c r="J155" s="118"/>
      <c r="K155" s="36"/>
      <c r="L155" s="117"/>
      <c r="M155" s="326"/>
      <c r="N155" s="327"/>
      <c r="R155" s="117"/>
      <c r="T155" s="117"/>
      <c r="V155" s="117"/>
      <c r="W155" s="9"/>
      <c r="X155" s="110"/>
      <c r="Z155" s="117"/>
      <c r="AA155" s="73" t="s">
        <v>69</v>
      </c>
      <c r="AB155" s="94" t="s">
        <v>99</v>
      </c>
      <c r="AC155" s="36"/>
      <c r="AD155" s="36"/>
      <c r="AE155" s="111"/>
      <c r="AF155" s="112"/>
      <c r="AG155" s="37"/>
      <c r="AH155" s="97"/>
      <c r="AI155" s="14"/>
      <c r="AJ155" s="14"/>
      <c r="AK155" s="14"/>
      <c r="AL155" s="113"/>
      <c r="AM155" s="104" t="s">
        <v>134</v>
      </c>
      <c r="AO155" s="104" t="s">
        <v>135</v>
      </c>
      <c r="AQ155" s="105" t="s">
        <v>136</v>
      </c>
      <c r="AS155" s="104" t="s">
        <v>129</v>
      </c>
      <c r="AU155" s="114" t="s">
        <v>130</v>
      </c>
      <c r="AW155" s="105" t="s">
        <v>131</v>
      </c>
      <c r="AY155" s="105" t="s">
        <v>132</v>
      </c>
      <c r="BA155" s="104" t="s">
        <v>133</v>
      </c>
      <c r="BB155" s="24"/>
    </row>
    <row r="156">
      <c r="A156" s="398" t="s">
        <v>156</v>
      </c>
      <c r="B156" s="206"/>
      <c r="C156" s="1"/>
      <c r="D156" s="123"/>
      <c r="E156" s="176" t="s">
        <v>137</v>
      </c>
      <c r="F156" s="88"/>
      <c r="G156" s="207" t="str">
        <f>G5:H5</f>
        <v>อสูรเดือน W</v>
      </c>
      <c r="I156" s="208" t="str">
        <f>I5:J5</f>
        <v>อสูรปี N</v>
      </c>
      <c r="K156" s="36"/>
      <c r="L156" s="117"/>
      <c r="M156" s="326"/>
      <c r="N156" s="327"/>
      <c r="R156" s="117"/>
      <c r="T156" s="117"/>
      <c r="V156" s="117"/>
      <c r="W156" s="9"/>
      <c r="X156" s="110"/>
      <c r="Z156" s="117"/>
      <c r="AA156" s="127"/>
      <c r="AB156" s="155"/>
      <c r="AC156" s="36"/>
      <c r="AD156" s="36"/>
      <c r="AE156" s="111"/>
      <c r="AF156" s="112"/>
      <c r="AG156" s="37"/>
      <c r="AH156" s="97"/>
      <c r="AI156" s="14"/>
      <c r="AJ156" s="14"/>
      <c r="AK156" s="14"/>
      <c r="AL156" s="113"/>
      <c r="AW156" s="128"/>
      <c r="BB156" s="24"/>
    </row>
    <row r="157">
      <c r="A157" s="188" t="s">
        <v>158</v>
      </c>
      <c r="B157" s="189"/>
      <c r="C157" s="63"/>
      <c r="D157" s="63"/>
      <c r="E157" s="64">
        <f>(O158+P158+Q158+R158)/(O159+P159+Q159+R159)</f>
        <v>0.5625</v>
      </c>
      <c r="F157" s="65"/>
      <c r="G157" s="133"/>
      <c r="H157" s="72"/>
      <c r="I157" s="67"/>
      <c r="J157" s="72"/>
      <c r="K157" s="68"/>
      <c r="L157" s="69"/>
      <c r="M157" s="63" t="s">
        <v>64</v>
      </c>
      <c r="N157" s="70"/>
      <c r="O157" s="71" t="s">
        <v>65</v>
      </c>
      <c r="P157" s="72"/>
      <c r="Q157" s="72"/>
      <c r="R157" s="70"/>
      <c r="S157" s="71" t="s">
        <v>66</v>
      </c>
      <c r="T157" s="70"/>
      <c r="U157" s="71" t="s">
        <v>67</v>
      </c>
      <c r="V157" s="70"/>
      <c r="W157" s="71" t="s">
        <v>348</v>
      </c>
      <c r="X157" s="70"/>
      <c r="Y157" s="71" t="s">
        <v>68</v>
      </c>
      <c r="Z157" s="70"/>
      <c r="AA157" s="134" t="s">
        <v>80</v>
      </c>
      <c r="AB157" s="74" t="s">
        <v>159</v>
      </c>
      <c r="AC157" s="75" t="s">
        <v>71</v>
      </c>
      <c r="AD157" s="75" t="s">
        <v>72</v>
      </c>
      <c r="AE157" s="76" t="s">
        <v>73</v>
      </c>
      <c r="AF157" s="77" t="s">
        <v>74</v>
      </c>
      <c r="AG157" s="63" t="s">
        <v>75</v>
      </c>
      <c r="AH157" s="78" t="s">
        <v>36</v>
      </c>
      <c r="AI157" s="79" t="s">
        <v>97</v>
      </c>
      <c r="AJ157" s="79">
        <v>330.0</v>
      </c>
      <c r="AK157" s="79" t="s">
        <v>150</v>
      </c>
      <c r="AL157" s="80" t="str">
        <f>AL151</f>
        <v>開</v>
      </c>
      <c r="AM157" s="81" t="s">
        <v>42</v>
      </c>
      <c r="AN157" s="82" t="str">
        <f>AN151</f>
        <v>休</v>
      </c>
      <c r="AO157" s="81" t="s">
        <v>44</v>
      </c>
      <c r="AP157" s="82" t="s">
        <v>4</v>
      </c>
      <c r="AQ157" s="81" t="s">
        <v>46</v>
      </c>
      <c r="AR157" s="82" t="str">
        <f>AR151</f>
        <v>傷</v>
      </c>
      <c r="AS157" s="81" t="s">
        <v>48</v>
      </c>
      <c r="AT157" s="82" t="s">
        <v>8</v>
      </c>
      <c r="AU157" s="81" t="s">
        <v>50</v>
      </c>
      <c r="AV157" s="82" t="str">
        <f>AV151</f>
        <v>景</v>
      </c>
      <c r="AW157" s="81" t="s">
        <v>52</v>
      </c>
      <c r="AX157" s="82" t="str">
        <f>AX151</f>
        <v>死</v>
      </c>
      <c r="AY157" s="81" t="s">
        <v>38</v>
      </c>
      <c r="AZ157" s="82" t="str">
        <f>AZ151</f>
        <v>驚</v>
      </c>
      <c r="BA157" s="81" t="s">
        <v>40</v>
      </c>
      <c r="BB157" s="83"/>
      <c r="BC157" s="84"/>
      <c r="BD157" s="84"/>
      <c r="BE157" s="84"/>
    </row>
    <row r="158">
      <c r="A158" s="192">
        <f>A152+1</f>
        <v>25</v>
      </c>
      <c r="B158" s="193"/>
      <c r="C158" s="12" t="s">
        <v>78</v>
      </c>
      <c r="E158" s="194" t="s">
        <v>195</v>
      </c>
      <c r="G158" s="374" t="str">
        <f t="shared" ref="G158:G159" si="275">G3:H3</f>
        <v>乙</v>
      </c>
      <c r="I158" s="275" t="str">
        <f t="shared" ref="I158:I159" si="276">I44:J44</f>
        <v>丙</v>
      </c>
      <c r="K158" s="90">
        <f>L158/L159</f>
        <v>0.6</v>
      </c>
      <c r="L158" s="91">
        <f t="shared" ref="L158:L159" si="277">Z158+Y158+X158+W158+V158+U158+T158+S158+R158+Q158+P158+O158</f>
        <v>720</v>
      </c>
      <c r="M158" s="92">
        <v>0.0</v>
      </c>
      <c r="N158" s="93">
        <v>0.0</v>
      </c>
      <c r="O158" s="92">
        <v>85.0</v>
      </c>
      <c r="P158" s="92">
        <v>30.0</v>
      </c>
      <c r="Q158" s="92">
        <v>80.0</v>
      </c>
      <c r="R158" s="93">
        <v>30.0</v>
      </c>
      <c r="S158" s="92">
        <v>20.0</v>
      </c>
      <c r="T158" s="93">
        <v>110.0</v>
      </c>
      <c r="U158" s="92">
        <f t="shared" ref="U158:X158" si="273">U50</f>
        <v>75</v>
      </c>
      <c r="V158" s="93">
        <f t="shared" si="273"/>
        <v>10</v>
      </c>
      <c r="W158" s="92">
        <f t="shared" si="273"/>
        <v>30</v>
      </c>
      <c r="X158" s="93">
        <f t="shared" si="273"/>
        <v>80</v>
      </c>
      <c r="Y158" s="92">
        <f t="shared" ref="Y158:Z158" si="274">Y44</f>
        <v>110</v>
      </c>
      <c r="Z158" s="93">
        <f t="shared" si="274"/>
        <v>60</v>
      </c>
      <c r="AA158" s="73" t="s">
        <v>98</v>
      </c>
      <c r="AB158" s="94" t="s">
        <v>152</v>
      </c>
      <c r="AC158" s="36"/>
      <c r="AD158" s="36"/>
      <c r="AE158" s="95" t="s">
        <v>82</v>
      </c>
      <c r="AF158" s="96" t="s">
        <v>83</v>
      </c>
      <c r="AG158" s="37"/>
      <c r="AH158" s="97"/>
      <c r="AI158" s="12" t="s">
        <v>32</v>
      </c>
      <c r="AJ158" s="12">
        <v>270.0</v>
      </c>
      <c r="AK158" s="12" t="s">
        <v>145</v>
      </c>
      <c r="AL158" s="98" t="s">
        <v>39</v>
      </c>
      <c r="AM158" s="99" t="s">
        <v>93</v>
      </c>
      <c r="AN158" s="100" t="s">
        <v>37</v>
      </c>
      <c r="AO158" s="99" t="s">
        <v>94</v>
      </c>
      <c r="AP158" s="100" t="s">
        <v>51</v>
      </c>
      <c r="AQ158" s="101" t="s">
        <v>95</v>
      </c>
      <c r="AR158" s="100" t="s">
        <v>86</v>
      </c>
      <c r="AS158" s="99" t="s">
        <v>87</v>
      </c>
      <c r="AT158" s="100" t="s">
        <v>88</v>
      </c>
      <c r="AU158" s="101" t="s">
        <v>89</v>
      </c>
      <c r="AV158" s="100" t="s">
        <v>45</v>
      </c>
      <c r="AW158" s="102" t="s">
        <v>90</v>
      </c>
      <c r="AX158" s="100" t="s">
        <v>43</v>
      </c>
      <c r="AY158" s="101" t="s">
        <v>91</v>
      </c>
      <c r="AZ158" s="100" t="s">
        <v>41</v>
      </c>
      <c r="BA158" s="103" t="s">
        <v>92</v>
      </c>
      <c r="BB158" s="24"/>
    </row>
    <row r="159">
      <c r="A159" s="215" t="str">
        <f>G2</f>
        <v>กรกฎาคม</v>
      </c>
      <c r="B159" s="193"/>
      <c r="C159" s="106" t="s">
        <v>96</v>
      </c>
      <c r="E159" s="107" t="s">
        <v>84</v>
      </c>
      <c r="G159" s="397" t="str">
        <f t="shared" si="275"/>
        <v>未</v>
      </c>
      <c r="I159" s="142" t="str">
        <f t="shared" si="276"/>
        <v>午</v>
      </c>
      <c r="K159" s="36"/>
      <c r="L159" s="109">
        <f t="shared" si="277"/>
        <v>1200</v>
      </c>
      <c r="M159" s="9">
        <v>0.0</v>
      </c>
      <c r="N159" s="110">
        <v>0.0</v>
      </c>
      <c r="O159" s="9">
        <v>100.0</v>
      </c>
      <c r="P159" s="9">
        <v>100.0</v>
      </c>
      <c r="Q159" s="9">
        <v>100.0</v>
      </c>
      <c r="R159" s="110">
        <v>100.0</v>
      </c>
      <c r="S159" s="9">
        <v>100.0</v>
      </c>
      <c r="T159" s="110">
        <v>100.0</v>
      </c>
      <c r="U159" s="9">
        <v>100.0</v>
      </c>
      <c r="V159" s="110">
        <v>100.0</v>
      </c>
      <c r="W159" s="9">
        <v>100.0</v>
      </c>
      <c r="X159" s="110">
        <v>100.0</v>
      </c>
      <c r="Y159" s="9">
        <v>100.0</v>
      </c>
      <c r="Z159" s="110">
        <v>100.0</v>
      </c>
      <c r="AA159" s="73" t="s">
        <v>116</v>
      </c>
      <c r="AB159" s="94" t="s">
        <v>81</v>
      </c>
      <c r="AC159" s="36"/>
      <c r="AD159" s="36"/>
      <c r="AE159" s="111"/>
      <c r="AF159" s="112"/>
      <c r="AG159" s="37"/>
      <c r="AH159" s="97"/>
      <c r="AI159" s="14"/>
      <c r="AJ159" s="14"/>
      <c r="AK159" s="14"/>
      <c r="AL159" s="113"/>
      <c r="AM159" s="104" t="s">
        <v>105</v>
      </c>
      <c r="AO159" s="104" t="s">
        <v>106</v>
      </c>
      <c r="AQ159" s="105" t="s">
        <v>107</v>
      </c>
      <c r="AS159" s="104" t="s">
        <v>100</v>
      </c>
      <c r="AU159" s="114" t="s">
        <v>101</v>
      </c>
      <c r="AW159" s="105" t="s">
        <v>102</v>
      </c>
      <c r="AY159" s="105" t="s">
        <v>103</v>
      </c>
      <c r="BA159" s="104" t="s">
        <v>104</v>
      </c>
      <c r="BB159" s="24"/>
    </row>
    <row r="160">
      <c r="A160" s="192">
        <v>2569.0</v>
      </c>
      <c r="B160" s="193"/>
      <c r="E160" s="115" t="s">
        <v>108</v>
      </c>
      <c r="F160" s="116" t="s">
        <v>183</v>
      </c>
      <c r="G160" s="115" t="str">
        <f t="shared" ref="G160:H160" si="278">G52</f>
        <v>A12</v>
      </c>
      <c r="H160" s="9" t="str">
        <f t="shared" si="278"/>
        <v>B12</v>
      </c>
      <c r="I160" s="9" t="str">
        <f t="shared" ref="I160:J160" si="279">I46</f>
        <v>A5</v>
      </c>
      <c r="J160" s="9" t="str">
        <f t="shared" si="279"/>
        <v>B11</v>
      </c>
      <c r="K160" s="36"/>
      <c r="L160" s="117"/>
      <c r="M160" s="118" t="str">
        <f t="shared" ref="M160:N160" si="280">C160</f>
        <v/>
      </c>
      <c r="N160" s="119" t="str">
        <f t="shared" si="280"/>
        <v/>
      </c>
      <c r="O160" s="402" t="str">
        <f t="shared" ref="O160:P160" si="281">E159</f>
        <v>子</v>
      </c>
      <c r="P160" s="118" t="str">
        <f t="shared" si="281"/>
        <v/>
      </c>
      <c r="Q160" s="118" t="str">
        <f>E160</f>
        <v>A8</v>
      </c>
      <c r="R160" s="110">
        <v>80.0</v>
      </c>
      <c r="S160" s="9" t="s">
        <v>115</v>
      </c>
      <c r="T160" s="110" t="s">
        <v>204</v>
      </c>
      <c r="U160" s="9" t="str">
        <f t="shared" ref="U160:V160" si="282">G160</f>
        <v>A12</v>
      </c>
      <c r="V160" s="119" t="str">
        <f t="shared" si="282"/>
        <v>B12</v>
      </c>
      <c r="W160" s="9" t="str">
        <f t="shared" ref="W160:X160" si="283">W52</f>
        <v>A6</v>
      </c>
      <c r="X160" s="110" t="str">
        <f t="shared" si="283"/>
        <v>A1</v>
      </c>
      <c r="Y160" s="118" t="str">
        <f t="shared" ref="Y160:Z160" si="284">I160</f>
        <v>A5</v>
      </c>
      <c r="Z160" s="120" t="str">
        <f t="shared" si="284"/>
        <v>B11</v>
      </c>
      <c r="AA160" s="73" t="s">
        <v>126</v>
      </c>
      <c r="AB160" s="94" t="s">
        <v>99</v>
      </c>
      <c r="AC160" s="36"/>
      <c r="AD160" s="36"/>
      <c r="AE160" s="111"/>
      <c r="AF160" s="112"/>
      <c r="AG160" s="37"/>
      <c r="AH160" s="97"/>
      <c r="AI160" s="14"/>
      <c r="AJ160" s="14"/>
      <c r="AK160" s="14"/>
      <c r="AL160" s="113"/>
      <c r="AM160" s="104" t="s">
        <v>123</v>
      </c>
      <c r="AO160" s="104" t="s">
        <v>124</v>
      </c>
      <c r="AQ160" s="105" t="s">
        <v>125</v>
      </c>
      <c r="AS160" s="104" t="s">
        <v>118</v>
      </c>
      <c r="AU160" s="114" t="s">
        <v>119</v>
      </c>
      <c r="AW160" s="105" t="s">
        <v>120</v>
      </c>
      <c r="AY160" s="105" t="s">
        <v>121</v>
      </c>
      <c r="BA160" s="104" t="s">
        <v>122</v>
      </c>
      <c r="BB160" s="24"/>
    </row>
    <row r="161">
      <c r="A161" s="192">
        <f>A160-543</f>
        <v>2026</v>
      </c>
      <c r="B161" s="193"/>
      <c r="E161" s="115" t="s">
        <v>116</v>
      </c>
      <c r="F161" s="116" t="s">
        <v>215</v>
      </c>
      <c r="G161" s="115"/>
      <c r="H161" s="118"/>
      <c r="I161" s="118"/>
      <c r="J161" s="118"/>
      <c r="K161" s="36"/>
      <c r="L161" s="117"/>
      <c r="M161" s="326"/>
      <c r="N161" s="327"/>
      <c r="O161" s="226"/>
      <c r="R161" s="117"/>
      <c r="T161" s="117"/>
      <c r="V161" s="117"/>
      <c r="W161" s="9"/>
      <c r="X161" s="110"/>
      <c r="Z161" s="117"/>
      <c r="AA161" s="73" t="s">
        <v>69</v>
      </c>
      <c r="AB161" s="94" t="s">
        <v>155</v>
      </c>
      <c r="AC161" s="36"/>
      <c r="AD161" s="36"/>
      <c r="AE161" s="111"/>
      <c r="AF161" s="112"/>
      <c r="AG161" s="37"/>
      <c r="AH161" s="97"/>
      <c r="AI161" s="14"/>
      <c r="AJ161" s="14"/>
      <c r="AK161" s="14"/>
      <c r="AL161" s="113"/>
      <c r="AM161" s="104" t="s">
        <v>134</v>
      </c>
      <c r="AO161" s="104" t="s">
        <v>135</v>
      </c>
      <c r="AQ161" s="105" t="s">
        <v>136</v>
      </c>
      <c r="AS161" s="104" t="s">
        <v>129</v>
      </c>
      <c r="AU161" s="114" t="s">
        <v>130</v>
      </c>
      <c r="AW161" s="105" t="s">
        <v>131</v>
      </c>
      <c r="AY161" s="105" t="s">
        <v>132</v>
      </c>
      <c r="BA161" s="104" t="s">
        <v>133</v>
      </c>
      <c r="BB161" s="24"/>
    </row>
    <row r="162">
      <c r="A162" s="279"/>
      <c r="B162" s="206"/>
      <c r="C162" s="1"/>
      <c r="D162" s="123"/>
      <c r="E162" s="176" t="s">
        <v>157</v>
      </c>
      <c r="F162" s="88"/>
      <c r="G162" s="207" t="str">
        <f>G5:H5</f>
        <v>อสูรเดือน W</v>
      </c>
      <c r="I162" s="208" t="str">
        <f>I5:J5</f>
        <v>อสูรปี N</v>
      </c>
      <c r="K162" s="36"/>
      <c r="L162" s="117"/>
      <c r="M162" s="326"/>
      <c r="N162" s="327"/>
      <c r="R162" s="117"/>
      <c r="T162" s="117"/>
      <c r="V162" s="117"/>
      <c r="W162" s="9"/>
      <c r="X162" s="110"/>
      <c r="Z162" s="117"/>
      <c r="AA162" s="127"/>
      <c r="AB162" s="155"/>
      <c r="AC162" s="36"/>
      <c r="AD162" s="36"/>
      <c r="AE162" s="111"/>
      <c r="AF162" s="112"/>
      <c r="AG162" s="37"/>
      <c r="AH162" s="97"/>
      <c r="AI162" s="14"/>
      <c r="AJ162" s="14"/>
      <c r="AK162" s="14"/>
      <c r="AL162" s="113"/>
      <c r="AW162" s="128"/>
      <c r="BB162" s="24"/>
    </row>
    <row r="163">
      <c r="A163" s="188" t="s">
        <v>169</v>
      </c>
      <c r="B163" s="189"/>
      <c r="C163" s="63"/>
      <c r="D163" s="63"/>
      <c r="E163" s="64">
        <f>(O164+P164+Q164+R164)/(O165+P165+Q165+R165)</f>
        <v>0.575</v>
      </c>
      <c r="F163" s="65"/>
      <c r="G163" s="133"/>
      <c r="H163" s="72"/>
      <c r="I163" s="67"/>
      <c r="J163" s="72"/>
      <c r="K163" s="68"/>
      <c r="L163" s="69"/>
      <c r="M163" s="63" t="s">
        <v>64</v>
      </c>
      <c r="N163" s="70"/>
      <c r="O163" s="71" t="s">
        <v>65</v>
      </c>
      <c r="P163" s="72"/>
      <c r="Q163" s="72"/>
      <c r="R163" s="70"/>
      <c r="S163" s="71" t="s">
        <v>66</v>
      </c>
      <c r="T163" s="70"/>
      <c r="U163" s="71" t="s">
        <v>67</v>
      </c>
      <c r="V163" s="70"/>
      <c r="W163" s="71" t="s">
        <v>348</v>
      </c>
      <c r="X163" s="70"/>
      <c r="Y163" s="71" t="s">
        <v>68</v>
      </c>
      <c r="Z163" s="70"/>
      <c r="AA163" s="134" t="s">
        <v>80</v>
      </c>
      <c r="AB163" s="74" t="s">
        <v>181</v>
      </c>
      <c r="AC163" s="75" t="s">
        <v>202</v>
      </c>
      <c r="AD163" s="75" t="s">
        <v>226</v>
      </c>
      <c r="AE163" s="202" t="s">
        <v>142</v>
      </c>
      <c r="AF163" s="74" t="s">
        <v>143</v>
      </c>
      <c r="AG163" s="63" t="s">
        <v>34</v>
      </c>
      <c r="AH163" s="78" t="s">
        <v>34</v>
      </c>
      <c r="AI163" s="79" t="s">
        <v>71</v>
      </c>
      <c r="AJ163" s="79">
        <v>210.0</v>
      </c>
      <c r="AK163" s="79" t="s">
        <v>175</v>
      </c>
      <c r="AL163" s="80" t="str">
        <f>AL157</f>
        <v>開</v>
      </c>
      <c r="AM163" s="81" t="s">
        <v>42</v>
      </c>
      <c r="AN163" s="82" t="str">
        <f>AN157</f>
        <v>休</v>
      </c>
      <c r="AO163" s="81" t="s">
        <v>44</v>
      </c>
      <c r="AP163" s="82" t="s">
        <v>4</v>
      </c>
      <c r="AQ163" s="81" t="s">
        <v>46</v>
      </c>
      <c r="AR163" s="82" t="str">
        <f>AR157</f>
        <v>傷</v>
      </c>
      <c r="AS163" s="81" t="s">
        <v>48</v>
      </c>
      <c r="AT163" s="82" t="s">
        <v>8</v>
      </c>
      <c r="AU163" s="81" t="s">
        <v>50</v>
      </c>
      <c r="AV163" s="82" t="str">
        <f>AV157</f>
        <v>景</v>
      </c>
      <c r="AW163" s="81" t="s">
        <v>52</v>
      </c>
      <c r="AX163" s="82" t="str">
        <f>AX157</f>
        <v>死</v>
      </c>
      <c r="AY163" s="81" t="s">
        <v>38</v>
      </c>
      <c r="AZ163" s="82" t="str">
        <f>AZ157</f>
        <v>驚</v>
      </c>
      <c r="BA163" s="81" t="s">
        <v>40</v>
      </c>
      <c r="BB163" s="83"/>
      <c r="BC163" s="84"/>
      <c r="BD163" s="84"/>
      <c r="BE163" s="84"/>
    </row>
    <row r="164">
      <c r="A164" s="192">
        <f>A158+1</f>
        <v>26</v>
      </c>
      <c r="B164" s="193"/>
      <c r="C164" s="400" t="s">
        <v>298</v>
      </c>
      <c r="E164" s="199" t="s">
        <v>201</v>
      </c>
      <c r="G164" s="374" t="str">
        <f t="shared" ref="G164:G165" si="287">G3:H3</f>
        <v>乙</v>
      </c>
      <c r="I164" s="275" t="str">
        <f t="shared" ref="I164:I165" si="288">I44:J44</f>
        <v>丙</v>
      </c>
      <c r="K164" s="90">
        <f>L164/L165</f>
        <v>0.6</v>
      </c>
      <c r="L164" s="91">
        <f t="shared" ref="L164:L165" si="289">Z164+Y164+X164+W164+V164+U164+T164+S164+R164+Q164+P164+O164</f>
        <v>720</v>
      </c>
      <c r="M164" s="92">
        <v>0.0</v>
      </c>
      <c r="N164" s="93">
        <v>0.0</v>
      </c>
      <c r="O164" s="92">
        <v>50.0</v>
      </c>
      <c r="P164" s="92">
        <v>100.0</v>
      </c>
      <c r="Q164" s="92">
        <v>0.0</v>
      </c>
      <c r="R164" s="93">
        <v>80.0</v>
      </c>
      <c r="S164" s="92">
        <v>25.0</v>
      </c>
      <c r="T164" s="93">
        <v>100.0</v>
      </c>
      <c r="U164" s="92">
        <f t="shared" ref="U164:X164" si="285">U50</f>
        <v>75</v>
      </c>
      <c r="V164" s="93">
        <f t="shared" si="285"/>
        <v>10</v>
      </c>
      <c r="W164" s="92">
        <f t="shared" si="285"/>
        <v>30</v>
      </c>
      <c r="X164" s="93">
        <f t="shared" si="285"/>
        <v>80</v>
      </c>
      <c r="Y164" s="92">
        <f t="shared" ref="Y164:Z164" si="286">Y44</f>
        <v>110</v>
      </c>
      <c r="Z164" s="93">
        <f t="shared" si="286"/>
        <v>60</v>
      </c>
      <c r="AA164" s="73" t="s">
        <v>98</v>
      </c>
      <c r="AB164" s="94" t="s">
        <v>163</v>
      </c>
      <c r="AC164" s="36"/>
      <c r="AD164" s="29" t="s">
        <v>227</v>
      </c>
      <c r="AE164" s="204" t="s">
        <v>82</v>
      </c>
      <c r="AF164" s="96" t="s">
        <v>83</v>
      </c>
      <c r="AG164" s="37"/>
      <c r="AH164" s="97"/>
      <c r="AI164" s="12" t="s">
        <v>53</v>
      </c>
      <c r="AJ164" s="12">
        <v>30.0</v>
      </c>
      <c r="AK164" s="12" t="s">
        <v>178</v>
      </c>
      <c r="AL164" s="98" t="s">
        <v>39</v>
      </c>
      <c r="AM164" s="99" t="s">
        <v>93</v>
      </c>
      <c r="AN164" s="100" t="s">
        <v>37</v>
      </c>
      <c r="AO164" s="99" t="s">
        <v>94</v>
      </c>
      <c r="AP164" s="100" t="s">
        <v>51</v>
      </c>
      <c r="AQ164" s="101" t="s">
        <v>95</v>
      </c>
      <c r="AR164" s="100" t="s">
        <v>86</v>
      </c>
      <c r="AS164" s="99" t="s">
        <v>87</v>
      </c>
      <c r="AT164" s="100" t="s">
        <v>88</v>
      </c>
      <c r="AU164" s="101" t="s">
        <v>89</v>
      </c>
      <c r="AV164" s="100" t="s">
        <v>45</v>
      </c>
      <c r="AW164" s="102" t="s">
        <v>90</v>
      </c>
      <c r="AX164" s="100" t="s">
        <v>43</v>
      </c>
      <c r="AY164" s="101" t="s">
        <v>91</v>
      </c>
      <c r="AZ164" s="100" t="s">
        <v>41</v>
      </c>
      <c r="BA164" s="103" t="s">
        <v>92</v>
      </c>
      <c r="BB164" s="24"/>
    </row>
    <row r="165">
      <c r="A165" s="215" t="str">
        <f>G2</f>
        <v>กรกฎาคม</v>
      </c>
      <c r="B165" s="193"/>
      <c r="C165" s="161" t="s">
        <v>151</v>
      </c>
      <c r="E165" s="162" t="s">
        <v>53</v>
      </c>
      <c r="G165" s="397" t="str">
        <f t="shared" si="287"/>
        <v>未</v>
      </c>
      <c r="I165" s="142" t="str">
        <f t="shared" si="288"/>
        <v>午</v>
      </c>
      <c r="K165" s="36"/>
      <c r="L165" s="109">
        <f t="shared" si="289"/>
        <v>1200</v>
      </c>
      <c r="M165" s="9">
        <v>0.0</v>
      </c>
      <c r="N165" s="110">
        <v>0.0</v>
      </c>
      <c r="O165" s="9">
        <v>100.0</v>
      </c>
      <c r="P165" s="9">
        <v>100.0</v>
      </c>
      <c r="Q165" s="9">
        <v>100.0</v>
      </c>
      <c r="R165" s="110">
        <v>100.0</v>
      </c>
      <c r="S165" s="9">
        <v>100.0</v>
      </c>
      <c r="T165" s="110">
        <v>100.0</v>
      </c>
      <c r="U165" s="9">
        <v>100.0</v>
      </c>
      <c r="V165" s="110">
        <v>100.0</v>
      </c>
      <c r="W165" s="9">
        <v>100.0</v>
      </c>
      <c r="X165" s="110">
        <v>100.0</v>
      </c>
      <c r="Y165" s="9">
        <v>100.0</v>
      </c>
      <c r="Z165" s="110">
        <v>100.0</v>
      </c>
      <c r="AA165" s="73" t="s">
        <v>116</v>
      </c>
      <c r="AB165" s="94" t="s">
        <v>153</v>
      </c>
      <c r="AC165" s="36"/>
      <c r="AD165" s="36"/>
      <c r="AE165" s="111"/>
      <c r="AF165" s="112"/>
      <c r="AG165" s="37"/>
      <c r="AH165" s="97"/>
      <c r="AI165" s="14"/>
      <c r="AJ165" s="14"/>
      <c r="AK165" s="14"/>
      <c r="AL165" s="113"/>
      <c r="AM165" s="104" t="s">
        <v>105</v>
      </c>
      <c r="AO165" s="104" t="s">
        <v>106</v>
      </c>
      <c r="AQ165" s="105" t="s">
        <v>107</v>
      </c>
      <c r="AS165" s="104" t="s">
        <v>100</v>
      </c>
      <c r="AU165" s="114" t="s">
        <v>101</v>
      </c>
      <c r="AW165" s="105" t="s">
        <v>102</v>
      </c>
      <c r="AY165" s="105" t="s">
        <v>103</v>
      </c>
      <c r="BA165" s="104" t="s">
        <v>104</v>
      </c>
      <c r="BB165" s="24"/>
    </row>
    <row r="166">
      <c r="A166" s="192">
        <v>2569.0</v>
      </c>
      <c r="B166" s="193"/>
      <c r="E166" s="115" t="s">
        <v>165</v>
      </c>
      <c r="F166" s="116" t="s">
        <v>109</v>
      </c>
      <c r="G166" s="115" t="str">
        <f t="shared" ref="G166:H166" si="290">G52</f>
        <v>A12</v>
      </c>
      <c r="H166" s="9" t="str">
        <f t="shared" si="290"/>
        <v>B12</v>
      </c>
      <c r="I166" s="9" t="str">
        <f t="shared" ref="I166:J166" si="291">I46</f>
        <v>A5</v>
      </c>
      <c r="J166" s="9" t="str">
        <f t="shared" si="291"/>
        <v>B11</v>
      </c>
      <c r="K166" s="36"/>
      <c r="L166" s="117"/>
      <c r="M166" s="118" t="str">
        <f t="shared" ref="M166:N166" si="292">C166</f>
        <v/>
      </c>
      <c r="N166" s="119" t="str">
        <f t="shared" si="292"/>
        <v/>
      </c>
      <c r="O166" s="402" t="str">
        <f t="shared" ref="O166:P166" si="293">E165</f>
        <v>丑</v>
      </c>
      <c r="P166" s="118" t="str">
        <f t="shared" si="293"/>
        <v/>
      </c>
      <c r="Q166" s="118" t="str">
        <f t="shared" ref="Q166:R166" si="294">E166</f>
        <v>A12</v>
      </c>
      <c r="R166" s="119" t="str">
        <f t="shared" si="294"/>
        <v>B4</v>
      </c>
      <c r="S166" s="9" t="s">
        <v>198</v>
      </c>
      <c r="T166" s="110" t="s">
        <v>213</v>
      </c>
      <c r="U166" s="9" t="str">
        <f t="shared" ref="U166:V166" si="295">G166</f>
        <v>A12</v>
      </c>
      <c r="V166" s="119" t="str">
        <f t="shared" si="295"/>
        <v>B12</v>
      </c>
      <c r="W166" s="9" t="str">
        <f t="shared" ref="W166:X166" si="296">W52</f>
        <v>A6</v>
      </c>
      <c r="X166" s="110" t="str">
        <f t="shared" si="296"/>
        <v>A1</v>
      </c>
      <c r="Y166" s="118" t="str">
        <f t="shared" ref="Y166:Z166" si="297">I166</f>
        <v>A5</v>
      </c>
      <c r="Z166" s="120" t="str">
        <f t="shared" si="297"/>
        <v>B11</v>
      </c>
      <c r="AA166" s="73" t="s">
        <v>126</v>
      </c>
      <c r="AB166" s="94" t="s">
        <v>155</v>
      </c>
      <c r="AC166" s="36"/>
      <c r="AD166" s="36"/>
      <c r="AE166" s="111"/>
      <c r="AF166" s="112"/>
      <c r="AG166" s="37"/>
      <c r="AH166" s="97"/>
      <c r="AI166" s="14"/>
      <c r="AJ166" s="14"/>
      <c r="AK166" s="14"/>
      <c r="AL166" s="113"/>
      <c r="AM166" s="104" t="s">
        <v>123</v>
      </c>
      <c r="AO166" s="104" t="s">
        <v>124</v>
      </c>
      <c r="AQ166" s="105" t="s">
        <v>125</v>
      </c>
      <c r="AS166" s="104" t="s">
        <v>118</v>
      </c>
      <c r="AU166" s="114" t="s">
        <v>119</v>
      </c>
      <c r="AW166" s="105" t="s">
        <v>120</v>
      </c>
      <c r="AY166" s="105" t="s">
        <v>121</v>
      </c>
      <c r="BA166" s="104" t="s">
        <v>122</v>
      </c>
      <c r="BB166" s="24"/>
    </row>
    <row r="167">
      <c r="A167" s="192">
        <f>A166-543</f>
        <v>2026</v>
      </c>
      <c r="B167" s="193"/>
      <c r="C167" s="347"/>
      <c r="E167" s="115" t="s">
        <v>109</v>
      </c>
      <c r="F167" s="116" t="s">
        <v>220</v>
      </c>
      <c r="G167" s="115"/>
      <c r="H167" s="118"/>
      <c r="I167" s="118"/>
      <c r="J167" s="118"/>
      <c r="K167" s="36"/>
      <c r="L167" s="117"/>
      <c r="M167" s="326"/>
      <c r="N167" s="327"/>
      <c r="R167" s="117"/>
      <c r="T167" s="117"/>
      <c r="V167" s="117"/>
      <c r="W167" s="9"/>
      <c r="X167" s="110"/>
      <c r="Z167" s="117"/>
      <c r="AA167" s="73" t="s">
        <v>69</v>
      </c>
      <c r="AB167" s="94" t="s">
        <v>128</v>
      </c>
      <c r="AC167" s="36"/>
      <c r="AD167" s="36"/>
      <c r="AE167" s="111"/>
      <c r="AF167" s="112"/>
      <c r="AG167" s="37"/>
      <c r="AH167" s="97"/>
      <c r="AI167" s="14"/>
      <c r="AJ167" s="14"/>
      <c r="AK167" s="14"/>
      <c r="AL167" s="113"/>
      <c r="AM167" s="104" t="s">
        <v>134</v>
      </c>
      <c r="AO167" s="104" t="s">
        <v>135</v>
      </c>
      <c r="AQ167" s="105" t="s">
        <v>136</v>
      </c>
      <c r="AS167" s="104" t="s">
        <v>129</v>
      </c>
      <c r="AU167" s="114" t="s">
        <v>130</v>
      </c>
      <c r="AW167" s="105" t="s">
        <v>131</v>
      </c>
      <c r="AY167" s="105" t="s">
        <v>132</v>
      </c>
      <c r="BA167" s="104" t="s">
        <v>133</v>
      </c>
      <c r="BB167" s="24"/>
    </row>
    <row r="168">
      <c r="A168" s="351"/>
      <c r="B168" s="206"/>
      <c r="C168" s="1"/>
      <c r="D168" s="312"/>
      <c r="E168" s="164" t="s">
        <v>168</v>
      </c>
      <c r="F168" s="88"/>
      <c r="G168" s="207" t="str">
        <f>G5:H5</f>
        <v>อสูรเดือน W</v>
      </c>
      <c r="I168" s="208" t="str">
        <f>I5:J5</f>
        <v>อสูรปี N</v>
      </c>
      <c r="K168" s="36"/>
      <c r="L168" s="117"/>
      <c r="M168" s="326"/>
      <c r="N168" s="327"/>
      <c r="R168" s="117"/>
      <c r="T168" s="117"/>
      <c r="V168" s="117"/>
      <c r="W168" s="9"/>
      <c r="X168" s="110"/>
      <c r="Z168" s="117"/>
      <c r="AA168" s="127"/>
      <c r="AB168" s="155"/>
      <c r="AC168" s="36"/>
      <c r="AD168" s="36"/>
      <c r="AE168" s="111"/>
      <c r="AF168" s="112"/>
      <c r="AG168" s="37"/>
      <c r="AH168" s="97"/>
      <c r="AI168" s="14"/>
      <c r="AJ168" s="14"/>
      <c r="AK168" s="14"/>
      <c r="AL168" s="113"/>
      <c r="BA168" s="128"/>
      <c r="BB168" s="24"/>
    </row>
    <row r="169">
      <c r="A169" s="188" t="s">
        <v>186</v>
      </c>
      <c r="B169" s="189"/>
      <c r="C169" s="63"/>
      <c r="D169" s="63"/>
      <c r="E169" s="64">
        <f>(O170+P170+Q170+R170)/(O171+P171+Q171+R171)</f>
        <v>0.625</v>
      </c>
      <c r="F169" s="65"/>
      <c r="G169" s="133"/>
      <c r="H169" s="72"/>
      <c r="I169" s="67"/>
      <c r="J169" s="72"/>
      <c r="K169" s="68"/>
      <c r="L169" s="69"/>
      <c r="M169" s="63" t="s">
        <v>64</v>
      </c>
      <c r="N169" s="70"/>
      <c r="O169" s="71" t="s">
        <v>65</v>
      </c>
      <c r="P169" s="72"/>
      <c r="Q169" s="72"/>
      <c r="R169" s="70"/>
      <c r="S169" s="71" t="s">
        <v>66</v>
      </c>
      <c r="T169" s="70"/>
      <c r="U169" s="71" t="s">
        <v>67</v>
      </c>
      <c r="V169" s="70"/>
      <c r="W169" s="71" t="s">
        <v>348</v>
      </c>
      <c r="X169" s="70"/>
      <c r="Y169" s="71" t="s">
        <v>68</v>
      </c>
      <c r="Z169" s="70"/>
      <c r="AA169" s="134" t="s">
        <v>69</v>
      </c>
      <c r="AB169" s="74" t="s">
        <v>70</v>
      </c>
      <c r="AC169" s="75" t="s">
        <v>189</v>
      </c>
      <c r="AD169" s="75" t="s">
        <v>192</v>
      </c>
      <c r="AE169" s="202" t="s">
        <v>142</v>
      </c>
      <c r="AF169" s="74" t="s">
        <v>143</v>
      </c>
      <c r="AG169" s="63" t="s">
        <v>34</v>
      </c>
      <c r="AH169" s="78" t="s">
        <v>75</v>
      </c>
      <c r="AI169" s="79" t="s">
        <v>84</v>
      </c>
      <c r="AJ169" s="79">
        <v>0.0</v>
      </c>
      <c r="AK169" s="79" t="s">
        <v>85</v>
      </c>
      <c r="AL169" s="80" t="str">
        <f>AL163</f>
        <v>開</v>
      </c>
      <c r="AM169" s="81" t="s">
        <v>40</v>
      </c>
      <c r="AN169" s="82" t="str">
        <f>AN163</f>
        <v>休</v>
      </c>
      <c r="AO169" s="81" t="s">
        <v>42</v>
      </c>
      <c r="AP169" s="82" t="s">
        <v>4</v>
      </c>
      <c r="AQ169" s="81" t="s">
        <v>44</v>
      </c>
      <c r="AR169" s="82" t="str">
        <f>AR163</f>
        <v>傷</v>
      </c>
      <c r="AS169" s="81" t="s">
        <v>46</v>
      </c>
      <c r="AT169" s="82" t="s">
        <v>8</v>
      </c>
      <c r="AU169" s="81" t="s">
        <v>48</v>
      </c>
      <c r="AV169" s="82" t="str">
        <f>AV163</f>
        <v>景</v>
      </c>
      <c r="AW169" s="81" t="s">
        <v>50</v>
      </c>
      <c r="AX169" s="82" t="str">
        <f>AX163</f>
        <v>死</v>
      </c>
      <c r="AY169" s="81" t="s">
        <v>52</v>
      </c>
      <c r="AZ169" s="82" t="str">
        <f>AZ163</f>
        <v>驚</v>
      </c>
      <c r="BA169" s="81" t="s">
        <v>38</v>
      </c>
      <c r="BB169" s="83"/>
      <c r="BC169" s="84"/>
      <c r="BD169" s="84"/>
      <c r="BE169" s="84"/>
    </row>
    <row r="170">
      <c r="A170" s="192">
        <f>A164+1</f>
        <v>27</v>
      </c>
      <c r="B170" s="193"/>
      <c r="C170" s="12" t="s">
        <v>187</v>
      </c>
      <c r="E170" s="203" t="s">
        <v>209</v>
      </c>
      <c r="G170" s="374" t="str">
        <f t="shared" ref="G170:G171" si="300">G3:H3</f>
        <v>乙</v>
      </c>
      <c r="I170" s="275" t="str">
        <f t="shared" ref="I170:I171" si="301">I44:J44</f>
        <v>丙</v>
      </c>
      <c r="K170" s="90">
        <f>L170/L171</f>
        <v>0.6958333333</v>
      </c>
      <c r="L170" s="91">
        <f t="shared" ref="L170:L171" si="302">Z170+Y170+X170+W170+V170+U170+T170+S170+R170+Q170+P170+O170</f>
        <v>835</v>
      </c>
      <c r="M170" s="92">
        <v>0.0</v>
      </c>
      <c r="N170" s="93">
        <v>0.0</v>
      </c>
      <c r="O170" s="92">
        <v>60.0</v>
      </c>
      <c r="P170" s="92">
        <v>90.0</v>
      </c>
      <c r="Q170" s="92">
        <v>90.0</v>
      </c>
      <c r="R170" s="93">
        <v>10.0</v>
      </c>
      <c r="S170" s="92">
        <v>110.0</v>
      </c>
      <c r="T170" s="93">
        <v>110.0</v>
      </c>
      <c r="U170" s="92">
        <f t="shared" ref="U170:X170" si="298">U50</f>
        <v>75</v>
      </c>
      <c r="V170" s="93">
        <f t="shared" si="298"/>
        <v>10</v>
      </c>
      <c r="W170" s="92">
        <f t="shared" si="298"/>
        <v>30</v>
      </c>
      <c r="X170" s="93">
        <f t="shared" si="298"/>
        <v>80</v>
      </c>
      <c r="Y170" s="92">
        <f t="shared" ref="Y170:Z170" si="299">Y44</f>
        <v>110</v>
      </c>
      <c r="Z170" s="93">
        <f t="shared" si="299"/>
        <v>60</v>
      </c>
      <c r="AA170" s="73" t="s">
        <v>80</v>
      </c>
      <c r="AB170" s="94" t="s">
        <v>81</v>
      </c>
      <c r="AC170" s="36"/>
      <c r="AD170" s="169"/>
      <c r="AE170" s="204" t="s">
        <v>82</v>
      </c>
      <c r="AF170" s="96" t="s">
        <v>83</v>
      </c>
      <c r="AG170" s="37"/>
      <c r="AH170" s="97"/>
      <c r="AI170" s="12" t="s">
        <v>76</v>
      </c>
      <c r="AJ170" s="12">
        <v>240.0</v>
      </c>
      <c r="AK170" s="12" t="s">
        <v>77</v>
      </c>
      <c r="AL170" s="98" t="s">
        <v>51</v>
      </c>
      <c r="AM170" s="101" t="s">
        <v>95</v>
      </c>
      <c r="AN170" s="100" t="s">
        <v>86</v>
      </c>
      <c r="AO170" s="99" t="s">
        <v>87</v>
      </c>
      <c r="AP170" s="100" t="s">
        <v>88</v>
      </c>
      <c r="AQ170" s="101" t="s">
        <v>89</v>
      </c>
      <c r="AR170" s="100" t="s">
        <v>45</v>
      </c>
      <c r="AS170" s="102" t="s">
        <v>90</v>
      </c>
      <c r="AT170" s="100" t="s">
        <v>43</v>
      </c>
      <c r="AU170" s="101" t="s">
        <v>91</v>
      </c>
      <c r="AV170" s="100" t="s">
        <v>41</v>
      </c>
      <c r="AW170" s="103" t="s">
        <v>92</v>
      </c>
      <c r="AX170" s="100" t="s">
        <v>39</v>
      </c>
      <c r="AY170" s="99" t="s">
        <v>93</v>
      </c>
      <c r="AZ170" s="100" t="s">
        <v>37</v>
      </c>
      <c r="BA170" s="99" t="s">
        <v>94</v>
      </c>
      <c r="BB170" s="24"/>
    </row>
    <row r="171">
      <c r="A171" s="215" t="str">
        <f>G2</f>
        <v>กรกฎาคม</v>
      </c>
      <c r="B171" s="193"/>
      <c r="C171" s="161" t="s">
        <v>162</v>
      </c>
      <c r="E171" s="218" t="s">
        <v>180</v>
      </c>
      <c r="G171" s="397" t="str">
        <f t="shared" si="300"/>
        <v>未</v>
      </c>
      <c r="I171" s="142" t="str">
        <f t="shared" si="301"/>
        <v>午</v>
      </c>
      <c r="K171" s="36"/>
      <c r="L171" s="109">
        <f t="shared" si="302"/>
        <v>1200</v>
      </c>
      <c r="M171" s="9">
        <v>0.0</v>
      </c>
      <c r="N171" s="110">
        <v>0.0</v>
      </c>
      <c r="O171" s="9">
        <v>100.0</v>
      </c>
      <c r="P171" s="9">
        <v>100.0</v>
      </c>
      <c r="Q171" s="9">
        <v>100.0</v>
      </c>
      <c r="R171" s="110">
        <v>100.0</v>
      </c>
      <c r="S171" s="9">
        <v>100.0</v>
      </c>
      <c r="T171" s="110">
        <v>100.0</v>
      </c>
      <c r="U171" s="9">
        <v>100.0</v>
      </c>
      <c r="V171" s="110">
        <v>100.0</v>
      </c>
      <c r="W171" s="9">
        <v>100.0</v>
      </c>
      <c r="X171" s="110">
        <v>100.0</v>
      </c>
      <c r="Y171" s="9">
        <v>100.0</v>
      </c>
      <c r="Z171" s="110">
        <v>100.0</v>
      </c>
      <c r="AA171" s="73" t="s">
        <v>98</v>
      </c>
      <c r="AB171" s="94" t="s">
        <v>99</v>
      </c>
      <c r="AC171" s="36"/>
      <c r="AD171" s="36"/>
      <c r="AE171" s="111"/>
      <c r="AF171" s="112"/>
      <c r="AG171" s="37"/>
      <c r="AH171" s="97"/>
      <c r="AI171" s="14"/>
      <c r="AJ171" s="14"/>
      <c r="AK171" s="14"/>
      <c r="AL171" s="113"/>
      <c r="AM171" s="105" t="s">
        <v>107</v>
      </c>
      <c r="AO171" s="104" t="s">
        <v>100</v>
      </c>
      <c r="AQ171" s="114" t="s">
        <v>101</v>
      </c>
      <c r="AS171" s="105" t="s">
        <v>102</v>
      </c>
      <c r="AU171" s="105" t="s">
        <v>103</v>
      </c>
      <c r="AW171" s="104" t="s">
        <v>104</v>
      </c>
      <c r="AY171" s="104" t="s">
        <v>105</v>
      </c>
      <c r="BA171" s="104" t="s">
        <v>106</v>
      </c>
      <c r="BB171" s="24"/>
    </row>
    <row r="172">
      <c r="A172" s="192">
        <v>2569.0</v>
      </c>
      <c r="B172" s="193"/>
      <c r="E172" s="115" t="s">
        <v>115</v>
      </c>
      <c r="F172" s="116" t="s">
        <v>116</v>
      </c>
      <c r="G172" s="115" t="str">
        <f t="shared" ref="G172:H172" si="303">G52</f>
        <v>A12</v>
      </c>
      <c r="H172" s="9" t="str">
        <f t="shared" si="303"/>
        <v>B12</v>
      </c>
      <c r="I172" s="9" t="str">
        <f t="shared" ref="I172:J172" si="304">I46</f>
        <v>A5</v>
      </c>
      <c r="J172" s="9" t="str">
        <f t="shared" si="304"/>
        <v>B11</v>
      </c>
      <c r="K172" s="36"/>
      <c r="L172" s="117"/>
      <c r="M172" s="118" t="str">
        <f t="shared" ref="M172:P172" si="305">C172</f>
        <v/>
      </c>
      <c r="N172" s="119" t="str">
        <f t="shared" si="305"/>
        <v/>
      </c>
      <c r="O172" s="118" t="str">
        <f t="shared" si="305"/>
        <v>A7</v>
      </c>
      <c r="P172" s="118" t="str">
        <f t="shared" si="305"/>
        <v>B5</v>
      </c>
      <c r="Q172" s="118" t="str">
        <f t="shared" ref="Q172:R172" si="306">E173</f>
        <v>B3</v>
      </c>
      <c r="R172" s="119" t="str">
        <f t="shared" si="306"/>
        <v>C8</v>
      </c>
      <c r="S172" s="9" t="s">
        <v>204</v>
      </c>
      <c r="T172" s="110" t="s">
        <v>204</v>
      </c>
      <c r="U172" s="9" t="str">
        <f t="shared" ref="U172:V172" si="307">G172</f>
        <v>A12</v>
      </c>
      <c r="V172" s="119" t="str">
        <f t="shared" si="307"/>
        <v>B12</v>
      </c>
      <c r="W172" s="9" t="str">
        <f t="shared" ref="W172:X172" si="308">W52</f>
        <v>A6</v>
      </c>
      <c r="X172" s="110" t="str">
        <f t="shared" si="308"/>
        <v>A1</v>
      </c>
      <c r="Y172" s="118" t="str">
        <f t="shared" ref="Y172:Z172" si="309">I172</f>
        <v>A5</v>
      </c>
      <c r="Z172" s="120" t="str">
        <f t="shared" si="309"/>
        <v>B11</v>
      </c>
      <c r="AA172" s="73" t="s">
        <v>116</v>
      </c>
      <c r="AB172" s="94" t="s">
        <v>117</v>
      </c>
      <c r="AC172" s="36"/>
      <c r="AD172" s="29" t="s">
        <v>338</v>
      </c>
      <c r="AE172" s="111"/>
      <c r="AF172" s="112"/>
      <c r="AG172" s="37"/>
      <c r="AH172" s="97"/>
      <c r="AI172" s="14"/>
      <c r="AJ172" s="14"/>
      <c r="AK172" s="14"/>
      <c r="AL172" s="113"/>
      <c r="AM172" s="105" t="s">
        <v>125</v>
      </c>
      <c r="AO172" s="104" t="s">
        <v>118</v>
      </c>
      <c r="AQ172" s="114" t="s">
        <v>119</v>
      </c>
      <c r="AS172" s="105" t="s">
        <v>120</v>
      </c>
      <c r="AU172" s="105" t="s">
        <v>121</v>
      </c>
      <c r="AW172" s="104" t="s">
        <v>122</v>
      </c>
      <c r="AY172" s="104" t="s">
        <v>123</v>
      </c>
      <c r="BA172" s="104" t="s">
        <v>124</v>
      </c>
      <c r="BB172" s="24"/>
    </row>
    <row r="173">
      <c r="A173" s="192">
        <f>A172-543</f>
        <v>2026</v>
      </c>
      <c r="B173" s="193"/>
      <c r="C173" s="12"/>
      <c r="E173" s="115" t="s">
        <v>183</v>
      </c>
      <c r="F173" s="116" t="s">
        <v>225</v>
      </c>
      <c r="G173" s="115"/>
      <c r="H173" s="118"/>
      <c r="I173" s="118"/>
      <c r="J173" s="118"/>
      <c r="K173" s="36"/>
      <c r="L173" s="117"/>
      <c r="M173" s="326"/>
      <c r="N173" s="327"/>
      <c r="R173" s="117"/>
      <c r="T173" s="117"/>
      <c r="V173" s="117"/>
      <c r="W173" s="9"/>
      <c r="X173" s="110"/>
      <c r="Z173" s="117"/>
      <c r="AA173" s="73" t="s">
        <v>126</v>
      </c>
      <c r="AB173" s="94" t="s">
        <v>128</v>
      </c>
      <c r="AC173" s="36"/>
      <c r="AD173" s="36"/>
      <c r="AE173" s="111"/>
      <c r="AF173" s="112"/>
      <c r="AG173" s="37"/>
      <c r="AH173" s="97"/>
      <c r="AI173" s="14"/>
      <c r="AJ173" s="14"/>
      <c r="AK173" s="14"/>
      <c r="AL173" s="113"/>
      <c r="AM173" s="105" t="s">
        <v>136</v>
      </c>
      <c r="AO173" s="104" t="s">
        <v>129</v>
      </c>
      <c r="AQ173" s="114" t="s">
        <v>130</v>
      </c>
      <c r="AS173" s="105" t="s">
        <v>131</v>
      </c>
      <c r="AU173" s="105" t="s">
        <v>132</v>
      </c>
      <c r="AW173" s="104" t="s">
        <v>133</v>
      </c>
      <c r="AY173" s="104" t="s">
        <v>134</v>
      </c>
      <c r="BA173" s="104" t="s">
        <v>135</v>
      </c>
      <c r="BB173" s="24"/>
    </row>
    <row r="174">
      <c r="A174" s="388" t="s">
        <v>242</v>
      </c>
      <c r="B174" s="206"/>
      <c r="C174" s="1"/>
      <c r="D174" s="123"/>
      <c r="E174" s="164" t="s">
        <v>185</v>
      </c>
      <c r="F174" s="88"/>
      <c r="G174" s="207" t="str">
        <f>G5:H5</f>
        <v>อสูรเดือน W</v>
      </c>
      <c r="I174" s="208" t="str">
        <f>I5:J5</f>
        <v>อสูรปี N</v>
      </c>
      <c r="K174" s="36"/>
      <c r="L174" s="117"/>
      <c r="M174" s="326"/>
      <c r="N174" s="327"/>
      <c r="R174" s="117"/>
      <c r="T174" s="117"/>
      <c r="V174" s="117"/>
      <c r="W174" s="9"/>
      <c r="X174" s="110"/>
      <c r="Z174" s="117"/>
      <c r="AA174" s="127"/>
      <c r="AB174" s="155"/>
      <c r="AC174" s="36"/>
      <c r="AD174" s="36"/>
      <c r="AE174" s="111"/>
      <c r="AF174" s="112"/>
      <c r="AG174" s="37"/>
      <c r="AH174" s="97"/>
      <c r="AI174" s="14"/>
      <c r="AJ174" s="14"/>
      <c r="AK174" s="14"/>
      <c r="AL174" s="113"/>
      <c r="AM174" s="128"/>
      <c r="BB174" s="24"/>
    </row>
    <row r="175">
      <c r="A175" s="188" t="s">
        <v>191</v>
      </c>
      <c r="B175" s="189"/>
      <c r="C175" s="63"/>
      <c r="D175" s="63"/>
      <c r="E175" s="64">
        <f>(O176+P176+Q176+R176)/(O177+P177+Q177+R177)</f>
        <v>0.4006410256</v>
      </c>
      <c r="F175" s="65"/>
      <c r="G175" s="133"/>
      <c r="H175" s="72"/>
      <c r="I175" s="67"/>
      <c r="J175" s="72"/>
      <c r="K175" s="68"/>
      <c r="L175" s="69"/>
      <c r="M175" s="63" t="s">
        <v>64</v>
      </c>
      <c r="N175" s="70"/>
      <c r="O175" s="71" t="s">
        <v>65</v>
      </c>
      <c r="P175" s="72"/>
      <c r="Q175" s="72"/>
      <c r="R175" s="70"/>
      <c r="S175" s="71" t="s">
        <v>66</v>
      </c>
      <c r="T175" s="70"/>
      <c r="U175" s="71" t="s">
        <v>67</v>
      </c>
      <c r="V175" s="70"/>
      <c r="W175" s="71" t="s">
        <v>348</v>
      </c>
      <c r="X175" s="70"/>
      <c r="Y175" s="71" t="s">
        <v>68</v>
      </c>
      <c r="Z175" s="70"/>
      <c r="AA175" s="134" t="s">
        <v>116</v>
      </c>
      <c r="AB175" s="74" t="s">
        <v>140</v>
      </c>
      <c r="AC175" s="75" t="s">
        <v>71</v>
      </c>
      <c r="AD175" s="75" t="s">
        <v>72</v>
      </c>
      <c r="AE175" s="167" t="s">
        <v>173</v>
      </c>
      <c r="AF175" s="74" t="s">
        <v>174</v>
      </c>
      <c r="AG175" s="63" t="s">
        <v>36</v>
      </c>
      <c r="AH175" s="78" t="s">
        <v>144</v>
      </c>
      <c r="AI175" s="79" t="s">
        <v>53</v>
      </c>
      <c r="AJ175" s="79">
        <v>30.0</v>
      </c>
      <c r="AK175" s="79" t="s">
        <v>178</v>
      </c>
      <c r="AL175" s="80" t="str">
        <f>AL169</f>
        <v>開</v>
      </c>
      <c r="AM175" s="81" t="s">
        <v>40</v>
      </c>
      <c r="AN175" s="82" t="str">
        <f>AN169</f>
        <v>休</v>
      </c>
      <c r="AO175" s="81" t="s">
        <v>42</v>
      </c>
      <c r="AP175" s="82" t="s">
        <v>4</v>
      </c>
      <c r="AQ175" s="81" t="s">
        <v>44</v>
      </c>
      <c r="AR175" s="82" t="str">
        <f>AR169</f>
        <v>傷</v>
      </c>
      <c r="AS175" s="81" t="s">
        <v>46</v>
      </c>
      <c r="AT175" s="82" t="s">
        <v>8</v>
      </c>
      <c r="AU175" s="81" t="s">
        <v>48</v>
      </c>
      <c r="AV175" s="82" t="str">
        <f>AV169</f>
        <v>景</v>
      </c>
      <c r="AW175" s="81" t="s">
        <v>50</v>
      </c>
      <c r="AX175" s="82" t="str">
        <f>AX169</f>
        <v>死</v>
      </c>
      <c r="AY175" s="81" t="s">
        <v>52</v>
      </c>
      <c r="AZ175" s="82" t="str">
        <f>AZ169</f>
        <v>驚</v>
      </c>
      <c r="BA175" s="81" t="s">
        <v>38</v>
      </c>
      <c r="BB175" s="83"/>
      <c r="BC175" s="84"/>
      <c r="BD175" s="84"/>
      <c r="BE175" s="84"/>
    </row>
    <row r="176">
      <c r="A176" s="192">
        <f>A170+1</f>
        <v>28</v>
      </c>
      <c r="B176" s="193"/>
      <c r="C176" s="12" t="s">
        <v>176</v>
      </c>
      <c r="E176" s="203" t="s">
        <v>171</v>
      </c>
      <c r="G176" s="374" t="str">
        <f t="shared" ref="G176:G177" si="312">G3:H3</f>
        <v>乙</v>
      </c>
      <c r="I176" s="275" t="str">
        <f t="shared" ref="I176:I177" si="313">I44:J44</f>
        <v>丙</v>
      </c>
      <c r="K176" s="90">
        <f>L176/L177</f>
        <v>0.589028777</v>
      </c>
      <c r="L176" s="91">
        <f t="shared" ref="L176:L177" si="314">Z176+Y176+X176+W176+V176+U176+T176+S176+R176+Q176+P176+O176</f>
        <v>655</v>
      </c>
      <c r="M176" s="92">
        <v>0.0</v>
      </c>
      <c r="N176" s="93">
        <v>0.0</v>
      </c>
      <c r="O176" s="92">
        <v>5.0</v>
      </c>
      <c r="P176" s="92">
        <v>0.0</v>
      </c>
      <c r="Q176" s="92">
        <v>100.0</v>
      </c>
      <c r="R176" s="93">
        <v>20.0</v>
      </c>
      <c r="S176" s="92">
        <v>90.0</v>
      </c>
      <c r="T176" s="93">
        <v>75.0</v>
      </c>
      <c r="U176" s="92">
        <f t="shared" ref="U176:X176" si="310">U50</f>
        <v>75</v>
      </c>
      <c r="V176" s="93">
        <f t="shared" si="310"/>
        <v>10</v>
      </c>
      <c r="W176" s="92">
        <f t="shared" si="310"/>
        <v>30</v>
      </c>
      <c r="X176" s="93">
        <f t="shared" si="310"/>
        <v>80</v>
      </c>
      <c r="Y176" s="92">
        <f t="shared" ref="Y176:Z176" si="311">Y44</f>
        <v>110</v>
      </c>
      <c r="Z176" s="93">
        <f t="shared" si="311"/>
        <v>60</v>
      </c>
      <c r="AA176" s="73" t="s">
        <v>126</v>
      </c>
      <c r="AB176" s="94" t="s">
        <v>70</v>
      </c>
      <c r="AC176" s="276" t="s">
        <v>53</v>
      </c>
      <c r="AD176" s="277" t="s">
        <v>245</v>
      </c>
      <c r="AE176" s="170" t="s">
        <v>73</v>
      </c>
      <c r="AF176" s="94" t="s">
        <v>74</v>
      </c>
      <c r="AG176" s="37"/>
      <c r="AH176" s="97"/>
      <c r="AI176" s="12" t="s">
        <v>71</v>
      </c>
      <c r="AJ176" s="12">
        <v>210.0</v>
      </c>
      <c r="AK176" s="12" t="s">
        <v>175</v>
      </c>
      <c r="AL176" s="98" t="s">
        <v>37</v>
      </c>
      <c r="AM176" s="99" t="s">
        <v>94</v>
      </c>
      <c r="AN176" s="100" t="s">
        <v>51</v>
      </c>
      <c r="AO176" s="101" t="s">
        <v>95</v>
      </c>
      <c r="AP176" s="100" t="s">
        <v>86</v>
      </c>
      <c r="AQ176" s="99" t="s">
        <v>87</v>
      </c>
      <c r="AR176" s="100" t="s">
        <v>88</v>
      </c>
      <c r="AS176" s="101" t="s">
        <v>89</v>
      </c>
      <c r="AT176" s="100" t="s">
        <v>45</v>
      </c>
      <c r="AU176" s="102" t="s">
        <v>90</v>
      </c>
      <c r="AV176" s="100" t="s">
        <v>43</v>
      </c>
      <c r="AW176" s="101" t="s">
        <v>91</v>
      </c>
      <c r="AX176" s="100" t="s">
        <v>41</v>
      </c>
      <c r="AY176" s="103" t="s">
        <v>92</v>
      </c>
      <c r="AZ176" s="100" t="s">
        <v>39</v>
      </c>
      <c r="BA176" s="99" t="s">
        <v>93</v>
      </c>
      <c r="BB176" s="24"/>
    </row>
    <row r="177">
      <c r="A177" s="215" t="str">
        <f>G2</f>
        <v>กรกฎาคม</v>
      </c>
      <c r="B177" s="193"/>
      <c r="C177" s="106" t="s">
        <v>162</v>
      </c>
      <c r="E177" s="171" t="s">
        <v>189</v>
      </c>
      <c r="G177" s="397" t="str">
        <f t="shared" si="312"/>
        <v>未</v>
      </c>
      <c r="I177" s="142" t="str">
        <f t="shared" si="313"/>
        <v>午</v>
      </c>
      <c r="K177" s="36"/>
      <c r="L177" s="109">
        <f t="shared" si="314"/>
        <v>1112</v>
      </c>
      <c r="M177" s="9">
        <v>0.0</v>
      </c>
      <c r="N177" s="110">
        <v>0.0</v>
      </c>
      <c r="O177" s="9">
        <v>100.0</v>
      </c>
      <c r="P177" s="9">
        <v>100.0</v>
      </c>
      <c r="Q177" s="9">
        <v>100.0</v>
      </c>
      <c r="R177" s="110">
        <v>12.0</v>
      </c>
      <c r="S177" s="9">
        <v>100.0</v>
      </c>
      <c r="T177" s="110">
        <v>100.0</v>
      </c>
      <c r="U177" s="9">
        <v>100.0</v>
      </c>
      <c r="V177" s="110">
        <v>100.0</v>
      </c>
      <c r="W177" s="9">
        <v>100.0</v>
      </c>
      <c r="X177" s="110">
        <v>100.0</v>
      </c>
      <c r="Y177" s="9">
        <v>100.0</v>
      </c>
      <c r="Z177" s="110">
        <v>100.0</v>
      </c>
      <c r="AA177" s="73" t="s">
        <v>69</v>
      </c>
      <c r="AB177" s="94" t="s">
        <v>152</v>
      </c>
      <c r="AC177" s="36"/>
      <c r="AD177" s="36"/>
      <c r="AE177" s="111"/>
      <c r="AF177" s="112"/>
      <c r="AG177" s="37"/>
      <c r="AH177" s="97"/>
      <c r="AI177" s="14"/>
      <c r="AJ177" s="14"/>
      <c r="AK177" s="14"/>
      <c r="AL177" s="113"/>
      <c r="AM177" s="104" t="s">
        <v>106</v>
      </c>
      <c r="AO177" s="105" t="s">
        <v>107</v>
      </c>
      <c r="AQ177" s="104" t="s">
        <v>100</v>
      </c>
      <c r="AS177" s="114" t="s">
        <v>101</v>
      </c>
      <c r="AU177" s="105" t="s">
        <v>102</v>
      </c>
      <c r="AW177" s="105" t="s">
        <v>103</v>
      </c>
      <c r="AY177" s="104" t="s">
        <v>104</v>
      </c>
      <c r="BA177" s="104" t="s">
        <v>105</v>
      </c>
      <c r="BB177" s="24"/>
    </row>
    <row r="178">
      <c r="A178" s="192">
        <v>2569.0</v>
      </c>
      <c r="B178" s="193"/>
      <c r="E178" s="115" t="s">
        <v>182</v>
      </c>
      <c r="F178" s="116" t="s">
        <v>126</v>
      </c>
      <c r="G178" s="115" t="str">
        <f t="shared" ref="G178:H178" si="315">G52</f>
        <v>A12</v>
      </c>
      <c r="H178" s="9" t="str">
        <f t="shared" si="315"/>
        <v>B12</v>
      </c>
      <c r="I178" s="9" t="str">
        <f t="shared" ref="I178:J178" si="316">I46</f>
        <v>A5</v>
      </c>
      <c r="J178" s="9" t="str">
        <f t="shared" si="316"/>
        <v>B11</v>
      </c>
      <c r="K178" s="36"/>
      <c r="L178" s="117"/>
      <c r="M178" s="118" t="str">
        <f t="shared" ref="M178:N178" si="317">C178</f>
        <v/>
      </c>
      <c r="N178" s="119" t="str">
        <f t="shared" si="317"/>
        <v/>
      </c>
      <c r="O178" s="402" t="str">
        <f t="shared" ref="O178:P178" si="318">E177</f>
        <v>卯</v>
      </c>
      <c r="P178" s="118" t="str">
        <f t="shared" si="318"/>
        <v/>
      </c>
      <c r="Q178" s="118" t="str">
        <f t="shared" ref="Q178:R178" si="319">E178</f>
        <v>A1</v>
      </c>
      <c r="R178" s="119" t="str">
        <f t="shared" si="319"/>
        <v>B6</v>
      </c>
      <c r="S178" s="9" t="s">
        <v>213</v>
      </c>
      <c r="T178" s="110" t="s">
        <v>182</v>
      </c>
      <c r="U178" s="9" t="str">
        <f t="shared" ref="U178:V178" si="320">G178</f>
        <v>A12</v>
      </c>
      <c r="V178" s="119" t="str">
        <f t="shared" si="320"/>
        <v>B12</v>
      </c>
      <c r="W178" s="9" t="str">
        <f t="shared" ref="W178:X178" si="321">W52</f>
        <v>A6</v>
      </c>
      <c r="X178" s="110" t="str">
        <f t="shared" si="321"/>
        <v>A1</v>
      </c>
      <c r="Y178" s="118" t="str">
        <f t="shared" ref="Y178:Z178" si="322">I178</f>
        <v>A5</v>
      </c>
      <c r="Z178" s="120" t="str">
        <f t="shared" si="322"/>
        <v>B11</v>
      </c>
      <c r="AA178" s="73" t="s">
        <v>80</v>
      </c>
      <c r="AB178" s="94" t="s">
        <v>153</v>
      </c>
      <c r="AC178" s="36"/>
      <c r="AD178" s="36"/>
      <c r="AE178" s="111"/>
      <c r="AF178" s="112"/>
      <c r="AG178" s="37"/>
      <c r="AH178" s="97"/>
      <c r="AI178" s="14"/>
      <c r="AJ178" s="14"/>
      <c r="AK178" s="14"/>
      <c r="AL178" s="113"/>
      <c r="AM178" s="104" t="s">
        <v>124</v>
      </c>
      <c r="AO178" s="105" t="s">
        <v>125</v>
      </c>
      <c r="AQ178" s="104" t="s">
        <v>118</v>
      </c>
      <c r="AS178" s="114" t="s">
        <v>119</v>
      </c>
      <c r="AU178" s="105" t="s">
        <v>120</v>
      </c>
      <c r="AW178" s="105" t="s">
        <v>121</v>
      </c>
      <c r="AY178" s="104" t="s">
        <v>122</v>
      </c>
      <c r="BA178" s="104" t="s">
        <v>123</v>
      </c>
      <c r="BB178" s="24"/>
    </row>
    <row r="179">
      <c r="A179" s="192">
        <f>A178-543</f>
        <v>2026</v>
      </c>
      <c r="B179" s="193"/>
      <c r="C179" s="163"/>
      <c r="E179" s="115" t="s">
        <v>98</v>
      </c>
      <c r="F179" s="116" t="s">
        <v>229</v>
      </c>
      <c r="G179" s="115"/>
      <c r="H179" s="118"/>
      <c r="I179" s="118"/>
      <c r="J179" s="118"/>
      <c r="K179" s="36"/>
      <c r="L179" s="117"/>
      <c r="M179" s="326"/>
      <c r="N179" s="327"/>
      <c r="R179" s="117"/>
      <c r="T179" s="117"/>
      <c r="V179" s="117"/>
      <c r="W179" s="9"/>
      <c r="X179" s="110"/>
      <c r="Z179" s="117"/>
      <c r="AA179" s="73" t="s">
        <v>98</v>
      </c>
      <c r="AB179" s="94" t="s">
        <v>155</v>
      </c>
      <c r="AC179" s="36"/>
      <c r="AD179" s="36"/>
      <c r="AE179" s="111"/>
      <c r="AF179" s="112"/>
      <c r="AG179" s="37"/>
      <c r="AH179" s="97"/>
      <c r="AI179" s="14"/>
      <c r="AJ179" s="14"/>
      <c r="AK179" s="14"/>
      <c r="AL179" s="113"/>
      <c r="AM179" s="104" t="s">
        <v>135</v>
      </c>
      <c r="AO179" s="105" t="s">
        <v>136</v>
      </c>
      <c r="AQ179" s="104" t="s">
        <v>129</v>
      </c>
      <c r="AS179" s="114" t="s">
        <v>130</v>
      </c>
      <c r="AU179" s="105" t="s">
        <v>131</v>
      </c>
      <c r="AW179" s="105" t="s">
        <v>132</v>
      </c>
      <c r="AY179" s="104" t="s">
        <v>133</v>
      </c>
      <c r="BA179" s="104" t="s">
        <v>134</v>
      </c>
      <c r="BB179" s="24"/>
    </row>
    <row r="180">
      <c r="A180" s="403" t="s">
        <v>349</v>
      </c>
      <c r="B180" s="206"/>
      <c r="C180" s="1"/>
      <c r="D180" s="1"/>
      <c r="E180" s="176"/>
      <c r="F180" s="320"/>
      <c r="G180" s="283"/>
      <c r="H180" s="284"/>
      <c r="I180" s="284"/>
      <c r="J180" s="284"/>
      <c r="K180" s="36"/>
      <c r="L180" s="117"/>
      <c r="M180" s="326"/>
      <c r="N180" s="327"/>
      <c r="R180" s="117"/>
      <c r="T180" s="117"/>
      <c r="V180" s="117"/>
      <c r="W180" s="9"/>
      <c r="X180" s="110"/>
      <c r="Z180" s="117"/>
      <c r="AA180" s="127"/>
      <c r="AB180" s="155"/>
      <c r="AC180" s="36"/>
      <c r="AD180" s="36"/>
      <c r="AE180" s="111"/>
      <c r="AF180" s="112"/>
      <c r="AG180" s="37"/>
      <c r="AH180" s="97"/>
      <c r="AI180" s="14"/>
      <c r="AJ180" s="14"/>
      <c r="AK180" s="14"/>
      <c r="AL180" s="113"/>
      <c r="AW180" s="128"/>
      <c r="BB180" s="24"/>
    </row>
    <row r="181">
      <c r="A181" s="381" t="s">
        <v>331</v>
      </c>
      <c r="B181" s="206"/>
      <c r="C181" s="1" t="s">
        <v>336</v>
      </c>
      <c r="E181" s="124" t="s">
        <v>137</v>
      </c>
      <c r="F181" s="125"/>
      <c r="G181" s="207" t="str">
        <f>G5:H5</f>
        <v>อสูรเดือน W</v>
      </c>
      <c r="I181" s="208" t="str">
        <f>I5:J5</f>
        <v>อสูรปี N</v>
      </c>
      <c r="K181" s="36"/>
      <c r="L181" s="117"/>
      <c r="M181" s="326"/>
      <c r="N181" s="327"/>
      <c r="R181" s="117"/>
      <c r="T181" s="117"/>
      <c r="V181" s="117"/>
      <c r="X181" s="117"/>
      <c r="Z181" s="117"/>
      <c r="AA181" s="233"/>
      <c r="AB181" s="234"/>
      <c r="AC181" s="36"/>
      <c r="AD181" s="36"/>
      <c r="AE181" s="111"/>
      <c r="AF181" s="112"/>
      <c r="AG181" s="37"/>
      <c r="AH181" s="97"/>
      <c r="AI181" s="14"/>
      <c r="AJ181" s="14"/>
      <c r="AK181" s="14"/>
      <c r="AL181" s="113"/>
      <c r="AW181" s="128"/>
      <c r="BB181" s="24"/>
    </row>
    <row r="182">
      <c r="A182" s="188" t="s">
        <v>199</v>
      </c>
      <c r="B182" s="189"/>
      <c r="C182" s="63"/>
      <c r="D182" s="63"/>
      <c r="E182" s="64">
        <f>(O183+P183+Q183+R183)/(O184+P184+Q184+R184)</f>
        <v>0.7</v>
      </c>
      <c r="F182" s="65"/>
      <c r="G182" s="133"/>
      <c r="H182" s="72"/>
      <c r="I182" s="67"/>
      <c r="J182" s="72"/>
      <c r="K182" s="68"/>
      <c r="L182" s="69"/>
      <c r="M182" s="63" t="s">
        <v>64</v>
      </c>
      <c r="N182" s="70"/>
      <c r="O182" s="71" t="s">
        <v>65</v>
      </c>
      <c r="P182" s="72"/>
      <c r="Q182" s="72"/>
      <c r="R182" s="70"/>
      <c r="S182" s="71" t="s">
        <v>66</v>
      </c>
      <c r="T182" s="70"/>
      <c r="U182" s="71" t="s">
        <v>67</v>
      </c>
      <c r="V182" s="70"/>
      <c r="W182" s="71" t="s">
        <v>348</v>
      </c>
      <c r="X182" s="70"/>
      <c r="Y182" s="71" t="s">
        <v>68</v>
      </c>
      <c r="Z182" s="70"/>
      <c r="AA182" s="134" t="s">
        <v>116</v>
      </c>
      <c r="AB182" s="74" t="s">
        <v>159</v>
      </c>
      <c r="AC182" s="75" t="s">
        <v>171</v>
      </c>
      <c r="AD182" s="75" t="s">
        <v>172</v>
      </c>
      <c r="AE182" s="167" t="s">
        <v>173</v>
      </c>
      <c r="AF182" s="74" t="s">
        <v>174</v>
      </c>
      <c r="AG182" s="63" t="s">
        <v>36</v>
      </c>
      <c r="AH182" s="78" t="s">
        <v>36</v>
      </c>
      <c r="AI182" s="79" t="s">
        <v>180</v>
      </c>
      <c r="AJ182" s="79">
        <v>60.0</v>
      </c>
      <c r="AK182" s="79" t="s">
        <v>200</v>
      </c>
      <c r="AL182" s="80" t="str">
        <f>AL175</f>
        <v>開</v>
      </c>
      <c r="AM182" s="81" t="s">
        <v>50</v>
      </c>
      <c r="AN182" s="82" t="str">
        <f>AN175</f>
        <v>休</v>
      </c>
      <c r="AO182" s="81" t="s">
        <v>52</v>
      </c>
      <c r="AP182" s="82" t="s">
        <v>4</v>
      </c>
      <c r="AQ182" s="81" t="s">
        <v>38</v>
      </c>
      <c r="AR182" s="82" t="str">
        <f>AR175</f>
        <v>傷</v>
      </c>
      <c r="AS182" s="81" t="s">
        <v>40</v>
      </c>
      <c r="AT182" s="82" t="s">
        <v>8</v>
      </c>
      <c r="AU182" s="81" t="s">
        <v>42</v>
      </c>
      <c r="AV182" s="82" t="str">
        <f>AV175</f>
        <v>景</v>
      </c>
      <c r="AW182" s="81" t="s">
        <v>44</v>
      </c>
      <c r="AX182" s="82" t="str">
        <f>AX175</f>
        <v>死</v>
      </c>
      <c r="AY182" s="81" t="s">
        <v>46</v>
      </c>
      <c r="AZ182" s="82" t="str">
        <f>AZ175</f>
        <v>驚</v>
      </c>
      <c r="BA182" s="81" t="s">
        <v>48</v>
      </c>
      <c r="BB182" s="83"/>
      <c r="BC182" s="84"/>
      <c r="BD182" s="84"/>
      <c r="BE182" s="84"/>
    </row>
    <row r="183">
      <c r="A183" s="192">
        <f>A176+1</f>
        <v>29</v>
      </c>
      <c r="B183" s="193"/>
      <c r="C183" s="338" t="s">
        <v>248</v>
      </c>
      <c r="E183" s="87" t="s">
        <v>222</v>
      </c>
      <c r="G183" s="374" t="str">
        <f t="shared" ref="G183:G184" si="325">G3:H3</f>
        <v>乙</v>
      </c>
      <c r="I183" s="275" t="str">
        <f t="shared" ref="I183:I184" si="326">I44:J44</f>
        <v>丙</v>
      </c>
      <c r="K183" s="90">
        <f>L183/L184</f>
        <v>0.6166666667</v>
      </c>
      <c r="L183" s="91">
        <f t="shared" ref="L183:L184" si="327">Z183+Y183+X183+W183+V183+U183+T183+S183+R183+Q183+P183+O183</f>
        <v>740</v>
      </c>
      <c r="M183" s="92">
        <v>0.0</v>
      </c>
      <c r="N183" s="93">
        <v>0.0</v>
      </c>
      <c r="O183" s="92">
        <v>70.0</v>
      </c>
      <c r="P183" s="92">
        <v>80.0</v>
      </c>
      <c r="Q183" s="92">
        <v>30.0</v>
      </c>
      <c r="R183" s="93">
        <v>100.0</v>
      </c>
      <c r="S183" s="92">
        <v>85.0</v>
      </c>
      <c r="T183" s="93">
        <v>10.0</v>
      </c>
      <c r="U183" s="92">
        <f t="shared" ref="U183:X183" si="323">U50</f>
        <v>75</v>
      </c>
      <c r="V183" s="93">
        <f t="shared" si="323"/>
        <v>10</v>
      </c>
      <c r="W183" s="92">
        <f t="shared" si="323"/>
        <v>30</v>
      </c>
      <c r="X183" s="93">
        <f t="shared" si="323"/>
        <v>80</v>
      </c>
      <c r="Y183" s="92">
        <f t="shared" ref="Y183:Z183" si="324">Y44</f>
        <v>110</v>
      </c>
      <c r="Z183" s="93">
        <f t="shared" si="324"/>
        <v>60</v>
      </c>
      <c r="AA183" s="73" t="s">
        <v>126</v>
      </c>
      <c r="AB183" s="94" t="s">
        <v>152</v>
      </c>
      <c r="AC183" s="36"/>
      <c r="AD183" s="169" t="s">
        <v>177</v>
      </c>
      <c r="AE183" s="170" t="s">
        <v>73</v>
      </c>
      <c r="AF183" s="94" t="s">
        <v>74</v>
      </c>
      <c r="AG183" s="37"/>
      <c r="AH183" s="97"/>
      <c r="AI183" s="12" t="s">
        <v>202</v>
      </c>
      <c r="AJ183" s="12">
        <v>180.0</v>
      </c>
      <c r="AK183" s="12" t="s">
        <v>203</v>
      </c>
      <c r="AL183" s="98" t="s">
        <v>39</v>
      </c>
      <c r="AM183" s="99" t="s">
        <v>93</v>
      </c>
      <c r="AN183" s="100" t="s">
        <v>37</v>
      </c>
      <c r="AO183" s="99" t="s">
        <v>94</v>
      </c>
      <c r="AP183" s="100" t="s">
        <v>51</v>
      </c>
      <c r="AQ183" s="101" t="s">
        <v>95</v>
      </c>
      <c r="AR183" s="100" t="s">
        <v>86</v>
      </c>
      <c r="AS183" s="99" t="s">
        <v>87</v>
      </c>
      <c r="AT183" s="100" t="s">
        <v>88</v>
      </c>
      <c r="AU183" s="101" t="s">
        <v>89</v>
      </c>
      <c r="AV183" s="100" t="s">
        <v>45</v>
      </c>
      <c r="AW183" s="102" t="s">
        <v>90</v>
      </c>
      <c r="AX183" s="100" t="s">
        <v>43</v>
      </c>
      <c r="AY183" s="101" t="s">
        <v>91</v>
      </c>
      <c r="AZ183" s="100" t="s">
        <v>41</v>
      </c>
      <c r="BA183" s="103" t="s">
        <v>92</v>
      </c>
      <c r="BB183" s="24"/>
    </row>
    <row r="184">
      <c r="A184" s="215" t="str">
        <f>G2</f>
        <v>กรกฎาคม</v>
      </c>
      <c r="B184" s="193"/>
      <c r="C184" s="175" t="s">
        <v>188</v>
      </c>
      <c r="E184" s="162" t="s">
        <v>197</v>
      </c>
      <c r="G184" s="397" t="str">
        <f t="shared" si="325"/>
        <v>未</v>
      </c>
      <c r="I184" s="35" t="str">
        <f t="shared" si="326"/>
        <v>午</v>
      </c>
      <c r="K184" s="36"/>
      <c r="L184" s="109">
        <f t="shared" si="327"/>
        <v>1200</v>
      </c>
      <c r="M184" s="9">
        <v>0.0</v>
      </c>
      <c r="N184" s="110">
        <v>0.0</v>
      </c>
      <c r="O184" s="9">
        <v>100.0</v>
      </c>
      <c r="P184" s="9">
        <v>100.0</v>
      </c>
      <c r="Q184" s="9">
        <v>100.0</v>
      </c>
      <c r="R184" s="110">
        <v>100.0</v>
      </c>
      <c r="S184" s="9">
        <v>100.0</v>
      </c>
      <c r="T184" s="110">
        <v>100.0</v>
      </c>
      <c r="U184" s="9">
        <v>100.0</v>
      </c>
      <c r="V184" s="110">
        <v>100.0</v>
      </c>
      <c r="W184" s="9">
        <v>100.0</v>
      </c>
      <c r="X184" s="110">
        <v>100.0</v>
      </c>
      <c r="Y184" s="9">
        <v>100.0</v>
      </c>
      <c r="Z184" s="110">
        <v>100.0</v>
      </c>
      <c r="AA184" s="73" t="s">
        <v>69</v>
      </c>
      <c r="AB184" s="94" t="s">
        <v>163</v>
      </c>
      <c r="AC184" s="36"/>
      <c r="AD184" s="36"/>
      <c r="AE184" s="111"/>
      <c r="AF184" s="112"/>
      <c r="AG184" s="37"/>
      <c r="AH184" s="97"/>
      <c r="AI184" s="14"/>
      <c r="AJ184" s="14"/>
      <c r="AK184" s="14"/>
      <c r="AL184" s="113"/>
      <c r="AM184" s="104" t="s">
        <v>105</v>
      </c>
      <c r="AO184" s="104" t="s">
        <v>106</v>
      </c>
      <c r="AQ184" s="105" t="s">
        <v>107</v>
      </c>
      <c r="AS184" s="104" t="s">
        <v>100</v>
      </c>
      <c r="AU184" s="114" t="s">
        <v>101</v>
      </c>
      <c r="AW184" s="105" t="s">
        <v>102</v>
      </c>
      <c r="AY184" s="105" t="s">
        <v>103</v>
      </c>
      <c r="BA184" s="104" t="s">
        <v>104</v>
      </c>
      <c r="BB184" s="24"/>
    </row>
    <row r="185">
      <c r="A185" s="192">
        <v>2569.0</v>
      </c>
      <c r="B185" s="193"/>
      <c r="E185" s="115" t="s">
        <v>198</v>
      </c>
      <c r="F185" s="116" t="s">
        <v>111</v>
      </c>
      <c r="G185" s="115" t="str">
        <f t="shared" ref="G185:H185" si="328">G52</f>
        <v>A12</v>
      </c>
      <c r="H185" s="9" t="str">
        <f t="shared" si="328"/>
        <v>B12</v>
      </c>
      <c r="I185" s="9" t="str">
        <f t="shared" ref="I185:J185" si="329">I46</f>
        <v>A5</v>
      </c>
      <c r="J185" s="9" t="str">
        <f t="shared" si="329"/>
        <v>B11</v>
      </c>
      <c r="K185" s="36"/>
      <c r="L185" s="117"/>
      <c r="M185" s="118" t="str">
        <f t="shared" ref="M185:P185" si="330">C185</f>
        <v/>
      </c>
      <c r="N185" s="119" t="str">
        <f t="shared" si="330"/>
        <v/>
      </c>
      <c r="O185" s="118" t="str">
        <f t="shared" si="330"/>
        <v>A6</v>
      </c>
      <c r="P185" s="118" t="str">
        <f t="shared" si="330"/>
        <v>B7</v>
      </c>
      <c r="Q185" s="118" t="str">
        <f t="shared" ref="Q185:R185" si="331">E186</f>
        <v>B1</v>
      </c>
      <c r="R185" s="119" t="str">
        <f t="shared" si="331"/>
        <v>C10</v>
      </c>
      <c r="S185" s="9" t="s">
        <v>219</v>
      </c>
      <c r="T185" s="110" t="s">
        <v>108</v>
      </c>
      <c r="U185" s="9" t="str">
        <f t="shared" ref="U185:V185" si="332">G185</f>
        <v>A12</v>
      </c>
      <c r="V185" s="119" t="str">
        <f t="shared" si="332"/>
        <v>B12</v>
      </c>
      <c r="W185" s="9" t="str">
        <f t="shared" ref="W185:X185" si="333">W52</f>
        <v>A6</v>
      </c>
      <c r="X185" s="110" t="str">
        <f t="shared" si="333"/>
        <v>A1</v>
      </c>
      <c r="Y185" s="118" t="str">
        <f t="shared" ref="Y185:Z185" si="334">I185</f>
        <v>A5</v>
      </c>
      <c r="Z185" s="120" t="str">
        <f t="shared" si="334"/>
        <v>B11</v>
      </c>
      <c r="AA185" s="73" t="s">
        <v>80</v>
      </c>
      <c r="AB185" s="94" t="s">
        <v>117</v>
      </c>
      <c r="AC185" s="36"/>
      <c r="AD185" s="36"/>
      <c r="AE185" s="111"/>
      <c r="AF185" s="112"/>
      <c r="AG185" s="37"/>
      <c r="AH185" s="97"/>
      <c r="AI185" s="14"/>
      <c r="AJ185" s="14"/>
      <c r="AK185" s="14"/>
      <c r="AL185" s="113"/>
      <c r="AM185" s="104" t="s">
        <v>123</v>
      </c>
      <c r="AO185" s="104" t="s">
        <v>124</v>
      </c>
      <c r="AQ185" s="105" t="s">
        <v>125</v>
      </c>
      <c r="AS185" s="104" t="s">
        <v>118</v>
      </c>
      <c r="AU185" s="114" t="s">
        <v>119</v>
      </c>
      <c r="AW185" s="105" t="s">
        <v>120</v>
      </c>
      <c r="AY185" s="105" t="s">
        <v>121</v>
      </c>
      <c r="BA185" s="104" t="s">
        <v>122</v>
      </c>
      <c r="BB185" s="24"/>
    </row>
    <row r="186">
      <c r="A186" s="192">
        <f>A185-543</f>
        <v>2026</v>
      </c>
      <c r="B186" s="193"/>
      <c r="C186" s="404" t="s">
        <v>335</v>
      </c>
      <c r="E186" s="115" t="s">
        <v>80</v>
      </c>
      <c r="F186" s="116" t="s">
        <v>232</v>
      </c>
      <c r="G186" s="115"/>
      <c r="H186" s="118"/>
      <c r="I186" s="118"/>
      <c r="J186" s="118"/>
      <c r="K186" s="36"/>
      <c r="L186" s="117"/>
      <c r="M186" s="326"/>
      <c r="N186" s="327"/>
      <c r="R186" s="117"/>
      <c r="T186" s="117"/>
      <c r="V186" s="117"/>
      <c r="W186" s="9"/>
      <c r="X186" s="110"/>
      <c r="Z186" s="117"/>
      <c r="AA186" s="73" t="s">
        <v>98</v>
      </c>
      <c r="AB186" s="94" t="s">
        <v>128</v>
      </c>
      <c r="AC186" s="36"/>
      <c r="AD186" s="36"/>
      <c r="AE186" s="111"/>
      <c r="AF186" s="112"/>
      <c r="AG186" s="37"/>
      <c r="AH186" s="97"/>
      <c r="AI186" s="14"/>
      <c r="AJ186" s="14"/>
      <c r="AK186" s="14"/>
      <c r="AL186" s="113"/>
      <c r="AM186" s="104" t="s">
        <v>134</v>
      </c>
      <c r="AO186" s="104" t="s">
        <v>135</v>
      </c>
      <c r="AQ186" s="105" t="s">
        <v>136</v>
      </c>
      <c r="AS186" s="104" t="s">
        <v>129</v>
      </c>
      <c r="AU186" s="114" t="s">
        <v>130</v>
      </c>
      <c r="AW186" s="105" t="s">
        <v>131</v>
      </c>
      <c r="AY186" s="105" t="s">
        <v>132</v>
      </c>
      <c r="BA186" s="104" t="s">
        <v>133</v>
      </c>
      <c r="BB186" s="24"/>
    </row>
    <row r="187">
      <c r="A187" s="405" t="s">
        <v>350</v>
      </c>
      <c r="B187" s="206"/>
      <c r="C187" s="1"/>
      <c r="D187" s="123"/>
      <c r="E187" s="176" t="s">
        <v>157</v>
      </c>
      <c r="F187" s="88"/>
      <c r="G187" s="207" t="str">
        <f>G5:H5</f>
        <v>อสูรเดือน W</v>
      </c>
      <c r="I187" s="208" t="str">
        <f>I5:J5</f>
        <v>อสูรปี N</v>
      </c>
      <c r="K187" s="36"/>
      <c r="L187" s="117"/>
      <c r="M187" s="326"/>
      <c r="N187" s="327"/>
      <c r="R187" s="117"/>
      <c r="T187" s="117"/>
      <c r="V187" s="117"/>
      <c r="W187" s="9"/>
      <c r="X187" s="110"/>
      <c r="Z187" s="117"/>
      <c r="AA187" s="233"/>
      <c r="AB187" s="234"/>
      <c r="AC187" s="36"/>
      <c r="AD187" s="36"/>
      <c r="AE187" s="111"/>
      <c r="AF187" s="112"/>
      <c r="AG187" s="37"/>
      <c r="AH187" s="97"/>
      <c r="AI187" s="14"/>
      <c r="AJ187" s="14"/>
      <c r="AK187" s="14"/>
      <c r="AL187" s="113"/>
      <c r="AW187" s="128"/>
      <c r="BB187" s="24"/>
    </row>
    <row r="188">
      <c r="A188" s="188" t="s">
        <v>63</v>
      </c>
      <c r="B188" s="189"/>
      <c r="C188" s="63"/>
      <c r="D188" s="63"/>
      <c r="E188" s="64">
        <f>(O189+P189+Q189+R189)/(O190+P190+Q190+R190)</f>
        <v>0.3</v>
      </c>
      <c r="F188" s="65"/>
      <c r="G188" s="133"/>
      <c r="H188" s="72"/>
      <c r="I188" s="67"/>
      <c r="J188" s="72"/>
      <c r="K188" s="68"/>
      <c r="L188" s="69"/>
      <c r="M188" s="63" t="s">
        <v>64</v>
      </c>
      <c r="N188" s="70"/>
      <c r="O188" s="71" t="s">
        <v>65</v>
      </c>
      <c r="P188" s="72"/>
      <c r="Q188" s="72"/>
      <c r="R188" s="70"/>
      <c r="S188" s="71" t="s">
        <v>66</v>
      </c>
      <c r="T188" s="70"/>
      <c r="U188" s="71" t="s">
        <v>67</v>
      </c>
      <c r="V188" s="70"/>
      <c r="W188" s="71" t="s">
        <v>348</v>
      </c>
      <c r="X188" s="70"/>
      <c r="Y188" s="71" t="s">
        <v>68</v>
      </c>
      <c r="Z188" s="70"/>
      <c r="AA188" s="134" t="s">
        <v>80</v>
      </c>
      <c r="AB188" s="74" t="s">
        <v>170</v>
      </c>
      <c r="AC188" s="75" t="s">
        <v>202</v>
      </c>
      <c r="AD188" s="75" t="s">
        <v>226</v>
      </c>
      <c r="AE188" s="190" t="s">
        <v>173</v>
      </c>
      <c r="AF188" s="77" t="s">
        <v>193</v>
      </c>
      <c r="AG188" s="63" t="s">
        <v>144</v>
      </c>
      <c r="AH188" s="78" t="s">
        <v>34</v>
      </c>
      <c r="AI188" s="79" t="s">
        <v>189</v>
      </c>
      <c r="AJ188" s="79">
        <v>90.0</v>
      </c>
      <c r="AK188" s="79" t="s">
        <v>208</v>
      </c>
      <c r="AL188" s="80" t="str">
        <f>AL182</f>
        <v>開</v>
      </c>
      <c r="AM188" s="81" t="s">
        <v>52</v>
      </c>
      <c r="AN188" s="82" t="str">
        <f>AN182</f>
        <v>休</v>
      </c>
      <c r="AO188" s="81" t="s">
        <v>38</v>
      </c>
      <c r="AP188" s="82" t="s">
        <v>4</v>
      </c>
      <c r="AQ188" s="81" t="s">
        <v>40</v>
      </c>
      <c r="AR188" s="82" t="str">
        <f>AR182</f>
        <v>傷</v>
      </c>
      <c r="AS188" s="81" t="s">
        <v>42</v>
      </c>
      <c r="AT188" s="82" t="str">
        <f>AT182</f>
        <v>杜</v>
      </c>
      <c r="AU188" s="81" t="s">
        <v>44</v>
      </c>
      <c r="AV188" s="82" t="str">
        <f>AV182</f>
        <v>景</v>
      </c>
      <c r="AW188" s="81" t="s">
        <v>46</v>
      </c>
      <c r="AX188" s="82" t="str">
        <f>AX182</f>
        <v>死</v>
      </c>
      <c r="AY188" s="81" t="s">
        <v>48</v>
      </c>
      <c r="AZ188" s="82" t="str">
        <f>AZ182</f>
        <v>驚</v>
      </c>
      <c r="BA188" s="81" t="s">
        <v>50</v>
      </c>
      <c r="BB188" s="83"/>
      <c r="BC188" s="84"/>
      <c r="BD188" s="84"/>
      <c r="BE188" s="84"/>
    </row>
    <row r="189">
      <c r="A189" s="192">
        <f>A183+1</f>
        <v>30</v>
      </c>
      <c r="B189" s="193"/>
      <c r="C189" s="12" t="s">
        <v>249</v>
      </c>
      <c r="E189" s="87" t="s">
        <v>31</v>
      </c>
      <c r="G189" s="374" t="str">
        <f t="shared" ref="G189:G190" si="337">G3:H3</f>
        <v>乙</v>
      </c>
      <c r="I189" s="275" t="str">
        <f t="shared" ref="I189:I190" si="338">I44:J44</f>
        <v>丙</v>
      </c>
      <c r="K189" s="90">
        <f>L189/L190</f>
        <v>0.4375</v>
      </c>
      <c r="L189" s="91">
        <f t="shared" ref="L189:L190" si="339">Z189+Y189+X189+W189+V189+U189+T189+S189+R189+Q189+P189+O189</f>
        <v>525</v>
      </c>
      <c r="M189" s="92">
        <v>0.0</v>
      </c>
      <c r="N189" s="93">
        <v>0.0</v>
      </c>
      <c r="O189" s="92">
        <v>20.0</v>
      </c>
      <c r="P189" s="92">
        <v>50.0</v>
      </c>
      <c r="Q189" s="92">
        <v>20.0</v>
      </c>
      <c r="R189" s="93">
        <v>30.0</v>
      </c>
      <c r="S189" s="92">
        <v>40.0</v>
      </c>
      <c r="T189" s="93">
        <v>0.0</v>
      </c>
      <c r="U189" s="92">
        <f t="shared" ref="U189:X189" si="335">U50</f>
        <v>75</v>
      </c>
      <c r="V189" s="93">
        <f t="shared" si="335"/>
        <v>10</v>
      </c>
      <c r="W189" s="92">
        <f t="shared" si="335"/>
        <v>30</v>
      </c>
      <c r="X189" s="93">
        <f t="shared" si="335"/>
        <v>80</v>
      </c>
      <c r="Y189" s="92">
        <f t="shared" ref="Y189:Z189" si="336">Y44</f>
        <v>110</v>
      </c>
      <c r="Z189" s="93">
        <f t="shared" si="336"/>
        <v>60</v>
      </c>
      <c r="AA189" s="73" t="s">
        <v>98</v>
      </c>
      <c r="AB189" s="94" t="s">
        <v>70</v>
      </c>
      <c r="AC189" s="36"/>
      <c r="AD189" s="29" t="s">
        <v>227</v>
      </c>
      <c r="AE189" s="195" t="s">
        <v>196</v>
      </c>
      <c r="AF189" s="96" t="s">
        <v>149</v>
      </c>
      <c r="AG189" s="37"/>
      <c r="AH189" s="97"/>
      <c r="AI189" s="12" t="s">
        <v>54</v>
      </c>
      <c r="AJ189" s="12">
        <v>150.0</v>
      </c>
      <c r="AK189" s="12" t="s">
        <v>210</v>
      </c>
      <c r="AL189" s="98" t="s">
        <v>39</v>
      </c>
      <c r="AM189" s="99" t="s">
        <v>93</v>
      </c>
      <c r="AN189" s="100" t="s">
        <v>37</v>
      </c>
      <c r="AO189" s="99" t="s">
        <v>94</v>
      </c>
      <c r="AP189" s="100" t="s">
        <v>51</v>
      </c>
      <c r="AQ189" s="101" t="s">
        <v>95</v>
      </c>
      <c r="AR189" s="100" t="s">
        <v>86</v>
      </c>
      <c r="AS189" s="99" t="s">
        <v>87</v>
      </c>
      <c r="AT189" s="100" t="s">
        <v>88</v>
      </c>
      <c r="AU189" s="101" t="s">
        <v>89</v>
      </c>
      <c r="AV189" s="100" t="s">
        <v>45</v>
      </c>
      <c r="AW189" s="102" t="s">
        <v>90</v>
      </c>
      <c r="AX189" s="100" t="s">
        <v>43</v>
      </c>
      <c r="AY189" s="101" t="s">
        <v>91</v>
      </c>
      <c r="AZ189" s="100" t="s">
        <v>41</v>
      </c>
      <c r="BA189" s="103" t="s">
        <v>92</v>
      </c>
      <c r="BB189" s="24"/>
    </row>
    <row r="190">
      <c r="A190" s="215" t="str">
        <f>G2</f>
        <v>กรกฎาคม</v>
      </c>
      <c r="B190" s="193"/>
      <c r="C190" s="175" t="s">
        <v>211</v>
      </c>
      <c r="E190" s="201" t="s">
        <v>54</v>
      </c>
      <c r="G190" s="397" t="str">
        <f t="shared" si="337"/>
        <v>未</v>
      </c>
      <c r="I190" s="142" t="str">
        <f t="shared" si="338"/>
        <v>午</v>
      </c>
      <c r="K190" s="36"/>
      <c r="L190" s="109">
        <f t="shared" si="339"/>
        <v>1200</v>
      </c>
      <c r="M190" s="9">
        <v>0.0</v>
      </c>
      <c r="N190" s="110">
        <v>0.0</v>
      </c>
      <c r="O190" s="9">
        <v>100.0</v>
      </c>
      <c r="P190" s="9">
        <v>100.0</v>
      </c>
      <c r="Q190" s="9">
        <v>100.0</v>
      </c>
      <c r="R190" s="110">
        <v>100.0</v>
      </c>
      <c r="S190" s="9">
        <v>100.0</v>
      </c>
      <c r="T190" s="110">
        <v>100.0</v>
      </c>
      <c r="U190" s="9">
        <v>100.0</v>
      </c>
      <c r="V190" s="110">
        <v>100.0</v>
      </c>
      <c r="W190" s="9">
        <v>100.0</v>
      </c>
      <c r="X190" s="110">
        <v>100.0</v>
      </c>
      <c r="Y190" s="9">
        <v>100.0</v>
      </c>
      <c r="Z190" s="110">
        <v>100.0</v>
      </c>
      <c r="AA190" s="73" t="s">
        <v>116</v>
      </c>
      <c r="AB190" s="94" t="s">
        <v>181</v>
      </c>
      <c r="AC190" s="36"/>
      <c r="AD190" s="36"/>
      <c r="AE190" s="111"/>
      <c r="AF190" s="112"/>
      <c r="AG190" s="37"/>
      <c r="AH190" s="97"/>
      <c r="AI190" s="14"/>
      <c r="AJ190" s="14"/>
      <c r="AK190" s="14"/>
      <c r="AL190" s="113"/>
      <c r="AM190" s="104" t="s">
        <v>105</v>
      </c>
      <c r="AO190" s="104" t="s">
        <v>106</v>
      </c>
      <c r="AQ190" s="105" t="s">
        <v>107</v>
      </c>
      <c r="AS190" s="104" t="s">
        <v>100</v>
      </c>
      <c r="AU190" s="114" t="s">
        <v>101</v>
      </c>
      <c r="AW190" s="105" t="s">
        <v>102</v>
      </c>
      <c r="AY190" s="105" t="s">
        <v>103</v>
      </c>
      <c r="BA190" s="104" t="s">
        <v>104</v>
      </c>
      <c r="BB190" s="24"/>
    </row>
    <row r="191">
      <c r="A191" s="192">
        <v>2569.0</v>
      </c>
      <c r="B191" s="193"/>
      <c r="E191" s="115" t="s">
        <v>112</v>
      </c>
      <c r="F191" s="116" t="s">
        <v>69</v>
      </c>
      <c r="G191" s="115" t="str">
        <f t="shared" ref="G191:H191" si="340">G52</f>
        <v>A12</v>
      </c>
      <c r="H191" s="9" t="str">
        <f t="shared" si="340"/>
        <v>B12</v>
      </c>
      <c r="I191" s="9" t="str">
        <f t="shared" ref="I191:J191" si="341">I46</f>
        <v>A5</v>
      </c>
      <c r="J191" s="9" t="str">
        <f t="shared" si="341"/>
        <v>B11</v>
      </c>
      <c r="K191" s="36"/>
      <c r="L191" s="117"/>
      <c r="M191" s="118" t="str">
        <f t="shared" ref="M191:P191" si="342">C191</f>
        <v/>
      </c>
      <c r="N191" s="119" t="str">
        <f t="shared" si="342"/>
        <v/>
      </c>
      <c r="O191" s="118" t="str">
        <f t="shared" si="342"/>
        <v>A2</v>
      </c>
      <c r="P191" s="118" t="str">
        <f t="shared" si="342"/>
        <v>B8</v>
      </c>
      <c r="Q191" s="118" t="str">
        <f t="shared" ref="Q191:R191" si="343">E192</f>
        <v>B12</v>
      </c>
      <c r="R191" s="119" t="str">
        <f t="shared" si="343"/>
        <v>C11</v>
      </c>
      <c r="S191" s="9" t="s">
        <v>112</v>
      </c>
      <c r="T191" s="110" t="s">
        <v>114</v>
      </c>
      <c r="U191" s="9" t="str">
        <f t="shared" ref="U191:V191" si="344">G191</f>
        <v>A12</v>
      </c>
      <c r="V191" s="119" t="str">
        <f t="shared" si="344"/>
        <v>B12</v>
      </c>
      <c r="W191" s="9" t="str">
        <f t="shared" ref="W191:X191" si="345">W52</f>
        <v>A6</v>
      </c>
      <c r="X191" s="110" t="str">
        <f t="shared" si="345"/>
        <v>A1</v>
      </c>
      <c r="Y191" s="118" t="str">
        <f t="shared" ref="Y191:Z191" si="346">I191</f>
        <v>A5</v>
      </c>
      <c r="Z191" s="120" t="str">
        <f t="shared" si="346"/>
        <v>B11</v>
      </c>
      <c r="AA191" s="73" t="s">
        <v>126</v>
      </c>
      <c r="AB191" s="94" t="s">
        <v>163</v>
      </c>
      <c r="AC191" s="36"/>
      <c r="AD191" s="36"/>
      <c r="AE191" s="111"/>
      <c r="AF191" s="112"/>
      <c r="AG191" s="37"/>
      <c r="AH191" s="97"/>
      <c r="AI191" s="14"/>
      <c r="AJ191" s="14"/>
      <c r="AK191" s="14"/>
      <c r="AL191" s="113"/>
      <c r="AM191" s="104" t="s">
        <v>123</v>
      </c>
      <c r="AO191" s="104" t="s">
        <v>124</v>
      </c>
      <c r="AQ191" s="105" t="s">
        <v>125</v>
      </c>
      <c r="AS191" s="104" t="s">
        <v>118</v>
      </c>
      <c r="AU191" s="114" t="s">
        <v>119</v>
      </c>
      <c r="AW191" s="105" t="s">
        <v>120</v>
      </c>
      <c r="AY191" s="105" t="s">
        <v>121</v>
      </c>
      <c r="BA191" s="104" t="s">
        <v>122</v>
      </c>
      <c r="BB191" s="24"/>
    </row>
    <row r="192">
      <c r="A192" s="192">
        <f>A191-543</f>
        <v>2026</v>
      </c>
      <c r="B192" s="193"/>
      <c r="C192" s="181"/>
      <c r="E192" s="115" t="s">
        <v>113</v>
      </c>
      <c r="F192" s="116" t="s">
        <v>236</v>
      </c>
      <c r="G192" s="115"/>
      <c r="H192" s="118"/>
      <c r="I192" s="118"/>
      <c r="J192" s="118"/>
      <c r="K192" s="36"/>
      <c r="L192" s="117"/>
      <c r="M192" s="326"/>
      <c r="N192" s="327"/>
      <c r="R192" s="117"/>
      <c r="T192" s="117"/>
      <c r="V192" s="117"/>
      <c r="W192" s="9"/>
      <c r="X192" s="110"/>
      <c r="Z192" s="117"/>
      <c r="AA192" s="73" t="s">
        <v>69</v>
      </c>
      <c r="AB192" s="94" t="s">
        <v>99</v>
      </c>
      <c r="AC192" s="36"/>
      <c r="AD192" s="36"/>
      <c r="AE192" s="111"/>
      <c r="AF192" s="112"/>
      <c r="AG192" s="37"/>
      <c r="AH192" s="97"/>
      <c r="AI192" s="14"/>
      <c r="AJ192" s="14"/>
      <c r="AK192" s="14"/>
      <c r="AL192" s="113"/>
      <c r="AM192" s="104" t="s">
        <v>134</v>
      </c>
      <c r="AO192" s="104" t="s">
        <v>135</v>
      </c>
      <c r="AQ192" s="105" t="s">
        <v>136</v>
      </c>
      <c r="AS192" s="104" t="s">
        <v>129</v>
      </c>
      <c r="AU192" s="114" t="s">
        <v>130</v>
      </c>
      <c r="AW192" s="105" t="s">
        <v>131</v>
      </c>
      <c r="AY192" s="105" t="s">
        <v>132</v>
      </c>
      <c r="BA192" s="104" t="s">
        <v>133</v>
      </c>
      <c r="BB192" s="24"/>
    </row>
    <row r="193">
      <c r="A193" s="406" t="s">
        <v>351</v>
      </c>
      <c r="B193" s="206"/>
      <c r="C193" s="1"/>
      <c r="D193" s="123"/>
      <c r="E193" s="164" t="s">
        <v>168</v>
      </c>
      <c r="F193" s="88"/>
      <c r="G193" s="207" t="str">
        <f>G5:H5</f>
        <v>อสูรเดือน W</v>
      </c>
      <c r="I193" s="208" t="str">
        <f>I5:J5</f>
        <v>อสูรปี N</v>
      </c>
      <c r="K193" s="36"/>
      <c r="L193" s="117"/>
      <c r="M193" s="326"/>
      <c r="N193" s="327"/>
      <c r="R193" s="117"/>
      <c r="T193" s="117"/>
      <c r="V193" s="117"/>
      <c r="W193" s="9"/>
      <c r="X193" s="110"/>
      <c r="Z193" s="117"/>
      <c r="AA193" s="233"/>
      <c r="AB193" s="234"/>
      <c r="AC193" s="36"/>
      <c r="AD193" s="36"/>
      <c r="AE193" s="111"/>
      <c r="AF193" s="112"/>
      <c r="AG193" s="37"/>
      <c r="AH193" s="97"/>
      <c r="AI193" s="14"/>
      <c r="AJ193" s="14"/>
      <c r="AK193" s="14"/>
      <c r="AL193" s="113"/>
      <c r="BA193" s="128"/>
      <c r="BB193" s="24"/>
    </row>
    <row r="194">
      <c r="A194" s="188" t="s">
        <v>139</v>
      </c>
      <c r="B194" s="189"/>
      <c r="C194" s="63"/>
      <c r="D194" s="63"/>
      <c r="E194" s="358">
        <f>(O195+P195+Q195+R195)/(O196+P196+Q196+R196)</f>
        <v>0.7</v>
      </c>
      <c r="F194" s="65"/>
      <c r="G194" s="133"/>
      <c r="H194" s="66"/>
      <c r="I194" s="67"/>
      <c r="J194" s="67"/>
      <c r="K194" s="68"/>
      <c r="L194" s="69"/>
      <c r="M194" s="63" t="s">
        <v>64</v>
      </c>
      <c r="N194" s="70"/>
      <c r="O194" s="71" t="s">
        <v>65</v>
      </c>
      <c r="P194" s="72"/>
      <c r="Q194" s="72"/>
      <c r="R194" s="70"/>
      <c r="S194" s="71" t="s">
        <v>66</v>
      </c>
      <c r="T194" s="70"/>
      <c r="U194" s="71" t="s">
        <v>67</v>
      </c>
      <c r="V194" s="70"/>
      <c r="W194" s="71" t="s">
        <v>348</v>
      </c>
      <c r="X194" s="70"/>
      <c r="Y194" s="71" t="s">
        <v>68</v>
      </c>
      <c r="Z194" s="70"/>
      <c r="AA194" s="134" t="s">
        <v>80</v>
      </c>
      <c r="AB194" s="74" t="s">
        <v>159</v>
      </c>
      <c r="AC194" s="79"/>
      <c r="AD194" s="221" t="s">
        <v>316</v>
      </c>
      <c r="AE194" s="190" t="s">
        <v>173</v>
      </c>
      <c r="AF194" s="77" t="s">
        <v>193</v>
      </c>
      <c r="AG194" s="63" t="s">
        <v>144</v>
      </c>
      <c r="AH194" s="78" t="s">
        <v>75</v>
      </c>
      <c r="AI194" s="79" t="s">
        <v>54</v>
      </c>
      <c r="AJ194" s="79">
        <v>150.0</v>
      </c>
      <c r="AK194" s="390" t="s">
        <v>210</v>
      </c>
      <c r="AL194" s="80" t="str">
        <f>AL182</f>
        <v>開</v>
      </c>
      <c r="AM194" s="81" t="s">
        <v>44</v>
      </c>
      <c r="AN194" s="82" t="str">
        <f>AN182</f>
        <v>休</v>
      </c>
      <c r="AO194" s="81" t="s">
        <v>46</v>
      </c>
      <c r="AP194" s="82" t="s">
        <v>4</v>
      </c>
      <c r="AQ194" s="81" t="s">
        <v>48</v>
      </c>
      <c r="AR194" s="82" t="str">
        <f>AR182</f>
        <v>傷</v>
      </c>
      <c r="AS194" s="81" t="s">
        <v>50</v>
      </c>
      <c r="AT194" s="82" t="s">
        <v>8</v>
      </c>
      <c r="AU194" s="81" t="s">
        <v>52</v>
      </c>
      <c r="AV194" s="82" t="str">
        <f>AV182</f>
        <v>景</v>
      </c>
      <c r="AW194" s="81" t="s">
        <v>38</v>
      </c>
      <c r="AX194" s="82" t="str">
        <f>AX182</f>
        <v>死</v>
      </c>
      <c r="AY194" s="81" t="s">
        <v>40</v>
      </c>
      <c r="AZ194" s="82" t="str">
        <f>AZ182</f>
        <v>驚</v>
      </c>
      <c r="BA194" s="81" t="s">
        <v>42</v>
      </c>
      <c r="BB194" s="83"/>
      <c r="BC194" s="84"/>
      <c r="BD194" s="84"/>
      <c r="BE194" s="84"/>
    </row>
    <row r="195">
      <c r="A195" s="192">
        <f>A189+1</f>
        <v>31</v>
      </c>
      <c r="B195" s="193"/>
      <c r="C195" s="12" t="s">
        <v>270</v>
      </c>
      <c r="E195" s="214" t="s">
        <v>147</v>
      </c>
      <c r="F195" s="88"/>
      <c r="G195" s="382" t="str">
        <f t="shared" ref="G195:G196" si="349">G3:H3</f>
        <v>乙</v>
      </c>
      <c r="I195" s="275" t="str">
        <f t="shared" ref="I195:I196" si="350">I44:J44</f>
        <v>丙</v>
      </c>
      <c r="K195" s="90">
        <f>L195/L196</f>
        <v>0.6583333333</v>
      </c>
      <c r="L195" s="91">
        <f t="shared" ref="L195:L196" si="351">Z195+Y195+X195+W195+V195+U195+T195+S195+R195+Q195+P195+O195</f>
        <v>790</v>
      </c>
      <c r="M195" s="92">
        <v>0.0</v>
      </c>
      <c r="N195" s="93">
        <v>0.0</v>
      </c>
      <c r="O195" s="92">
        <v>80.0</v>
      </c>
      <c r="P195" s="92">
        <v>40.0</v>
      </c>
      <c r="Q195" s="92">
        <v>80.0</v>
      </c>
      <c r="R195" s="93">
        <v>80.0</v>
      </c>
      <c r="S195" s="92">
        <v>80.0</v>
      </c>
      <c r="T195" s="93">
        <v>65.0</v>
      </c>
      <c r="U195" s="92">
        <f t="shared" ref="U195:X195" si="347">U50</f>
        <v>75</v>
      </c>
      <c r="V195" s="93">
        <f t="shared" si="347"/>
        <v>10</v>
      </c>
      <c r="W195" s="92">
        <f t="shared" si="347"/>
        <v>30</v>
      </c>
      <c r="X195" s="93">
        <f t="shared" si="347"/>
        <v>80</v>
      </c>
      <c r="Y195" s="92">
        <f t="shared" ref="Y195:Z195" si="348">Y44</f>
        <v>110</v>
      </c>
      <c r="Z195" s="93">
        <f t="shared" si="348"/>
        <v>60</v>
      </c>
      <c r="AA195" s="73" t="s">
        <v>98</v>
      </c>
      <c r="AB195" s="94" t="s">
        <v>152</v>
      </c>
      <c r="AC195" s="36"/>
      <c r="AD195" s="29"/>
      <c r="AE195" s="195" t="s">
        <v>196</v>
      </c>
      <c r="AF195" s="96" t="s">
        <v>149</v>
      </c>
      <c r="AG195" s="37"/>
      <c r="AH195" s="97"/>
      <c r="AI195" s="12" t="s">
        <v>189</v>
      </c>
      <c r="AJ195" s="12">
        <v>90.0</v>
      </c>
      <c r="AK195" s="391" t="s">
        <v>208</v>
      </c>
      <c r="AL195" s="98" t="s">
        <v>43</v>
      </c>
      <c r="AM195" s="101" t="s">
        <v>91</v>
      </c>
      <c r="AN195" s="100" t="s">
        <v>41</v>
      </c>
      <c r="AO195" s="103" t="s">
        <v>92</v>
      </c>
      <c r="AP195" s="100" t="s">
        <v>39</v>
      </c>
      <c r="AQ195" s="99" t="s">
        <v>93</v>
      </c>
      <c r="AR195" s="100" t="s">
        <v>37</v>
      </c>
      <c r="AS195" s="99" t="s">
        <v>94</v>
      </c>
      <c r="AT195" s="100" t="s">
        <v>51</v>
      </c>
      <c r="AU195" s="101" t="s">
        <v>95</v>
      </c>
      <c r="AV195" s="100" t="s">
        <v>86</v>
      </c>
      <c r="AW195" s="99" t="s">
        <v>87</v>
      </c>
      <c r="AX195" s="100" t="s">
        <v>88</v>
      </c>
      <c r="AY195" s="101" t="s">
        <v>89</v>
      </c>
      <c r="AZ195" s="100" t="s">
        <v>45</v>
      </c>
      <c r="BA195" s="102" t="s">
        <v>90</v>
      </c>
      <c r="BB195" s="24"/>
    </row>
    <row r="196">
      <c r="A196" s="229" t="str">
        <f>A190</f>
        <v>กรกฎาคม</v>
      </c>
      <c r="B196" s="193"/>
      <c r="C196" s="161" t="s">
        <v>217</v>
      </c>
      <c r="E196" s="201" t="s">
        <v>202</v>
      </c>
      <c r="F196" s="88"/>
      <c r="G196" s="397" t="str">
        <f t="shared" si="349"/>
        <v>未</v>
      </c>
      <c r="I196" s="142" t="str">
        <f t="shared" si="350"/>
        <v>午</v>
      </c>
      <c r="K196" s="36"/>
      <c r="L196" s="109">
        <f t="shared" si="351"/>
        <v>1200</v>
      </c>
      <c r="M196" s="9">
        <v>0.0</v>
      </c>
      <c r="N196" s="110">
        <v>0.0</v>
      </c>
      <c r="O196" s="9">
        <v>100.0</v>
      </c>
      <c r="P196" s="9">
        <v>100.0</v>
      </c>
      <c r="Q196" s="9">
        <v>100.0</v>
      </c>
      <c r="R196" s="110">
        <v>100.0</v>
      </c>
      <c r="S196" s="9">
        <v>100.0</v>
      </c>
      <c r="T196" s="110">
        <v>100.0</v>
      </c>
      <c r="U196" s="9">
        <v>100.0</v>
      </c>
      <c r="V196" s="110">
        <v>100.0</v>
      </c>
      <c r="W196" s="9">
        <v>100.0</v>
      </c>
      <c r="X196" s="110">
        <v>100.0</v>
      </c>
      <c r="Y196" s="9">
        <v>100.0</v>
      </c>
      <c r="Z196" s="110">
        <v>100.0</v>
      </c>
      <c r="AA196" s="73" t="s">
        <v>116</v>
      </c>
      <c r="AB196" s="94" t="s">
        <v>81</v>
      </c>
      <c r="AC196" s="36"/>
      <c r="AD196" s="36"/>
      <c r="AE196" s="111"/>
      <c r="AF196" s="112"/>
      <c r="AG196" s="37"/>
      <c r="AH196" s="97"/>
      <c r="AI196" s="14"/>
      <c r="AJ196" s="14"/>
      <c r="AK196" s="392"/>
      <c r="AL196" s="113"/>
      <c r="AM196" s="105" t="s">
        <v>103</v>
      </c>
      <c r="AO196" s="104" t="s">
        <v>104</v>
      </c>
      <c r="AQ196" s="104" t="s">
        <v>105</v>
      </c>
      <c r="AS196" s="104" t="s">
        <v>106</v>
      </c>
      <c r="AU196" s="105" t="s">
        <v>107</v>
      </c>
      <c r="AW196" s="104" t="s">
        <v>100</v>
      </c>
      <c r="AY196" s="114" t="s">
        <v>101</v>
      </c>
      <c r="BA196" s="105" t="s">
        <v>102</v>
      </c>
      <c r="BB196" s="24"/>
    </row>
    <row r="197">
      <c r="A197" s="192">
        <v>2569.0</v>
      </c>
      <c r="B197" s="193"/>
      <c r="E197" s="115" t="s">
        <v>204</v>
      </c>
      <c r="F197" s="116" t="s">
        <v>212</v>
      </c>
      <c r="G197" s="115" t="str">
        <f t="shared" ref="G197:H197" si="352">G52</f>
        <v>A12</v>
      </c>
      <c r="H197" s="9" t="str">
        <f t="shared" si="352"/>
        <v>B12</v>
      </c>
      <c r="I197" s="9" t="str">
        <f t="shared" ref="I197:J197" si="353">I46</f>
        <v>A5</v>
      </c>
      <c r="J197" s="9" t="str">
        <f t="shared" si="353"/>
        <v>B11</v>
      </c>
      <c r="K197" s="36"/>
      <c r="L197" s="117"/>
      <c r="M197" s="118" t="str">
        <f t="shared" ref="M197:P197" si="354">C197</f>
        <v/>
      </c>
      <c r="N197" s="119" t="str">
        <f t="shared" si="354"/>
        <v/>
      </c>
      <c r="O197" s="118" t="str">
        <f t="shared" si="354"/>
        <v>A5</v>
      </c>
      <c r="P197" s="118" t="str">
        <f t="shared" si="354"/>
        <v>B9</v>
      </c>
      <c r="Q197" s="118" t="str">
        <f t="shared" ref="Q197:R197" si="355">E198</f>
        <v>B11</v>
      </c>
      <c r="R197" s="119" t="str">
        <f t="shared" si="355"/>
        <v>C12</v>
      </c>
      <c r="S197" s="9" t="s">
        <v>182</v>
      </c>
      <c r="T197" s="110" t="s">
        <v>110</v>
      </c>
      <c r="U197" s="9" t="str">
        <f t="shared" ref="U197:V197" si="356">G197</f>
        <v>A12</v>
      </c>
      <c r="V197" s="119" t="str">
        <f t="shared" si="356"/>
        <v>B12</v>
      </c>
      <c r="W197" s="9" t="str">
        <f t="shared" ref="W197:X197" si="357">W52</f>
        <v>A6</v>
      </c>
      <c r="X197" s="110" t="str">
        <f t="shared" si="357"/>
        <v>A1</v>
      </c>
      <c r="Y197" s="118" t="str">
        <f t="shared" ref="Y197:Z197" si="358">I197</f>
        <v>A5</v>
      </c>
      <c r="Z197" s="120" t="str">
        <f t="shared" si="358"/>
        <v>B11</v>
      </c>
      <c r="AA197" s="73" t="s">
        <v>126</v>
      </c>
      <c r="AB197" s="94" t="s">
        <v>99</v>
      </c>
      <c r="AC197" s="36"/>
      <c r="AD197" s="36"/>
      <c r="AE197" s="111"/>
      <c r="AF197" s="112"/>
      <c r="AG197" s="37"/>
      <c r="AH197" s="97"/>
      <c r="AI197" s="14"/>
      <c r="AJ197" s="14"/>
      <c r="AK197" s="392"/>
      <c r="AL197" s="113"/>
      <c r="AM197" s="105" t="s">
        <v>121</v>
      </c>
      <c r="AO197" s="104" t="s">
        <v>122</v>
      </c>
      <c r="AQ197" s="104" t="s">
        <v>123</v>
      </c>
      <c r="AS197" s="104" t="s">
        <v>124</v>
      </c>
      <c r="AU197" s="105" t="s">
        <v>125</v>
      </c>
      <c r="AW197" s="104" t="s">
        <v>118</v>
      </c>
      <c r="AY197" s="114" t="s">
        <v>119</v>
      </c>
      <c r="BA197" s="105" t="s">
        <v>120</v>
      </c>
      <c r="BB197" s="24"/>
    </row>
    <row r="198">
      <c r="A198" s="192">
        <f>A197-543</f>
        <v>2026</v>
      </c>
      <c r="B198" s="193"/>
      <c r="E198" s="115" t="s">
        <v>214</v>
      </c>
      <c r="F198" s="116" t="s">
        <v>127</v>
      </c>
      <c r="G198" s="115"/>
      <c r="H198" s="118"/>
      <c r="I198" s="118"/>
      <c r="J198" s="118"/>
      <c r="K198" s="36"/>
      <c r="L198" s="117"/>
      <c r="M198" s="8"/>
      <c r="N198" s="121"/>
      <c r="O198" s="8"/>
      <c r="P198" s="8"/>
      <c r="Q198" s="8"/>
      <c r="R198" s="121"/>
      <c r="S198" s="8"/>
      <c r="T198" s="121"/>
      <c r="U198" s="9"/>
      <c r="V198" s="110"/>
      <c r="W198" s="9"/>
      <c r="X198" s="110"/>
      <c r="Y198" s="9"/>
      <c r="Z198" s="110"/>
      <c r="AA198" s="73" t="s">
        <v>69</v>
      </c>
      <c r="AB198" s="94" t="s">
        <v>155</v>
      </c>
      <c r="AC198" s="36"/>
      <c r="AD198" s="36"/>
      <c r="AE198" s="111"/>
      <c r="AF198" s="112"/>
      <c r="AG198" s="37"/>
      <c r="AH198" s="97"/>
      <c r="AI198" s="14"/>
      <c r="AJ198" s="14"/>
      <c r="AK198" s="392"/>
      <c r="AL198" s="113"/>
      <c r="AM198" s="105" t="s">
        <v>132</v>
      </c>
      <c r="AO198" s="104" t="s">
        <v>133</v>
      </c>
      <c r="AQ198" s="104" t="s">
        <v>134</v>
      </c>
      <c r="AS198" s="104" t="s">
        <v>135</v>
      </c>
      <c r="AU198" s="105" t="s">
        <v>136</v>
      </c>
      <c r="AW198" s="104" t="s">
        <v>129</v>
      </c>
      <c r="AY198" s="114" t="s">
        <v>130</v>
      </c>
      <c r="BA198" s="105" t="s">
        <v>131</v>
      </c>
      <c r="BB198" s="24"/>
    </row>
    <row r="199">
      <c r="A199" s="287"/>
      <c r="B199" s="231"/>
      <c r="C199" s="185"/>
      <c r="D199" s="186"/>
      <c r="E199" s="124" t="s">
        <v>185</v>
      </c>
      <c r="F199" s="125"/>
      <c r="G199" s="146" t="str">
        <f>G5:H5</f>
        <v>อสูรเดือน W</v>
      </c>
      <c r="H199" s="147"/>
      <c r="I199" s="148" t="str">
        <f>I5:J5</f>
        <v>อสูรปี N</v>
      </c>
      <c r="J199" s="147"/>
      <c r="K199" s="149"/>
      <c r="L199" s="150"/>
      <c r="M199" s="151"/>
      <c r="N199" s="152"/>
      <c r="O199" s="151"/>
      <c r="P199" s="151"/>
      <c r="Q199" s="151"/>
      <c r="R199" s="152"/>
      <c r="S199" s="151"/>
      <c r="T199" s="152"/>
      <c r="U199" s="153"/>
      <c r="V199" s="154"/>
      <c r="W199" s="153"/>
      <c r="X199" s="154"/>
      <c r="Y199" s="153"/>
      <c r="Z199" s="154"/>
      <c r="AA199" s="233"/>
      <c r="AB199" s="234"/>
      <c r="AC199" s="156"/>
      <c r="AD199" s="156"/>
      <c r="AE199" s="235"/>
      <c r="AF199" s="236"/>
      <c r="AG199" s="237"/>
      <c r="AH199" s="238"/>
      <c r="AI199" s="239"/>
      <c r="AJ199" s="239"/>
      <c r="AK199" s="395"/>
      <c r="AL199" s="113"/>
      <c r="AY199" s="128"/>
      <c r="BB199" s="24"/>
    </row>
    <row r="200">
      <c r="A200" s="242"/>
      <c r="B200" s="243"/>
      <c r="C200" s="244"/>
      <c r="D200" s="244"/>
      <c r="E200" s="407"/>
      <c r="G200" s="245"/>
      <c r="H200" s="246"/>
      <c r="I200" s="247"/>
      <c r="J200" s="244"/>
      <c r="K200" s="244"/>
      <c r="L200" s="247"/>
      <c r="W200" s="242"/>
      <c r="X200" s="242"/>
      <c r="Y200" s="242"/>
      <c r="Z200" s="248"/>
      <c r="AA200" s="249"/>
      <c r="AB200" s="250"/>
      <c r="AC200" s="36"/>
      <c r="AD200" s="36"/>
      <c r="AE200" s="13"/>
      <c r="AF200" s="13"/>
      <c r="AG200" s="37"/>
      <c r="AH200" s="37"/>
      <c r="AI200" s="14"/>
      <c r="AJ200" s="14"/>
      <c r="AK200" s="14"/>
      <c r="BB200" s="24"/>
    </row>
    <row r="201">
      <c r="A201" s="242"/>
      <c r="B201" s="243"/>
      <c r="C201" s="244"/>
      <c r="D201" s="244"/>
      <c r="E201" s="34"/>
      <c r="G201" s="245"/>
      <c r="H201" s="246"/>
      <c r="I201" s="247"/>
      <c r="J201" s="244"/>
      <c r="K201" s="244"/>
      <c r="L201" s="247"/>
      <c r="W201" s="242"/>
      <c r="X201" s="242"/>
      <c r="Y201" s="242"/>
      <c r="Z201" s="248"/>
      <c r="AA201" s="249"/>
      <c r="AB201" s="250"/>
      <c r="AC201" s="36"/>
      <c r="AD201" s="36"/>
      <c r="AE201" s="13"/>
      <c r="AF201" s="13"/>
      <c r="AG201" s="37"/>
      <c r="AH201" s="37"/>
      <c r="AI201" s="14"/>
      <c r="AJ201" s="14"/>
      <c r="AK201" s="14"/>
      <c r="BB201" s="24"/>
    </row>
    <row r="202">
      <c r="A202" s="242"/>
      <c r="B202" s="243"/>
      <c r="C202" s="251" t="s">
        <v>182</v>
      </c>
      <c r="D202" s="251">
        <v>80.0</v>
      </c>
      <c r="E202" s="252" t="s">
        <v>250</v>
      </c>
      <c r="F202" s="253"/>
      <c r="G202" s="254" t="s">
        <v>176</v>
      </c>
      <c r="H202" s="255"/>
      <c r="I202" s="256"/>
      <c r="J202" s="249" t="s">
        <v>80</v>
      </c>
      <c r="K202" s="253">
        <v>70.0</v>
      </c>
      <c r="L202" s="257" t="s">
        <v>251</v>
      </c>
      <c r="M202" s="257" t="s">
        <v>231</v>
      </c>
      <c r="N202" s="408"/>
      <c r="O202" s="408"/>
      <c r="P202" s="408"/>
      <c r="Q202" s="409"/>
      <c r="R202" s="409"/>
      <c r="S202" s="409"/>
      <c r="T202" s="409"/>
      <c r="U202" s="409"/>
      <c r="V202" s="260"/>
      <c r="W202" s="259"/>
      <c r="X202" s="259"/>
      <c r="Y202" s="259"/>
      <c r="Z202" s="261" t="s">
        <v>154</v>
      </c>
      <c r="AA202" s="261">
        <v>50.0</v>
      </c>
      <c r="AB202" s="262" t="s">
        <v>252</v>
      </c>
      <c r="AC202" s="263" t="s">
        <v>253</v>
      </c>
      <c r="AD202" s="258"/>
      <c r="AE202" s="13"/>
      <c r="AF202" s="13"/>
      <c r="AG202" s="37"/>
      <c r="AH202" s="37"/>
      <c r="AI202" s="14"/>
      <c r="AJ202" s="14"/>
      <c r="AK202" s="14"/>
      <c r="BB202" s="24"/>
    </row>
    <row r="203">
      <c r="A203" s="242"/>
      <c r="B203" s="243"/>
      <c r="C203" s="251" t="s">
        <v>112</v>
      </c>
      <c r="D203" s="251">
        <v>40.0</v>
      </c>
      <c r="E203" s="252" t="s">
        <v>254</v>
      </c>
      <c r="F203" s="253"/>
      <c r="G203" s="254" t="s">
        <v>249</v>
      </c>
      <c r="H203" s="255"/>
      <c r="I203" s="256"/>
      <c r="J203" s="249" t="s">
        <v>98</v>
      </c>
      <c r="K203" s="253">
        <v>80.0</v>
      </c>
      <c r="L203" s="257" t="s">
        <v>255</v>
      </c>
      <c r="M203" s="257" t="s">
        <v>235</v>
      </c>
      <c r="N203" s="408"/>
      <c r="O203" s="408"/>
      <c r="P203" s="408"/>
      <c r="Q203" s="409"/>
      <c r="R203" s="409"/>
      <c r="S203" s="409"/>
      <c r="T203" s="409"/>
      <c r="U203" s="409"/>
      <c r="V203" s="260"/>
      <c r="W203" s="259"/>
      <c r="X203" s="259"/>
      <c r="Y203" s="259"/>
      <c r="Z203" s="261" t="s">
        <v>167</v>
      </c>
      <c r="AA203" s="261" t="s">
        <v>256</v>
      </c>
      <c r="AB203" s="262" t="s">
        <v>257</v>
      </c>
      <c r="AC203" s="263" t="s">
        <v>258</v>
      </c>
      <c r="AD203" s="258"/>
      <c r="AE203" s="13"/>
      <c r="AF203" s="13"/>
      <c r="AG203" s="37"/>
      <c r="AH203" s="37"/>
      <c r="AI203" s="14"/>
      <c r="AJ203" s="14"/>
      <c r="AK203" s="14"/>
      <c r="BB203" s="24"/>
    </row>
    <row r="204">
      <c r="A204" s="242"/>
      <c r="B204" s="243"/>
      <c r="C204" s="251" t="s">
        <v>219</v>
      </c>
      <c r="D204" s="251">
        <v>90.0</v>
      </c>
      <c r="E204" s="252" t="s">
        <v>259</v>
      </c>
      <c r="F204" s="253"/>
      <c r="G204" s="254" t="s">
        <v>260</v>
      </c>
      <c r="H204" s="255"/>
      <c r="I204" s="256"/>
      <c r="J204" s="249" t="s">
        <v>183</v>
      </c>
      <c r="K204" s="253">
        <v>20.0</v>
      </c>
      <c r="L204" s="257" t="s">
        <v>261</v>
      </c>
      <c r="M204" s="257" t="s">
        <v>239</v>
      </c>
      <c r="N204" s="408"/>
      <c r="O204" s="408"/>
      <c r="P204" s="408"/>
      <c r="Q204" s="409"/>
      <c r="R204" s="409"/>
      <c r="S204" s="409"/>
      <c r="T204" s="409"/>
      <c r="U204" s="409"/>
      <c r="V204" s="259"/>
      <c r="W204" s="260"/>
      <c r="X204" s="260"/>
      <c r="Y204" s="260"/>
      <c r="Z204" s="261" t="s">
        <v>184</v>
      </c>
      <c r="AA204" s="261">
        <v>80.0</v>
      </c>
      <c r="AB204" s="262" t="s">
        <v>262</v>
      </c>
      <c r="AC204" s="263" t="s">
        <v>263</v>
      </c>
      <c r="AD204" s="258"/>
      <c r="AE204" s="13"/>
      <c r="AF204" s="13"/>
      <c r="AG204" s="37"/>
      <c r="AH204" s="37"/>
      <c r="AI204" s="14"/>
      <c r="AJ204" s="14"/>
      <c r="AK204" s="14"/>
      <c r="BB204" s="24"/>
    </row>
    <row r="205">
      <c r="A205" s="242"/>
      <c r="B205" s="243"/>
      <c r="C205" s="251" t="s">
        <v>213</v>
      </c>
      <c r="D205" s="251">
        <v>100.0</v>
      </c>
      <c r="E205" s="252" t="s">
        <v>264</v>
      </c>
      <c r="F205" s="253"/>
      <c r="G205" s="254" t="s">
        <v>265</v>
      </c>
      <c r="H205" s="255"/>
      <c r="I205" s="256"/>
      <c r="J205" s="249" t="s">
        <v>109</v>
      </c>
      <c r="K205" s="253">
        <v>30.0</v>
      </c>
      <c r="L205" s="257" t="s">
        <v>266</v>
      </c>
      <c r="M205" s="257" t="s">
        <v>96</v>
      </c>
      <c r="N205" s="408"/>
      <c r="O205" s="408"/>
      <c r="P205" s="408"/>
      <c r="Q205" s="409"/>
      <c r="R205" s="409"/>
      <c r="S205" s="409"/>
      <c r="T205" s="409"/>
      <c r="U205" s="409"/>
      <c r="V205" s="259"/>
      <c r="W205" s="260"/>
      <c r="X205" s="260"/>
      <c r="Y205" s="260"/>
      <c r="Z205" s="261" t="s">
        <v>190</v>
      </c>
      <c r="AA205" s="261">
        <v>50.0</v>
      </c>
      <c r="AB205" s="262" t="s">
        <v>267</v>
      </c>
      <c r="AC205" s="263" t="s">
        <v>268</v>
      </c>
      <c r="AD205" s="258"/>
      <c r="AE205" s="13"/>
      <c r="AF205" s="13"/>
      <c r="AG205" s="37"/>
      <c r="AH205" s="37"/>
      <c r="AI205" s="14"/>
      <c r="AJ205" s="14"/>
      <c r="AK205" s="14"/>
      <c r="BB205" s="24"/>
    </row>
    <row r="206">
      <c r="A206" s="242"/>
      <c r="B206" s="243"/>
      <c r="C206" s="251" t="s">
        <v>204</v>
      </c>
      <c r="D206" s="251">
        <v>110.0</v>
      </c>
      <c r="E206" s="252" t="s">
        <v>269</v>
      </c>
      <c r="F206" s="253"/>
      <c r="G206" s="254" t="s">
        <v>270</v>
      </c>
      <c r="H206" s="255"/>
      <c r="I206" s="256"/>
      <c r="J206" s="249" t="s">
        <v>116</v>
      </c>
      <c r="K206" s="253">
        <v>100.0</v>
      </c>
      <c r="L206" s="257" t="s">
        <v>271</v>
      </c>
      <c r="M206" s="257" t="s">
        <v>151</v>
      </c>
      <c r="N206" s="408"/>
      <c r="O206" s="408"/>
      <c r="P206" s="408"/>
      <c r="Q206" s="409"/>
      <c r="R206" s="409"/>
      <c r="S206" s="409"/>
      <c r="T206" s="409"/>
      <c r="U206" s="409"/>
      <c r="V206" s="259"/>
      <c r="W206" s="260"/>
      <c r="X206" s="260"/>
      <c r="Y206" s="260"/>
      <c r="Z206" s="261" t="s">
        <v>205</v>
      </c>
      <c r="AA206" s="261">
        <v>80.0</v>
      </c>
      <c r="AB206" s="262" t="s">
        <v>272</v>
      </c>
      <c r="AC206" s="263" t="s">
        <v>273</v>
      </c>
      <c r="AD206" s="258"/>
      <c r="AE206" s="13"/>
      <c r="AF206" s="13"/>
      <c r="AG206" s="37"/>
      <c r="AH206" s="37"/>
      <c r="AI206" s="14"/>
      <c r="AJ206" s="14"/>
      <c r="AK206" s="14"/>
      <c r="BB206" s="24"/>
    </row>
    <row r="207">
      <c r="A207" s="242"/>
      <c r="B207" s="243"/>
      <c r="C207" s="251" t="s">
        <v>198</v>
      </c>
      <c r="D207" s="251">
        <v>30.0</v>
      </c>
      <c r="E207" s="252" t="s">
        <v>274</v>
      </c>
      <c r="F207" s="253"/>
      <c r="G207" s="254" t="s">
        <v>248</v>
      </c>
      <c r="H207" s="255"/>
      <c r="I207" s="256"/>
      <c r="J207" s="249" t="s">
        <v>126</v>
      </c>
      <c r="K207" s="253">
        <v>90.0</v>
      </c>
      <c r="L207" s="257" t="s">
        <v>275</v>
      </c>
      <c r="M207" s="257" t="s">
        <v>162</v>
      </c>
      <c r="N207" s="408"/>
      <c r="O207" s="408"/>
      <c r="P207" s="408"/>
      <c r="Q207" s="409"/>
      <c r="R207" s="409"/>
      <c r="S207" s="409"/>
      <c r="T207" s="409"/>
      <c r="U207" s="409"/>
      <c r="V207" s="259"/>
      <c r="W207" s="260"/>
      <c r="X207" s="260"/>
      <c r="Y207" s="260"/>
      <c r="Z207" s="261" t="s">
        <v>215</v>
      </c>
      <c r="AA207" s="261">
        <v>80.0</v>
      </c>
      <c r="AB207" s="262" t="s">
        <v>276</v>
      </c>
      <c r="AC207" s="263" t="s">
        <v>277</v>
      </c>
      <c r="AD207" s="258"/>
      <c r="AE207" s="13"/>
      <c r="AF207" s="13"/>
      <c r="AG207" s="37"/>
      <c r="AH207" s="37"/>
      <c r="AI207" s="14"/>
      <c r="AJ207" s="14"/>
      <c r="AK207" s="14"/>
      <c r="BB207" s="24"/>
    </row>
    <row r="208">
      <c r="A208" s="242"/>
      <c r="B208" s="243"/>
      <c r="C208" s="251" t="s">
        <v>115</v>
      </c>
      <c r="D208" s="251">
        <v>20.0</v>
      </c>
      <c r="E208" s="252" t="s">
        <v>278</v>
      </c>
      <c r="F208" s="253"/>
      <c r="G208" s="254" t="s">
        <v>187</v>
      </c>
      <c r="H208" s="255"/>
      <c r="I208" s="256"/>
      <c r="J208" s="249" t="s">
        <v>111</v>
      </c>
      <c r="K208" s="253">
        <v>0.0</v>
      </c>
      <c r="L208" s="257" t="s">
        <v>279</v>
      </c>
      <c r="M208" s="257" t="s">
        <v>179</v>
      </c>
      <c r="N208" s="408"/>
      <c r="O208" s="408"/>
      <c r="P208" s="408"/>
      <c r="Q208" s="409"/>
      <c r="R208" s="409"/>
      <c r="S208" s="409"/>
      <c r="T208" s="409"/>
      <c r="U208" s="409"/>
      <c r="V208" s="259"/>
      <c r="W208" s="260"/>
      <c r="X208" s="260"/>
      <c r="Y208" s="260"/>
      <c r="Z208" s="261" t="s">
        <v>220</v>
      </c>
      <c r="AA208" s="261">
        <v>10.0</v>
      </c>
      <c r="AB208" s="262" t="s">
        <v>280</v>
      </c>
      <c r="AC208" s="263" t="s">
        <v>281</v>
      </c>
      <c r="AD208" s="258"/>
      <c r="AE208" s="13"/>
      <c r="AF208" s="13"/>
      <c r="AG208" s="37"/>
      <c r="AH208" s="37"/>
      <c r="AI208" s="14"/>
      <c r="AJ208" s="14"/>
      <c r="AK208" s="14"/>
      <c r="BB208" s="24"/>
    </row>
    <row r="209">
      <c r="A209" s="242"/>
      <c r="B209" s="243"/>
      <c r="C209" s="251" t="s">
        <v>108</v>
      </c>
      <c r="D209" s="251">
        <v>10.0</v>
      </c>
      <c r="E209" s="252" t="s">
        <v>282</v>
      </c>
      <c r="F209" s="253"/>
      <c r="G209" s="254" t="s">
        <v>78</v>
      </c>
      <c r="H209" s="255"/>
      <c r="I209" s="256"/>
      <c r="J209" s="249" t="s">
        <v>69</v>
      </c>
      <c r="K209" s="253">
        <v>90.0</v>
      </c>
      <c r="L209" s="257" t="s">
        <v>283</v>
      </c>
      <c r="M209" s="257" t="s">
        <v>188</v>
      </c>
      <c r="N209" s="408"/>
      <c r="O209" s="408"/>
      <c r="P209" s="408"/>
      <c r="Q209" s="409"/>
      <c r="R209" s="409"/>
      <c r="S209" s="409"/>
      <c r="T209" s="409"/>
      <c r="U209" s="409"/>
      <c r="V209" s="259"/>
      <c r="W209" s="260"/>
      <c r="X209" s="260"/>
      <c r="Y209" s="260"/>
      <c r="Z209" s="261" t="s">
        <v>225</v>
      </c>
      <c r="AA209" s="261">
        <v>20.0</v>
      </c>
      <c r="AB209" s="262" t="s">
        <v>284</v>
      </c>
      <c r="AC209" s="263" t="s">
        <v>285</v>
      </c>
      <c r="AD209" s="258"/>
      <c r="AE209" s="13"/>
      <c r="AF209" s="13"/>
      <c r="AG209" s="37"/>
      <c r="AH209" s="37"/>
      <c r="AI209" s="14"/>
      <c r="AJ209" s="14"/>
      <c r="AK209" s="14"/>
      <c r="BB209" s="24"/>
    </row>
    <row r="210">
      <c r="A210" s="242"/>
      <c r="B210" s="243"/>
      <c r="C210" s="251" t="s">
        <v>164</v>
      </c>
      <c r="D210" s="251">
        <v>50.0</v>
      </c>
      <c r="E210" s="252" t="s">
        <v>286</v>
      </c>
      <c r="F210" s="253"/>
      <c r="G210" s="254" t="s">
        <v>216</v>
      </c>
      <c r="H210" s="255"/>
      <c r="I210" s="256"/>
      <c r="J210" s="249" t="s">
        <v>212</v>
      </c>
      <c r="K210" s="253">
        <v>50.0</v>
      </c>
      <c r="L210" s="257" t="s">
        <v>287</v>
      </c>
      <c r="M210" s="257" t="s">
        <v>211</v>
      </c>
      <c r="N210" s="408"/>
      <c r="O210" s="408"/>
      <c r="P210" s="408"/>
      <c r="Q210" s="409"/>
      <c r="R210" s="409"/>
      <c r="S210" s="409"/>
      <c r="T210" s="409"/>
      <c r="U210" s="409"/>
      <c r="V210" s="259"/>
      <c r="W210" s="260"/>
      <c r="X210" s="260"/>
      <c r="Y210" s="260"/>
      <c r="Z210" s="261" t="s">
        <v>229</v>
      </c>
      <c r="AA210" s="261">
        <v>100.0</v>
      </c>
      <c r="AB210" s="262" t="s">
        <v>288</v>
      </c>
      <c r="AC210" s="263" t="s">
        <v>104</v>
      </c>
      <c r="AD210" s="258"/>
      <c r="AE210" s="13"/>
      <c r="AF210" s="13"/>
      <c r="AG210" s="37"/>
      <c r="AH210" s="37"/>
      <c r="AI210" s="14"/>
      <c r="AJ210" s="14"/>
      <c r="AK210" s="14"/>
      <c r="BB210" s="24"/>
    </row>
    <row r="211">
      <c r="A211" s="242"/>
      <c r="B211" s="243"/>
      <c r="C211" s="251" t="s">
        <v>114</v>
      </c>
      <c r="D211" s="251">
        <v>0.0</v>
      </c>
      <c r="E211" s="252" t="s">
        <v>289</v>
      </c>
      <c r="F211" s="253"/>
      <c r="G211" s="254" t="s">
        <v>221</v>
      </c>
      <c r="H211" s="255"/>
      <c r="I211" s="256"/>
      <c r="J211" s="249" t="s">
        <v>218</v>
      </c>
      <c r="K211" s="253">
        <v>40.0</v>
      </c>
      <c r="L211" s="257" t="s">
        <v>290</v>
      </c>
      <c r="M211" s="257" t="s">
        <v>217</v>
      </c>
      <c r="N211" s="408"/>
      <c r="O211" s="408"/>
      <c r="P211" s="408"/>
      <c r="Q211" s="409"/>
      <c r="R211" s="409"/>
      <c r="S211" s="409"/>
      <c r="T211" s="409"/>
      <c r="U211" s="409"/>
      <c r="V211" s="259"/>
      <c r="W211" s="260"/>
      <c r="X211" s="260"/>
      <c r="Y211" s="260"/>
      <c r="Z211" s="261" t="s">
        <v>232</v>
      </c>
      <c r="AA211" s="261" t="s">
        <v>256</v>
      </c>
      <c r="AB211" s="262" t="s">
        <v>291</v>
      </c>
      <c r="AC211" s="263" t="s">
        <v>292</v>
      </c>
      <c r="AD211" s="258"/>
      <c r="AE211" s="13"/>
      <c r="AF211" s="13"/>
      <c r="AG211" s="37"/>
      <c r="AH211" s="37"/>
      <c r="AI211" s="14"/>
      <c r="AJ211" s="14"/>
      <c r="AK211" s="14"/>
      <c r="BB211" s="24"/>
    </row>
    <row r="212">
      <c r="A212" s="242"/>
      <c r="B212" s="243"/>
      <c r="C212" s="251" t="s">
        <v>110</v>
      </c>
      <c r="D212" s="251">
        <v>60.0</v>
      </c>
      <c r="E212" s="252" t="s">
        <v>293</v>
      </c>
      <c r="F212" s="253"/>
      <c r="G212" s="254" t="s">
        <v>294</v>
      </c>
      <c r="H212" s="255"/>
      <c r="I212" s="256"/>
      <c r="J212" s="249" t="s">
        <v>214</v>
      </c>
      <c r="K212" s="253">
        <v>60.0</v>
      </c>
      <c r="L212" s="257" t="s">
        <v>295</v>
      </c>
      <c r="M212" s="257" t="s">
        <v>223</v>
      </c>
      <c r="N212" s="408"/>
      <c r="O212" s="408"/>
      <c r="P212" s="408"/>
      <c r="Q212" s="409"/>
      <c r="R212" s="409"/>
      <c r="S212" s="409"/>
      <c r="T212" s="409"/>
      <c r="U212" s="409"/>
      <c r="V212" s="259"/>
      <c r="W212" s="260"/>
      <c r="X212" s="260"/>
      <c r="Y212" s="260"/>
      <c r="Z212" s="261" t="s">
        <v>236</v>
      </c>
      <c r="AA212" s="261">
        <v>80.0</v>
      </c>
      <c r="AB212" s="262" t="s">
        <v>296</v>
      </c>
      <c r="AC212" s="263" t="s">
        <v>1</v>
      </c>
      <c r="AD212" s="258"/>
      <c r="AE212" s="13"/>
      <c r="AF212" s="13"/>
      <c r="AG212" s="37"/>
      <c r="AH212" s="37"/>
      <c r="AI212" s="14"/>
      <c r="AJ212" s="14"/>
      <c r="AK212" s="14"/>
      <c r="BB212" s="24"/>
    </row>
    <row r="213">
      <c r="A213" s="242"/>
      <c r="B213" s="243"/>
      <c r="C213" s="251" t="s">
        <v>165</v>
      </c>
      <c r="D213" s="251">
        <v>70.0</v>
      </c>
      <c r="E213" s="252" t="s">
        <v>297</v>
      </c>
      <c r="F213" s="253"/>
      <c r="G213" s="254" t="s">
        <v>298</v>
      </c>
      <c r="H213" s="255"/>
      <c r="I213" s="256"/>
      <c r="J213" s="249" t="s">
        <v>113</v>
      </c>
      <c r="K213" s="253">
        <v>10.0</v>
      </c>
      <c r="L213" s="257" t="s">
        <v>299</v>
      </c>
      <c r="M213" s="257" t="s">
        <v>228</v>
      </c>
      <c r="N213" s="408"/>
      <c r="O213" s="408"/>
      <c r="P213" s="408"/>
      <c r="Q213" s="409"/>
      <c r="R213" s="409"/>
      <c r="S213" s="409"/>
      <c r="T213" s="409"/>
      <c r="U213" s="409"/>
      <c r="V213" s="259"/>
      <c r="W213" s="260"/>
      <c r="X213" s="260"/>
      <c r="Y213" s="260"/>
      <c r="Z213" s="261" t="s">
        <v>127</v>
      </c>
      <c r="AA213" s="261" t="s">
        <v>256</v>
      </c>
      <c r="AB213" s="262" t="s">
        <v>300</v>
      </c>
      <c r="AC213" s="263" t="s">
        <v>301</v>
      </c>
      <c r="AD213" s="258"/>
      <c r="AE213" s="13"/>
      <c r="AF213" s="13"/>
      <c r="AG213" s="37"/>
      <c r="AH213" s="37"/>
      <c r="AI213" s="14"/>
      <c r="AJ213" s="14"/>
      <c r="AK213" s="14"/>
      <c r="BB213" s="24"/>
    </row>
    <row r="214">
      <c r="B214" s="24"/>
      <c r="E214" s="113"/>
      <c r="F214" s="266"/>
      <c r="G214" s="289"/>
      <c r="H214" s="128"/>
      <c r="I214" s="128"/>
      <c r="J214" s="128"/>
      <c r="K214" s="265"/>
      <c r="L214" s="117"/>
      <c r="M214" s="128"/>
      <c r="N214" s="117"/>
      <c r="R214" s="117"/>
      <c r="T214" s="117"/>
      <c r="V214" s="117"/>
      <c r="AA214" s="314"/>
      <c r="AB214" s="315"/>
      <c r="AC214" s="36"/>
      <c r="AD214" s="36"/>
      <c r="AE214" s="13"/>
      <c r="AF214" s="13"/>
      <c r="AG214" s="37"/>
      <c r="AH214" s="37"/>
      <c r="AI214" s="14"/>
      <c r="AJ214" s="14"/>
      <c r="AK214" s="14"/>
      <c r="BB214" s="24"/>
    </row>
    <row r="215">
      <c r="B215" s="24"/>
      <c r="E215" s="113"/>
      <c r="F215" s="266"/>
      <c r="G215" s="289"/>
      <c r="H215" s="128"/>
      <c r="I215" s="128"/>
      <c r="J215" s="128"/>
      <c r="K215" s="265"/>
      <c r="L215" s="117"/>
      <c r="M215" s="128"/>
      <c r="N215" s="117"/>
      <c r="R215" s="117"/>
      <c r="T215" s="117"/>
      <c r="V215" s="117"/>
      <c r="Z215" s="117"/>
      <c r="AA215" s="127"/>
      <c r="AB215" s="11"/>
      <c r="AC215" s="36"/>
      <c r="AD215" s="36"/>
      <c r="AE215" s="13"/>
      <c r="AF215" s="13"/>
      <c r="AG215" s="37"/>
      <c r="AH215" s="37"/>
      <c r="AI215" s="14"/>
      <c r="AJ215" s="14"/>
      <c r="AK215" s="14"/>
      <c r="BB215" s="24"/>
    </row>
    <row r="216">
      <c r="B216" s="24"/>
      <c r="E216" s="113"/>
      <c r="F216" s="266"/>
      <c r="G216" s="289"/>
      <c r="H216" s="128"/>
      <c r="I216" s="128"/>
      <c r="J216" s="128"/>
      <c r="K216" s="265"/>
      <c r="L216" s="117"/>
      <c r="M216" s="128"/>
      <c r="N216" s="117"/>
      <c r="R216" s="117"/>
      <c r="T216" s="117"/>
      <c r="V216" s="117"/>
      <c r="Z216" s="117"/>
      <c r="AA216" s="10"/>
      <c r="AB216" s="11"/>
      <c r="AC216" s="36"/>
      <c r="AD216" s="36"/>
      <c r="AE216" s="13"/>
      <c r="AF216" s="13"/>
      <c r="AG216" s="37"/>
      <c r="AH216" s="37"/>
      <c r="AI216" s="14"/>
      <c r="AJ216" s="14"/>
      <c r="AK216" s="14"/>
      <c r="BB216" s="24"/>
    </row>
    <row r="217">
      <c r="B217" s="24"/>
      <c r="E217" s="113"/>
      <c r="F217" s="266"/>
      <c r="G217" s="289"/>
      <c r="H217" s="128"/>
      <c r="I217" s="128"/>
      <c r="J217" s="128"/>
      <c r="K217" s="265"/>
      <c r="L217" s="117"/>
      <c r="M217" s="128"/>
      <c r="N217" s="117"/>
      <c r="R217" s="117"/>
      <c r="T217" s="117"/>
      <c r="V217" s="117"/>
      <c r="Z217" s="117"/>
      <c r="AA217" s="10"/>
      <c r="AB217" s="11"/>
      <c r="AC217" s="36"/>
      <c r="AD217" s="36"/>
      <c r="AE217" s="13"/>
      <c r="AF217" s="13"/>
      <c r="AG217" s="37"/>
      <c r="AH217" s="37"/>
      <c r="AI217" s="14"/>
      <c r="AJ217" s="14"/>
      <c r="AK217" s="14"/>
      <c r="BB217" s="24"/>
    </row>
    <row r="218">
      <c r="B218" s="24"/>
      <c r="E218" s="113"/>
      <c r="F218" s="266"/>
      <c r="G218" s="289"/>
      <c r="H218" s="128"/>
      <c r="I218" s="128"/>
      <c r="J218" s="128"/>
      <c r="K218" s="265"/>
      <c r="L218" s="117"/>
      <c r="M218" s="128"/>
      <c r="N218" s="117"/>
      <c r="R218" s="117"/>
      <c r="T218" s="117"/>
      <c r="V218" s="117"/>
      <c r="Z218" s="117"/>
      <c r="AA218" s="10"/>
      <c r="AB218" s="11"/>
      <c r="AC218" s="36"/>
      <c r="AD218" s="36"/>
      <c r="AE218" s="13"/>
      <c r="AF218" s="13"/>
      <c r="AG218" s="37"/>
      <c r="AH218" s="37"/>
      <c r="AI218" s="14"/>
      <c r="AJ218" s="14"/>
      <c r="AK218" s="14"/>
      <c r="BB218" s="24"/>
    </row>
    <row r="219">
      <c r="B219" s="24"/>
      <c r="E219" s="113"/>
      <c r="F219" s="266"/>
      <c r="G219" s="289"/>
      <c r="H219" s="128"/>
      <c r="I219" s="128"/>
      <c r="J219" s="128"/>
      <c r="K219" s="265"/>
      <c r="L219" s="117"/>
      <c r="M219" s="128"/>
      <c r="N219" s="117"/>
      <c r="R219" s="117"/>
      <c r="T219" s="117"/>
      <c r="V219" s="117"/>
      <c r="Z219" s="117"/>
      <c r="AA219" s="10"/>
      <c r="AB219" s="11"/>
      <c r="AC219" s="36"/>
      <c r="AD219" s="36"/>
      <c r="AE219" s="13"/>
      <c r="AF219" s="13"/>
      <c r="AG219" s="37"/>
      <c r="AH219" s="37"/>
      <c r="AI219" s="14"/>
      <c r="AJ219" s="14"/>
      <c r="AK219" s="14"/>
      <c r="BB219" s="24"/>
    </row>
    <row r="220">
      <c r="B220" s="24"/>
      <c r="E220" s="113"/>
      <c r="F220" s="266"/>
      <c r="G220" s="289"/>
      <c r="H220" s="128"/>
      <c r="I220" s="128"/>
      <c r="J220" s="128"/>
      <c r="K220" s="265"/>
      <c r="L220" s="117"/>
      <c r="M220" s="128"/>
      <c r="N220" s="117"/>
      <c r="R220" s="117"/>
      <c r="T220" s="117"/>
      <c r="V220" s="117"/>
      <c r="Z220" s="117"/>
      <c r="AA220" s="10"/>
      <c r="AB220" s="11"/>
      <c r="AC220" s="36"/>
      <c r="AD220" s="36"/>
      <c r="AE220" s="13"/>
      <c r="AF220" s="13"/>
      <c r="AG220" s="37"/>
      <c r="AH220" s="37"/>
      <c r="AI220" s="14"/>
      <c r="AJ220" s="14"/>
      <c r="AK220" s="14"/>
      <c r="BB220" s="24"/>
    </row>
    <row r="221">
      <c r="B221" s="24"/>
      <c r="E221" s="113"/>
      <c r="F221" s="266"/>
      <c r="G221" s="113"/>
      <c r="K221" s="36"/>
      <c r="L221" s="117"/>
      <c r="M221" s="128"/>
      <c r="N221" s="117"/>
      <c r="R221" s="117"/>
      <c r="T221" s="117"/>
      <c r="V221" s="117"/>
      <c r="Z221" s="117"/>
      <c r="AA221" s="10"/>
      <c r="AB221" s="11"/>
      <c r="AC221" s="36"/>
      <c r="AD221" s="36"/>
      <c r="AE221" s="13"/>
      <c r="AF221" s="13"/>
      <c r="AG221" s="37"/>
      <c r="AH221" s="37"/>
      <c r="AI221" s="14"/>
      <c r="AJ221" s="14"/>
      <c r="AK221" s="14"/>
      <c r="BB221" s="24"/>
    </row>
    <row r="222">
      <c r="B222" s="24"/>
      <c r="E222" s="113"/>
      <c r="F222" s="266"/>
      <c r="G222" s="113"/>
      <c r="K222" s="36"/>
      <c r="L222" s="117"/>
      <c r="M222" s="128"/>
      <c r="N222" s="117"/>
      <c r="R222" s="117"/>
      <c r="T222" s="117"/>
      <c r="V222" s="117"/>
      <c r="Z222" s="117"/>
      <c r="AA222" s="10"/>
      <c r="AB222" s="11"/>
      <c r="AC222" s="36"/>
      <c r="AD222" s="36"/>
      <c r="AE222" s="13"/>
      <c r="AF222" s="13"/>
      <c r="AG222" s="37"/>
      <c r="AH222" s="37"/>
      <c r="AI222" s="14"/>
      <c r="AJ222" s="14"/>
      <c r="AK222" s="14"/>
      <c r="BB222" s="24"/>
    </row>
    <row r="223">
      <c r="B223" s="24"/>
      <c r="E223" s="113"/>
      <c r="F223" s="266"/>
      <c r="G223" s="113"/>
      <c r="K223" s="36"/>
      <c r="L223" s="117"/>
      <c r="M223" s="128"/>
      <c r="N223" s="117"/>
      <c r="R223" s="117"/>
      <c r="T223" s="117"/>
      <c r="V223" s="117"/>
      <c r="Z223" s="117"/>
      <c r="AA223" s="10"/>
      <c r="AB223" s="11"/>
      <c r="AC223" s="36"/>
      <c r="AD223" s="36"/>
      <c r="AE223" s="13"/>
      <c r="AF223" s="13"/>
      <c r="AG223" s="37"/>
      <c r="AH223" s="37"/>
      <c r="AI223" s="14"/>
      <c r="AJ223" s="14"/>
      <c r="AK223" s="14"/>
      <c r="BB223" s="24"/>
    </row>
    <row r="224">
      <c r="B224" s="24"/>
      <c r="E224" s="113"/>
      <c r="F224" s="266"/>
      <c r="G224" s="113"/>
      <c r="K224" s="36"/>
      <c r="L224" s="117"/>
      <c r="M224" s="128"/>
      <c r="N224" s="117"/>
      <c r="R224" s="117"/>
      <c r="T224" s="117"/>
      <c r="V224" s="117"/>
      <c r="Z224" s="117"/>
      <c r="AA224" s="10"/>
      <c r="AB224" s="11"/>
      <c r="AC224" s="36"/>
      <c r="AD224" s="36"/>
      <c r="AE224" s="13"/>
      <c r="AF224" s="13"/>
      <c r="AG224" s="37"/>
      <c r="AH224" s="37"/>
      <c r="AI224" s="14"/>
      <c r="AJ224" s="14"/>
      <c r="AK224" s="14"/>
      <c r="BB224" s="24"/>
    </row>
    <row r="225">
      <c r="B225" s="24"/>
      <c r="E225" s="113"/>
      <c r="F225" s="266"/>
      <c r="G225" s="113"/>
      <c r="K225" s="36"/>
      <c r="L225" s="117"/>
      <c r="M225" s="128"/>
      <c r="N225" s="117"/>
      <c r="R225" s="117"/>
      <c r="T225" s="117"/>
      <c r="V225" s="117"/>
      <c r="Z225" s="117"/>
      <c r="AA225" s="10"/>
      <c r="AB225" s="11"/>
      <c r="AC225" s="36"/>
      <c r="AD225" s="36"/>
      <c r="AE225" s="13"/>
      <c r="AF225" s="13"/>
      <c r="AG225" s="37"/>
      <c r="AH225" s="37"/>
      <c r="AI225" s="14"/>
      <c r="AJ225" s="14"/>
      <c r="AK225" s="14"/>
      <c r="BB225" s="24"/>
    </row>
    <row r="226">
      <c r="B226" s="24"/>
      <c r="E226" s="113"/>
      <c r="F226" s="266"/>
      <c r="G226" s="113"/>
      <c r="K226" s="36"/>
      <c r="L226" s="117"/>
      <c r="M226" s="128"/>
      <c r="N226" s="117"/>
      <c r="R226" s="117"/>
      <c r="T226" s="117"/>
      <c r="V226" s="117"/>
      <c r="Z226" s="117"/>
      <c r="AA226" s="10"/>
      <c r="AB226" s="11"/>
      <c r="AC226" s="36"/>
      <c r="AD226" s="36"/>
      <c r="AE226" s="13"/>
      <c r="AF226" s="13"/>
      <c r="AG226" s="37"/>
      <c r="AH226" s="37"/>
      <c r="AI226" s="14"/>
      <c r="AJ226" s="14"/>
      <c r="AK226" s="14"/>
      <c r="BB226" s="24"/>
    </row>
    <row r="227">
      <c r="B227" s="24"/>
      <c r="E227" s="113"/>
      <c r="F227" s="266"/>
      <c r="G227" s="113"/>
      <c r="K227" s="36"/>
      <c r="L227" s="117"/>
      <c r="M227" s="128"/>
      <c r="N227" s="117"/>
      <c r="R227" s="117"/>
      <c r="T227" s="117"/>
      <c r="V227" s="117"/>
      <c r="Z227" s="117"/>
      <c r="AA227" s="10"/>
      <c r="AB227" s="11"/>
      <c r="AC227" s="36"/>
      <c r="AD227" s="36"/>
      <c r="AE227" s="13"/>
      <c r="AF227" s="13"/>
      <c r="AG227" s="37"/>
      <c r="AH227" s="37"/>
      <c r="AI227" s="14"/>
      <c r="AJ227" s="14"/>
      <c r="AK227" s="14"/>
      <c r="BB227" s="24"/>
    </row>
    <row r="228">
      <c r="B228" s="24"/>
      <c r="E228" s="113"/>
      <c r="F228" s="266"/>
      <c r="G228" s="113"/>
      <c r="K228" s="36"/>
      <c r="L228" s="117"/>
      <c r="M228" s="128"/>
      <c r="N228" s="117"/>
      <c r="R228" s="117"/>
      <c r="T228" s="117"/>
      <c r="V228" s="117"/>
      <c r="Z228" s="117"/>
      <c r="AA228" s="10"/>
      <c r="AB228" s="11"/>
      <c r="AC228" s="36"/>
      <c r="AD228" s="36"/>
      <c r="AE228" s="13"/>
      <c r="AF228" s="13"/>
      <c r="AG228" s="37"/>
      <c r="AH228" s="37"/>
      <c r="AI228" s="14"/>
      <c r="AJ228" s="14"/>
      <c r="AK228" s="14"/>
      <c r="BB228" s="24"/>
    </row>
    <row r="229">
      <c r="B229" s="24"/>
      <c r="E229" s="113"/>
      <c r="F229" s="266"/>
      <c r="G229" s="113"/>
      <c r="K229" s="36"/>
      <c r="L229" s="117"/>
      <c r="M229" s="128"/>
      <c r="N229" s="117"/>
      <c r="R229" s="117"/>
      <c r="T229" s="117"/>
      <c r="V229" s="117"/>
      <c r="Z229" s="117"/>
      <c r="AA229" s="10"/>
      <c r="AB229" s="11"/>
      <c r="AC229" s="36"/>
      <c r="AD229" s="36"/>
      <c r="AE229" s="13"/>
      <c r="AF229" s="13"/>
      <c r="AG229" s="37"/>
      <c r="AH229" s="37"/>
      <c r="AI229" s="14"/>
      <c r="AJ229" s="14"/>
      <c r="AK229" s="14"/>
      <c r="BB229" s="24"/>
    </row>
    <row r="230">
      <c r="B230" s="24"/>
      <c r="E230" s="113"/>
      <c r="F230" s="266"/>
      <c r="G230" s="113"/>
      <c r="K230" s="36"/>
      <c r="L230" s="117"/>
      <c r="M230" s="128"/>
      <c r="N230" s="117"/>
      <c r="R230" s="117"/>
      <c r="T230" s="117"/>
      <c r="V230" s="117"/>
      <c r="Z230" s="117"/>
      <c r="AA230" s="10"/>
      <c r="AB230" s="11"/>
      <c r="AC230" s="36"/>
      <c r="AD230" s="36"/>
      <c r="AE230" s="13"/>
      <c r="AF230" s="13"/>
      <c r="AG230" s="37"/>
      <c r="AH230" s="37"/>
      <c r="AI230" s="14"/>
      <c r="AJ230" s="14"/>
      <c r="AK230" s="14"/>
      <c r="BB230" s="24"/>
    </row>
    <row r="231">
      <c r="B231" s="24"/>
      <c r="E231" s="113"/>
      <c r="F231" s="266"/>
      <c r="G231" s="113"/>
      <c r="K231" s="36"/>
      <c r="L231" s="117"/>
      <c r="M231" s="128"/>
      <c r="N231" s="117"/>
      <c r="R231" s="117"/>
      <c r="T231" s="117"/>
      <c r="V231" s="117"/>
      <c r="Z231" s="117"/>
      <c r="AA231" s="10"/>
      <c r="AB231" s="11"/>
      <c r="AC231" s="36"/>
      <c r="AD231" s="36"/>
      <c r="AE231" s="13"/>
      <c r="AF231" s="13"/>
      <c r="AG231" s="37"/>
      <c r="AH231" s="37"/>
      <c r="AI231" s="14"/>
      <c r="AJ231" s="14"/>
      <c r="AK231" s="14"/>
      <c r="BB231" s="24"/>
    </row>
    <row r="232">
      <c r="B232" s="24"/>
      <c r="E232" s="113"/>
      <c r="F232" s="266"/>
      <c r="G232" s="113"/>
      <c r="K232" s="36"/>
      <c r="L232" s="117"/>
      <c r="M232" s="128"/>
      <c r="N232" s="117"/>
      <c r="R232" s="117"/>
      <c r="T232" s="117"/>
      <c r="V232" s="117"/>
      <c r="Z232" s="117"/>
      <c r="AA232" s="10"/>
      <c r="AB232" s="11"/>
      <c r="AC232" s="36"/>
      <c r="AD232" s="36"/>
      <c r="AE232" s="13"/>
      <c r="AF232" s="13"/>
      <c r="AG232" s="37"/>
      <c r="AH232" s="37"/>
      <c r="AI232" s="14"/>
      <c r="AJ232" s="14"/>
      <c r="AK232" s="14"/>
      <c r="BB232" s="24"/>
    </row>
    <row r="233">
      <c r="B233" s="24"/>
      <c r="E233" s="113"/>
      <c r="F233" s="266"/>
      <c r="G233" s="113"/>
      <c r="K233" s="36"/>
      <c r="L233" s="117"/>
      <c r="M233" s="128"/>
      <c r="N233" s="117"/>
      <c r="R233" s="117"/>
      <c r="T233" s="117"/>
      <c r="V233" s="117"/>
      <c r="Z233" s="117"/>
      <c r="AA233" s="10"/>
      <c r="AB233" s="11"/>
      <c r="AC233" s="36"/>
      <c r="AD233" s="36"/>
      <c r="AE233" s="13"/>
      <c r="AF233" s="13"/>
      <c r="AG233" s="37"/>
      <c r="AH233" s="37"/>
      <c r="AI233" s="14"/>
      <c r="AJ233" s="14"/>
      <c r="AK233" s="14"/>
      <c r="BB233" s="24"/>
    </row>
    <row r="234">
      <c r="B234" s="24"/>
      <c r="E234" s="113"/>
      <c r="F234" s="266"/>
      <c r="G234" s="113"/>
      <c r="K234" s="36"/>
      <c r="L234" s="117"/>
      <c r="M234" s="128"/>
      <c r="N234" s="117"/>
      <c r="R234" s="117"/>
      <c r="T234" s="117"/>
      <c r="V234" s="117"/>
      <c r="Z234" s="117"/>
      <c r="AA234" s="10"/>
      <c r="AB234" s="11"/>
      <c r="AC234" s="36"/>
      <c r="AD234" s="36"/>
      <c r="AE234" s="13"/>
      <c r="AF234" s="13"/>
      <c r="AG234" s="37"/>
      <c r="AH234" s="37"/>
      <c r="AI234" s="14"/>
      <c r="AJ234" s="14"/>
      <c r="AK234" s="14"/>
      <c r="BB234" s="24"/>
    </row>
    <row r="235">
      <c r="B235" s="24"/>
      <c r="E235" s="113"/>
      <c r="F235" s="266"/>
      <c r="G235" s="113"/>
      <c r="K235" s="36"/>
      <c r="L235" s="117"/>
      <c r="M235" s="128"/>
      <c r="N235" s="117"/>
      <c r="R235" s="117"/>
      <c r="T235" s="117"/>
      <c r="V235" s="117"/>
      <c r="Z235" s="117"/>
      <c r="AA235" s="10"/>
      <c r="AB235" s="11"/>
      <c r="AC235" s="36"/>
      <c r="AD235" s="36"/>
      <c r="AE235" s="13"/>
      <c r="AF235" s="13"/>
      <c r="AG235" s="37"/>
      <c r="AH235" s="37"/>
      <c r="AI235" s="14"/>
      <c r="AJ235" s="14"/>
      <c r="AK235" s="14"/>
      <c r="BB235" s="24"/>
    </row>
    <row r="236">
      <c r="B236" s="24"/>
      <c r="E236" s="113"/>
      <c r="F236" s="266"/>
      <c r="G236" s="113"/>
      <c r="K236" s="36"/>
      <c r="L236" s="117"/>
      <c r="M236" s="128"/>
      <c r="N236" s="117"/>
      <c r="R236" s="117"/>
      <c r="T236" s="117"/>
      <c r="V236" s="117"/>
      <c r="Z236" s="117"/>
      <c r="AA236" s="10"/>
      <c r="AB236" s="11"/>
      <c r="AC236" s="36"/>
      <c r="AD236" s="36"/>
      <c r="AE236" s="13"/>
      <c r="AF236" s="13"/>
      <c r="AG236" s="37"/>
      <c r="AH236" s="37"/>
      <c r="AI236" s="14"/>
      <c r="AJ236" s="14"/>
      <c r="AK236" s="14"/>
      <c r="BB236" s="24"/>
    </row>
    <row r="237">
      <c r="B237" s="24"/>
      <c r="E237" s="113"/>
      <c r="F237" s="266"/>
      <c r="G237" s="113"/>
      <c r="K237" s="36"/>
      <c r="L237" s="117"/>
      <c r="M237" s="128"/>
      <c r="N237" s="117"/>
      <c r="R237" s="117"/>
      <c r="T237" s="117"/>
      <c r="V237" s="117"/>
      <c r="Z237" s="117"/>
      <c r="AA237" s="10"/>
      <c r="AB237" s="11"/>
      <c r="AC237" s="36"/>
      <c r="AD237" s="36"/>
      <c r="AE237" s="13"/>
      <c r="AF237" s="13"/>
      <c r="AG237" s="37"/>
      <c r="AH237" s="37"/>
      <c r="AI237" s="14"/>
      <c r="AJ237" s="14"/>
      <c r="AK237" s="14"/>
      <c r="BB237" s="24"/>
    </row>
    <row r="238">
      <c r="B238" s="24"/>
      <c r="E238" s="113"/>
      <c r="F238" s="266"/>
      <c r="G238" s="113"/>
      <c r="K238" s="36"/>
      <c r="L238" s="117"/>
      <c r="M238" s="128"/>
      <c r="N238" s="117"/>
      <c r="R238" s="117"/>
      <c r="T238" s="117"/>
      <c r="V238" s="117"/>
      <c r="Z238" s="117"/>
      <c r="AA238" s="10"/>
      <c r="AB238" s="11"/>
      <c r="AC238" s="36"/>
      <c r="AD238" s="36"/>
      <c r="AE238" s="13"/>
      <c r="AF238" s="13"/>
      <c r="AG238" s="37"/>
      <c r="AH238" s="37"/>
      <c r="AI238" s="14"/>
      <c r="AJ238" s="14"/>
      <c r="AK238" s="14"/>
      <c r="BB238" s="24"/>
    </row>
    <row r="239">
      <c r="B239" s="24"/>
      <c r="E239" s="113"/>
      <c r="F239" s="266"/>
      <c r="G239" s="113"/>
      <c r="K239" s="36"/>
      <c r="L239" s="117"/>
      <c r="M239" s="128"/>
      <c r="N239" s="117"/>
      <c r="R239" s="117"/>
      <c r="T239" s="117"/>
      <c r="V239" s="117"/>
      <c r="Z239" s="117"/>
      <c r="AA239" s="10"/>
      <c r="AB239" s="11"/>
      <c r="AC239" s="36"/>
      <c r="AD239" s="36"/>
      <c r="AE239" s="13"/>
      <c r="AF239" s="13"/>
      <c r="AG239" s="37"/>
      <c r="AH239" s="37"/>
      <c r="AI239" s="14"/>
      <c r="AJ239" s="14"/>
      <c r="AK239" s="14"/>
      <c r="BB239" s="24"/>
    </row>
    <row r="240">
      <c r="B240" s="24"/>
      <c r="E240" s="113"/>
      <c r="F240" s="266"/>
      <c r="G240" s="113"/>
      <c r="K240" s="36"/>
      <c r="L240" s="117"/>
      <c r="M240" s="128"/>
      <c r="N240" s="117"/>
      <c r="R240" s="117"/>
      <c r="T240" s="117"/>
      <c r="V240" s="117"/>
      <c r="Z240" s="117"/>
      <c r="AA240" s="10"/>
      <c r="AB240" s="11"/>
      <c r="AC240" s="36"/>
      <c r="AD240" s="36"/>
      <c r="AE240" s="13"/>
      <c r="AF240" s="13"/>
      <c r="AG240" s="37"/>
      <c r="AH240" s="37"/>
      <c r="AI240" s="14"/>
      <c r="AJ240" s="14"/>
      <c r="AK240" s="14"/>
      <c r="BB240" s="24"/>
    </row>
    <row r="241">
      <c r="B241" s="24"/>
      <c r="E241" s="113"/>
      <c r="F241" s="266"/>
      <c r="G241" s="113"/>
      <c r="K241" s="36"/>
      <c r="L241" s="117"/>
      <c r="M241" s="128"/>
      <c r="N241" s="117"/>
      <c r="R241" s="117"/>
      <c r="T241" s="117"/>
      <c r="V241" s="117"/>
      <c r="Z241" s="117"/>
      <c r="AA241" s="10"/>
      <c r="AB241" s="11"/>
      <c r="AC241" s="36"/>
      <c r="AD241" s="36"/>
      <c r="AE241" s="13"/>
      <c r="AF241" s="13"/>
      <c r="AG241" s="37"/>
      <c r="AH241" s="37"/>
      <c r="AI241" s="14"/>
      <c r="AJ241" s="14"/>
      <c r="AK241" s="14"/>
      <c r="BB241" s="24"/>
    </row>
    <row r="242">
      <c r="B242" s="24"/>
      <c r="E242" s="113"/>
      <c r="F242" s="266"/>
      <c r="G242" s="113"/>
      <c r="K242" s="36"/>
      <c r="L242" s="117"/>
      <c r="M242" s="128"/>
      <c r="N242" s="117"/>
      <c r="R242" s="117"/>
      <c r="T242" s="117"/>
      <c r="V242" s="117"/>
      <c r="Z242" s="117"/>
      <c r="AA242" s="10"/>
      <c r="AB242" s="11"/>
      <c r="AC242" s="36"/>
      <c r="AD242" s="36"/>
      <c r="AE242" s="13"/>
      <c r="AF242" s="13"/>
      <c r="AG242" s="37"/>
      <c r="AH242" s="37"/>
      <c r="AI242" s="14"/>
      <c r="AJ242" s="14"/>
      <c r="AK242" s="14"/>
      <c r="BB242" s="24"/>
    </row>
    <row r="243">
      <c r="B243" s="24"/>
      <c r="E243" s="113"/>
      <c r="F243" s="266"/>
      <c r="G243" s="113"/>
      <c r="K243" s="36"/>
      <c r="L243" s="117"/>
      <c r="M243" s="128"/>
      <c r="N243" s="117"/>
      <c r="R243" s="117"/>
      <c r="T243" s="117"/>
      <c r="V243" s="117"/>
      <c r="Z243" s="117"/>
      <c r="AA243" s="10"/>
      <c r="AB243" s="11"/>
      <c r="AC243" s="36"/>
      <c r="AD243" s="36"/>
      <c r="AE243" s="13"/>
      <c r="AF243" s="13"/>
      <c r="AG243" s="37"/>
      <c r="AH243" s="37"/>
      <c r="AI243" s="14"/>
      <c r="AJ243" s="14"/>
      <c r="AK243" s="14"/>
      <c r="BB243" s="24"/>
    </row>
    <row r="244">
      <c r="B244" s="24"/>
      <c r="E244" s="113"/>
      <c r="F244" s="266"/>
      <c r="G244" s="113"/>
      <c r="K244" s="36"/>
      <c r="L244" s="117"/>
      <c r="M244" s="128"/>
      <c r="N244" s="117"/>
      <c r="R244" s="117"/>
      <c r="T244" s="117"/>
      <c r="V244" s="117"/>
      <c r="Z244" s="117"/>
      <c r="AA244" s="10"/>
      <c r="AB244" s="11"/>
      <c r="AC244" s="36"/>
      <c r="AD244" s="36"/>
      <c r="AE244" s="13"/>
      <c r="AF244" s="13"/>
      <c r="AG244" s="37"/>
      <c r="AH244" s="37"/>
      <c r="AI244" s="14"/>
      <c r="AJ244" s="14"/>
      <c r="AK244" s="14"/>
      <c r="BB244" s="24"/>
    </row>
    <row r="245">
      <c r="B245" s="24"/>
      <c r="E245" s="113"/>
      <c r="F245" s="266"/>
      <c r="G245" s="113"/>
      <c r="K245" s="36"/>
      <c r="L245" s="117"/>
      <c r="M245" s="128"/>
      <c r="N245" s="117"/>
      <c r="R245" s="117"/>
      <c r="T245" s="117"/>
      <c r="V245" s="117"/>
      <c r="Z245" s="117"/>
      <c r="AA245" s="10"/>
      <c r="AB245" s="11"/>
      <c r="AC245" s="36"/>
      <c r="AD245" s="36"/>
      <c r="AE245" s="13"/>
      <c r="AF245" s="13"/>
      <c r="AG245" s="37"/>
      <c r="AH245" s="37"/>
      <c r="AI245" s="14"/>
      <c r="AJ245" s="14"/>
      <c r="AK245" s="14"/>
      <c r="BB245" s="24"/>
    </row>
    <row r="246">
      <c r="B246" s="24"/>
      <c r="E246" s="113"/>
      <c r="F246" s="266"/>
      <c r="G246" s="113"/>
      <c r="K246" s="36"/>
      <c r="L246" s="117"/>
      <c r="M246" s="128"/>
      <c r="N246" s="117"/>
      <c r="R246" s="117"/>
      <c r="T246" s="117"/>
      <c r="V246" s="117"/>
      <c r="Z246" s="117"/>
      <c r="AA246" s="10"/>
      <c r="AB246" s="11"/>
      <c r="AC246" s="36"/>
      <c r="AD246" s="36"/>
      <c r="AE246" s="13"/>
      <c r="AF246" s="13"/>
      <c r="AG246" s="37"/>
      <c r="AH246" s="37"/>
      <c r="AI246" s="14"/>
      <c r="AJ246" s="14"/>
      <c r="AK246" s="14"/>
      <c r="BB246" s="24"/>
    </row>
    <row r="247">
      <c r="B247" s="24"/>
      <c r="E247" s="113"/>
      <c r="F247" s="266"/>
      <c r="G247" s="113"/>
      <c r="K247" s="36"/>
      <c r="L247" s="117"/>
      <c r="M247" s="128"/>
      <c r="N247" s="117"/>
      <c r="R247" s="117"/>
      <c r="T247" s="117"/>
      <c r="V247" s="117"/>
      <c r="Z247" s="117"/>
      <c r="AA247" s="10"/>
      <c r="AB247" s="11"/>
      <c r="AC247" s="36"/>
      <c r="AD247" s="36"/>
      <c r="AE247" s="13"/>
      <c r="AF247" s="13"/>
      <c r="AG247" s="37"/>
      <c r="AH247" s="37"/>
      <c r="AI247" s="14"/>
      <c r="AJ247" s="14"/>
      <c r="AK247" s="14"/>
      <c r="BB247" s="24"/>
    </row>
    <row r="248">
      <c r="B248" s="24"/>
      <c r="E248" s="113"/>
      <c r="F248" s="266"/>
      <c r="G248" s="113"/>
      <c r="K248" s="36"/>
      <c r="L248" s="117"/>
      <c r="M248" s="128"/>
      <c r="N248" s="117"/>
      <c r="R248" s="117"/>
      <c r="T248" s="117"/>
      <c r="V248" s="117"/>
      <c r="Z248" s="117"/>
      <c r="AA248" s="10"/>
      <c r="AB248" s="11"/>
      <c r="AC248" s="36"/>
      <c r="AD248" s="36"/>
      <c r="AE248" s="13"/>
      <c r="AF248" s="13"/>
      <c r="AG248" s="37"/>
      <c r="AH248" s="37"/>
      <c r="AI248" s="14"/>
      <c r="AJ248" s="14"/>
      <c r="AK248" s="14"/>
      <c r="BB248" s="24"/>
    </row>
    <row r="249">
      <c r="B249" s="24"/>
      <c r="E249" s="113"/>
      <c r="F249" s="266"/>
      <c r="G249" s="113"/>
      <c r="K249" s="36"/>
      <c r="L249" s="117"/>
      <c r="M249" s="128"/>
      <c r="N249" s="117"/>
      <c r="R249" s="117"/>
      <c r="T249" s="117"/>
      <c r="V249" s="117"/>
      <c r="Z249" s="117"/>
      <c r="AA249" s="10"/>
      <c r="AB249" s="11"/>
      <c r="AC249" s="36"/>
      <c r="AD249" s="36"/>
      <c r="AE249" s="13"/>
      <c r="AF249" s="13"/>
      <c r="AG249" s="37"/>
      <c r="AH249" s="37"/>
      <c r="AI249" s="14"/>
      <c r="AJ249" s="14"/>
      <c r="AK249" s="14"/>
      <c r="BB249" s="24"/>
    </row>
    <row r="250">
      <c r="B250" s="24"/>
      <c r="E250" s="113"/>
      <c r="F250" s="266"/>
      <c r="G250" s="113"/>
      <c r="K250" s="36"/>
      <c r="L250" s="117"/>
      <c r="M250" s="128"/>
      <c r="N250" s="117"/>
      <c r="R250" s="117"/>
      <c r="T250" s="117"/>
      <c r="V250" s="117"/>
      <c r="Z250" s="117"/>
      <c r="AA250" s="10"/>
      <c r="AB250" s="11"/>
      <c r="AC250" s="36"/>
      <c r="AD250" s="36"/>
      <c r="AE250" s="13"/>
      <c r="AF250" s="13"/>
      <c r="AG250" s="37"/>
      <c r="AH250" s="37"/>
      <c r="AI250" s="14"/>
      <c r="AJ250" s="14"/>
      <c r="AK250" s="14"/>
      <c r="BB250" s="24"/>
    </row>
    <row r="251">
      <c r="B251" s="24"/>
      <c r="E251" s="113"/>
      <c r="F251" s="266"/>
      <c r="G251" s="113"/>
      <c r="K251" s="36"/>
      <c r="L251" s="117"/>
      <c r="M251" s="128"/>
      <c r="N251" s="117"/>
      <c r="R251" s="117"/>
      <c r="T251" s="117"/>
      <c r="V251" s="117"/>
      <c r="Z251" s="117"/>
      <c r="AA251" s="10"/>
      <c r="AB251" s="11"/>
      <c r="AC251" s="36"/>
      <c r="AD251" s="36"/>
      <c r="AE251" s="13"/>
      <c r="AF251" s="13"/>
      <c r="AG251" s="37"/>
      <c r="AH251" s="37"/>
      <c r="AI251" s="14"/>
      <c r="AJ251" s="14"/>
      <c r="AK251" s="14"/>
      <c r="BB251" s="24"/>
    </row>
    <row r="252">
      <c r="B252" s="24"/>
      <c r="E252" s="113"/>
      <c r="F252" s="266"/>
      <c r="G252" s="113"/>
      <c r="K252" s="36"/>
      <c r="L252" s="117"/>
      <c r="M252" s="128"/>
      <c r="N252" s="117"/>
      <c r="R252" s="117"/>
      <c r="T252" s="117"/>
      <c r="V252" s="117"/>
      <c r="Z252" s="117"/>
      <c r="AA252" s="10"/>
      <c r="AB252" s="11"/>
      <c r="AC252" s="36"/>
      <c r="AD252" s="36"/>
      <c r="AE252" s="13"/>
      <c r="AF252" s="13"/>
      <c r="AG252" s="37"/>
      <c r="AH252" s="37"/>
      <c r="AI252" s="14"/>
      <c r="AJ252" s="14"/>
      <c r="AK252" s="14"/>
      <c r="BB252" s="24"/>
    </row>
    <row r="253">
      <c r="B253" s="24"/>
      <c r="E253" s="113"/>
      <c r="F253" s="266"/>
      <c r="G253" s="113"/>
      <c r="K253" s="36"/>
      <c r="L253" s="117"/>
      <c r="M253" s="128"/>
      <c r="N253" s="117"/>
      <c r="R253" s="117"/>
      <c r="T253" s="117"/>
      <c r="V253" s="117"/>
      <c r="Z253" s="117"/>
      <c r="AA253" s="10"/>
      <c r="AB253" s="11"/>
      <c r="AC253" s="36"/>
      <c r="AD253" s="36"/>
      <c r="AE253" s="13"/>
      <c r="AF253" s="13"/>
      <c r="AG253" s="37"/>
      <c r="AH253" s="37"/>
      <c r="AI253" s="14"/>
      <c r="AJ253" s="14"/>
      <c r="AK253" s="14"/>
      <c r="BB253" s="24"/>
    </row>
    <row r="254">
      <c r="B254" s="24"/>
      <c r="E254" s="113"/>
      <c r="F254" s="266"/>
      <c r="G254" s="113"/>
      <c r="K254" s="36"/>
      <c r="L254" s="117"/>
      <c r="M254" s="128"/>
      <c r="N254" s="117"/>
      <c r="R254" s="117"/>
      <c r="T254" s="117"/>
      <c r="V254" s="117"/>
      <c r="Z254" s="117"/>
      <c r="AA254" s="10"/>
      <c r="AB254" s="11"/>
      <c r="AC254" s="36"/>
      <c r="AD254" s="36"/>
      <c r="AE254" s="13"/>
      <c r="AF254" s="13"/>
      <c r="AG254" s="37"/>
      <c r="AH254" s="37"/>
      <c r="AI254" s="14"/>
      <c r="AJ254" s="14"/>
      <c r="AK254" s="14"/>
      <c r="BB254" s="24"/>
    </row>
    <row r="255">
      <c r="B255" s="24"/>
      <c r="E255" s="113"/>
      <c r="F255" s="266"/>
      <c r="G255" s="113"/>
      <c r="K255" s="36"/>
      <c r="L255" s="117"/>
      <c r="M255" s="128"/>
      <c r="N255" s="117"/>
      <c r="R255" s="117"/>
      <c r="T255" s="117"/>
      <c r="V255" s="117"/>
      <c r="Z255" s="117"/>
      <c r="AA255" s="10"/>
      <c r="AB255" s="11"/>
      <c r="AC255" s="36"/>
      <c r="AD255" s="36"/>
      <c r="AE255" s="13"/>
      <c r="AF255" s="13"/>
      <c r="AG255" s="37"/>
      <c r="AH255" s="37"/>
      <c r="AI255" s="14"/>
      <c r="AJ255" s="14"/>
      <c r="AK255" s="14"/>
      <c r="BB255" s="24"/>
    </row>
    <row r="256">
      <c r="B256" s="24"/>
      <c r="E256" s="113"/>
      <c r="F256" s="266"/>
      <c r="G256" s="113"/>
      <c r="K256" s="36"/>
      <c r="L256" s="117"/>
      <c r="M256" s="128"/>
      <c r="N256" s="117"/>
      <c r="R256" s="117"/>
      <c r="T256" s="117"/>
      <c r="V256" s="117"/>
      <c r="Z256" s="117"/>
      <c r="AA256" s="10"/>
      <c r="AB256" s="11"/>
      <c r="AC256" s="36"/>
      <c r="AD256" s="36"/>
      <c r="AE256" s="13"/>
      <c r="AF256" s="13"/>
      <c r="AG256" s="37"/>
      <c r="AH256" s="37"/>
      <c r="AI256" s="14"/>
      <c r="AJ256" s="14"/>
      <c r="AK256" s="14"/>
      <c r="BB256" s="24"/>
    </row>
    <row r="257">
      <c r="B257" s="24"/>
      <c r="E257" s="113"/>
      <c r="F257" s="266"/>
      <c r="G257" s="113"/>
      <c r="K257" s="36"/>
      <c r="L257" s="117"/>
      <c r="M257" s="128"/>
      <c r="N257" s="117"/>
      <c r="R257" s="117"/>
      <c r="T257" s="117"/>
      <c r="V257" s="117"/>
      <c r="Z257" s="117"/>
      <c r="AA257" s="10"/>
      <c r="AB257" s="11"/>
      <c r="AC257" s="36"/>
      <c r="AD257" s="36"/>
      <c r="AE257" s="13"/>
      <c r="AF257" s="13"/>
      <c r="AG257" s="37"/>
      <c r="AH257" s="37"/>
      <c r="AI257" s="14"/>
      <c r="AJ257" s="14"/>
      <c r="AK257" s="14"/>
      <c r="BB257" s="24"/>
    </row>
    <row r="258">
      <c r="B258" s="24"/>
      <c r="E258" s="113"/>
      <c r="F258" s="266"/>
      <c r="G258" s="113"/>
      <c r="K258" s="36"/>
      <c r="L258" s="117"/>
      <c r="M258" s="128"/>
      <c r="N258" s="117"/>
      <c r="R258" s="117"/>
      <c r="T258" s="117"/>
      <c r="V258" s="117"/>
      <c r="Z258" s="117"/>
      <c r="AA258" s="10"/>
      <c r="AB258" s="11"/>
      <c r="AC258" s="36"/>
      <c r="AD258" s="36"/>
      <c r="AE258" s="13"/>
      <c r="AF258" s="13"/>
      <c r="AG258" s="37"/>
      <c r="AH258" s="37"/>
      <c r="AI258" s="14"/>
      <c r="AJ258" s="14"/>
      <c r="AK258" s="14"/>
      <c r="BB258" s="24"/>
    </row>
    <row r="259">
      <c r="B259" s="24"/>
      <c r="E259" s="113"/>
      <c r="F259" s="266"/>
      <c r="G259" s="113"/>
      <c r="K259" s="36"/>
      <c r="L259" s="117"/>
      <c r="M259" s="128"/>
      <c r="N259" s="117"/>
      <c r="R259" s="117"/>
      <c r="T259" s="117"/>
      <c r="V259" s="117"/>
      <c r="Z259" s="117"/>
      <c r="AA259" s="10"/>
      <c r="AB259" s="11"/>
      <c r="AC259" s="36"/>
      <c r="AD259" s="36"/>
      <c r="AE259" s="13"/>
      <c r="AF259" s="13"/>
      <c r="AG259" s="37"/>
      <c r="AH259" s="37"/>
      <c r="AI259" s="14"/>
      <c r="AJ259" s="14"/>
      <c r="AK259" s="14"/>
      <c r="BB259" s="24"/>
    </row>
    <row r="260">
      <c r="B260" s="24"/>
      <c r="E260" s="113"/>
      <c r="F260" s="266"/>
      <c r="G260" s="113"/>
      <c r="K260" s="36"/>
      <c r="L260" s="117"/>
      <c r="M260" s="128"/>
      <c r="N260" s="117"/>
      <c r="R260" s="117"/>
      <c r="T260" s="117"/>
      <c r="V260" s="117"/>
      <c r="Z260" s="117"/>
      <c r="AA260" s="10"/>
      <c r="AB260" s="11"/>
      <c r="AC260" s="36"/>
      <c r="AD260" s="36"/>
      <c r="AE260" s="13"/>
      <c r="AF260" s="13"/>
      <c r="AG260" s="37"/>
      <c r="AH260" s="37"/>
      <c r="AI260" s="14"/>
      <c r="AJ260" s="14"/>
      <c r="AK260" s="14"/>
      <c r="BB260" s="24"/>
    </row>
    <row r="261">
      <c r="B261" s="24"/>
      <c r="E261" s="113"/>
      <c r="F261" s="266"/>
      <c r="G261" s="113"/>
      <c r="K261" s="36"/>
      <c r="L261" s="117"/>
      <c r="M261" s="128"/>
      <c r="N261" s="117"/>
      <c r="R261" s="117"/>
      <c r="T261" s="117"/>
      <c r="V261" s="117"/>
      <c r="Z261" s="117"/>
      <c r="AA261" s="10"/>
      <c r="AB261" s="11"/>
      <c r="AC261" s="36"/>
      <c r="AD261" s="36"/>
      <c r="AE261" s="13"/>
      <c r="AF261" s="13"/>
      <c r="AG261" s="37"/>
      <c r="AH261" s="37"/>
      <c r="AI261" s="14"/>
      <c r="AJ261" s="14"/>
      <c r="AK261" s="14"/>
      <c r="BB261" s="24"/>
    </row>
    <row r="262">
      <c r="B262" s="24"/>
      <c r="E262" s="113"/>
      <c r="F262" s="266"/>
      <c r="G262" s="113"/>
      <c r="K262" s="36"/>
      <c r="L262" s="117"/>
      <c r="M262" s="128"/>
      <c r="N262" s="117"/>
      <c r="R262" s="117"/>
      <c r="T262" s="117"/>
      <c r="V262" s="117"/>
      <c r="Z262" s="117"/>
      <c r="AA262" s="10"/>
      <c r="AB262" s="11"/>
      <c r="AC262" s="36"/>
      <c r="AD262" s="36"/>
      <c r="AE262" s="13"/>
      <c r="AF262" s="13"/>
      <c r="AG262" s="37"/>
      <c r="AH262" s="37"/>
      <c r="AI262" s="14"/>
      <c r="AJ262" s="14"/>
      <c r="AK262" s="14"/>
      <c r="BB262" s="24"/>
    </row>
    <row r="263">
      <c r="B263" s="24"/>
      <c r="E263" s="113"/>
      <c r="F263" s="266"/>
      <c r="G263" s="113"/>
      <c r="K263" s="36"/>
      <c r="L263" s="117"/>
      <c r="M263" s="128"/>
      <c r="N263" s="117"/>
      <c r="R263" s="117"/>
      <c r="T263" s="117"/>
      <c r="V263" s="117"/>
      <c r="Z263" s="117"/>
      <c r="AA263" s="10"/>
      <c r="AB263" s="11"/>
      <c r="AC263" s="36"/>
      <c r="AD263" s="36"/>
      <c r="AE263" s="13"/>
      <c r="AF263" s="13"/>
      <c r="AG263" s="37"/>
      <c r="AH263" s="37"/>
      <c r="AI263" s="14"/>
      <c r="AJ263" s="14"/>
      <c r="AK263" s="14"/>
      <c r="BB263" s="24"/>
    </row>
    <row r="264">
      <c r="B264" s="24"/>
      <c r="E264" s="113"/>
      <c r="F264" s="266"/>
      <c r="G264" s="113"/>
      <c r="K264" s="36"/>
      <c r="L264" s="117"/>
      <c r="M264" s="128"/>
      <c r="N264" s="117"/>
      <c r="R264" s="117"/>
      <c r="T264" s="117"/>
      <c r="V264" s="117"/>
      <c r="Z264" s="117"/>
      <c r="AA264" s="10"/>
      <c r="AB264" s="11"/>
      <c r="AC264" s="36"/>
      <c r="AD264" s="36"/>
      <c r="AE264" s="13"/>
      <c r="AF264" s="13"/>
      <c r="AG264" s="37"/>
      <c r="AH264" s="37"/>
      <c r="AI264" s="14"/>
      <c r="AJ264" s="14"/>
      <c r="AK264" s="14"/>
      <c r="BB264" s="24"/>
    </row>
    <row r="265">
      <c r="B265" s="24"/>
      <c r="E265" s="113"/>
      <c r="F265" s="266"/>
      <c r="G265" s="113"/>
      <c r="K265" s="36"/>
      <c r="L265" s="117"/>
      <c r="M265" s="128"/>
      <c r="N265" s="117"/>
      <c r="R265" s="117"/>
      <c r="T265" s="117"/>
      <c r="V265" s="117"/>
      <c r="Z265" s="117"/>
      <c r="AA265" s="10"/>
      <c r="AB265" s="11"/>
      <c r="AC265" s="36"/>
      <c r="AD265" s="36"/>
      <c r="AE265" s="13"/>
      <c r="AF265" s="13"/>
      <c r="AG265" s="37"/>
      <c r="AH265" s="37"/>
      <c r="AI265" s="14"/>
      <c r="AJ265" s="14"/>
      <c r="AK265" s="14"/>
      <c r="BB265" s="24"/>
    </row>
    <row r="266">
      <c r="B266" s="24"/>
      <c r="E266" s="113"/>
      <c r="F266" s="266"/>
      <c r="G266" s="113"/>
      <c r="K266" s="36"/>
      <c r="L266" s="117"/>
      <c r="M266" s="128"/>
      <c r="N266" s="117"/>
      <c r="R266" s="117"/>
      <c r="T266" s="117"/>
      <c r="V266" s="117"/>
      <c r="Z266" s="117"/>
      <c r="AA266" s="10"/>
      <c r="AB266" s="11"/>
      <c r="AC266" s="36"/>
      <c r="AD266" s="36"/>
      <c r="AE266" s="13"/>
      <c r="AF266" s="13"/>
      <c r="AG266" s="37"/>
      <c r="AH266" s="37"/>
      <c r="AI266" s="14"/>
      <c r="AJ266" s="14"/>
      <c r="AK266" s="14"/>
      <c r="BB266" s="24"/>
    </row>
    <row r="267">
      <c r="B267" s="24"/>
      <c r="E267" s="113"/>
      <c r="F267" s="266"/>
      <c r="G267" s="113"/>
      <c r="K267" s="36"/>
      <c r="L267" s="117"/>
      <c r="M267" s="128"/>
      <c r="N267" s="117"/>
      <c r="R267" s="117"/>
      <c r="T267" s="117"/>
      <c r="V267" s="117"/>
      <c r="Z267" s="117"/>
      <c r="AA267" s="10"/>
      <c r="AB267" s="11"/>
      <c r="AC267" s="36"/>
      <c r="AD267" s="36"/>
      <c r="AE267" s="13"/>
      <c r="AF267" s="13"/>
      <c r="AG267" s="37"/>
      <c r="AH267" s="37"/>
      <c r="AI267" s="14"/>
      <c r="AJ267" s="14"/>
      <c r="AK267" s="14"/>
      <c r="BB267" s="24"/>
    </row>
    <row r="268">
      <c r="B268" s="24"/>
      <c r="E268" s="113"/>
      <c r="F268" s="266"/>
      <c r="G268" s="113"/>
      <c r="K268" s="36"/>
      <c r="L268" s="117"/>
      <c r="M268" s="128"/>
      <c r="N268" s="117"/>
      <c r="R268" s="117"/>
      <c r="T268" s="117"/>
      <c r="V268" s="117"/>
      <c r="Z268" s="117"/>
      <c r="AA268" s="10"/>
      <c r="AB268" s="11"/>
      <c r="AC268" s="36"/>
      <c r="AD268" s="36"/>
      <c r="AE268" s="13"/>
      <c r="AF268" s="13"/>
      <c r="AG268" s="37"/>
      <c r="AH268" s="37"/>
      <c r="AI268" s="14"/>
      <c r="AJ268" s="14"/>
      <c r="AK268" s="14"/>
      <c r="BB268" s="24"/>
    </row>
    <row r="269">
      <c r="B269" s="24"/>
      <c r="E269" s="113"/>
      <c r="F269" s="266"/>
      <c r="G269" s="113"/>
      <c r="K269" s="36"/>
      <c r="L269" s="117"/>
      <c r="M269" s="128"/>
      <c r="N269" s="117"/>
      <c r="R269" s="117"/>
      <c r="T269" s="117"/>
      <c r="V269" s="117"/>
      <c r="Z269" s="117"/>
      <c r="AA269" s="10"/>
      <c r="AB269" s="11"/>
      <c r="AC269" s="36"/>
      <c r="AD269" s="36"/>
      <c r="AE269" s="13"/>
      <c r="AF269" s="13"/>
      <c r="AG269" s="37"/>
      <c r="AH269" s="37"/>
      <c r="AI269" s="14"/>
      <c r="AJ269" s="14"/>
      <c r="AK269" s="14"/>
      <c r="BB269" s="24"/>
    </row>
    <row r="270">
      <c r="B270" s="24"/>
      <c r="E270" s="113"/>
      <c r="F270" s="266"/>
      <c r="G270" s="113"/>
      <c r="K270" s="36"/>
      <c r="L270" s="117"/>
      <c r="M270" s="128"/>
      <c r="N270" s="117"/>
      <c r="R270" s="117"/>
      <c r="T270" s="117"/>
      <c r="V270" s="117"/>
      <c r="Z270" s="117"/>
      <c r="AA270" s="10"/>
      <c r="AB270" s="11"/>
      <c r="AC270" s="36"/>
      <c r="AD270" s="36"/>
      <c r="AE270" s="13"/>
      <c r="AF270" s="13"/>
      <c r="AG270" s="37"/>
      <c r="AH270" s="37"/>
      <c r="AI270" s="14"/>
      <c r="AJ270" s="14"/>
      <c r="AK270" s="14"/>
      <c r="BB270" s="24"/>
    </row>
    <row r="271">
      <c r="B271" s="24"/>
      <c r="E271" s="113"/>
      <c r="F271" s="266"/>
      <c r="G271" s="113"/>
      <c r="K271" s="36"/>
      <c r="L271" s="117"/>
      <c r="M271" s="128"/>
      <c r="N271" s="117"/>
      <c r="R271" s="117"/>
      <c r="T271" s="117"/>
      <c r="V271" s="117"/>
      <c r="Z271" s="117"/>
      <c r="AA271" s="10"/>
      <c r="AB271" s="11"/>
      <c r="AC271" s="36"/>
      <c r="AD271" s="36"/>
      <c r="AE271" s="13"/>
      <c r="AF271" s="13"/>
      <c r="AG271" s="37"/>
      <c r="AH271" s="37"/>
      <c r="AI271" s="14"/>
      <c r="AJ271" s="14"/>
      <c r="AK271" s="14"/>
      <c r="BB271" s="24"/>
    </row>
    <row r="272">
      <c r="B272" s="24"/>
      <c r="E272" s="113"/>
      <c r="F272" s="266"/>
      <c r="G272" s="113"/>
      <c r="K272" s="36"/>
      <c r="L272" s="117"/>
      <c r="M272" s="128"/>
      <c r="N272" s="117"/>
      <c r="R272" s="117"/>
      <c r="T272" s="117"/>
      <c r="V272" s="117"/>
      <c r="Z272" s="117"/>
      <c r="AA272" s="10"/>
      <c r="AB272" s="11"/>
      <c r="AC272" s="36"/>
      <c r="AD272" s="36"/>
      <c r="AE272" s="13"/>
      <c r="AF272" s="13"/>
      <c r="AG272" s="37"/>
      <c r="AH272" s="37"/>
      <c r="AI272" s="14"/>
      <c r="AJ272" s="14"/>
      <c r="AK272" s="14"/>
      <c r="BB272" s="24"/>
    </row>
    <row r="273">
      <c r="B273" s="24"/>
      <c r="E273" s="113"/>
      <c r="F273" s="266"/>
      <c r="G273" s="113"/>
      <c r="K273" s="36"/>
      <c r="L273" s="117"/>
      <c r="M273" s="128"/>
      <c r="N273" s="117"/>
      <c r="R273" s="117"/>
      <c r="T273" s="117"/>
      <c r="V273" s="117"/>
      <c r="Z273" s="117"/>
      <c r="AA273" s="10"/>
      <c r="AB273" s="11"/>
      <c r="AC273" s="36"/>
      <c r="AD273" s="36"/>
      <c r="AE273" s="13"/>
      <c r="AF273" s="13"/>
      <c r="AG273" s="37"/>
      <c r="AH273" s="37"/>
      <c r="AI273" s="14"/>
      <c r="AJ273" s="14"/>
      <c r="AK273" s="14"/>
      <c r="BB273" s="24"/>
    </row>
    <row r="274">
      <c r="B274" s="24"/>
      <c r="E274" s="113"/>
      <c r="F274" s="266"/>
      <c r="G274" s="113"/>
      <c r="K274" s="36"/>
      <c r="L274" s="117"/>
      <c r="M274" s="128"/>
      <c r="N274" s="117"/>
      <c r="R274" s="117"/>
      <c r="T274" s="117"/>
      <c r="V274" s="117"/>
      <c r="Z274" s="117"/>
      <c r="AA274" s="10"/>
      <c r="AB274" s="11"/>
      <c r="AC274" s="36"/>
      <c r="AD274" s="36"/>
      <c r="AE274" s="13"/>
      <c r="AF274" s="13"/>
      <c r="AG274" s="37"/>
      <c r="AH274" s="37"/>
      <c r="AI274" s="14"/>
      <c r="AJ274" s="14"/>
      <c r="AK274" s="14"/>
      <c r="BB274" s="24"/>
    </row>
    <row r="275">
      <c r="B275" s="24"/>
      <c r="E275" s="113"/>
      <c r="F275" s="266"/>
      <c r="G275" s="113"/>
      <c r="K275" s="36"/>
      <c r="L275" s="117"/>
      <c r="M275" s="128"/>
      <c r="N275" s="117"/>
      <c r="R275" s="117"/>
      <c r="T275" s="117"/>
      <c r="V275" s="117"/>
      <c r="Z275" s="117"/>
      <c r="AA275" s="10"/>
      <c r="AB275" s="11"/>
      <c r="AC275" s="36"/>
      <c r="AD275" s="36"/>
      <c r="AE275" s="13"/>
      <c r="AF275" s="13"/>
      <c r="AG275" s="37"/>
      <c r="AH275" s="37"/>
      <c r="AI275" s="14"/>
      <c r="AJ275" s="14"/>
      <c r="AK275" s="14"/>
      <c r="BB275" s="24"/>
    </row>
    <row r="276">
      <c r="B276" s="24"/>
      <c r="E276" s="113"/>
      <c r="F276" s="266"/>
      <c r="G276" s="113"/>
      <c r="K276" s="36"/>
      <c r="L276" s="117"/>
      <c r="M276" s="128"/>
      <c r="N276" s="117"/>
      <c r="R276" s="117"/>
      <c r="T276" s="117"/>
      <c r="V276" s="117"/>
      <c r="Z276" s="117"/>
      <c r="AA276" s="10"/>
      <c r="AB276" s="11"/>
      <c r="AC276" s="36"/>
      <c r="AD276" s="36"/>
      <c r="AE276" s="13"/>
      <c r="AF276" s="13"/>
      <c r="AG276" s="37"/>
      <c r="AH276" s="37"/>
      <c r="AI276" s="14"/>
      <c r="AJ276" s="14"/>
      <c r="AK276" s="14"/>
      <c r="BB276" s="24"/>
    </row>
    <row r="277">
      <c r="B277" s="24"/>
      <c r="E277" s="113"/>
      <c r="F277" s="266"/>
      <c r="G277" s="113"/>
      <c r="K277" s="36"/>
      <c r="L277" s="117"/>
      <c r="M277" s="128"/>
      <c r="N277" s="117"/>
      <c r="R277" s="117"/>
      <c r="T277" s="117"/>
      <c r="V277" s="117"/>
      <c r="Z277" s="117"/>
      <c r="AA277" s="10"/>
      <c r="AB277" s="11"/>
      <c r="AC277" s="36"/>
      <c r="AD277" s="36"/>
      <c r="AE277" s="13"/>
      <c r="AF277" s="13"/>
      <c r="AG277" s="37"/>
      <c r="AH277" s="37"/>
      <c r="AI277" s="14"/>
      <c r="AJ277" s="14"/>
      <c r="AK277" s="14"/>
      <c r="BB277" s="24"/>
    </row>
    <row r="278">
      <c r="B278" s="24"/>
      <c r="E278" s="113"/>
      <c r="F278" s="266"/>
      <c r="G278" s="113"/>
      <c r="K278" s="36"/>
      <c r="L278" s="117"/>
      <c r="M278" s="128"/>
      <c r="N278" s="117"/>
      <c r="R278" s="117"/>
      <c r="T278" s="117"/>
      <c r="V278" s="117"/>
      <c r="Z278" s="117"/>
      <c r="AA278" s="10"/>
      <c r="AB278" s="11"/>
      <c r="AC278" s="36"/>
      <c r="AD278" s="36"/>
      <c r="AE278" s="13"/>
      <c r="AF278" s="13"/>
      <c r="AG278" s="37"/>
      <c r="AH278" s="37"/>
      <c r="AI278" s="14"/>
      <c r="AJ278" s="14"/>
      <c r="AK278" s="14"/>
      <c r="BB278" s="24"/>
    </row>
    <row r="279">
      <c r="B279" s="24"/>
      <c r="E279" s="113"/>
      <c r="F279" s="266"/>
      <c r="G279" s="113"/>
      <c r="K279" s="36"/>
      <c r="L279" s="117"/>
      <c r="M279" s="128"/>
      <c r="N279" s="117"/>
      <c r="R279" s="117"/>
      <c r="T279" s="117"/>
      <c r="V279" s="117"/>
      <c r="Z279" s="117"/>
      <c r="AA279" s="10"/>
      <c r="AB279" s="11"/>
      <c r="AC279" s="36"/>
      <c r="AD279" s="36"/>
      <c r="AE279" s="13"/>
      <c r="AF279" s="13"/>
      <c r="AG279" s="37"/>
      <c r="AH279" s="37"/>
      <c r="AI279" s="14"/>
      <c r="AJ279" s="14"/>
      <c r="AK279" s="14"/>
      <c r="BB279" s="24"/>
    </row>
    <row r="280">
      <c r="B280" s="24"/>
      <c r="E280" s="113"/>
      <c r="F280" s="266"/>
      <c r="G280" s="113"/>
      <c r="K280" s="36"/>
      <c r="L280" s="117"/>
      <c r="M280" s="128"/>
      <c r="N280" s="117"/>
      <c r="R280" s="117"/>
      <c r="T280" s="117"/>
      <c r="V280" s="117"/>
      <c r="Z280" s="117"/>
      <c r="AA280" s="10"/>
      <c r="AB280" s="11"/>
      <c r="AC280" s="36"/>
      <c r="AD280" s="36"/>
      <c r="AE280" s="13"/>
      <c r="AF280" s="13"/>
      <c r="AG280" s="37"/>
      <c r="AH280" s="37"/>
      <c r="AI280" s="14"/>
      <c r="AJ280" s="14"/>
      <c r="AK280" s="14"/>
      <c r="BB280" s="24"/>
    </row>
    <row r="281">
      <c r="B281" s="24"/>
      <c r="E281" s="113"/>
      <c r="F281" s="266"/>
      <c r="G281" s="113"/>
      <c r="K281" s="36"/>
      <c r="L281" s="117"/>
      <c r="M281" s="128"/>
      <c r="N281" s="117"/>
      <c r="R281" s="117"/>
      <c r="T281" s="117"/>
      <c r="V281" s="117"/>
      <c r="Z281" s="117"/>
      <c r="AA281" s="10"/>
      <c r="AB281" s="11"/>
      <c r="AC281" s="36"/>
      <c r="AD281" s="36"/>
      <c r="AE281" s="13"/>
      <c r="AF281" s="13"/>
      <c r="AG281" s="37"/>
      <c r="AH281" s="37"/>
      <c r="AI281" s="14"/>
      <c r="AJ281" s="14"/>
      <c r="AK281" s="14"/>
      <c r="BB281" s="24"/>
    </row>
    <row r="282">
      <c r="B282" s="24"/>
      <c r="E282" s="113"/>
      <c r="F282" s="266"/>
      <c r="G282" s="113"/>
      <c r="K282" s="36"/>
      <c r="L282" s="117"/>
      <c r="M282" s="128"/>
      <c r="N282" s="117"/>
      <c r="R282" s="117"/>
      <c r="T282" s="117"/>
      <c r="V282" s="117"/>
      <c r="Z282" s="117"/>
      <c r="AA282" s="10"/>
      <c r="AB282" s="11"/>
      <c r="AC282" s="36"/>
      <c r="AD282" s="36"/>
      <c r="AE282" s="13"/>
      <c r="AF282" s="13"/>
      <c r="AG282" s="37"/>
      <c r="AH282" s="37"/>
      <c r="AI282" s="14"/>
      <c r="AJ282" s="14"/>
      <c r="AK282" s="14"/>
      <c r="BB282" s="24"/>
    </row>
    <row r="283">
      <c r="B283" s="24"/>
      <c r="E283" s="113"/>
      <c r="F283" s="266"/>
      <c r="G283" s="113"/>
      <c r="K283" s="36"/>
      <c r="L283" s="117"/>
      <c r="M283" s="128"/>
      <c r="N283" s="117"/>
      <c r="R283" s="117"/>
      <c r="T283" s="117"/>
      <c r="V283" s="117"/>
      <c r="Z283" s="117"/>
      <c r="AA283" s="10"/>
      <c r="AB283" s="11"/>
      <c r="AC283" s="36"/>
      <c r="AD283" s="36"/>
      <c r="AE283" s="13"/>
      <c r="AF283" s="13"/>
      <c r="AG283" s="37"/>
      <c r="AH283" s="37"/>
      <c r="AI283" s="14"/>
      <c r="AJ283" s="14"/>
      <c r="AK283" s="14"/>
      <c r="BB283" s="24"/>
    </row>
    <row r="284">
      <c r="B284" s="24"/>
      <c r="E284" s="113"/>
      <c r="F284" s="266"/>
      <c r="G284" s="113"/>
      <c r="K284" s="36"/>
      <c r="L284" s="117"/>
      <c r="M284" s="128"/>
      <c r="N284" s="117"/>
      <c r="R284" s="117"/>
      <c r="T284" s="117"/>
      <c r="V284" s="117"/>
      <c r="Z284" s="117"/>
      <c r="AA284" s="10"/>
      <c r="AB284" s="11"/>
      <c r="AC284" s="36"/>
      <c r="AD284" s="36"/>
      <c r="AE284" s="13"/>
      <c r="AF284" s="13"/>
      <c r="AG284" s="37"/>
      <c r="AH284" s="37"/>
      <c r="AI284" s="14"/>
      <c r="AJ284" s="14"/>
      <c r="AK284" s="14"/>
      <c r="BB284" s="24"/>
    </row>
    <row r="285">
      <c r="B285" s="24"/>
      <c r="E285" s="113"/>
      <c r="F285" s="266"/>
      <c r="G285" s="113"/>
      <c r="K285" s="36"/>
      <c r="L285" s="117"/>
      <c r="M285" s="128"/>
      <c r="N285" s="117"/>
      <c r="R285" s="117"/>
      <c r="T285" s="117"/>
      <c r="V285" s="117"/>
      <c r="Z285" s="117"/>
      <c r="AA285" s="10"/>
      <c r="AB285" s="11"/>
      <c r="AC285" s="36"/>
      <c r="AD285" s="36"/>
      <c r="AE285" s="13"/>
      <c r="AF285" s="13"/>
      <c r="AG285" s="37"/>
      <c r="AH285" s="37"/>
      <c r="AI285" s="14"/>
      <c r="AJ285" s="14"/>
      <c r="AK285" s="14"/>
      <c r="BB285" s="24"/>
    </row>
    <row r="286">
      <c r="B286" s="24"/>
      <c r="E286" s="113"/>
      <c r="F286" s="266"/>
      <c r="G286" s="113"/>
      <c r="K286" s="36"/>
      <c r="L286" s="117"/>
      <c r="M286" s="128"/>
      <c r="N286" s="117"/>
      <c r="R286" s="117"/>
      <c r="T286" s="117"/>
      <c r="V286" s="117"/>
      <c r="Z286" s="117"/>
      <c r="AA286" s="10"/>
      <c r="AB286" s="11"/>
      <c r="AC286" s="36"/>
      <c r="AD286" s="36"/>
      <c r="AE286" s="13"/>
      <c r="AF286" s="13"/>
      <c r="AG286" s="37"/>
      <c r="AH286" s="37"/>
      <c r="AI286" s="14"/>
      <c r="AJ286" s="14"/>
      <c r="AK286" s="14"/>
      <c r="BB286" s="24"/>
    </row>
    <row r="287">
      <c r="B287" s="24"/>
      <c r="E287" s="113"/>
      <c r="F287" s="266"/>
      <c r="G287" s="113"/>
      <c r="K287" s="36"/>
      <c r="L287" s="117"/>
      <c r="M287" s="128"/>
      <c r="N287" s="117"/>
      <c r="R287" s="117"/>
      <c r="T287" s="117"/>
      <c r="V287" s="117"/>
      <c r="Z287" s="117"/>
      <c r="AA287" s="10"/>
      <c r="AB287" s="11"/>
      <c r="AC287" s="36"/>
      <c r="AD287" s="36"/>
      <c r="AE287" s="13"/>
      <c r="AF287" s="13"/>
      <c r="AG287" s="37"/>
      <c r="AH287" s="37"/>
      <c r="AI287" s="14"/>
      <c r="AJ287" s="14"/>
      <c r="AK287" s="14"/>
      <c r="BB287" s="24"/>
    </row>
    <row r="288">
      <c r="B288" s="24"/>
      <c r="E288" s="113"/>
      <c r="F288" s="266"/>
      <c r="G288" s="113"/>
      <c r="K288" s="36"/>
      <c r="L288" s="117"/>
      <c r="M288" s="128"/>
      <c r="N288" s="117"/>
      <c r="R288" s="117"/>
      <c r="T288" s="117"/>
      <c r="V288" s="117"/>
      <c r="Z288" s="117"/>
      <c r="AA288" s="10"/>
      <c r="AB288" s="11"/>
      <c r="AC288" s="36"/>
      <c r="AD288" s="36"/>
      <c r="AE288" s="13"/>
      <c r="AF288" s="13"/>
      <c r="AG288" s="37"/>
      <c r="AH288" s="37"/>
      <c r="AI288" s="14"/>
      <c r="AJ288" s="14"/>
      <c r="AK288" s="14"/>
      <c r="BB288" s="24"/>
    </row>
    <row r="289">
      <c r="B289" s="24"/>
      <c r="E289" s="113"/>
      <c r="F289" s="266"/>
      <c r="G289" s="113"/>
      <c r="K289" s="36"/>
      <c r="L289" s="117"/>
      <c r="M289" s="128"/>
      <c r="N289" s="117"/>
      <c r="R289" s="117"/>
      <c r="T289" s="117"/>
      <c r="V289" s="117"/>
      <c r="Z289" s="117"/>
      <c r="AA289" s="10"/>
      <c r="AB289" s="11"/>
      <c r="AC289" s="36"/>
      <c r="AD289" s="36"/>
      <c r="AE289" s="13"/>
      <c r="AF289" s="13"/>
      <c r="AG289" s="37"/>
      <c r="AH289" s="37"/>
      <c r="AI289" s="14"/>
      <c r="AJ289" s="14"/>
      <c r="AK289" s="14"/>
      <c r="BB289" s="24"/>
    </row>
    <row r="290">
      <c r="B290" s="24"/>
      <c r="E290" s="113"/>
      <c r="F290" s="266"/>
      <c r="G290" s="113"/>
      <c r="K290" s="36"/>
      <c r="L290" s="117"/>
      <c r="M290" s="128"/>
      <c r="N290" s="117"/>
      <c r="R290" s="117"/>
      <c r="T290" s="117"/>
      <c r="V290" s="117"/>
      <c r="Z290" s="117"/>
      <c r="AA290" s="10"/>
      <c r="AB290" s="11"/>
      <c r="AC290" s="36"/>
      <c r="AD290" s="36"/>
      <c r="AE290" s="13"/>
      <c r="AF290" s="13"/>
      <c r="AG290" s="37"/>
      <c r="AH290" s="37"/>
      <c r="AI290" s="14"/>
      <c r="AJ290" s="14"/>
      <c r="AK290" s="14"/>
      <c r="BB290" s="24"/>
    </row>
    <row r="291">
      <c r="B291" s="24"/>
      <c r="E291" s="113"/>
      <c r="F291" s="266"/>
      <c r="G291" s="113"/>
      <c r="K291" s="36"/>
      <c r="L291" s="117"/>
      <c r="M291" s="128"/>
      <c r="N291" s="117"/>
      <c r="R291" s="117"/>
      <c r="T291" s="117"/>
      <c r="V291" s="117"/>
      <c r="Z291" s="117"/>
      <c r="AA291" s="10"/>
      <c r="AB291" s="11"/>
      <c r="AC291" s="36"/>
      <c r="AD291" s="36"/>
      <c r="AE291" s="13"/>
      <c r="AF291" s="13"/>
      <c r="AG291" s="37"/>
      <c r="AH291" s="37"/>
      <c r="AI291" s="14"/>
      <c r="AJ291" s="14"/>
      <c r="AK291" s="14"/>
      <c r="BB291" s="24"/>
    </row>
    <row r="292">
      <c r="B292" s="24"/>
      <c r="E292" s="113"/>
      <c r="F292" s="266"/>
      <c r="G292" s="113"/>
      <c r="K292" s="36"/>
      <c r="L292" s="117"/>
      <c r="M292" s="128"/>
      <c r="N292" s="117"/>
      <c r="R292" s="117"/>
      <c r="T292" s="117"/>
      <c r="V292" s="117"/>
      <c r="Z292" s="117"/>
      <c r="AA292" s="10"/>
      <c r="AB292" s="11"/>
      <c r="AC292" s="36"/>
      <c r="AD292" s="36"/>
      <c r="AE292" s="13"/>
      <c r="AF292" s="13"/>
      <c r="AG292" s="37"/>
      <c r="AH292" s="37"/>
      <c r="AI292" s="14"/>
      <c r="AJ292" s="14"/>
      <c r="AK292" s="14"/>
      <c r="BB292" s="24"/>
    </row>
    <row r="293">
      <c r="B293" s="24"/>
      <c r="E293" s="113"/>
      <c r="F293" s="266"/>
      <c r="G293" s="113"/>
      <c r="K293" s="36"/>
      <c r="L293" s="117"/>
      <c r="M293" s="128"/>
      <c r="N293" s="117"/>
      <c r="R293" s="117"/>
      <c r="T293" s="117"/>
      <c r="V293" s="117"/>
      <c r="Z293" s="117"/>
      <c r="AA293" s="10"/>
      <c r="AB293" s="11"/>
      <c r="AC293" s="36"/>
      <c r="AD293" s="36"/>
      <c r="AE293" s="13"/>
      <c r="AF293" s="13"/>
      <c r="AG293" s="37"/>
      <c r="AH293" s="37"/>
      <c r="AI293" s="14"/>
      <c r="AJ293" s="14"/>
      <c r="AK293" s="14"/>
      <c r="BB293" s="24"/>
    </row>
    <row r="294">
      <c r="B294" s="24"/>
      <c r="E294" s="113"/>
      <c r="F294" s="266"/>
      <c r="G294" s="113"/>
      <c r="K294" s="36"/>
      <c r="L294" s="117"/>
      <c r="M294" s="128"/>
      <c r="N294" s="117"/>
      <c r="R294" s="117"/>
      <c r="T294" s="117"/>
      <c r="V294" s="117"/>
      <c r="Z294" s="117"/>
      <c r="AA294" s="10"/>
      <c r="AB294" s="11"/>
      <c r="AC294" s="36"/>
      <c r="AD294" s="36"/>
      <c r="AE294" s="13"/>
      <c r="AF294" s="13"/>
      <c r="AG294" s="37"/>
      <c r="AH294" s="37"/>
      <c r="AI294" s="14"/>
      <c r="AJ294" s="14"/>
      <c r="AK294" s="14"/>
      <c r="BB294" s="24"/>
    </row>
    <row r="295">
      <c r="B295" s="24"/>
      <c r="E295" s="113"/>
      <c r="F295" s="266"/>
      <c r="G295" s="113"/>
      <c r="K295" s="36"/>
      <c r="L295" s="117"/>
      <c r="M295" s="128"/>
      <c r="N295" s="117"/>
      <c r="R295" s="117"/>
      <c r="T295" s="117"/>
      <c r="V295" s="117"/>
      <c r="Z295" s="117"/>
      <c r="AA295" s="10"/>
      <c r="AB295" s="11"/>
      <c r="AC295" s="36"/>
      <c r="AD295" s="36"/>
      <c r="AE295" s="13"/>
      <c r="AF295" s="13"/>
      <c r="AG295" s="37"/>
      <c r="AH295" s="37"/>
      <c r="AI295" s="14"/>
      <c r="AJ295" s="14"/>
      <c r="AK295" s="14"/>
      <c r="BB295" s="24"/>
    </row>
    <row r="296">
      <c r="B296" s="24"/>
      <c r="E296" s="113"/>
      <c r="F296" s="266"/>
      <c r="G296" s="113"/>
      <c r="K296" s="36"/>
      <c r="L296" s="117"/>
      <c r="M296" s="128"/>
      <c r="N296" s="117"/>
      <c r="R296" s="117"/>
      <c r="T296" s="117"/>
      <c r="V296" s="117"/>
      <c r="Z296" s="117"/>
      <c r="AA296" s="10"/>
      <c r="AB296" s="11"/>
      <c r="AC296" s="36"/>
      <c r="AD296" s="36"/>
      <c r="AE296" s="13"/>
      <c r="AF296" s="13"/>
      <c r="AG296" s="37"/>
      <c r="AH296" s="37"/>
      <c r="AI296" s="14"/>
      <c r="AJ296" s="14"/>
      <c r="AK296" s="14"/>
      <c r="BB296" s="24"/>
    </row>
    <row r="297">
      <c r="B297" s="24"/>
      <c r="E297" s="113"/>
      <c r="F297" s="266"/>
      <c r="G297" s="113"/>
      <c r="K297" s="36"/>
      <c r="L297" s="117"/>
      <c r="M297" s="128"/>
      <c r="N297" s="117"/>
      <c r="R297" s="117"/>
      <c r="T297" s="117"/>
      <c r="V297" s="117"/>
      <c r="Z297" s="117"/>
      <c r="AA297" s="10"/>
      <c r="AB297" s="11"/>
      <c r="AC297" s="36"/>
      <c r="AD297" s="36"/>
      <c r="AE297" s="13"/>
      <c r="AF297" s="13"/>
      <c r="AG297" s="37"/>
      <c r="AH297" s="37"/>
      <c r="AI297" s="14"/>
      <c r="AJ297" s="14"/>
      <c r="AK297" s="14"/>
      <c r="BB297" s="24"/>
    </row>
    <row r="298">
      <c r="B298" s="24"/>
      <c r="E298" s="113"/>
      <c r="F298" s="266"/>
      <c r="G298" s="113"/>
      <c r="K298" s="36"/>
      <c r="L298" s="117"/>
      <c r="M298" s="128"/>
      <c r="N298" s="117"/>
      <c r="R298" s="117"/>
      <c r="T298" s="117"/>
      <c r="V298" s="117"/>
      <c r="Z298" s="117"/>
      <c r="AA298" s="10"/>
      <c r="AB298" s="11"/>
      <c r="AC298" s="36"/>
      <c r="AD298" s="36"/>
      <c r="AE298" s="13"/>
      <c r="AF298" s="13"/>
      <c r="AG298" s="37"/>
      <c r="AH298" s="37"/>
      <c r="AI298" s="14"/>
      <c r="AJ298" s="14"/>
      <c r="AK298" s="14"/>
      <c r="BB298" s="24"/>
    </row>
    <row r="299">
      <c r="B299" s="24"/>
      <c r="E299" s="113"/>
      <c r="F299" s="266"/>
      <c r="G299" s="113"/>
      <c r="K299" s="36"/>
      <c r="L299" s="117"/>
      <c r="M299" s="128"/>
      <c r="N299" s="117"/>
      <c r="R299" s="117"/>
      <c r="T299" s="117"/>
      <c r="V299" s="117"/>
      <c r="Z299" s="117"/>
      <c r="AA299" s="10"/>
      <c r="AB299" s="11"/>
      <c r="AC299" s="36"/>
      <c r="AD299" s="36"/>
      <c r="AE299" s="13"/>
      <c r="AF299" s="13"/>
      <c r="AG299" s="37"/>
      <c r="AH299" s="37"/>
      <c r="AI299" s="14"/>
      <c r="AJ299" s="14"/>
      <c r="AK299" s="14"/>
      <c r="BB299" s="24"/>
    </row>
    <row r="300">
      <c r="B300" s="24"/>
      <c r="E300" s="113"/>
      <c r="F300" s="266"/>
      <c r="G300" s="113"/>
      <c r="K300" s="36"/>
      <c r="L300" s="117"/>
      <c r="M300" s="128"/>
      <c r="N300" s="117"/>
      <c r="R300" s="117"/>
      <c r="T300" s="117"/>
      <c r="V300" s="117"/>
      <c r="Z300" s="117"/>
      <c r="AA300" s="10"/>
      <c r="AB300" s="11"/>
      <c r="AC300" s="36"/>
      <c r="AD300" s="36"/>
      <c r="AE300" s="13"/>
      <c r="AF300" s="13"/>
      <c r="AG300" s="37"/>
      <c r="AH300" s="37"/>
      <c r="AI300" s="14"/>
      <c r="AJ300" s="14"/>
      <c r="AK300" s="14"/>
      <c r="BB300" s="24"/>
    </row>
    <row r="301">
      <c r="B301" s="24"/>
      <c r="E301" s="113"/>
      <c r="F301" s="266"/>
      <c r="G301" s="113"/>
      <c r="K301" s="36"/>
      <c r="L301" s="117"/>
      <c r="M301" s="128"/>
      <c r="N301" s="117"/>
      <c r="R301" s="117"/>
      <c r="T301" s="117"/>
      <c r="V301" s="117"/>
      <c r="Z301" s="117"/>
      <c r="AA301" s="10"/>
      <c r="AB301" s="11"/>
      <c r="AC301" s="36"/>
      <c r="AD301" s="36"/>
      <c r="AE301" s="13"/>
      <c r="AF301" s="13"/>
      <c r="AG301" s="37"/>
      <c r="AH301" s="37"/>
      <c r="AI301" s="14"/>
      <c r="AJ301" s="14"/>
      <c r="AK301" s="14"/>
      <c r="BB301" s="24"/>
    </row>
    <row r="302">
      <c r="B302" s="24"/>
      <c r="E302" s="113"/>
      <c r="F302" s="266"/>
      <c r="G302" s="113"/>
      <c r="K302" s="36"/>
      <c r="L302" s="117"/>
      <c r="M302" s="128"/>
      <c r="N302" s="117"/>
      <c r="R302" s="117"/>
      <c r="T302" s="117"/>
      <c r="V302" s="117"/>
      <c r="Z302" s="117"/>
      <c r="AA302" s="10"/>
      <c r="AB302" s="11"/>
      <c r="AC302" s="36"/>
      <c r="AD302" s="36"/>
      <c r="AE302" s="13"/>
      <c r="AF302" s="13"/>
      <c r="AG302" s="37"/>
      <c r="AH302" s="37"/>
      <c r="AI302" s="14"/>
      <c r="AJ302" s="14"/>
      <c r="AK302" s="14"/>
      <c r="BB302" s="24"/>
    </row>
    <row r="303">
      <c r="B303" s="24"/>
      <c r="E303" s="113"/>
      <c r="F303" s="266"/>
      <c r="G303" s="113"/>
      <c r="K303" s="36"/>
      <c r="L303" s="117"/>
      <c r="M303" s="128"/>
      <c r="N303" s="117"/>
      <c r="R303" s="117"/>
      <c r="T303" s="117"/>
      <c r="V303" s="117"/>
      <c r="Z303" s="117"/>
      <c r="AA303" s="10"/>
      <c r="AB303" s="11"/>
      <c r="AC303" s="36"/>
      <c r="AD303" s="36"/>
      <c r="AE303" s="13"/>
      <c r="AF303" s="13"/>
      <c r="AG303" s="37"/>
      <c r="AH303" s="37"/>
      <c r="AI303" s="14"/>
      <c r="AJ303" s="14"/>
      <c r="AK303" s="14"/>
      <c r="BB303" s="24"/>
    </row>
    <row r="304">
      <c r="B304" s="24"/>
      <c r="E304" s="113"/>
      <c r="F304" s="266"/>
      <c r="G304" s="113"/>
      <c r="K304" s="36"/>
      <c r="L304" s="117"/>
      <c r="M304" s="128"/>
      <c r="N304" s="117"/>
      <c r="R304" s="117"/>
      <c r="T304" s="117"/>
      <c r="V304" s="117"/>
      <c r="Z304" s="117"/>
      <c r="AA304" s="10"/>
      <c r="AB304" s="11"/>
      <c r="AC304" s="36"/>
      <c r="AD304" s="36"/>
      <c r="AE304" s="13"/>
      <c r="AF304" s="13"/>
      <c r="AG304" s="37"/>
      <c r="AH304" s="37"/>
      <c r="AI304" s="14"/>
      <c r="AJ304" s="14"/>
      <c r="AK304" s="14"/>
      <c r="BB304" s="24"/>
    </row>
    <row r="305">
      <c r="B305" s="24"/>
      <c r="E305" s="113"/>
      <c r="F305" s="266"/>
      <c r="G305" s="113"/>
      <c r="K305" s="36"/>
      <c r="L305" s="117"/>
      <c r="M305" s="128"/>
      <c r="N305" s="117"/>
      <c r="R305" s="117"/>
      <c r="T305" s="117"/>
      <c r="V305" s="117"/>
      <c r="Z305" s="117"/>
      <c r="AA305" s="10"/>
      <c r="AB305" s="11"/>
      <c r="AC305" s="36"/>
      <c r="AD305" s="36"/>
      <c r="AE305" s="13"/>
      <c r="AF305" s="13"/>
      <c r="AG305" s="37"/>
      <c r="AH305" s="37"/>
      <c r="AI305" s="14"/>
      <c r="AJ305" s="14"/>
      <c r="AK305" s="14"/>
      <c r="BB305" s="24"/>
    </row>
    <row r="306">
      <c r="B306" s="24"/>
      <c r="E306" s="113"/>
      <c r="F306" s="266"/>
      <c r="G306" s="113"/>
      <c r="K306" s="36"/>
      <c r="L306" s="117"/>
      <c r="M306" s="128"/>
      <c r="N306" s="117"/>
      <c r="R306" s="117"/>
      <c r="T306" s="117"/>
      <c r="V306" s="117"/>
      <c r="Z306" s="117"/>
      <c r="AA306" s="10"/>
      <c r="AB306" s="11"/>
      <c r="AC306" s="36"/>
      <c r="AD306" s="36"/>
      <c r="AE306" s="13"/>
      <c r="AF306" s="13"/>
      <c r="AG306" s="37"/>
      <c r="AH306" s="37"/>
      <c r="AI306" s="14"/>
      <c r="AJ306" s="14"/>
      <c r="AK306" s="14"/>
      <c r="BB306" s="24"/>
    </row>
    <row r="307">
      <c r="B307" s="24"/>
      <c r="E307" s="113"/>
      <c r="F307" s="266"/>
      <c r="G307" s="113"/>
      <c r="K307" s="36"/>
      <c r="L307" s="117"/>
      <c r="M307" s="128"/>
      <c r="N307" s="117"/>
      <c r="R307" s="117"/>
      <c r="T307" s="117"/>
      <c r="V307" s="117"/>
      <c r="Z307" s="117"/>
      <c r="AA307" s="10"/>
      <c r="AB307" s="11"/>
      <c r="AC307" s="36"/>
      <c r="AD307" s="36"/>
      <c r="AE307" s="13"/>
      <c r="AF307" s="13"/>
      <c r="AG307" s="37"/>
      <c r="AH307" s="37"/>
      <c r="AI307" s="14"/>
      <c r="AJ307" s="14"/>
      <c r="AK307" s="14"/>
      <c r="BB307" s="24"/>
    </row>
    <row r="308">
      <c r="B308" s="24"/>
      <c r="E308" s="113"/>
      <c r="F308" s="266"/>
      <c r="G308" s="113"/>
      <c r="K308" s="36"/>
      <c r="L308" s="117"/>
      <c r="M308" s="128"/>
      <c r="N308" s="117"/>
      <c r="R308" s="117"/>
      <c r="T308" s="117"/>
      <c r="V308" s="117"/>
      <c r="Z308" s="117"/>
      <c r="AA308" s="10"/>
      <c r="AB308" s="11"/>
      <c r="AC308" s="36"/>
      <c r="AD308" s="36"/>
      <c r="AE308" s="13"/>
      <c r="AF308" s="13"/>
      <c r="AG308" s="37"/>
      <c r="AH308" s="37"/>
      <c r="AI308" s="14"/>
      <c r="AJ308" s="14"/>
      <c r="AK308" s="14"/>
      <c r="BB308" s="24"/>
    </row>
    <row r="309">
      <c r="B309" s="24"/>
      <c r="E309" s="113"/>
      <c r="F309" s="266"/>
      <c r="G309" s="113"/>
      <c r="K309" s="36"/>
      <c r="L309" s="117"/>
      <c r="M309" s="128"/>
      <c r="N309" s="117"/>
      <c r="R309" s="117"/>
      <c r="T309" s="117"/>
      <c r="V309" s="117"/>
      <c r="Z309" s="117"/>
      <c r="AA309" s="10"/>
      <c r="AB309" s="11"/>
      <c r="AC309" s="36"/>
      <c r="AD309" s="36"/>
      <c r="AE309" s="13"/>
      <c r="AF309" s="13"/>
      <c r="AG309" s="37"/>
      <c r="AH309" s="37"/>
      <c r="AI309" s="14"/>
      <c r="AJ309" s="14"/>
      <c r="AK309" s="14"/>
      <c r="BB309" s="24"/>
    </row>
    <row r="310">
      <c r="B310" s="24"/>
      <c r="E310" s="113"/>
      <c r="F310" s="266"/>
      <c r="G310" s="113"/>
      <c r="K310" s="36"/>
      <c r="L310" s="117"/>
      <c r="M310" s="128"/>
      <c r="N310" s="117"/>
      <c r="R310" s="117"/>
      <c r="T310" s="117"/>
      <c r="V310" s="117"/>
      <c r="Z310" s="117"/>
      <c r="AA310" s="10"/>
      <c r="AB310" s="11"/>
      <c r="AC310" s="36"/>
      <c r="AD310" s="36"/>
      <c r="AE310" s="13"/>
      <c r="AF310" s="13"/>
      <c r="AG310" s="37"/>
      <c r="AH310" s="37"/>
      <c r="AI310" s="14"/>
      <c r="AJ310" s="14"/>
      <c r="AK310" s="14"/>
      <c r="BB310" s="24"/>
    </row>
    <row r="311">
      <c r="B311" s="24"/>
      <c r="E311" s="113"/>
      <c r="F311" s="266"/>
      <c r="G311" s="113"/>
      <c r="K311" s="36"/>
      <c r="L311" s="117"/>
      <c r="M311" s="128"/>
      <c r="N311" s="117"/>
      <c r="R311" s="117"/>
      <c r="T311" s="117"/>
      <c r="V311" s="117"/>
      <c r="Z311" s="117"/>
      <c r="AA311" s="10"/>
      <c r="AB311" s="11"/>
      <c r="AC311" s="36"/>
      <c r="AD311" s="36"/>
      <c r="AE311" s="13"/>
      <c r="AF311" s="13"/>
      <c r="AG311" s="37"/>
      <c r="AH311" s="37"/>
      <c r="AI311" s="14"/>
      <c r="AJ311" s="14"/>
      <c r="AK311" s="14"/>
      <c r="BB311" s="24"/>
    </row>
    <row r="312">
      <c r="B312" s="24"/>
      <c r="E312" s="113"/>
      <c r="F312" s="266"/>
      <c r="G312" s="113"/>
      <c r="K312" s="36"/>
      <c r="L312" s="117"/>
      <c r="M312" s="128"/>
      <c r="N312" s="117"/>
      <c r="R312" s="117"/>
      <c r="T312" s="117"/>
      <c r="V312" s="117"/>
      <c r="Z312" s="117"/>
      <c r="AA312" s="10"/>
      <c r="AB312" s="11"/>
      <c r="AC312" s="36"/>
      <c r="AD312" s="36"/>
      <c r="AE312" s="13"/>
      <c r="AF312" s="13"/>
      <c r="AG312" s="37"/>
      <c r="AH312" s="37"/>
      <c r="AI312" s="14"/>
      <c r="AJ312" s="14"/>
      <c r="AK312" s="14"/>
      <c r="BB312" s="24"/>
    </row>
    <row r="313">
      <c r="B313" s="24"/>
      <c r="E313" s="113"/>
      <c r="F313" s="266"/>
      <c r="G313" s="113"/>
      <c r="K313" s="36"/>
      <c r="L313" s="117"/>
      <c r="M313" s="128"/>
      <c r="N313" s="117"/>
      <c r="R313" s="117"/>
      <c r="T313" s="117"/>
      <c r="V313" s="117"/>
      <c r="Z313" s="117"/>
      <c r="AA313" s="10"/>
      <c r="AB313" s="11"/>
      <c r="AC313" s="36"/>
      <c r="AD313" s="36"/>
      <c r="AE313" s="13"/>
      <c r="AF313" s="13"/>
      <c r="AG313" s="37"/>
      <c r="AH313" s="37"/>
      <c r="AI313" s="14"/>
      <c r="AJ313" s="14"/>
      <c r="AK313" s="14"/>
      <c r="BB313" s="24"/>
    </row>
    <row r="314">
      <c r="B314" s="24"/>
      <c r="E314" s="113"/>
      <c r="F314" s="266"/>
      <c r="G314" s="113"/>
      <c r="K314" s="36"/>
      <c r="L314" s="117"/>
      <c r="M314" s="128"/>
      <c r="N314" s="117"/>
      <c r="R314" s="117"/>
      <c r="T314" s="117"/>
      <c r="V314" s="117"/>
      <c r="Z314" s="117"/>
      <c r="AA314" s="10"/>
      <c r="AB314" s="11"/>
      <c r="AC314" s="36"/>
      <c r="AD314" s="36"/>
      <c r="AE314" s="13"/>
      <c r="AF314" s="13"/>
      <c r="AG314" s="37"/>
      <c r="AH314" s="37"/>
      <c r="AI314" s="14"/>
      <c r="AJ314" s="14"/>
      <c r="AK314" s="14"/>
      <c r="BB314" s="24"/>
    </row>
    <row r="315">
      <c r="B315" s="24"/>
      <c r="E315" s="113"/>
      <c r="F315" s="266"/>
      <c r="G315" s="113"/>
      <c r="K315" s="36"/>
      <c r="L315" s="117"/>
      <c r="M315" s="128"/>
      <c r="N315" s="117"/>
      <c r="R315" s="117"/>
      <c r="T315" s="117"/>
      <c r="V315" s="117"/>
      <c r="Z315" s="117"/>
      <c r="AA315" s="10"/>
      <c r="AB315" s="11"/>
      <c r="AC315" s="36"/>
      <c r="AD315" s="36"/>
      <c r="AE315" s="13"/>
      <c r="AF315" s="13"/>
      <c r="AG315" s="37"/>
      <c r="AH315" s="37"/>
      <c r="AI315" s="14"/>
      <c r="AJ315" s="14"/>
      <c r="AK315" s="14"/>
      <c r="BB315" s="24"/>
    </row>
    <row r="316">
      <c r="B316" s="24"/>
      <c r="E316" s="113"/>
      <c r="F316" s="266"/>
      <c r="G316" s="113"/>
      <c r="K316" s="36"/>
      <c r="L316" s="117"/>
      <c r="M316" s="128"/>
      <c r="N316" s="117"/>
      <c r="R316" s="117"/>
      <c r="T316" s="117"/>
      <c r="V316" s="117"/>
      <c r="Z316" s="117"/>
      <c r="AA316" s="10"/>
      <c r="AB316" s="11"/>
      <c r="AC316" s="36"/>
      <c r="AD316" s="36"/>
      <c r="AE316" s="13"/>
      <c r="AF316" s="13"/>
      <c r="AG316" s="37"/>
      <c r="AH316" s="37"/>
      <c r="AI316" s="14"/>
      <c r="AJ316" s="14"/>
      <c r="AK316" s="14"/>
      <c r="BB316" s="24"/>
    </row>
    <row r="317">
      <c r="B317" s="24"/>
      <c r="E317" s="113"/>
      <c r="F317" s="266"/>
      <c r="G317" s="113"/>
      <c r="K317" s="36"/>
      <c r="L317" s="117"/>
      <c r="M317" s="128"/>
      <c r="N317" s="117"/>
      <c r="R317" s="117"/>
      <c r="T317" s="117"/>
      <c r="V317" s="117"/>
      <c r="Z317" s="117"/>
      <c r="AA317" s="10"/>
      <c r="AB317" s="11"/>
      <c r="AC317" s="36"/>
      <c r="AD317" s="36"/>
      <c r="AE317" s="13"/>
      <c r="AF317" s="13"/>
      <c r="AG317" s="37"/>
      <c r="AH317" s="37"/>
      <c r="AI317" s="14"/>
      <c r="AJ317" s="14"/>
      <c r="AK317" s="14"/>
      <c r="BB317" s="24"/>
    </row>
    <row r="318">
      <c r="B318" s="24"/>
      <c r="E318" s="113"/>
      <c r="F318" s="266"/>
      <c r="G318" s="113"/>
      <c r="K318" s="36"/>
      <c r="L318" s="117"/>
      <c r="M318" s="128"/>
      <c r="N318" s="117"/>
      <c r="R318" s="117"/>
      <c r="T318" s="117"/>
      <c r="V318" s="117"/>
      <c r="Z318" s="117"/>
      <c r="AA318" s="10"/>
      <c r="AB318" s="11"/>
      <c r="AC318" s="36"/>
      <c r="AD318" s="36"/>
      <c r="AE318" s="13"/>
      <c r="AF318" s="13"/>
      <c r="AG318" s="37"/>
      <c r="AH318" s="37"/>
      <c r="AI318" s="14"/>
      <c r="AJ318" s="14"/>
      <c r="AK318" s="14"/>
      <c r="BB318" s="24"/>
    </row>
    <row r="319">
      <c r="B319" s="24"/>
      <c r="E319" s="113"/>
      <c r="F319" s="266"/>
      <c r="G319" s="113"/>
      <c r="K319" s="36"/>
      <c r="L319" s="117"/>
      <c r="M319" s="128"/>
      <c r="N319" s="117"/>
      <c r="R319" s="117"/>
      <c r="T319" s="117"/>
      <c r="V319" s="117"/>
      <c r="Z319" s="117"/>
      <c r="AA319" s="10"/>
      <c r="AB319" s="11"/>
      <c r="AC319" s="36"/>
      <c r="AD319" s="36"/>
      <c r="AE319" s="13"/>
      <c r="AF319" s="13"/>
      <c r="AG319" s="37"/>
      <c r="AH319" s="37"/>
      <c r="AI319" s="14"/>
      <c r="AJ319" s="14"/>
      <c r="AK319" s="14"/>
      <c r="BB319" s="24"/>
    </row>
    <row r="320">
      <c r="B320" s="24"/>
      <c r="E320" s="113"/>
      <c r="F320" s="266"/>
      <c r="G320" s="113"/>
      <c r="K320" s="36"/>
      <c r="L320" s="117"/>
      <c r="M320" s="128"/>
      <c r="N320" s="117"/>
      <c r="R320" s="117"/>
      <c r="T320" s="117"/>
      <c r="V320" s="117"/>
      <c r="Z320" s="117"/>
      <c r="AA320" s="10"/>
      <c r="AB320" s="11"/>
      <c r="AC320" s="36"/>
      <c r="AD320" s="36"/>
      <c r="AE320" s="13"/>
      <c r="AF320" s="13"/>
      <c r="AG320" s="37"/>
      <c r="AH320" s="37"/>
      <c r="AI320" s="14"/>
      <c r="AJ320" s="14"/>
      <c r="AK320" s="14"/>
      <c r="BB320" s="24"/>
    </row>
    <row r="321">
      <c r="B321" s="24"/>
      <c r="E321" s="113"/>
      <c r="F321" s="266"/>
      <c r="G321" s="113"/>
      <c r="K321" s="36"/>
      <c r="L321" s="117"/>
      <c r="M321" s="128"/>
      <c r="N321" s="117"/>
      <c r="R321" s="117"/>
      <c r="T321" s="117"/>
      <c r="V321" s="117"/>
      <c r="Z321" s="117"/>
      <c r="AA321" s="10"/>
      <c r="AB321" s="11"/>
      <c r="AC321" s="36"/>
      <c r="AD321" s="36"/>
      <c r="AE321" s="13"/>
      <c r="AF321" s="13"/>
      <c r="AG321" s="37"/>
      <c r="AH321" s="37"/>
      <c r="AI321" s="14"/>
      <c r="AJ321" s="14"/>
      <c r="AK321" s="14"/>
      <c r="BB321" s="24"/>
    </row>
    <row r="322">
      <c r="B322" s="24"/>
      <c r="E322" s="113"/>
      <c r="F322" s="266"/>
      <c r="G322" s="113"/>
      <c r="K322" s="36"/>
      <c r="L322" s="117"/>
      <c r="M322" s="128"/>
      <c r="N322" s="117"/>
      <c r="R322" s="117"/>
      <c r="T322" s="117"/>
      <c r="V322" s="117"/>
      <c r="Z322" s="117"/>
      <c r="AA322" s="10"/>
      <c r="AB322" s="11"/>
      <c r="AC322" s="36"/>
      <c r="AD322" s="36"/>
      <c r="AE322" s="13"/>
      <c r="AF322" s="13"/>
      <c r="AG322" s="37"/>
      <c r="AH322" s="37"/>
      <c r="AI322" s="14"/>
      <c r="AJ322" s="14"/>
      <c r="AK322" s="14"/>
      <c r="BB322" s="24"/>
    </row>
    <row r="323">
      <c r="B323" s="24"/>
      <c r="E323" s="113"/>
      <c r="F323" s="266"/>
      <c r="G323" s="113"/>
      <c r="K323" s="36"/>
      <c r="L323" s="117"/>
      <c r="M323" s="128"/>
      <c r="N323" s="117"/>
      <c r="R323" s="117"/>
      <c r="T323" s="117"/>
      <c r="V323" s="117"/>
      <c r="Z323" s="117"/>
      <c r="AA323" s="10"/>
      <c r="AB323" s="11"/>
      <c r="AC323" s="36"/>
      <c r="AD323" s="36"/>
      <c r="AE323" s="13"/>
      <c r="AF323" s="13"/>
      <c r="AG323" s="37"/>
      <c r="AH323" s="37"/>
      <c r="AI323" s="14"/>
      <c r="AJ323" s="14"/>
      <c r="AK323" s="14"/>
      <c r="BB323" s="24"/>
    </row>
    <row r="324">
      <c r="B324" s="24"/>
      <c r="E324" s="113"/>
      <c r="F324" s="266"/>
      <c r="G324" s="113"/>
      <c r="K324" s="36"/>
      <c r="L324" s="117"/>
      <c r="M324" s="128"/>
      <c r="N324" s="117"/>
      <c r="R324" s="117"/>
      <c r="T324" s="117"/>
      <c r="V324" s="117"/>
      <c r="Z324" s="117"/>
      <c r="AA324" s="10"/>
      <c r="AB324" s="11"/>
      <c r="AC324" s="36"/>
      <c r="AD324" s="36"/>
      <c r="AE324" s="13"/>
      <c r="AF324" s="13"/>
      <c r="AG324" s="37"/>
      <c r="AH324" s="37"/>
      <c r="AI324" s="14"/>
      <c r="AJ324" s="14"/>
      <c r="AK324" s="14"/>
      <c r="BB324" s="24"/>
    </row>
    <row r="325">
      <c r="B325" s="24"/>
      <c r="E325" s="113"/>
      <c r="F325" s="266"/>
      <c r="G325" s="113"/>
      <c r="K325" s="36"/>
      <c r="L325" s="117"/>
      <c r="M325" s="128"/>
      <c r="N325" s="117"/>
      <c r="R325" s="117"/>
      <c r="T325" s="117"/>
      <c r="V325" s="117"/>
      <c r="Z325" s="117"/>
      <c r="AA325" s="10"/>
      <c r="AB325" s="11"/>
      <c r="AC325" s="36"/>
      <c r="AD325" s="36"/>
      <c r="AE325" s="13"/>
      <c r="AF325" s="13"/>
      <c r="AG325" s="37"/>
      <c r="AH325" s="37"/>
      <c r="AI325" s="14"/>
      <c r="AJ325" s="14"/>
      <c r="AK325" s="14"/>
      <c r="BB325" s="24"/>
    </row>
    <row r="326">
      <c r="B326" s="24"/>
      <c r="E326" s="113"/>
      <c r="F326" s="266"/>
      <c r="G326" s="113"/>
      <c r="K326" s="36"/>
      <c r="L326" s="117"/>
      <c r="M326" s="128"/>
      <c r="N326" s="117"/>
      <c r="R326" s="117"/>
      <c r="T326" s="117"/>
      <c r="V326" s="117"/>
      <c r="Z326" s="117"/>
      <c r="AA326" s="10"/>
      <c r="AB326" s="11"/>
      <c r="AC326" s="36"/>
      <c r="AD326" s="36"/>
      <c r="AE326" s="13"/>
      <c r="AF326" s="13"/>
      <c r="AG326" s="37"/>
      <c r="AH326" s="37"/>
      <c r="AI326" s="14"/>
      <c r="AJ326" s="14"/>
      <c r="AK326" s="14"/>
      <c r="BB326" s="24"/>
    </row>
    <row r="327">
      <c r="B327" s="24"/>
      <c r="E327" s="113"/>
      <c r="F327" s="266"/>
      <c r="G327" s="113"/>
      <c r="K327" s="36"/>
      <c r="L327" s="117"/>
      <c r="M327" s="128"/>
      <c r="N327" s="117"/>
      <c r="R327" s="117"/>
      <c r="T327" s="117"/>
      <c r="V327" s="117"/>
      <c r="Z327" s="117"/>
      <c r="AA327" s="10"/>
      <c r="AB327" s="11"/>
      <c r="AC327" s="36"/>
      <c r="AD327" s="36"/>
      <c r="AE327" s="13"/>
      <c r="AF327" s="13"/>
      <c r="AG327" s="37"/>
      <c r="AH327" s="37"/>
      <c r="AI327" s="14"/>
      <c r="AJ327" s="14"/>
      <c r="AK327" s="14"/>
      <c r="BB327" s="24"/>
    </row>
    <row r="328">
      <c r="B328" s="24"/>
      <c r="E328" s="113"/>
      <c r="F328" s="266"/>
      <c r="G328" s="113"/>
      <c r="K328" s="36"/>
      <c r="L328" s="117"/>
      <c r="M328" s="128"/>
      <c r="N328" s="117"/>
      <c r="R328" s="117"/>
      <c r="T328" s="117"/>
      <c r="V328" s="117"/>
      <c r="Z328" s="117"/>
      <c r="AA328" s="10"/>
      <c r="AB328" s="11"/>
      <c r="AC328" s="36"/>
      <c r="AD328" s="36"/>
      <c r="AE328" s="13"/>
      <c r="AF328" s="13"/>
      <c r="AG328" s="37"/>
      <c r="AH328" s="37"/>
      <c r="AI328" s="14"/>
      <c r="AJ328" s="14"/>
      <c r="AK328" s="14"/>
      <c r="BB328" s="24"/>
    </row>
    <row r="329">
      <c r="B329" s="24"/>
      <c r="E329" s="113"/>
      <c r="F329" s="266"/>
      <c r="G329" s="113"/>
      <c r="K329" s="36"/>
      <c r="L329" s="117"/>
      <c r="M329" s="128"/>
      <c r="N329" s="117"/>
      <c r="R329" s="117"/>
      <c r="T329" s="117"/>
      <c r="V329" s="117"/>
      <c r="Z329" s="117"/>
      <c r="AA329" s="10"/>
      <c r="AB329" s="11"/>
      <c r="AC329" s="36"/>
      <c r="AD329" s="36"/>
      <c r="AE329" s="13"/>
      <c r="AF329" s="13"/>
      <c r="AG329" s="37"/>
      <c r="AH329" s="37"/>
      <c r="AI329" s="14"/>
      <c r="AJ329" s="14"/>
      <c r="AK329" s="14"/>
      <c r="BB329" s="24"/>
    </row>
    <row r="330">
      <c r="B330" s="24"/>
      <c r="E330" s="113"/>
      <c r="F330" s="266"/>
      <c r="G330" s="113"/>
      <c r="K330" s="36"/>
      <c r="L330" s="117"/>
      <c r="M330" s="128"/>
      <c r="N330" s="117"/>
      <c r="R330" s="117"/>
      <c r="T330" s="117"/>
      <c r="V330" s="117"/>
      <c r="Z330" s="117"/>
      <c r="AA330" s="10"/>
      <c r="AB330" s="11"/>
      <c r="AC330" s="36"/>
      <c r="AD330" s="36"/>
      <c r="AE330" s="13"/>
      <c r="AF330" s="13"/>
      <c r="AG330" s="37"/>
      <c r="AH330" s="37"/>
      <c r="AI330" s="14"/>
      <c r="AJ330" s="14"/>
      <c r="AK330" s="14"/>
      <c r="BB330" s="24"/>
    </row>
    <row r="331">
      <c r="B331" s="24"/>
      <c r="E331" s="113"/>
      <c r="F331" s="266"/>
      <c r="G331" s="113"/>
      <c r="K331" s="36"/>
      <c r="L331" s="117"/>
      <c r="M331" s="128"/>
      <c r="N331" s="117"/>
      <c r="R331" s="117"/>
      <c r="T331" s="117"/>
      <c r="V331" s="117"/>
      <c r="Z331" s="117"/>
      <c r="AA331" s="10"/>
      <c r="AB331" s="11"/>
      <c r="AC331" s="36"/>
      <c r="AD331" s="36"/>
      <c r="AE331" s="13"/>
      <c r="AF331" s="13"/>
      <c r="AG331" s="37"/>
      <c r="AH331" s="37"/>
      <c r="AI331" s="14"/>
      <c r="AJ331" s="14"/>
      <c r="AK331" s="14"/>
      <c r="BB331" s="24"/>
    </row>
    <row r="332">
      <c r="B332" s="24"/>
      <c r="E332" s="113"/>
      <c r="F332" s="266"/>
      <c r="G332" s="113"/>
      <c r="K332" s="36"/>
      <c r="L332" s="117"/>
      <c r="M332" s="128"/>
      <c r="N332" s="117"/>
      <c r="R332" s="117"/>
      <c r="T332" s="117"/>
      <c r="V332" s="117"/>
      <c r="Z332" s="117"/>
      <c r="AA332" s="10"/>
      <c r="AB332" s="11"/>
      <c r="AC332" s="36"/>
      <c r="AD332" s="36"/>
      <c r="AE332" s="13"/>
      <c r="AF332" s="13"/>
      <c r="AG332" s="37"/>
      <c r="AH332" s="37"/>
      <c r="AI332" s="14"/>
      <c r="AJ332" s="14"/>
      <c r="AK332" s="14"/>
      <c r="BB332" s="24"/>
    </row>
    <row r="333">
      <c r="B333" s="24"/>
      <c r="E333" s="113"/>
      <c r="F333" s="266"/>
      <c r="G333" s="113"/>
      <c r="K333" s="36"/>
      <c r="L333" s="117"/>
      <c r="M333" s="128"/>
      <c r="N333" s="117"/>
      <c r="R333" s="117"/>
      <c r="T333" s="117"/>
      <c r="V333" s="117"/>
      <c r="Z333" s="117"/>
      <c r="AA333" s="10"/>
      <c r="AB333" s="11"/>
      <c r="AC333" s="36"/>
      <c r="AD333" s="36"/>
      <c r="AE333" s="13"/>
      <c r="AF333" s="13"/>
      <c r="AG333" s="37"/>
      <c r="AH333" s="37"/>
      <c r="AI333" s="14"/>
      <c r="AJ333" s="14"/>
      <c r="AK333" s="14"/>
      <c r="BB333" s="24"/>
    </row>
    <row r="334">
      <c r="B334" s="24"/>
      <c r="E334" s="113"/>
      <c r="F334" s="266"/>
      <c r="G334" s="113"/>
      <c r="K334" s="36"/>
      <c r="L334" s="117"/>
      <c r="M334" s="128"/>
      <c r="N334" s="117"/>
      <c r="R334" s="117"/>
      <c r="T334" s="117"/>
      <c r="V334" s="117"/>
      <c r="Z334" s="117"/>
      <c r="AA334" s="10"/>
      <c r="AB334" s="11"/>
      <c r="AC334" s="36"/>
      <c r="AD334" s="36"/>
      <c r="AE334" s="13"/>
      <c r="AF334" s="13"/>
      <c r="AG334" s="37"/>
      <c r="AH334" s="37"/>
      <c r="AI334" s="14"/>
      <c r="AJ334" s="14"/>
      <c r="AK334" s="14"/>
      <c r="BB334" s="24"/>
    </row>
    <row r="335">
      <c r="B335" s="24"/>
      <c r="E335" s="113"/>
      <c r="F335" s="266"/>
      <c r="G335" s="113"/>
      <c r="K335" s="36"/>
      <c r="L335" s="117"/>
      <c r="M335" s="128"/>
      <c r="N335" s="117"/>
      <c r="R335" s="117"/>
      <c r="T335" s="117"/>
      <c r="V335" s="117"/>
      <c r="Z335" s="117"/>
      <c r="AA335" s="10"/>
      <c r="AB335" s="11"/>
      <c r="AC335" s="36"/>
      <c r="AD335" s="36"/>
      <c r="AE335" s="13"/>
      <c r="AF335" s="13"/>
      <c r="AG335" s="37"/>
      <c r="AH335" s="37"/>
      <c r="AI335" s="14"/>
      <c r="AJ335" s="14"/>
      <c r="AK335" s="14"/>
      <c r="BB335" s="24"/>
    </row>
    <row r="336">
      <c r="B336" s="24"/>
      <c r="E336" s="113"/>
      <c r="F336" s="266"/>
      <c r="G336" s="113"/>
      <c r="K336" s="36"/>
      <c r="L336" s="117"/>
      <c r="M336" s="128"/>
      <c r="N336" s="117"/>
      <c r="R336" s="117"/>
      <c r="T336" s="117"/>
      <c r="V336" s="117"/>
      <c r="Z336" s="117"/>
      <c r="AA336" s="10"/>
      <c r="AB336" s="11"/>
      <c r="AC336" s="36"/>
      <c r="AD336" s="36"/>
      <c r="AE336" s="13"/>
      <c r="AF336" s="13"/>
      <c r="AG336" s="37"/>
      <c r="AH336" s="37"/>
      <c r="AI336" s="14"/>
      <c r="AJ336" s="14"/>
      <c r="AK336" s="14"/>
      <c r="BB336" s="24"/>
    </row>
    <row r="337">
      <c r="B337" s="24"/>
      <c r="E337" s="113"/>
      <c r="F337" s="266"/>
      <c r="G337" s="113"/>
      <c r="K337" s="36"/>
      <c r="L337" s="117"/>
      <c r="M337" s="128"/>
      <c r="N337" s="117"/>
      <c r="R337" s="117"/>
      <c r="T337" s="117"/>
      <c r="V337" s="117"/>
      <c r="Z337" s="117"/>
      <c r="AA337" s="10"/>
      <c r="AB337" s="11"/>
      <c r="AC337" s="36"/>
      <c r="AD337" s="36"/>
      <c r="AE337" s="13"/>
      <c r="AF337" s="13"/>
      <c r="AG337" s="37"/>
      <c r="AH337" s="37"/>
      <c r="AI337" s="14"/>
      <c r="AJ337" s="14"/>
      <c r="AK337" s="14"/>
      <c r="BB337" s="24"/>
    </row>
    <row r="338">
      <c r="B338" s="24"/>
      <c r="E338" s="113"/>
      <c r="F338" s="266"/>
      <c r="G338" s="113"/>
      <c r="K338" s="36"/>
      <c r="L338" s="117"/>
      <c r="M338" s="128"/>
      <c r="N338" s="117"/>
      <c r="R338" s="117"/>
      <c r="T338" s="117"/>
      <c r="V338" s="117"/>
      <c r="Z338" s="117"/>
      <c r="AA338" s="10"/>
      <c r="AB338" s="11"/>
      <c r="AC338" s="36"/>
      <c r="AD338" s="36"/>
      <c r="AE338" s="13"/>
      <c r="AF338" s="13"/>
      <c r="AG338" s="37"/>
      <c r="AH338" s="37"/>
      <c r="AI338" s="14"/>
      <c r="AJ338" s="14"/>
      <c r="AK338" s="14"/>
      <c r="BB338" s="24"/>
    </row>
    <row r="339">
      <c r="B339" s="24"/>
      <c r="E339" s="113"/>
      <c r="F339" s="266"/>
      <c r="G339" s="113"/>
      <c r="K339" s="36"/>
      <c r="L339" s="117"/>
      <c r="M339" s="128"/>
      <c r="N339" s="117"/>
      <c r="R339" s="117"/>
      <c r="T339" s="117"/>
      <c r="V339" s="117"/>
      <c r="Z339" s="117"/>
      <c r="AA339" s="10"/>
      <c r="AB339" s="11"/>
      <c r="AC339" s="36"/>
      <c r="AD339" s="36"/>
      <c r="AE339" s="13"/>
      <c r="AF339" s="13"/>
      <c r="AG339" s="37"/>
      <c r="AH339" s="37"/>
      <c r="AI339" s="14"/>
      <c r="AJ339" s="14"/>
      <c r="AK339" s="14"/>
      <c r="BB339" s="24"/>
    </row>
    <row r="340">
      <c r="B340" s="24"/>
      <c r="E340" s="113"/>
      <c r="F340" s="266"/>
      <c r="G340" s="113"/>
      <c r="K340" s="36"/>
      <c r="L340" s="117"/>
      <c r="M340" s="128"/>
      <c r="N340" s="117"/>
      <c r="R340" s="117"/>
      <c r="T340" s="117"/>
      <c r="V340" s="117"/>
      <c r="Z340" s="117"/>
      <c r="AA340" s="10"/>
      <c r="AB340" s="11"/>
      <c r="AC340" s="36"/>
      <c r="AD340" s="36"/>
      <c r="AE340" s="13"/>
      <c r="AF340" s="13"/>
      <c r="AG340" s="37"/>
      <c r="AH340" s="37"/>
      <c r="AI340" s="14"/>
      <c r="AJ340" s="14"/>
      <c r="AK340" s="14"/>
      <c r="BB340" s="24"/>
    </row>
    <row r="341">
      <c r="B341" s="24"/>
      <c r="E341" s="113"/>
      <c r="F341" s="266"/>
      <c r="G341" s="113"/>
      <c r="K341" s="36"/>
      <c r="L341" s="117"/>
      <c r="M341" s="128"/>
      <c r="N341" s="117"/>
      <c r="R341" s="117"/>
      <c r="T341" s="117"/>
      <c r="V341" s="117"/>
      <c r="Z341" s="117"/>
      <c r="AA341" s="10"/>
      <c r="AB341" s="11"/>
      <c r="AC341" s="36"/>
      <c r="AD341" s="36"/>
      <c r="AE341" s="13"/>
      <c r="AF341" s="13"/>
      <c r="AG341" s="37"/>
      <c r="AH341" s="37"/>
      <c r="AI341" s="14"/>
      <c r="AJ341" s="14"/>
      <c r="AK341" s="14"/>
      <c r="BB341" s="24"/>
    </row>
    <row r="342">
      <c r="B342" s="24"/>
      <c r="E342" s="113"/>
      <c r="F342" s="266"/>
      <c r="G342" s="113"/>
      <c r="K342" s="36"/>
      <c r="L342" s="117"/>
      <c r="M342" s="128"/>
      <c r="N342" s="117"/>
      <c r="R342" s="117"/>
      <c r="T342" s="117"/>
      <c r="V342" s="117"/>
      <c r="Z342" s="117"/>
      <c r="AA342" s="10"/>
      <c r="AB342" s="11"/>
      <c r="AC342" s="36"/>
      <c r="AD342" s="36"/>
      <c r="AE342" s="13"/>
      <c r="AF342" s="13"/>
      <c r="AG342" s="37"/>
      <c r="AH342" s="37"/>
      <c r="AI342" s="14"/>
      <c r="AJ342" s="14"/>
      <c r="AK342" s="14"/>
      <c r="BB342" s="24"/>
    </row>
    <row r="343">
      <c r="B343" s="24"/>
      <c r="E343" s="113"/>
      <c r="F343" s="266"/>
      <c r="G343" s="113"/>
      <c r="K343" s="36"/>
      <c r="L343" s="117"/>
      <c r="M343" s="128"/>
      <c r="N343" s="117"/>
      <c r="R343" s="117"/>
      <c r="T343" s="117"/>
      <c r="V343" s="117"/>
      <c r="Z343" s="117"/>
      <c r="AA343" s="10"/>
      <c r="AB343" s="11"/>
      <c r="AC343" s="36"/>
      <c r="AD343" s="36"/>
      <c r="AE343" s="13"/>
      <c r="AF343" s="13"/>
      <c r="AG343" s="37"/>
      <c r="AH343" s="37"/>
      <c r="AI343" s="14"/>
      <c r="AJ343" s="14"/>
      <c r="AK343" s="14"/>
      <c r="BB343" s="24"/>
    </row>
    <row r="344">
      <c r="B344" s="24"/>
      <c r="E344" s="113"/>
      <c r="F344" s="266"/>
      <c r="G344" s="113"/>
      <c r="K344" s="36"/>
      <c r="L344" s="117"/>
      <c r="M344" s="128"/>
      <c r="N344" s="117"/>
      <c r="R344" s="117"/>
      <c r="T344" s="117"/>
      <c r="V344" s="117"/>
      <c r="Z344" s="117"/>
      <c r="AA344" s="10"/>
      <c r="AB344" s="11"/>
      <c r="AC344" s="36"/>
      <c r="AD344" s="36"/>
      <c r="AE344" s="13"/>
      <c r="AF344" s="13"/>
      <c r="AG344" s="37"/>
      <c r="AH344" s="37"/>
      <c r="AI344" s="14"/>
      <c r="AJ344" s="14"/>
      <c r="AK344" s="14"/>
      <c r="BB344" s="24"/>
    </row>
    <row r="345">
      <c r="B345" s="24"/>
      <c r="E345" s="113"/>
      <c r="F345" s="266"/>
      <c r="G345" s="113"/>
      <c r="K345" s="36"/>
      <c r="L345" s="117"/>
      <c r="M345" s="128"/>
      <c r="N345" s="117"/>
      <c r="R345" s="117"/>
      <c r="T345" s="117"/>
      <c r="V345" s="117"/>
      <c r="Z345" s="117"/>
      <c r="AA345" s="10"/>
      <c r="AB345" s="11"/>
      <c r="AC345" s="36"/>
      <c r="AD345" s="36"/>
      <c r="AE345" s="13"/>
      <c r="AF345" s="13"/>
      <c r="AG345" s="37"/>
      <c r="AH345" s="37"/>
      <c r="AI345" s="14"/>
      <c r="AJ345" s="14"/>
      <c r="AK345" s="14"/>
      <c r="BB345" s="24"/>
    </row>
    <row r="346">
      <c r="B346" s="24"/>
      <c r="E346" s="113"/>
      <c r="F346" s="266"/>
      <c r="G346" s="113"/>
      <c r="K346" s="36"/>
      <c r="L346" s="117"/>
      <c r="M346" s="128"/>
      <c r="N346" s="117"/>
      <c r="R346" s="117"/>
      <c r="T346" s="117"/>
      <c r="V346" s="117"/>
      <c r="Z346" s="117"/>
      <c r="AA346" s="10"/>
      <c r="AB346" s="11"/>
      <c r="AC346" s="36"/>
      <c r="AD346" s="36"/>
      <c r="AE346" s="13"/>
      <c r="AF346" s="13"/>
      <c r="AG346" s="37"/>
      <c r="AH346" s="37"/>
      <c r="AI346" s="14"/>
      <c r="AJ346" s="14"/>
      <c r="AK346" s="14"/>
      <c r="BB346" s="24"/>
    </row>
    <row r="347">
      <c r="B347" s="24"/>
      <c r="E347" s="113"/>
      <c r="F347" s="266"/>
      <c r="G347" s="113"/>
      <c r="K347" s="36"/>
      <c r="L347" s="117"/>
      <c r="M347" s="128"/>
      <c r="N347" s="117"/>
      <c r="R347" s="117"/>
      <c r="T347" s="117"/>
      <c r="V347" s="117"/>
      <c r="Z347" s="117"/>
      <c r="AA347" s="10"/>
      <c r="AB347" s="11"/>
      <c r="AC347" s="36"/>
      <c r="AD347" s="36"/>
      <c r="AE347" s="13"/>
      <c r="AF347" s="13"/>
      <c r="AG347" s="37"/>
      <c r="AH347" s="37"/>
      <c r="AI347" s="14"/>
      <c r="AJ347" s="14"/>
      <c r="AK347" s="14"/>
      <c r="BB347" s="24"/>
    </row>
    <row r="348">
      <c r="B348" s="24"/>
      <c r="E348" s="113"/>
      <c r="F348" s="266"/>
      <c r="G348" s="113"/>
      <c r="K348" s="36"/>
      <c r="L348" s="117"/>
      <c r="M348" s="128"/>
      <c r="N348" s="117"/>
      <c r="R348" s="117"/>
      <c r="T348" s="117"/>
      <c r="V348" s="117"/>
      <c r="Z348" s="117"/>
      <c r="AA348" s="10"/>
      <c r="AB348" s="11"/>
      <c r="AC348" s="36"/>
      <c r="AD348" s="36"/>
      <c r="AE348" s="13"/>
      <c r="AF348" s="13"/>
      <c r="AG348" s="37"/>
      <c r="AH348" s="37"/>
      <c r="AI348" s="14"/>
      <c r="AJ348" s="14"/>
      <c r="AK348" s="14"/>
      <c r="BB348" s="24"/>
    </row>
    <row r="349">
      <c r="B349" s="24"/>
      <c r="E349" s="113"/>
      <c r="F349" s="266"/>
      <c r="G349" s="113"/>
      <c r="K349" s="36"/>
      <c r="L349" s="117"/>
      <c r="M349" s="128"/>
      <c r="N349" s="117"/>
      <c r="R349" s="117"/>
      <c r="T349" s="117"/>
      <c r="V349" s="117"/>
      <c r="Z349" s="117"/>
      <c r="AA349" s="10"/>
      <c r="AB349" s="11"/>
      <c r="AC349" s="36"/>
      <c r="AD349" s="36"/>
      <c r="AE349" s="13"/>
      <c r="AF349" s="13"/>
      <c r="AG349" s="37"/>
      <c r="AH349" s="37"/>
      <c r="AI349" s="14"/>
      <c r="AJ349" s="14"/>
      <c r="AK349" s="14"/>
      <c r="BB349" s="24"/>
    </row>
    <row r="350">
      <c r="B350" s="24"/>
      <c r="E350" s="113"/>
      <c r="F350" s="266"/>
      <c r="G350" s="113"/>
      <c r="K350" s="36"/>
      <c r="L350" s="117"/>
      <c r="M350" s="128"/>
      <c r="N350" s="117"/>
      <c r="R350" s="117"/>
      <c r="T350" s="117"/>
      <c r="V350" s="117"/>
      <c r="Z350" s="117"/>
      <c r="AA350" s="10"/>
      <c r="AB350" s="11"/>
      <c r="AC350" s="36"/>
      <c r="AD350" s="36"/>
      <c r="AE350" s="13"/>
      <c r="AF350" s="13"/>
      <c r="AG350" s="37"/>
      <c r="AH350" s="37"/>
      <c r="AI350" s="14"/>
      <c r="AJ350" s="14"/>
      <c r="AK350" s="14"/>
      <c r="BB350" s="24"/>
    </row>
    <row r="351">
      <c r="B351" s="24"/>
      <c r="E351" s="113"/>
      <c r="F351" s="266"/>
      <c r="G351" s="113"/>
      <c r="K351" s="36"/>
      <c r="L351" s="117"/>
      <c r="M351" s="128"/>
      <c r="N351" s="117"/>
      <c r="R351" s="117"/>
      <c r="T351" s="117"/>
      <c r="V351" s="117"/>
      <c r="Z351" s="117"/>
      <c r="AA351" s="10"/>
      <c r="AB351" s="11"/>
      <c r="AC351" s="36"/>
      <c r="AD351" s="36"/>
      <c r="AE351" s="13"/>
      <c r="AF351" s="13"/>
      <c r="AG351" s="37"/>
      <c r="AH351" s="37"/>
      <c r="AI351" s="14"/>
      <c r="AJ351" s="14"/>
      <c r="AK351" s="14"/>
      <c r="BB351" s="24"/>
    </row>
    <row r="352">
      <c r="B352" s="24"/>
      <c r="E352" s="113"/>
      <c r="F352" s="266"/>
      <c r="G352" s="113"/>
      <c r="K352" s="36"/>
      <c r="L352" s="117"/>
      <c r="M352" s="128"/>
      <c r="N352" s="117"/>
      <c r="R352" s="117"/>
      <c r="T352" s="117"/>
      <c r="V352" s="117"/>
      <c r="Z352" s="117"/>
      <c r="AA352" s="10"/>
      <c r="AB352" s="11"/>
      <c r="AC352" s="36"/>
      <c r="AD352" s="36"/>
      <c r="AE352" s="13"/>
      <c r="AF352" s="13"/>
      <c r="AG352" s="37"/>
      <c r="AH352" s="37"/>
      <c r="AI352" s="14"/>
      <c r="AJ352" s="14"/>
      <c r="AK352" s="14"/>
      <c r="BB352" s="24"/>
    </row>
    <row r="353">
      <c r="B353" s="24"/>
      <c r="E353" s="113"/>
      <c r="F353" s="266"/>
      <c r="G353" s="113"/>
      <c r="K353" s="36"/>
      <c r="L353" s="117"/>
      <c r="M353" s="128"/>
      <c r="N353" s="117"/>
      <c r="R353" s="117"/>
      <c r="T353" s="117"/>
      <c r="V353" s="117"/>
      <c r="Z353" s="117"/>
      <c r="AA353" s="10"/>
      <c r="AB353" s="11"/>
      <c r="AC353" s="36"/>
      <c r="AD353" s="36"/>
      <c r="AE353" s="13"/>
      <c r="AF353" s="13"/>
      <c r="AG353" s="37"/>
      <c r="AH353" s="37"/>
      <c r="AI353" s="14"/>
      <c r="AJ353" s="14"/>
      <c r="AK353" s="14"/>
      <c r="BB353" s="24"/>
    </row>
    <row r="354">
      <c r="B354" s="24"/>
      <c r="E354" s="113"/>
      <c r="F354" s="266"/>
      <c r="G354" s="113"/>
      <c r="K354" s="36"/>
      <c r="L354" s="117"/>
      <c r="M354" s="128"/>
      <c r="N354" s="117"/>
      <c r="R354" s="117"/>
      <c r="T354" s="117"/>
      <c r="V354" s="117"/>
      <c r="Z354" s="117"/>
      <c r="AA354" s="10"/>
      <c r="AB354" s="11"/>
      <c r="AC354" s="36"/>
      <c r="AD354" s="36"/>
      <c r="AE354" s="13"/>
      <c r="AF354" s="13"/>
      <c r="AG354" s="37"/>
      <c r="AH354" s="37"/>
      <c r="AI354" s="14"/>
      <c r="AJ354" s="14"/>
      <c r="AK354" s="14"/>
      <c r="BB354" s="24"/>
    </row>
    <row r="355">
      <c r="B355" s="24"/>
      <c r="E355" s="113"/>
      <c r="F355" s="266"/>
      <c r="G355" s="113"/>
      <c r="K355" s="36"/>
      <c r="L355" s="117"/>
      <c r="M355" s="128"/>
      <c r="N355" s="117"/>
      <c r="R355" s="117"/>
      <c r="T355" s="117"/>
      <c r="V355" s="117"/>
      <c r="Z355" s="117"/>
      <c r="AA355" s="10"/>
      <c r="AB355" s="11"/>
      <c r="AC355" s="36"/>
      <c r="AD355" s="36"/>
      <c r="AE355" s="13"/>
      <c r="AF355" s="13"/>
      <c r="AG355" s="37"/>
      <c r="AH355" s="37"/>
      <c r="AI355" s="14"/>
      <c r="AJ355" s="14"/>
      <c r="AK355" s="14"/>
      <c r="BB355" s="24"/>
    </row>
    <row r="356">
      <c r="B356" s="24"/>
      <c r="E356" s="113"/>
      <c r="F356" s="266"/>
      <c r="G356" s="113"/>
      <c r="K356" s="36"/>
      <c r="L356" s="117"/>
      <c r="M356" s="128"/>
      <c r="N356" s="117"/>
      <c r="R356" s="117"/>
      <c r="T356" s="117"/>
      <c r="V356" s="117"/>
      <c r="Z356" s="117"/>
      <c r="AA356" s="10"/>
      <c r="AB356" s="11"/>
      <c r="AC356" s="36"/>
      <c r="AD356" s="36"/>
      <c r="AE356" s="13"/>
      <c r="AF356" s="13"/>
      <c r="AG356" s="37"/>
      <c r="AH356" s="37"/>
      <c r="AI356" s="14"/>
      <c r="AJ356" s="14"/>
      <c r="AK356" s="14"/>
      <c r="BB356" s="24"/>
    </row>
    <row r="357">
      <c r="B357" s="24"/>
      <c r="E357" s="113"/>
      <c r="F357" s="266"/>
      <c r="G357" s="113"/>
      <c r="K357" s="36"/>
      <c r="L357" s="117"/>
      <c r="M357" s="128"/>
      <c r="N357" s="117"/>
      <c r="R357" s="117"/>
      <c r="T357" s="117"/>
      <c r="V357" s="117"/>
      <c r="Z357" s="117"/>
      <c r="AA357" s="10"/>
      <c r="AB357" s="11"/>
      <c r="AC357" s="36"/>
      <c r="AD357" s="36"/>
      <c r="AE357" s="13"/>
      <c r="AF357" s="13"/>
      <c r="AG357" s="37"/>
      <c r="AH357" s="37"/>
      <c r="AI357" s="14"/>
      <c r="AJ357" s="14"/>
      <c r="AK357" s="14"/>
      <c r="BB357" s="24"/>
    </row>
    <row r="358">
      <c r="B358" s="24"/>
      <c r="E358" s="113"/>
      <c r="F358" s="266"/>
      <c r="G358" s="113"/>
      <c r="K358" s="36"/>
      <c r="L358" s="117"/>
      <c r="M358" s="128"/>
      <c r="N358" s="117"/>
      <c r="R358" s="117"/>
      <c r="T358" s="117"/>
      <c r="V358" s="117"/>
      <c r="Z358" s="117"/>
      <c r="AA358" s="10"/>
      <c r="AB358" s="11"/>
      <c r="AC358" s="36"/>
      <c r="AD358" s="36"/>
      <c r="AE358" s="13"/>
      <c r="AF358" s="13"/>
      <c r="AG358" s="37"/>
      <c r="AH358" s="37"/>
      <c r="AI358" s="14"/>
      <c r="AJ358" s="14"/>
      <c r="AK358" s="14"/>
      <c r="BB358" s="24"/>
    </row>
    <row r="359">
      <c r="B359" s="24"/>
      <c r="E359" s="113"/>
      <c r="F359" s="266"/>
      <c r="G359" s="113"/>
      <c r="K359" s="36"/>
      <c r="L359" s="117"/>
      <c r="M359" s="128"/>
      <c r="N359" s="117"/>
      <c r="R359" s="117"/>
      <c r="T359" s="117"/>
      <c r="V359" s="117"/>
      <c r="Z359" s="117"/>
      <c r="AA359" s="10"/>
      <c r="AB359" s="11"/>
      <c r="AC359" s="36"/>
      <c r="AD359" s="36"/>
      <c r="AE359" s="13"/>
      <c r="AF359" s="13"/>
      <c r="AG359" s="37"/>
      <c r="AH359" s="37"/>
      <c r="AI359" s="14"/>
      <c r="AJ359" s="14"/>
      <c r="AK359" s="14"/>
      <c r="BB359" s="24"/>
    </row>
    <row r="360">
      <c r="B360" s="24"/>
      <c r="E360" s="113"/>
      <c r="F360" s="266"/>
      <c r="G360" s="113"/>
      <c r="K360" s="36"/>
      <c r="L360" s="117"/>
      <c r="M360" s="128"/>
      <c r="N360" s="117"/>
      <c r="R360" s="117"/>
      <c r="T360" s="117"/>
      <c r="V360" s="117"/>
      <c r="Z360" s="117"/>
      <c r="AA360" s="10"/>
      <c r="AB360" s="11"/>
      <c r="AC360" s="36"/>
      <c r="AD360" s="36"/>
      <c r="AE360" s="13"/>
      <c r="AF360" s="13"/>
      <c r="AG360" s="37"/>
      <c r="AH360" s="37"/>
      <c r="AI360" s="14"/>
      <c r="AJ360" s="14"/>
      <c r="AK360" s="14"/>
      <c r="BB360" s="24"/>
    </row>
    <row r="361">
      <c r="B361" s="24"/>
      <c r="E361" s="113"/>
      <c r="F361" s="266"/>
      <c r="G361" s="113"/>
      <c r="K361" s="36"/>
      <c r="L361" s="117"/>
      <c r="M361" s="128"/>
      <c r="N361" s="117"/>
      <c r="R361" s="117"/>
      <c r="T361" s="117"/>
      <c r="V361" s="117"/>
      <c r="Z361" s="117"/>
      <c r="AA361" s="10"/>
      <c r="AB361" s="11"/>
      <c r="AC361" s="36"/>
      <c r="AD361" s="36"/>
      <c r="AE361" s="13"/>
      <c r="AF361" s="13"/>
      <c r="AG361" s="37"/>
      <c r="AH361" s="37"/>
      <c r="AI361" s="14"/>
      <c r="AJ361" s="14"/>
      <c r="AK361" s="14"/>
      <c r="BB361" s="24"/>
    </row>
    <row r="362">
      <c r="B362" s="24"/>
      <c r="E362" s="113"/>
      <c r="F362" s="266"/>
      <c r="G362" s="113"/>
      <c r="K362" s="36"/>
      <c r="L362" s="117"/>
      <c r="M362" s="128"/>
      <c r="N362" s="117"/>
      <c r="R362" s="117"/>
      <c r="T362" s="117"/>
      <c r="V362" s="117"/>
      <c r="Z362" s="117"/>
      <c r="AA362" s="10"/>
      <c r="AB362" s="11"/>
      <c r="AC362" s="36"/>
      <c r="AD362" s="36"/>
      <c r="AE362" s="13"/>
      <c r="AF362" s="13"/>
      <c r="AG362" s="37"/>
      <c r="AH362" s="37"/>
      <c r="AI362" s="14"/>
      <c r="AJ362" s="14"/>
      <c r="AK362" s="14"/>
      <c r="BB362" s="24"/>
    </row>
    <row r="363">
      <c r="B363" s="24"/>
      <c r="E363" s="113"/>
      <c r="F363" s="266"/>
      <c r="G363" s="113"/>
      <c r="K363" s="36"/>
      <c r="L363" s="117"/>
      <c r="M363" s="128"/>
      <c r="N363" s="117"/>
      <c r="R363" s="117"/>
      <c r="T363" s="117"/>
      <c r="V363" s="117"/>
      <c r="Z363" s="117"/>
      <c r="AA363" s="10"/>
      <c r="AB363" s="11"/>
      <c r="AC363" s="36"/>
      <c r="AD363" s="36"/>
      <c r="AE363" s="13"/>
      <c r="AF363" s="13"/>
      <c r="AG363" s="37"/>
      <c r="AH363" s="37"/>
      <c r="AI363" s="14"/>
      <c r="AJ363" s="14"/>
      <c r="AK363" s="14"/>
      <c r="BB363" s="24"/>
    </row>
    <row r="364">
      <c r="B364" s="24"/>
      <c r="E364" s="113"/>
      <c r="F364" s="266"/>
      <c r="G364" s="113"/>
      <c r="K364" s="36"/>
      <c r="L364" s="117"/>
      <c r="M364" s="128"/>
      <c r="N364" s="117"/>
      <c r="R364" s="117"/>
      <c r="T364" s="117"/>
      <c r="V364" s="117"/>
      <c r="Z364" s="117"/>
      <c r="AA364" s="10"/>
      <c r="AB364" s="11"/>
      <c r="AC364" s="36"/>
      <c r="AD364" s="36"/>
      <c r="AE364" s="13"/>
      <c r="AF364" s="13"/>
      <c r="AG364" s="37"/>
      <c r="AH364" s="37"/>
      <c r="AI364" s="14"/>
      <c r="AJ364" s="14"/>
      <c r="AK364" s="14"/>
      <c r="BB364" s="24"/>
    </row>
    <row r="365">
      <c r="B365" s="24"/>
      <c r="E365" s="113"/>
      <c r="F365" s="266"/>
      <c r="G365" s="113"/>
      <c r="K365" s="36"/>
      <c r="L365" s="117"/>
      <c r="M365" s="128"/>
      <c r="N365" s="117"/>
      <c r="R365" s="117"/>
      <c r="T365" s="117"/>
      <c r="V365" s="117"/>
      <c r="Z365" s="117"/>
      <c r="AA365" s="10"/>
      <c r="AB365" s="11"/>
      <c r="AC365" s="36"/>
      <c r="AD365" s="36"/>
      <c r="AE365" s="13"/>
      <c r="AF365" s="13"/>
      <c r="AG365" s="37"/>
      <c r="AH365" s="37"/>
      <c r="AI365" s="14"/>
      <c r="AJ365" s="14"/>
      <c r="AK365" s="14"/>
      <c r="BB365" s="24"/>
    </row>
    <row r="366">
      <c r="B366" s="24"/>
      <c r="E366" s="113"/>
      <c r="F366" s="266"/>
      <c r="G366" s="113"/>
      <c r="K366" s="36"/>
      <c r="L366" s="117"/>
      <c r="M366" s="128"/>
      <c r="N366" s="117"/>
      <c r="R366" s="117"/>
      <c r="T366" s="117"/>
      <c r="V366" s="117"/>
      <c r="Z366" s="117"/>
      <c r="AA366" s="10"/>
      <c r="AB366" s="11"/>
      <c r="AC366" s="36"/>
      <c r="AD366" s="36"/>
      <c r="AE366" s="13"/>
      <c r="AF366" s="13"/>
      <c r="AG366" s="37"/>
      <c r="AH366" s="37"/>
      <c r="AI366" s="14"/>
      <c r="AJ366" s="14"/>
      <c r="AK366" s="14"/>
      <c r="BB366" s="24"/>
    </row>
    <row r="367">
      <c r="B367" s="24"/>
      <c r="E367" s="113"/>
      <c r="F367" s="266"/>
      <c r="G367" s="113"/>
      <c r="K367" s="36"/>
      <c r="L367" s="117"/>
      <c r="M367" s="128"/>
      <c r="N367" s="117"/>
      <c r="R367" s="117"/>
      <c r="T367" s="117"/>
      <c r="V367" s="117"/>
      <c r="Z367" s="117"/>
      <c r="AA367" s="10"/>
      <c r="AB367" s="11"/>
      <c r="AC367" s="36"/>
      <c r="AD367" s="36"/>
      <c r="AE367" s="13"/>
      <c r="AF367" s="13"/>
      <c r="AG367" s="37"/>
      <c r="AH367" s="37"/>
      <c r="AI367" s="14"/>
      <c r="AJ367" s="14"/>
      <c r="AK367" s="14"/>
      <c r="BB367" s="24"/>
    </row>
    <row r="368">
      <c r="B368" s="24"/>
      <c r="E368" s="113"/>
      <c r="F368" s="266"/>
      <c r="G368" s="113"/>
      <c r="K368" s="36"/>
      <c r="L368" s="117"/>
      <c r="M368" s="128"/>
      <c r="N368" s="117"/>
      <c r="R368" s="117"/>
      <c r="T368" s="117"/>
      <c r="V368" s="117"/>
      <c r="Z368" s="117"/>
      <c r="AA368" s="10"/>
      <c r="AB368" s="11"/>
      <c r="AC368" s="36"/>
      <c r="AD368" s="36"/>
      <c r="AE368" s="13"/>
      <c r="AF368" s="13"/>
      <c r="AG368" s="37"/>
      <c r="AH368" s="37"/>
      <c r="AI368" s="14"/>
      <c r="AJ368" s="14"/>
      <c r="AK368" s="14"/>
      <c r="BB368" s="24"/>
    </row>
    <row r="369">
      <c r="B369" s="24"/>
      <c r="E369" s="113"/>
      <c r="F369" s="266"/>
      <c r="G369" s="113"/>
      <c r="K369" s="36"/>
      <c r="L369" s="117"/>
      <c r="M369" s="128"/>
      <c r="N369" s="117"/>
      <c r="R369" s="117"/>
      <c r="T369" s="117"/>
      <c r="V369" s="117"/>
      <c r="Z369" s="117"/>
      <c r="AA369" s="10"/>
      <c r="AB369" s="11"/>
      <c r="AC369" s="36"/>
      <c r="AD369" s="36"/>
      <c r="AE369" s="13"/>
      <c r="AF369" s="13"/>
      <c r="AG369" s="37"/>
      <c r="AH369" s="37"/>
      <c r="AI369" s="14"/>
      <c r="AJ369" s="14"/>
      <c r="AK369" s="14"/>
      <c r="BB369" s="24"/>
    </row>
    <row r="370">
      <c r="B370" s="24"/>
      <c r="E370" s="113"/>
      <c r="F370" s="266"/>
      <c r="G370" s="113"/>
      <c r="K370" s="36"/>
      <c r="L370" s="117"/>
      <c r="M370" s="128"/>
      <c r="N370" s="117"/>
      <c r="R370" s="117"/>
      <c r="T370" s="117"/>
      <c r="V370" s="117"/>
      <c r="Z370" s="117"/>
      <c r="AA370" s="10"/>
      <c r="AB370" s="11"/>
      <c r="AC370" s="36"/>
      <c r="AD370" s="36"/>
      <c r="AE370" s="13"/>
      <c r="AF370" s="13"/>
      <c r="AG370" s="37"/>
      <c r="AH370" s="37"/>
      <c r="AI370" s="14"/>
      <c r="AJ370" s="14"/>
      <c r="AK370" s="14"/>
      <c r="BB370" s="24"/>
    </row>
    <row r="371">
      <c r="B371" s="24"/>
      <c r="E371" s="113"/>
      <c r="F371" s="266"/>
      <c r="G371" s="113"/>
      <c r="K371" s="36"/>
      <c r="L371" s="117"/>
      <c r="M371" s="128"/>
      <c r="N371" s="117"/>
      <c r="R371" s="117"/>
      <c r="T371" s="117"/>
      <c r="V371" s="117"/>
      <c r="Z371" s="117"/>
      <c r="AA371" s="10"/>
      <c r="AB371" s="11"/>
      <c r="AC371" s="36"/>
      <c r="AD371" s="36"/>
      <c r="AE371" s="13"/>
      <c r="AF371" s="13"/>
      <c r="AG371" s="37"/>
      <c r="AH371" s="37"/>
      <c r="AI371" s="14"/>
      <c r="AJ371" s="14"/>
      <c r="AK371" s="14"/>
      <c r="BB371" s="24"/>
    </row>
    <row r="372">
      <c r="B372" s="24"/>
      <c r="E372" s="113"/>
      <c r="F372" s="266"/>
      <c r="G372" s="113"/>
      <c r="K372" s="36"/>
      <c r="L372" s="117"/>
      <c r="M372" s="128"/>
      <c r="N372" s="117"/>
      <c r="R372" s="117"/>
      <c r="T372" s="117"/>
      <c r="V372" s="117"/>
      <c r="Z372" s="117"/>
      <c r="AA372" s="10"/>
      <c r="AB372" s="11"/>
      <c r="AC372" s="36"/>
      <c r="AD372" s="36"/>
      <c r="AE372" s="13"/>
      <c r="AF372" s="13"/>
      <c r="AG372" s="37"/>
      <c r="AH372" s="37"/>
      <c r="AI372" s="14"/>
      <c r="AJ372" s="14"/>
      <c r="AK372" s="14"/>
      <c r="BB372" s="24"/>
    </row>
    <row r="373">
      <c r="B373" s="24"/>
      <c r="E373" s="113"/>
      <c r="F373" s="266"/>
      <c r="G373" s="113"/>
      <c r="K373" s="36"/>
      <c r="L373" s="117"/>
      <c r="M373" s="128"/>
      <c r="N373" s="117"/>
      <c r="R373" s="117"/>
      <c r="T373" s="117"/>
      <c r="V373" s="117"/>
      <c r="Z373" s="117"/>
      <c r="AA373" s="10"/>
      <c r="AB373" s="11"/>
      <c r="AC373" s="36"/>
      <c r="AD373" s="36"/>
      <c r="AE373" s="13"/>
      <c r="AF373" s="13"/>
      <c r="AG373" s="37"/>
      <c r="AH373" s="37"/>
      <c r="AI373" s="14"/>
      <c r="AJ373" s="14"/>
      <c r="AK373" s="14"/>
      <c r="BB373" s="24"/>
    </row>
    <row r="374">
      <c r="B374" s="24"/>
      <c r="E374" s="113"/>
      <c r="F374" s="266"/>
      <c r="G374" s="113"/>
      <c r="K374" s="36"/>
      <c r="L374" s="117"/>
      <c r="M374" s="128"/>
      <c r="N374" s="117"/>
      <c r="R374" s="117"/>
      <c r="T374" s="117"/>
      <c r="V374" s="117"/>
      <c r="Z374" s="117"/>
      <c r="AA374" s="10"/>
      <c r="AB374" s="11"/>
      <c r="AC374" s="36"/>
      <c r="AD374" s="36"/>
      <c r="AE374" s="13"/>
      <c r="AF374" s="13"/>
      <c r="AG374" s="37"/>
      <c r="AH374" s="37"/>
      <c r="AI374" s="14"/>
      <c r="AJ374" s="14"/>
      <c r="AK374" s="14"/>
      <c r="BB374" s="24"/>
    </row>
    <row r="375">
      <c r="B375" s="24"/>
      <c r="E375" s="113"/>
      <c r="F375" s="266"/>
      <c r="G375" s="113"/>
      <c r="K375" s="36"/>
      <c r="L375" s="117"/>
      <c r="M375" s="128"/>
      <c r="N375" s="117"/>
      <c r="R375" s="117"/>
      <c r="T375" s="117"/>
      <c r="V375" s="117"/>
      <c r="Z375" s="117"/>
      <c r="AA375" s="10"/>
      <c r="AB375" s="11"/>
      <c r="AC375" s="36"/>
      <c r="AD375" s="36"/>
      <c r="AE375" s="13"/>
      <c r="AF375" s="13"/>
      <c r="AG375" s="37"/>
      <c r="AH375" s="37"/>
      <c r="AI375" s="14"/>
      <c r="AJ375" s="14"/>
      <c r="AK375" s="14"/>
      <c r="BB375" s="24"/>
    </row>
    <row r="376">
      <c r="B376" s="24"/>
      <c r="E376" s="113"/>
      <c r="F376" s="266"/>
      <c r="G376" s="113"/>
      <c r="K376" s="36"/>
      <c r="L376" s="117"/>
      <c r="M376" s="128"/>
      <c r="N376" s="117"/>
      <c r="R376" s="117"/>
      <c r="T376" s="117"/>
      <c r="V376" s="117"/>
      <c r="Z376" s="117"/>
      <c r="AA376" s="10"/>
      <c r="AB376" s="11"/>
      <c r="AC376" s="36"/>
      <c r="AD376" s="36"/>
      <c r="AE376" s="13"/>
      <c r="AF376" s="13"/>
      <c r="AG376" s="37"/>
      <c r="AH376" s="37"/>
      <c r="AI376" s="14"/>
      <c r="AJ376" s="14"/>
      <c r="AK376" s="14"/>
      <c r="BB376" s="24"/>
    </row>
    <row r="377">
      <c r="B377" s="24"/>
      <c r="E377" s="113"/>
      <c r="F377" s="266"/>
      <c r="G377" s="113"/>
      <c r="K377" s="36"/>
      <c r="L377" s="117"/>
      <c r="M377" s="128"/>
      <c r="N377" s="117"/>
      <c r="R377" s="117"/>
      <c r="T377" s="117"/>
      <c r="V377" s="117"/>
      <c r="Z377" s="117"/>
      <c r="AA377" s="10"/>
      <c r="AB377" s="11"/>
      <c r="AC377" s="36"/>
      <c r="AD377" s="36"/>
      <c r="AE377" s="13"/>
      <c r="AF377" s="13"/>
      <c r="AG377" s="37"/>
      <c r="AH377" s="37"/>
      <c r="AI377" s="14"/>
      <c r="AJ377" s="14"/>
      <c r="AK377" s="14"/>
      <c r="BB377" s="24"/>
    </row>
    <row r="378">
      <c r="B378" s="24"/>
      <c r="E378" s="113"/>
      <c r="F378" s="266"/>
      <c r="G378" s="113"/>
      <c r="K378" s="36"/>
      <c r="L378" s="117"/>
      <c r="M378" s="128"/>
      <c r="N378" s="117"/>
      <c r="R378" s="117"/>
      <c r="T378" s="117"/>
      <c r="V378" s="117"/>
      <c r="Z378" s="117"/>
      <c r="AA378" s="10"/>
      <c r="AB378" s="11"/>
      <c r="AC378" s="36"/>
      <c r="AD378" s="36"/>
      <c r="AE378" s="13"/>
      <c r="AF378" s="13"/>
      <c r="AG378" s="37"/>
      <c r="AH378" s="37"/>
      <c r="AI378" s="14"/>
      <c r="AJ378" s="14"/>
      <c r="AK378" s="14"/>
      <c r="BB378" s="24"/>
    </row>
    <row r="379">
      <c r="B379" s="24"/>
      <c r="E379" s="113"/>
      <c r="F379" s="266"/>
      <c r="G379" s="113"/>
      <c r="K379" s="36"/>
      <c r="L379" s="117"/>
      <c r="M379" s="128"/>
      <c r="N379" s="117"/>
      <c r="R379" s="117"/>
      <c r="T379" s="117"/>
      <c r="V379" s="117"/>
      <c r="Z379" s="117"/>
      <c r="AA379" s="10"/>
      <c r="AB379" s="11"/>
      <c r="AC379" s="36"/>
      <c r="AD379" s="36"/>
      <c r="AE379" s="13"/>
      <c r="AF379" s="13"/>
      <c r="AG379" s="37"/>
      <c r="AH379" s="37"/>
      <c r="AI379" s="14"/>
      <c r="AJ379" s="14"/>
      <c r="AK379" s="14"/>
      <c r="BB379" s="24"/>
    </row>
    <row r="380">
      <c r="B380" s="24"/>
      <c r="E380" s="113"/>
      <c r="F380" s="266"/>
      <c r="G380" s="113"/>
      <c r="K380" s="36"/>
      <c r="L380" s="117"/>
      <c r="M380" s="128"/>
      <c r="N380" s="117"/>
      <c r="R380" s="117"/>
      <c r="T380" s="117"/>
      <c r="V380" s="117"/>
      <c r="Z380" s="117"/>
      <c r="AA380" s="10"/>
      <c r="AB380" s="11"/>
      <c r="AC380" s="36"/>
      <c r="AD380" s="36"/>
      <c r="AE380" s="13"/>
      <c r="AF380" s="13"/>
      <c r="AG380" s="37"/>
      <c r="AH380" s="37"/>
      <c r="AI380" s="14"/>
      <c r="AJ380" s="14"/>
      <c r="AK380" s="14"/>
      <c r="BB380" s="24"/>
    </row>
    <row r="381">
      <c r="B381" s="24"/>
      <c r="E381" s="113"/>
      <c r="F381" s="266"/>
      <c r="G381" s="113"/>
      <c r="K381" s="36"/>
      <c r="L381" s="117"/>
      <c r="M381" s="128"/>
      <c r="N381" s="117"/>
      <c r="R381" s="117"/>
      <c r="T381" s="117"/>
      <c r="V381" s="117"/>
      <c r="Z381" s="117"/>
      <c r="AA381" s="10"/>
      <c r="AB381" s="11"/>
      <c r="AC381" s="36"/>
      <c r="AD381" s="36"/>
      <c r="AE381" s="13"/>
      <c r="AF381" s="13"/>
      <c r="AG381" s="37"/>
      <c r="AH381" s="37"/>
      <c r="AI381" s="14"/>
      <c r="AJ381" s="14"/>
      <c r="AK381" s="14"/>
      <c r="BB381" s="24"/>
    </row>
    <row r="382">
      <c r="B382" s="24"/>
      <c r="E382" s="113"/>
      <c r="F382" s="266"/>
      <c r="G382" s="113"/>
      <c r="K382" s="36"/>
      <c r="L382" s="117"/>
      <c r="M382" s="128"/>
      <c r="N382" s="117"/>
      <c r="R382" s="117"/>
      <c r="T382" s="117"/>
      <c r="V382" s="117"/>
      <c r="Z382" s="117"/>
      <c r="AA382" s="10"/>
      <c r="AB382" s="11"/>
      <c r="AC382" s="36"/>
      <c r="AD382" s="36"/>
      <c r="AE382" s="13"/>
      <c r="AF382" s="13"/>
      <c r="AG382" s="37"/>
      <c r="AH382" s="37"/>
      <c r="AI382" s="14"/>
      <c r="AJ382" s="14"/>
      <c r="AK382" s="14"/>
      <c r="BB382" s="24"/>
    </row>
    <row r="383">
      <c r="B383" s="24"/>
      <c r="E383" s="113"/>
      <c r="F383" s="266"/>
      <c r="G383" s="113"/>
      <c r="K383" s="36"/>
      <c r="L383" s="117"/>
      <c r="M383" s="128"/>
      <c r="N383" s="117"/>
      <c r="R383" s="117"/>
      <c r="T383" s="117"/>
      <c r="V383" s="117"/>
      <c r="Z383" s="117"/>
      <c r="AA383" s="10"/>
      <c r="AB383" s="11"/>
      <c r="AC383" s="36"/>
      <c r="AD383" s="36"/>
      <c r="AE383" s="13"/>
      <c r="AF383" s="13"/>
      <c r="AG383" s="37"/>
      <c r="AH383" s="37"/>
      <c r="AI383" s="14"/>
      <c r="AJ383" s="14"/>
      <c r="AK383" s="14"/>
      <c r="BB383" s="24"/>
    </row>
    <row r="384">
      <c r="B384" s="24"/>
      <c r="E384" s="113"/>
      <c r="F384" s="266"/>
      <c r="G384" s="113"/>
      <c r="K384" s="36"/>
      <c r="L384" s="117"/>
      <c r="M384" s="128"/>
      <c r="N384" s="117"/>
      <c r="R384" s="117"/>
      <c r="T384" s="117"/>
      <c r="V384" s="117"/>
      <c r="Z384" s="117"/>
      <c r="AA384" s="10"/>
      <c r="AB384" s="11"/>
      <c r="AC384" s="36"/>
      <c r="AD384" s="36"/>
      <c r="AE384" s="13"/>
      <c r="AF384" s="13"/>
      <c r="AG384" s="37"/>
      <c r="AH384" s="37"/>
      <c r="AI384" s="14"/>
      <c r="AJ384" s="14"/>
      <c r="AK384" s="14"/>
      <c r="BB384" s="24"/>
    </row>
    <row r="385">
      <c r="B385" s="24"/>
      <c r="E385" s="113"/>
      <c r="F385" s="266"/>
      <c r="G385" s="113"/>
      <c r="K385" s="36"/>
      <c r="L385" s="117"/>
      <c r="M385" s="128"/>
      <c r="N385" s="117"/>
      <c r="R385" s="117"/>
      <c r="T385" s="117"/>
      <c r="V385" s="117"/>
      <c r="Z385" s="117"/>
      <c r="AA385" s="10"/>
      <c r="AB385" s="11"/>
      <c r="AC385" s="36"/>
      <c r="AD385" s="36"/>
      <c r="AE385" s="13"/>
      <c r="AF385" s="13"/>
      <c r="AG385" s="37"/>
      <c r="AH385" s="37"/>
      <c r="AI385" s="14"/>
      <c r="AJ385" s="14"/>
      <c r="AK385" s="14"/>
      <c r="BB385" s="24"/>
    </row>
    <row r="386">
      <c r="B386" s="24"/>
      <c r="E386" s="113"/>
      <c r="F386" s="266"/>
      <c r="G386" s="113"/>
      <c r="K386" s="36"/>
      <c r="L386" s="117"/>
      <c r="M386" s="128"/>
      <c r="N386" s="117"/>
      <c r="R386" s="117"/>
      <c r="T386" s="117"/>
      <c r="V386" s="117"/>
      <c r="Z386" s="117"/>
      <c r="AA386" s="10"/>
      <c r="AB386" s="11"/>
      <c r="AC386" s="36"/>
      <c r="AD386" s="36"/>
      <c r="AE386" s="13"/>
      <c r="AF386" s="13"/>
      <c r="AG386" s="37"/>
      <c r="AH386" s="37"/>
      <c r="AI386" s="14"/>
      <c r="AJ386" s="14"/>
      <c r="AK386" s="14"/>
      <c r="BB386" s="24"/>
    </row>
    <row r="387">
      <c r="B387" s="24"/>
      <c r="E387" s="113"/>
      <c r="F387" s="266"/>
      <c r="G387" s="113"/>
      <c r="K387" s="36"/>
      <c r="L387" s="117"/>
      <c r="M387" s="128"/>
      <c r="N387" s="117"/>
      <c r="R387" s="117"/>
      <c r="T387" s="117"/>
      <c r="V387" s="117"/>
      <c r="Z387" s="117"/>
      <c r="AA387" s="10"/>
      <c r="AB387" s="11"/>
      <c r="AC387" s="36"/>
      <c r="AD387" s="36"/>
      <c r="AE387" s="13"/>
      <c r="AF387" s="13"/>
      <c r="AG387" s="37"/>
      <c r="AH387" s="37"/>
      <c r="AI387" s="14"/>
      <c r="AJ387" s="14"/>
      <c r="AK387" s="14"/>
      <c r="BB387" s="24"/>
    </row>
    <row r="388">
      <c r="B388" s="24"/>
      <c r="E388" s="113"/>
      <c r="F388" s="266"/>
      <c r="G388" s="113"/>
      <c r="K388" s="36"/>
      <c r="L388" s="117"/>
      <c r="M388" s="128"/>
      <c r="N388" s="117"/>
      <c r="R388" s="117"/>
      <c r="T388" s="117"/>
      <c r="V388" s="117"/>
      <c r="Z388" s="117"/>
      <c r="AA388" s="10"/>
      <c r="AB388" s="11"/>
      <c r="AC388" s="36"/>
      <c r="AD388" s="36"/>
      <c r="AE388" s="13"/>
      <c r="AF388" s="13"/>
      <c r="AG388" s="37"/>
      <c r="AH388" s="37"/>
      <c r="AI388" s="14"/>
      <c r="AJ388" s="14"/>
      <c r="AK388" s="14"/>
      <c r="BB388" s="24"/>
    </row>
    <row r="389">
      <c r="B389" s="24"/>
      <c r="E389" s="113"/>
      <c r="F389" s="266"/>
      <c r="G389" s="113"/>
      <c r="K389" s="36"/>
      <c r="L389" s="117"/>
      <c r="M389" s="128"/>
      <c r="N389" s="117"/>
      <c r="R389" s="117"/>
      <c r="T389" s="117"/>
      <c r="V389" s="117"/>
      <c r="Z389" s="117"/>
      <c r="AA389" s="10"/>
      <c r="AB389" s="11"/>
      <c r="AC389" s="36"/>
      <c r="AD389" s="36"/>
      <c r="AE389" s="13"/>
      <c r="AF389" s="13"/>
      <c r="AG389" s="37"/>
      <c r="AH389" s="37"/>
      <c r="AI389" s="14"/>
      <c r="AJ389" s="14"/>
      <c r="AK389" s="14"/>
      <c r="BB389" s="24"/>
    </row>
    <row r="390">
      <c r="B390" s="24"/>
      <c r="E390" s="113"/>
      <c r="F390" s="266"/>
      <c r="G390" s="113"/>
      <c r="K390" s="36"/>
      <c r="L390" s="117"/>
      <c r="M390" s="128"/>
      <c r="N390" s="117"/>
      <c r="R390" s="117"/>
      <c r="T390" s="117"/>
      <c r="V390" s="117"/>
      <c r="Z390" s="117"/>
      <c r="AA390" s="10"/>
      <c r="AB390" s="11"/>
      <c r="AC390" s="36"/>
      <c r="AD390" s="36"/>
      <c r="AE390" s="13"/>
      <c r="AF390" s="13"/>
      <c r="AG390" s="37"/>
      <c r="AH390" s="37"/>
      <c r="AI390" s="14"/>
      <c r="AJ390" s="14"/>
      <c r="AK390" s="14"/>
      <c r="BB390" s="24"/>
    </row>
    <row r="391">
      <c r="B391" s="24"/>
      <c r="E391" s="113"/>
      <c r="F391" s="266"/>
      <c r="G391" s="113"/>
      <c r="K391" s="36"/>
      <c r="L391" s="117"/>
      <c r="M391" s="128"/>
      <c r="N391" s="117"/>
      <c r="R391" s="117"/>
      <c r="T391" s="117"/>
      <c r="V391" s="117"/>
      <c r="Z391" s="117"/>
      <c r="AA391" s="10"/>
      <c r="AB391" s="11"/>
      <c r="AC391" s="36"/>
      <c r="AD391" s="36"/>
      <c r="AE391" s="13"/>
      <c r="AF391" s="13"/>
      <c r="AG391" s="37"/>
      <c r="AH391" s="37"/>
      <c r="AI391" s="14"/>
      <c r="AJ391" s="14"/>
      <c r="AK391" s="14"/>
      <c r="BB391" s="24"/>
    </row>
    <row r="392">
      <c r="B392" s="24"/>
      <c r="E392" s="113"/>
      <c r="F392" s="266"/>
      <c r="G392" s="113"/>
      <c r="K392" s="36"/>
      <c r="L392" s="117"/>
      <c r="M392" s="128"/>
      <c r="N392" s="117"/>
      <c r="R392" s="117"/>
      <c r="T392" s="117"/>
      <c r="V392" s="117"/>
      <c r="Z392" s="117"/>
      <c r="AA392" s="10"/>
      <c r="AB392" s="11"/>
      <c r="AC392" s="36"/>
      <c r="AD392" s="36"/>
      <c r="AE392" s="13"/>
      <c r="AF392" s="13"/>
      <c r="AG392" s="37"/>
      <c r="AH392" s="37"/>
      <c r="AI392" s="14"/>
      <c r="AJ392" s="14"/>
      <c r="AK392" s="14"/>
      <c r="BB392" s="24"/>
    </row>
    <row r="393">
      <c r="B393" s="24"/>
      <c r="E393" s="113"/>
      <c r="F393" s="266"/>
      <c r="G393" s="113"/>
      <c r="K393" s="36"/>
      <c r="L393" s="117"/>
      <c r="M393" s="128"/>
      <c r="N393" s="117"/>
      <c r="R393" s="117"/>
      <c r="T393" s="117"/>
      <c r="V393" s="117"/>
      <c r="Z393" s="117"/>
      <c r="AA393" s="10"/>
      <c r="AB393" s="11"/>
      <c r="AC393" s="36"/>
      <c r="AD393" s="36"/>
      <c r="AE393" s="13"/>
      <c r="AF393" s="13"/>
      <c r="AG393" s="37"/>
      <c r="AH393" s="37"/>
      <c r="AI393" s="14"/>
      <c r="AJ393" s="14"/>
      <c r="AK393" s="14"/>
      <c r="BB393" s="24"/>
    </row>
    <row r="394">
      <c r="B394" s="24"/>
      <c r="E394" s="113"/>
      <c r="F394" s="266"/>
      <c r="G394" s="113"/>
      <c r="K394" s="36"/>
      <c r="L394" s="117"/>
      <c r="M394" s="128"/>
      <c r="N394" s="117"/>
      <c r="R394" s="117"/>
      <c r="T394" s="117"/>
      <c r="V394" s="117"/>
      <c r="Z394" s="117"/>
      <c r="AA394" s="10"/>
      <c r="AB394" s="11"/>
      <c r="AC394" s="36"/>
      <c r="AD394" s="36"/>
      <c r="AE394" s="13"/>
      <c r="AF394" s="13"/>
      <c r="AG394" s="37"/>
      <c r="AH394" s="37"/>
      <c r="AI394" s="14"/>
      <c r="AJ394" s="14"/>
      <c r="AK394" s="14"/>
      <c r="BB394" s="24"/>
    </row>
    <row r="395">
      <c r="B395" s="24"/>
      <c r="E395" s="113"/>
      <c r="F395" s="266"/>
      <c r="G395" s="113"/>
      <c r="K395" s="36"/>
      <c r="L395" s="117"/>
      <c r="M395" s="128"/>
      <c r="N395" s="117"/>
      <c r="R395" s="117"/>
      <c r="T395" s="117"/>
      <c r="V395" s="117"/>
      <c r="Z395" s="117"/>
      <c r="AA395" s="10"/>
      <c r="AB395" s="11"/>
      <c r="AC395" s="36"/>
      <c r="AD395" s="36"/>
      <c r="AE395" s="13"/>
      <c r="AF395" s="13"/>
      <c r="AG395" s="37"/>
      <c r="AH395" s="37"/>
      <c r="AI395" s="14"/>
      <c r="AJ395" s="14"/>
      <c r="AK395" s="14"/>
      <c r="BB395" s="24"/>
    </row>
    <row r="396">
      <c r="B396" s="24"/>
      <c r="E396" s="113"/>
      <c r="F396" s="266"/>
      <c r="G396" s="113"/>
      <c r="K396" s="36"/>
      <c r="L396" s="117"/>
      <c r="M396" s="128"/>
      <c r="N396" s="117"/>
      <c r="R396" s="117"/>
      <c r="T396" s="117"/>
      <c r="V396" s="117"/>
      <c r="Z396" s="117"/>
      <c r="AA396" s="10"/>
      <c r="AB396" s="11"/>
      <c r="AC396" s="36"/>
      <c r="AD396" s="36"/>
      <c r="AE396" s="13"/>
      <c r="AF396" s="13"/>
      <c r="AG396" s="37"/>
      <c r="AH396" s="37"/>
      <c r="AI396" s="14"/>
      <c r="AJ396" s="14"/>
      <c r="AK396" s="14"/>
      <c r="BB396" s="24"/>
    </row>
    <row r="397">
      <c r="B397" s="24"/>
      <c r="E397" s="113"/>
      <c r="F397" s="266"/>
      <c r="G397" s="113"/>
      <c r="K397" s="36"/>
      <c r="L397" s="117"/>
      <c r="M397" s="128"/>
      <c r="N397" s="117"/>
      <c r="R397" s="117"/>
      <c r="T397" s="117"/>
      <c r="V397" s="117"/>
      <c r="Z397" s="117"/>
      <c r="AA397" s="10"/>
      <c r="AB397" s="11"/>
      <c r="AC397" s="36"/>
      <c r="AD397" s="36"/>
      <c r="AE397" s="13"/>
      <c r="AF397" s="13"/>
      <c r="AG397" s="37"/>
      <c r="AH397" s="37"/>
      <c r="AI397" s="14"/>
      <c r="AJ397" s="14"/>
      <c r="AK397" s="14"/>
      <c r="BB397" s="24"/>
    </row>
    <row r="398">
      <c r="B398" s="24"/>
      <c r="E398" s="113"/>
      <c r="F398" s="266"/>
      <c r="G398" s="113"/>
      <c r="K398" s="36"/>
      <c r="L398" s="117"/>
      <c r="M398" s="128"/>
      <c r="N398" s="117"/>
      <c r="R398" s="117"/>
      <c r="T398" s="117"/>
      <c r="V398" s="117"/>
      <c r="Z398" s="117"/>
      <c r="AA398" s="10"/>
      <c r="AB398" s="11"/>
      <c r="AC398" s="36"/>
      <c r="AD398" s="36"/>
      <c r="AE398" s="13"/>
      <c r="AF398" s="13"/>
      <c r="AG398" s="37"/>
      <c r="AH398" s="37"/>
      <c r="AI398" s="14"/>
      <c r="AJ398" s="14"/>
      <c r="AK398" s="14"/>
      <c r="BB398" s="24"/>
    </row>
    <row r="399">
      <c r="B399" s="24"/>
      <c r="E399" s="113"/>
      <c r="F399" s="266"/>
      <c r="G399" s="113"/>
      <c r="K399" s="36"/>
      <c r="L399" s="117"/>
      <c r="M399" s="128"/>
      <c r="N399" s="117"/>
      <c r="R399" s="117"/>
      <c r="T399" s="117"/>
      <c r="V399" s="117"/>
      <c r="Z399" s="117"/>
      <c r="AA399" s="10"/>
      <c r="AB399" s="11"/>
      <c r="AC399" s="36"/>
      <c r="AD399" s="36"/>
      <c r="AE399" s="13"/>
      <c r="AF399" s="13"/>
      <c r="AG399" s="37"/>
      <c r="AH399" s="37"/>
      <c r="AI399" s="14"/>
      <c r="AJ399" s="14"/>
      <c r="AK399" s="14"/>
      <c r="BB399" s="24"/>
    </row>
    <row r="400">
      <c r="B400" s="24"/>
      <c r="E400" s="113"/>
      <c r="F400" s="266"/>
      <c r="G400" s="113"/>
      <c r="K400" s="36"/>
      <c r="L400" s="117"/>
      <c r="M400" s="128"/>
      <c r="N400" s="117"/>
      <c r="R400" s="117"/>
      <c r="T400" s="117"/>
      <c r="V400" s="117"/>
      <c r="Z400" s="117"/>
      <c r="AA400" s="10"/>
      <c r="AB400" s="11"/>
      <c r="AC400" s="36"/>
      <c r="AD400" s="36"/>
      <c r="AE400" s="13"/>
      <c r="AF400" s="13"/>
      <c r="AG400" s="37"/>
      <c r="AH400" s="37"/>
      <c r="AI400" s="14"/>
      <c r="AJ400" s="14"/>
      <c r="AK400" s="14"/>
      <c r="BB400" s="24"/>
    </row>
    <row r="401">
      <c r="B401" s="24"/>
      <c r="E401" s="113"/>
      <c r="F401" s="266"/>
      <c r="G401" s="113"/>
      <c r="K401" s="36"/>
      <c r="L401" s="117"/>
      <c r="M401" s="128"/>
      <c r="N401" s="117"/>
      <c r="R401" s="117"/>
      <c r="T401" s="117"/>
      <c r="V401" s="117"/>
      <c r="Z401" s="117"/>
      <c r="AA401" s="10"/>
      <c r="AB401" s="11"/>
      <c r="AC401" s="36"/>
      <c r="AD401" s="36"/>
      <c r="AE401" s="13"/>
      <c r="AF401" s="13"/>
      <c r="AG401" s="37"/>
      <c r="AH401" s="37"/>
      <c r="AI401" s="14"/>
      <c r="AJ401" s="14"/>
      <c r="AK401" s="14"/>
      <c r="BB401" s="24"/>
    </row>
    <row r="402">
      <c r="B402" s="24"/>
      <c r="E402" s="113"/>
      <c r="F402" s="266"/>
      <c r="G402" s="113"/>
      <c r="K402" s="36"/>
      <c r="L402" s="117"/>
      <c r="M402" s="128"/>
      <c r="N402" s="117"/>
      <c r="R402" s="117"/>
      <c r="T402" s="117"/>
      <c r="V402" s="117"/>
      <c r="Z402" s="117"/>
      <c r="AA402" s="10"/>
      <c r="AB402" s="11"/>
      <c r="AC402" s="36"/>
      <c r="AD402" s="36"/>
      <c r="AE402" s="13"/>
      <c r="AF402" s="13"/>
      <c r="AG402" s="37"/>
      <c r="AH402" s="37"/>
      <c r="AI402" s="14"/>
      <c r="AJ402" s="14"/>
      <c r="AK402" s="14"/>
      <c r="BB402" s="24"/>
    </row>
    <row r="403">
      <c r="B403" s="24"/>
      <c r="E403" s="113"/>
      <c r="F403" s="266"/>
      <c r="G403" s="113"/>
      <c r="K403" s="36"/>
      <c r="L403" s="117"/>
      <c r="M403" s="128"/>
      <c r="N403" s="117"/>
      <c r="R403" s="117"/>
      <c r="T403" s="117"/>
      <c r="V403" s="117"/>
      <c r="Z403" s="117"/>
      <c r="AA403" s="10"/>
      <c r="AB403" s="11"/>
      <c r="AC403" s="36"/>
      <c r="AD403" s="36"/>
      <c r="AE403" s="13"/>
      <c r="AF403" s="13"/>
      <c r="AG403" s="37"/>
      <c r="AH403" s="37"/>
      <c r="AI403" s="14"/>
      <c r="AJ403" s="14"/>
      <c r="AK403" s="14"/>
      <c r="BB403" s="24"/>
    </row>
    <row r="404">
      <c r="B404" s="24"/>
      <c r="E404" s="113"/>
      <c r="F404" s="266"/>
      <c r="G404" s="113"/>
      <c r="K404" s="36"/>
      <c r="L404" s="117"/>
      <c r="M404" s="128"/>
      <c r="N404" s="117"/>
      <c r="R404" s="117"/>
      <c r="T404" s="117"/>
      <c r="V404" s="117"/>
      <c r="Z404" s="117"/>
      <c r="AA404" s="10"/>
      <c r="AB404" s="11"/>
      <c r="AC404" s="36"/>
      <c r="AD404" s="36"/>
      <c r="AE404" s="13"/>
      <c r="AF404" s="13"/>
      <c r="AG404" s="37"/>
      <c r="AH404" s="37"/>
      <c r="AI404" s="14"/>
      <c r="AJ404" s="14"/>
      <c r="AK404" s="14"/>
      <c r="BB404" s="24"/>
    </row>
    <row r="405">
      <c r="B405" s="24"/>
      <c r="E405" s="113"/>
      <c r="F405" s="266"/>
      <c r="G405" s="113"/>
      <c r="K405" s="36"/>
      <c r="L405" s="117"/>
      <c r="M405" s="128"/>
      <c r="N405" s="117"/>
      <c r="R405" s="117"/>
      <c r="T405" s="117"/>
      <c r="V405" s="117"/>
      <c r="Z405" s="117"/>
      <c r="AA405" s="10"/>
      <c r="AB405" s="11"/>
      <c r="AC405" s="36"/>
      <c r="AD405" s="36"/>
      <c r="AE405" s="13"/>
      <c r="AF405" s="13"/>
      <c r="AG405" s="37"/>
      <c r="AH405" s="37"/>
      <c r="AI405" s="14"/>
      <c r="AJ405" s="14"/>
      <c r="AK405" s="14"/>
      <c r="BB405" s="24"/>
    </row>
    <row r="406">
      <c r="B406" s="24"/>
      <c r="E406" s="113"/>
      <c r="F406" s="266"/>
      <c r="G406" s="113"/>
      <c r="K406" s="36"/>
      <c r="L406" s="117"/>
      <c r="M406" s="128"/>
      <c r="N406" s="117"/>
      <c r="R406" s="117"/>
      <c r="T406" s="117"/>
      <c r="V406" s="117"/>
      <c r="Z406" s="117"/>
      <c r="AA406" s="10"/>
      <c r="AB406" s="11"/>
      <c r="AC406" s="36"/>
      <c r="AD406" s="36"/>
      <c r="AE406" s="13"/>
      <c r="AF406" s="13"/>
      <c r="AG406" s="37"/>
      <c r="AH406" s="37"/>
      <c r="AI406" s="14"/>
      <c r="AJ406" s="14"/>
      <c r="AK406" s="14"/>
      <c r="BB406" s="24"/>
    </row>
    <row r="407">
      <c r="B407" s="24"/>
      <c r="E407" s="113"/>
      <c r="F407" s="266"/>
      <c r="G407" s="113"/>
      <c r="K407" s="36"/>
      <c r="L407" s="117"/>
      <c r="M407" s="128"/>
      <c r="N407" s="117"/>
      <c r="R407" s="117"/>
      <c r="T407" s="117"/>
      <c r="V407" s="117"/>
      <c r="Z407" s="117"/>
      <c r="AA407" s="10"/>
      <c r="AB407" s="11"/>
      <c r="AC407" s="36"/>
      <c r="AD407" s="36"/>
      <c r="AE407" s="13"/>
      <c r="AF407" s="13"/>
      <c r="AG407" s="37"/>
      <c r="AH407" s="37"/>
      <c r="AI407" s="14"/>
      <c r="AJ407" s="14"/>
      <c r="AK407" s="14"/>
      <c r="BB407" s="24"/>
    </row>
    <row r="408">
      <c r="B408" s="24"/>
      <c r="E408" s="113"/>
      <c r="F408" s="266"/>
      <c r="G408" s="113"/>
      <c r="K408" s="36"/>
      <c r="L408" s="117"/>
      <c r="M408" s="128"/>
      <c r="N408" s="117"/>
      <c r="R408" s="117"/>
      <c r="T408" s="117"/>
      <c r="V408" s="117"/>
      <c r="Z408" s="117"/>
      <c r="AA408" s="10"/>
      <c r="AB408" s="11"/>
      <c r="AC408" s="36"/>
      <c r="AD408" s="36"/>
      <c r="AE408" s="13"/>
      <c r="AF408" s="13"/>
      <c r="AG408" s="37"/>
      <c r="AH408" s="37"/>
      <c r="AI408" s="14"/>
      <c r="AJ408" s="14"/>
      <c r="AK408" s="14"/>
      <c r="BB408" s="24"/>
    </row>
    <row r="409">
      <c r="B409" s="24"/>
      <c r="E409" s="113"/>
      <c r="F409" s="266"/>
      <c r="G409" s="113"/>
      <c r="K409" s="36"/>
      <c r="L409" s="117"/>
      <c r="M409" s="128"/>
      <c r="N409" s="117"/>
      <c r="R409" s="117"/>
      <c r="T409" s="117"/>
      <c r="V409" s="117"/>
      <c r="Z409" s="117"/>
      <c r="AA409" s="10"/>
      <c r="AB409" s="11"/>
      <c r="AC409" s="36"/>
      <c r="AD409" s="36"/>
      <c r="AE409" s="13"/>
      <c r="AF409" s="13"/>
      <c r="AG409" s="37"/>
      <c r="AH409" s="37"/>
      <c r="AI409" s="14"/>
      <c r="AJ409" s="14"/>
      <c r="AK409" s="14"/>
      <c r="BB409" s="24"/>
    </row>
    <row r="410">
      <c r="B410" s="24"/>
      <c r="E410" s="113"/>
      <c r="F410" s="266"/>
      <c r="G410" s="113"/>
      <c r="K410" s="36"/>
      <c r="L410" s="117"/>
      <c r="M410" s="128"/>
      <c r="N410" s="117"/>
      <c r="R410" s="117"/>
      <c r="T410" s="117"/>
      <c r="V410" s="117"/>
      <c r="Z410" s="117"/>
      <c r="AA410" s="10"/>
      <c r="AB410" s="11"/>
      <c r="AC410" s="36"/>
      <c r="AD410" s="36"/>
      <c r="AE410" s="13"/>
      <c r="AF410" s="13"/>
      <c r="AG410" s="37"/>
      <c r="AH410" s="37"/>
      <c r="AI410" s="14"/>
      <c r="AJ410" s="14"/>
      <c r="AK410" s="14"/>
      <c r="BB410" s="24"/>
    </row>
    <row r="411">
      <c r="B411" s="24"/>
      <c r="E411" s="113"/>
      <c r="F411" s="266"/>
      <c r="G411" s="113"/>
      <c r="K411" s="36"/>
      <c r="L411" s="117"/>
      <c r="M411" s="128"/>
      <c r="N411" s="117"/>
      <c r="R411" s="117"/>
      <c r="T411" s="117"/>
      <c r="V411" s="117"/>
      <c r="Z411" s="117"/>
      <c r="AA411" s="10"/>
      <c r="AB411" s="11"/>
      <c r="AC411" s="36"/>
      <c r="AD411" s="36"/>
      <c r="AE411" s="13"/>
      <c r="AF411" s="13"/>
      <c r="AG411" s="37"/>
      <c r="AH411" s="37"/>
      <c r="AI411" s="14"/>
      <c r="AJ411" s="14"/>
      <c r="AK411" s="14"/>
      <c r="BB411" s="24"/>
    </row>
    <row r="412">
      <c r="B412" s="24"/>
      <c r="E412" s="113"/>
      <c r="F412" s="266"/>
      <c r="G412" s="113"/>
      <c r="K412" s="36"/>
      <c r="L412" s="117"/>
      <c r="M412" s="128"/>
      <c r="N412" s="117"/>
      <c r="R412" s="117"/>
      <c r="T412" s="117"/>
      <c r="V412" s="117"/>
      <c r="Z412" s="117"/>
      <c r="AA412" s="10"/>
      <c r="AB412" s="11"/>
      <c r="AC412" s="36"/>
      <c r="AD412" s="36"/>
      <c r="AE412" s="13"/>
      <c r="AF412" s="13"/>
      <c r="AG412" s="37"/>
      <c r="AH412" s="37"/>
      <c r="AI412" s="14"/>
      <c r="AJ412" s="14"/>
      <c r="AK412" s="14"/>
      <c r="BB412" s="24"/>
    </row>
    <row r="413">
      <c r="B413" s="24"/>
      <c r="E413" s="113"/>
      <c r="F413" s="266"/>
      <c r="G413" s="113"/>
      <c r="K413" s="36"/>
      <c r="L413" s="117"/>
      <c r="M413" s="128"/>
      <c r="N413" s="117"/>
      <c r="R413" s="117"/>
      <c r="T413" s="117"/>
      <c r="V413" s="117"/>
      <c r="Z413" s="117"/>
      <c r="AA413" s="10"/>
      <c r="AB413" s="11"/>
      <c r="AC413" s="36"/>
      <c r="AD413" s="36"/>
      <c r="AE413" s="13"/>
      <c r="AF413" s="13"/>
      <c r="AG413" s="37"/>
      <c r="AH413" s="37"/>
      <c r="AI413" s="14"/>
      <c r="AJ413" s="14"/>
      <c r="AK413" s="14"/>
      <c r="BB413" s="24"/>
    </row>
    <row r="414">
      <c r="B414" s="24"/>
      <c r="E414" s="113"/>
      <c r="F414" s="266"/>
      <c r="G414" s="113"/>
      <c r="K414" s="36"/>
      <c r="L414" s="117"/>
      <c r="M414" s="128"/>
      <c r="N414" s="117"/>
      <c r="R414" s="117"/>
      <c r="T414" s="117"/>
      <c r="V414" s="117"/>
      <c r="Z414" s="117"/>
      <c r="AA414" s="10"/>
      <c r="AB414" s="11"/>
      <c r="AC414" s="36"/>
      <c r="AD414" s="36"/>
      <c r="AE414" s="13"/>
      <c r="AF414" s="13"/>
      <c r="AG414" s="37"/>
      <c r="AH414" s="37"/>
      <c r="AI414" s="14"/>
      <c r="AJ414" s="14"/>
      <c r="AK414" s="14"/>
      <c r="BB414" s="24"/>
    </row>
    <row r="415">
      <c r="B415" s="24"/>
      <c r="E415" s="113"/>
      <c r="F415" s="266"/>
      <c r="G415" s="113"/>
      <c r="K415" s="36"/>
      <c r="L415" s="117"/>
      <c r="M415" s="128"/>
      <c r="N415" s="117"/>
      <c r="R415" s="117"/>
      <c r="T415" s="117"/>
      <c r="V415" s="117"/>
      <c r="Z415" s="117"/>
      <c r="AA415" s="10"/>
      <c r="AB415" s="11"/>
      <c r="AC415" s="36"/>
      <c r="AD415" s="36"/>
      <c r="AE415" s="13"/>
      <c r="AF415" s="13"/>
      <c r="AG415" s="37"/>
      <c r="AH415" s="37"/>
      <c r="AI415" s="14"/>
      <c r="AJ415" s="14"/>
      <c r="AK415" s="14"/>
      <c r="BB415" s="24"/>
    </row>
    <row r="416">
      <c r="B416" s="24"/>
      <c r="E416" s="113"/>
      <c r="F416" s="266"/>
      <c r="G416" s="113"/>
      <c r="K416" s="36"/>
      <c r="L416" s="117"/>
      <c r="M416" s="128"/>
      <c r="N416" s="117"/>
      <c r="R416" s="117"/>
      <c r="T416" s="117"/>
      <c r="V416" s="117"/>
      <c r="Z416" s="117"/>
      <c r="AA416" s="10"/>
      <c r="AB416" s="11"/>
      <c r="AC416" s="36"/>
      <c r="AD416" s="36"/>
      <c r="AE416" s="13"/>
      <c r="AF416" s="13"/>
      <c r="AG416" s="37"/>
      <c r="AH416" s="37"/>
      <c r="AI416" s="14"/>
      <c r="AJ416" s="14"/>
      <c r="AK416" s="14"/>
      <c r="BB416" s="24"/>
    </row>
    <row r="417">
      <c r="B417" s="24"/>
      <c r="E417" s="113"/>
      <c r="F417" s="266"/>
      <c r="G417" s="113"/>
      <c r="K417" s="36"/>
      <c r="L417" s="117"/>
      <c r="M417" s="128"/>
      <c r="N417" s="117"/>
      <c r="R417" s="117"/>
      <c r="T417" s="117"/>
      <c r="V417" s="117"/>
      <c r="Z417" s="117"/>
      <c r="AA417" s="10"/>
      <c r="AB417" s="11"/>
      <c r="AC417" s="36"/>
      <c r="AD417" s="36"/>
      <c r="AE417" s="13"/>
      <c r="AF417" s="13"/>
      <c r="AG417" s="37"/>
      <c r="AH417" s="37"/>
      <c r="AI417" s="14"/>
      <c r="AJ417" s="14"/>
      <c r="AK417" s="14"/>
      <c r="BB417" s="24"/>
    </row>
    <row r="418">
      <c r="B418" s="24"/>
      <c r="E418" s="113"/>
      <c r="F418" s="266"/>
      <c r="G418" s="113"/>
      <c r="K418" s="36"/>
      <c r="L418" s="117"/>
      <c r="M418" s="128"/>
      <c r="N418" s="117"/>
      <c r="R418" s="117"/>
      <c r="T418" s="117"/>
      <c r="V418" s="117"/>
      <c r="Z418" s="117"/>
      <c r="AA418" s="10"/>
      <c r="AB418" s="11"/>
      <c r="AC418" s="36"/>
      <c r="AD418" s="36"/>
      <c r="AE418" s="13"/>
      <c r="AF418" s="13"/>
      <c r="AG418" s="37"/>
      <c r="AH418" s="37"/>
      <c r="AI418" s="14"/>
      <c r="AJ418" s="14"/>
      <c r="AK418" s="14"/>
      <c r="BB418" s="24"/>
    </row>
    <row r="419">
      <c r="B419" s="24"/>
      <c r="E419" s="113"/>
      <c r="F419" s="266"/>
      <c r="G419" s="113"/>
      <c r="K419" s="36"/>
      <c r="L419" s="117"/>
      <c r="M419" s="128"/>
      <c r="N419" s="117"/>
      <c r="R419" s="117"/>
      <c r="T419" s="117"/>
      <c r="V419" s="117"/>
      <c r="Z419" s="117"/>
      <c r="AA419" s="10"/>
      <c r="AB419" s="11"/>
      <c r="AC419" s="36"/>
      <c r="AD419" s="36"/>
      <c r="AE419" s="13"/>
      <c r="AF419" s="13"/>
      <c r="AG419" s="37"/>
      <c r="AH419" s="37"/>
      <c r="AI419" s="14"/>
      <c r="AJ419" s="14"/>
      <c r="AK419" s="14"/>
      <c r="BB419" s="24"/>
    </row>
    <row r="420">
      <c r="B420" s="24"/>
      <c r="E420" s="113"/>
      <c r="F420" s="266"/>
      <c r="G420" s="113"/>
      <c r="K420" s="36"/>
      <c r="L420" s="117"/>
      <c r="M420" s="128"/>
      <c r="N420" s="117"/>
      <c r="R420" s="117"/>
      <c r="T420" s="117"/>
      <c r="V420" s="117"/>
      <c r="Z420" s="117"/>
      <c r="AA420" s="10"/>
      <c r="AB420" s="11"/>
      <c r="AC420" s="36"/>
      <c r="AD420" s="36"/>
      <c r="AE420" s="13"/>
      <c r="AF420" s="13"/>
      <c r="AG420" s="37"/>
      <c r="AH420" s="37"/>
      <c r="AI420" s="14"/>
      <c r="AJ420" s="14"/>
      <c r="AK420" s="14"/>
      <c r="BB420" s="24"/>
    </row>
    <row r="421">
      <c r="B421" s="24"/>
      <c r="E421" s="113"/>
      <c r="F421" s="266"/>
      <c r="G421" s="113"/>
      <c r="K421" s="36"/>
      <c r="L421" s="117"/>
      <c r="M421" s="128"/>
      <c r="N421" s="117"/>
      <c r="R421" s="117"/>
      <c r="T421" s="117"/>
      <c r="V421" s="117"/>
      <c r="Z421" s="117"/>
      <c r="AA421" s="10"/>
      <c r="AB421" s="11"/>
      <c r="AC421" s="36"/>
      <c r="AD421" s="36"/>
      <c r="AE421" s="13"/>
      <c r="AF421" s="13"/>
      <c r="AG421" s="37"/>
      <c r="AH421" s="37"/>
      <c r="AI421" s="14"/>
      <c r="AJ421" s="14"/>
      <c r="AK421" s="14"/>
      <c r="BB421" s="24"/>
    </row>
    <row r="422">
      <c r="B422" s="24"/>
      <c r="E422" s="113"/>
      <c r="F422" s="266"/>
      <c r="G422" s="113"/>
      <c r="K422" s="36"/>
      <c r="L422" s="117"/>
      <c r="M422" s="128"/>
      <c r="N422" s="117"/>
      <c r="R422" s="117"/>
      <c r="T422" s="117"/>
      <c r="V422" s="117"/>
      <c r="Z422" s="117"/>
      <c r="AA422" s="10"/>
      <c r="AB422" s="11"/>
      <c r="AC422" s="36"/>
      <c r="AD422" s="36"/>
      <c r="AE422" s="13"/>
      <c r="AF422" s="13"/>
      <c r="AG422" s="37"/>
      <c r="AH422" s="37"/>
      <c r="AI422" s="14"/>
      <c r="AJ422" s="14"/>
      <c r="AK422" s="14"/>
      <c r="BB422" s="24"/>
    </row>
    <row r="423">
      <c r="B423" s="24"/>
      <c r="E423" s="113"/>
      <c r="F423" s="266"/>
      <c r="G423" s="113"/>
      <c r="K423" s="36"/>
      <c r="L423" s="117"/>
      <c r="M423" s="128"/>
      <c r="N423" s="117"/>
      <c r="R423" s="117"/>
      <c r="T423" s="117"/>
      <c r="V423" s="117"/>
      <c r="Z423" s="117"/>
      <c r="AA423" s="10"/>
      <c r="AB423" s="11"/>
      <c r="AC423" s="36"/>
      <c r="AD423" s="36"/>
      <c r="AE423" s="13"/>
      <c r="AF423" s="13"/>
      <c r="AG423" s="37"/>
      <c r="AH423" s="37"/>
      <c r="AI423" s="14"/>
      <c r="AJ423" s="14"/>
      <c r="AK423" s="14"/>
      <c r="BB423" s="24"/>
    </row>
    <row r="424">
      <c r="B424" s="24"/>
      <c r="E424" s="113"/>
      <c r="F424" s="266"/>
      <c r="G424" s="113"/>
      <c r="K424" s="36"/>
      <c r="L424" s="117"/>
      <c r="M424" s="128"/>
      <c r="N424" s="117"/>
      <c r="R424" s="117"/>
      <c r="T424" s="117"/>
      <c r="V424" s="117"/>
      <c r="Z424" s="117"/>
      <c r="AA424" s="10"/>
      <c r="AB424" s="11"/>
      <c r="AC424" s="36"/>
      <c r="AD424" s="36"/>
      <c r="AE424" s="13"/>
      <c r="AF424" s="13"/>
      <c r="AG424" s="37"/>
      <c r="AH424" s="37"/>
      <c r="AI424" s="14"/>
      <c r="AJ424" s="14"/>
      <c r="AK424" s="14"/>
      <c r="BB424" s="24"/>
    </row>
    <row r="425">
      <c r="B425" s="24"/>
      <c r="E425" s="113"/>
      <c r="F425" s="266"/>
      <c r="G425" s="113"/>
      <c r="K425" s="36"/>
      <c r="L425" s="117"/>
      <c r="M425" s="128"/>
      <c r="N425" s="117"/>
      <c r="R425" s="117"/>
      <c r="T425" s="117"/>
      <c r="V425" s="117"/>
      <c r="Z425" s="117"/>
      <c r="AA425" s="10"/>
      <c r="AB425" s="11"/>
      <c r="AC425" s="36"/>
      <c r="AD425" s="36"/>
      <c r="AE425" s="13"/>
      <c r="AF425" s="13"/>
      <c r="AG425" s="37"/>
      <c r="AH425" s="37"/>
      <c r="AI425" s="14"/>
      <c r="AJ425" s="14"/>
      <c r="AK425" s="14"/>
      <c r="BB425" s="24"/>
    </row>
    <row r="426">
      <c r="B426" s="24"/>
      <c r="E426" s="113"/>
      <c r="F426" s="266"/>
      <c r="G426" s="113"/>
      <c r="K426" s="36"/>
      <c r="L426" s="117"/>
      <c r="M426" s="128"/>
      <c r="N426" s="117"/>
      <c r="R426" s="117"/>
      <c r="T426" s="117"/>
      <c r="V426" s="117"/>
      <c r="Z426" s="117"/>
      <c r="AA426" s="10"/>
      <c r="AB426" s="11"/>
      <c r="AC426" s="36"/>
      <c r="AD426" s="36"/>
      <c r="AE426" s="13"/>
      <c r="AF426" s="13"/>
      <c r="AG426" s="37"/>
      <c r="AH426" s="37"/>
      <c r="AI426" s="14"/>
      <c r="AJ426" s="14"/>
      <c r="AK426" s="14"/>
      <c r="BB426" s="24"/>
    </row>
    <row r="427">
      <c r="B427" s="24"/>
      <c r="E427" s="113"/>
      <c r="F427" s="266"/>
      <c r="G427" s="113"/>
      <c r="K427" s="36"/>
      <c r="L427" s="117"/>
      <c r="M427" s="128"/>
      <c r="N427" s="117"/>
      <c r="R427" s="117"/>
      <c r="T427" s="117"/>
      <c r="V427" s="117"/>
      <c r="Z427" s="117"/>
      <c r="AA427" s="10"/>
      <c r="AB427" s="11"/>
      <c r="AC427" s="36"/>
      <c r="AD427" s="36"/>
      <c r="AE427" s="13"/>
      <c r="AF427" s="13"/>
      <c r="AG427" s="37"/>
      <c r="AH427" s="37"/>
      <c r="AI427" s="14"/>
      <c r="AJ427" s="14"/>
      <c r="AK427" s="14"/>
      <c r="BB427" s="24"/>
    </row>
    <row r="428">
      <c r="B428" s="24"/>
      <c r="E428" s="113"/>
      <c r="F428" s="266"/>
      <c r="G428" s="113"/>
      <c r="K428" s="36"/>
      <c r="L428" s="117"/>
      <c r="M428" s="128"/>
      <c r="N428" s="117"/>
      <c r="R428" s="117"/>
      <c r="T428" s="117"/>
      <c r="V428" s="117"/>
      <c r="Z428" s="117"/>
      <c r="AA428" s="10"/>
      <c r="AB428" s="11"/>
      <c r="AC428" s="36"/>
      <c r="AD428" s="36"/>
      <c r="AE428" s="13"/>
      <c r="AF428" s="13"/>
      <c r="AG428" s="37"/>
      <c r="AH428" s="37"/>
      <c r="AI428" s="14"/>
      <c r="AJ428" s="14"/>
      <c r="AK428" s="14"/>
      <c r="BB428" s="24"/>
    </row>
    <row r="429">
      <c r="B429" s="24"/>
      <c r="E429" s="113"/>
      <c r="F429" s="266"/>
      <c r="G429" s="113"/>
      <c r="K429" s="36"/>
      <c r="L429" s="117"/>
      <c r="M429" s="128"/>
      <c r="N429" s="117"/>
      <c r="R429" s="117"/>
      <c r="T429" s="117"/>
      <c r="V429" s="117"/>
      <c r="Z429" s="117"/>
      <c r="AA429" s="10"/>
      <c r="AB429" s="11"/>
      <c r="AC429" s="36"/>
      <c r="AD429" s="36"/>
      <c r="AE429" s="13"/>
      <c r="AF429" s="13"/>
      <c r="AG429" s="37"/>
      <c r="AH429" s="37"/>
      <c r="AI429" s="14"/>
      <c r="AJ429" s="14"/>
      <c r="AK429" s="14"/>
      <c r="BB429" s="24"/>
    </row>
    <row r="430">
      <c r="B430" s="24"/>
      <c r="E430" s="113"/>
      <c r="F430" s="266"/>
      <c r="G430" s="113"/>
      <c r="K430" s="36"/>
      <c r="L430" s="117"/>
      <c r="M430" s="128"/>
      <c r="N430" s="117"/>
      <c r="R430" s="117"/>
      <c r="T430" s="117"/>
      <c r="V430" s="117"/>
      <c r="Z430" s="117"/>
      <c r="AA430" s="10"/>
      <c r="AB430" s="11"/>
      <c r="AC430" s="36"/>
      <c r="AD430" s="36"/>
      <c r="AE430" s="13"/>
      <c r="AF430" s="13"/>
      <c r="AG430" s="37"/>
      <c r="AH430" s="37"/>
      <c r="AI430" s="14"/>
      <c r="AJ430" s="14"/>
      <c r="AK430" s="14"/>
      <c r="BB430" s="24"/>
    </row>
    <row r="431">
      <c r="B431" s="24"/>
      <c r="E431" s="113"/>
      <c r="F431" s="266"/>
      <c r="G431" s="113"/>
      <c r="K431" s="36"/>
      <c r="L431" s="117"/>
      <c r="M431" s="128"/>
      <c r="N431" s="117"/>
      <c r="R431" s="117"/>
      <c r="T431" s="117"/>
      <c r="V431" s="117"/>
      <c r="Z431" s="117"/>
      <c r="AA431" s="10"/>
      <c r="AB431" s="11"/>
      <c r="AC431" s="36"/>
      <c r="AD431" s="36"/>
      <c r="AE431" s="13"/>
      <c r="AF431" s="13"/>
      <c r="AG431" s="37"/>
      <c r="AH431" s="37"/>
      <c r="AI431" s="14"/>
      <c r="AJ431" s="14"/>
      <c r="AK431" s="14"/>
      <c r="BB431" s="24"/>
    </row>
    <row r="432">
      <c r="B432" s="24"/>
      <c r="E432" s="113"/>
      <c r="F432" s="266"/>
      <c r="G432" s="113"/>
      <c r="K432" s="36"/>
      <c r="L432" s="117"/>
      <c r="M432" s="128"/>
      <c r="N432" s="117"/>
      <c r="R432" s="117"/>
      <c r="T432" s="117"/>
      <c r="V432" s="117"/>
      <c r="Z432" s="117"/>
      <c r="AA432" s="10"/>
      <c r="AB432" s="11"/>
      <c r="AC432" s="36"/>
      <c r="AD432" s="36"/>
      <c r="AE432" s="13"/>
      <c r="AF432" s="13"/>
      <c r="AG432" s="37"/>
      <c r="AH432" s="37"/>
      <c r="AI432" s="14"/>
      <c r="AJ432" s="14"/>
      <c r="AK432" s="14"/>
      <c r="BB432" s="24"/>
    </row>
    <row r="433">
      <c r="B433" s="24"/>
      <c r="E433" s="113"/>
      <c r="F433" s="266"/>
      <c r="G433" s="113"/>
      <c r="K433" s="36"/>
      <c r="L433" s="117"/>
      <c r="M433" s="128"/>
      <c r="N433" s="117"/>
      <c r="R433" s="117"/>
      <c r="T433" s="117"/>
      <c r="V433" s="117"/>
      <c r="Z433" s="117"/>
      <c r="AA433" s="10"/>
      <c r="AB433" s="11"/>
      <c r="AC433" s="36"/>
      <c r="AD433" s="36"/>
      <c r="AE433" s="13"/>
      <c r="AF433" s="13"/>
      <c r="AG433" s="37"/>
      <c r="AH433" s="37"/>
      <c r="AI433" s="14"/>
      <c r="AJ433" s="14"/>
      <c r="AK433" s="14"/>
      <c r="BB433" s="24"/>
    </row>
    <row r="434">
      <c r="B434" s="24"/>
      <c r="E434" s="113"/>
      <c r="F434" s="266"/>
      <c r="G434" s="113"/>
      <c r="K434" s="36"/>
      <c r="L434" s="117"/>
      <c r="M434" s="128"/>
      <c r="N434" s="117"/>
      <c r="R434" s="117"/>
      <c r="T434" s="117"/>
      <c r="V434" s="117"/>
      <c r="Z434" s="117"/>
      <c r="AA434" s="10"/>
      <c r="AB434" s="11"/>
      <c r="AC434" s="36"/>
      <c r="AD434" s="36"/>
      <c r="AE434" s="13"/>
      <c r="AF434" s="13"/>
      <c r="AG434" s="37"/>
      <c r="AH434" s="37"/>
      <c r="AI434" s="14"/>
      <c r="AJ434" s="14"/>
      <c r="AK434" s="14"/>
      <c r="BB434" s="24"/>
    </row>
    <row r="435">
      <c r="B435" s="24"/>
      <c r="E435" s="113"/>
      <c r="F435" s="266"/>
      <c r="G435" s="113"/>
      <c r="K435" s="36"/>
      <c r="L435" s="117"/>
      <c r="M435" s="128"/>
      <c r="N435" s="117"/>
      <c r="R435" s="117"/>
      <c r="T435" s="117"/>
      <c r="V435" s="117"/>
      <c r="Z435" s="117"/>
      <c r="AA435" s="10"/>
      <c r="AB435" s="11"/>
      <c r="AC435" s="36"/>
      <c r="AD435" s="36"/>
      <c r="AE435" s="13"/>
      <c r="AF435" s="13"/>
      <c r="AG435" s="37"/>
      <c r="AH435" s="37"/>
      <c r="AI435" s="14"/>
      <c r="AJ435" s="14"/>
      <c r="AK435" s="14"/>
      <c r="BB435" s="24"/>
    </row>
    <row r="436">
      <c r="B436" s="24"/>
      <c r="E436" s="113"/>
      <c r="F436" s="266"/>
      <c r="G436" s="113"/>
      <c r="K436" s="36"/>
      <c r="L436" s="117"/>
      <c r="M436" s="128"/>
      <c r="N436" s="117"/>
      <c r="R436" s="117"/>
      <c r="T436" s="117"/>
      <c r="V436" s="117"/>
      <c r="Z436" s="117"/>
      <c r="AA436" s="10"/>
      <c r="AB436" s="11"/>
      <c r="AC436" s="36"/>
      <c r="AD436" s="36"/>
      <c r="AE436" s="13"/>
      <c r="AF436" s="13"/>
      <c r="AG436" s="37"/>
      <c r="AH436" s="37"/>
      <c r="AI436" s="14"/>
      <c r="AJ436" s="14"/>
      <c r="AK436" s="14"/>
      <c r="BB436" s="24"/>
    </row>
    <row r="437">
      <c r="B437" s="24"/>
      <c r="E437" s="113"/>
      <c r="F437" s="266"/>
      <c r="G437" s="113"/>
      <c r="K437" s="36"/>
      <c r="L437" s="117"/>
      <c r="M437" s="128"/>
      <c r="N437" s="117"/>
      <c r="R437" s="117"/>
      <c r="T437" s="117"/>
      <c r="V437" s="117"/>
      <c r="Z437" s="117"/>
      <c r="AA437" s="10"/>
      <c r="AB437" s="11"/>
      <c r="AC437" s="36"/>
      <c r="AD437" s="36"/>
      <c r="AE437" s="13"/>
      <c r="AF437" s="13"/>
      <c r="AG437" s="37"/>
      <c r="AH437" s="37"/>
      <c r="AI437" s="14"/>
      <c r="AJ437" s="14"/>
      <c r="AK437" s="14"/>
      <c r="BB437" s="24"/>
    </row>
    <row r="438">
      <c r="B438" s="24"/>
      <c r="E438" s="113"/>
      <c r="F438" s="266"/>
      <c r="G438" s="113"/>
      <c r="K438" s="36"/>
      <c r="L438" s="117"/>
      <c r="M438" s="128"/>
      <c r="N438" s="117"/>
      <c r="R438" s="117"/>
      <c r="T438" s="117"/>
      <c r="V438" s="117"/>
      <c r="Z438" s="117"/>
      <c r="AA438" s="10"/>
      <c r="AB438" s="11"/>
      <c r="AC438" s="36"/>
      <c r="AD438" s="36"/>
      <c r="AE438" s="13"/>
      <c r="AF438" s="13"/>
      <c r="AG438" s="37"/>
      <c r="AH438" s="37"/>
      <c r="AI438" s="14"/>
      <c r="AJ438" s="14"/>
      <c r="AK438" s="14"/>
      <c r="BB438" s="24"/>
    </row>
    <row r="439">
      <c r="B439" s="24"/>
      <c r="E439" s="113"/>
      <c r="F439" s="266"/>
      <c r="G439" s="113"/>
      <c r="K439" s="36"/>
      <c r="L439" s="117"/>
      <c r="M439" s="128"/>
      <c r="N439" s="117"/>
      <c r="R439" s="117"/>
      <c r="T439" s="117"/>
      <c r="V439" s="117"/>
      <c r="Z439" s="117"/>
      <c r="AA439" s="10"/>
      <c r="AB439" s="11"/>
      <c r="AC439" s="36"/>
      <c r="AD439" s="36"/>
      <c r="AE439" s="13"/>
      <c r="AF439" s="13"/>
      <c r="AG439" s="37"/>
      <c r="AH439" s="37"/>
      <c r="AI439" s="14"/>
      <c r="AJ439" s="14"/>
      <c r="AK439" s="14"/>
      <c r="BB439" s="24"/>
    </row>
    <row r="440">
      <c r="B440" s="24"/>
      <c r="E440" s="113"/>
      <c r="F440" s="266"/>
      <c r="G440" s="113"/>
      <c r="K440" s="36"/>
      <c r="L440" s="117"/>
      <c r="M440" s="128"/>
      <c r="N440" s="117"/>
      <c r="R440" s="117"/>
      <c r="T440" s="117"/>
      <c r="V440" s="117"/>
      <c r="Z440" s="117"/>
      <c r="AA440" s="10"/>
      <c r="AB440" s="11"/>
      <c r="AC440" s="36"/>
      <c r="AD440" s="36"/>
      <c r="AE440" s="13"/>
      <c r="AF440" s="13"/>
      <c r="AG440" s="37"/>
      <c r="AH440" s="37"/>
      <c r="AI440" s="14"/>
      <c r="AJ440" s="14"/>
      <c r="AK440" s="14"/>
      <c r="BB440" s="24"/>
    </row>
    <row r="441">
      <c r="B441" s="24"/>
      <c r="E441" s="113"/>
      <c r="F441" s="266"/>
      <c r="G441" s="113"/>
      <c r="K441" s="36"/>
      <c r="L441" s="117"/>
      <c r="M441" s="128"/>
      <c r="N441" s="117"/>
      <c r="R441" s="117"/>
      <c r="T441" s="117"/>
      <c r="V441" s="117"/>
      <c r="Z441" s="117"/>
      <c r="AA441" s="10"/>
      <c r="AB441" s="11"/>
      <c r="AC441" s="36"/>
      <c r="AD441" s="36"/>
      <c r="AE441" s="13"/>
      <c r="AF441" s="13"/>
      <c r="AG441" s="37"/>
      <c r="AH441" s="37"/>
      <c r="AI441" s="14"/>
      <c r="AJ441" s="14"/>
      <c r="AK441" s="14"/>
      <c r="BB441" s="24"/>
    </row>
    <row r="442">
      <c r="B442" s="24"/>
      <c r="E442" s="113"/>
      <c r="F442" s="266"/>
      <c r="G442" s="113"/>
      <c r="K442" s="36"/>
      <c r="L442" s="117"/>
      <c r="M442" s="128"/>
      <c r="N442" s="117"/>
      <c r="R442" s="117"/>
      <c r="T442" s="117"/>
      <c r="V442" s="117"/>
      <c r="Z442" s="117"/>
      <c r="AA442" s="10"/>
      <c r="AB442" s="11"/>
      <c r="AC442" s="36"/>
      <c r="AD442" s="36"/>
      <c r="AE442" s="13"/>
      <c r="AF442" s="13"/>
      <c r="AG442" s="37"/>
      <c r="AH442" s="37"/>
      <c r="AI442" s="14"/>
      <c r="AJ442" s="14"/>
      <c r="AK442" s="14"/>
      <c r="BB442" s="24"/>
    </row>
    <row r="443">
      <c r="B443" s="24"/>
      <c r="E443" s="113"/>
      <c r="F443" s="266"/>
      <c r="G443" s="113"/>
      <c r="K443" s="36"/>
      <c r="L443" s="117"/>
      <c r="M443" s="128"/>
      <c r="N443" s="117"/>
      <c r="R443" s="117"/>
      <c r="T443" s="117"/>
      <c r="V443" s="117"/>
      <c r="Z443" s="117"/>
      <c r="AA443" s="10"/>
      <c r="AB443" s="11"/>
      <c r="AC443" s="36"/>
      <c r="AD443" s="36"/>
      <c r="AE443" s="13"/>
      <c r="AF443" s="13"/>
      <c r="AG443" s="37"/>
      <c r="AH443" s="37"/>
      <c r="AI443" s="14"/>
      <c r="AJ443" s="14"/>
      <c r="AK443" s="14"/>
      <c r="BB443" s="24"/>
    </row>
    <row r="444">
      <c r="B444" s="24"/>
      <c r="E444" s="113"/>
      <c r="F444" s="266"/>
      <c r="G444" s="113"/>
      <c r="K444" s="36"/>
      <c r="L444" s="117"/>
      <c r="M444" s="128"/>
      <c r="N444" s="117"/>
      <c r="R444" s="117"/>
      <c r="T444" s="117"/>
      <c r="V444" s="117"/>
      <c r="Z444" s="117"/>
      <c r="AA444" s="10"/>
      <c r="AB444" s="11"/>
      <c r="AC444" s="36"/>
      <c r="AD444" s="36"/>
      <c r="AE444" s="13"/>
      <c r="AF444" s="13"/>
      <c r="AG444" s="37"/>
      <c r="AH444" s="37"/>
      <c r="AI444" s="14"/>
      <c r="AJ444" s="14"/>
      <c r="AK444" s="14"/>
      <c r="BB444" s="24"/>
    </row>
    <row r="445">
      <c r="B445" s="24"/>
      <c r="E445" s="113"/>
      <c r="F445" s="266"/>
      <c r="G445" s="113"/>
      <c r="K445" s="36"/>
      <c r="L445" s="117"/>
      <c r="M445" s="128"/>
      <c r="N445" s="117"/>
      <c r="R445" s="117"/>
      <c r="T445" s="117"/>
      <c r="V445" s="117"/>
      <c r="Z445" s="117"/>
      <c r="AA445" s="10"/>
      <c r="AB445" s="11"/>
      <c r="AC445" s="36"/>
      <c r="AD445" s="36"/>
      <c r="AE445" s="13"/>
      <c r="AF445" s="13"/>
      <c r="AG445" s="37"/>
      <c r="AH445" s="37"/>
      <c r="AI445" s="14"/>
      <c r="AJ445" s="14"/>
      <c r="AK445" s="14"/>
      <c r="BB445" s="24"/>
    </row>
    <row r="446">
      <c r="B446" s="24"/>
      <c r="E446" s="113"/>
      <c r="F446" s="266"/>
      <c r="G446" s="113"/>
      <c r="K446" s="36"/>
      <c r="L446" s="117"/>
      <c r="M446" s="128"/>
      <c r="N446" s="117"/>
      <c r="R446" s="117"/>
      <c r="T446" s="117"/>
      <c r="V446" s="117"/>
      <c r="Z446" s="117"/>
      <c r="AA446" s="10"/>
      <c r="AB446" s="11"/>
      <c r="AC446" s="36"/>
      <c r="AD446" s="36"/>
      <c r="AE446" s="13"/>
      <c r="AF446" s="13"/>
      <c r="AG446" s="37"/>
      <c r="AH446" s="37"/>
      <c r="AI446" s="14"/>
      <c r="AJ446" s="14"/>
      <c r="AK446" s="14"/>
      <c r="BB446" s="24"/>
    </row>
    <row r="447">
      <c r="B447" s="24"/>
      <c r="E447" s="113"/>
      <c r="F447" s="266"/>
      <c r="G447" s="113"/>
      <c r="K447" s="36"/>
      <c r="L447" s="117"/>
      <c r="M447" s="128"/>
      <c r="N447" s="117"/>
      <c r="R447" s="117"/>
      <c r="T447" s="117"/>
      <c r="V447" s="117"/>
      <c r="Z447" s="117"/>
      <c r="AA447" s="10"/>
      <c r="AB447" s="11"/>
      <c r="AC447" s="36"/>
      <c r="AD447" s="36"/>
      <c r="AE447" s="13"/>
      <c r="AF447" s="13"/>
      <c r="AG447" s="37"/>
      <c r="AH447" s="37"/>
      <c r="AI447" s="14"/>
      <c r="AJ447" s="14"/>
      <c r="AK447" s="14"/>
      <c r="BB447" s="24"/>
    </row>
    <row r="448">
      <c r="B448" s="24"/>
      <c r="E448" s="113"/>
      <c r="F448" s="266"/>
      <c r="G448" s="113"/>
      <c r="K448" s="36"/>
      <c r="L448" s="117"/>
      <c r="M448" s="128"/>
      <c r="N448" s="117"/>
      <c r="R448" s="117"/>
      <c r="T448" s="117"/>
      <c r="V448" s="117"/>
      <c r="Z448" s="117"/>
      <c r="AA448" s="10"/>
      <c r="AB448" s="11"/>
      <c r="AC448" s="36"/>
      <c r="AD448" s="36"/>
      <c r="AE448" s="13"/>
      <c r="AF448" s="13"/>
      <c r="AG448" s="37"/>
      <c r="AH448" s="37"/>
      <c r="AI448" s="14"/>
      <c r="AJ448" s="14"/>
      <c r="AK448" s="14"/>
      <c r="BB448" s="24"/>
    </row>
    <row r="449">
      <c r="B449" s="24"/>
      <c r="E449" s="113"/>
      <c r="F449" s="266"/>
      <c r="G449" s="113"/>
      <c r="K449" s="36"/>
      <c r="L449" s="117"/>
      <c r="M449" s="128"/>
      <c r="N449" s="117"/>
      <c r="R449" s="117"/>
      <c r="T449" s="117"/>
      <c r="V449" s="117"/>
      <c r="Z449" s="117"/>
      <c r="AA449" s="10"/>
      <c r="AB449" s="11"/>
      <c r="AC449" s="36"/>
      <c r="AD449" s="36"/>
      <c r="AE449" s="13"/>
      <c r="AF449" s="13"/>
      <c r="AG449" s="37"/>
      <c r="AH449" s="37"/>
      <c r="AI449" s="14"/>
      <c r="AJ449" s="14"/>
      <c r="AK449" s="14"/>
      <c r="BB449" s="24"/>
    </row>
    <row r="450">
      <c r="B450" s="24"/>
      <c r="E450" s="113"/>
      <c r="F450" s="266"/>
      <c r="G450" s="113"/>
      <c r="K450" s="36"/>
      <c r="L450" s="117"/>
      <c r="M450" s="128"/>
      <c r="N450" s="117"/>
      <c r="R450" s="117"/>
      <c r="T450" s="117"/>
      <c r="V450" s="117"/>
      <c r="Z450" s="117"/>
      <c r="AA450" s="10"/>
      <c r="AB450" s="11"/>
      <c r="AC450" s="36"/>
      <c r="AD450" s="36"/>
      <c r="AE450" s="13"/>
      <c r="AF450" s="13"/>
      <c r="AG450" s="37"/>
      <c r="AH450" s="37"/>
      <c r="AI450" s="14"/>
      <c r="AJ450" s="14"/>
      <c r="AK450" s="14"/>
      <c r="BB450" s="24"/>
    </row>
    <row r="451">
      <c r="B451" s="24"/>
      <c r="E451" s="113"/>
      <c r="F451" s="266"/>
      <c r="G451" s="113"/>
      <c r="K451" s="36"/>
      <c r="L451" s="117"/>
      <c r="M451" s="128"/>
      <c r="N451" s="117"/>
      <c r="R451" s="117"/>
      <c r="T451" s="117"/>
      <c r="V451" s="117"/>
      <c r="Z451" s="117"/>
      <c r="AA451" s="10"/>
      <c r="AB451" s="11"/>
      <c r="AC451" s="36"/>
      <c r="AD451" s="36"/>
      <c r="AE451" s="13"/>
      <c r="AF451" s="13"/>
      <c r="AG451" s="37"/>
      <c r="AH451" s="37"/>
      <c r="AI451" s="14"/>
      <c r="AJ451" s="14"/>
      <c r="AK451" s="14"/>
      <c r="BB451" s="24"/>
    </row>
    <row r="452">
      <c r="B452" s="24"/>
      <c r="E452" s="113"/>
      <c r="F452" s="266"/>
      <c r="G452" s="113"/>
      <c r="K452" s="36"/>
      <c r="L452" s="117"/>
      <c r="M452" s="128"/>
      <c r="N452" s="117"/>
      <c r="R452" s="117"/>
      <c r="T452" s="117"/>
      <c r="V452" s="117"/>
      <c r="Z452" s="117"/>
      <c r="AA452" s="10"/>
      <c r="AB452" s="11"/>
      <c r="AC452" s="36"/>
      <c r="AD452" s="36"/>
      <c r="AE452" s="13"/>
      <c r="AF452" s="13"/>
      <c r="AG452" s="37"/>
      <c r="AH452" s="37"/>
      <c r="AI452" s="14"/>
      <c r="AJ452" s="14"/>
      <c r="AK452" s="14"/>
      <c r="BB452" s="24"/>
    </row>
    <row r="453">
      <c r="B453" s="24"/>
      <c r="E453" s="113"/>
      <c r="F453" s="266"/>
      <c r="G453" s="113"/>
      <c r="K453" s="36"/>
      <c r="L453" s="117"/>
      <c r="M453" s="128"/>
      <c r="N453" s="117"/>
      <c r="R453" s="117"/>
      <c r="T453" s="117"/>
      <c r="V453" s="117"/>
      <c r="Z453" s="117"/>
      <c r="AA453" s="10"/>
      <c r="AB453" s="11"/>
      <c r="AC453" s="36"/>
      <c r="AD453" s="36"/>
      <c r="AE453" s="13"/>
      <c r="AF453" s="13"/>
      <c r="AG453" s="37"/>
      <c r="AH453" s="37"/>
      <c r="AI453" s="14"/>
      <c r="AJ453" s="14"/>
      <c r="AK453" s="14"/>
      <c r="BB453" s="24"/>
    </row>
    <row r="454">
      <c r="B454" s="24"/>
      <c r="E454" s="113"/>
      <c r="F454" s="266"/>
      <c r="G454" s="113"/>
      <c r="K454" s="36"/>
      <c r="L454" s="117"/>
      <c r="M454" s="128"/>
      <c r="N454" s="117"/>
      <c r="R454" s="117"/>
      <c r="T454" s="117"/>
      <c r="V454" s="117"/>
      <c r="Z454" s="117"/>
      <c r="AA454" s="10"/>
      <c r="AB454" s="11"/>
      <c r="AC454" s="36"/>
      <c r="AD454" s="36"/>
      <c r="AE454" s="13"/>
      <c r="AF454" s="13"/>
      <c r="AG454" s="37"/>
      <c r="AH454" s="37"/>
      <c r="AI454" s="14"/>
      <c r="AJ454" s="14"/>
      <c r="AK454" s="14"/>
      <c r="BB454" s="24"/>
    </row>
    <row r="455">
      <c r="B455" s="24"/>
      <c r="E455" s="113"/>
      <c r="F455" s="266"/>
      <c r="G455" s="113"/>
      <c r="K455" s="36"/>
      <c r="L455" s="117"/>
      <c r="M455" s="128"/>
      <c r="N455" s="117"/>
      <c r="R455" s="117"/>
      <c r="T455" s="117"/>
      <c r="V455" s="117"/>
      <c r="Z455" s="117"/>
      <c r="AA455" s="10"/>
      <c r="AB455" s="11"/>
      <c r="AC455" s="36"/>
      <c r="AD455" s="36"/>
      <c r="AE455" s="13"/>
      <c r="AF455" s="13"/>
      <c r="AG455" s="37"/>
      <c r="AH455" s="37"/>
      <c r="AI455" s="14"/>
      <c r="AJ455" s="14"/>
      <c r="AK455" s="14"/>
      <c r="BB455" s="24"/>
    </row>
    <row r="456">
      <c r="B456" s="24"/>
      <c r="E456" s="113"/>
      <c r="F456" s="266"/>
      <c r="G456" s="113"/>
      <c r="K456" s="36"/>
      <c r="L456" s="117"/>
      <c r="M456" s="128"/>
      <c r="N456" s="117"/>
      <c r="R456" s="117"/>
      <c r="T456" s="117"/>
      <c r="V456" s="117"/>
      <c r="Z456" s="117"/>
      <c r="AA456" s="10"/>
      <c r="AB456" s="11"/>
      <c r="AC456" s="36"/>
      <c r="AD456" s="36"/>
      <c r="AE456" s="13"/>
      <c r="AF456" s="13"/>
      <c r="AG456" s="37"/>
      <c r="AH456" s="37"/>
      <c r="AI456" s="14"/>
      <c r="AJ456" s="14"/>
      <c r="AK456" s="14"/>
      <c r="BB456" s="24"/>
    </row>
    <row r="457">
      <c r="B457" s="24"/>
      <c r="E457" s="113"/>
      <c r="F457" s="266"/>
      <c r="G457" s="113"/>
      <c r="K457" s="36"/>
      <c r="L457" s="117"/>
      <c r="M457" s="128"/>
      <c r="N457" s="117"/>
      <c r="R457" s="117"/>
      <c r="T457" s="117"/>
      <c r="V457" s="117"/>
      <c r="Z457" s="117"/>
      <c r="AA457" s="10"/>
      <c r="AB457" s="11"/>
      <c r="AC457" s="36"/>
      <c r="AD457" s="36"/>
      <c r="AE457" s="13"/>
      <c r="AF457" s="13"/>
      <c r="AG457" s="37"/>
      <c r="AH457" s="37"/>
      <c r="AI457" s="14"/>
      <c r="AJ457" s="14"/>
      <c r="AK457" s="14"/>
      <c r="BB457" s="24"/>
    </row>
    <row r="458">
      <c r="B458" s="24"/>
      <c r="E458" s="113"/>
      <c r="F458" s="266"/>
      <c r="G458" s="113"/>
      <c r="K458" s="36"/>
      <c r="L458" s="117"/>
      <c r="M458" s="128"/>
      <c r="N458" s="117"/>
      <c r="R458" s="117"/>
      <c r="T458" s="117"/>
      <c r="V458" s="117"/>
      <c r="Z458" s="117"/>
      <c r="AA458" s="10"/>
      <c r="AB458" s="11"/>
      <c r="AC458" s="36"/>
      <c r="AD458" s="36"/>
      <c r="AE458" s="13"/>
      <c r="AF458" s="13"/>
      <c r="AG458" s="37"/>
      <c r="AH458" s="37"/>
      <c r="AI458" s="14"/>
      <c r="AJ458" s="14"/>
      <c r="AK458" s="14"/>
      <c r="BB458" s="24"/>
    </row>
    <row r="459">
      <c r="B459" s="24"/>
      <c r="E459" s="113"/>
      <c r="F459" s="266"/>
      <c r="G459" s="113"/>
      <c r="K459" s="36"/>
      <c r="L459" s="117"/>
      <c r="M459" s="128"/>
      <c r="N459" s="117"/>
      <c r="R459" s="117"/>
      <c r="T459" s="117"/>
      <c r="V459" s="117"/>
      <c r="Z459" s="117"/>
      <c r="AA459" s="10"/>
      <c r="AB459" s="11"/>
      <c r="AC459" s="36"/>
      <c r="AD459" s="36"/>
      <c r="AE459" s="13"/>
      <c r="AF459" s="13"/>
      <c r="AG459" s="37"/>
      <c r="AH459" s="37"/>
      <c r="AI459" s="14"/>
      <c r="AJ459" s="14"/>
      <c r="AK459" s="14"/>
      <c r="BB459" s="24"/>
    </row>
    <row r="460">
      <c r="B460" s="24"/>
      <c r="E460" s="113"/>
      <c r="F460" s="266"/>
      <c r="G460" s="113"/>
      <c r="K460" s="36"/>
      <c r="L460" s="117"/>
      <c r="M460" s="128"/>
      <c r="N460" s="117"/>
      <c r="R460" s="117"/>
      <c r="T460" s="117"/>
      <c r="V460" s="117"/>
      <c r="Z460" s="117"/>
      <c r="AA460" s="10"/>
      <c r="AB460" s="11"/>
      <c r="AC460" s="36"/>
      <c r="AD460" s="36"/>
      <c r="AE460" s="13"/>
      <c r="AF460" s="13"/>
      <c r="AG460" s="37"/>
      <c r="AH460" s="37"/>
      <c r="AI460" s="14"/>
      <c r="AJ460" s="14"/>
      <c r="AK460" s="14"/>
      <c r="BB460" s="24"/>
    </row>
    <row r="461">
      <c r="B461" s="24"/>
      <c r="E461" s="113"/>
      <c r="F461" s="266"/>
      <c r="G461" s="113"/>
      <c r="K461" s="36"/>
      <c r="L461" s="117"/>
      <c r="M461" s="128"/>
      <c r="N461" s="117"/>
      <c r="R461" s="117"/>
      <c r="T461" s="117"/>
      <c r="V461" s="117"/>
      <c r="Z461" s="117"/>
      <c r="AA461" s="10"/>
      <c r="AB461" s="11"/>
      <c r="AC461" s="36"/>
      <c r="AD461" s="36"/>
      <c r="AE461" s="13"/>
      <c r="AF461" s="13"/>
      <c r="AG461" s="37"/>
      <c r="AH461" s="37"/>
      <c r="AI461" s="14"/>
      <c r="AJ461" s="14"/>
      <c r="AK461" s="14"/>
      <c r="BB461" s="24"/>
    </row>
    <row r="462">
      <c r="B462" s="24"/>
      <c r="E462" s="113"/>
      <c r="F462" s="266"/>
      <c r="G462" s="113"/>
      <c r="K462" s="36"/>
      <c r="L462" s="117"/>
      <c r="M462" s="128"/>
      <c r="N462" s="117"/>
      <c r="R462" s="117"/>
      <c r="T462" s="117"/>
      <c r="V462" s="117"/>
      <c r="Z462" s="117"/>
      <c r="AA462" s="10"/>
      <c r="AB462" s="11"/>
      <c r="AC462" s="36"/>
      <c r="AD462" s="36"/>
      <c r="AE462" s="13"/>
      <c r="AF462" s="13"/>
      <c r="AG462" s="37"/>
      <c r="AH462" s="37"/>
      <c r="AI462" s="14"/>
      <c r="AJ462" s="14"/>
      <c r="AK462" s="14"/>
      <c r="BB462" s="24"/>
    </row>
    <row r="463">
      <c r="B463" s="24"/>
      <c r="E463" s="113"/>
      <c r="F463" s="266"/>
      <c r="G463" s="113"/>
      <c r="K463" s="36"/>
      <c r="L463" s="117"/>
      <c r="M463" s="128"/>
      <c r="N463" s="117"/>
      <c r="R463" s="117"/>
      <c r="T463" s="117"/>
      <c r="V463" s="117"/>
      <c r="Z463" s="117"/>
      <c r="AA463" s="10"/>
      <c r="AB463" s="11"/>
      <c r="AC463" s="36"/>
      <c r="AD463" s="36"/>
      <c r="AE463" s="13"/>
      <c r="AF463" s="13"/>
      <c r="AG463" s="37"/>
      <c r="AH463" s="37"/>
      <c r="AI463" s="14"/>
      <c r="AJ463" s="14"/>
      <c r="AK463" s="14"/>
      <c r="BB463" s="24"/>
    </row>
    <row r="464">
      <c r="B464" s="24"/>
      <c r="E464" s="113"/>
      <c r="F464" s="266"/>
      <c r="G464" s="113"/>
      <c r="K464" s="36"/>
      <c r="L464" s="117"/>
      <c r="M464" s="128"/>
      <c r="N464" s="117"/>
      <c r="R464" s="117"/>
      <c r="T464" s="117"/>
      <c r="V464" s="117"/>
      <c r="Z464" s="117"/>
      <c r="AA464" s="10"/>
      <c r="AB464" s="11"/>
      <c r="AC464" s="36"/>
      <c r="AD464" s="36"/>
      <c r="AE464" s="13"/>
      <c r="AF464" s="13"/>
      <c r="AG464" s="37"/>
      <c r="AH464" s="37"/>
      <c r="AI464" s="14"/>
      <c r="AJ464" s="14"/>
      <c r="AK464" s="14"/>
      <c r="BB464" s="24"/>
    </row>
    <row r="465">
      <c r="B465" s="24"/>
      <c r="E465" s="113"/>
      <c r="F465" s="266"/>
      <c r="G465" s="113"/>
      <c r="K465" s="36"/>
      <c r="L465" s="117"/>
      <c r="M465" s="128"/>
      <c r="N465" s="117"/>
      <c r="R465" s="117"/>
      <c r="T465" s="117"/>
      <c r="V465" s="117"/>
      <c r="Z465" s="117"/>
      <c r="AA465" s="10"/>
      <c r="AB465" s="11"/>
      <c r="AC465" s="36"/>
      <c r="AD465" s="36"/>
      <c r="AE465" s="13"/>
      <c r="AF465" s="13"/>
      <c r="AG465" s="37"/>
      <c r="AH465" s="37"/>
      <c r="AI465" s="14"/>
      <c r="AJ465" s="14"/>
      <c r="AK465" s="14"/>
      <c r="BB465" s="24"/>
    </row>
    <row r="466">
      <c r="B466" s="24"/>
      <c r="E466" s="113"/>
      <c r="F466" s="266"/>
      <c r="G466" s="113"/>
      <c r="K466" s="36"/>
      <c r="L466" s="117"/>
      <c r="M466" s="128"/>
      <c r="N466" s="117"/>
      <c r="R466" s="117"/>
      <c r="T466" s="117"/>
      <c r="V466" s="117"/>
      <c r="Z466" s="117"/>
      <c r="AA466" s="10"/>
      <c r="AB466" s="11"/>
      <c r="AC466" s="36"/>
      <c r="AD466" s="36"/>
      <c r="AE466" s="13"/>
      <c r="AF466" s="13"/>
      <c r="AG466" s="37"/>
      <c r="AH466" s="37"/>
      <c r="AI466" s="14"/>
      <c r="AJ466" s="14"/>
      <c r="AK466" s="14"/>
      <c r="BB466" s="24"/>
    </row>
    <row r="467">
      <c r="B467" s="24"/>
      <c r="E467" s="113"/>
      <c r="F467" s="266"/>
      <c r="G467" s="113"/>
      <c r="K467" s="36"/>
      <c r="L467" s="117"/>
      <c r="M467" s="128"/>
      <c r="N467" s="117"/>
      <c r="R467" s="117"/>
      <c r="T467" s="117"/>
      <c r="V467" s="117"/>
      <c r="Z467" s="117"/>
      <c r="AA467" s="10"/>
      <c r="AB467" s="11"/>
      <c r="AC467" s="36"/>
      <c r="AD467" s="36"/>
      <c r="AE467" s="13"/>
      <c r="AF467" s="13"/>
      <c r="AG467" s="37"/>
      <c r="AH467" s="37"/>
      <c r="AI467" s="14"/>
      <c r="AJ467" s="14"/>
      <c r="AK467" s="14"/>
      <c r="BB467" s="24"/>
    </row>
    <row r="468">
      <c r="B468" s="24"/>
      <c r="E468" s="113"/>
      <c r="F468" s="266"/>
      <c r="G468" s="113"/>
      <c r="K468" s="36"/>
      <c r="L468" s="117"/>
      <c r="M468" s="128"/>
      <c r="N468" s="117"/>
      <c r="R468" s="117"/>
      <c r="T468" s="117"/>
      <c r="V468" s="117"/>
      <c r="Z468" s="117"/>
      <c r="AA468" s="10"/>
      <c r="AB468" s="11"/>
      <c r="AC468" s="36"/>
      <c r="AD468" s="36"/>
      <c r="AE468" s="13"/>
      <c r="AF468" s="13"/>
      <c r="AG468" s="37"/>
      <c r="AH468" s="37"/>
      <c r="AI468" s="14"/>
      <c r="AJ468" s="14"/>
      <c r="AK468" s="14"/>
      <c r="BB468" s="24"/>
    </row>
    <row r="469">
      <c r="B469" s="24"/>
      <c r="E469" s="113"/>
      <c r="F469" s="266"/>
      <c r="G469" s="113"/>
      <c r="K469" s="36"/>
      <c r="L469" s="117"/>
      <c r="M469" s="128"/>
      <c r="N469" s="117"/>
      <c r="R469" s="117"/>
      <c r="T469" s="117"/>
      <c r="V469" s="117"/>
      <c r="Z469" s="117"/>
      <c r="AA469" s="10"/>
      <c r="AB469" s="11"/>
      <c r="AC469" s="36"/>
      <c r="AD469" s="36"/>
      <c r="AE469" s="13"/>
      <c r="AF469" s="13"/>
      <c r="AG469" s="37"/>
      <c r="AH469" s="37"/>
      <c r="AI469" s="14"/>
      <c r="AJ469" s="14"/>
      <c r="AK469" s="14"/>
      <c r="BB469" s="24"/>
    </row>
    <row r="470">
      <c r="B470" s="24"/>
      <c r="E470" s="113"/>
      <c r="F470" s="266"/>
      <c r="G470" s="113"/>
      <c r="K470" s="36"/>
      <c r="L470" s="117"/>
      <c r="M470" s="128"/>
      <c r="N470" s="117"/>
      <c r="R470" s="117"/>
      <c r="T470" s="117"/>
      <c r="V470" s="117"/>
      <c r="Z470" s="117"/>
      <c r="AA470" s="10"/>
      <c r="AB470" s="11"/>
      <c r="AC470" s="36"/>
      <c r="AD470" s="36"/>
      <c r="AE470" s="13"/>
      <c r="AF470" s="13"/>
      <c r="AG470" s="37"/>
      <c r="AH470" s="37"/>
      <c r="AI470" s="14"/>
      <c r="AJ470" s="14"/>
      <c r="AK470" s="14"/>
      <c r="BB470" s="24"/>
    </row>
    <row r="471">
      <c r="B471" s="24"/>
      <c r="E471" s="113"/>
      <c r="F471" s="266"/>
      <c r="G471" s="113"/>
      <c r="K471" s="36"/>
      <c r="L471" s="117"/>
      <c r="M471" s="128"/>
      <c r="N471" s="117"/>
      <c r="R471" s="117"/>
      <c r="T471" s="117"/>
      <c r="V471" s="117"/>
      <c r="Z471" s="117"/>
      <c r="AA471" s="10"/>
      <c r="AB471" s="11"/>
      <c r="AC471" s="36"/>
      <c r="AD471" s="36"/>
      <c r="AE471" s="13"/>
      <c r="AF471" s="13"/>
      <c r="AG471" s="37"/>
      <c r="AH471" s="37"/>
      <c r="AI471" s="14"/>
      <c r="AJ471" s="14"/>
      <c r="AK471" s="14"/>
      <c r="BB471" s="24"/>
    </row>
    <row r="472">
      <c r="B472" s="24"/>
      <c r="E472" s="113"/>
      <c r="F472" s="266"/>
      <c r="G472" s="113"/>
      <c r="K472" s="36"/>
      <c r="L472" s="117"/>
      <c r="M472" s="128"/>
      <c r="N472" s="117"/>
      <c r="R472" s="117"/>
      <c r="T472" s="117"/>
      <c r="V472" s="117"/>
      <c r="Z472" s="117"/>
      <c r="AA472" s="10"/>
      <c r="AB472" s="11"/>
      <c r="AC472" s="36"/>
      <c r="AD472" s="36"/>
      <c r="AE472" s="13"/>
      <c r="AF472" s="13"/>
      <c r="AG472" s="37"/>
      <c r="AH472" s="37"/>
      <c r="AI472" s="14"/>
      <c r="AJ472" s="14"/>
      <c r="AK472" s="14"/>
      <c r="BB472" s="24"/>
    </row>
    <row r="473">
      <c r="B473" s="24"/>
      <c r="E473" s="113"/>
      <c r="F473" s="266"/>
      <c r="G473" s="113"/>
      <c r="K473" s="36"/>
      <c r="L473" s="117"/>
      <c r="M473" s="128"/>
      <c r="N473" s="117"/>
      <c r="R473" s="117"/>
      <c r="T473" s="117"/>
      <c r="V473" s="117"/>
      <c r="Z473" s="117"/>
      <c r="AA473" s="10"/>
      <c r="AB473" s="11"/>
      <c r="AC473" s="36"/>
      <c r="AD473" s="36"/>
      <c r="AE473" s="13"/>
      <c r="AF473" s="13"/>
      <c r="AG473" s="37"/>
      <c r="AH473" s="37"/>
      <c r="AI473" s="14"/>
      <c r="AJ473" s="14"/>
      <c r="AK473" s="14"/>
      <c r="BB473" s="24"/>
    </row>
    <row r="474">
      <c r="B474" s="24"/>
      <c r="E474" s="113"/>
      <c r="F474" s="266"/>
      <c r="G474" s="113"/>
      <c r="K474" s="36"/>
      <c r="L474" s="117"/>
      <c r="M474" s="128"/>
      <c r="N474" s="117"/>
      <c r="R474" s="117"/>
      <c r="T474" s="117"/>
      <c r="V474" s="117"/>
      <c r="Z474" s="117"/>
      <c r="AA474" s="10"/>
      <c r="AB474" s="11"/>
      <c r="AC474" s="36"/>
      <c r="AD474" s="36"/>
      <c r="AE474" s="13"/>
      <c r="AF474" s="13"/>
      <c r="AG474" s="37"/>
      <c r="AH474" s="37"/>
      <c r="AI474" s="14"/>
      <c r="AJ474" s="14"/>
      <c r="AK474" s="14"/>
      <c r="BB474" s="24"/>
    </row>
    <row r="475">
      <c r="B475" s="24"/>
      <c r="E475" s="113"/>
      <c r="F475" s="266"/>
      <c r="G475" s="113"/>
      <c r="K475" s="36"/>
      <c r="L475" s="117"/>
      <c r="M475" s="128"/>
      <c r="N475" s="117"/>
      <c r="R475" s="117"/>
      <c r="T475" s="117"/>
      <c r="V475" s="117"/>
      <c r="Z475" s="117"/>
      <c r="AA475" s="10"/>
      <c r="AB475" s="11"/>
      <c r="AC475" s="36"/>
      <c r="AD475" s="36"/>
      <c r="AE475" s="13"/>
      <c r="AF475" s="13"/>
      <c r="AG475" s="37"/>
      <c r="AH475" s="37"/>
      <c r="AI475" s="14"/>
      <c r="AJ475" s="14"/>
      <c r="AK475" s="14"/>
      <c r="BB475" s="24"/>
    </row>
    <row r="476">
      <c r="B476" s="24"/>
      <c r="E476" s="113"/>
      <c r="F476" s="266"/>
      <c r="G476" s="113"/>
      <c r="K476" s="36"/>
      <c r="L476" s="117"/>
      <c r="M476" s="128"/>
      <c r="N476" s="117"/>
      <c r="R476" s="117"/>
      <c r="T476" s="117"/>
      <c r="V476" s="117"/>
      <c r="Z476" s="117"/>
      <c r="AA476" s="10"/>
      <c r="AB476" s="11"/>
      <c r="AC476" s="36"/>
      <c r="AD476" s="36"/>
      <c r="AE476" s="13"/>
      <c r="AF476" s="13"/>
      <c r="AG476" s="37"/>
      <c r="AH476" s="37"/>
      <c r="AI476" s="14"/>
      <c r="AJ476" s="14"/>
      <c r="AK476" s="14"/>
      <c r="BB476" s="24"/>
    </row>
    <row r="477">
      <c r="B477" s="24"/>
      <c r="E477" s="113"/>
      <c r="F477" s="266"/>
      <c r="G477" s="113"/>
      <c r="K477" s="36"/>
      <c r="L477" s="117"/>
      <c r="M477" s="128"/>
      <c r="N477" s="117"/>
      <c r="R477" s="117"/>
      <c r="T477" s="117"/>
      <c r="V477" s="117"/>
      <c r="Z477" s="117"/>
      <c r="AA477" s="10"/>
      <c r="AB477" s="11"/>
      <c r="AC477" s="36"/>
      <c r="AD477" s="36"/>
      <c r="AE477" s="13"/>
      <c r="AF477" s="13"/>
      <c r="AG477" s="37"/>
      <c r="AH477" s="37"/>
      <c r="AI477" s="14"/>
      <c r="AJ477" s="14"/>
      <c r="AK477" s="14"/>
      <c r="BB477" s="24"/>
    </row>
    <row r="478">
      <c r="B478" s="24"/>
      <c r="E478" s="113"/>
      <c r="F478" s="266"/>
      <c r="G478" s="113"/>
      <c r="K478" s="36"/>
      <c r="L478" s="117"/>
      <c r="M478" s="128"/>
      <c r="N478" s="117"/>
      <c r="R478" s="117"/>
      <c r="T478" s="117"/>
      <c r="V478" s="117"/>
      <c r="Z478" s="117"/>
      <c r="AA478" s="10"/>
      <c r="AB478" s="11"/>
      <c r="AC478" s="36"/>
      <c r="AD478" s="36"/>
      <c r="AE478" s="13"/>
      <c r="AF478" s="13"/>
      <c r="AG478" s="37"/>
      <c r="AH478" s="37"/>
      <c r="AI478" s="14"/>
      <c r="AJ478" s="14"/>
      <c r="AK478" s="14"/>
      <c r="BB478" s="24"/>
    </row>
    <row r="479">
      <c r="B479" s="24"/>
      <c r="E479" s="113"/>
      <c r="F479" s="266"/>
      <c r="G479" s="113"/>
      <c r="K479" s="36"/>
      <c r="L479" s="117"/>
      <c r="M479" s="128"/>
      <c r="N479" s="117"/>
      <c r="R479" s="117"/>
      <c r="T479" s="117"/>
      <c r="V479" s="117"/>
      <c r="Z479" s="117"/>
      <c r="AA479" s="10"/>
      <c r="AB479" s="11"/>
      <c r="AC479" s="36"/>
      <c r="AD479" s="36"/>
      <c r="AE479" s="13"/>
      <c r="AF479" s="13"/>
      <c r="AG479" s="37"/>
      <c r="AH479" s="37"/>
      <c r="AI479" s="14"/>
      <c r="AJ479" s="14"/>
      <c r="AK479" s="14"/>
      <c r="BB479" s="24"/>
    </row>
    <row r="480">
      <c r="B480" s="24"/>
      <c r="E480" s="113"/>
      <c r="F480" s="266"/>
      <c r="G480" s="113"/>
      <c r="K480" s="36"/>
      <c r="L480" s="117"/>
      <c r="M480" s="128"/>
      <c r="N480" s="117"/>
      <c r="R480" s="117"/>
      <c r="T480" s="117"/>
      <c r="V480" s="117"/>
      <c r="Z480" s="117"/>
      <c r="AA480" s="10"/>
      <c r="AB480" s="11"/>
      <c r="AC480" s="36"/>
      <c r="AD480" s="36"/>
      <c r="AE480" s="13"/>
      <c r="AF480" s="13"/>
      <c r="AG480" s="37"/>
      <c r="AH480" s="37"/>
      <c r="AI480" s="14"/>
      <c r="AJ480" s="14"/>
      <c r="AK480" s="14"/>
      <c r="BB480" s="24"/>
    </row>
    <row r="481">
      <c r="B481" s="24"/>
      <c r="E481" s="113"/>
      <c r="F481" s="266"/>
      <c r="G481" s="113"/>
      <c r="K481" s="36"/>
      <c r="L481" s="117"/>
      <c r="M481" s="128"/>
      <c r="N481" s="117"/>
      <c r="R481" s="117"/>
      <c r="T481" s="117"/>
      <c r="V481" s="117"/>
      <c r="Z481" s="117"/>
      <c r="AA481" s="10"/>
      <c r="AB481" s="11"/>
      <c r="AC481" s="36"/>
      <c r="AD481" s="36"/>
      <c r="AE481" s="13"/>
      <c r="AF481" s="13"/>
      <c r="AG481" s="37"/>
      <c r="AH481" s="37"/>
      <c r="AI481" s="14"/>
      <c r="AJ481" s="14"/>
      <c r="AK481" s="14"/>
      <c r="BB481" s="24"/>
    </row>
    <row r="482">
      <c r="B482" s="24"/>
      <c r="E482" s="113"/>
      <c r="F482" s="266"/>
      <c r="G482" s="113"/>
      <c r="K482" s="36"/>
      <c r="L482" s="117"/>
      <c r="M482" s="128"/>
      <c r="N482" s="117"/>
      <c r="R482" s="117"/>
      <c r="T482" s="117"/>
      <c r="V482" s="117"/>
      <c r="Z482" s="117"/>
      <c r="AA482" s="10"/>
      <c r="AB482" s="11"/>
      <c r="AC482" s="36"/>
      <c r="AD482" s="36"/>
      <c r="AE482" s="13"/>
      <c r="AF482" s="13"/>
      <c r="AG482" s="37"/>
      <c r="AH482" s="37"/>
      <c r="AI482" s="14"/>
      <c r="AJ482" s="14"/>
      <c r="AK482" s="14"/>
      <c r="BB482" s="24"/>
    </row>
    <row r="483">
      <c r="B483" s="24"/>
      <c r="E483" s="113"/>
      <c r="F483" s="266"/>
      <c r="G483" s="113"/>
      <c r="K483" s="36"/>
      <c r="L483" s="117"/>
      <c r="M483" s="128"/>
      <c r="N483" s="117"/>
      <c r="R483" s="117"/>
      <c r="T483" s="117"/>
      <c r="V483" s="117"/>
      <c r="Z483" s="117"/>
      <c r="AA483" s="10"/>
      <c r="AB483" s="11"/>
      <c r="AC483" s="36"/>
      <c r="AD483" s="36"/>
      <c r="AE483" s="13"/>
      <c r="AF483" s="13"/>
      <c r="AG483" s="37"/>
      <c r="AH483" s="37"/>
      <c r="AI483" s="14"/>
      <c r="AJ483" s="14"/>
      <c r="AK483" s="14"/>
      <c r="BB483" s="24"/>
    </row>
    <row r="484">
      <c r="B484" s="24"/>
      <c r="E484" s="113"/>
      <c r="F484" s="266"/>
      <c r="G484" s="113"/>
      <c r="K484" s="36"/>
      <c r="L484" s="117"/>
      <c r="M484" s="128"/>
      <c r="N484" s="117"/>
      <c r="R484" s="117"/>
      <c r="T484" s="117"/>
      <c r="V484" s="117"/>
      <c r="Z484" s="117"/>
      <c r="AA484" s="10"/>
      <c r="AB484" s="11"/>
      <c r="AC484" s="36"/>
      <c r="AD484" s="36"/>
      <c r="AE484" s="13"/>
      <c r="AF484" s="13"/>
      <c r="AG484" s="37"/>
      <c r="AH484" s="37"/>
      <c r="AI484" s="14"/>
      <c r="AJ484" s="14"/>
      <c r="AK484" s="14"/>
      <c r="BB484" s="24"/>
    </row>
    <row r="485">
      <c r="B485" s="24"/>
      <c r="E485" s="113"/>
      <c r="F485" s="266"/>
      <c r="G485" s="113"/>
      <c r="K485" s="36"/>
      <c r="L485" s="117"/>
      <c r="M485" s="128"/>
      <c r="N485" s="117"/>
      <c r="R485" s="117"/>
      <c r="T485" s="117"/>
      <c r="V485" s="117"/>
      <c r="Z485" s="117"/>
      <c r="AA485" s="10"/>
      <c r="AB485" s="11"/>
      <c r="AC485" s="36"/>
      <c r="AD485" s="36"/>
      <c r="AE485" s="13"/>
      <c r="AF485" s="13"/>
      <c r="AG485" s="37"/>
      <c r="AH485" s="37"/>
      <c r="AI485" s="14"/>
      <c r="AJ485" s="14"/>
      <c r="AK485" s="14"/>
      <c r="BB485" s="24"/>
    </row>
    <row r="486">
      <c r="B486" s="24"/>
      <c r="E486" s="113"/>
      <c r="F486" s="266"/>
      <c r="G486" s="113"/>
      <c r="K486" s="36"/>
      <c r="L486" s="117"/>
      <c r="M486" s="128"/>
      <c r="N486" s="117"/>
      <c r="R486" s="117"/>
      <c r="T486" s="117"/>
      <c r="V486" s="117"/>
      <c r="Z486" s="117"/>
      <c r="AA486" s="10"/>
      <c r="AB486" s="11"/>
      <c r="AC486" s="36"/>
      <c r="AD486" s="36"/>
      <c r="AE486" s="13"/>
      <c r="AF486" s="13"/>
      <c r="AG486" s="37"/>
      <c r="AH486" s="37"/>
      <c r="AI486" s="14"/>
      <c r="AJ486" s="14"/>
      <c r="AK486" s="14"/>
      <c r="BB486" s="24"/>
    </row>
    <row r="487">
      <c r="B487" s="24"/>
      <c r="E487" s="113"/>
      <c r="F487" s="266"/>
      <c r="G487" s="113"/>
      <c r="K487" s="36"/>
      <c r="L487" s="117"/>
      <c r="M487" s="128"/>
      <c r="N487" s="117"/>
      <c r="R487" s="117"/>
      <c r="T487" s="117"/>
      <c r="V487" s="117"/>
      <c r="Z487" s="117"/>
      <c r="AA487" s="10"/>
      <c r="AB487" s="11"/>
      <c r="AC487" s="36"/>
      <c r="AD487" s="36"/>
      <c r="AE487" s="13"/>
      <c r="AF487" s="13"/>
      <c r="AG487" s="37"/>
      <c r="AH487" s="37"/>
      <c r="AI487" s="14"/>
      <c r="AJ487" s="14"/>
      <c r="AK487" s="14"/>
      <c r="BB487" s="24"/>
    </row>
    <row r="488">
      <c r="B488" s="24"/>
      <c r="E488" s="113"/>
      <c r="F488" s="266"/>
      <c r="G488" s="113"/>
      <c r="K488" s="36"/>
      <c r="L488" s="117"/>
      <c r="M488" s="128"/>
      <c r="N488" s="117"/>
      <c r="R488" s="117"/>
      <c r="T488" s="117"/>
      <c r="V488" s="117"/>
      <c r="Z488" s="117"/>
      <c r="AA488" s="10"/>
      <c r="AB488" s="11"/>
      <c r="AC488" s="36"/>
      <c r="AD488" s="36"/>
      <c r="AE488" s="13"/>
      <c r="AF488" s="13"/>
      <c r="AG488" s="37"/>
      <c r="AH488" s="37"/>
      <c r="AI488" s="14"/>
      <c r="AJ488" s="14"/>
      <c r="AK488" s="14"/>
      <c r="BB488" s="24"/>
    </row>
    <row r="489">
      <c r="B489" s="24"/>
      <c r="E489" s="113"/>
      <c r="F489" s="266"/>
      <c r="G489" s="113"/>
      <c r="K489" s="36"/>
      <c r="L489" s="117"/>
      <c r="M489" s="128"/>
      <c r="N489" s="117"/>
      <c r="R489" s="117"/>
      <c r="T489" s="117"/>
      <c r="V489" s="117"/>
      <c r="Z489" s="117"/>
      <c r="AA489" s="10"/>
      <c r="AB489" s="11"/>
      <c r="AC489" s="36"/>
      <c r="AD489" s="36"/>
      <c r="AE489" s="13"/>
      <c r="AF489" s="13"/>
      <c r="AG489" s="37"/>
      <c r="AH489" s="37"/>
      <c r="AI489" s="14"/>
      <c r="AJ489" s="14"/>
      <c r="AK489" s="14"/>
      <c r="BB489" s="24"/>
    </row>
    <row r="490">
      <c r="B490" s="24"/>
      <c r="E490" s="113"/>
      <c r="F490" s="266"/>
      <c r="G490" s="113"/>
      <c r="K490" s="36"/>
      <c r="L490" s="117"/>
      <c r="M490" s="128"/>
      <c r="N490" s="117"/>
      <c r="R490" s="117"/>
      <c r="T490" s="117"/>
      <c r="V490" s="117"/>
      <c r="Z490" s="117"/>
      <c r="AA490" s="10"/>
      <c r="AB490" s="11"/>
      <c r="AC490" s="36"/>
      <c r="AD490" s="36"/>
      <c r="AE490" s="13"/>
      <c r="AF490" s="13"/>
      <c r="AG490" s="37"/>
      <c r="AH490" s="37"/>
      <c r="AI490" s="14"/>
      <c r="AJ490" s="14"/>
      <c r="AK490" s="14"/>
      <c r="BB490" s="24"/>
    </row>
    <row r="491">
      <c r="B491" s="24"/>
      <c r="E491" s="113"/>
      <c r="F491" s="266"/>
      <c r="G491" s="113"/>
      <c r="K491" s="36"/>
      <c r="L491" s="117"/>
      <c r="M491" s="128"/>
      <c r="N491" s="117"/>
      <c r="R491" s="117"/>
      <c r="T491" s="117"/>
      <c r="V491" s="117"/>
      <c r="Z491" s="117"/>
      <c r="AA491" s="10"/>
      <c r="AB491" s="11"/>
      <c r="AC491" s="36"/>
      <c r="AD491" s="36"/>
      <c r="AE491" s="13"/>
      <c r="AF491" s="13"/>
      <c r="AG491" s="37"/>
      <c r="AH491" s="37"/>
      <c r="AI491" s="14"/>
      <c r="AJ491" s="14"/>
      <c r="AK491" s="14"/>
      <c r="BB491" s="24"/>
    </row>
    <row r="492">
      <c r="B492" s="24"/>
      <c r="E492" s="113"/>
      <c r="F492" s="266"/>
      <c r="G492" s="113"/>
      <c r="K492" s="36"/>
      <c r="L492" s="117"/>
      <c r="M492" s="128"/>
      <c r="N492" s="117"/>
      <c r="R492" s="117"/>
      <c r="T492" s="117"/>
      <c r="V492" s="117"/>
      <c r="Z492" s="117"/>
      <c r="AA492" s="10"/>
      <c r="AB492" s="11"/>
      <c r="AC492" s="36"/>
      <c r="AD492" s="36"/>
      <c r="AE492" s="13"/>
      <c r="AF492" s="13"/>
      <c r="AG492" s="37"/>
      <c r="AH492" s="37"/>
      <c r="AI492" s="14"/>
      <c r="AJ492" s="14"/>
      <c r="AK492" s="14"/>
      <c r="BB492" s="24"/>
    </row>
    <row r="493">
      <c r="B493" s="24"/>
      <c r="E493" s="113"/>
      <c r="F493" s="266"/>
      <c r="G493" s="113"/>
      <c r="K493" s="36"/>
      <c r="L493" s="117"/>
      <c r="M493" s="128"/>
      <c r="N493" s="117"/>
      <c r="R493" s="117"/>
      <c r="T493" s="117"/>
      <c r="V493" s="117"/>
      <c r="Z493" s="117"/>
      <c r="AA493" s="10"/>
      <c r="AB493" s="11"/>
      <c r="AC493" s="36"/>
      <c r="AD493" s="36"/>
      <c r="AE493" s="13"/>
      <c r="AF493" s="13"/>
      <c r="AG493" s="37"/>
      <c r="AH493" s="37"/>
      <c r="AI493" s="14"/>
      <c r="AJ493" s="14"/>
      <c r="AK493" s="14"/>
      <c r="BB493" s="24"/>
    </row>
    <row r="494">
      <c r="B494" s="24"/>
      <c r="E494" s="113"/>
      <c r="F494" s="266"/>
      <c r="G494" s="113"/>
      <c r="K494" s="36"/>
      <c r="L494" s="117"/>
      <c r="M494" s="128"/>
      <c r="N494" s="117"/>
      <c r="R494" s="117"/>
      <c r="T494" s="117"/>
      <c r="V494" s="117"/>
      <c r="Z494" s="117"/>
      <c r="AA494" s="10"/>
      <c r="AB494" s="11"/>
      <c r="AC494" s="36"/>
      <c r="AD494" s="36"/>
      <c r="AE494" s="13"/>
      <c r="AF494" s="13"/>
      <c r="AG494" s="37"/>
      <c r="AH494" s="37"/>
      <c r="AI494" s="14"/>
      <c r="AJ494" s="14"/>
      <c r="AK494" s="14"/>
      <c r="BB494" s="24"/>
    </row>
    <row r="495">
      <c r="B495" s="24"/>
      <c r="E495" s="113"/>
      <c r="F495" s="266"/>
      <c r="G495" s="113"/>
      <c r="K495" s="36"/>
      <c r="L495" s="117"/>
      <c r="M495" s="128"/>
      <c r="N495" s="117"/>
      <c r="R495" s="117"/>
      <c r="T495" s="117"/>
      <c r="V495" s="117"/>
      <c r="Z495" s="117"/>
      <c r="AA495" s="10"/>
      <c r="AB495" s="11"/>
      <c r="AC495" s="36"/>
      <c r="AD495" s="36"/>
      <c r="AE495" s="13"/>
      <c r="AF495" s="13"/>
      <c r="AG495" s="37"/>
      <c r="AH495" s="37"/>
      <c r="AI495" s="14"/>
      <c r="AJ495" s="14"/>
      <c r="AK495" s="14"/>
      <c r="BB495" s="24"/>
    </row>
    <row r="496">
      <c r="B496" s="24"/>
      <c r="E496" s="113"/>
      <c r="F496" s="266"/>
      <c r="G496" s="113"/>
      <c r="K496" s="36"/>
      <c r="L496" s="117"/>
      <c r="M496" s="128"/>
      <c r="N496" s="117"/>
      <c r="R496" s="117"/>
      <c r="T496" s="117"/>
      <c r="V496" s="117"/>
      <c r="Z496" s="117"/>
      <c r="AA496" s="10"/>
      <c r="AB496" s="11"/>
      <c r="AC496" s="36"/>
      <c r="AD496" s="36"/>
      <c r="AE496" s="13"/>
      <c r="AF496" s="13"/>
      <c r="AG496" s="37"/>
      <c r="AH496" s="37"/>
      <c r="AI496" s="14"/>
      <c r="AJ496" s="14"/>
      <c r="AK496" s="14"/>
      <c r="BB496" s="24"/>
    </row>
    <row r="497">
      <c r="B497" s="24"/>
      <c r="E497" s="113"/>
      <c r="F497" s="266"/>
      <c r="G497" s="113"/>
      <c r="K497" s="36"/>
      <c r="L497" s="117"/>
      <c r="M497" s="128"/>
      <c r="N497" s="117"/>
      <c r="R497" s="117"/>
      <c r="T497" s="117"/>
      <c r="V497" s="117"/>
      <c r="Z497" s="117"/>
      <c r="AA497" s="10"/>
      <c r="AB497" s="11"/>
      <c r="AC497" s="36"/>
      <c r="AD497" s="36"/>
      <c r="AE497" s="13"/>
      <c r="AF497" s="13"/>
      <c r="AG497" s="37"/>
      <c r="AH497" s="37"/>
      <c r="AI497" s="14"/>
      <c r="AJ497" s="14"/>
      <c r="AK497" s="14"/>
      <c r="BB497" s="24"/>
    </row>
    <row r="498">
      <c r="B498" s="24"/>
      <c r="E498" s="113"/>
      <c r="F498" s="266"/>
      <c r="G498" s="113"/>
      <c r="K498" s="36"/>
      <c r="L498" s="117"/>
      <c r="M498" s="128"/>
      <c r="N498" s="117"/>
      <c r="R498" s="117"/>
      <c r="T498" s="117"/>
      <c r="V498" s="117"/>
      <c r="Z498" s="117"/>
      <c r="AA498" s="10"/>
      <c r="AB498" s="11"/>
      <c r="AC498" s="36"/>
      <c r="AD498" s="36"/>
      <c r="AE498" s="13"/>
      <c r="AF498" s="13"/>
      <c r="AG498" s="37"/>
      <c r="AH498" s="37"/>
      <c r="AI498" s="14"/>
      <c r="AJ498" s="14"/>
      <c r="AK498" s="14"/>
      <c r="BB498" s="24"/>
    </row>
    <row r="499">
      <c r="B499" s="24"/>
      <c r="E499" s="113"/>
      <c r="F499" s="266"/>
      <c r="G499" s="113"/>
      <c r="K499" s="36"/>
      <c r="L499" s="117"/>
      <c r="M499" s="128"/>
      <c r="N499" s="117"/>
      <c r="R499" s="117"/>
      <c r="T499" s="117"/>
      <c r="V499" s="117"/>
      <c r="Z499" s="117"/>
      <c r="AA499" s="10"/>
      <c r="AB499" s="11"/>
      <c r="AC499" s="36"/>
      <c r="AD499" s="36"/>
      <c r="AE499" s="13"/>
      <c r="AF499" s="13"/>
      <c r="AG499" s="37"/>
      <c r="AH499" s="37"/>
      <c r="AI499" s="14"/>
      <c r="AJ499" s="14"/>
      <c r="AK499" s="14"/>
      <c r="BB499" s="24"/>
    </row>
    <row r="500">
      <c r="B500" s="24"/>
      <c r="E500" s="113"/>
      <c r="F500" s="266"/>
      <c r="G500" s="113"/>
      <c r="K500" s="36"/>
      <c r="L500" s="117"/>
      <c r="M500" s="128"/>
      <c r="N500" s="117"/>
      <c r="R500" s="117"/>
      <c r="T500" s="117"/>
      <c r="V500" s="117"/>
      <c r="Z500" s="117"/>
      <c r="AA500" s="10"/>
      <c r="AB500" s="11"/>
      <c r="AC500" s="36"/>
      <c r="AD500" s="36"/>
      <c r="AE500" s="13"/>
      <c r="AF500" s="13"/>
      <c r="AG500" s="37"/>
      <c r="AH500" s="37"/>
      <c r="AI500" s="14"/>
      <c r="AJ500" s="14"/>
      <c r="AK500" s="14"/>
      <c r="BB500" s="24"/>
    </row>
    <row r="501">
      <c r="B501" s="24"/>
      <c r="E501" s="113"/>
      <c r="F501" s="266"/>
      <c r="G501" s="113"/>
      <c r="K501" s="36"/>
      <c r="L501" s="117"/>
      <c r="M501" s="128"/>
      <c r="N501" s="117"/>
      <c r="R501" s="117"/>
      <c r="T501" s="117"/>
      <c r="V501" s="117"/>
      <c r="Z501" s="117"/>
      <c r="AA501" s="10"/>
      <c r="AB501" s="11"/>
      <c r="AC501" s="36"/>
      <c r="AD501" s="36"/>
      <c r="AE501" s="13"/>
      <c r="AF501" s="13"/>
      <c r="AG501" s="37"/>
      <c r="AH501" s="37"/>
      <c r="AI501" s="14"/>
      <c r="AJ501" s="14"/>
      <c r="AK501" s="14"/>
      <c r="BB501" s="24"/>
    </row>
    <row r="502">
      <c r="B502" s="24"/>
      <c r="E502" s="113"/>
      <c r="F502" s="266"/>
      <c r="G502" s="113"/>
      <c r="K502" s="36"/>
      <c r="L502" s="117"/>
      <c r="M502" s="128"/>
      <c r="N502" s="117"/>
      <c r="R502" s="117"/>
      <c r="T502" s="117"/>
      <c r="V502" s="117"/>
      <c r="Z502" s="117"/>
      <c r="AA502" s="10"/>
      <c r="AB502" s="11"/>
      <c r="AC502" s="36"/>
      <c r="AD502" s="36"/>
      <c r="AE502" s="13"/>
      <c r="AF502" s="13"/>
      <c r="AG502" s="37"/>
      <c r="AH502" s="37"/>
      <c r="AI502" s="14"/>
      <c r="AJ502" s="14"/>
      <c r="AK502" s="14"/>
      <c r="BB502" s="24"/>
    </row>
    <row r="503">
      <c r="B503" s="24"/>
      <c r="E503" s="113"/>
      <c r="F503" s="266"/>
      <c r="G503" s="113"/>
      <c r="K503" s="36"/>
      <c r="L503" s="117"/>
      <c r="M503" s="128"/>
      <c r="N503" s="117"/>
      <c r="R503" s="117"/>
      <c r="T503" s="117"/>
      <c r="V503" s="117"/>
      <c r="Z503" s="117"/>
      <c r="AA503" s="10"/>
      <c r="AB503" s="11"/>
      <c r="AC503" s="36"/>
      <c r="AD503" s="36"/>
      <c r="AE503" s="13"/>
      <c r="AF503" s="13"/>
      <c r="AG503" s="37"/>
      <c r="AH503" s="37"/>
      <c r="AI503" s="14"/>
      <c r="AJ503" s="14"/>
      <c r="AK503" s="14"/>
      <c r="BB503" s="24"/>
    </row>
    <row r="504">
      <c r="B504" s="24"/>
      <c r="E504" s="113"/>
      <c r="F504" s="266"/>
      <c r="G504" s="113"/>
      <c r="K504" s="36"/>
      <c r="L504" s="117"/>
      <c r="M504" s="128"/>
      <c r="N504" s="117"/>
      <c r="R504" s="117"/>
      <c r="T504" s="117"/>
      <c r="V504" s="117"/>
      <c r="Z504" s="117"/>
      <c r="AA504" s="10"/>
      <c r="AB504" s="11"/>
      <c r="AC504" s="36"/>
      <c r="AD504" s="36"/>
      <c r="AE504" s="13"/>
      <c r="AF504" s="13"/>
      <c r="AG504" s="37"/>
      <c r="AH504" s="37"/>
      <c r="AI504" s="14"/>
      <c r="AJ504" s="14"/>
      <c r="AK504" s="14"/>
      <c r="BB504" s="24"/>
    </row>
    <row r="505">
      <c r="B505" s="24"/>
      <c r="E505" s="113"/>
      <c r="F505" s="266"/>
      <c r="G505" s="113"/>
      <c r="K505" s="36"/>
      <c r="L505" s="117"/>
      <c r="M505" s="128"/>
      <c r="N505" s="117"/>
      <c r="R505" s="117"/>
      <c r="T505" s="117"/>
      <c r="V505" s="117"/>
      <c r="Z505" s="117"/>
      <c r="AA505" s="10"/>
      <c r="AB505" s="11"/>
      <c r="AC505" s="36"/>
      <c r="AD505" s="36"/>
      <c r="AE505" s="13"/>
      <c r="AF505" s="13"/>
      <c r="AG505" s="37"/>
      <c r="AH505" s="37"/>
      <c r="AI505" s="14"/>
      <c r="AJ505" s="14"/>
      <c r="AK505" s="14"/>
      <c r="BB505" s="24"/>
    </row>
    <row r="506">
      <c r="B506" s="24"/>
      <c r="E506" s="113"/>
      <c r="F506" s="266"/>
      <c r="G506" s="113"/>
      <c r="K506" s="36"/>
      <c r="L506" s="117"/>
      <c r="M506" s="128"/>
      <c r="N506" s="117"/>
      <c r="R506" s="117"/>
      <c r="T506" s="117"/>
      <c r="V506" s="117"/>
      <c r="Z506" s="117"/>
      <c r="AA506" s="10"/>
      <c r="AB506" s="11"/>
      <c r="AC506" s="36"/>
      <c r="AD506" s="36"/>
      <c r="AE506" s="13"/>
      <c r="AF506" s="13"/>
      <c r="AG506" s="37"/>
      <c r="AH506" s="37"/>
      <c r="AI506" s="14"/>
      <c r="AJ506" s="14"/>
      <c r="AK506" s="14"/>
      <c r="BB506" s="24"/>
    </row>
    <row r="507">
      <c r="B507" s="24"/>
      <c r="E507" s="113"/>
      <c r="F507" s="266"/>
      <c r="G507" s="113"/>
      <c r="K507" s="36"/>
      <c r="L507" s="117"/>
      <c r="M507" s="128"/>
      <c r="N507" s="117"/>
      <c r="R507" s="117"/>
      <c r="T507" s="117"/>
      <c r="V507" s="117"/>
      <c r="Z507" s="117"/>
      <c r="AA507" s="10"/>
      <c r="AB507" s="11"/>
      <c r="AC507" s="36"/>
      <c r="AD507" s="36"/>
      <c r="AE507" s="13"/>
      <c r="AF507" s="13"/>
      <c r="AG507" s="37"/>
      <c r="AH507" s="37"/>
      <c r="AI507" s="14"/>
      <c r="AJ507" s="14"/>
      <c r="AK507" s="14"/>
      <c r="BB507" s="24"/>
    </row>
    <row r="508">
      <c r="B508" s="24"/>
      <c r="E508" s="113"/>
      <c r="F508" s="266"/>
      <c r="G508" s="113"/>
      <c r="K508" s="36"/>
      <c r="L508" s="117"/>
      <c r="M508" s="128"/>
      <c r="N508" s="117"/>
      <c r="R508" s="117"/>
      <c r="T508" s="117"/>
      <c r="V508" s="117"/>
      <c r="Z508" s="117"/>
      <c r="AA508" s="10"/>
      <c r="AB508" s="11"/>
      <c r="AC508" s="36"/>
      <c r="AD508" s="36"/>
      <c r="AE508" s="13"/>
      <c r="AF508" s="13"/>
      <c r="AG508" s="37"/>
      <c r="AH508" s="37"/>
      <c r="AI508" s="14"/>
      <c r="AJ508" s="14"/>
      <c r="AK508" s="14"/>
      <c r="BB508" s="24"/>
    </row>
    <row r="509">
      <c r="B509" s="24"/>
      <c r="E509" s="113"/>
      <c r="F509" s="266"/>
      <c r="G509" s="113"/>
      <c r="K509" s="36"/>
      <c r="L509" s="117"/>
      <c r="M509" s="128"/>
      <c r="N509" s="117"/>
      <c r="R509" s="117"/>
      <c r="T509" s="117"/>
      <c r="V509" s="117"/>
      <c r="Z509" s="117"/>
      <c r="AA509" s="10"/>
      <c r="AB509" s="11"/>
      <c r="AC509" s="36"/>
      <c r="AD509" s="36"/>
      <c r="AE509" s="13"/>
      <c r="AF509" s="13"/>
      <c r="AG509" s="37"/>
      <c r="AH509" s="37"/>
      <c r="AI509" s="14"/>
      <c r="AJ509" s="14"/>
      <c r="AK509" s="14"/>
      <c r="BB509" s="24"/>
    </row>
    <row r="510">
      <c r="B510" s="24"/>
      <c r="E510" s="113"/>
      <c r="F510" s="266"/>
      <c r="G510" s="113"/>
      <c r="K510" s="36"/>
      <c r="L510" s="117"/>
      <c r="M510" s="128"/>
      <c r="N510" s="117"/>
      <c r="R510" s="117"/>
      <c r="T510" s="117"/>
      <c r="V510" s="117"/>
      <c r="Z510" s="117"/>
      <c r="AA510" s="10"/>
      <c r="AB510" s="11"/>
      <c r="AC510" s="36"/>
      <c r="AD510" s="36"/>
      <c r="AE510" s="13"/>
      <c r="AF510" s="13"/>
      <c r="AG510" s="37"/>
      <c r="AH510" s="37"/>
      <c r="AI510" s="14"/>
      <c r="AJ510" s="14"/>
      <c r="AK510" s="14"/>
      <c r="BB510" s="24"/>
    </row>
    <row r="511">
      <c r="B511" s="24"/>
      <c r="E511" s="113"/>
      <c r="F511" s="266"/>
      <c r="G511" s="113"/>
      <c r="K511" s="36"/>
      <c r="L511" s="117"/>
      <c r="M511" s="128"/>
      <c r="N511" s="117"/>
      <c r="R511" s="117"/>
      <c r="T511" s="117"/>
      <c r="V511" s="117"/>
      <c r="Z511" s="117"/>
      <c r="AA511" s="10"/>
      <c r="AB511" s="11"/>
      <c r="AC511" s="36"/>
      <c r="AD511" s="36"/>
      <c r="AE511" s="13"/>
      <c r="AF511" s="13"/>
      <c r="AG511" s="37"/>
      <c r="AH511" s="37"/>
      <c r="AI511" s="14"/>
      <c r="AJ511" s="14"/>
      <c r="AK511" s="14"/>
      <c r="BB511" s="24"/>
    </row>
    <row r="512">
      <c r="B512" s="24"/>
      <c r="E512" s="113"/>
      <c r="F512" s="266"/>
      <c r="G512" s="113"/>
      <c r="K512" s="36"/>
      <c r="L512" s="117"/>
      <c r="M512" s="128"/>
      <c r="N512" s="117"/>
      <c r="R512" s="117"/>
      <c r="T512" s="117"/>
      <c r="V512" s="117"/>
      <c r="Z512" s="117"/>
      <c r="AA512" s="10"/>
      <c r="AB512" s="11"/>
      <c r="AC512" s="36"/>
      <c r="AD512" s="36"/>
      <c r="AE512" s="13"/>
      <c r="AF512" s="13"/>
      <c r="AG512" s="37"/>
      <c r="AH512" s="37"/>
      <c r="AI512" s="14"/>
      <c r="AJ512" s="14"/>
      <c r="AK512" s="14"/>
      <c r="BB512" s="24"/>
    </row>
    <row r="513">
      <c r="B513" s="24"/>
      <c r="E513" s="113"/>
      <c r="F513" s="266"/>
      <c r="G513" s="113"/>
      <c r="K513" s="36"/>
      <c r="L513" s="117"/>
      <c r="M513" s="128"/>
      <c r="N513" s="117"/>
      <c r="R513" s="117"/>
      <c r="T513" s="117"/>
      <c r="V513" s="117"/>
      <c r="Z513" s="117"/>
      <c r="AA513" s="10"/>
      <c r="AB513" s="11"/>
      <c r="AC513" s="36"/>
      <c r="AD513" s="36"/>
      <c r="AE513" s="13"/>
      <c r="AF513" s="13"/>
      <c r="AG513" s="37"/>
      <c r="AH513" s="37"/>
      <c r="AI513" s="14"/>
      <c r="AJ513" s="14"/>
      <c r="AK513" s="14"/>
      <c r="BB513" s="24"/>
    </row>
    <row r="514">
      <c r="B514" s="24"/>
      <c r="E514" s="113"/>
      <c r="F514" s="266"/>
      <c r="G514" s="113"/>
      <c r="K514" s="36"/>
      <c r="L514" s="117"/>
      <c r="M514" s="128"/>
      <c r="N514" s="117"/>
      <c r="R514" s="117"/>
      <c r="T514" s="117"/>
      <c r="V514" s="117"/>
      <c r="Z514" s="117"/>
      <c r="AA514" s="10"/>
      <c r="AB514" s="11"/>
      <c r="AC514" s="36"/>
      <c r="AD514" s="36"/>
      <c r="AE514" s="13"/>
      <c r="AF514" s="13"/>
      <c r="AG514" s="37"/>
      <c r="AH514" s="37"/>
      <c r="AI514" s="14"/>
      <c r="AJ514" s="14"/>
      <c r="AK514" s="14"/>
      <c r="BB514" s="24"/>
    </row>
    <row r="515">
      <c r="B515" s="24"/>
      <c r="E515" s="113"/>
      <c r="F515" s="266"/>
      <c r="G515" s="113"/>
      <c r="K515" s="36"/>
      <c r="L515" s="117"/>
      <c r="M515" s="128"/>
      <c r="N515" s="117"/>
      <c r="R515" s="117"/>
      <c r="T515" s="117"/>
      <c r="V515" s="117"/>
      <c r="Z515" s="117"/>
      <c r="AA515" s="10"/>
      <c r="AB515" s="11"/>
      <c r="AC515" s="36"/>
      <c r="AD515" s="36"/>
      <c r="AE515" s="13"/>
      <c r="AF515" s="13"/>
      <c r="AG515" s="37"/>
      <c r="AH515" s="37"/>
      <c r="AI515" s="14"/>
      <c r="AJ515" s="14"/>
      <c r="AK515" s="14"/>
      <c r="BB515" s="24"/>
    </row>
    <row r="516">
      <c r="B516" s="24"/>
      <c r="E516" s="113"/>
      <c r="F516" s="266"/>
      <c r="G516" s="113"/>
      <c r="K516" s="36"/>
      <c r="L516" s="117"/>
      <c r="M516" s="128"/>
      <c r="N516" s="117"/>
      <c r="R516" s="117"/>
      <c r="T516" s="117"/>
      <c r="V516" s="117"/>
      <c r="Z516" s="117"/>
      <c r="AA516" s="10"/>
      <c r="AB516" s="11"/>
      <c r="AC516" s="36"/>
      <c r="AD516" s="36"/>
      <c r="AE516" s="13"/>
      <c r="AF516" s="13"/>
      <c r="AG516" s="37"/>
      <c r="AH516" s="37"/>
      <c r="AI516" s="14"/>
      <c r="AJ516" s="14"/>
      <c r="AK516" s="14"/>
      <c r="BB516" s="24"/>
    </row>
    <row r="517">
      <c r="B517" s="24"/>
      <c r="E517" s="113"/>
      <c r="F517" s="266"/>
      <c r="G517" s="113"/>
      <c r="K517" s="36"/>
      <c r="L517" s="117"/>
      <c r="M517" s="128"/>
      <c r="N517" s="117"/>
      <c r="R517" s="117"/>
      <c r="T517" s="117"/>
      <c r="V517" s="117"/>
      <c r="Z517" s="117"/>
      <c r="AA517" s="10"/>
      <c r="AB517" s="11"/>
      <c r="AC517" s="36"/>
      <c r="AD517" s="36"/>
      <c r="AE517" s="13"/>
      <c r="AF517" s="13"/>
      <c r="AG517" s="37"/>
      <c r="AH517" s="37"/>
      <c r="AI517" s="14"/>
      <c r="AJ517" s="14"/>
      <c r="AK517" s="14"/>
      <c r="BB517" s="24"/>
    </row>
    <row r="518">
      <c r="B518" s="24"/>
      <c r="E518" s="113"/>
      <c r="F518" s="266"/>
      <c r="G518" s="113"/>
      <c r="K518" s="36"/>
      <c r="L518" s="117"/>
      <c r="M518" s="128"/>
      <c r="N518" s="117"/>
      <c r="R518" s="117"/>
      <c r="T518" s="117"/>
      <c r="V518" s="117"/>
      <c r="Z518" s="117"/>
      <c r="AA518" s="10"/>
      <c r="AB518" s="11"/>
      <c r="AC518" s="36"/>
      <c r="AD518" s="36"/>
      <c r="AE518" s="13"/>
      <c r="AF518" s="13"/>
      <c r="AG518" s="37"/>
      <c r="AH518" s="37"/>
      <c r="AI518" s="14"/>
      <c r="AJ518" s="14"/>
      <c r="AK518" s="14"/>
      <c r="BB518" s="24"/>
    </row>
    <row r="519">
      <c r="B519" s="24"/>
      <c r="E519" s="113"/>
      <c r="F519" s="266"/>
      <c r="G519" s="113"/>
      <c r="K519" s="36"/>
      <c r="L519" s="117"/>
      <c r="M519" s="128"/>
      <c r="N519" s="117"/>
      <c r="R519" s="117"/>
      <c r="T519" s="117"/>
      <c r="V519" s="117"/>
      <c r="Z519" s="117"/>
      <c r="AA519" s="10"/>
      <c r="AB519" s="11"/>
      <c r="AC519" s="36"/>
      <c r="AD519" s="36"/>
      <c r="AE519" s="13"/>
      <c r="AF519" s="13"/>
      <c r="AG519" s="37"/>
      <c r="AH519" s="37"/>
      <c r="AI519" s="14"/>
      <c r="AJ519" s="14"/>
      <c r="AK519" s="14"/>
      <c r="BB519" s="24"/>
    </row>
    <row r="520">
      <c r="B520" s="24"/>
      <c r="E520" s="113"/>
      <c r="F520" s="266"/>
      <c r="G520" s="113"/>
      <c r="K520" s="36"/>
      <c r="L520" s="117"/>
      <c r="M520" s="128"/>
      <c r="N520" s="117"/>
      <c r="R520" s="117"/>
      <c r="T520" s="117"/>
      <c r="V520" s="117"/>
      <c r="Z520" s="117"/>
      <c r="AA520" s="10"/>
      <c r="AB520" s="11"/>
      <c r="AC520" s="36"/>
      <c r="AD520" s="36"/>
      <c r="AE520" s="13"/>
      <c r="AF520" s="13"/>
      <c r="AG520" s="37"/>
      <c r="AH520" s="37"/>
      <c r="AI520" s="14"/>
      <c r="AJ520" s="14"/>
      <c r="AK520" s="14"/>
      <c r="BB520" s="24"/>
    </row>
    <row r="521">
      <c r="B521" s="24"/>
      <c r="E521" s="113"/>
      <c r="F521" s="266"/>
      <c r="G521" s="113"/>
      <c r="K521" s="36"/>
      <c r="L521" s="117"/>
      <c r="M521" s="128"/>
      <c r="N521" s="117"/>
      <c r="R521" s="117"/>
      <c r="T521" s="117"/>
      <c r="V521" s="117"/>
      <c r="Z521" s="117"/>
      <c r="AA521" s="10"/>
      <c r="AB521" s="11"/>
      <c r="AC521" s="36"/>
      <c r="AD521" s="36"/>
      <c r="AE521" s="13"/>
      <c r="AF521" s="13"/>
      <c r="AG521" s="37"/>
      <c r="AH521" s="37"/>
      <c r="AI521" s="14"/>
      <c r="AJ521" s="14"/>
      <c r="AK521" s="14"/>
      <c r="BB521" s="24"/>
    </row>
    <row r="522">
      <c r="B522" s="24"/>
      <c r="E522" s="113"/>
      <c r="F522" s="266"/>
      <c r="G522" s="113"/>
      <c r="K522" s="36"/>
      <c r="L522" s="117"/>
      <c r="M522" s="128"/>
      <c r="N522" s="117"/>
      <c r="R522" s="117"/>
      <c r="T522" s="117"/>
      <c r="V522" s="117"/>
      <c r="Z522" s="117"/>
      <c r="AA522" s="10"/>
      <c r="AB522" s="11"/>
      <c r="AC522" s="36"/>
      <c r="AD522" s="36"/>
      <c r="AE522" s="13"/>
      <c r="AF522" s="13"/>
      <c r="AG522" s="37"/>
      <c r="AH522" s="37"/>
      <c r="AI522" s="14"/>
      <c r="AJ522" s="14"/>
      <c r="AK522" s="14"/>
      <c r="BB522" s="24"/>
    </row>
    <row r="523">
      <c r="B523" s="24"/>
      <c r="E523" s="113"/>
      <c r="F523" s="266"/>
      <c r="G523" s="113"/>
      <c r="K523" s="36"/>
      <c r="L523" s="117"/>
      <c r="M523" s="128"/>
      <c r="N523" s="117"/>
      <c r="R523" s="117"/>
      <c r="T523" s="117"/>
      <c r="V523" s="117"/>
      <c r="Z523" s="117"/>
      <c r="AA523" s="10"/>
      <c r="AB523" s="11"/>
      <c r="AC523" s="36"/>
      <c r="AD523" s="36"/>
      <c r="AE523" s="13"/>
      <c r="AF523" s="13"/>
      <c r="AG523" s="37"/>
      <c r="AH523" s="37"/>
      <c r="AI523" s="14"/>
      <c r="AJ523" s="14"/>
      <c r="AK523" s="14"/>
      <c r="BB523" s="24"/>
    </row>
    <row r="524">
      <c r="B524" s="24"/>
      <c r="E524" s="113"/>
      <c r="F524" s="266"/>
      <c r="G524" s="113"/>
      <c r="K524" s="36"/>
      <c r="L524" s="117"/>
      <c r="M524" s="128"/>
      <c r="N524" s="117"/>
      <c r="R524" s="117"/>
      <c r="T524" s="117"/>
      <c r="V524" s="117"/>
      <c r="Z524" s="117"/>
      <c r="AA524" s="10"/>
      <c r="AB524" s="11"/>
      <c r="AC524" s="36"/>
      <c r="AD524" s="36"/>
      <c r="AE524" s="13"/>
      <c r="AF524" s="13"/>
      <c r="AG524" s="37"/>
      <c r="AH524" s="37"/>
      <c r="AI524" s="14"/>
      <c r="AJ524" s="14"/>
      <c r="AK524" s="14"/>
      <c r="BB524" s="24"/>
    </row>
    <row r="525">
      <c r="B525" s="24"/>
      <c r="E525" s="113"/>
      <c r="F525" s="266"/>
      <c r="G525" s="113"/>
      <c r="K525" s="36"/>
      <c r="L525" s="117"/>
      <c r="M525" s="128"/>
      <c r="N525" s="117"/>
      <c r="R525" s="117"/>
      <c r="T525" s="117"/>
      <c r="V525" s="117"/>
      <c r="Z525" s="117"/>
      <c r="AA525" s="10"/>
      <c r="AB525" s="11"/>
      <c r="AC525" s="36"/>
      <c r="AD525" s="36"/>
      <c r="AE525" s="13"/>
      <c r="AF525" s="13"/>
      <c r="AG525" s="37"/>
      <c r="AH525" s="37"/>
      <c r="AI525" s="14"/>
      <c r="AJ525" s="14"/>
      <c r="AK525" s="14"/>
      <c r="BB525" s="24"/>
    </row>
    <row r="526">
      <c r="B526" s="24"/>
      <c r="E526" s="113"/>
      <c r="F526" s="266"/>
      <c r="G526" s="113"/>
      <c r="K526" s="36"/>
      <c r="L526" s="117"/>
      <c r="M526" s="128"/>
      <c r="N526" s="117"/>
      <c r="R526" s="117"/>
      <c r="T526" s="117"/>
      <c r="V526" s="117"/>
      <c r="Z526" s="117"/>
      <c r="AA526" s="10"/>
      <c r="AB526" s="11"/>
      <c r="AC526" s="36"/>
      <c r="AD526" s="36"/>
      <c r="AE526" s="13"/>
      <c r="AF526" s="13"/>
      <c r="AG526" s="37"/>
      <c r="AH526" s="37"/>
      <c r="AI526" s="14"/>
      <c r="AJ526" s="14"/>
      <c r="AK526" s="14"/>
      <c r="BB526" s="24"/>
    </row>
    <row r="527">
      <c r="B527" s="24"/>
      <c r="E527" s="113"/>
      <c r="F527" s="266"/>
      <c r="G527" s="113"/>
      <c r="K527" s="36"/>
      <c r="L527" s="117"/>
      <c r="M527" s="128"/>
      <c r="N527" s="117"/>
      <c r="R527" s="117"/>
      <c r="T527" s="117"/>
      <c r="V527" s="117"/>
      <c r="Z527" s="117"/>
      <c r="AA527" s="10"/>
      <c r="AB527" s="11"/>
      <c r="AC527" s="36"/>
      <c r="AD527" s="36"/>
      <c r="AE527" s="13"/>
      <c r="AF527" s="13"/>
      <c r="AG527" s="37"/>
      <c r="AH527" s="37"/>
      <c r="AI527" s="14"/>
      <c r="AJ527" s="14"/>
      <c r="AK527" s="14"/>
      <c r="BB527" s="24"/>
    </row>
    <row r="528">
      <c r="B528" s="24"/>
      <c r="E528" s="113"/>
      <c r="F528" s="266"/>
      <c r="G528" s="113"/>
      <c r="K528" s="36"/>
      <c r="L528" s="117"/>
      <c r="M528" s="128"/>
      <c r="N528" s="117"/>
      <c r="R528" s="117"/>
      <c r="T528" s="117"/>
      <c r="V528" s="117"/>
      <c r="Z528" s="117"/>
      <c r="AA528" s="10"/>
      <c r="AB528" s="11"/>
      <c r="AC528" s="36"/>
      <c r="AD528" s="36"/>
      <c r="AE528" s="13"/>
      <c r="AF528" s="13"/>
      <c r="AG528" s="37"/>
      <c r="AH528" s="37"/>
      <c r="AI528" s="14"/>
      <c r="AJ528" s="14"/>
      <c r="AK528" s="14"/>
      <c r="BB528" s="24"/>
    </row>
    <row r="529">
      <c r="B529" s="24"/>
      <c r="E529" s="113"/>
      <c r="F529" s="266"/>
      <c r="G529" s="113"/>
      <c r="K529" s="36"/>
      <c r="L529" s="117"/>
      <c r="M529" s="128"/>
      <c r="N529" s="117"/>
      <c r="R529" s="117"/>
      <c r="T529" s="117"/>
      <c r="V529" s="117"/>
      <c r="Z529" s="117"/>
      <c r="AA529" s="10"/>
      <c r="AB529" s="11"/>
      <c r="AC529" s="36"/>
      <c r="AD529" s="36"/>
      <c r="AE529" s="13"/>
      <c r="AF529" s="13"/>
      <c r="AG529" s="37"/>
      <c r="AH529" s="37"/>
      <c r="AI529" s="14"/>
      <c r="AJ529" s="14"/>
      <c r="AK529" s="14"/>
      <c r="BB529" s="24"/>
    </row>
    <row r="530">
      <c r="B530" s="24"/>
      <c r="E530" s="113"/>
      <c r="F530" s="266"/>
      <c r="G530" s="113"/>
      <c r="K530" s="36"/>
      <c r="L530" s="117"/>
      <c r="M530" s="128"/>
      <c r="N530" s="117"/>
      <c r="R530" s="117"/>
      <c r="T530" s="117"/>
      <c r="V530" s="117"/>
      <c r="Z530" s="117"/>
      <c r="AA530" s="10"/>
      <c r="AB530" s="11"/>
      <c r="AC530" s="36"/>
      <c r="AD530" s="36"/>
      <c r="AE530" s="13"/>
      <c r="AF530" s="13"/>
      <c r="AG530" s="37"/>
      <c r="AH530" s="37"/>
      <c r="AI530" s="14"/>
      <c r="AJ530" s="14"/>
      <c r="AK530" s="14"/>
      <c r="BB530" s="24"/>
    </row>
    <row r="531">
      <c r="B531" s="24"/>
      <c r="E531" s="113"/>
      <c r="F531" s="266"/>
      <c r="G531" s="113"/>
      <c r="K531" s="36"/>
      <c r="L531" s="117"/>
      <c r="M531" s="128"/>
      <c r="N531" s="117"/>
      <c r="R531" s="117"/>
      <c r="T531" s="117"/>
      <c r="V531" s="117"/>
      <c r="Z531" s="117"/>
      <c r="AA531" s="10"/>
      <c r="AB531" s="11"/>
      <c r="AC531" s="36"/>
      <c r="AD531" s="36"/>
      <c r="AE531" s="13"/>
      <c r="AF531" s="13"/>
      <c r="AG531" s="37"/>
      <c r="AH531" s="37"/>
      <c r="AI531" s="14"/>
      <c r="AJ531" s="14"/>
      <c r="AK531" s="14"/>
      <c r="BB531" s="24"/>
    </row>
    <row r="532">
      <c r="B532" s="24"/>
      <c r="E532" s="113"/>
      <c r="F532" s="266"/>
      <c r="G532" s="113"/>
      <c r="K532" s="36"/>
      <c r="L532" s="117"/>
      <c r="M532" s="128"/>
      <c r="N532" s="117"/>
      <c r="R532" s="117"/>
      <c r="T532" s="117"/>
      <c r="V532" s="117"/>
      <c r="Z532" s="117"/>
      <c r="AA532" s="10"/>
      <c r="AB532" s="11"/>
      <c r="AC532" s="36"/>
      <c r="AD532" s="36"/>
      <c r="AE532" s="13"/>
      <c r="AF532" s="13"/>
      <c r="AG532" s="37"/>
      <c r="AH532" s="37"/>
      <c r="AI532" s="14"/>
      <c r="AJ532" s="14"/>
      <c r="AK532" s="14"/>
      <c r="BB532" s="24"/>
    </row>
    <row r="533">
      <c r="B533" s="24"/>
      <c r="E533" s="113"/>
      <c r="F533" s="266"/>
      <c r="G533" s="113"/>
      <c r="K533" s="36"/>
      <c r="L533" s="117"/>
      <c r="M533" s="128"/>
      <c r="N533" s="117"/>
      <c r="R533" s="117"/>
      <c r="T533" s="117"/>
      <c r="V533" s="117"/>
      <c r="Z533" s="117"/>
      <c r="AA533" s="10"/>
      <c r="AB533" s="11"/>
      <c r="AC533" s="36"/>
      <c r="AD533" s="36"/>
      <c r="AE533" s="13"/>
      <c r="AF533" s="13"/>
      <c r="AG533" s="37"/>
      <c r="AH533" s="37"/>
      <c r="AI533" s="14"/>
      <c r="AJ533" s="14"/>
      <c r="AK533" s="14"/>
      <c r="BB533" s="24"/>
    </row>
    <row r="534">
      <c r="B534" s="24"/>
      <c r="E534" s="113"/>
      <c r="F534" s="266"/>
      <c r="G534" s="113"/>
      <c r="K534" s="36"/>
      <c r="L534" s="117"/>
      <c r="M534" s="128"/>
      <c r="N534" s="117"/>
      <c r="R534" s="117"/>
      <c r="T534" s="117"/>
      <c r="V534" s="117"/>
      <c r="Z534" s="117"/>
      <c r="AA534" s="10"/>
      <c r="AB534" s="11"/>
      <c r="AC534" s="36"/>
      <c r="AD534" s="36"/>
      <c r="AE534" s="13"/>
      <c r="AF534" s="13"/>
      <c r="AG534" s="37"/>
      <c r="AH534" s="37"/>
      <c r="AI534" s="14"/>
      <c r="AJ534" s="14"/>
      <c r="AK534" s="14"/>
      <c r="BB534" s="24"/>
    </row>
    <row r="535">
      <c r="B535" s="24"/>
      <c r="E535" s="113"/>
      <c r="F535" s="266"/>
      <c r="G535" s="113"/>
      <c r="K535" s="36"/>
      <c r="L535" s="117"/>
      <c r="M535" s="128"/>
      <c r="N535" s="117"/>
      <c r="R535" s="117"/>
      <c r="T535" s="117"/>
      <c r="V535" s="117"/>
      <c r="Z535" s="117"/>
      <c r="AA535" s="10"/>
      <c r="AB535" s="11"/>
      <c r="AC535" s="36"/>
      <c r="AD535" s="36"/>
      <c r="AE535" s="13"/>
      <c r="AF535" s="13"/>
      <c r="AG535" s="37"/>
      <c r="AH535" s="37"/>
      <c r="AI535" s="14"/>
      <c r="AJ535" s="14"/>
      <c r="AK535" s="14"/>
      <c r="BB535" s="24"/>
    </row>
    <row r="536">
      <c r="B536" s="24"/>
      <c r="E536" s="113"/>
      <c r="F536" s="266"/>
      <c r="G536" s="113"/>
      <c r="K536" s="36"/>
      <c r="L536" s="117"/>
      <c r="M536" s="128"/>
      <c r="N536" s="117"/>
      <c r="R536" s="117"/>
      <c r="T536" s="117"/>
      <c r="V536" s="117"/>
      <c r="Z536" s="117"/>
      <c r="AA536" s="10"/>
      <c r="AB536" s="11"/>
      <c r="AC536" s="36"/>
      <c r="AD536" s="36"/>
      <c r="AE536" s="13"/>
      <c r="AF536" s="13"/>
      <c r="AG536" s="37"/>
      <c r="AH536" s="37"/>
      <c r="AI536" s="14"/>
      <c r="AJ536" s="14"/>
      <c r="AK536" s="14"/>
      <c r="BB536" s="24"/>
    </row>
    <row r="537">
      <c r="B537" s="24"/>
      <c r="E537" s="113"/>
      <c r="F537" s="266"/>
      <c r="G537" s="113"/>
      <c r="K537" s="36"/>
      <c r="L537" s="117"/>
      <c r="M537" s="128"/>
      <c r="N537" s="117"/>
      <c r="R537" s="117"/>
      <c r="T537" s="117"/>
      <c r="V537" s="117"/>
      <c r="Z537" s="117"/>
      <c r="AA537" s="10"/>
      <c r="AB537" s="11"/>
      <c r="AC537" s="36"/>
      <c r="AD537" s="36"/>
      <c r="AE537" s="13"/>
      <c r="AF537" s="13"/>
      <c r="AG537" s="37"/>
      <c r="AH537" s="37"/>
      <c r="AI537" s="14"/>
      <c r="AJ537" s="14"/>
      <c r="AK537" s="14"/>
      <c r="BB537" s="24"/>
    </row>
    <row r="538">
      <c r="B538" s="24"/>
      <c r="E538" s="113"/>
      <c r="F538" s="266"/>
      <c r="G538" s="113"/>
      <c r="K538" s="36"/>
      <c r="L538" s="117"/>
      <c r="M538" s="128"/>
      <c r="N538" s="117"/>
      <c r="R538" s="117"/>
      <c r="T538" s="117"/>
      <c r="V538" s="117"/>
      <c r="Z538" s="117"/>
      <c r="AA538" s="10"/>
      <c r="AB538" s="11"/>
      <c r="AC538" s="36"/>
      <c r="AD538" s="36"/>
      <c r="AE538" s="13"/>
      <c r="AF538" s="13"/>
      <c r="AG538" s="37"/>
      <c r="AH538" s="37"/>
      <c r="AI538" s="14"/>
      <c r="AJ538" s="14"/>
      <c r="AK538" s="14"/>
      <c r="BB538" s="24"/>
    </row>
    <row r="539">
      <c r="B539" s="24"/>
      <c r="E539" s="113"/>
      <c r="F539" s="266"/>
      <c r="G539" s="113"/>
      <c r="K539" s="36"/>
      <c r="L539" s="117"/>
      <c r="M539" s="128"/>
      <c r="N539" s="117"/>
      <c r="R539" s="117"/>
      <c r="T539" s="117"/>
      <c r="V539" s="117"/>
      <c r="Z539" s="117"/>
      <c r="AA539" s="10"/>
      <c r="AB539" s="11"/>
      <c r="AC539" s="36"/>
      <c r="AD539" s="36"/>
      <c r="AE539" s="13"/>
      <c r="AF539" s="13"/>
      <c r="AG539" s="37"/>
      <c r="AH539" s="37"/>
      <c r="AI539" s="14"/>
      <c r="AJ539" s="14"/>
      <c r="AK539" s="14"/>
      <c r="BB539" s="24"/>
    </row>
    <row r="540">
      <c r="B540" s="24"/>
      <c r="E540" s="113"/>
      <c r="F540" s="266"/>
      <c r="G540" s="113"/>
      <c r="K540" s="36"/>
      <c r="L540" s="117"/>
      <c r="M540" s="128"/>
      <c r="N540" s="117"/>
      <c r="R540" s="117"/>
      <c r="T540" s="117"/>
      <c r="V540" s="117"/>
      <c r="Z540" s="117"/>
      <c r="AA540" s="10"/>
      <c r="AB540" s="11"/>
      <c r="AC540" s="36"/>
      <c r="AD540" s="36"/>
      <c r="AE540" s="13"/>
      <c r="AF540" s="13"/>
      <c r="AG540" s="37"/>
      <c r="AH540" s="37"/>
      <c r="AI540" s="14"/>
      <c r="AJ540" s="14"/>
      <c r="AK540" s="14"/>
      <c r="BB540" s="24"/>
    </row>
    <row r="541">
      <c r="B541" s="24"/>
      <c r="E541" s="113"/>
      <c r="F541" s="266"/>
      <c r="G541" s="113"/>
      <c r="K541" s="36"/>
      <c r="L541" s="117"/>
      <c r="M541" s="128"/>
      <c r="N541" s="117"/>
      <c r="R541" s="117"/>
      <c r="T541" s="117"/>
      <c r="V541" s="117"/>
      <c r="Z541" s="117"/>
      <c r="AA541" s="10"/>
      <c r="AB541" s="11"/>
      <c r="AC541" s="36"/>
      <c r="AD541" s="36"/>
      <c r="AE541" s="13"/>
      <c r="AF541" s="13"/>
      <c r="AG541" s="37"/>
      <c r="AH541" s="37"/>
      <c r="AI541" s="14"/>
      <c r="AJ541" s="14"/>
      <c r="AK541" s="14"/>
      <c r="BB541" s="24"/>
    </row>
    <row r="542">
      <c r="B542" s="24"/>
      <c r="E542" s="113"/>
      <c r="F542" s="266"/>
      <c r="G542" s="113"/>
      <c r="K542" s="36"/>
      <c r="L542" s="117"/>
      <c r="M542" s="128"/>
      <c r="N542" s="117"/>
      <c r="R542" s="117"/>
      <c r="T542" s="117"/>
      <c r="V542" s="117"/>
      <c r="Z542" s="117"/>
      <c r="AA542" s="10"/>
      <c r="AB542" s="11"/>
      <c r="AC542" s="36"/>
      <c r="AD542" s="36"/>
      <c r="AE542" s="13"/>
      <c r="AF542" s="13"/>
      <c r="AG542" s="37"/>
      <c r="AH542" s="37"/>
      <c r="AI542" s="14"/>
      <c r="AJ542" s="14"/>
      <c r="AK542" s="14"/>
      <c r="BB542" s="24"/>
    </row>
    <row r="543">
      <c r="B543" s="24"/>
      <c r="E543" s="113"/>
      <c r="F543" s="266"/>
      <c r="G543" s="113"/>
      <c r="K543" s="36"/>
      <c r="L543" s="117"/>
      <c r="M543" s="128"/>
      <c r="N543" s="117"/>
      <c r="R543" s="117"/>
      <c r="T543" s="117"/>
      <c r="V543" s="117"/>
      <c r="Z543" s="117"/>
      <c r="AA543" s="10"/>
      <c r="AB543" s="11"/>
      <c r="AC543" s="36"/>
      <c r="AD543" s="36"/>
      <c r="AE543" s="13"/>
      <c r="AF543" s="13"/>
      <c r="AG543" s="37"/>
      <c r="AH543" s="37"/>
      <c r="AI543" s="14"/>
      <c r="AJ543" s="14"/>
      <c r="AK543" s="14"/>
      <c r="BB543" s="24"/>
    </row>
    <row r="544">
      <c r="B544" s="24"/>
      <c r="E544" s="113"/>
      <c r="F544" s="266"/>
      <c r="G544" s="113"/>
      <c r="K544" s="36"/>
      <c r="L544" s="117"/>
      <c r="M544" s="128"/>
      <c r="N544" s="117"/>
      <c r="R544" s="117"/>
      <c r="T544" s="117"/>
      <c r="V544" s="117"/>
      <c r="Z544" s="117"/>
      <c r="AA544" s="10"/>
      <c r="AB544" s="11"/>
      <c r="AC544" s="36"/>
      <c r="AD544" s="36"/>
      <c r="AE544" s="13"/>
      <c r="AF544" s="13"/>
      <c r="AG544" s="37"/>
      <c r="AH544" s="37"/>
      <c r="AI544" s="14"/>
      <c r="AJ544" s="14"/>
      <c r="AK544" s="14"/>
      <c r="BB544" s="24"/>
    </row>
    <row r="545">
      <c r="B545" s="24"/>
      <c r="E545" s="113"/>
      <c r="F545" s="266"/>
      <c r="G545" s="113"/>
      <c r="K545" s="36"/>
      <c r="L545" s="117"/>
      <c r="M545" s="128"/>
      <c r="N545" s="117"/>
      <c r="R545" s="117"/>
      <c r="T545" s="117"/>
      <c r="V545" s="117"/>
      <c r="Z545" s="117"/>
      <c r="AA545" s="10"/>
      <c r="AB545" s="11"/>
      <c r="AC545" s="36"/>
      <c r="AD545" s="36"/>
      <c r="AE545" s="13"/>
      <c r="AF545" s="13"/>
      <c r="AG545" s="37"/>
      <c r="AH545" s="37"/>
      <c r="AI545" s="14"/>
      <c r="AJ545" s="14"/>
      <c r="AK545" s="14"/>
      <c r="BB545" s="24"/>
    </row>
    <row r="546">
      <c r="B546" s="24"/>
      <c r="E546" s="113"/>
      <c r="F546" s="266"/>
      <c r="G546" s="113"/>
      <c r="K546" s="36"/>
      <c r="L546" s="117"/>
      <c r="M546" s="128"/>
      <c r="N546" s="117"/>
      <c r="R546" s="117"/>
      <c r="T546" s="117"/>
      <c r="V546" s="117"/>
      <c r="Z546" s="117"/>
      <c r="AA546" s="10"/>
      <c r="AB546" s="11"/>
      <c r="AC546" s="36"/>
      <c r="AD546" s="36"/>
      <c r="AE546" s="13"/>
      <c r="AF546" s="13"/>
      <c r="AG546" s="37"/>
      <c r="AH546" s="37"/>
      <c r="AI546" s="14"/>
      <c r="AJ546" s="14"/>
      <c r="AK546" s="14"/>
      <c r="BB546" s="24"/>
    </row>
    <row r="547">
      <c r="B547" s="24"/>
      <c r="E547" s="113"/>
      <c r="F547" s="266"/>
      <c r="G547" s="113"/>
      <c r="K547" s="36"/>
      <c r="L547" s="117"/>
      <c r="M547" s="128"/>
      <c r="N547" s="117"/>
      <c r="R547" s="117"/>
      <c r="T547" s="117"/>
      <c r="V547" s="117"/>
      <c r="Z547" s="117"/>
      <c r="AA547" s="10"/>
      <c r="AB547" s="11"/>
      <c r="AC547" s="36"/>
      <c r="AD547" s="36"/>
      <c r="AE547" s="13"/>
      <c r="AF547" s="13"/>
      <c r="AG547" s="37"/>
      <c r="AH547" s="37"/>
      <c r="AI547" s="14"/>
      <c r="AJ547" s="14"/>
      <c r="AK547" s="14"/>
      <c r="BB547" s="24"/>
    </row>
    <row r="548">
      <c r="B548" s="24"/>
      <c r="E548" s="113"/>
      <c r="F548" s="266"/>
      <c r="G548" s="113"/>
      <c r="K548" s="36"/>
      <c r="L548" s="117"/>
      <c r="M548" s="128"/>
      <c r="N548" s="117"/>
      <c r="R548" s="117"/>
      <c r="T548" s="117"/>
      <c r="V548" s="117"/>
      <c r="Z548" s="117"/>
      <c r="AA548" s="10"/>
      <c r="AB548" s="11"/>
      <c r="AC548" s="36"/>
      <c r="AD548" s="36"/>
      <c r="AE548" s="13"/>
      <c r="AF548" s="13"/>
      <c r="AG548" s="37"/>
      <c r="AH548" s="37"/>
      <c r="AI548" s="14"/>
      <c r="AJ548" s="14"/>
      <c r="AK548" s="14"/>
      <c r="BB548" s="24"/>
    </row>
    <row r="549">
      <c r="B549" s="24"/>
      <c r="E549" s="113"/>
      <c r="F549" s="266"/>
      <c r="G549" s="113"/>
      <c r="K549" s="36"/>
      <c r="L549" s="117"/>
      <c r="M549" s="128"/>
      <c r="N549" s="117"/>
      <c r="R549" s="117"/>
      <c r="T549" s="117"/>
      <c r="V549" s="117"/>
      <c r="Z549" s="117"/>
      <c r="AA549" s="10"/>
      <c r="AB549" s="11"/>
      <c r="AC549" s="36"/>
      <c r="AD549" s="36"/>
      <c r="AE549" s="13"/>
      <c r="AF549" s="13"/>
      <c r="AG549" s="37"/>
      <c r="AH549" s="37"/>
      <c r="AI549" s="14"/>
      <c r="AJ549" s="14"/>
      <c r="AK549" s="14"/>
      <c r="BB549" s="24"/>
    </row>
    <row r="550">
      <c r="B550" s="24"/>
      <c r="E550" s="113"/>
      <c r="F550" s="266"/>
      <c r="G550" s="113"/>
      <c r="K550" s="36"/>
      <c r="L550" s="117"/>
      <c r="M550" s="128"/>
      <c r="N550" s="117"/>
      <c r="R550" s="117"/>
      <c r="T550" s="117"/>
      <c r="V550" s="117"/>
      <c r="Z550" s="117"/>
      <c r="AA550" s="10"/>
      <c r="AB550" s="11"/>
      <c r="AC550" s="36"/>
      <c r="AD550" s="36"/>
      <c r="AE550" s="13"/>
      <c r="AF550" s="13"/>
      <c r="AG550" s="37"/>
      <c r="AH550" s="37"/>
      <c r="AI550" s="14"/>
      <c r="AJ550" s="14"/>
      <c r="AK550" s="14"/>
      <c r="BB550" s="24"/>
    </row>
    <row r="551">
      <c r="B551" s="24"/>
      <c r="E551" s="113"/>
      <c r="F551" s="266"/>
      <c r="G551" s="113"/>
      <c r="K551" s="36"/>
      <c r="L551" s="117"/>
      <c r="M551" s="128"/>
      <c r="N551" s="117"/>
      <c r="R551" s="117"/>
      <c r="T551" s="117"/>
      <c r="V551" s="117"/>
      <c r="Z551" s="117"/>
      <c r="AA551" s="10"/>
      <c r="AB551" s="11"/>
      <c r="AC551" s="36"/>
      <c r="AD551" s="36"/>
      <c r="AE551" s="13"/>
      <c r="AF551" s="13"/>
      <c r="AG551" s="37"/>
      <c r="AH551" s="37"/>
      <c r="AI551" s="14"/>
      <c r="AJ551" s="14"/>
      <c r="AK551" s="14"/>
      <c r="BB551" s="24"/>
    </row>
    <row r="552">
      <c r="B552" s="24"/>
      <c r="E552" s="113"/>
      <c r="F552" s="266"/>
      <c r="G552" s="113"/>
      <c r="K552" s="36"/>
      <c r="L552" s="117"/>
      <c r="M552" s="128"/>
      <c r="N552" s="117"/>
      <c r="R552" s="117"/>
      <c r="T552" s="117"/>
      <c r="V552" s="117"/>
      <c r="Z552" s="117"/>
      <c r="AA552" s="10"/>
      <c r="AB552" s="11"/>
      <c r="AC552" s="36"/>
      <c r="AD552" s="36"/>
      <c r="AE552" s="13"/>
      <c r="AF552" s="13"/>
      <c r="AG552" s="37"/>
      <c r="AH552" s="37"/>
      <c r="AI552" s="14"/>
      <c r="AJ552" s="14"/>
      <c r="AK552" s="14"/>
      <c r="BB552" s="24"/>
    </row>
    <row r="553">
      <c r="B553" s="24"/>
      <c r="E553" s="113"/>
      <c r="F553" s="266"/>
      <c r="G553" s="113"/>
      <c r="K553" s="36"/>
      <c r="L553" s="117"/>
      <c r="M553" s="128"/>
      <c r="N553" s="117"/>
      <c r="R553" s="117"/>
      <c r="T553" s="117"/>
      <c r="V553" s="117"/>
      <c r="Z553" s="117"/>
      <c r="AA553" s="10"/>
      <c r="AB553" s="11"/>
      <c r="AC553" s="36"/>
      <c r="AD553" s="36"/>
      <c r="AE553" s="13"/>
      <c r="AF553" s="13"/>
      <c r="AG553" s="37"/>
      <c r="AH553" s="37"/>
      <c r="AI553" s="14"/>
      <c r="AJ553" s="14"/>
      <c r="AK553" s="14"/>
      <c r="BB553" s="24"/>
    </row>
    <row r="554">
      <c r="B554" s="24"/>
      <c r="E554" s="113"/>
      <c r="F554" s="266"/>
      <c r="G554" s="113"/>
      <c r="K554" s="36"/>
      <c r="L554" s="117"/>
      <c r="M554" s="128"/>
      <c r="N554" s="117"/>
      <c r="R554" s="117"/>
      <c r="T554" s="117"/>
      <c r="V554" s="117"/>
      <c r="Z554" s="117"/>
      <c r="AA554" s="10"/>
      <c r="AB554" s="11"/>
      <c r="AC554" s="36"/>
      <c r="AD554" s="36"/>
      <c r="AE554" s="13"/>
      <c r="AF554" s="13"/>
      <c r="AG554" s="37"/>
      <c r="AH554" s="37"/>
      <c r="AI554" s="14"/>
      <c r="AJ554" s="14"/>
      <c r="AK554" s="14"/>
      <c r="BB554" s="24"/>
    </row>
    <row r="555">
      <c r="B555" s="24"/>
      <c r="E555" s="113"/>
      <c r="F555" s="266"/>
      <c r="G555" s="113"/>
      <c r="K555" s="36"/>
      <c r="L555" s="117"/>
      <c r="M555" s="128"/>
      <c r="N555" s="117"/>
      <c r="R555" s="117"/>
      <c r="T555" s="117"/>
      <c r="V555" s="117"/>
      <c r="Z555" s="117"/>
      <c r="AA555" s="10"/>
      <c r="AB555" s="11"/>
      <c r="AC555" s="36"/>
      <c r="AD555" s="36"/>
      <c r="AE555" s="13"/>
      <c r="AF555" s="13"/>
      <c r="AG555" s="37"/>
      <c r="AH555" s="37"/>
      <c r="AI555" s="14"/>
      <c r="AJ555" s="14"/>
      <c r="AK555" s="14"/>
      <c r="BB555" s="24"/>
    </row>
    <row r="556">
      <c r="B556" s="24"/>
      <c r="E556" s="113"/>
      <c r="F556" s="266"/>
      <c r="G556" s="113"/>
      <c r="K556" s="36"/>
      <c r="L556" s="117"/>
      <c r="M556" s="128"/>
      <c r="N556" s="117"/>
      <c r="R556" s="117"/>
      <c r="T556" s="117"/>
      <c r="V556" s="117"/>
      <c r="Z556" s="117"/>
      <c r="AA556" s="10"/>
      <c r="AB556" s="11"/>
      <c r="AC556" s="36"/>
      <c r="AD556" s="36"/>
      <c r="AE556" s="13"/>
      <c r="AF556" s="13"/>
      <c r="AG556" s="37"/>
      <c r="AH556" s="37"/>
      <c r="AI556" s="14"/>
      <c r="AJ556" s="14"/>
      <c r="AK556" s="14"/>
      <c r="BB556" s="24"/>
    </row>
    <row r="557">
      <c r="B557" s="24"/>
      <c r="E557" s="113"/>
      <c r="F557" s="266"/>
      <c r="G557" s="113"/>
      <c r="K557" s="36"/>
      <c r="L557" s="117"/>
      <c r="M557" s="128"/>
      <c r="N557" s="117"/>
      <c r="R557" s="117"/>
      <c r="T557" s="117"/>
      <c r="V557" s="117"/>
      <c r="Z557" s="117"/>
      <c r="AA557" s="10"/>
      <c r="AB557" s="11"/>
      <c r="AC557" s="36"/>
      <c r="AD557" s="36"/>
      <c r="AE557" s="13"/>
      <c r="AF557" s="13"/>
      <c r="AG557" s="37"/>
      <c r="AH557" s="37"/>
      <c r="AI557" s="14"/>
      <c r="AJ557" s="14"/>
      <c r="AK557" s="14"/>
      <c r="BB557" s="24"/>
    </row>
    <row r="558">
      <c r="B558" s="24"/>
      <c r="E558" s="113"/>
      <c r="F558" s="266"/>
      <c r="G558" s="113"/>
      <c r="K558" s="36"/>
      <c r="L558" s="117"/>
      <c r="M558" s="128"/>
      <c r="N558" s="117"/>
      <c r="R558" s="117"/>
      <c r="T558" s="117"/>
      <c r="V558" s="117"/>
      <c r="Z558" s="117"/>
      <c r="AA558" s="10"/>
      <c r="AB558" s="11"/>
      <c r="AC558" s="36"/>
      <c r="AD558" s="36"/>
      <c r="AE558" s="13"/>
      <c r="AF558" s="13"/>
      <c r="AG558" s="37"/>
      <c r="AH558" s="37"/>
      <c r="AI558" s="14"/>
      <c r="AJ558" s="14"/>
      <c r="AK558" s="14"/>
      <c r="BB558" s="24"/>
    </row>
    <row r="559">
      <c r="B559" s="24"/>
      <c r="E559" s="113"/>
      <c r="F559" s="266"/>
      <c r="G559" s="113"/>
      <c r="K559" s="36"/>
      <c r="L559" s="117"/>
      <c r="M559" s="128"/>
      <c r="N559" s="117"/>
      <c r="R559" s="117"/>
      <c r="T559" s="117"/>
      <c r="V559" s="117"/>
      <c r="Z559" s="117"/>
      <c r="AA559" s="10"/>
      <c r="AB559" s="11"/>
      <c r="AC559" s="36"/>
      <c r="AD559" s="36"/>
      <c r="AE559" s="13"/>
      <c r="AF559" s="13"/>
      <c r="AG559" s="37"/>
      <c r="AH559" s="37"/>
      <c r="AI559" s="14"/>
      <c r="AJ559" s="14"/>
      <c r="AK559" s="14"/>
      <c r="BB559" s="24"/>
    </row>
    <row r="560">
      <c r="B560" s="24"/>
      <c r="E560" s="113"/>
      <c r="F560" s="266"/>
      <c r="G560" s="113"/>
      <c r="K560" s="36"/>
      <c r="L560" s="117"/>
      <c r="M560" s="128"/>
      <c r="N560" s="117"/>
      <c r="R560" s="117"/>
      <c r="T560" s="117"/>
      <c r="V560" s="117"/>
      <c r="Z560" s="117"/>
      <c r="AA560" s="10"/>
      <c r="AB560" s="11"/>
      <c r="AC560" s="36"/>
      <c r="AD560" s="36"/>
      <c r="AE560" s="13"/>
      <c r="AF560" s="13"/>
      <c r="AG560" s="37"/>
      <c r="AH560" s="37"/>
      <c r="AI560" s="14"/>
      <c r="AJ560" s="14"/>
      <c r="AK560" s="14"/>
      <c r="BB560" s="24"/>
    </row>
    <row r="561">
      <c r="B561" s="24"/>
      <c r="E561" s="113"/>
      <c r="F561" s="266"/>
      <c r="G561" s="113"/>
      <c r="K561" s="36"/>
      <c r="L561" s="117"/>
      <c r="M561" s="128"/>
      <c r="N561" s="117"/>
      <c r="R561" s="117"/>
      <c r="T561" s="117"/>
      <c r="V561" s="117"/>
      <c r="Z561" s="117"/>
      <c r="AA561" s="10"/>
      <c r="AB561" s="11"/>
      <c r="AC561" s="36"/>
      <c r="AD561" s="36"/>
      <c r="AE561" s="13"/>
      <c r="AF561" s="13"/>
      <c r="AG561" s="37"/>
      <c r="AH561" s="37"/>
      <c r="AI561" s="14"/>
      <c r="AJ561" s="14"/>
      <c r="AK561" s="14"/>
      <c r="BB561" s="24"/>
    </row>
    <row r="562">
      <c r="B562" s="24"/>
      <c r="E562" s="113"/>
      <c r="F562" s="266"/>
      <c r="G562" s="113"/>
      <c r="K562" s="36"/>
      <c r="L562" s="117"/>
      <c r="M562" s="128"/>
      <c r="N562" s="117"/>
      <c r="R562" s="117"/>
      <c r="T562" s="117"/>
      <c r="V562" s="117"/>
      <c r="Z562" s="117"/>
      <c r="AA562" s="10"/>
      <c r="AB562" s="11"/>
      <c r="AC562" s="36"/>
      <c r="AD562" s="36"/>
      <c r="AE562" s="13"/>
      <c r="AF562" s="13"/>
      <c r="AG562" s="37"/>
      <c r="AH562" s="37"/>
      <c r="AI562" s="14"/>
      <c r="AJ562" s="14"/>
      <c r="AK562" s="14"/>
      <c r="BB562" s="24"/>
    </row>
    <row r="563">
      <c r="B563" s="24"/>
      <c r="E563" s="113"/>
      <c r="F563" s="266"/>
      <c r="G563" s="113"/>
      <c r="K563" s="36"/>
      <c r="L563" s="117"/>
      <c r="M563" s="128"/>
      <c r="N563" s="117"/>
      <c r="R563" s="117"/>
      <c r="T563" s="117"/>
      <c r="V563" s="117"/>
      <c r="Z563" s="117"/>
      <c r="AA563" s="10"/>
      <c r="AB563" s="11"/>
      <c r="AC563" s="36"/>
      <c r="AD563" s="36"/>
      <c r="AE563" s="13"/>
      <c r="AF563" s="13"/>
      <c r="AG563" s="37"/>
      <c r="AH563" s="37"/>
      <c r="AI563" s="14"/>
      <c r="AJ563" s="14"/>
      <c r="AK563" s="14"/>
      <c r="BB563" s="24"/>
    </row>
    <row r="564">
      <c r="B564" s="24"/>
      <c r="E564" s="113"/>
      <c r="F564" s="266"/>
      <c r="G564" s="113"/>
      <c r="K564" s="36"/>
      <c r="L564" s="117"/>
      <c r="M564" s="128"/>
      <c r="N564" s="117"/>
      <c r="R564" s="117"/>
      <c r="T564" s="117"/>
      <c r="V564" s="117"/>
      <c r="Z564" s="117"/>
      <c r="AA564" s="10"/>
      <c r="AB564" s="11"/>
      <c r="AC564" s="36"/>
      <c r="AD564" s="36"/>
      <c r="AE564" s="13"/>
      <c r="AF564" s="13"/>
      <c r="AG564" s="37"/>
      <c r="AH564" s="37"/>
      <c r="AI564" s="14"/>
      <c r="AJ564" s="14"/>
      <c r="AK564" s="14"/>
      <c r="BB564" s="24"/>
    </row>
    <row r="565">
      <c r="B565" s="24"/>
      <c r="E565" s="113"/>
      <c r="F565" s="266"/>
      <c r="G565" s="113"/>
      <c r="K565" s="36"/>
      <c r="L565" s="117"/>
      <c r="M565" s="128"/>
      <c r="N565" s="117"/>
      <c r="R565" s="117"/>
      <c r="T565" s="117"/>
      <c r="V565" s="117"/>
      <c r="Z565" s="117"/>
      <c r="AA565" s="10"/>
      <c r="AB565" s="11"/>
      <c r="AC565" s="36"/>
      <c r="AD565" s="36"/>
      <c r="AE565" s="13"/>
      <c r="AF565" s="13"/>
      <c r="AG565" s="37"/>
      <c r="AH565" s="37"/>
      <c r="AI565" s="14"/>
      <c r="AJ565" s="14"/>
      <c r="AK565" s="14"/>
      <c r="BB565" s="24"/>
    </row>
    <row r="566">
      <c r="B566" s="24"/>
      <c r="E566" s="113"/>
      <c r="F566" s="266"/>
      <c r="G566" s="113"/>
      <c r="K566" s="36"/>
      <c r="L566" s="117"/>
      <c r="M566" s="128"/>
      <c r="N566" s="117"/>
      <c r="R566" s="117"/>
      <c r="T566" s="117"/>
      <c r="V566" s="117"/>
      <c r="Z566" s="117"/>
      <c r="AA566" s="10"/>
      <c r="AB566" s="11"/>
      <c r="AC566" s="36"/>
      <c r="AD566" s="36"/>
      <c r="AE566" s="13"/>
      <c r="AF566" s="13"/>
      <c r="AG566" s="37"/>
      <c r="AH566" s="37"/>
      <c r="AI566" s="14"/>
      <c r="AJ566" s="14"/>
      <c r="AK566" s="14"/>
      <c r="BB566" s="24"/>
    </row>
    <row r="567">
      <c r="B567" s="24"/>
      <c r="E567" s="113"/>
      <c r="F567" s="266"/>
      <c r="G567" s="113"/>
      <c r="K567" s="36"/>
      <c r="L567" s="117"/>
      <c r="M567" s="128"/>
      <c r="N567" s="117"/>
      <c r="R567" s="117"/>
      <c r="T567" s="117"/>
      <c r="V567" s="117"/>
      <c r="Z567" s="117"/>
      <c r="AA567" s="10"/>
      <c r="AB567" s="11"/>
      <c r="AC567" s="36"/>
      <c r="AD567" s="36"/>
      <c r="AE567" s="13"/>
      <c r="AF567" s="13"/>
      <c r="AG567" s="37"/>
      <c r="AH567" s="37"/>
      <c r="AI567" s="14"/>
      <c r="AJ567" s="14"/>
      <c r="AK567" s="14"/>
      <c r="BB567" s="24"/>
    </row>
    <row r="568">
      <c r="B568" s="24"/>
      <c r="E568" s="113"/>
      <c r="F568" s="266"/>
      <c r="G568" s="113"/>
      <c r="K568" s="36"/>
      <c r="L568" s="117"/>
      <c r="M568" s="128"/>
      <c r="N568" s="117"/>
      <c r="R568" s="117"/>
      <c r="T568" s="117"/>
      <c r="V568" s="117"/>
      <c r="Z568" s="117"/>
      <c r="AA568" s="10"/>
      <c r="AB568" s="11"/>
      <c r="AC568" s="36"/>
      <c r="AD568" s="36"/>
      <c r="AE568" s="13"/>
      <c r="AF568" s="13"/>
      <c r="AG568" s="37"/>
      <c r="AH568" s="37"/>
      <c r="AI568" s="14"/>
      <c r="AJ568" s="14"/>
      <c r="AK568" s="14"/>
      <c r="BB568" s="24"/>
    </row>
    <row r="569">
      <c r="B569" s="24"/>
      <c r="E569" s="113"/>
      <c r="F569" s="266"/>
      <c r="G569" s="113"/>
      <c r="K569" s="36"/>
      <c r="L569" s="117"/>
      <c r="M569" s="128"/>
      <c r="N569" s="117"/>
      <c r="R569" s="117"/>
      <c r="T569" s="117"/>
      <c r="V569" s="117"/>
      <c r="Z569" s="117"/>
      <c r="AA569" s="10"/>
      <c r="AB569" s="11"/>
      <c r="AC569" s="36"/>
      <c r="AD569" s="36"/>
      <c r="AE569" s="13"/>
      <c r="AF569" s="13"/>
      <c r="AG569" s="37"/>
      <c r="AH569" s="37"/>
      <c r="AI569" s="14"/>
      <c r="AJ569" s="14"/>
      <c r="AK569" s="14"/>
      <c r="BB569" s="24"/>
    </row>
    <row r="570">
      <c r="B570" s="24"/>
      <c r="E570" s="113"/>
      <c r="F570" s="266"/>
      <c r="G570" s="113"/>
      <c r="K570" s="36"/>
      <c r="L570" s="117"/>
      <c r="M570" s="128"/>
      <c r="N570" s="117"/>
      <c r="R570" s="117"/>
      <c r="T570" s="117"/>
      <c r="V570" s="117"/>
      <c r="Z570" s="117"/>
      <c r="AA570" s="10"/>
      <c r="AB570" s="11"/>
      <c r="AC570" s="36"/>
      <c r="AD570" s="36"/>
      <c r="AE570" s="13"/>
      <c r="AF570" s="13"/>
      <c r="AG570" s="37"/>
      <c r="AH570" s="37"/>
      <c r="AI570" s="14"/>
      <c r="AJ570" s="14"/>
      <c r="AK570" s="14"/>
      <c r="BB570" s="24"/>
    </row>
    <row r="571">
      <c r="B571" s="24"/>
      <c r="E571" s="113"/>
      <c r="F571" s="266"/>
      <c r="G571" s="113"/>
      <c r="K571" s="36"/>
      <c r="L571" s="117"/>
      <c r="M571" s="128"/>
      <c r="N571" s="117"/>
      <c r="R571" s="117"/>
      <c r="T571" s="117"/>
      <c r="V571" s="117"/>
      <c r="Z571" s="117"/>
      <c r="AA571" s="10"/>
      <c r="AB571" s="11"/>
      <c r="AC571" s="36"/>
      <c r="AD571" s="36"/>
      <c r="AE571" s="13"/>
      <c r="AF571" s="13"/>
      <c r="AG571" s="37"/>
      <c r="AH571" s="37"/>
      <c r="AI571" s="14"/>
      <c r="AJ571" s="14"/>
      <c r="AK571" s="14"/>
      <c r="BB571" s="24"/>
    </row>
    <row r="572">
      <c r="B572" s="24"/>
      <c r="E572" s="113"/>
      <c r="F572" s="266"/>
      <c r="G572" s="113"/>
      <c r="K572" s="36"/>
      <c r="L572" s="117"/>
      <c r="M572" s="128"/>
      <c r="N572" s="117"/>
      <c r="R572" s="117"/>
      <c r="T572" s="117"/>
      <c r="V572" s="117"/>
      <c r="Z572" s="117"/>
      <c r="AA572" s="10"/>
      <c r="AB572" s="11"/>
      <c r="AC572" s="36"/>
      <c r="AD572" s="36"/>
      <c r="AE572" s="13"/>
      <c r="AF572" s="13"/>
      <c r="AG572" s="37"/>
      <c r="AH572" s="37"/>
      <c r="AI572" s="14"/>
      <c r="AJ572" s="14"/>
      <c r="AK572" s="14"/>
      <c r="BB572" s="24"/>
    </row>
    <row r="573">
      <c r="B573" s="24"/>
      <c r="E573" s="113"/>
      <c r="F573" s="266"/>
      <c r="G573" s="113"/>
      <c r="K573" s="36"/>
      <c r="L573" s="117"/>
      <c r="M573" s="128"/>
      <c r="N573" s="117"/>
      <c r="R573" s="117"/>
      <c r="T573" s="117"/>
      <c r="V573" s="117"/>
      <c r="Z573" s="117"/>
      <c r="AA573" s="10"/>
      <c r="AB573" s="11"/>
      <c r="AC573" s="36"/>
      <c r="AD573" s="36"/>
      <c r="AE573" s="13"/>
      <c r="AF573" s="13"/>
      <c r="AG573" s="37"/>
      <c r="AH573" s="37"/>
      <c r="AI573" s="14"/>
      <c r="AJ573" s="14"/>
      <c r="AK573" s="14"/>
      <c r="BB573" s="24"/>
    </row>
    <row r="574">
      <c r="B574" s="24"/>
      <c r="E574" s="113"/>
      <c r="F574" s="266"/>
      <c r="G574" s="113"/>
      <c r="K574" s="36"/>
      <c r="L574" s="117"/>
      <c r="M574" s="128"/>
      <c r="N574" s="117"/>
      <c r="R574" s="117"/>
      <c r="T574" s="117"/>
      <c r="V574" s="117"/>
      <c r="Z574" s="117"/>
      <c r="AA574" s="10"/>
      <c r="AB574" s="11"/>
      <c r="AC574" s="36"/>
      <c r="AD574" s="36"/>
      <c r="AE574" s="13"/>
      <c r="AF574" s="13"/>
      <c r="AG574" s="37"/>
      <c r="AH574" s="37"/>
      <c r="AI574" s="14"/>
      <c r="AJ574" s="14"/>
      <c r="AK574" s="14"/>
      <c r="BB574" s="24"/>
    </row>
    <row r="575">
      <c r="B575" s="24"/>
      <c r="E575" s="113"/>
      <c r="F575" s="266"/>
      <c r="G575" s="113"/>
      <c r="K575" s="36"/>
      <c r="L575" s="117"/>
      <c r="M575" s="128"/>
      <c r="N575" s="117"/>
      <c r="R575" s="117"/>
      <c r="T575" s="117"/>
      <c r="V575" s="117"/>
      <c r="Z575" s="117"/>
      <c r="AA575" s="10"/>
      <c r="AB575" s="11"/>
      <c r="AC575" s="36"/>
      <c r="AD575" s="36"/>
      <c r="AE575" s="13"/>
      <c r="AF575" s="13"/>
      <c r="AG575" s="37"/>
      <c r="AH575" s="37"/>
      <c r="AI575" s="14"/>
      <c r="AJ575" s="14"/>
      <c r="AK575" s="14"/>
      <c r="BB575" s="24"/>
    </row>
    <row r="576">
      <c r="B576" s="24"/>
      <c r="E576" s="113"/>
      <c r="F576" s="266"/>
      <c r="G576" s="113"/>
      <c r="K576" s="36"/>
      <c r="L576" s="117"/>
      <c r="M576" s="128"/>
      <c r="N576" s="117"/>
      <c r="R576" s="117"/>
      <c r="T576" s="117"/>
      <c r="V576" s="117"/>
      <c r="Z576" s="117"/>
      <c r="AA576" s="10"/>
      <c r="AB576" s="11"/>
      <c r="AC576" s="36"/>
      <c r="AD576" s="36"/>
      <c r="AE576" s="13"/>
      <c r="AF576" s="13"/>
      <c r="AG576" s="37"/>
      <c r="AH576" s="37"/>
      <c r="AI576" s="14"/>
      <c r="AJ576" s="14"/>
      <c r="AK576" s="14"/>
      <c r="BB576" s="24"/>
    </row>
    <row r="577">
      <c r="B577" s="24"/>
      <c r="E577" s="113"/>
      <c r="F577" s="266"/>
      <c r="G577" s="113"/>
      <c r="K577" s="36"/>
      <c r="L577" s="117"/>
      <c r="M577" s="128"/>
      <c r="N577" s="117"/>
      <c r="R577" s="117"/>
      <c r="T577" s="117"/>
      <c r="V577" s="117"/>
      <c r="Z577" s="117"/>
      <c r="AA577" s="10"/>
      <c r="AB577" s="11"/>
      <c r="AC577" s="36"/>
      <c r="AD577" s="36"/>
      <c r="AE577" s="13"/>
      <c r="AF577" s="13"/>
      <c r="AG577" s="37"/>
      <c r="AH577" s="37"/>
      <c r="AI577" s="14"/>
      <c r="AJ577" s="14"/>
      <c r="AK577" s="14"/>
      <c r="BB577" s="24"/>
    </row>
    <row r="578">
      <c r="B578" s="24"/>
      <c r="E578" s="113"/>
      <c r="F578" s="266"/>
      <c r="G578" s="113"/>
      <c r="K578" s="36"/>
      <c r="L578" s="117"/>
      <c r="M578" s="128"/>
      <c r="N578" s="117"/>
      <c r="R578" s="117"/>
      <c r="T578" s="117"/>
      <c r="V578" s="117"/>
      <c r="Z578" s="117"/>
      <c r="AA578" s="10"/>
      <c r="AB578" s="11"/>
      <c r="AC578" s="36"/>
      <c r="AD578" s="36"/>
      <c r="AE578" s="13"/>
      <c r="AF578" s="13"/>
      <c r="AG578" s="37"/>
      <c r="AH578" s="37"/>
      <c r="AI578" s="14"/>
      <c r="AJ578" s="14"/>
      <c r="AK578" s="14"/>
      <c r="BB578" s="24"/>
    </row>
    <row r="579">
      <c r="B579" s="24"/>
      <c r="E579" s="113"/>
      <c r="F579" s="266"/>
      <c r="G579" s="113"/>
      <c r="K579" s="36"/>
      <c r="L579" s="117"/>
      <c r="M579" s="128"/>
      <c r="N579" s="117"/>
      <c r="R579" s="117"/>
      <c r="T579" s="117"/>
      <c r="V579" s="117"/>
      <c r="Z579" s="117"/>
      <c r="AA579" s="10"/>
      <c r="AB579" s="11"/>
      <c r="AC579" s="36"/>
      <c r="AD579" s="36"/>
      <c r="AE579" s="13"/>
      <c r="AF579" s="13"/>
      <c r="AG579" s="37"/>
      <c r="AH579" s="37"/>
      <c r="AI579" s="14"/>
      <c r="AJ579" s="14"/>
      <c r="AK579" s="14"/>
      <c r="BB579" s="24"/>
    </row>
    <row r="580">
      <c r="B580" s="24"/>
      <c r="E580" s="113"/>
      <c r="F580" s="266"/>
      <c r="G580" s="113"/>
      <c r="K580" s="36"/>
      <c r="L580" s="117"/>
      <c r="M580" s="128"/>
      <c r="N580" s="117"/>
      <c r="R580" s="117"/>
      <c r="T580" s="117"/>
      <c r="V580" s="117"/>
      <c r="Z580" s="117"/>
      <c r="AA580" s="10"/>
      <c r="AB580" s="11"/>
      <c r="AC580" s="36"/>
      <c r="AD580" s="36"/>
      <c r="AE580" s="13"/>
      <c r="AF580" s="13"/>
      <c r="AG580" s="37"/>
      <c r="AH580" s="37"/>
      <c r="AI580" s="14"/>
      <c r="AJ580" s="14"/>
      <c r="AK580" s="14"/>
      <c r="BB580" s="24"/>
    </row>
    <row r="581">
      <c r="B581" s="24"/>
      <c r="E581" s="113"/>
      <c r="F581" s="266"/>
      <c r="G581" s="113"/>
      <c r="K581" s="36"/>
      <c r="L581" s="117"/>
      <c r="M581" s="128"/>
      <c r="N581" s="117"/>
      <c r="R581" s="117"/>
      <c r="T581" s="117"/>
      <c r="V581" s="117"/>
      <c r="Z581" s="117"/>
      <c r="AA581" s="10"/>
      <c r="AB581" s="11"/>
      <c r="AC581" s="36"/>
      <c r="AD581" s="36"/>
      <c r="AE581" s="13"/>
      <c r="AF581" s="13"/>
      <c r="AG581" s="37"/>
      <c r="AH581" s="37"/>
      <c r="AI581" s="14"/>
      <c r="AJ581" s="14"/>
      <c r="AK581" s="14"/>
      <c r="BB581" s="24"/>
    </row>
    <row r="582">
      <c r="B582" s="24"/>
      <c r="E582" s="113"/>
      <c r="F582" s="266"/>
      <c r="G582" s="113"/>
      <c r="K582" s="36"/>
      <c r="L582" s="117"/>
      <c r="M582" s="128"/>
      <c r="N582" s="117"/>
      <c r="R582" s="117"/>
      <c r="T582" s="117"/>
      <c r="V582" s="117"/>
      <c r="Z582" s="117"/>
      <c r="AA582" s="10"/>
      <c r="AB582" s="11"/>
      <c r="AC582" s="36"/>
      <c r="AD582" s="36"/>
      <c r="AE582" s="13"/>
      <c r="AF582" s="13"/>
      <c r="AG582" s="37"/>
      <c r="AH582" s="37"/>
      <c r="AI582" s="14"/>
      <c r="AJ582" s="14"/>
      <c r="AK582" s="14"/>
      <c r="BB582" s="24"/>
    </row>
    <row r="583">
      <c r="B583" s="24"/>
      <c r="E583" s="113"/>
      <c r="F583" s="266"/>
      <c r="G583" s="113"/>
      <c r="K583" s="36"/>
      <c r="L583" s="117"/>
      <c r="M583" s="128"/>
      <c r="N583" s="117"/>
      <c r="R583" s="117"/>
      <c r="T583" s="117"/>
      <c r="V583" s="117"/>
      <c r="Z583" s="117"/>
      <c r="AA583" s="10"/>
      <c r="AB583" s="11"/>
      <c r="AC583" s="36"/>
      <c r="AD583" s="36"/>
      <c r="AE583" s="13"/>
      <c r="AF583" s="13"/>
      <c r="AG583" s="37"/>
      <c r="AH583" s="37"/>
      <c r="AI583" s="14"/>
      <c r="AJ583" s="14"/>
      <c r="AK583" s="14"/>
      <c r="BB583" s="24"/>
    </row>
    <row r="584">
      <c r="B584" s="24"/>
      <c r="E584" s="113"/>
      <c r="F584" s="266"/>
      <c r="G584" s="113"/>
      <c r="K584" s="36"/>
      <c r="L584" s="117"/>
      <c r="M584" s="128"/>
      <c r="N584" s="117"/>
      <c r="R584" s="117"/>
      <c r="T584" s="117"/>
      <c r="V584" s="117"/>
      <c r="Z584" s="117"/>
      <c r="AA584" s="10"/>
      <c r="AB584" s="11"/>
      <c r="AC584" s="36"/>
      <c r="AD584" s="36"/>
      <c r="AE584" s="13"/>
      <c r="AF584" s="13"/>
      <c r="AG584" s="37"/>
      <c r="AH584" s="37"/>
      <c r="AI584" s="14"/>
      <c r="AJ584" s="14"/>
      <c r="AK584" s="14"/>
      <c r="BB584" s="24"/>
    </row>
    <row r="585">
      <c r="B585" s="24"/>
      <c r="E585" s="113"/>
      <c r="F585" s="266"/>
      <c r="G585" s="113"/>
      <c r="K585" s="36"/>
      <c r="L585" s="117"/>
      <c r="M585" s="128"/>
      <c r="N585" s="117"/>
      <c r="R585" s="117"/>
      <c r="T585" s="117"/>
      <c r="V585" s="117"/>
      <c r="Z585" s="117"/>
      <c r="AA585" s="10"/>
      <c r="AB585" s="11"/>
      <c r="AC585" s="36"/>
      <c r="AD585" s="36"/>
      <c r="AE585" s="13"/>
      <c r="AF585" s="13"/>
      <c r="AG585" s="37"/>
      <c r="AH585" s="37"/>
      <c r="AI585" s="14"/>
      <c r="AJ585" s="14"/>
      <c r="AK585" s="14"/>
      <c r="BB585" s="24"/>
    </row>
    <row r="586">
      <c r="B586" s="24"/>
      <c r="E586" s="113"/>
      <c r="F586" s="266"/>
      <c r="G586" s="113"/>
      <c r="K586" s="36"/>
      <c r="L586" s="117"/>
      <c r="M586" s="128"/>
      <c r="N586" s="117"/>
      <c r="R586" s="117"/>
      <c r="T586" s="117"/>
      <c r="V586" s="117"/>
      <c r="Z586" s="117"/>
      <c r="AA586" s="10"/>
      <c r="AB586" s="11"/>
      <c r="AC586" s="36"/>
      <c r="AD586" s="36"/>
      <c r="AE586" s="13"/>
      <c r="AF586" s="13"/>
      <c r="AG586" s="37"/>
      <c r="AH586" s="37"/>
      <c r="AI586" s="14"/>
      <c r="AJ586" s="14"/>
      <c r="AK586" s="14"/>
      <c r="BB586" s="24"/>
    </row>
    <row r="587">
      <c r="B587" s="24"/>
      <c r="E587" s="113"/>
      <c r="F587" s="266"/>
      <c r="G587" s="113"/>
      <c r="K587" s="36"/>
      <c r="L587" s="117"/>
      <c r="M587" s="128"/>
      <c r="N587" s="117"/>
      <c r="R587" s="117"/>
      <c r="T587" s="117"/>
      <c r="V587" s="117"/>
      <c r="Z587" s="117"/>
      <c r="AA587" s="10"/>
      <c r="AB587" s="11"/>
      <c r="AC587" s="36"/>
      <c r="AD587" s="36"/>
      <c r="AE587" s="13"/>
      <c r="AF587" s="13"/>
      <c r="AG587" s="37"/>
      <c r="AH587" s="37"/>
      <c r="AI587" s="14"/>
      <c r="AJ587" s="14"/>
      <c r="AK587" s="14"/>
      <c r="BB587" s="24"/>
    </row>
    <row r="588">
      <c r="B588" s="24"/>
      <c r="E588" s="113"/>
      <c r="F588" s="266"/>
      <c r="G588" s="113"/>
      <c r="K588" s="36"/>
      <c r="L588" s="117"/>
      <c r="M588" s="128"/>
      <c r="N588" s="117"/>
      <c r="R588" s="117"/>
      <c r="T588" s="117"/>
      <c r="V588" s="117"/>
      <c r="Z588" s="117"/>
      <c r="AA588" s="10"/>
      <c r="AB588" s="11"/>
      <c r="AC588" s="36"/>
      <c r="AD588" s="36"/>
      <c r="AE588" s="13"/>
      <c r="AF588" s="13"/>
      <c r="AG588" s="37"/>
      <c r="AH588" s="37"/>
      <c r="AI588" s="14"/>
      <c r="AJ588" s="14"/>
      <c r="AK588" s="14"/>
      <c r="BB588" s="24"/>
    </row>
    <row r="589">
      <c r="B589" s="24"/>
      <c r="E589" s="113"/>
      <c r="F589" s="266"/>
      <c r="G589" s="113"/>
      <c r="K589" s="36"/>
      <c r="L589" s="117"/>
      <c r="M589" s="128"/>
      <c r="N589" s="117"/>
      <c r="R589" s="117"/>
      <c r="T589" s="117"/>
      <c r="V589" s="117"/>
      <c r="Z589" s="117"/>
      <c r="AA589" s="10"/>
      <c r="AB589" s="11"/>
      <c r="AC589" s="36"/>
      <c r="AD589" s="36"/>
      <c r="AE589" s="13"/>
      <c r="AF589" s="13"/>
      <c r="AG589" s="37"/>
      <c r="AH589" s="37"/>
      <c r="AI589" s="14"/>
      <c r="AJ589" s="14"/>
      <c r="AK589" s="14"/>
      <c r="BB589" s="24"/>
    </row>
    <row r="590">
      <c r="B590" s="24"/>
      <c r="E590" s="113"/>
      <c r="F590" s="266"/>
      <c r="G590" s="113"/>
      <c r="K590" s="36"/>
      <c r="L590" s="117"/>
      <c r="M590" s="128"/>
      <c r="N590" s="117"/>
      <c r="R590" s="117"/>
      <c r="T590" s="117"/>
      <c r="V590" s="117"/>
      <c r="Z590" s="117"/>
      <c r="AA590" s="10"/>
      <c r="AB590" s="11"/>
      <c r="AC590" s="36"/>
      <c r="AD590" s="36"/>
      <c r="AE590" s="13"/>
      <c r="AF590" s="13"/>
      <c r="AG590" s="37"/>
      <c r="AH590" s="37"/>
      <c r="AI590" s="14"/>
      <c r="AJ590" s="14"/>
      <c r="AK590" s="14"/>
      <c r="BB590" s="24"/>
    </row>
    <row r="591">
      <c r="B591" s="24"/>
      <c r="E591" s="113"/>
      <c r="F591" s="266"/>
      <c r="G591" s="113"/>
      <c r="K591" s="36"/>
      <c r="L591" s="117"/>
      <c r="M591" s="128"/>
      <c r="N591" s="117"/>
      <c r="R591" s="117"/>
      <c r="T591" s="117"/>
      <c r="V591" s="117"/>
      <c r="Z591" s="117"/>
      <c r="AA591" s="10"/>
      <c r="AB591" s="11"/>
      <c r="AC591" s="36"/>
      <c r="AD591" s="36"/>
      <c r="AE591" s="13"/>
      <c r="AF591" s="13"/>
      <c r="AG591" s="37"/>
      <c r="AH591" s="37"/>
      <c r="AI591" s="14"/>
      <c r="AJ591" s="14"/>
      <c r="AK591" s="14"/>
      <c r="BB591" s="24"/>
    </row>
    <row r="592">
      <c r="B592" s="24"/>
      <c r="E592" s="113"/>
      <c r="F592" s="266"/>
      <c r="G592" s="113"/>
      <c r="K592" s="36"/>
      <c r="L592" s="117"/>
      <c r="M592" s="128"/>
      <c r="N592" s="117"/>
      <c r="R592" s="117"/>
      <c r="T592" s="117"/>
      <c r="V592" s="117"/>
      <c r="Z592" s="117"/>
      <c r="AA592" s="10"/>
      <c r="AB592" s="11"/>
      <c r="AC592" s="36"/>
      <c r="AD592" s="36"/>
      <c r="AE592" s="13"/>
      <c r="AF592" s="13"/>
      <c r="AG592" s="37"/>
      <c r="AH592" s="37"/>
      <c r="AI592" s="14"/>
      <c r="AJ592" s="14"/>
      <c r="AK592" s="14"/>
      <c r="BB592" s="24"/>
    </row>
    <row r="593">
      <c r="B593" s="24"/>
      <c r="E593" s="113"/>
      <c r="F593" s="266"/>
      <c r="G593" s="113"/>
      <c r="K593" s="36"/>
      <c r="L593" s="117"/>
      <c r="M593" s="128"/>
      <c r="N593" s="117"/>
      <c r="R593" s="117"/>
      <c r="T593" s="117"/>
      <c r="V593" s="117"/>
      <c r="Z593" s="117"/>
      <c r="AA593" s="10"/>
      <c r="AB593" s="11"/>
      <c r="AC593" s="36"/>
      <c r="AD593" s="36"/>
      <c r="AE593" s="13"/>
      <c r="AF593" s="13"/>
      <c r="AG593" s="37"/>
      <c r="AH593" s="37"/>
      <c r="AI593" s="14"/>
      <c r="AJ593" s="14"/>
      <c r="AK593" s="14"/>
      <c r="BB593" s="24"/>
    </row>
    <row r="594">
      <c r="B594" s="24"/>
      <c r="E594" s="113"/>
      <c r="F594" s="266"/>
      <c r="G594" s="113"/>
      <c r="K594" s="36"/>
      <c r="L594" s="117"/>
      <c r="M594" s="128"/>
      <c r="N594" s="117"/>
      <c r="R594" s="117"/>
      <c r="T594" s="117"/>
      <c r="V594" s="117"/>
      <c r="Z594" s="117"/>
      <c r="AA594" s="10"/>
      <c r="AB594" s="11"/>
      <c r="AC594" s="36"/>
      <c r="AD594" s="36"/>
      <c r="AE594" s="13"/>
      <c r="AF594" s="13"/>
      <c r="AG594" s="37"/>
      <c r="AH594" s="37"/>
      <c r="AI594" s="14"/>
      <c r="AJ594" s="14"/>
      <c r="AK594" s="14"/>
      <c r="BB594" s="24"/>
    </row>
    <row r="595">
      <c r="B595" s="24"/>
      <c r="E595" s="113"/>
      <c r="F595" s="266"/>
      <c r="G595" s="113"/>
      <c r="K595" s="36"/>
      <c r="L595" s="117"/>
      <c r="M595" s="128"/>
      <c r="N595" s="117"/>
      <c r="R595" s="117"/>
      <c r="T595" s="117"/>
      <c r="V595" s="117"/>
      <c r="Z595" s="117"/>
      <c r="AA595" s="10"/>
      <c r="AB595" s="11"/>
      <c r="AC595" s="36"/>
      <c r="AD595" s="36"/>
      <c r="AE595" s="13"/>
      <c r="AF595" s="13"/>
      <c r="AG595" s="37"/>
      <c r="AH595" s="37"/>
      <c r="AI595" s="14"/>
      <c r="AJ595" s="14"/>
      <c r="AK595" s="14"/>
      <c r="BB595" s="24"/>
    </row>
    <row r="596">
      <c r="B596" s="24"/>
      <c r="E596" s="113"/>
      <c r="F596" s="266"/>
      <c r="G596" s="113"/>
      <c r="K596" s="36"/>
      <c r="L596" s="117"/>
      <c r="M596" s="128"/>
      <c r="N596" s="117"/>
      <c r="R596" s="117"/>
      <c r="T596" s="117"/>
      <c r="V596" s="117"/>
      <c r="Z596" s="117"/>
      <c r="AA596" s="10"/>
      <c r="AB596" s="11"/>
      <c r="AC596" s="36"/>
      <c r="AD596" s="36"/>
      <c r="AE596" s="13"/>
      <c r="AF596" s="13"/>
      <c r="AG596" s="37"/>
      <c r="AH596" s="37"/>
      <c r="AI596" s="14"/>
      <c r="AJ596" s="14"/>
      <c r="AK596" s="14"/>
      <c r="BB596" s="24"/>
    </row>
    <row r="597">
      <c r="B597" s="24"/>
      <c r="E597" s="113"/>
      <c r="F597" s="266"/>
      <c r="G597" s="113"/>
      <c r="K597" s="36"/>
      <c r="L597" s="117"/>
      <c r="M597" s="128"/>
      <c r="N597" s="117"/>
      <c r="R597" s="117"/>
      <c r="T597" s="117"/>
      <c r="V597" s="117"/>
      <c r="Z597" s="117"/>
      <c r="AA597" s="10"/>
      <c r="AB597" s="11"/>
      <c r="AC597" s="36"/>
      <c r="AD597" s="36"/>
      <c r="AE597" s="13"/>
      <c r="AF597" s="13"/>
      <c r="AG597" s="37"/>
      <c r="AH597" s="37"/>
      <c r="AI597" s="14"/>
      <c r="AJ597" s="14"/>
      <c r="AK597" s="14"/>
      <c r="BB597" s="24"/>
    </row>
    <row r="598">
      <c r="B598" s="24"/>
      <c r="E598" s="113"/>
      <c r="F598" s="266"/>
      <c r="G598" s="113"/>
      <c r="K598" s="36"/>
      <c r="L598" s="117"/>
      <c r="M598" s="128"/>
      <c r="N598" s="117"/>
      <c r="R598" s="117"/>
      <c r="T598" s="117"/>
      <c r="V598" s="117"/>
      <c r="Z598" s="117"/>
      <c r="AA598" s="10"/>
      <c r="AB598" s="11"/>
      <c r="AC598" s="36"/>
      <c r="AD598" s="36"/>
      <c r="AE598" s="13"/>
      <c r="AF598" s="13"/>
      <c r="AG598" s="37"/>
      <c r="AH598" s="37"/>
      <c r="AI598" s="14"/>
      <c r="AJ598" s="14"/>
      <c r="AK598" s="14"/>
      <c r="BB598" s="24"/>
    </row>
    <row r="599">
      <c r="B599" s="24"/>
      <c r="E599" s="113"/>
      <c r="F599" s="266"/>
      <c r="G599" s="113"/>
      <c r="K599" s="36"/>
      <c r="L599" s="117"/>
      <c r="M599" s="128"/>
      <c r="N599" s="117"/>
      <c r="R599" s="117"/>
      <c r="T599" s="117"/>
      <c r="V599" s="117"/>
      <c r="Z599" s="117"/>
      <c r="AA599" s="10"/>
      <c r="AB599" s="11"/>
      <c r="AC599" s="36"/>
      <c r="AD599" s="36"/>
      <c r="AE599" s="13"/>
      <c r="AF599" s="13"/>
      <c r="AG599" s="37"/>
      <c r="AH599" s="37"/>
      <c r="AI599" s="14"/>
      <c r="AJ599" s="14"/>
      <c r="AK599" s="14"/>
      <c r="BB599" s="24"/>
    </row>
    <row r="600">
      <c r="B600" s="24"/>
      <c r="E600" s="113"/>
      <c r="F600" s="266"/>
      <c r="G600" s="113"/>
      <c r="K600" s="36"/>
      <c r="L600" s="117"/>
      <c r="M600" s="128"/>
      <c r="N600" s="117"/>
      <c r="R600" s="117"/>
      <c r="T600" s="117"/>
      <c r="V600" s="117"/>
      <c r="Z600" s="117"/>
      <c r="AA600" s="10"/>
      <c r="AB600" s="11"/>
      <c r="AC600" s="36"/>
      <c r="AD600" s="36"/>
      <c r="AE600" s="13"/>
      <c r="AF600" s="13"/>
      <c r="AG600" s="37"/>
      <c r="AH600" s="37"/>
      <c r="AI600" s="14"/>
      <c r="AJ600" s="14"/>
      <c r="AK600" s="14"/>
      <c r="BB600" s="24"/>
    </row>
    <row r="601">
      <c r="B601" s="24"/>
      <c r="E601" s="113"/>
      <c r="F601" s="266"/>
      <c r="G601" s="113"/>
      <c r="K601" s="36"/>
      <c r="L601" s="117"/>
      <c r="M601" s="128"/>
      <c r="N601" s="117"/>
      <c r="R601" s="117"/>
      <c r="T601" s="117"/>
      <c r="V601" s="117"/>
      <c r="Z601" s="117"/>
      <c r="AA601" s="10"/>
      <c r="AB601" s="11"/>
      <c r="AC601" s="36"/>
      <c r="AD601" s="36"/>
      <c r="AE601" s="13"/>
      <c r="AF601" s="13"/>
      <c r="AG601" s="37"/>
      <c r="AH601" s="37"/>
      <c r="AI601" s="14"/>
      <c r="AJ601" s="14"/>
      <c r="AK601" s="14"/>
      <c r="BB601" s="24"/>
    </row>
    <row r="602">
      <c r="B602" s="24"/>
      <c r="E602" s="113"/>
      <c r="F602" s="266"/>
      <c r="G602" s="113"/>
      <c r="K602" s="36"/>
      <c r="L602" s="117"/>
      <c r="M602" s="128"/>
      <c r="N602" s="117"/>
      <c r="R602" s="117"/>
      <c r="T602" s="117"/>
      <c r="V602" s="117"/>
      <c r="Z602" s="117"/>
      <c r="AA602" s="10"/>
      <c r="AB602" s="11"/>
      <c r="AC602" s="36"/>
      <c r="AD602" s="36"/>
      <c r="AE602" s="13"/>
      <c r="AF602" s="13"/>
      <c r="AG602" s="37"/>
      <c r="AH602" s="37"/>
      <c r="AI602" s="14"/>
      <c r="AJ602" s="14"/>
      <c r="AK602" s="14"/>
      <c r="BB602" s="24"/>
    </row>
    <row r="603">
      <c r="B603" s="24"/>
      <c r="E603" s="113"/>
      <c r="F603" s="266"/>
      <c r="G603" s="113"/>
      <c r="K603" s="36"/>
      <c r="L603" s="117"/>
      <c r="M603" s="128"/>
      <c r="N603" s="117"/>
      <c r="R603" s="117"/>
      <c r="T603" s="117"/>
      <c r="V603" s="117"/>
      <c r="Z603" s="117"/>
      <c r="AA603" s="10"/>
      <c r="AB603" s="11"/>
      <c r="AC603" s="36"/>
      <c r="AD603" s="36"/>
      <c r="AE603" s="13"/>
      <c r="AF603" s="13"/>
      <c r="AG603" s="37"/>
      <c r="AH603" s="37"/>
      <c r="AI603" s="14"/>
      <c r="AJ603" s="14"/>
      <c r="AK603" s="14"/>
      <c r="BB603" s="24"/>
    </row>
    <row r="604">
      <c r="B604" s="24"/>
      <c r="E604" s="113"/>
      <c r="F604" s="266"/>
      <c r="G604" s="113"/>
      <c r="K604" s="36"/>
      <c r="L604" s="117"/>
      <c r="M604" s="128"/>
      <c r="N604" s="117"/>
      <c r="R604" s="117"/>
      <c r="T604" s="117"/>
      <c r="V604" s="117"/>
      <c r="Z604" s="117"/>
      <c r="AA604" s="10"/>
      <c r="AB604" s="11"/>
      <c r="AC604" s="36"/>
      <c r="AD604" s="36"/>
      <c r="AE604" s="13"/>
      <c r="AF604" s="13"/>
      <c r="AG604" s="37"/>
      <c r="AH604" s="37"/>
      <c r="AI604" s="14"/>
      <c r="AJ604" s="14"/>
      <c r="AK604" s="14"/>
      <c r="BB604" s="24"/>
    </row>
    <row r="605">
      <c r="B605" s="24"/>
      <c r="E605" s="113"/>
      <c r="F605" s="266"/>
      <c r="G605" s="113"/>
      <c r="K605" s="36"/>
      <c r="L605" s="117"/>
      <c r="M605" s="128"/>
      <c r="N605" s="117"/>
      <c r="R605" s="117"/>
      <c r="T605" s="117"/>
      <c r="V605" s="117"/>
      <c r="Z605" s="117"/>
      <c r="AA605" s="10"/>
      <c r="AB605" s="11"/>
      <c r="AC605" s="36"/>
      <c r="AD605" s="36"/>
      <c r="AE605" s="13"/>
      <c r="AF605" s="13"/>
      <c r="AG605" s="37"/>
      <c r="AH605" s="37"/>
      <c r="AI605" s="14"/>
      <c r="AJ605" s="14"/>
      <c r="AK605" s="14"/>
      <c r="BB605" s="24"/>
    </row>
    <row r="606">
      <c r="B606" s="24"/>
      <c r="E606" s="113"/>
      <c r="F606" s="266"/>
      <c r="G606" s="113"/>
      <c r="K606" s="36"/>
      <c r="L606" s="117"/>
      <c r="M606" s="128"/>
      <c r="N606" s="117"/>
      <c r="R606" s="117"/>
      <c r="T606" s="117"/>
      <c r="V606" s="117"/>
      <c r="Z606" s="117"/>
      <c r="AA606" s="10"/>
      <c r="AB606" s="11"/>
      <c r="AC606" s="36"/>
      <c r="AD606" s="36"/>
      <c r="AE606" s="13"/>
      <c r="AF606" s="13"/>
      <c r="AG606" s="37"/>
      <c r="AH606" s="37"/>
      <c r="AI606" s="14"/>
      <c r="AJ606" s="14"/>
      <c r="AK606" s="14"/>
      <c r="BB606" s="24"/>
    </row>
    <row r="607">
      <c r="B607" s="24"/>
      <c r="E607" s="113"/>
      <c r="F607" s="266"/>
      <c r="G607" s="113"/>
      <c r="K607" s="36"/>
      <c r="L607" s="117"/>
      <c r="M607" s="128"/>
      <c r="N607" s="117"/>
      <c r="R607" s="117"/>
      <c r="T607" s="117"/>
      <c r="V607" s="117"/>
      <c r="Z607" s="117"/>
      <c r="AA607" s="10"/>
      <c r="AB607" s="11"/>
      <c r="AC607" s="36"/>
      <c r="AD607" s="36"/>
      <c r="AE607" s="13"/>
      <c r="AF607" s="13"/>
      <c r="AG607" s="37"/>
      <c r="AH607" s="37"/>
      <c r="AI607" s="14"/>
      <c r="AJ607" s="14"/>
      <c r="AK607" s="14"/>
      <c r="BB607" s="24"/>
    </row>
    <row r="608">
      <c r="B608" s="24"/>
      <c r="E608" s="113"/>
      <c r="F608" s="266"/>
      <c r="G608" s="113"/>
      <c r="K608" s="36"/>
      <c r="L608" s="117"/>
      <c r="M608" s="128"/>
      <c r="N608" s="117"/>
      <c r="R608" s="117"/>
      <c r="T608" s="117"/>
      <c r="V608" s="117"/>
      <c r="Z608" s="117"/>
      <c r="AA608" s="10"/>
      <c r="AB608" s="11"/>
      <c r="AC608" s="36"/>
      <c r="AD608" s="36"/>
      <c r="AE608" s="13"/>
      <c r="AF608" s="13"/>
      <c r="AG608" s="37"/>
      <c r="AH608" s="37"/>
      <c r="AI608" s="14"/>
      <c r="AJ608" s="14"/>
      <c r="AK608" s="14"/>
      <c r="BB608" s="24"/>
    </row>
    <row r="609">
      <c r="B609" s="24"/>
      <c r="E609" s="113"/>
      <c r="F609" s="266"/>
      <c r="G609" s="113"/>
      <c r="K609" s="36"/>
      <c r="L609" s="117"/>
      <c r="M609" s="128"/>
      <c r="N609" s="117"/>
      <c r="R609" s="117"/>
      <c r="T609" s="117"/>
      <c r="V609" s="117"/>
      <c r="Z609" s="117"/>
      <c r="AA609" s="10"/>
      <c r="AB609" s="11"/>
      <c r="AC609" s="36"/>
      <c r="AD609" s="36"/>
      <c r="AE609" s="13"/>
      <c r="AF609" s="13"/>
      <c r="AG609" s="37"/>
      <c r="AH609" s="37"/>
      <c r="AI609" s="14"/>
      <c r="AJ609" s="14"/>
      <c r="AK609" s="14"/>
      <c r="BB609" s="24"/>
    </row>
    <row r="610">
      <c r="B610" s="24"/>
      <c r="E610" s="113"/>
      <c r="F610" s="266"/>
      <c r="G610" s="113"/>
      <c r="K610" s="36"/>
      <c r="L610" s="117"/>
      <c r="M610" s="128"/>
      <c r="N610" s="117"/>
      <c r="R610" s="117"/>
      <c r="T610" s="117"/>
      <c r="V610" s="117"/>
      <c r="Z610" s="117"/>
      <c r="AA610" s="10"/>
      <c r="AB610" s="11"/>
      <c r="AC610" s="36"/>
      <c r="AD610" s="36"/>
      <c r="AE610" s="13"/>
      <c r="AF610" s="13"/>
      <c r="AG610" s="37"/>
      <c r="AH610" s="37"/>
      <c r="AI610" s="14"/>
      <c r="AJ610" s="14"/>
      <c r="AK610" s="14"/>
      <c r="BB610" s="24"/>
    </row>
    <row r="611">
      <c r="B611" s="24"/>
      <c r="E611" s="113"/>
      <c r="F611" s="266"/>
      <c r="G611" s="113"/>
      <c r="K611" s="36"/>
      <c r="L611" s="117"/>
      <c r="M611" s="128"/>
      <c r="N611" s="117"/>
      <c r="R611" s="117"/>
      <c r="T611" s="117"/>
      <c r="V611" s="117"/>
      <c r="Z611" s="117"/>
      <c r="AA611" s="10"/>
      <c r="AB611" s="11"/>
      <c r="AC611" s="36"/>
      <c r="AD611" s="36"/>
      <c r="AE611" s="13"/>
      <c r="AF611" s="13"/>
      <c r="AG611" s="37"/>
      <c r="AH611" s="37"/>
      <c r="AI611" s="14"/>
      <c r="AJ611" s="14"/>
      <c r="AK611" s="14"/>
      <c r="BB611" s="24"/>
    </row>
    <row r="612">
      <c r="B612" s="24"/>
      <c r="E612" s="113"/>
      <c r="F612" s="266"/>
      <c r="G612" s="113"/>
      <c r="K612" s="36"/>
      <c r="L612" s="117"/>
      <c r="M612" s="128"/>
      <c r="N612" s="117"/>
      <c r="R612" s="117"/>
      <c r="T612" s="117"/>
      <c r="V612" s="117"/>
      <c r="Z612" s="117"/>
      <c r="AA612" s="10"/>
      <c r="AB612" s="11"/>
      <c r="AC612" s="36"/>
      <c r="AD612" s="36"/>
      <c r="AE612" s="13"/>
      <c r="AF612" s="13"/>
      <c r="AG612" s="37"/>
      <c r="AH612" s="37"/>
      <c r="AI612" s="14"/>
      <c r="AJ612" s="14"/>
      <c r="AK612" s="14"/>
      <c r="BB612" s="24"/>
    </row>
    <row r="613">
      <c r="B613" s="24"/>
      <c r="E613" s="113"/>
      <c r="F613" s="266"/>
      <c r="G613" s="113"/>
      <c r="K613" s="36"/>
      <c r="L613" s="117"/>
      <c r="M613" s="128"/>
      <c r="N613" s="117"/>
      <c r="R613" s="117"/>
      <c r="T613" s="117"/>
      <c r="V613" s="117"/>
      <c r="Z613" s="117"/>
      <c r="AA613" s="10"/>
      <c r="AB613" s="11"/>
      <c r="AC613" s="36"/>
      <c r="AD613" s="36"/>
      <c r="AE613" s="13"/>
      <c r="AF613" s="13"/>
      <c r="AG613" s="37"/>
      <c r="AH613" s="37"/>
      <c r="AI613" s="14"/>
      <c r="AJ613" s="14"/>
      <c r="AK613" s="14"/>
      <c r="BB613" s="24"/>
    </row>
    <row r="614">
      <c r="B614" s="24"/>
      <c r="E614" s="113"/>
      <c r="F614" s="266"/>
      <c r="G614" s="113"/>
      <c r="K614" s="36"/>
      <c r="L614" s="117"/>
      <c r="M614" s="128"/>
      <c r="N614" s="117"/>
      <c r="R614" s="117"/>
      <c r="T614" s="117"/>
      <c r="V614" s="117"/>
      <c r="Z614" s="117"/>
      <c r="AA614" s="10"/>
      <c r="AB614" s="11"/>
      <c r="AC614" s="36"/>
      <c r="AD614" s="36"/>
      <c r="AE614" s="13"/>
      <c r="AF614" s="13"/>
      <c r="AG614" s="37"/>
      <c r="AH614" s="37"/>
      <c r="AI614" s="14"/>
      <c r="AJ614" s="14"/>
      <c r="AK614" s="14"/>
      <c r="BB614" s="24"/>
    </row>
    <row r="615">
      <c r="B615" s="24"/>
      <c r="E615" s="113"/>
      <c r="F615" s="266"/>
      <c r="G615" s="113"/>
      <c r="K615" s="36"/>
      <c r="L615" s="117"/>
      <c r="M615" s="128"/>
      <c r="N615" s="117"/>
      <c r="R615" s="117"/>
      <c r="T615" s="117"/>
      <c r="V615" s="117"/>
      <c r="Z615" s="117"/>
      <c r="AA615" s="10"/>
      <c r="AB615" s="11"/>
      <c r="AC615" s="36"/>
      <c r="AD615" s="36"/>
      <c r="AE615" s="13"/>
      <c r="AF615" s="13"/>
      <c r="AG615" s="37"/>
      <c r="AH615" s="37"/>
      <c r="AI615" s="14"/>
      <c r="AJ615" s="14"/>
      <c r="AK615" s="14"/>
      <c r="BB615" s="24"/>
    </row>
    <row r="616">
      <c r="B616" s="24"/>
      <c r="E616" s="113"/>
      <c r="F616" s="266"/>
      <c r="G616" s="113"/>
      <c r="K616" s="36"/>
      <c r="L616" s="117"/>
      <c r="M616" s="128"/>
      <c r="N616" s="117"/>
      <c r="R616" s="117"/>
      <c r="T616" s="117"/>
      <c r="V616" s="117"/>
      <c r="Z616" s="117"/>
      <c r="AA616" s="10"/>
      <c r="AB616" s="11"/>
      <c r="AC616" s="36"/>
      <c r="AD616" s="36"/>
      <c r="AE616" s="13"/>
      <c r="AF616" s="13"/>
      <c r="AG616" s="37"/>
      <c r="AH616" s="37"/>
      <c r="AI616" s="14"/>
      <c r="AJ616" s="14"/>
      <c r="AK616" s="14"/>
      <c r="BB616" s="24"/>
    </row>
    <row r="617">
      <c r="B617" s="24"/>
      <c r="E617" s="113"/>
      <c r="F617" s="266"/>
      <c r="G617" s="113"/>
      <c r="K617" s="36"/>
      <c r="L617" s="117"/>
      <c r="M617" s="128"/>
      <c r="N617" s="117"/>
      <c r="R617" s="117"/>
      <c r="T617" s="117"/>
      <c r="V617" s="117"/>
      <c r="Z617" s="117"/>
      <c r="AA617" s="10"/>
      <c r="AB617" s="11"/>
      <c r="AC617" s="36"/>
      <c r="AD617" s="36"/>
      <c r="AE617" s="13"/>
      <c r="AF617" s="13"/>
      <c r="AG617" s="37"/>
      <c r="AH617" s="37"/>
      <c r="AI617" s="14"/>
      <c r="AJ617" s="14"/>
      <c r="AK617" s="14"/>
      <c r="BB617" s="24"/>
    </row>
    <row r="618">
      <c r="B618" s="24"/>
      <c r="E618" s="113"/>
      <c r="F618" s="266"/>
      <c r="G618" s="113"/>
      <c r="K618" s="36"/>
      <c r="L618" s="117"/>
      <c r="M618" s="128"/>
      <c r="N618" s="117"/>
      <c r="R618" s="117"/>
      <c r="T618" s="117"/>
      <c r="V618" s="117"/>
      <c r="Z618" s="117"/>
      <c r="AA618" s="10"/>
      <c r="AB618" s="11"/>
      <c r="AC618" s="36"/>
      <c r="AD618" s="36"/>
      <c r="AE618" s="13"/>
      <c r="AF618" s="13"/>
      <c r="AG618" s="37"/>
      <c r="AH618" s="37"/>
      <c r="AI618" s="14"/>
      <c r="AJ618" s="14"/>
      <c r="AK618" s="14"/>
      <c r="BB618" s="24"/>
    </row>
    <row r="619">
      <c r="B619" s="24"/>
      <c r="E619" s="113"/>
      <c r="F619" s="266"/>
      <c r="G619" s="113"/>
      <c r="K619" s="36"/>
      <c r="L619" s="117"/>
      <c r="M619" s="128"/>
      <c r="N619" s="117"/>
      <c r="R619" s="117"/>
      <c r="T619" s="117"/>
      <c r="V619" s="117"/>
      <c r="Z619" s="117"/>
      <c r="AA619" s="10"/>
      <c r="AB619" s="11"/>
      <c r="AC619" s="36"/>
      <c r="AD619" s="36"/>
      <c r="AE619" s="13"/>
      <c r="AF619" s="13"/>
      <c r="AG619" s="37"/>
      <c r="AH619" s="37"/>
      <c r="AI619" s="14"/>
      <c r="AJ619" s="14"/>
      <c r="AK619" s="14"/>
      <c r="BB619" s="24"/>
    </row>
    <row r="620">
      <c r="B620" s="24"/>
      <c r="E620" s="113"/>
      <c r="F620" s="266"/>
      <c r="G620" s="113"/>
      <c r="K620" s="36"/>
      <c r="L620" s="117"/>
      <c r="M620" s="128"/>
      <c r="N620" s="117"/>
      <c r="R620" s="117"/>
      <c r="T620" s="117"/>
      <c r="V620" s="117"/>
      <c r="Z620" s="117"/>
      <c r="AA620" s="10"/>
      <c r="AB620" s="11"/>
      <c r="AC620" s="36"/>
      <c r="AD620" s="36"/>
      <c r="AE620" s="13"/>
      <c r="AF620" s="13"/>
      <c r="AG620" s="37"/>
      <c r="AH620" s="37"/>
      <c r="AI620" s="14"/>
      <c r="AJ620" s="14"/>
      <c r="AK620" s="14"/>
      <c r="BB620" s="24"/>
    </row>
    <row r="621">
      <c r="B621" s="24"/>
      <c r="E621" s="113"/>
      <c r="F621" s="266"/>
      <c r="G621" s="113"/>
      <c r="K621" s="36"/>
      <c r="L621" s="117"/>
      <c r="M621" s="128"/>
      <c r="N621" s="117"/>
      <c r="R621" s="117"/>
      <c r="T621" s="117"/>
      <c r="V621" s="117"/>
      <c r="Z621" s="117"/>
      <c r="AA621" s="10"/>
      <c r="AB621" s="11"/>
      <c r="AC621" s="36"/>
      <c r="AD621" s="36"/>
      <c r="AE621" s="13"/>
      <c r="AF621" s="13"/>
      <c r="AG621" s="37"/>
      <c r="AH621" s="37"/>
      <c r="AI621" s="14"/>
      <c r="AJ621" s="14"/>
      <c r="AK621" s="14"/>
      <c r="BB621" s="24"/>
    </row>
    <row r="622">
      <c r="B622" s="24"/>
      <c r="E622" s="113"/>
      <c r="F622" s="266"/>
      <c r="G622" s="113"/>
      <c r="K622" s="36"/>
      <c r="L622" s="117"/>
      <c r="M622" s="128"/>
      <c r="N622" s="117"/>
      <c r="R622" s="117"/>
      <c r="T622" s="117"/>
      <c r="V622" s="117"/>
      <c r="Z622" s="117"/>
      <c r="AA622" s="10"/>
      <c r="AB622" s="11"/>
      <c r="AC622" s="36"/>
      <c r="AD622" s="36"/>
      <c r="AE622" s="13"/>
      <c r="AF622" s="13"/>
      <c r="AG622" s="37"/>
      <c r="AH622" s="37"/>
      <c r="AI622" s="14"/>
      <c r="AJ622" s="14"/>
      <c r="AK622" s="14"/>
      <c r="BB622" s="24"/>
    </row>
    <row r="623">
      <c r="B623" s="24"/>
      <c r="E623" s="113"/>
      <c r="F623" s="266"/>
      <c r="G623" s="113"/>
      <c r="K623" s="36"/>
      <c r="L623" s="117"/>
      <c r="M623" s="128"/>
      <c r="N623" s="117"/>
      <c r="R623" s="117"/>
      <c r="T623" s="117"/>
      <c r="V623" s="117"/>
      <c r="Z623" s="117"/>
      <c r="AA623" s="10"/>
      <c r="AB623" s="11"/>
      <c r="AC623" s="36"/>
      <c r="AD623" s="36"/>
      <c r="AE623" s="13"/>
      <c r="AF623" s="13"/>
      <c r="AG623" s="37"/>
      <c r="AH623" s="37"/>
      <c r="AI623" s="14"/>
      <c r="AJ623" s="14"/>
      <c r="AK623" s="14"/>
      <c r="BB623" s="24"/>
    </row>
    <row r="624">
      <c r="B624" s="24"/>
      <c r="E624" s="113"/>
      <c r="F624" s="266"/>
      <c r="G624" s="113"/>
      <c r="K624" s="36"/>
      <c r="L624" s="117"/>
      <c r="M624" s="128"/>
      <c r="N624" s="117"/>
      <c r="R624" s="117"/>
      <c r="T624" s="117"/>
      <c r="V624" s="117"/>
      <c r="Z624" s="117"/>
      <c r="AA624" s="10"/>
      <c r="AB624" s="11"/>
      <c r="AC624" s="36"/>
      <c r="AD624" s="36"/>
      <c r="AE624" s="13"/>
      <c r="AF624" s="13"/>
      <c r="AG624" s="37"/>
      <c r="AH624" s="37"/>
      <c r="AI624" s="14"/>
      <c r="AJ624" s="14"/>
      <c r="AK624" s="14"/>
      <c r="BB624" s="24"/>
    </row>
    <row r="625">
      <c r="B625" s="24"/>
      <c r="E625" s="113"/>
      <c r="F625" s="266"/>
      <c r="G625" s="113"/>
      <c r="K625" s="36"/>
      <c r="L625" s="117"/>
      <c r="M625" s="128"/>
      <c r="N625" s="117"/>
      <c r="R625" s="117"/>
      <c r="T625" s="117"/>
      <c r="V625" s="117"/>
      <c r="Z625" s="117"/>
      <c r="AA625" s="10"/>
      <c r="AB625" s="11"/>
      <c r="AC625" s="36"/>
      <c r="AD625" s="36"/>
      <c r="AE625" s="13"/>
      <c r="AF625" s="13"/>
      <c r="AG625" s="37"/>
      <c r="AH625" s="37"/>
      <c r="AI625" s="14"/>
      <c r="AJ625" s="14"/>
      <c r="AK625" s="14"/>
      <c r="BB625" s="24"/>
    </row>
    <row r="626">
      <c r="B626" s="24"/>
      <c r="E626" s="113"/>
      <c r="F626" s="266"/>
      <c r="G626" s="113"/>
      <c r="K626" s="36"/>
      <c r="L626" s="117"/>
      <c r="M626" s="128"/>
      <c r="N626" s="117"/>
      <c r="R626" s="117"/>
      <c r="T626" s="117"/>
      <c r="V626" s="117"/>
      <c r="Z626" s="117"/>
      <c r="AA626" s="10"/>
      <c r="AB626" s="11"/>
      <c r="AC626" s="36"/>
      <c r="AD626" s="36"/>
      <c r="AE626" s="13"/>
      <c r="AF626" s="13"/>
      <c r="AG626" s="37"/>
      <c r="AH626" s="37"/>
      <c r="AI626" s="14"/>
      <c r="AJ626" s="14"/>
      <c r="AK626" s="14"/>
      <c r="BB626" s="24"/>
    </row>
    <row r="627">
      <c r="B627" s="24"/>
      <c r="E627" s="113"/>
      <c r="F627" s="266"/>
      <c r="G627" s="113"/>
      <c r="K627" s="36"/>
      <c r="L627" s="117"/>
      <c r="M627" s="128"/>
      <c r="N627" s="117"/>
      <c r="R627" s="117"/>
      <c r="T627" s="117"/>
      <c r="V627" s="117"/>
      <c r="Z627" s="117"/>
      <c r="AA627" s="10"/>
      <c r="AB627" s="11"/>
      <c r="AC627" s="36"/>
      <c r="AD627" s="36"/>
      <c r="AE627" s="13"/>
      <c r="AF627" s="13"/>
      <c r="AG627" s="37"/>
      <c r="AH627" s="37"/>
      <c r="AI627" s="14"/>
      <c r="AJ627" s="14"/>
      <c r="AK627" s="14"/>
      <c r="BB627" s="24"/>
    </row>
    <row r="628">
      <c r="B628" s="24"/>
      <c r="E628" s="113"/>
      <c r="F628" s="266"/>
      <c r="G628" s="113"/>
      <c r="K628" s="36"/>
      <c r="L628" s="117"/>
      <c r="M628" s="128"/>
      <c r="N628" s="117"/>
      <c r="R628" s="117"/>
      <c r="T628" s="117"/>
      <c r="V628" s="117"/>
      <c r="Z628" s="117"/>
      <c r="AA628" s="10"/>
      <c r="AB628" s="11"/>
      <c r="AC628" s="36"/>
      <c r="AD628" s="36"/>
      <c r="AE628" s="13"/>
      <c r="AF628" s="13"/>
      <c r="AG628" s="37"/>
      <c r="AH628" s="37"/>
      <c r="AI628" s="14"/>
      <c r="AJ628" s="14"/>
      <c r="AK628" s="14"/>
      <c r="BB628" s="24"/>
    </row>
    <row r="629">
      <c r="B629" s="24"/>
      <c r="E629" s="113"/>
      <c r="F629" s="266"/>
      <c r="G629" s="113"/>
      <c r="K629" s="36"/>
      <c r="L629" s="117"/>
      <c r="M629" s="128"/>
      <c r="N629" s="117"/>
      <c r="R629" s="117"/>
      <c r="T629" s="117"/>
      <c r="V629" s="117"/>
      <c r="Z629" s="117"/>
      <c r="AA629" s="10"/>
      <c r="AB629" s="11"/>
      <c r="AC629" s="36"/>
      <c r="AD629" s="36"/>
      <c r="AE629" s="13"/>
      <c r="AF629" s="13"/>
      <c r="AG629" s="37"/>
      <c r="AH629" s="37"/>
      <c r="AI629" s="14"/>
      <c r="AJ629" s="14"/>
      <c r="AK629" s="14"/>
      <c r="BB629" s="24"/>
    </row>
    <row r="630">
      <c r="B630" s="24"/>
      <c r="E630" s="113"/>
      <c r="F630" s="266"/>
      <c r="G630" s="113"/>
      <c r="K630" s="36"/>
      <c r="L630" s="117"/>
      <c r="M630" s="128"/>
      <c r="N630" s="117"/>
      <c r="R630" s="117"/>
      <c r="T630" s="117"/>
      <c r="V630" s="117"/>
      <c r="Z630" s="117"/>
      <c r="AA630" s="10"/>
      <c r="AB630" s="11"/>
      <c r="AC630" s="36"/>
      <c r="AD630" s="36"/>
      <c r="AE630" s="13"/>
      <c r="AF630" s="13"/>
      <c r="AG630" s="37"/>
      <c r="AH630" s="37"/>
      <c r="AI630" s="14"/>
      <c r="AJ630" s="14"/>
      <c r="AK630" s="14"/>
      <c r="BB630" s="24"/>
    </row>
    <row r="631">
      <c r="B631" s="24"/>
      <c r="E631" s="113"/>
      <c r="F631" s="266"/>
      <c r="G631" s="113"/>
      <c r="K631" s="36"/>
      <c r="L631" s="117"/>
      <c r="M631" s="128"/>
      <c r="N631" s="117"/>
      <c r="R631" s="117"/>
      <c r="T631" s="117"/>
      <c r="V631" s="117"/>
      <c r="Z631" s="117"/>
      <c r="AA631" s="10"/>
      <c r="AB631" s="11"/>
      <c r="AC631" s="36"/>
      <c r="AD631" s="36"/>
      <c r="AE631" s="13"/>
      <c r="AF631" s="13"/>
      <c r="AG631" s="37"/>
      <c r="AH631" s="37"/>
      <c r="AI631" s="14"/>
      <c r="AJ631" s="14"/>
      <c r="AK631" s="14"/>
      <c r="BB631" s="24"/>
    </row>
    <row r="632">
      <c r="B632" s="24"/>
      <c r="E632" s="113"/>
      <c r="F632" s="266"/>
      <c r="G632" s="113"/>
      <c r="K632" s="36"/>
      <c r="L632" s="117"/>
      <c r="M632" s="128"/>
      <c r="N632" s="117"/>
      <c r="R632" s="117"/>
      <c r="T632" s="117"/>
      <c r="V632" s="117"/>
      <c r="Z632" s="117"/>
      <c r="AA632" s="10"/>
      <c r="AB632" s="11"/>
      <c r="AC632" s="36"/>
      <c r="AD632" s="36"/>
      <c r="AE632" s="13"/>
      <c r="AF632" s="13"/>
      <c r="AG632" s="37"/>
      <c r="AH632" s="37"/>
      <c r="AI632" s="14"/>
      <c r="AJ632" s="14"/>
      <c r="AK632" s="14"/>
      <c r="BB632" s="24"/>
    </row>
    <row r="633">
      <c r="B633" s="24"/>
      <c r="E633" s="113"/>
      <c r="F633" s="266"/>
      <c r="G633" s="113"/>
      <c r="K633" s="36"/>
      <c r="L633" s="117"/>
      <c r="M633" s="128"/>
      <c r="N633" s="117"/>
      <c r="R633" s="117"/>
      <c r="T633" s="117"/>
      <c r="V633" s="117"/>
      <c r="Z633" s="117"/>
      <c r="AA633" s="10"/>
      <c r="AB633" s="11"/>
      <c r="AC633" s="36"/>
      <c r="AD633" s="36"/>
      <c r="AE633" s="13"/>
      <c r="AF633" s="13"/>
      <c r="AG633" s="37"/>
      <c r="AH633" s="37"/>
      <c r="AI633" s="14"/>
      <c r="AJ633" s="14"/>
      <c r="AK633" s="14"/>
      <c r="BB633" s="24"/>
    </row>
    <row r="634">
      <c r="B634" s="24"/>
      <c r="E634" s="113"/>
      <c r="F634" s="266"/>
      <c r="G634" s="113"/>
      <c r="K634" s="36"/>
      <c r="L634" s="117"/>
      <c r="M634" s="128"/>
      <c r="N634" s="117"/>
      <c r="R634" s="117"/>
      <c r="T634" s="117"/>
      <c r="V634" s="117"/>
      <c r="Z634" s="117"/>
      <c r="AA634" s="10"/>
      <c r="AB634" s="11"/>
      <c r="AC634" s="36"/>
      <c r="AD634" s="36"/>
      <c r="AE634" s="13"/>
      <c r="AF634" s="13"/>
      <c r="AG634" s="37"/>
      <c r="AH634" s="37"/>
      <c r="AI634" s="14"/>
      <c r="AJ634" s="14"/>
      <c r="AK634" s="14"/>
      <c r="BB634" s="24"/>
    </row>
    <row r="635">
      <c r="B635" s="24"/>
      <c r="E635" s="113"/>
      <c r="F635" s="266"/>
      <c r="G635" s="113"/>
      <c r="K635" s="36"/>
      <c r="L635" s="117"/>
      <c r="M635" s="128"/>
      <c r="N635" s="117"/>
      <c r="R635" s="117"/>
      <c r="T635" s="117"/>
      <c r="V635" s="117"/>
      <c r="Z635" s="117"/>
      <c r="AA635" s="10"/>
      <c r="AB635" s="11"/>
      <c r="AC635" s="36"/>
      <c r="AD635" s="36"/>
      <c r="AE635" s="13"/>
      <c r="AF635" s="13"/>
      <c r="AG635" s="37"/>
      <c r="AH635" s="37"/>
      <c r="AI635" s="14"/>
      <c r="AJ635" s="14"/>
      <c r="AK635" s="14"/>
      <c r="BB635" s="24"/>
    </row>
    <row r="636">
      <c r="B636" s="24"/>
      <c r="E636" s="113"/>
      <c r="F636" s="266"/>
      <c r="G636" s="113"/>
      <c r="K636" s="36"/>
      <c r="L636" s="117"/>
      <c r="M636" s="128"/>
      <c r="N636" s="117"/>
      <c r="R636" s="117"/>
      <c r="T636" s="117"/>
      <c r="V636" s="117"/>
      <c r="Z636" s="117"/>
      <c r="AA636" s="10"/>
      <c r="AB636" s="11"/>
      <c r="AC636" s="36"/>
      <c r="AD636" s="36"/>
      <c r="AE636" s="13"/>
      <c r="AF636" s="13"/>
      <c r="AG636" s="37"/>
      <c r="AH636" s="37"/>
      <c r="AI636" s="14"/>
      <c r="AJ636" s="14"/>
      <c r="AK636" s="14"/>
      <c r="BB636" s="24"/>
    </row>
    <row r="637">
      <c r="B637" s="24"/>
      <c r="E637" s="113"/>
      <c r="F637" s="266"/>
      <c r="G637" s="113"/>
      <c r="K637" s="36"/>
      <c r="L637" s="117"/>
      <c r="M637" s="128"/>
      <c r="N637" s="117"/>
      <c r="R637" s="117"/>
      <c r="T637" s="117"/>
      <c r="V637" s="117"/>
      <c r="Z637" s="117"/>
      <c r="AA637" s="10"/>
      <c r="AB637" s="11"/>
      <c r="AC637" s="36"/>
      <c r="AD637" s="36"/>
      <c r="AE637" s="13"/>
      <c r="AF637" s="13"/>
      <c r="AG637" s="37"/>
      <c r="AH637" s="37"/>
      <c r="AI637" s="14"/>
      <c r="AJ637" s="14"/>
      <c r="AK637" s="14"/>
      <c r="BB637" s="24"/>
    </row>
    <row r="638">
      <c r="B638" s="24"/>
      <c r="E638" s="113"/>
      <c r="F638" s="266"/>
      <c r="G638" s="113"/>
      <c r="K638" s="36"/>
      <c r="L638" s="117"/>
      <c r="M638" s="128"/>
      <c r="N638" s="117"/>
      <c r="R638" s="117"/>
      <c r="T638" s="117"/>
      <c r="V638" s="117"/>
      <c r="Z638" s="117"/>
      <c r="AA638" s="10"/>
      <c r="AB638" s="11"/>
      <c r="AC638" s="36"/>
      <c r="AD638" s="36"/>
      <c r="AE638" s="13"/>
      <c r="AF638" s="13"/>
      <c r="AG638" s="37"/>
      <c r="AH638" s="37"/>
      <c r="AI638" s="14"/>
      <c r="AJ638" s="14"/>
      <c r="AK638" s="14"/>
      <c r="BB638" s="24"/>
    </row>
    <row r="639">
      <c r="B639" s="24"/>
      <c r="E639" s="113"/>
      <c r="F639" s="266"/>
      <c r="G639" s="113"/>
      <c r="K639" s="36"/>
      <c r="L639" s="117"/>
      <c r="M639" s="128"/>
      <c r="N639" s="117"/>
      <c r="R639" s="117"/>
      <c r="T639" s="117"/>
      <c r="V639" s="117"/>
      <c r="Z639" s="117"/>
      <c r="AA639" s="10"/>
      <c r="AB639" s="11"/>
      <c r="AC639" s="36"/>
      <c r="AD639" s="36"/>
      <c r="AE639" s="13"/>
      <c r="AF639" s="13"/>
      <c r="AG639" s="37"/>
      <c r="AH639" s="37"/>
      <c r="AI639" s="14"/>
      <c r="AJ639" s="14"/>
      <c r="AK639" s="14"/>
      <c r="BB639" s="24"/>
    </row>
    <row r="640">
      <c r="B640" s="24"/>
      <c r="E640" s="113"/>
      <c r="F640" s="266"/>
      <c r="G640" s="113"/>
      <c r="K640" s="36"/>
      <c r="L640" s="117"/>
      <c r="M640" s="128"/>
      <c r="N640" s="117"/>
      <c r="R640" s="117"/>
      <c r="T640" s="117"/>
      <c r="V640" s="117"/>
      <c r="Z640" s="117"/>
      <c r="AA640" s="10"/>
      <c r="AB640" s="11"/>
      <c r="AC640" s="36"/>
      <c r="AD640" s="36"/>
      <c r="AE640" s="13"/>
      <c r="AF640" s="13"/>
      <c r="AG640" s="37"/>
      <c r="AH640" s="37"/>
      <c r="AI640" s="14"/>
      <c r="AJ640" s="14"/>
      <c r="AK640" s="14"/>
      <c r="BB640" s="24"/>
    </row>
    <row r="641">
      <c r="B641" s="24"/>
      <c r="E641" s="113"/>
      <c r="F641" s="266"/>
      <c r="G641" s="113"/>
      <c r="K641" s="36"/>
      <c r="L641" s="117"/>
      <c r="M641" s="128"/>
      <c r="N641" s="117"/>
      <c r="R641" s="117"/>
      <c r="T641" s="117"/>
      <c r="V641" s="117"/>
      <c r="Z641" s="117"/>
      <c r="AA641" s="10"/>
      <c r="AB641" s="11"/>
      <c r="AC641" s="36"/>
      <c r="AD641" s="36"/>
      <c r="AE641" s="13"/>
      <c r="AF641" s="13"/>
      <c r="AG641" s="37"/>
      <c r="AH641" s="37"/>
      <c r="AI641" s="14"/>
      <c r="AJ641" s="14"/>
      <c r="AK641" s="14"/>
      <c r="BB641" s="24"/>
    </row>
    <row r="642">
      <c r="B642" s="24"/>
      <c r="E642" s="113"/>
      <c r="F642" s="266"/>
      <c r="G642" s="113"/>
      <c r="K642" s="36"/>
      <c r="L642" s="117"/>
      <c r="M642" s="128"/>
      <c r="N642" s="117"/>
      <c r="R642" s="117"/>
      <c r="T642" s="117"/>
      <c r="V642" s="117"/>
      <c r="Z642" s="117"/>
      <c r="AA642" s="10"/>
      <c r="AB642" s="11"/>
      <c r="AC642" s="36"/>
      <c r="AD642" s="36"/>
      <c r="AE642" s="13"/>
      <c r="AF642" s="13"/>
      <c r="AG642" s="37"/>
      <c r="AH642" s="37"/>
      <c r="AI642" s="14"/>
      <c r="AJ642" s="14"/>
      <c r="AK642" s="14"/>
      <c r="BB642" s="24"/>
    </row>
    <row r="643">
      <c r="B643" s="24"/>
      <c r="E643" s="113"/>
      <c r="F643" s="266"/>
      <c r="G643" s="113"/>
      <c r="K643" s="36"/>
      <c r="L643" s="117"/>
      <c r="M643" s="128"/>
      <c r="N643" s="117"/>
      <c r="R643" s="117"/>
      <c r="T643" s="117"/>
      <c r="V643" s="117"/>
      <c r="Z643" s="117"/>
      <c r="AA643" s="10"/>
      <c r="AB643" s="11"/>
      <c r="AC643" s="36"/>
      <c r="AD643" s="36"/>
      <c r="AE643" s="13"/>
      <c r="AF643" s="13"/>
      <c r="AG643" s="37"/>
      <c r="AH643" s="37"/>
      <c r="AI643" s="14"/>
      <c r="AJ643" s="14"/>
      <c r="AK643" s="14"/>
      <c r="BB643" s="24"/>
    </row>
    <row r="644">
      <c r="B644" s="24"/>
      <c r="E644" s="113"/>
      <c r="F644" s="266"/>
      <c r="G644" s="113"/>
      <c r="K644" s="36"/>
      <c r="L644" s="117"/>
      <c r="M644" s="128"/>
      <c r="N644" s="117"/>
      <c r="R644" s="117"/>
      <c r="T644" s="117"/>
      <c r="V644" s="117"/>
      <c r="Z644" s="117"/>
      <c r="AA644" s="10"/>
      <c r="AB644" s="11"/>
      <c r="AC644" s="36"/>
      <c r="AD644" s="36"/>
      <c r="AE644" s="13"/>
      <c r="AF644" s="13"/>
      <c r="AG644" s="37"/>
      <c r="AH644" s="37"/>
      <c r="AI644" s="14"/>
      <c r="AJ644" s="14"/>
      <c r="AK644" s="14"/>
      <c r="BB644" s="24"/>
    </row>
    <row r="645">
      <c r="B645" s="24"/>
      <c r="E645" s="113"/>
      <c r="F645" s="266"/>
      <c r="G645" s="113"/>
      <c r="K645" s="36"/>
      <c r="L645" s="117"/>
      <c r="M645" s="128"/>
      <c r="N645" s="117"/>
      <c r="R645" s="117"/>
      <c r="T645" s="117"/>
      <c r="V645" s="117"/>
      <c r="Z645" s="117"/>
      <c r="AA645" s="10"/>
      <c r="AB645" s="11"/>
      <c r="AC645" s="36"/>
      <c r="AD645" s="36"/>
      <c r="AE645" s="13"/>
      <c r="AF645" s="13"/>
      <c r="AG645" s="37"/>
      <c r="AH645" s="37"/>
      <c r="AI645" s="14"/>
      <c r="AJ645" s="14"/>
      <c r="AK645" s="14"/>
      <c r="BB645" s="24"/>
    </row>
    <row r="646">
      <c r="B646" s="24"/>
      <c r="E646" s="113"/>
      <c r="F646" s="266"/>
      <c r="G646" s="113"/>
      <c r="K646" s="36"/>
      <c r="L646" s="117"/>
      <c r="M646" s="128"/>
      <c r="N646" s="117"/>
      <c r="R646" s="117"/>
      <c r="T646" s="117"/>
      <c r="V646" s="117"/>
      <c r="Z646" s="117"/>
      <c r="AA646" s="10"/>
      <c r="AB646" s="11"/>
      <c r="AC646" s="36"/>
      <c r="AD646" s="36"/>
      <c r="AE646" s="13"/>
      <c r="AF646" s="13"/>
      <c r="AG646" s="37"/>
      <c r="AH646" s="37"/>
      <c r="AI646" s="14"/>
      <c r="AJ646" s="14"/>
      <c r="AK646" s="14"/>
      <c r="BB646" s="24"/>
    </row>
    <row r="647">
      <c r="B647" s="24"/>
      <c r="E647" s="113"/>
      <c r="F647" s="266"/>
      <c r="G647" s="113"/>
      <c r="K647" s="36"/>
      <c r="L647" s="117"/>
      <c r="M647" s="128"/>
      <c r="N647" s="117"/>
      <c r="R647" s="117"/>
      <c r="T647" s="117"/>
      <c r="V647" s="117"/>
      <c r="Z647" s="117"/>
      <c r="AA647" s="10"/>
      <c r="AB647" s="11"/>
      <c r="AC647" s="36"/>
      <c r="AD647" s="36"/>
      <c r="AE647" s="13"/>
      <c r="AF647" s="13"/>
      <c r="AG647" s="37"/>
      <c r="AH647" s="37"/>
      <c r="AI647" s="14"/>
      <c r="AJ647" s="14"/>
      <c r="AK647" s="14"/>
      <c r="BB647" s="24"/>
    </row>
    <row r="648">
      <c r="B648" s="24"/>
      <c r="E648" s="113"/>
      <c r="F648" s="266"/>
      <c r="G648" s="113"/>
      <c r="K648" s="36"/>
      <c r="L648" s="117"/>
      <c r="M648" s="128"/>
      <c r="N648" s="117"/>
      <c r="R648" s="117"/>
      <c r="T648" s="117"/>
      <c r="V648" s="117"/>
      <c r="Z648" s="117"/>
      <c r="AA648" s="10"/>
      <c r="AB648" s="11"/>
      <c r="AC648" s="36"/>
      <c r="AD648" s="36"/>
      <c r="AE648" s="13"/>
      <c r="AF648" s="13"/>
      <c r="AG648" s="37"/>
      <c r="AH648" s="37"/>
      <c r="AI648" s="14"/>
      <c r="AJ648" s="14"/>
      <c r="AK648" s="14"/>
      <c r="BB648" s="24"/>
    </row>
    <row r="649">
      <c r="B649" s="24"/>
      <c r="E649" s="113"/>
      <c r="F649" s="266"/>
      <c r="G649" s="113"/>
      <c r="K649" s="36"/>
      <c r="L649" s="117"/>
      <c r="M649" s="128"/>
      <c r="N649" s="117"/>
      <c r="R649" s="117"/>
      <c r="T649" s="117"/>
      <c r="V649" s="117"/>
      <c r="Z649" s="117"/>
      <c r="AA649" s="10"/>
      <c r="AB649" s="11"/>
      <c r="AC649" s="36"/>
      <c r="AD649" s="36"/>
      <c r="AE649" s="13"/>
      <c r="AF649" s="13"/>
      <c r="AG649" s="37"/>
      <c r="AH649" s="37"/>
      <c r="AI649" s="14"/>
      <c r="AJ649" s="14"/>
      <c r="AK649" s="14"/>
      <c r="BB649" s="24"/>
    </row>
    <row r="650">
      <c r="B650" s="24"/>
      <c r="E650" s="113"/>
      <c r="F650" s="266"/>
      <c r="G650" s="113"/>
      <c r="K650" s="36"/>
      <c r="L650" s="117"/>
      <c r="M650" s="128"/>
      <c r="N650" s="117"/>
      <c r="R650" s="117"/>
      <c r="T650" s="117"/>
      <c r="V650" s="117"/>
      <c r="Z650" s="117"/>
      <c r="AA650" s="10"/>
      <c r="AB650" s="11"/>
      <c r="AC650" s="36"/>
      <c r="AD650" s="36"/>
      <c r="AE650" s="13"/>
      <c r="AF650" s="13"/>
      <c r="AG650" s="37"/>
      <c r="AH650" s="37"/>
      <c r="AI650" s="14"/>
      <c r="AJ650" s="14"/>
      <c r="AK650" s="14"/>
      <c r="BB650" s="24"/>
    </row>
    <row r="651">
      <c r="B651" s="24"/>
      <c r="E651" s="113"/>
      <c r="F651" s="266"/>
      <c r="G651" s="113"/>
      <c r="K651" s="36"/>
      <c r="L651" s="117"/>
      <c r="M651" s="128"/>
      <c r="N651" s="117"/>
      <c r="R651" s="117"/>
      <c r="T651" s="117"/>
      <c r="V651" s="117"/>
      <c r="Z651" s="117"/>
      <c r="AA651" s="10"/>
      <c r="AB651" s="11"/>
      <c r="AC651" s="36"/>
      <c r="AD651" s="36"/>
      <c r="AE651" s="13"/>
      <c r="AF651" s="13"/>
      <c r="AG651" s="37"/>
      <c r="AH651" s="37"/>
      <c r="AI651" s="14"/>
      <c r="AJ651" s="14"/>
      <c r="AK651" s="14"/>
      <c r="BB651" s="24"/>
    </row>
    <row r="652">
      <c r="B652" s="24"/>
      <c r="E652" s="113"/>
      <c r="F652" s="266"/>
      <c r="G652" s="113"/>
      <c r="K652" s="36"/>
      <c r="L652" s="117"/>
      <c r="M652" s="128"/>
      <c r="N652" s="117"/>
      <c r="R652" s="117"/>
      <c r="T652" s="117"/>
      <c r="V652" s="117"/>
      <c r="Z652" s="117"/>
      <c r="AA652" s="10"/>
      <c r="AB652" s="11"/>
      <c r="AC652" s="36"/>
      <c r="AD652" s="36"/>
      <c r="AE652" s="13"/>
      <c r="AF652" s="13"/>
      <c r="AG652" s="37"/>
      <c r="AH652" s="37"/>
      <c r="AI652" s="14"/>
      <c r="AJ652" s="14"/>
      <c r="AK652" s="14"/>
      <c r="BB652" s="24"/>
    </row>
    <row r="653">
      <c r="B653" s="24"/>
      <c r="E653" s="113"/>
      <c r="F653" s="266"/>
      <c r="G653" s="113"/>
      <c r="K653" s="36"/>
      <c r="L653" s="117"/>
      <c r="M653" s="128"/>
      <c r="N653" s="117"/>
      <c r="R653" s="117"/>
      <c r="T653" s="117"/>
      <c r="V653" s="117"/>
      <c r="Z653" s="117"/>
      <c r="AA653" s="10"/>
      <c r="AB653" s="11"/>
      <c r="AC653" s="36"/>
      <c r="AD653" s="36"/>
      <c r="AE653" s="13"/>
      <c r="AF653" s="13"/>
      <c r="AG653" s="37"/>
      <c r="AH653" s="37"/>
      <c r="AI653" s="14"/>
      <c r="AJ653" s="14"/>
      <c r="AK653" s="14"/>
      <c r="BB653" s="24"/>
    </row>
    <row r="654">
      <c r="B654" s="24"/>
      <c r="E654" s="113"/>
      <c r="F654" s="266"/>
      <c r="G654" s="113"/>
      <c r="K654" s="36"/>
      <c r="L654" s="117"/>
      <c r="M654" s="128"/>
      <c r="N654" s="117"/>
      <c r="R654" s="117"/>
      <c r="T654" s="117"/>
      <c r="V654" s="117"/>
      <c r="Z654" s="117"/>
      <c r="AA654" s="10"/>
      <c r="AB654" s="11"/>
      <c r="AC654" s="36"/>
      <c r="AD654" s="36"/>
      <c r="AE654" s="13"/>
      <c r="AF654" s="13"/>
      <c r="AG654" s="37"/>
      <c r="AH654" s="37"/>
      <c r="AI654" s="14"/>
      <c r="AJ654" s="14"/>
      <c r="AK654" s="14"/>
      <c r="BB654" s="24"/>
    </row>
    <row r="655">
      <c r="B655" s="24"/>
      <c r="E655" s="113"/>
      <c r="F655" s="266"/>
      <c r="G655" s="113"/>
      <c r="K655" s="36"/>
      <c r="L655" s="117"/>
      <c r="M655" s="128"/>
      <c r="N655" s="117"/>
      <c r="R655" s="117"/>
      <c r="T655" s="117"/>
      <c r="V655" s="117"/>
      <c r="Z655" s="117"/>
      <c r="AA655" s="10"/>
      <c r="AB655" s="11"/>
      <c r="AC655" s="36"/>
      <c r="AD655" s="36"/>
      <c r="AE655" s="13"/>
      <c r="AF655" s="13"/>
      <c r="AG655" s="37"/>
      <c r="AH655" s="37"/>
      <c r="AI655" s="14"/>
      <c r="AJ655" s="14"/>
      <c r="AK655" s="14"/>
      <c r="BB655" s="24"/>
    </row>
    <row r="656">
      <c r="B656" s="24"/>
      <c r="E656" s="113"/>
      <c r="F656" s="266"/>
      <c r="G656" s="113"/>
      <c r="K656" s="36"/>
      <c r="L656" s="117"/>
      <c r="M656" s="128"/>
      <c r="N656" s="117"/>
      <c r="R656" s="117"/>
      <c r="T656" s="117"/>
      <c r="V656" s="117"/>
      <c r="Z656" s="117"/>
      <c r="AA656" s="10"/>
      <c r="AB656" s="11"/>
      <c r="AC656" s="36"/>
      <c r="AD656" s="36"/>
      <c r="AE656" s="13"/>
      <c r="AF656" s="13"/>
      <c r="AG656" s="37"/>
      <c r="AH656" s="37"/>
      <c r="AI656" s="14"/>
      <c r="AJ656" s="14"/>
      <c r="AK656" s="14"/>
      <c r="BB656" s="24"/>
    </row>
    <row r="657">
      <c r="B657" s="24"/>
      <c r="E657" s="113"/>
      <c r="F657" s="266"/>
      <c r="G657" s="113"/>
      <c r="K657" s="36"/>
      <c r="L657" s="117"/>
      <c r="M657" s="128"/>
      <c r="N657" s="117"/>
      <c r="R657" s="117"/>
      <c r="T657" s="117"/>
      <c r="V657" s="117"/>
      <c r="Z657" s="117"/>
      <c r="AA657" s="10"/>
      <c r="AB657" s="11"/>
      <c r="AC657" s="36"/>
      <c r="AD657" s="36"/>
      <c r="AE657" s="13"/>
      <c r="AF657" s="13"/>
      <c r="AG657" s="37"/>
      <c r="AH657" s="37"/>
      <c r="AI657" s="14"/>
      <c r="AJ657" s="14"/>
      <c r="AK657" s="14"/>
      <c r="BB657" s="24"/>
    </row>
    <row r="658">
      <c r="B658" s="24"/>
      <c r="E658" s="113"/>
      <c r="F658" s="266"/>
      <c r="G658" s="113"/>
      <c r="K658" s="36"/>
      <c r="L658" s="117"/>
      <c r="M658" s="128"/>
      <c r="N658" s="117"/>
      <c r="R658" s="117"/>
      <c r="T658" s="117"/>
      <c r="V658" s="117"/>
      <c r="Z658" s="117"/>
      <c r="AA658" s="10"/>
      <c r="AB658" s="11"/>
      <c r="AC658" s="36"/>
      <c r="AD658" s="36"/>
      <c r="AE658" s="13"/>
      <c r="AF658" s="13"/>
      <c r="AG658" s="37"/>
      <c r="AH658" s="37"/>
      <c r="AI658" s="14"/>
      <c r="AJ658" s="14"/>
      <c r="AK658" s="14"/>
      <c r="BB658" s="24"/>
    </row>
    <row r="659">
      <c r="B659" s="24"/>
      <c r="E659" s="113"/>
      <c r="F659" s="266"/>
      <c r="G659" s="113"/>
      <c r="K659" s="36"/>
      <c r="L659" s="117"/>
      <c r="M659" s="128"/>
      <c r="N659" s="117"/>
      <c r="R659" s="117"/>
      <c r="T659" s="117"/>
      <c r="V659" s="117"/>
      <c r="Z659" s="117"/>
      <c r="AA659" s="10"/>
      <c r="AB659" s="11"/>
      <c r="AC659" s="36"/>
      <c r="AD659" s="36"/>
      <c r="AE659" s="13"/>
      <c r="AF659" s="13"/>
      <c r="AG659" s="37"/>
      <c r="AH659" s="37"/>
      <c r="AI659" s="14"/>
      <c r="AJ659" s="14"/>
      <c r="AK659" s="14"/>
      <c r="BB659" s="24"/>
    </row>
    <row r="660">
      <c r="B660" s="24"/>
      <c r="E660" s="113"/>
      <c r="F660" s="266"/>
      <c r="G660" s="113"/>
      <c r="K660" s="36"/>
      <c r="L660" s="117"/>
      <c r="M660" s="128"/>
      <c r="N660" s="117"/>
      <c r="R660" s="117"/>
      <c r="T660" s="117"/>
      <c r="V660" s="117"/>
      <c r="Z660" s="117"/>
      <c r="AA660" s="10"/>
      <c r="AB660" s="11"/>
      <c r="AC660" s="36"/>
      <c r="AD660" s="36"/>
      <c r="AE660" s="13"/>
      <c r="AF660" s="13"/>
      <c r="AG660" s="37"/>
      <c r="AH660" s="37"/>
      <c r="AI660" s="14"/>
      <c r="AJ660" s="14"/>
      <c r="AK660" s="14"/>
      <c r="BB660" s="24"/>
    </row>
    <row r="661">
      <c r="B661" s="24"/>
      <c r="E661" s="113"/>
      <c r="F661" s="266"/>
      <c r="G661" s="113"/>
      <c r="K661" s="36"/>
      <c r="L661" s="117"/>
      <c r="M661" s="128"/>
      <c r="N661" s="117"/>
      <c r="R661" s="117"/>
      <c r="T661" s="117"/>
      <c r="V661" s="117"/>
      <c r="Z661" s="117"/>
      <c r="AA661" s="10"/>
      <c r="AB661" s="11"/>
      <c r="AC661" s="36"/>
      <c r="AD661" s="36"/>
      <c r="AE661" s="13"/>
      <c r="AF661" s="13"/>
      <c r="AG661" s="37"/>
      <c r="AH661" s="37"/>
      <c r="AI661" s="14"/>
      <c r="AJ661" s="14"/>
      <c r="AK661" s="14"/>
      <c r="BB661" s="24"/>
    </row>
    <row r="662">
      <c r="B662" s="24"/>
      <c r="E662" s="113"/>
      <c r="F662" s="266"/>
      <c r="G662" s="113"/>
      <c r="K662" s="36"/>
      <c r="L662" s="117"/>
      <c r="M662" s="128"/>
      <c r="N662" s="117"/>
      <c r="R662" s="117"/>
      <c r="T662" s="117"/>
      <c r="V662" s="117"/>
      <c r="Z662" s="117"/>
      <c r="AA662" s="10"/>
      <c r="AB662" s="11"/>
      <c r="AC662" s="36"/>
      <c r="AD662" s="36"/>
      <c r="AE662" s="13"/>
      <c r="AF662" s="13"/>
      <c r="AG662" s="37"/>
      <c r="AH662" s="37"/>
      <c r="AI662" s="14"/>
      <c r="AJ662" s="14"/>
      <c r="AK662" s="14"/>
      <c r="BB662" s="24"/>
    </row>
    <row r="663">
      <c r="B663" s="24"/>
      <c r="E663" s="113"/>
      <c r="F663" s="266"/>
      <c r="G663" s="113"/>
      <c r="K663" s="36"/>
      <c r="L663" s="117"/>
      <c r="M663" s="128"/>
      <c r="N663" s="117"/>
      <c r="R663" s="117"/>
      <c r="T663" s="117"/>
      <c r="V663" s="117"/>
      <c r="Z663" s="117"/>
      <c r="AA663" s="10"/>
      <c r="AB663" s="11"/>
      <c r="AC663" s="36"/>
      <c r="AD663" s="36"/>
      <c r="AE663" s="13"/>
      <c r="AF663" s="13"/>
      <c r="AG663" s="37"/>
      <c r="AH663" s="37"/>
      <c r="AI663" s="14"/>
      <c r="AJ663" s="14"/>
      <c r="AK663" s="14"/>
      <c r="BB663" s="24"/>
    </row>
    <row r="664">
      <c r="B664" s="24"/>
      <c r="E664" s="113"/>
      <c r="F664" s="266"/>
      <c r="G664" s="113"/>
      <c r="K664" s="36"/>
      <c r="L664" s="117"/>
      <c r="M664" s="128"/>
      <c r="N664" s="117"/>
      <c r="R664" s="117"/>
      <c r="T664" s="117"/>
      <c r="V664" s="117"/>
      <c r="Z664" s="117"/>
      <c r="AA664" s="10"/>
      <c r="AB664" s="11"/>
      <c r="AC664" s="36"/>
      <c r="AD664" s="36"/>
      <c r="AE664" s="13"/>
      <c r="AF664" s="13"/>
      <c r="AG664" s="37"/>
      <c r="AH664" s="37"/>
      <c r="AI664" s="14"/>
      <c r="AJ664" s="14"/>
      <c r="AK664" s="14"/>
      <c r="BB664" s="24"/>
    </row>
    <row r="665">
      <c r="B665" s="24"/>
      <c r="E665" s="113"/>
      <c r="F665" s="266"/>
      <c r="G665" s="113"/>
      <c r="K665" s="36"/>
      <c r="L665" s="117"/>
      <c r="M665" s="128"/>
      <c r="N665" s="117"/>
      <c r="R665" s="117"/>
      <c r="T665" s="117"/>
      <c r="V665" s="117"/>
      <c r="Z665" s="117"/>
      <c r="AA665" s="10"/>
      <c r="AB665" s="11"/>
      <c r="AC665" s="36"/>
      <c r="AD665" s="36"/>
      <c r="AE665" s="13"/>
      <c r="AF665" s="13"/>
      <c r="AG665" s="37"/>
      <c r="AH665" s="37"/>
      <c r="AI665" s="14"/>
      <c r="AJ665" s="14"/>
      <c r="AK665" s="14"/>
      <c r="BB665" s="24"/>
    </row>
    <row r="666">
      <c r="B666" s="24"/>
      <c r="E666" s="113"/>
      <c r="F666" s="266"/>
      <c r="G666" s="113"/>
      <c r="K666" s="36"/>
      <c r="L666" s="117"/>
      <c r="M666" s="128"/>
      <c r="N666" s="117"/>
      <c r="R666" s="117"/>
      <c r="T666" s="117"/>
      <c r="V666" s="117"/>
      <c r="Z666" s="117"/>
      <c r="AA666" s="10"/>
      <c r="AB666" s="11"/>
      <c r="AC666" s="36"/>
      <c r="AD666" s="36"/>
      <c r="AE666" s="13"/>
      <c r="AF666" s="13"/>
      <c r="AG666" s="37"/>
      <c r="AH666" s="37"/>
      <c r="AI666" s="14"/>
      <c r="AJ666" s="14"/>
      <c r="AK666" s="14"/>
      <c r="BB666" s="24"/>
    </row>
    <row r="667">
      <c r="B667" s="24"/>
      <c r="E667" s="113"/>
      <c r="F667" s="266"/>
      <c r="G667" s="113"/>
      <c r="K667" s="36"/>
      <c r="L667" s="117"/>
      <c r="M667" s="128"/>
      <c r="N667" s="117"/>
      <c r="R667" s="117"/>
      <c r="T667" s="117"/>
      <c r="V667" s="117"/>
      <c r="Z667" s="117"/>
      <c r="AA667" s="10"/>
      <c r="AB667" s="11"/>
      <c r="AC667" s="36"/>
      <c r="AD667" s="36"/>
      <c r="AE667" s="13"/>
      <c r="AF667" s="13"/>
      <c r="AG667" s="37"/>
      <c r="AH667" s="37"/>
      <c r="AI667" s="14"/>
      <c r="AJ667" s="14"/>
      <c r="AK667" s="14"/>
      <c r="BB667" s="24"/>
    </row>
    <row r="668">
      <c r="B668" s="24"/>
      <c r="E668" s="113"/>
      <c r="F668" s="266"/>
      <c r="G668" s="113"/>
      <c r="K668" s="36"/>
      <c r="L668" s="117"/>
      <c r="M668" s="128"/>
      <c r="N668" s="117"/>
      <c r="R668" s="117"/>
      <c r="T668" s="117"/>
      <c r="V668" s="117"/>
      <c r="Z668" s="117"/>
      <c r="AA668" s="10"/>
      <c r="AB668" s="11"/>
      <c r="AC668" s="36"/>
      <c r="AD668" s="36"/>
      <c r="AE668" s="13"/>
      <c r="AF668" s="13"/>
      <c r="AG668" s="37"/>
      <c r="AH668" s="37"/>
      <c r="AI668" s="14"/>
      <c r="AJ668" s="14"/>
      <c r="AK668" s="14"/>
      <c r="BB668" s="24"/>
    </row>
    <row r="669">
      <c r="B669" s="24"/>
      <c r="E669" s="113"/>
      <c r="F669" s="266"/>
      <c r="G669" s="113"/>
      <c r="K669" s="36"/>
      <c r="L669" s="117"/>
      <c r="M669" s="128"/>
      <c r="N669" s="117"/>
      <c r="R669" s="117"/>
      <c r="T669" s="117"/>
      <c r="V669" s="117"/>
      <c r="Z669" s="117"/>
      <c r="AA669" s="10"/>
      <c r="AB669" s="11"/>
      <c r="AC669" s="36"/>
      <c r="AD669" s="36"/>
      <c r="AE669" s="13"/>
      <c r="AF669" s="13"/>
      <c r="AG669" s="37"/>
      <c r="AH669" s="37"/>
      <c r="AI669" s="14"/>
      <c r="AJ669" s="14"/>
      <c r="AK669" s="14"/>
      <c r="BB669" s="24"/>
    </row>
    <row r="670">
      <c r="B670" s="24"/>
      <c r="E670" s="113"/>
      <c r="F670" s="266"/>
      <c r="G670" s="113"/>
      <c r="K670" s="36"/>
      <c r="L670" s="117"/>
      <c r="M670" s="128"/>
      <c r="N670" s="117"/>
      <c r="R670" s="117"/>
      <c r="T670" s="117"/>
      <c r="V670" s="117"/>
      <c r="Z670" s="117"/>
      <c r="AA670" s="10"/>
      <c r="AB670" s="11"/>
      <c r="AC670" s="36"/>
      <c r="AD670" s="36"/>
      <c r="AE670" s="13"/>
      <c r="AF670" s="13"/>
      <c r="AG670" s="37"/>
      <c r="AH670" s="37"/>
      <c r="AI670" s="14"/>
      <c r="AJ670" s="14"/>
      <c r="AK670" s="14"/>
      <c r="BB670" s="24"/>
    </row>
    <row r="671">
      <c r="B671" s="24"/>
      <c r="E671" s="113"/>
      <c r="F671" s="266"/>
      <c r="G671" s="113"/>
      <c r="K671" s="36"/>
      <c r="L671" s="117"/>
      <c r="M671" s="128"/>
      <c r="N671" s="117"/>
      <c r="R671" s="117"/>
      <c r="T671" s="117"/>
      <c r="V671" s="117"/>
      <c r="Z671" s="117"/>
      <c r="AA671" s="10"/>
      <c r="AB671" s="11"/>
      <c r="AC671" s="36"/>
      <c r="AD671" s="36"/>
      <c r="AE671" s="13"/>
      <c r="AF671" s="13"/>
      <c r="AG671" s="37"/>
      <c r="AH671" s="37"/>
      <c r="AI671" s="14"/>
      <c r="AJ671" s="14"/>
      <c r="AK671" s="14"/>
      <c r="BB671" s="24"/>
    </row>
    <row r="672">
      <c r="B672" s="24"/>
      <c r="E672" s="113"/>
      <c r="F672" s="266"/>
      <c r="G672" s="113"/>
      <c r="K672" s="36"/>
      <c r="L672" s="117"/>
      <c r="M672" s="128"/>
      <c r="N672" s="117"/>
      <c r="R672" s="117"/>
      <c r="T672" s="117"/>
      <c r="V672" s="117"/>
      <c r="Z672" s="117"/>
      <c r="AA672" s="10"/>
      <c r="AB672" s="11"/>
      <c r="AC672" s="36"/>
      <c r="AD672" s="36"/>
      <c r="AE672" s="13"/>
      <c r="AF672" s="13"/>
      <c r="AG672" s="37"/>
      <c r="AH672" s="37"/>
      <c r="AI672" s="14"/>
      <c r="AJ672" s="14"/>
      <c r="AK672" s="14"/>
      <c r="BB672" s="24"/>
    </row>
    <row r="673">
      <c r="B673" s="24"/>
      <c r="E673" s="113"/>
      <c r="F673" s="266"/>
      <c r="G673" s="113"/>
      <c r="K673" s="36"/>
      <c r="L673" s="117"/>
      <c r="M673" s="128"/>
      <c r="N673" s="117"/>
      <c r="R673" s="117"/>
      <c r="T673" s="117"/>
      <c r="V673" s="117"/>
      <c r="Z673" s="117"/>
      <c r="AA673" s="10"/>
      <c r="AB673" s="11"/>
      <c r="AC673" s="36"/>
      <c r="AD673" s="36"/>
      <c r="AE673" s="13"/>
      <c r="AF673" s="13"/>
      <c r="AG673" s="37"/>
      <c r="AH673" s="37"/>
      <c r="AI673" s="14"/>
      <c r="AJ673" s="14"/>
      <c r="AK673" s="14"/>
      <c r="BB673" s="24"/>
    </row>
    <row r="674">
      <c r="B674" s="24"/>
      <c r="E674" s="113"/>
      <c r="F674" s="266"/>
      <c r="G674" s="113"/>
      <c r="K674" s="36"/>
      <c r="L674" s="117"/>
      <c r="M674" s="128"/>
      <c r="N674" s="117"/>
      <c r="R674" s="117"/>
      <c r="T674" s="117"/>
      <c r="V674" s="117"/>
      <c r="Z674" s="117"/>
      <c r="AA674" s="10"/>
      <c r="AB674" s="11"/>
      <c r="AC674" s="36"/>
      <c r="AD674" s="36"/>
      <c r="AE674" s="13"/>
      <c r="AF674" s="13"/>
      <c r="AG674" s="37"/>
      <c r="AH674" s="37"/>
      <c r="AI674" s="14"/>
      <c r="AJ674" s="14"/>
      <c r="AK674" s="14"/>
      <c r="BB674" s="24"/>
    </row>
    <row r="675">
      <c r="B675" s="24"/>
      <c r="E675" s="113"/>
      <c r="F675" s="266"/>
      <c r="G675" s="113"/>
      <c r="K675" s="36"/>
      <c r="L675" s="117"/>
      <c r="M675" s="128"/>
      <c r="N675" s="117"/>
      <c r="R675" s="117"/>
      <c r="T675" s="117"/>
      <c r="V675" s="117"/>
      <c r="Z675" s="117"/>
      <c r="AA675" s="10"/>
      <c r="AB675" s="11"/>
      <c r="AC675" s="36"/>
      <c r="AD675" s="36"/>
      <c r="AE675" s="13"/>
      <c r="AF675" s="13"/>
      <c r="AG675" s="37"/>
      <c r="AH675" s="37"/>
      <c r="AI675" s="14"/>
      <c r="AJ675" s="14"/>
      <c r="AK675" s="14"/>
      <c r="BB675" s="24"/>
    </row>
    <row r="676">
      <c r="B676" s="24"/>
      <c r="E676" s="113"/>
      <c r="F676" s="266"/>
      <c r="G676" s="113"/>
      <c r="K676" s="36"/>
      <c r="L676" s="117"/>
      <c r="M676" s="128"/>
      <c r="N676" s="117"/>
      <c r="R676" s="117"/>
      <c r="T676" s="117"/>
      <c r="V676" s="117"/>
      <c r="Z676" s="117"/>
      <c r="AA676" s="10"/>
      <c r="AB676" s="11"/>
      <c r="AC676" s="36"/>
      <c r="AD676" s="36"/>
      <c r="AE676" s="13"/>
      <c r="AF676" s="13"/>
      <c r="AG676" s="37"/>
      <c r="AH676" s="37"/>
      <c r="AI676" s="14"/>
      <c r="AJ676" s="14"/>
      <c r="AK676" s="14"/>
      <c r="BB676" s="24"/>
    </row>
    <row r="677">
      <c r="B677" s="24"/>
      <c r="E677" s="113"/>
      <c r="F677" s="266"/>
      <c r="G677" s="113"/>
      <c r="K677" s="36"/>
      <c r="L677" s="117"/>
      <c r="M677" s="128"/>
      <c r="N677" s="117"/>
      <c r="R677" s="117"/>
      <c r="T677" s="117"/>
      <c r="V677" s="117"/>
      <c r="Z677" s="117"/>
      <c r="AA677" s="10"/>
      <c r="AB677" s="11"/>
      <c r="AC677" s="36"/>
      <c r="AD677" s="36"/>
      <c r="AE677" s="13"/>
      <c r="AF677" s="13"/>
      <c r="AG677" s="37"/>
      <c r="AH677" s="37"/>
      <c r="AI677" s="14"/>
      <c r="AJ677" s="14"/>
      <c r="AK677" s="14"/>
      <c r="BB677" s="24"/>
    </row>
    <row r="678">
      <c r="B678" s="24"/>
      <c r="E678" s="113"/>
      <c r="F678" s="266"/>
      <c r="G678" s="113"/>
      <c r="K678" s="36"/>
      <c r="L678" s="117"/>
      <c r="M678" s="128"/>
      <c r="N678" s="117"/>
      <c r="R678" s="117"/>
      <c r="T678" s="117"/>
      <c r="V678" s="117"/>
      <c r="Z678" s="117"/>
      <c r="AA678" s="10"/>
      <c r="AB678" s="11"/>
      <c r="AC678" s="36"/>
      <c r="AD678" s="36"/>
      <c r="AE678" s="13"/>
      <c r="AF678" s="13"/>
      <c r="AG678" s="37"/>
      <c r="AH678" s="37"/>
      <c r="AI678" s="14"/>
      <c r="AJ678" s="14"/>
      <c r="AK678" s="14"/>
      <c r="BB678" s="24"/>
    </row>
    <row r="679">
      <c r="B679" s="24"/>
      <c r="E679" s="113"/>
      <c r="F679" s="266"/>
      <c r="G679" s="113"/>
      <c r="K679" s="36"/>
      <c r="L679" s="117"/>
      <c r="M679" s="128"/>
      <c r="N679" s="117"/>
      <c r="R679" s="117"/>
      <c r="T679" s="117"/>
      <c r="V679" s="117"/>
      <c r="Z679" s="117"/>
      <c r="AA679" s="10"/>
      <c r="AB679" s="11"/>
      <c r="AC679" s="36"/>
      <c r="AD679" s="36"/>
      <c r="AE679" s="13"/>
      <c r="AF679" s="13"/>
      <c r="AG679" s="37"/>
      <c r="AH679" s="37"/>
      <c r="AI679" s="14"/>
      <c r="AJ679" s="14"/>
      <c r="AK679" s="14"/>
      <c r="BB679" s="24"/>
    </row>
    <row r="680">
      <c r="B680" s="24"/>
      <c r="E680" s="113"/>
      <c r="F680" s="266"/>
      <c r="G680" s="113"/>
      <c r="K680" s="36"/>
      <c r="L680" s="117"/>
      <c r="M680" s="128"/>
      <c r="N680" s="117"/>
      <c r="R680" s="117"/>
      <c r="T680" s="117"/>
      <c r="V680" s="117"/>
      <c r="Z680" s="117"/>
      <c r="AA680" s="10"/>
      <c r="AB680" s="11"/>
      <c r="AC680" s="36"/>
      <c r="AD680" s="36"/>
      <c r="AE680" s="13"/>
      <c r="AF680" s="13"/>
      <c r="AG680" s="37"/>
      <c r="AH680" s="37"/>
      <c r="AI680" s="14"/>
      <c r="AJ680" s="14"/>
      <c r="AK680" s="14"/>
      <c r="BB680" s="24"/>
    </row>
    <row r="681">
      <c r="B681" s="24"/>
      <c r="E681" s="113"/>
      <c r="F681" s="266"/>
      <c r="G681" s="113"/>
      <c r="K681" s="36"/>
      <c r="L681" s="117"/>
      <c r="M681" s="128"/>
      <c r="N681" s="117"/>
      <c r="R681" s="117"/>
      <c r="T681" s="117"/>
      <c r="V681" s="117"/>
      <c r="Z681" s="117"/>
      <c r="AA681" s="10"/>
      <c r="AB681" s="11"/>
      <c r="AC681" s="36"/>
      <c r="AD681" s="36"/>
      <c r="AE681" s="13"/>
      <c r="AF681" s="13"/>
      <c r="AG681" s="37"/>
      <c r="AH681" s="37"/>
      <c r="AI681" s="14"/>
      <c r="AJ681" s="14"/>
      <c r="AK681" s="14"/>
      <c r="BB681" s="24"/>
    </row>
    <row r="682">
      <c r="B682" s="24"/>
      <c r="E682" s="113"/>
      <c r="F682" s="266"/>
      <c r="G682" s="113"/>
      <c r="K682" s="36"/>
      <c r="L682" s="117"/>
      <c r="M682" s="128"/>
      <c r="N682" s="117"/>
      <c r="R682" s="117"/>
      <c r="T682" s="117"/>
      <c r="V682" s="117"/>
      <c r="Z682" s="117"/>
      <c r="AA682" s="10"/>
      <c r="AB682" s="11"/>
      <c r="AC682" s="36"/>
      <c r="AD682" s="36"/>
      <c r="AE682" s="13"/>
      <c r="AF682" s="13"/>
      <c r="AG682" s="37"/>
      <c r="AH682" s="37"/>
      <c r="AI682" s="14"/>
      <c r="AJ682" s="14"/>
      <c r="AK682" s="14"/>
      <c r="BB682" s="24"/>
    </row>
    <row r="683">
      <c r="B683" s="24"/>
      <c r="E683" s="113"/>
      <c r="F683" s="266"/>
      <c r="G683" s="113"/>
      <c r="K683" s="36"/>
      <c r="L683" s="117"/>
      <c r="M683" s="128"/>
      <c r="N683" s="117"/>
      <c r="R683" s="117"/>
      <c r="T683" s="117"/>
      <c r="V683" s="117"/>
      <c r="Z683" s="117"/>
      <c r="AA683" s="10"/>
      <c r="AB683" s="11"/>
      <c r="AC683" s="36"/>
      <c r="AD683" s="36"/>
      <c r="AE683" s="13"/>
      <c r="AF683" s="13"/>
      <c r="AG683" s="37"/>
      <c r="AH683" s="37"/>
      <c r="AI683" s="14"/>
      <c r="AJ683" s="14"/>
      <c r="AK683" s="14"/>
      <c r="BB683" s="24"/>
    </row>
    <row r="684">
      <c r="B684" s="24"/>
      <c r="E684" s="113"/>
      <c r="F684" s="266"/>
      <c r="G684" s="113"/>
      <c r="K684" s="36"/>
      <c r="L684" s="117"/>
      <c r="M684" s="128"/>
      <c r="N684" s="117"/>
      <c r="R684" s="117"/>
      <c r="T684" s="117"/>
      <c r="V684" s="117"/>
      <c r="Z684" s="117"/>
      <c r="AA684" s="10"/>
      <c r="AB684" s="11"/>
      <c r="AC684" s="36"/>
      <c r="AD684" s="36"/>
      <c r="AE684" s="13"/>
      <c r="AF684" s="13"/>
      <c r="AG684" s="37"/>
      <c r="AH684" s="37"/>
      <c r="AI684" s="14"/>
      <c r="AJ684" s="14"/>
      <c r="AK684" s="14"/>
      <c r="BB684" s="24"/>
    </row>
    <row r="685">
      <c r="B685" s="24"/>
      <c r="E685" s="113"/>
      <c r="F685" s="266"/>
      <c r="G685" s="113"/>
      <c r="K685" s="36"/>
      <c r="L685" s="117"/>
      <c r="M685" s="128"/>
      <c r="N685" s="117"/>
      <c r="R685" s="117"/>
      <c r="T685" s="117"/>
      <c r="V685" s="117"/>
      <c r="Z685" s="117"/>
      <c r="AA685" s="10"/>
      <c r="AB685" s="11"/>
      <c r="AC685" s="36"/>
      <c r="AD685" s="36"/>
      <c r="AE685" s="13"/>
      <c r="AF685" s="13"/>
      <c r="AG685" s="37"/>
      <c r="AH685" s="37"/>
      <c r="AI685" s="14"/>
      <c r="AJ685" s="14"/>
      <c r="AK685" s="14"/>
      <c r="BB685" s="24"/>
    </row>
    <row r="686">
      <c r="B686" s="24"/>
      <c r="E686" s="113"/>
      <c r="F686" s="266"/>
      <c r="G686" s="113"/>
      <c r="K686" s="36"/>
      <c r="L686" s="117"/>
      <c r="M686" s="128"/>
      <c r="N686" s="117"/>
      <c r="R686" s="117"/>
      <c r="T686" s="117"/>
      <c r="V686" s="117"/>
      <c r="Z686" s="117"/>
      <c r="AA686" s="10"/>
      <c r="AB686" s="11"/>
      <c r="AC686" s="36"/>
      <c r="AD686" s="36"/>
      <c r="AE686" s="13"/>
      <c r="AF686" s="13"/>
      <c r="AG686" s="37"/>
      <c r="AH686" s="37"/>
      <c r="AI686" s="14"/>
      <c r="AJ686" s="14"/>
      <c r="AK686" s="14"/>
      <c r="BB686" s="24"/>
    </row>
    <row r="687">
      <c r="B687" s="24"/>
      <c r="E687" s="113"/>
      <c r="F687" s="266"/>
      <c r="G687" s="113"/>
      <c r="K687" s="36"/>
      <c r="L687" s="117"/>
      <c r="M687" s="128"/>
      <c r="N687" s="117"/>
      <c r="R687" s="117"/>
      <c r="T687" s="117"/>
      <c r="V687" s="117"/>
      <c r="Z687" s="117"/>
      <c r="AA687" s="10"/>
      <c r="AB687" s="11"/>
      <c r="AC687" s="36"/>
      <c r="AD687" s="36"/>
      <c r="AE687" s="13"/>
      <c r="AF687" s="13"/>
      <c r="AG687" s="37"/>
      <c r="AH687" s="37"/>
      <c r="AI687" s="14"/>
      <c r="AJ687" s="14"/>
      <c r="AK687" s="14"/>
      <c r="BB687" s="24"/>
    </row>
    <row r="688">
      <c r="B688" s="24"/>
      <c r="E688" s="113"/>
      <c r="F688" s="266"/>
      <c r="G688" s="113"/>
      <c r="K688" s="36"/>
      <c r="L688" s="117"/>
      <c r="M688" s="128"/>
      <c r="N688" s="117"/>
      <c r="R688" s="117"/>
      <c r="T688" s="117"/>
      <c r="V688" s="117"/>
      <c r="Z688" s="117"/>
      <c r="AA688" s="10"/>
      <c r="AB688" s="11"/>
      <c r="AC688" s="36"/>
      <c r="AD688" s="36"/>
      <c r="AE688" s="13"/>
      <c r="AF688" s="13"/>
      <c r="AG688" s="37"/>
      <c r="AH688" s="37"/>
      <c r="AI688" s="14"/>
      <c r="AJ688" s="14"/>
      <c r="AK688" s="14"/>
      <c r="BB688" s="24"/>
    </row>
    <row r="689">
      <c r="B689" s="24"/>
      <c r="E689" s="113"/>
      <c r="F689" s="266"/>
      <c r="G689" s="113"/>
      <c r="K689" s="36"/>
      <c r="L689" s="117"/>
      <c r="M689" s="128"/>
      <c r="N689" s="117"/>
      <c r="R689" s="117"/>
      <c r="T689" s="117"/>
      <c r="V689" s="117"/>
      <c r="Z689" s="117"/>
      <c r="AA689" s="10"/>
      <c r="AB689" s="11"/>
      <c r="AC689" s="36"/>
      <c r="AD689" s="36"/>
      <c r="AE689" s="13"/>
      <c r="AF689" s="13"/>
      <c r="AG689" s="37"/>
      <c r="AH689" s="37"/>
      <c r="AI689" s="14"/>
      <c r="AJ689" s="14"/>
      <c r="AK689" s="14"/>
      <c r="BB689" s="24"/>
    </row>
    <row r="690">
      <c r="B690" s="24"/>
      <c r="E690" s="113"/>
      <c r="F690" s="266"/>
      <c r="G690" s="113"/>
      <c r="K690" s="36"/>
      <c r="L690" s="117"/>
      <c r="M690" s="128"/>
      <c r="N690" s="117"/>
      <c r="R690" s="117"/>
      <c r="T690" s="117"/>
      <c r="V690" s="117"/>
      <c r="Z690" s="117"/>
      <c r="AA690" s="10"/>
      <c r="AB690" s="11"/>
      <c r="AC690" s="36"/>
      <c r="AD690" s="36"/>
      <c r="AE690" s="13"/>
      <c r="AF690" s="13"/>
      <c r="AG690" s="37"/>
      <c r="AH690" s="37"/>
      <c r="AI690" s="14"/>
      <c r="AJ690" s="14"/>
      <c r="AK690" s="14"/>
      <c r="BB690" s="24"/>
    </row>
    <row r="691">
      <c r="B691" s="24"/>
      <c r="E691" s="113"/>
      <c r="F691" s="266"/>
      <c r="G691" s="113"/>
      <c r="K691" s="36"/>
      <c r="L691" s="117"/>
      <c r="M691" s="128"/>
      <c r="N691" s="117"/>
      <c r="R691" s="117"/>
      <c r="T691" s="117"/>
      <c r="V691" s="117"/>
      <c r="Z691" s="117"/>
      <c r="AA691" s="10"/>
      <c r="AB691" s="11"/>
      <c r="AC691" s="36"/>
      <c r="AD691" s="36"/>
      <c r="AE691" s="13"/>
      <c r="AF691" s="13"/>
      <c r="AG691" s="37"/>
      <c r="AH691" s="37"/>
      <c r="AI691" s="14"/>
      <c r="AJ691" s="14"/>
      <c r="AK691" s="14"/>
      <c r="BB691" s="24"/>
    </row>
    <row r="692">
      <c r="B692" s="24"/>
      <c r="E692" s="113"/>
      <c r="F692" s="266"/>
      <c r="G692" s="113"/>
      <c r="K692" s="36"/>
      <c r="L692" s="117"/>
      <c r="M692" s="128"/>
      <c r="N692" s="117"/>
      <c r="R692" s="117"/>
      <c r="T692" s="117"/>
      <c r="V692" s="117"/>
      <c r="Z692" s="117"/>
      <c r="AA692" s="10"/>
      <c r="AB692" s="11"/>
      <c r="AC692" s="36"/>
      <c r="AD692" s="36"/>
      <c r="AE692" s="13"/>
      <c r="AF692" s="13"/>
      <c r="AG692" s="37"/>
      <c r="AH692" s="37"/>
      <c r="AI692" s="14"/>
      <c r="AJ692" s="14"/>
      <c r="AK692" s="14"/>
      <c r="BB692" s="24"/>
    </row>
    <row r="693">
      <c r="B693" s="24"/>
      <c r="E693" s="113"/>
      <c r="F693" s="266"/>
      <c r="G693" s="113"/>
      <c r="K693" s="36"/>
      <c r="L693" s="117"/>
      <c r="M693" s="128"/>
      <c r="N693" s="117"/>
      <c r="R693" s="117"/>
      <c r="T693" s="117"/>
      <c r="V693" s="117"/>
      <c r="Z693" s="117"/>
      <c r="AA693" s="10"/>
      <c r="AB693" s="11"/>
      <c r="AC693" s="36"/>
      <c r="AD693" s="36"/>
      <c r="AE693" s="13"/>
      <c r="AF693" s="13"/>
      <c r="AG693" s="37"/>
      <c r="AH693" s="37"/>
      <c r="AI693" s="14"/>
      <c r="AJ693" s="14"/>
      <c r="AK693" s="14"/>
      <c r="BB693" s="24"/>
    </row>
    <row r="694">
      <c r="B694" s="24"/>
      <c r="E694" s="113"/>
      <c r="F694" s="266"/>
      <c r="G694" s="113"/>
      <c r="K694" s="36"/>
      <c r="L694" s="117"/>
      <c r="M694" s="128"/>
      <c r="N694" s="117"/>
      <c r="R694" s="117"/>
      <c r="T694" s="117"/>
      <c r="V694" s="117"/>
      <c r="Z694" s="117"/>
      <c r="AA694" s="10"/>
      <c r="AB694" s="11"/>
      <c r="AC694" s="36"/>
      <c r="AD694" s="36"/>
      <c r="AE694" s="13"/>
      <c r="AF694" s="13"/>
      <c r="AG694" s="37"/>
      <c r="AH694" s="37"/>
      <c r="AI694" s="14"/>
      <c r="AJ694" s="14"/>
      <c r="AK694" s="14"/>
      <c r="BB694" s="24"/>
    </row>
    <row r="695">
      <c r="B695" s="24"/>
      <c r="E695" s="113"/>
      <c r="F695" s="266"/>
      <c r="G695" s="113"/>
      <c r="K695" s="36"/>
      <c r="L695" s="117"/>
      <c r="M695" s="128"/>
      <c r="N695" s="117"/>
      <c r="R695" s="117"/>
      <c r="T695" s="117"/>
      <c r="V695" s="117"/>
      <c r="Z695" s="117"/>
      <c r="AA695" s="10"/>
      <c r="AB695" s="11"/>
      <c r="AC695" s="36"/>
      <c r="AD695" s="36"/>
      <c r="AE695" s="13"/>
      <c r="AF695" s="13"/>
      <c r="AG695" s="37"/>
      <c r="AH695" s="37"/>
      <c r="AI695" s="14"/>
      <c r="AJ695" s="14"/>
      <c r="AK695" s="14"/>
      <c r="BB695" s="24"/>
    </row>
    <row r="696">
      <c r="B696" s="24"/>
      <c r="E696" s="113"/>
      <c r="F696" s="266"/>
      <c r="G696" s="113"/>
      <c r="K696" s="36"/>
      <c r="L696" s="117"/>
      <c r="M696" s="128"/>
      <c r="N696" s="117"/>
      <c r="R696" s="117"/>
      <c r="T696" s="117"/>
      <c r="V696" s="117"/>
      <c r="Z696" s="117"/>
      <c r="AA696" s="10"/>
      <c r="AB696" s="11"/>
      <c r="AC696" s="36"/>
      <c r="AD696" s="36"/>
      <c r="AE696" s="13"/>
      <c r="AF696" s="13"/>
      <c r="AG696" s="37"/>
      <c r="AH696" s="37"/>
      <c r="AI696" s="14"/>
      <c r="AJ696" s="14"/>
      <c r="AK696" s="14"/>
      <c r="BB696" s="24"/>
    </row>
    <row r="697">
      <c r="B697" s="24"/>
      <c r="E697" s="113"/>
      <c r="F697" s="266"/>
      <c r="G697" s="113"/>
      <c r="K697" s="36"/>
      <c r="L697" s="117"/>
      <c r="M697" s="128"/>
      <c r="N697" s="117"/>
      <c r="R697" s="117"/>
      <c r="T697" s="117"/>
      <c r="V697" s="117"/>
      <c r="Z697" s="117"/>
      <c r="AA697" s="10"/>
      <c r="AB697" s="11"/>
      <c r="AC697" s="36"/>
      <c r="AD697" s="36"/>
      <c r="AE697" s="13"/>
      <c r="AF697" s="13"/>
      <c r="AG697" s="37"/>
      <c r="AH697" s="37"/>
      <c r="AI697" s="14"/>
      <c r="AJ697" s="14"/>
      <c r="AK697" s="14"/>
      <c r="BB697" s="24"/>
    </row>
    <row r="698">
      <c r="B698" s="24"/>
      <c r="E698" s="113"/>
      <c r="F698" s="266"/>
      <c r="G698" s="113"/>
      <c r="K698" s="36"/>
      <c r="L698" s="117"/>
      <c r="M698" s="128"/>
      <c r="N698" s="117"/>
      <c r="R698" s="117"/>
      <c r="T698" s="117"/>
      <c r="V698" s="117"/>
      <c r="Z698" s="117"/>
      <c r="AA698" s="10"/>
      <c r="AB698" s="11"/>
      <c r="AC698" s="36"/>
      <c r="AD698" s="36"/>
      <c r="AE698" s="13"/>
      <c r="AF698" s="13"/>
      <c r="AG698" s="37"/>
      <c r="AH698" s="37"/>
      <c r="AI698" s="14"/>
      <c r="AJ698" s="14"/>
      <c r="AK698" s="14"/>
      <c r="BB698" s="24"/>
    </row>
    <row r="699">
      <c r="B699" s="24"/>
      <c r="E699" s="113"/>
      <c r="F699" s="266"/>
      <c r="G699" s="113"/>
      <c r="K699" s="36"/>
      <c r="L699" s="117"/>
      <c r="M699" s="128"/>
      <c r="N699" s="117"/>
      <c r="R699" s="117"/>
      <c r="T699" s="117"/>
      <c r="V699" s="117"/>
      <c r="Z699" s="117"/>
      <c r="AA699" s="10"/>
      <c r="AB699" s="11"/>
      <c r="AC699" s="36"/>
      <c r="AD699" s="36"/>
      <c r="AE699" s="13"/>
      <c r="AF699" s="13"/>
      <c r="AG699" s="37"/>
      <c r="AH699" s="37"/>
      <c r="AI699" s="14"/>
      <c r="AJ699" s="14"/>
      <c r="AK699" s="14"/>
      <c r="BB699" s="24"/>
    </row>
    <row r="700">
      <c r="B700" s="24"/>
      <c r="E700" s="113"/>
      <c r="F700" s="266"/>
      <c r="G700" s="113"/>
      <c r="K700" s="36"/>
      <c r="L700" s="117"/>
      <c r="M700" s="128"/>
      <c r="N700" s="117"/>
      <c r="R700" s="117"/>
      <c r="T700" s="117"/>
      <c r="V700" s="117"/>
      <c r="Z700" s="117"/>
      <c r="AA700" s="10"/>
      <c r="AB700" s="11"/>
      <c r="AC700" s="36"/>
      <c r="AD700" s="36"/>
      <c r="AE700" s="13"/>
      <c r="AF700" s="13"/>
      <c r="AG700" s="37"/>
      <c r="AH700" s="37"/>
      <c r="AI700" s="14"/>
      <c r="AJ700" s="14"/>
      <c r="AK700" s="14"/>
      <c r="BB700" s="24"/>
    </row>
    <row r="701">
      <c r="B701" s="24"/>
      <c r="E701" s="113"/>
      <c r="F701" s="266"/>
      <c r="G701" s="113"/>
      <c r="K701" s="36"/>
      <c r="L701" s="117"/>
      <c r="M701" s="128"/>
      <c r="N701" s="117"/>
      <c r="R701" s="117"/>
      <c r="T701" s="117"/>
      <c r="V701" s="117"/>
      <c r="Z701" s="117"/>
      <c r="AA701" s="10"/>
      <c r="AB701" s="11"/>
      <c r="AC701" s="36"/>
      <c r="AD701" s="36"/>
      <c r="AE701" s="13"/>
      <c r="AF701" s="13"/>
      <c r="AG701" s="37"/>
      <c r="AH701" s="37"/>
      <c r="AI701" s="14"/>
      <c r="AJ701" s="14"/>
      <c r="AK701" s="14"/>
      <c r="BB701" s="24"/>
    </row>
    <row r="702">
      <c r="B702" s="24"/>
      <c r="E702" s="113"/>
      <c r="F702" s="266"/>
      <c r="G702" s="113"/>
      <c r="K702" s="36"/>
      <c r="L702" s="117"/>
      <c r="M702" s="128"/>
      <c r="N702" s="117"/>
      <c r="R702" s="117"/>
      <c r="T702" s="117"/>
      <c r="V702" s="117"/>
      <c r="Z702" s="117"/>
      <c r="AA702" s="10"/>
      <c r="AB702" s="11"/>
      <c r="AC702" s="36"/>
      <c r="AD702" s="36"/>
      <c r="AE702" s="13"/>
      <c r="AF702" s="13"/>
      <c r="AG702" s="37"/>
      <c r="AH702" s="37"/>
      <c r="AI702" s="14"/>
      <c r="AJ702" s="14"/>
      <c r="AK702" s="14"/>
      <c r="BB702" s="24"/>
    </row>
    <row r="703">
      <c r="B703" s="24"/>
      <c r="E703" s="113"/>
      <c r="F703" s="266"/>
      <c r="G703" s="113"/>
      <c r="K703" s="36"/>
      <c r="L703" s="117"/>
      <c r="M703" s="128"/>
      <c r="N703" s="117"/>
      <c r="R703" s="117"/>
      <c r="T703" s="117"/>
      <c r="V703" s="117"/>
      <c r="Z703" s="117"/>
      <c r="AA703" s="10"/>
      <c r="AB703" s="11"/>
      <c r="AC703" s="36"/>
      <c r="AD703" s="36"/>
      <c r="AE703" s="13"/>
      <c r="AF703" s="13"/>
      <c r="AG703" s="37"/>
      <c r="AH703" s="37"/>
      <c r="AI703" s="14"/>
      <c r="AJ703" s="14"/>
      <c r="AK703" s="14"/>
      <c r="BB703" s="24"/>
    </row>
    <row r="704">
      <c r="B704" s="24"/>
      <c r="E704" s="113"/>
      <c r="F704" s="266"/>
      <c r="G704" s="113"/>
      <c r="K704" s="36"/>
      <c r="L704" s="117"/>
      <c r="M704" s="128"/>
      <c r="N704" s="117"/>
      <c r="R704" s="117"/>
      <c r="T704" s="117"/>
      <c r="V704" s="117"/>
      <c r="Z704" s="117"/>
      <c r="AA704" s="10"/>
      <c r="AB704" s="11"/>
      <c r="AC704" s="36"/>
      <c r="AD704" s="36"/>
      <c r="AE704" s="13"/>
      <c r="AF704" s="13"/>
      <c r="AG704" s="37"/>
      <c r="AH704" s="37"/>
      <c r="AI704" s="14"/>
      <c r="AJ704" s="14"/>
      <c r="AK704" s="14"/>
      <c r="BB704" s="24"/>
    </row>
    <row r="705">
      <c r="B705" s="24"/>
      <c r="E705" s="113"/>
      <c r="F705" s="266"/>
      <c r="G705" s="113"/>
      <c r="K705" s="36"/>
      <c r="L705" s="117"/>
      <c r="M705" s="128"/>
      <c r="N705" s="117"/>
      <c r="R705" s="117"/>
      <c r="T705" s="117"/>
      <c r="V705" s="117"/>
      <c r="Z705" s="117"/>
      <c r="AA705" s="10"/>
      <c r="AB705" s="11"/>
      <c r="AC705" s="36"/>
      <c r="AD705" s="36"/>
      <c r="AE705" s="13"/>
      <c r="AF705" s="13"/>
      <c r="AG705" s="37"/>
      <c r="AH705" s="37"/>
      <c r="AI705" s="14"/>
      <c r="AJ705" s="14"/>
      <c r="AK705" s="14"/>
      <c r="BB705" s="24"/>
    </row>
    <row r="706">
      <c r="B706" s="24"/>
      <c r="E706" s="113"/>
      <c r="F706" s="266"/>
      <c r="G706" s="113"/>
      <c r="K706" s="36"/>
      <c r="L706" s="117"/>
      <c r="M706" s="128"/>
      <c r="N706" s="117"/>
      <c r="R706" s="117"/>
      <c r="T706" s="117"/>
      <c r="V706" s="117"/>
      <c r="Z706" s="117"/>
      <c r="AA706" s="10"/>
      <c r="AB706" s="11"/>
      <c r="AC706" s="36"/>
      <c r="AD706" s="36"/>
      <c r="AE706" s="13"/>
      <c r="AF706" s="13"/>
      <c r="AG706" s="37"/>
      <c r="AH706" s="37"/>
      <c r="AI706" s="14"/>
      <c r="AJ706" s="14"/>
      <c r="AK706" s="14"/>
      <c r="BB706" s="24"/>
    </row>
    <row r="707">
      <c r="B707" s="24"/>
      <c r="E707" s="113"/>
      <c r="F707" s="266"/>
      <c r="G707" s="113"/>
      <c r="K707" s="36"/>
      <c r="L707" s="117"/>
      <c r="M707" s="128"/>
      <c r="N707" s="117"/>
      <c r="R707" s="117"/>
      <c r="T707" s="117"/>
      <c r="V707" s="117"/>
      <c r="Z707" s="117"/>
      <c r="AA707" s="10"/>
      <c r="AB707" s="11"/>
      <c r="AC707" s="36"/>
      <c r="AD707" s="36"/>
      <c r="AE707" s="13"/>
      <c r="AF707" s="13"/>
      <c r="AG707" s="37"/>
      <c r="AH707" s="37"/>
      <c r="AI707" s="14"/>
      <c r="AJ707" s="14"/>
      <c r="AK707" s="14"/>
      <c r="BB707" s="24"/>
    </row>
    <row r="708">
      <c r="B708" s="24"/>
      <c r="E708" s="113"/>
      <c r="F708" s="266"/>
      <c r="G708" s="113"/>
      <c r="K708" s="36"/>
      <c r="L708" s="117"/>
      <c r="M708" s="128"/>
      <c r="N708" s="117"/>
      <c r="R708" s="117"/>
      <c r="T708" s="117"/>
      <c r="V708" s="117"/>
      <c r="Z708" s="117"/>
      <c r="AA708" s="10"/>
      <c r="AB708" s="11"/>
      <c r="AC708" s="36"/>
      <c r="AD708" s="36"/>
      <c r="AE708" s="13"/>
      <c r="AF708" s="13"/>
      <c r="AG708" s="37"/>
      <c r="AH708" s="37"/>
      <c r="AI708" s="14"/>
      <c r="AJ708" s="14"/>
      <c r="AK708" s="14"/>
      <c r="BB708" s="24"/>
    </row>
    <row r="709">
      <c r="B709" s="24"/>
      <c r="E709" s="113"/>
      <c r="F709" s="266"/>
      <c r="G709" s="113"/>
      <c r="K709" s="36"/>
      <c r="L709" s="117"/>
      <c r="M709" s="128"/>
      <c r="N709" s="117"/>
      <c r="R709" s="117"/>
      <c r="T709" s="117"/>
      <c r="V709" s="117"/>
      <c r="Z709" s="117"/>
      <c r="AA709" s="10"/>
      <c r="AB709" s="11"/>
      <c r="AC709" s="36"/>
      <c r="AD709" s="36"/>
      <c r="AE709" s="13"/>
      <c r="AF709" s="13"/>
      <c r="AG709" s="37"/>
      <c r="AH709" s="37"/>
      <c r="AI709" s="14"/>
      <c r="AJ709" s="14"/>
      <c r="AK709" s="14"/>
      <c r="BB709" s="24"/>
    </row>
    <row r="710">
      <c r="B710" s="24"/>
      <c r="E710" s="113"/>
      <c r="F710" s="266"/>
      <c r="G710" s="113"/>
      <c r="K710" s="36"/>
      <c r="L710" s="117"/>
      <c r="M710" s="128"/>
      <c r="N710" s="117"/>
      <c r="R710" s="117"/>
      <c r="T710" s="117"/>
      <c r="V710" s="117"/>
      <c r="Z710" s="117"/>
      <c r="AA710" s="10"/>
      <c r="AB710" s="11"/>
      <c r="AC710" s="36"/>
      <c r="AD710" s="36"/>
      <c r="AE710" s="13"/>
      <c r="AF710" s="13"/>
      <c r="AG710" s="37"/>
      <c r="AH710" s="37"/>
      <c r="AI710" s="14"/>
      <c r="AJ710" s="14"/>
      <c r="AK710" s="14"/>
      <c r="BB710" s="24"/>
    </row>
    <row r="711">
      <c r="B711" s="24"/>
      <c r="E711" s="113"/>
      <c r="F711" s="266"/>
      <c r="G711" s="113"/>
      <c r="K711" s="36"/>
      <c r="L711" s="117"/>
      <c r="M711" s="128"/>
      <c r="N711" s="117"/>
      <c r="R711" s="117"/>
      <c r="T711" s="117"/>
      <c r="V711" s="117"/>
      <c r="Z711" s="117"/>
      <c r="AA711" s="10"/>
      <c r="AB711" s="11"/>
      <c r="AC711" s="36"/>
      <c r="AD711" s="36"/>
      <c r="AE711" s="13"/>
      <c r="AF711" s="13"/>
      <c r="AG711" s="37"/>
      <c r="AH711" s="37"/>
      <c r="AI711" s="14"/>
      <c r="AJ711" s="14"/>
      <c r="AK711" s="14"/>
      <c r="BB711" s="24"/>
    </row>
    <row r="712">
      <c r="B712" s="24"/>
      <c r="E712" s="113"/>
      <c r="F712" s="266"/>
      <c r="G712" s="113"/>
      <c r="K712" s="36"/>
      <c r="L712" s="117"/>
      <c r="M712" s="128"/>
      <c r="N712" s="117"/>
      <c r="R712" s="117"/>
      <c r="T712" s="117"/>
      <c r="V712" s="117"/>
      <c r="Z712" s="117"/>
      <c r="AA712" s="10"/>
      <c r="AB712" s="11"/>
      <c r="AC712" s="36"/>
      <c r="AD712" s="36"/>
      <c r="AE712" s="13"/>
      <c r="AF712" s="13"/>
      <c r="AG712" s="37"/>
      <c r="AH712" s="37"/>
      <c r="AI712" s="14"/>
      <c r="AJ712" s="14"/>
      <c r="AK712" s="14"/>
      <c r="BB712" s="24"/>
    </row>
    <row r="713">
      <c r="B713" s="24"/>
      <c r="E713" s="113"/>
      <c r="F713" s="266"/>
      <c r="G713" s="113"/>
      <c r="K713" s="36"/>
      <c r="L713" s="117"/>
      <c r="M713" s="128"/>
      <c r="N713" s="117"/>
      <c r="R713" s="117"/>
      <c r="T713" s="117"/>
      <c r="V713" s="117"/>
      <c r="Z713" s="117"/>
      <c r="AA713" s="10"/>
      <c r="AB713" s="11"/>
      <c r="AC713" s="36"/>
      <c r="AD713" s="36"/>
      <c r="AE713" s="13"/>
      <c r="AF713" s="13"/>
      <c r="AG713" s="37"/>
      <c r="AH713" s="37"/>
      <c r="AI713" s="14"/>
      <c r="AJ713" s="14"/>
      <c r="AK713" s="14"/>
      <c r="BB713" s="24"/>
    </row>
    <row r="714">
      <c r="B714" s="24"/>
      <c r="E714" s="113"/>
      <c r="F714" s="266"/>
      <c r="G714" s="113"/>
      <c r="K714" s="36"/>
      <c r="L714" s="117"/>
      <c r="M714" s="128"/>
      <c r="N714" s="117"/>
      <c r="R714" s="117"/>
      <c r="T714" s="117"/>
      <c r="V714" s="117"/>
      <c r="Z714" s="117"/>
      <c r="AA714" s="10"/>
      <c r="AB714" s="11"/>
      <c r="AC714" s="36"/>
      <c r="AD714" s="36"/>
      <c r="AE714" s="13"/>
      <c r="AF714" s="13"/>
      <c r="AG714" s="37"/>
      <c r="AH714" s="37"/>
      <c r="AI714" s="14"/>
      <c r="AJ714" s="14"/>
      <c r="AK714" s="14"/>
      <c r="BB714" s="24"/>
    </row>
    <row r="715">
      <c r="B715" s="24"/>
      <c r="E715" s="113"/>
      <c r="F715" s="266"/>
      <c r="G715" s="113"/>
      <c r="K715" s="36"/>
      <c r="L715" s="117"/>
      <c r="M715" s="128"/>
      <c r="N715" s="117"/>
      <c r="R715" s="117"/>
      <c r="T715" s="117"/>
      <c r="V715" s="117"/>
      <c r="Z715" s="117"/>
      <c r="AA715" s="10"/>
      <c r="AB715" s="11"/>
      <c r="AC715" s="36"/>
      <c r="AD715" s="36"/>
      <c r="AE715" s="13"/>
      <c r="AF715" s="13"/>
      <c r="AG715" s="37"/>
      <c r="AH715" s="37"/>
      <c r="AI715" s="14"/>
      <c r="AJ715" s="14"/>
      <c r="AK715" s="14"/>
      <c r="BB715" s="24"/>
    </row>
    <row r="716">
      <c r="B716" s="24"/>
      <c r="E716" s="113"/>
      <c r="F716" s="266"/>
      <c r="G716" s="113"/>
      <c r="K716" s="36"/>
      <c r="L716" s="117"/>
      <c r="M716" s="128"/>
      <c r="N716" s="117"/>
      <c r="R716" s="117"/>
      <c r="T716" s="117"/>
      <c r="V716" s="117"/>
      <c r="Z716" s="117"/>
      <c r="AA716" s="10"/>
      <c r="AB716" s="11"/>
      <c r="AC716" s="36"/>
      <c r="AD716" s="36"/>
      <c r="AE716" s="13"/>
      <c r="AF716" s="13"/>
      <c r="AG716" s="37"/>
      <c r="AH716" s="37"/>
      <c r="AI716" s="14"/>
      <c r="AJ716" s="14"/>
      <c r="AK716" s="14"/>
      <c r="BB716" s="24"/>
    </row>
    <row r="717">
      <c r="B717" s="24"/>
      <c r="E717" s="113"/>
      <c r="F717" s="266"/>
      <c r="G717" s="113"/>
      <c r="K717" s="36"/>
      <c r="L717" s="117"/>
      <c r="M717" s="128"/>
      <c r="N717" s="117"/>
      <c r="R717" s="117"/>
      <c r="T717" s="117"/>
      <c r="V717" s="117"/>
      <c r="Z717" s="117"/>
      <c r="AA717" s="10"/>
      <c r="AB717" s="11"/>
      <c r="AC717" s="36"/>
      <c r="AD717" s="36"/>
      <c r="AE717" s="13"/>
      <c r="AF717" s="13"/>
      <c r="AG717" s="37"/>
      <c r="AH717" s="37"/>
      <c r="AI717" s="14"/>
      <c r="AJ717" s="14"/>
      <c r="AK717" s="14"/>
      <c r="BB717" s="24"/>
    </row>
    <row r="718">
      <c r="B718" s="24"/>
      <c r="E718" s="113"/>
      <c r="F718" s="266"/>
      <c r="G718" s="113"/>
      <c r="K718" s="36"/>
      <c r="L718" s="117"/>
      <c r="M718" s="128"/>
      <c r="N718" s="117"/>
      <c r="R718" s="117"/>
      <c r="T718" s="117"/>
      <c r="V718" s="117"/>
      <c r="Z718" s="117"/>
      <c r="AA718" s="10"/>
      <c r="AB718" s="11"/>
      <c r="AC718" s="36"/>
      <c r="AD718" s="36"/>
      <c r="AE718" s="13"/>
      <c r="AF718" s="13"/>
      <c r="AG718" s="37"/>
      <c r="AH718" s="37"/>
      <c r="AI718" s="14"/>
      <c r="AJ718" s="14"/>
      <c r="AK718" s="14"/>
      <c r="BB718" s="24"/>
    </row>
    <row r="719">
      <c r="B719" s="24"/>
      <c r="E719" s="113"/>
      <c r="F719" s="266"/>
      <c r="G719" s="113"/>
      <c r="K719" s="36"/>
      <c r="L719" s="117"/>
      <c r="M719" s="128"/>
      <c r="N719" s="117"/>
      <c r="R719" s="117"/>
      <c r="T719" s="117"/>
      <c r="V719" s="117"/>
      <c r="Z719" s="117"/>
      <c r="AA719" s="10"/>
      <c r="AB719" s="11"/>
      <c r="AC719" s="36"/>
      <c r="AD719" s="36"/>
      <c r="AE719" s="13"/>
      <c r="AF719" s="13"/>
      <c r="AG719" s="37"/>
      <c r="AH719" s="37"/>
      <c r="AI719" s="14"/>
      <c r="AJ719" s="14"/>
      <c r="AK719" s="14"/>
      <c r="BB719" s="24"/>
    </row>
    <row r="720">
      <c r="B720" s="24"/>
      <c r="E720" s="113"/>
      <c r="F720" s="266"/>
      <c r="G720" s="113"/>
      <c r="K720" s="36"/>
      <c r="L720" s="117"/>
      <c r="M720" s="128"/>
      <c r="N720" s="117"/>
      <c r="R720" s="117"/>
      <c r="T720" s="117"/>
      <c r="V720" s="117"/>
      <c r="Z720" s="117"/>
      <c r="AA720" s="10"/>
      <c r="AB720" s="11"/>
      <c r="AC720" s="36"/>
      <c r="AD720" s="36"/>
      <c r="AE720" s="13"/>
      <c r="AF720" s="13"/>
      <c r="AG720" s="37"/>
      <c r="AH720" s="37"/>
      <c r="AI720" s="14"/>
      <c r="AJ720" s="14"/>
      <c r="AK720" s="14"/>
      <c r="BB720" s="24"/>
    </row>
    <row r="721">
      <c r="B721" s="24"/>
      <c r="E721" s="113"/>
      <c r="F721" s="266"/>
      <c r="G721" s="113"/>
      <c r="K721" s="36"/>
      <c r="L721" s="117"/>
      <c r="M721" s="128"/>
      <c r="N721" s="117"/>
      <c r="R721" s="117"/>
      <c r="T721" s="117"/>
      <c r="V721" s="117"/>
      <c r="Z721" s="117"/>
      <c r="AA721" s="10"/>
      <c r="AB721" s="11"/>
      <c r="AC721" s="36"/>
      <c r="AD721" s="36"/>
      <c r="AE721" s="13"/>
      <c r="AF721" s="13"/>
      <c r="AG721" s="37"/>
      <c r="AH721" s="37"/>
      <c r="AI721" s="14"/>
      <c r="AJ721" s="14"/>
      <c r="AK721" s="14"/>
      <c r="BB721" s="24"/>
    </row>
    <row r="722">
      <c r="B722" s="24"/>
      <c r="E722" s="113"/>
      <c r="F722" s="266"/>
      <c r="G722" s="113"/>
      <c r="K722" s="36"/>
      <c r="L722" s="117"/>
      <c r="M722" s="128"/>
      <c r="N722" s="117"/>
      <c r="R722" s="117"/>
      <c r="T722" s="117"/>
      <c r="V722" s="117"/>
      <c r="Z722" s="117"/>
      <c r="AA722" s="10"/>
      <c r="AB722" s="11"/>
      <c r="AC722" s="36"/>
      <c r="AD722" s="36"/>
      <c r="AE722" s="13"/>
      <c r="AF722" s="13"/>
      <c r="AG722" s="37"/>
      <c r="AH722" s="37"/>
      <c r="AI722" s="14"/>
      <c r="AJ722" s="14"/>
      <c r="AK722" s="14"/>
      <c r="BB722" s="24"/>
    </row>
    <row r="723">
      <c r="B723" s="24"/>
      <c r="E723" s="113"/>
      <c r="F723" s="266"/>
      <c r="G723" s="113"/>
      <c r="K723" s="36"/>
      <c r="L723" s="117"/>
      <c r="M723" s="128"/>
      <c r="N723" s="117"/>
      <c r="R723" s="117"/>
      <c r="T723" s="117"/>
      <c r="V723" s="117"/>
      <c r="Z723" s="117"/>
      <c r="AA723" s="10"/>
      <c r="AB723" s="11"/>
      <c r="AC723" s="36"/>
      <c r="AD723" s="36"/>
      <c r="AE723" s="13"/>
      <c r="AF723" s="13"/>
      <c r="AG723" s="37"/>
      <c r="AH723" s="37"/>
      <c r="AI723" s="14"/>
      <c r="AJ723" s="14"/>
      <c r="AK723" s="14"/>
      <c r="BB723" s="24"/>
    </row>
    <row r="724">
      <c r="B724" s="24"/>
      <c r="E724" s="113"/>
      <c r="F724" s="266"/>
      <c r="G724" s="113"/>
      <c r="K724" s="36"/>
      <c r="L724" s="117"/>
      <c r="M724" s="128"/>
      <c r="N724" s="117"/>
      <c r="R724" s="117"/>
      <c r="T724" s="117"/>
      <c r="V724" s="117"/>
      <c r="Z724" s="117"/>
      <c r="AA724" s="10"/>
      <c r="AB724" s="11"/>
      <c r="AC724" s="36"/>
      <c r="AD724" s="36"/>
      <c r="AE724" s="13"/>
      <c r="AF724" s="13"/>
      <c r="AG724" s="37"/>
      <c r="AH724" s="37"/>
      <c r="AI724" s="14"/>
      <c r="AJ724" s="14"/>
      <c r="AK724" s="14"/>
      <c r="BB724" s="24"/>
    </row>
    <row r="725">
      <c r="B725" s="24"/>
      <c r="E725" s="113"/>
      <c r="F725" s="266"/>
      <c r="G725" s="113"/>
      <c r="K725" s="36"/>
      <c r="L725" s="117"/>
      <c r="M725" s="128"/>
      <c r="N725" s="117"/>
      <c r="R725" s="117"/>
      <c r="T725" s="117"/>
      <c r="V725" s="117"/>
      <c r="Z725" s="117"/>
      <c r="AA725" s="10"/>
      <c r="AB725" s="11"/>
      <c r="AC725" s="36"/>
      <c r="AD725" s="36"/>
      <c r="AE725" s="13"/>
      <c r="AF725" s="13"/>
      <c r="AG725" s="37"/>
      <c r="AH725" s="37"/>
      <c r="AI725" s="14"/>
      <c r="AJ725" s="14"/>
      <c r="AK725" s="14"/>
      <c r="BB725" s="24"/>
    </row>
    <row r="726">
      <c r="B726" s="24"/>
      <c r="E726" s="113"/>
      <c r="F726" s="266"/>
      <c r="G726" s="113"/>
      <c r="K726" s="36"/>
      <c r="L726" s="117"/>
      <c r="M726" s="128"/>
      <c r="N726" s="117"/>
      <c r="R726" s="117"/>
      <c r="T726" s="117"/>
      <c r="V726" s="117"/>
      <c r="Z726" s="117"/>
      <c r="AA726" s="10"/>
      <c r="AB726" s="11"/>
      <c r="AC726" s="36"/>
      <c r="AD726" s="36"/>
      <c r="AE726" s="13"/>
      <c r="AF726" s="13"/>
      <c r="AG726" s="37"/>
      <c r="AH726" s="37"/>
      <c r="AI726" s="14"/>
      <c r="AJ726" s="14"/>
      <c r="AK726" s="14"/>
      <c r="BB726" s="24"/>
    </row>
    <row r="727">
      <c r="B727" s="24"/>
      <c r="E727" s="113"/>
      <c r="F727" s="266"/>
      <c r="G727" s="113"/>
      <c r="K727" s="36"/>
      <c r="L727" s="117"/>
      <c r="M727" s="128"/>
      <c r="N727" s="117"/>
      <c r="R727" s="117"/>
      <c r="T727" s="117"/>
      <c r="V727" s="117"/>
      <c r="Z727" s="117"/>
      <c r="AA727" s="10"/>
      <c r="AB727" s="11"/>
      <c r="AC727" s="36"/>
      <c r="AD727" s="36"/>
      <c r="AE727" s="13"/>
      <c r="AF727" s="13"/>
      <c r="AG727" s="37"/>
      <c r="AH727" s="37"/>
      <c r="AI727" s="14"/>
      <c r="AJ727" s="14"/>
      <c r="AK727" s="14"/>
      <c r="BB727" s="24"/>
    </row>
    <row r="728">
      <c r="B728" s="24"/>
      <c r="E728" s="113"/>
      <c r="F728" s="266"/>
      <c r="G728" s="113"/>
      <c r="K728" s="36"/>
      <c r="L728" s="117"/>
      <c r="M728" s="128"/>
      <c r="N728" s="117"/>
      <c r="R728" s="117"/>
      <c r="T728" s="117"/>
      <c r="V728" s="117"/>
      <c r="Z728" s="117"/>
      <c r="AA728" s="10"/>
      <c r="AB728" s="11"/>
      <c r="AC728" s="36"/>
      <c r="AD728" s="36"/>
      <c r="AE728" s="13"/>
      <c r="AF728" s="13"/>
      <c r="AG728" s="37"/>
      <c r="AH728" s="37"/>
      <c r="AI728" s="14"/>
      <c r="AJ728" s="14"/>
      <c r="AK728" s="14"/>
      <c r="BB728" s="24"/>
    </row>
    <row r="729">
      <c r="B729" s="24"/>
      <c r="E729" s="113"/>
      <c r="F729" s="266"/>
      <c r="G729" s="113"/>
      <c r="K729" s="36"/>
      <c r="L729" s="117"/>
      <c r="M729" s="128"/>
      <c r="N729" s="117"/>
      <c r="R729" s="117"/>
      <c r="T729" s="117"/>
      <c r="V729" s="117"/>
      <c r="Z729" s="117"/>
      <c r="AA729" s="10"/>
      <c r="AB729" s="11"/>
      <c r="AC729" s="36"/>
      <c r="AD729" s="36"/>
      <c r="AE729" s="13"/>
      <c r="AF729" s="13"/>
      <c r="AG729" s="37"/>
      <c r="AH729" s="37"/>
      <c r="AI729" s="14"/>
      <c r="AJ729" s="14"/>
      <c r="AK729" s="14"/>
      <c r="BB729" s="24"/>
    </row>
    <row r="730">
      <c r="B730" s="24"/>
      <c r="E730" s="113"/>
      <c r="F730" s="266"/>
      <c r="G730" s="113"/>
      <c r="K730" s="36"/>
      <c r="L730" s="117"/>
      <c r="M730" s="128"/>
      <c r="N730" s="117"/>
      <c r="R730" s="117"/>
      <c r="T730" s="117"/>
      <c r="V730" s="117"/>
      <c r="Z730" s="117"/>
      <c r="AA730" s="10"/>
      <c r="AB730" s="11"/>
      <c r="AC730" s="36"/>
      <c r="AD730" s="36"/>
      <c r="AE730" s="13"/>
      <c r="AF730" s="13"/>
      <c r="AG730" s="37"/>
      <c r="AH730" s="37"/>
      <c r="AI730" s="14"/>
      <c r="AJ730" s="14"/>
      <c r="AK730" s="14"/>
      <c r="BB730" s="24"/>
    </row>
    <row r="731">
      <c r="B731" s="24"/>
      <c r="E731" s="113"/>
      <c r="F731" s="266"/>
      <c r="G731" s="113"/>
      <c r="K731" s="36"/>
      <c r="L731" s="117"/>
      <c r="M731" s="128"/>
      <c r="N731" s="117"/>
      <c r="R731" s="117"/>
      <c r="T731" s="117"/>
      <c r="V731" s="117"/>
      <c r="Z731" s="117"/>
      <c r="AA731" s="10"/>
      <c r="AB731" s="11"/>
      <c r="AC731" s="36"/>
      <c r="AD731" s="36"/>
      <c r="AE731" s="13"/>
      <c r="AF731" s="13"/>
      <c r="AG731" s="37"/>
      <c r="AH731" s="37"/>
      <c r="AI731" s="14"/>
      <c r="AJ731" s="14"/>
      <c r="AK731" s="14"/>
      <c r="BB731" s="24"/>
    </row>
    <row r="732">
      <c r="B732" s="24"/>
      <c r="E732" s="113"/>
      <c r="F732" s="266"/>
      <c r="G732" s="113"/>
      <c r="K732" s="36"/>
      <c r="L732" s="117"/>
      <c r="M732" s="128"/>
      <c r="N732" s="117"/>
      <c r="R732" s="117"/>
      <c r="T732" s="117"/>
      <c r="V732" s="117"/>
      <c r="Z732" s="117"/>
      <c r="AA732" s="10"/>
      <c r="AB732" s="11"/>
      <c r="AC732" s="36"/>
      <c r="AD732" s="36"/>
      <c r="AE732" s="13"/>
      <c r="AF732" s="13"/>
      <c r="AG732" s="37"/>
      <c r="AH732" s="37"/>
      <c r="AI732" s="14"/>
      <c r="AJ732" s="14"/>
      <c r="AK732" s="14"/>
      <c r="BB732" s="24"/>
    </row>
    <row r="733">
      <c r="B733" s="24"/>
      <c r="E733" s="113"/>
      <c r="F733" s="266"/>
      <c r="G733" s="113"/>
      <c r="K733" s="36"/>
      <c r="L733" s="117"/>
      <c r="M733" s="128"/>
      <c r="N733" s="117"/>
      <c r="R733" s="117"/>
      <c r="T733" s="117"/>
      <c r="V733" s="117"/>
      <c r="Z733" s="117"/>
      <c r="AA733" s="10"/>
      <c r="AB733" s="11"/>
      <c r="AC733" s="36"/>
      <c r="AD733" s="36"/>
      <c r="AE733" s="13"/>
      <c r="AF733" s="13"/>
      <c r="AG733" s="37"/>
      <c r="AH733" s="37"/>
      <c r="AI733" s="14"/>
      <c r="AJ733" s="14"/>
      <c r="AK733" s="14"/>
      <c r="BB733" s="24"/>
    </row>
    <row r="734">
      <c r="B734" s="24"/>
      <c r="E734" s="113"/>
      <c r="F734" s="266"/>
      <c r="G734" s="113"/>
      <c r="K734" s="36"/>
      <c r="L734" s="117"/>
      <c r="M734" s="128"/>
      <c r="N734" s="117"/>
      <c r="R734" s="117"/>
      <c r="T734" s="117"/>
      <c r="V734" s="117"/>
      <c r="Z734" s="117"/>
      <c r="AA734" s="10"/>
      <c r="AB734" s="11"/>
      <c r="AC734" s="36"/>
      <c r="AD734" s="36"/>
      <c r="AE734" s="13"/>
      <c r="AF734" s="13"/>
      <c r="AG734" s="37"/>
      <c r="AH734" s="37"/>
      <c r="AI734" s="14"/>
      <c r="AJ734" s="14"/>
      <c r="AK734" s="14"/>
      <c r="BB734" s="24"/>
    </row>
    <row r="735">
      <c r="B735" s="24"/>
      <c r="E735" s="113"/>
      <c r="F735" s="266"/>
      <c r="G735" s="113"/>
      <c r="K735" s="36"/>
      <c r="L735" s="117"/>
      <c r="M735" s="128"/>
      <c r="N735" s="117"/>
      <c r="R735" s="117"/>
      <c r="T735" s="117"/>
      <c r="V735" s="117"/>
      <c r="Z735" s="117"/>
      <c r="AA735" s="10"/>
      <c r="AB735" s="11"/>
      <c r="AC735" s="36"/>
      <c r="AD735" s="36"/>
      <c r="AE735" s="13"/>
      <c r="AF735" s="13"/>
      <c r="AG735" s="37"/>
      <c r="AH735" s="37"/>
      <c r="AI735" s="14"/>
      <c r="AJ735" s="14"/>
      <c r="AK735" s="14"/>
      <c r="BB735" s="24"/>
    </row>
    <row r="736">
      <c r="B736" s="24"/>
      <c r="E736" s="113"/>
      <c r="F736" s="266"/>
      <c r="G736" s="113"/>
      <c r="K736" s="36"/>
      <c r="L736" s="117"/>
      <c r="M736" s="128"/>
      <c r="N736" s="117"/>
      <c r="R736" s="117"/>
      <c r="T736" s="117"/>
      <c r="V736" s="117"/>
      <c r="Z736" s="117"/>
      <c r="AA736" s="10"/>
      <c r="AB736" s="11"/>
      <c r="AC736" s="36"/>
      <c r="AD736" s="36"/>
      <c r="AE736" s="13"/>
      <c r="AF736" s="13"/>
      <c r="AG736" s="37"/>
      <c r="AH736" s="37"/>
      <c r="AI736" s="14"/>
      <c r="AJ736" s="14"/>
      <c r="AK736" s="14"/>
      <c r="BB736" s="24"/>
    </row>
    <row r="737">
      <c r="B737" s="24"/>
      <c r="E737" s="113"/>
      <c r="F737" s="266"/>
      <c r="G737" s="113"/>
      <c r="K737" s="36"/>
      <c r="L737" s="117"/>
      <c r="M737" s="128"/>
      <c r="N737" s="117"/>
      <c r="R737" s="117"/>
      <c r="T737" s="117"/>
      <c r="V737" s="117"/>
      <c r="Z737" s="117"/>
      <c r="AA737" s="10"/>
      <c r="AB737" s="11"/>
      <c r="AC737" s="36"/>
      <c r="AD737" s="36"/>
      <c r="AE737" s="13"/>
      <c r="AF737" s="13"/>
      <c r="AG737" s="37"/>
      <c r="AH737" s="37"/>
      <c r="AI737" s="14"/>
      <c r="AJ737" s="14"/>
      <c r="AK737" s="14"/>
      <c r="BB737" s="24"/>
    </row>
    <row r="738">
      <c r="B738" s="24"/>
      <c r="E738" s="113"/>
      <c r="F738" s="266"/>
      <c r="G738" s="113"/>
      <c r="K738" s="36"/>
      <c r="L738" s="117"/>
      <c r="M738" s="128"/>
      <c r="N738" s="117"/>
      <c r="R738" s="117"/>
      <c r="T738" s="117"/>
      <c r="V738" s="117"/>
      <c r="Z738" s="117"/>
      <c r="AA738" s="10"/>
      <c r="AB738" s="11"/>
      <c r="AC738" s="36"/>
      <c r="AD738" s="36"/>
      <c r="AE738" s="13"/>
      <c r="AF738" s="13"/>
      <c r="AG738" s="37"/>
      <c r="AH738" s="37"/>
      <c r="AI738" s="14"/>
      <c r="AJ738" s="14"/>
      <c r="AK738" s="14"/>
      <c r="BB738" s="24"/>
    </row>
    <row r="739">
      <c r="B739" s="24"/>
      <c r="E739" s="113"/>
      <c r="F739" s="266"/>
      <c r="G739" s="113"/>
      <c r="K739" s="36"/>
      <c r="L739" s="117"/>
      <c r="M739" s="128"/>
      <c r="N739" s="117"/>
      <c r="R739" s="117"/>
      <c r="T739" s="117"/>
      <c r="V739" s="117"/>
      <c r="Z739" s="117"/>
      <c r="AA739" s="10"/>
      <c r="AB739" s="11"/>
      <c r="AC739" s="36"/>
      <c r="AD739" s="36"/>
      <c r="AE739" s="13"/>
      <c r="AF739" s="13"/>
      <c r="AG739" s="37"/>
      <c r="AH739" s="37"/>
      <c r="AI739" s="14"/>
      <c r="AJ739" s="14"/>
      <c r="AK739" s="14"/>
      <c r="BB739" s="24"/>
    </row>
    <row r="740">
      <c r="B740" s="24"/>
      <c r="E740" s="113"/>
      <c r="F740" s="266"/>
      <c r="G740" s="113"/>
      <c r="K740" s="36"/>
      <c r="L740" s="117"/>
      <c r="M740" s="128"/>
      <c r="N740" s="117"/>
      <c r="R740" s="117"/>
      <c r="T740" s="117"/>
      <c r="V740" s="117"/>
      <c r="Z740" s="117"/>
      <c r="AA740" s="10"/>
      <c r="AB740" s="11"/>
      <c r="AC740" s="36"/>
      <c r="AD740" s="36"/>
      <c r="AE740" s="13"/>
      <c r="AF740" s="13"/>
      <c r="AG740" s="37"/>
      <c r="AH740" s="37"/>
      <c r="AI740" s="14"/>
      <c r="AJ740" s="14"/>
      <c r="AK740" s="14"/>
      <c r="BB740" s="24"/>
    </row>
    <row r="741">
      <c r="B741" s="24"/>
      <c r="E741" s="113"/>
      <c r="F741" s="266"/>
      <c r="G741" s="113"/>
      <c r="K741" s="36"/>
      <c r="L741" s="117"/>
      <c r="M741" s="128"/>
      <c r="N741" s="117"/>
      <c r="R741" s="117"/>
      <c r="T741" s="117"/>
      <c r="V741" s="117"/>
      <c r="Z741" s="117"/>
      <c r="AA741" s="10"/>
      <c r="AB741" s="11"/>
      <c r="AC741" s="36"/>
      <c r="AD741" s="36"/>
      <c r="AE741" s="13"/>
      <c r="AF741" s="13"/>
      <c r="AG741" s="37"/>
      <c r="AH741" s="37"/>
      <c r="AI741" s="14"/>
      <c r="AJ741" s="14"/>
      <c r="AK741" s="14"/>
      <c r="BB741" s="24"/>
    </row>
    <row r="742">
      <c r="B742" s="24"/>
      <c r="E742" s="113"/>
      <c r="F742" s="266"/>
      <c r="G742" s="113"/>
      <c r="K742" s="36"/>
      <c r="L742" s="117"/>
      <c r="M742" s="128"/>
      <c r="N742" s="117"/>
      <c r="R742" s="117"/>
      <c r="T742" s="117"/>
      <c r="V742" s="117"/>
      <c r="Z742" s="117"/>
      <c r="AA742" s="10"/>
      <c r="AB742" s="11"/>
      <c r="AC742" s="36"/>
      <c r="AD742" s="36"/>
      <c r="AE742" s="13"/>
      <c r="AF742" s="13"/>
      <c r="AG742" s="37"/>
      <c r="AH742" s="37"/>
      <c r="AI742" s="14"/>
      <c r="AJ742" s="14"/>
      <c r="AK742" s="14"/>
      <c r="BB742" s="24"/>
    </row>
    <row r="743">
      <c r="B743" s="24"/>
      <c r="E743" s="113"/>
      <c r="F743" s="266"/>
      <c r="G743" s="113"/>
      <c r="K743" s="36"/>
      <c r="L743" s="117"/>
      <c r="M743" s="128"/>
      <c r="N743" s="117"/>
      <c r="R743" s="117"/>
      <c r="T743" s="117"/>
      <c r="V743" s="117"/>
      <c r="Z743" s="117"/>
      <c r="AA743" s="10"/>
      <c r="AB743" s="11"/>
      <c r="AC743" s="36"/>
      <c r="AD743" s="36"/>
      <c r="AE743" s="13"/>
      <c r="AF743" s="13"/>
      <c r="AG743" s="37"/>
      <c r="AH743" s="37"/>
      <c r="AI743" s="14"/>
      <c r="AJ743" s="14"/>
      <c r="AK743" s="14"/>
      <c r="BB743" s="24"/>
    </row>
    <row r="744">
      <c r="B744" s="24"/>
      <c r="E744" s="113"/>
      <c r="F744" s="266"/>
      <c r="G744" s="113"/>
      <c r="K744" s="36"/>
      <c r="L744" s="117"/>
      <c r="M744" s="128"/>
      <c r="N744" s="117"/>
      <c r="R744" s="117"/>
      <c r="T744" s="117"/>
      <c r="V744" s="117"/>
      <c r="Z744" s="117"/>
      <c r="AA744" s="10"/>
      <c r="AB744" s="11"/>
      <c r="AC744" s="36"/>
      <c r="AD744" s="36"/>
      <c r="AE744" s="13"/>
      <c r="AF744" s="13"/>
      <c r="AG744" s="37"/>
      <c r="AH744" s="37"/>
      <c r="AI744" s="14"/>
      <c r="AJ744" s="14"/>
      <c r="AK744" s="14"/>
      <c r="BB744" s="24"/>
    </row>
    <row r="745">
      <c r="B745" s="24"/>
      <c r="E745" s="113"/>
      <c r="F745" s="266"/>
      <c r="G745" s="113"/>
      <c r="K745" s="36"/>
      <c r="L745" s="117"/>
      <c r="M745" s="128"/>
      <c r="N745" s="117"/>
      <c r="R745" s="117"/>
      <c r="T745" s="117"/>
      <c r="V745" s="117"/>
      <c r="Z745" s="117"/>
      <c r="AA745" s="10"/>
      <c r="AB745" s="11"/>
      <c r="AC745" s="36"/>
      <c r="AD745" s="36"/>
      <c r="AE745" s="13"/>
      <c r="AF745" s="13"/>
      <c r="AG745" s="37"/>
      <c r="AH745" s="37"/>
      <c r="AI745" s="14"/>
      <c r="AJ745" s="14"/>
      <c r="AK745" s="14"/>
      <c r="BB745" s="24"/>
    </row>
    <row r="746">
      <c r="B746" s="24"/>
      <c r="E746" s="113"/>
      <c r="F746" s="266"/>
      <c r="G746" s="113"/>
      <c r="K746" s="36"/>
      <c r="L746" s="117"/>
      <c r="M746" s="128"/>
      <c r="N746" s="117"/>
      <c r="R746" s="117"/>
      <c r="T746" s="117"/>
      <c r="V746" s="117"/>
      <c r="Z746" s="117"/>
      <c r="AA746" s="10"/>
      <c r="AB746" s="11"/>
      <c r="AC746" s="36"/>
      <c r="AD746" s="36"/>
      <c r="AE746" s="13"/>
      <c r="AF746" s="13"/>
      <c r="AG746" s="37"/>
      <c r="AH746" s="37"/>
      <c r="AI746" s="14"/>
      <c r="AJ746" s="14"/>
      <c r="AK746" s="14"/>
      <c r="BB746" s="24"/>
    </row>
    <row r="747">
      <c r="B747" s="24"/>
      <c r="E747" s="113"/>
      <c r="F747" s="266"/>
      <c r="G747" s="113"/>
      <c r="K747" s="36"/>
      <c r="L747" s="117"/>
      <c r="M747" s="128"/>
      <c r="N747" s="117"/>
      <c r="R747" s="117"/>
      <c r="T747" s="117"/>
      <c r="V747" s="117"/>
      <c r="Z747" s="117"/>
      <c r="AA747" s="10"/>
      <c r="AB747" s="11"/>
      <c r="AC747" s="36"/>
      <c r="AD747" s="36"/>
      <c r="AE747" s="13"/>
      <c r="AF747" s="13"/>
      <c r="AG747" s="37"/>
      <c r="AH747" s="37"/>
      <c r="AI747" s="14"/>
      <c r="AJ747" s="14"/>
      <c r="AK747" s="14"/>
      <c r="BB747" s="24"/>
    </row>
    <row r="748">
      <c r="B748" s="24"/>
      <c r="E748" s="113"/>
      <c r="F748" s="266"/>
      <c r="G748" s="113"/>
      <c r="K748" s="36"/>
      <c r="L748" s="117"/>
      <c r="M748" s="128"/>
      <c r="N748" s="117"/>
      <c r="R748" s="117"/>
      <c r="T748" s="117"/>
      <c r="V748" s="117"/>
      <c r="Z748" s="117"/>
      <c r="AA748" s="10"/>
      <c r="AB748" s="11"/>
      <c r="AC748" s="36"/>
      <c r="AD748" s="36"/>
      <c r="AE748" s="13"/>
      <c r="AF748" s="13"/>
      <c r="AG748" s="37"/>
      <c r="AH748" s="37"/>
      <c r="AI748" s="14"/>
      <c r="AJ748" s="14"/>
      <c r="AK748" s="14"/>
      <c r="BB748" s="24"/>
    </row>
    <row r="749">
      <c r="B749" s="24"/>
      <c r="E749" s="113"/>
      <c r="F749" s="266"/>
      <c r="G749" s="113"/>
      <c r="K749" s="36"/>
      <c r="L749" s="117"/>
      <c r="M749" s="128"/>
      <c r="N749" s="117"/>
      <c r="R749" s="117"/>
      <c r="T749" s="117"/>
      <c r="V749" s="117"/>
      <c r="Z749" s="117"/>
      <c r="AA749" s="10"/>
      <c r="AB749" s="11"/>
      <c r="AC749" s="36"/>
      <c r="AD749" s="36"/>
      <c r="AE749" s="13"/>
      <c r="AF749" s="13"/>
      <c r="AG749" s="37"/>
      <c r="AH749" s="37"/>
      <c r="AI749" s="14"/>
      <c r="AJ749" s="14"/>
      <c r="AK749" s="14"/>
      <c r="BB749" s="24"/>
    </row>
    <row r="750">
      <c r="B750" s="24"/>
      <c r="E750" s="113"/>
      <c r="F750" s="266"/>
      <c r="G750" s="113"/>
      <c r="K750" s="36"/>
      <c r="L750" s="117"/>
      <c r="M750" s="128"/>
      <c r="N750" s="117"/>
      <c r="R750" s="117"/>
      <c r="T750" s="117"/>
      <c r="V750" s="117"/>
      <c r="Z750" s="117"/>
      <c r="AA750" s="10"/>
      <c r="AB750" s="11"/>
      <c r="AC750" s="36"/>
      <c r="AD750" s="36"/>
      <c r="AE750" s="13"/>
      <c r="AF750" s="13"/>
      <c r="AG750" s="37"/>
      <c r="AH750" s="37"/>
      <c r="AI750" s="14"/>
      <c r="AJ750" s="14"/>
      <c r="AK750" s="14"/>
      <c r="BB750" s="24"/>
    </row>
    <row r="751">
      <c r="B751" s="24"/>
      <c r="E751" s="113"/>
      <c r="F751" s="266"/>
      <c r="G751" s="113"/>
      <c r="K751" s="36"/>
      <c r="L751" s="117"/>
      <c r="M751" s="128"/>
      <c r="N751" s="117"/>
      <c r="R751" s="117"/>
      <c r="T751" s="117"/>
      <c r="V751" s="117"/>
      <c r="Z751" s="117"/>
      <c r="AA751" s="10"/>
      <c r="AB751" s="11"/>
      <c r="AC751" s="36"/>
      <c r="AD751" s="36"/>
      <c r="AE751" s="13"/>
      <c r="AF751" s="13"/>
      <c r="AG751" s="37"/>
      <c r="AH751" s="37"/>
      <c r="AI751" s="14"/>
      <c r="AJ751" s="14"/>
      <c r="AK751" s="14"/>
      <c r="BB751" s="24"/>
    </row>
    <row r="752">
      <c r="B752" s="24"/>
      <c r="E752" s="113"/>
      <c r="F752" s="266"/>
      <c r="G752" s="113"/>
      <c r="K752" s="36"/>
      <c r="L752" s="117"/>
      <c r="M752" s="128"/>
      <c r="N752" s="117"/>
      <c r="R752" s="117"/>
      <c r="T752" s="117"/>
      <c r="V752" s="117"/>
      <c r="Z752" s="117"/>
      <c r="AA752" s="10"/>
      <c r="AB752" s="11"/>
      <c r="AC752" s="36"/>
      <c r="AD752" s="36"/>
      <c r="AE752" s="13"/>
      <c r="AF752" s="13"/>
      <c r="AG752" s="37"/>
      <c r="AH752" s="37"/>
      <c r="AI752" s="14"/>
      <c r="AJ752" s="14"/>
      <c r="AK752" s="14"/>
      <c r="BB752" s="24"/>
    </row>
    <row r="753">
      <c r="B753" s="24"/>
      <c r="E753" s="113"/>
      <c r="F753" s="266"/>
      <c r="G753" s="113"/>
      <c r="K753" s="36"/>
      <c r="L753" s="117"/>
      <c r="M753" s="128"/>
      <c r="N753" s="117"/>
      <c r="R753" s="117"/>
      <c r="T753" s="117"/>
      <c r="V753" s="117"/>
      <c r="Z753" s="117"/>
      <c r="AA753" s="10"/>
      <c r="AB753" s="11"/>
      <c r="AC753" s="36"/>
      <c r="AD753" s="36"/>
      <c r="AE753" s="13"/>
      <c r="AF753" s="13"/>
      <c r="AG753" s="37"/>
      <c r="AH753" s="37"/>
      <c r="AI753" s="14"/>
      <c r="AJ753" s="14"/>
      <c r="AK753" s="14"/>
      <c r="BB753" s="24"/>
    </row>
    <row r="754">
      <c r="B754" s="24"/>
      <c r="E754" s="113"/>
      <c r="F754" s="266"/>
      <c r="G754" s="113"/>
      <c r="K754" s="36"/>
      <c r="L754" s="117"/>
      <c r="M754" s="128"/>
      <c r="N754" s="117"/>
      <c r="R754" s="117"/>
      <c r="T754" s="117"/>
      <c r="V754" s="117"/>
      <c r="Z754" s="117"/>
      <c r="AA754" s="10"/>
      <c r="AB754" s="11"/>
      <c r="AC754" s="36"/>
      <c r="AD754" s="36"/>
      <c r="AE754" s="13"/>
      <c r="AF754" s="13"/>
      <c r="AG754" s="37"/>
      <c r="AH754" s="37"/>
      <c r="AI754" s="14"/>
      <c r="AJ754" s="14"/>
      <c r="AK754" s="14"/>
      <c r="BB754" s="24"/>
    </row>
    <row r="755">
      <c r="B755" s="24"/>
      <c r="E755" s="113"/>
      <c r="F755" s="266"/>
      <c r="G755" s="113"/>
      <c r="K755" s="36"/>
      <c r="L755" s="117"/>
      <c r="M755" s="128"/>
      <c r="N755" s="117"/>
      <c r="R755" s="117"/>
      <c r="T755" s="117"/>
      <c r="V755" s="117"/>
      <c r="Z755" s="117"/>
      <c r="AA755" s="10"/>
      <c r="AB755" s="11"/>
      <c r="AC755" s="36"/>
      <c r="AD755" s="36"/>
      <c r="AE755" s="13"/>
      <c r="AF755" s="13"/>
      <c r="AG755" s="37"/>
      <c r="AH755" s="37"/>
      <c r="AI755" s="14"/>
      <c r="AJ755" s="14"/>
      <c r="AK755" s="14"/>
      <c r="BB755" s="24"/>
    </row>
    <row r="756">
      <c r="B756" s="24"/>
      <c r="E756" s="113"/>
      <c r="F756" s="266"/>
      <c r="G756" s="113"/>
      <c r="K756" s="36"/>
      <c r="L756" s="117"/>
      <c r="M756" s="128"/>
      <c r="N756" s="117"/>
      <c r="R756" s="117"/>
      <c r="T756" s="117"/>
      <c r="V756" s="117"/>
      <c r="Z756" s="117"/>
      <c r="AA756" s="10"/>
      <c r="AB756" s="11"/>
      <c r="AC756" s="36"/>
      <c r="AD756" s="36"/>
      <c r="AE756" s="13"/>
      <c r="AF756" s="13"/>
      <c r="AG756" s="37"/>
      <c r="AH756" s="37"/>
      <c r="AI756" s="14"/>
      <c r="AJ756" s="14"/>
      <c r="AK756" s="14"/>
      <c r="BB756" s="24"/>
    </row>
    <row r="757">
      <c r="B757" s="24"/>
      <c r="E757" s="113"/>
      <c r="F757" s="266"/>
      <c r="G757" s="113"/>
      <c r="K757" s="36"/>
      <c r="L757" s="117"/>
      <c r="M757" s="128"/>
      <c r="N757" s="117"/>
      <c r="R757" s="117"/>
      <c r="T757" s="117"/>
      <c r="V757" s="117"/>
      <c r="Z757" s="117"/>
      <c r="AA757" s="10"/>
      <c r="AB757" s="11"/>
      <c r="AC757" s="36"/>
      <c r="AD757" s="36"/>
      <c r="AE757" s="13"/>
      <c r="AF757" s="13"/>
      <c r="AG757" s="37"/>
      <c r="AH757" s="37"/>
      <c r="AI757" s="14"/>
      <c r="AJ757" s="14"/>
      <c r="AK757" s="14"/>
      <c r="BB757" s="24"/>
    </row>
    <row r="758">
      <c r="B758" s="24"/>
      <c r="E758" s="113"/>
      <c r="F758" s="266"/>
      <c r="G758" s="113"/>
      <c r="K758" s="36"/>
      <c r="L758" s="117"/>
      <c r="M758" s="128"/>
      <c r="N758" s="117"/>
      <c r="R758" s="117"/>
      <c r="T758" s="117"/>
      <c r="V758" s="117"/>
      <c r="Z758" s="117"/>
      <c r="AA758" s="10"/>
      <c r="AB758" s="11"/>
      <c r="AC758" s="36"/>
      <c r="AD758" s="36"/>
      <c r="AE758" s="13"/>
      <c r="AF758" s="13"/>
      <c r="AG758" s="37"/>
      <c r="AH758" s="37"/>
      <c r="AI758" s="14"/>
      <c r="AJ758" s="14"/>
      <c r="AK758" s="14"/>
      <c r="BB758" s="24"/>
    </row>
    <row r="759">
      <c r="B759" s="24"/>
      <c r="E759" s="113"/>
      <c r="F759" s="266"/>
      <c r="G759" s="113"/>
      <c r="K759" s="36"/>
      <c r="L759" s="117"/>
      <c r="M759" s="128"/>
      <c r="N759" s="117"/>
      <c r="R759" s="117"/>
      <c r="T759" s="117"/>
      <c r="V759" s="117"/>
      <c r="Z759" s="117"/>
      <c r="AA759" s="10"/>
      <c r="AB759" s="11"/>
      <c r="AC759" s="36"/>
      <c r="AD759" s="36"/>
      <c r="AE759" s="13"/>
      <c r="AF759" s="13"/>
      <c r="AG759" s="37"/>
      <c r="AH759" s="37"/>
      <c r="AI759" s="14"/>
      <c r="AJ759" s="14"/>
      <c r="AK759" s="14"/>
      <c r="BB759" s="24"/>
    </row>
    <row r="760">
      <c r="B760" s="24"/>
      <c r="E760" s="113"/>
      <c r="F760" s="266"/>
      <c r="G760" s="113"/>
      <c r="K760" s="36"/>
      <c r="L760" s="117"/>
      <c r="M760" s="128"/>
      <c r="N760" s="117"/>
      <c r="R760" s="117"/>
      <c r="T760" s="117"/>
      <c r="V760" s="117"/>
      <c r="Z760" s="117"/>
      <c r="AA760" s="10"/>
      <c r="AB760" s="11"/>
      <c r="AC760" s="36"/>
      <c r="AD760" s="36"/>
      <c r="AE760" s="13"/>
      <c r="AF760" s="13"/>
      <c r="AG760" s="37"/>
      <c r="AH760" s="37"/>
      <c r="AI760" s="14"/>
      <c r="AJ760" s="14"/>
      <c r="AK760" s="14"/>
      <c r="BB760" s="24"/>
    </row>
    <row r="761">
      <c r="B761" s="24"/>
      <c r="E761" s="113"/>
      <c r="F761" s="266"/>
      <c r="G761" s="113"/>
      <c r="K761" s="36"/>
      <c r="L761" s="117"/>
      <c r="M761" s="128"/>
      <c r="N761" s="117"/>
      <c r="R761" s="117"/>
      <c r="T761" s="117"/>
      <c r="V761" s="117"/>
      <c r="Z761" s="117"/>
      <c r="AA761" s="10"/>
      <c r="AB761" s="11"/>
      <c r="AC761" s="36"/>
      <c r="AD761" s="36"/>
      <c r="AE761" s="13"/>
      <c r="AF761" s="13"/>
      <c r="AG761" s="37"/>
      <c r="AH761" s="37"/>
      <c r="AI761" s="14"/>
      <c r="AJ761" s="14"/>
      <c r="AK761" s="14"/>
      <c r="BB761" s="24"/>
    </row>
    <row r="762">
      <c r="B762" s="24"/>
      <c r="E762" s="113"/>
      <c r="F762" s="266"/>
      <c r="G762" s="113"/>
      <c r="K762" s="36"/>
      <c r="L762" s="117"/>
      <c r="M762" s="128"/>
      <c r="N762" s="117"/>
      <c r="R762" s="117"/>
      <c r="T762" s="117"/>
      <c r="V762" s="117"/>
      <c r="Z762" s="117"/>
      <c r="AA762" s="10"/>
      <c r="AB762" s="11"/>
      <c r="AC762" s="36"/>
      <c r="AD762" s="36"/>
      <c r="AE762" s="13"/>
      <c r="AF762" s="13"/>
      <c r="AG762" s="37"/>
      <c r="AH762" s="37"/>
      <c r="AI762" s="14"/>
      <c r="AJ762" s="14"/>
      <c r="AK762" s="14"/>
      <c r="BB762" s="24"/>
    </row>
    <row r="763">
      <c r="B763" s="24"/>
      <c r="E763" s="113"/>
      <c r="F763" s="266"/>
      <c r="G763" s="113"/>
      <c r="K763" s="36"/>
      <c r="L763" s="117"/>
      <c r="M763" s="128"/>
      <c r="N763" s="117"/>
      <c r="R763" s="117"/>
      <c r="T763" s="117"/>
      <c r="V763" s="117"/>
      <c r="Z763" s="117"/>
      <c r="AA763" s="10"/>
      <c r="AB763" s="11"/>
      <c r="AC763" s="36"/>
      <c r="AD763" s="36"/>
      <c r="AE763" s="13"/>
      <c r="AF763" s="13"/>
      <c r="AG763" s="37"/>
      <c r="AH763" s="37"/>
      <c r="AI763" s="14"/>
      <c r="AJ763" s="14"/>
      <c r="AK763" s="14"/>
      <c r="BB763" s="24"/>
    </row>
    <row r="764">
      <c r="B764" s="24"/>
      <c r="E764" s="113"/>
      <c r="F764" s="266"/>
      <c r="G764" s="113"/>
      <c r="K764" s="36"/>
      <c r="L764" s="117"/>
      <c r="M764" s="128"/>
      <c r="N764" s="117"/>
      <c r="R764" s="117"/>
      <c r="T764" s="117"/>
      <c r="V764" s="117"/>
      <c r="Z764" s="117"/>
      <c r="AA764" s="10"/>
      <c r="AB764" s="11"/>
      <c r="AC764" s="36"/>
      <c r="AD764" s="36"/>
      <c r="AE764" s="13"/>
      <c r="AF764" s="13"/>
      <c r="AG764" s="37"/>
      <c r="AH764" s="37"/>
      <c r="AI764" s="14"/>
      <c r="AJ764" s="14"/>
      <c r="AK764" s="14"/>
      <c r="BB764" s="24"/>
    </row>
    <row r="765">
      <c r="B765" s="24"/>
      <c r="E765" s="113"/>
      <c r="F765" s="266"/>
      <c r="G765" s="113"/>
      <c r="K765" s="36"/>
      <c r="L765" s="117"/>
      <c r="M765" s="128"/>
      <c r="N765" s="117"/>
      <c r="R765" s="117"/>
      <c r="T765" s="117"/>
      <c r="V765" s="117"/>
      <c r="Z765" s="117"/>
      <c r="AA765" s="10"/>
      <c r="AB765" s="11"/>
      <c r="AC765" s="36"/>
      <c r="AD765" s="36"/>
      <c r="AE765" s="13"/>
      <c r="AF765" s="13"/>
      <c r="AG765" s="37"/>
      <c r="AH765" s="37"/>
      <c r="AI765" s="14"/>
      <c r="AJ765" s="14"/>
      <c r="AK765" s="14"/>
      <c r="BB765" s="24"/>
    </row>
    <row r="766">
      <c r="B766" s="24"/>
      <c r="E766" s="113"/>
      <c r="F766" s="266"/>
      <c r="G766" s="113"/>
      <c r="K766" s="36"/>
      <c r="L766" s="117"/>
      <c r="M766" s="128"/>
      <c r="N766" s="117"/>
      <c r="R766" s="117"/>
      <c r="T766" s="117"/>
      <c r="V766" s="117"/>
      <c r="Z766" s="117"/>
      <c r="AA766" s="10"/>
      <c r="AB766" s="11"/>
      <c r="AC766" s="36"/>
      <c r="AD766" s="36"/>
      <c r="AE766" s="13"/>
      <c r="AF766" s="13"/>
      <c r="AG766" s="37"/>
      <c r="AH766" s="37"/>
      <c r="AI766" s="14"/>
      <c r="AJ766" s="14"/>
      <c r="AK766" s="14"/>
      <c r="BB766" s="24"/>
    </row>
    <row r="767">
      <c r="B767" s="24"/>
      <c r="E767" s="113"/>
      <c r="F767" s="266"/>
      <c r="G767" s="113"/>
      <c r="K767" s="36"/>
      <c r="L767" s="117"/>
      <c r="M767" s="128"/>
      <c r="N767" s="117"/>
      <c r="R767" s="117"/>
      <c r="T767" s="117"/>
      <c r="V767" s="117"/>
      <c r="Z767" s="117"/>
      <c r="AA767" s="10"/>
      <c r="AB767" s="11"/>
      <c r="AC767" s="36"/>
      <c r="AD767" s="36"/>
      <c r="AE767" s="13"/>
      <c r="AF767" s="13"/>
      <c r="AG767" s="37"/>
      <c r="AH767" s="37"/>
      <c r="AI767" s="14"/>
      <c r="AJ767" s="14"/>
      <c r="AK767" s="14"/>
      <c r="BB767" s="24"/>
    </row>
    <row r="768">
      <c r="B768" s="24"/>
      <c r="E768" s="113"/>
      <c r="F768" s="266"/>
      <c r="G768" s="113"/>
      <c r="K768" s="36"/>
      <c r="L768" s="117"/>
      <c r="M768" s="128"/>
      <c r="N768" s="117"/>
      <c r="R768" s="117"/>
      <c r="T768" s="117"/>
      <c r="V768" s="117"/>
      <c r="Z768" s="117"/>
      <c r="AA768" s="10"/>
      <c r="AB768" s="11"/>
      <c r="AC768" s="36"/>
      <c r="AD768" s="36"/>
      <c r="AE768" s="13"/>
      <c r="AF768" s="13"/>
      <c r="AG768" s="37"/>
      <c r="AH768" s="37"/>
      <c r="AI768" s="14"/>
      <c r="AJ768" s="14"/>
      <c r="AK768" s="14"/>
      <c r="BB768" s="24"/>
    </row>
    <row r="769">
      <c r="B769" s="24"/>
      <c r="E769" s="113"/>
      <c r="F769" s="266"/>
      <c r="G769" s="113"/>
      <c r="K769" s="36"/>
      <c r="L769" s="117"/>
      <c r="M769" s="128"/>
      <c r="N769" s="117"/>
      <c r="R769" s="117"/>
      <c r="T769" s="117"/>
      <c r="V769" s="117"/>
      <c r="Z769" s="117"/>
      <c r="AA769" s="10"/>
      <c r="AB769" s="11"/>
      <c r="AC769" s="36"/>
      <c r="AD769" s="36"/>
      <c r="AE769" s="13"/>
      <c r="AF769" s="13"/>
      <c r="AG769" s="37"/>
      <c r="AH769" s="37"/>
      <c r="AI769" s="14"/>
      <c r="AJ769" s="14"/>
      <c r="AK769" s="14"/>
      <c r="BB769" s="24"/>
    </row>
    <row r="770">
      <c r="B770" s="24"/>
      <c r="E770" s="113"/>
      <c r="F770" s="266"/>
      <c r="G770" s="113"/>
      <c r="K770" s="36"/>
      <c r="L770" s="117"/>
      <c r="M770" s="128"/>
      <c r="N770" s="117"/>
      <c r="R770" s="117"/>
      <c r="T770" s="117"/>
      <c r="V770" s="117"/>
      <c r="Z770" s="117"/>
      <c r="AA770" s="10"/>
      <c r="AB770" s="11"/>
      <c r="AC770" s="36"/>
      <c r="AD770" s="36"/>
      <c r="AE770" s="13"/>
      <c r="AF770" s="13"/>
      <c r="AG770" s="37"/>
      <c r="AH770" s="37"/>
      <c r="AI770" s="14"/>
      <c r="AJ770" s="14"/>
      <c r="AK770" s="14"/>
      <c r="BB770" s="24"/>
    </row>
    <row r="771">
      <c r="B771" s="24"/>
      <c r="E771" s="113"/>
      <c r="F771" s="266"/>
      <c r="G771" s="113"/>
      <c r="K771" s="36"/>
      <c r="L771" s="117"/>
      <c r="M771" s="128"/>
      <c r="N771" s="117"/>
      <c r="R771" s="117"/>
      <c r="T771" s="117"/>
      <c r="V771" s="117"/>
      <c r="Z771" s="117"/>
      <c r="AA771" s="10"/>
      <c r="AB771" s="11"/>
      <c r="AC771" s="36"/>
      <c r="AD771" s="36"/>
      <c r="AE771" s="13"/>
      <c r="AF771" s="13"/>
      <c r="AG771" s="37"/>
      <c r="AH771" s="37"/>
      <c r="AI771" s="14"/>
      <c r="AJ771" s="14"/>
      <c r="AK771" s="14"/>
      <c r="BB771" s="24"/>
    </row>
    <row r="772">
      <c r="B772" s="24"/>
      <c r="E772" s="113"/>
      <c r="F772" s="266"/>
      <c r="G772" s="113"/>
      <c r="K772" s="36"/>
      <c r="L772" s="117"/>
      <c r="M772" s="128"/>
      <c r="N772" s="117"/>
      <c r="R772" s="117"/>
      <c r="T772" s="117"/>
      <c r="V772" s="117"/>
      <c r="Z772" s="117"/>
      <c r="AA772" s="10"/>
      <c r="AB772" s="11"/>
      <c r="AC772" s="36"/>
      <c r="AD772" s="36"/>
      <c r="AE772" s="13"/>
      <c r="AF772" s="13"/>
      <c r="AG772" s="37"/>
      <c r="AH772" s="37"/>
      <c r="AI772" s="14"/>
      <c r="AJ772" s="14"/>
      <c r="AK772" s="14"/>
      <c r="BB772" s="24"/>
    </row>
    <row r="773">
      <c r="B773" s="24"/>
      <c r="E773" s="113"/>
      <c r="F773" s="266"/>
      <c r="G773" s="113"/>
      <c r="K773" s="36"/>
      <c r="L773" s="117"/>
      <c r="M773" s="128"/>
      <c r="N773" s="117"/>
      <c r="R773" s="117"/>
      <c r="T773" s="117"/>
      <c r="V773" s="117"/>
      <c r="Z773" s="117"/>
      <c r="AA773" s="10"/>
      <c r="AB773" s="11"/>
      <c r="AC773" s="36"/>
      <c r="AD773" s="36"/>
      <c r="AE773" s="13"/>
      <c r="AF773" s="13"/>
      <c r="AG773" s="37"/>
      <c r="AH773" s="37"/>
      <c r="AI773" s="14"/>
      <c r="AJ773" s="14"/>
      <c r="AK773" s="14"/>
      <c r="BB773" s="24"/>
    </row>
    <row r="774">
      <c r="B774" s="24"/>
      <c r="E774" s="113"/>
      <c r="F774" s="266"/>
      <c r="G774" s="113"/>
      <c r="K774" s="36"/>
      <c r="L774" s="117"/>
      <c r="M774" s="128"/>
      <c r="N774" s="117"/>
      <c r="R774" s="117"/>
      <c r="T774" s="117"/>
      <c r="V774" s="117"/>
      <c r="Z774" s="117"/>
      <c r="AA774" s="10"/>
      <c r="AB774" s="11"/>
      <c r="AC774" s="36"/>
      <c r="AD774" s="36"/>
      <c r="AE774" s="13"/>
      <c r="AF774" s="13"/>
      <c r="AG774" s="37"/>
      <c r="AH774" s="37"/>
      <c r="AI774" s="14"/>
      <c r="AJ774" s="14"/>
      <c r="AK774" s="14"/>
      <c r="BB774" s="24"/>
    </row>
    <row r="775">
      <c r="B775" s="24"/>
      <c r="E775" s="113"/>
      <c r="F775" s="266"/>
      <c r="G775" s="113"/>
      <c r="K775" s="36"/>
      <c r="L775" s="117"/>
      <c r="M775" s="128"/>
      <c r="N775" s="117"/>
      <c r="R775" s="117"/>
      <c r="T775" s="117"/>
      <c r="V775" s="117"/>
      <c r="Z775" s="117"/>
      <c r="AA775" s="10"/>
      <c r="AB775" s="11"/>
      <c r="AC775" s="36"/>
      <c r="AD775" s="36"/>
      <c r="AE775" s="13"/>
      <c r="AF775" s="13"/>
      <c r="AG775" s="37"/>
      <c r="AH775" s="37"/>
      <c r="AI775" s="14"/>
      <c r="AJ775" s="14"/>
      <c r="AK775" s="14"/>
      <c r="BB775" s="24"/>
    </row>
    <row r="776">
      <c r="B776" s="24"/>
      <c r="E776" s="113"/>
      <c r="F776" s="266"/>
      <c r="G776" s="113"/>
      <c r="K776" s="36"/>
      <c r="L776" s="117"/>
      <c r="M776" s="128"/>
      <c r="N776" s="117"/>
      <c r="R776" s="117"/>
      <c r="T776" s="117"/>
      <c r="V776" s="117"/>
      <c r="Z776" s="117"/>
      <c r="AA776" s="10"/>
      <c r="AB776" s="11"/>
      <c r="AC776" s="36"/>
      <c r="AD776" s="36"/>
      <c r="AE776" s="13"/>
      <c r="AF776" s="13"/>
      <c r="AG776" s="37"/>
      <c r="AH776" s="37"/>
      <c r="AI776" s="14"/>
      <c r="AJ776" s="14"/>
      <c r="AK776" s="14"/>
      <c r="BB776" s="24"/>
    </row>
    <row r="777">
      <c r="B777" s="24"/>
      <c r="E777" s="113"/>
      <c r="F777" s="266"/>
      <c r="G777" s="113"/>
      <c r="K777" s="36"/>
      <c r="L777" s="117"/>
      <c r="M777" s="128"/>
      <c r="N777" s="117"/>
      <c r="R777" s="117"/>
      <c r="T777" s="117"/>
      <c r="V777" s="117"/>
      <c r="Z777" s="117"/>
      <c r="AA777" s="10"/>
      <c r="AB777" s="11"/>
      <c r="AC777" s="36"/>
      <c r="AD777" s="36"/>
      <c r="AE777" s="13"/>
      <c r="AF777" s="13"/>
      <c r="AG777" s="37"/>
      <c r="AH777" s="37"/>
      <c r="AI777" s="14"/>
      <c r="AJ777" s="14"/>
      <c r="AK777" s="14"/>
      <c r="BB777" s="24"/>
    </row>
    <row r="778">
      <c r="B778" s="24"/>
      <c r="E778" s="113"/>
      <c r="F778" s="266"/>
      <c r="G778" s="113"/>
      <c r="K778" s="36"/>
      <c r="L778" s="117"/>
      <c r="M778" s="128"/>
      <c r="N778" s="117"/>
      <c r="R778" s="117"/>
      <c r="T778" s="117"/>
      <c r="V778" s="117"/>
      <c r="Z778" s="117"/>
      <c r="AA778" s="10"/>
      <c r="AB778" s="11"/>
      <c r="AC778" s="36"/>
      <c r="AD778" s="36"/>
      <c r="AE778" s="13"/>
      <c r="AF778" s="13"/>
      <c r="AG778" s="37"/>
      <c r="AH778" s="37"/>
      <c r="AI778" s="14"/>
      <c r="AJ778" s="14"/>
      <c r="AK778" s="14"/>
      <c r="BB778" s="24"/>
    </row>
    <row r="779">
      <c r="B779" s="24"/>
      <c r="E779" s="113"/>
      <c r="F779" s="266"/>
      <c r="G779" s="113"/>
      <c r="K779" s="36"/>
      <c r="L779" s="117"/>
      <c r="M779" s="128"/>
      <c r="N779" s="117"/>
      <c r="R779" s="117"/>
      <c r="T779" s="117"/>
      <c r="V779" s="117"/>
      <c r="Z779" s="117"/>
      <c r="AA779" s="10"/>
      <c r="AB779" s="11"/>
      <c r="AC779" s="36"/>
      <c r="AD779" s="36"/>
      <c r="AE779" s="13"/>
      <c r="AF779" s="13"/>
      <c r="AG779" s="37"/>
      <c r="AH779" s="37"/>
      <c r="AI779" s="14"/>
      <c r="AJ779" s="14"/>
      <c r="AK779" s="14"/>
      <c r="BB779" s="24"/>
    </row>
    <row r="780">
      <c r="B780" s="24"/>
      <c r="E780" s="113"/>
      <c r="F780" s="266"/>
      <c r="G780" s="113"/>
      <c r="K780" s="36"/>
      <c r="L780" s="117"/>
      <c r="M780" s="128"/>
      <c r="N780" s="117"/>
      <c r="R780" s="117"/>
      <c r="T780" s="117"/>
      <c r="V780" s="117"/>
      <c r="Z780" s="117"/>
      <c r="AA780" s="10"/>
      <c r="AB780" s="11"/>
      <c r="AC780" s="36"/>
      <c r="AD780" s="36"/>
      <c r="AE780" s="13"/>
      <c r="AF780" s="13"/>
      <c r="AG780" s="37"/>
      <c r="AH780" s="37"/>
      <c r="AI780" s="14"/>
      <c r="AJ780" s="14"/>
      <c r="AK780" s="14"/>
      <c r="BB780" s="24"/>
    </row>
    <row r="781">
      <c r="B781" s="24"/>
      <c r="E781" s="113"/>
      <c r="F781" s="266"/>
      <c r="G781" s="113"/>
      <c r="K781" s="36"/>
      <c r="L781" s="117"/>
      <c r="M781" s="128"/>
      <c r="N781" s="117"/>
      <c r="R781" s="117"/>
      <c r="T781" s="117"/>
      <c r="V781" s="117"/>
      <c r="Z781" s="117"/>
      <c r="AA781" s="10"/>
      <c r="AB781" s="11"/>
      <c r="AC781" s="36"/>
      <c r="AD781" s="36"/>
      <c r="AE781" s="13"/>
      <c r="AF781" s="13"/>
      <c r="AG781" s="37"/>
      <c r="AH781" s="37"/>
      <c r="AI781" s="14"/>
      <c r="AJ781" s="14"/>
      <c r="AK781" s="14"/>
      <c r="BB781" s="24"/>
    </row>
    <row r="782">
      <c r="B782" s="24"/>
      <c r="E782" s="113"/>
      <c r="F782" s="266"/>
      <c r="G782" s="113"/>
      <c r="K782" s="36"/>
      <c r="L782" s="117"/>
      <c r="M782" s="128"/>
      <c r="N782" s="117"/>
      <c r="R782" s="117"/>
      <c r="T782" s="117"/>
      <c r="V782" s="117"/>
      <c r="Z782" s="117"/>
      <c r="AA782" s="10"/>
      <c r="AB782" s="11"/>
      <c r="AC782" s="36"/>
      <c r="AD782" s="36"/>
      <c r="AE782" s="13"/>
      <c r="AF782" s="13"/>
      <c r="AG782" s="37"/>
      <c r="AH782" s="37"/>
      <c r="AI782" s="14"/>
      <c r="AJ782" s="14"/>
      <c r="AK782" s="14"/>
      <c r="BB782" s="24"/>
    </row>
    <row r="783">
      <c r="B783" s="24"/>
      <c r="E783" s="113"/>
      <c r="F783" s="266"/>
      <c r="G783" s="113"/>
      <c r="K783" s="36"/>
      <c r="L783" s="117"/>
      <c r="M783" s="128"/>
      <c r="N783" s="117"/>
      <c r="R783" s="117"/>
      <c r="T783" s="117"/>
      <c r="V783" s="117"/>
      <c r="Z783" s="117"/>
      <c r="AA783" s="10"/>
      <c r="AB783" s="11"/>
      <c r="AC783" s="36"/>
      <c r="AD783" s="36"/>
      <c r="AE783" s="13"/>
      <c r="AF783" s="13"/>
      <c r="AG783" s="37"/>
      <c r="AH783" s="37"/>
      <c r="AI783" s="14"/>
      <c r="AJ783" s="14"/>
      <c r="AK783" s="14"/>
      <c r="BB783" s="24"/>
    </row>
    <row r="784">
      <c r="B784" s="24"/>
      <c r="E784" s="113"/>
      <c r="F784" s="266"/>
      <c r="G784" s="113"/>
      <c r="K784" s="36"/>
      <c r="L784" s="117"/>
      <c r="M784" s="128"/>
      <c r="N784" s="117"/>
      <c r="R784" s="117"/>
      <c r="T784" s="117"/>
      <c r="V784" s="117"/>
      <c r="Z784" s="117"/>
      <c r="AA784" s="10"/>
      <c r="AB784" s="11"/>
      <c r="AC784" s="36"/>
      <c r="AD784" s="36"/>
      <c r="AE784" s="13"/>
      <c r="AF784" s="13"/>
      <c r="AG784" s="37"/>
      <c r="AH784" s="37"/>
      <c r="AI784" s="14"/>
      <c r="AJ784" s="14"/>
      <c r="AK784" s="14"/>
      <c r="BB784" s="24"/>
    </row>
    <row r="785">
      <c r="B785" s="24"/>
      <c r="E785" s="113"/>
      <c r="F785" s="266"/>
      <c r="G785" s="113"/>
      <c r="K785" s="36"/>
      <c r="L785" s="117"/>
      <c r="M785" s="128"/>
      <c r="N785" s="117"/>
      <c r="R785" s="117"/>
      <c r="T785" s="117"/>
      <c r="V785" s="117"/>
      <c r="Z785" s="117"/>
      <c r="AA785" s="10"/>
      <c r="AB785" s="11"/>
      <c r="AC785" s="36"/>
      <c r="AD785" s="36"/>
      <c r="AE785" s="13"/>
      <c r="AF785" s="13"/>
      <c r="AG785" s="37"/>
      <c r="AH785" s="37"/>
      <c r="AI785" s="14"/>
      <c r="AJ785" s="14"/>
      <c r="AK785" s="14"/>
      <c r="BB785" s="24"/>
    </row>
    <row r="786">
      <c r="B786" s="24"/>
      <c r="E786" s="113"/>
      <c r="F786" s="266"/>
      <c r="G786" s="113"/>
      <c r="K786" s="36"/>
      <c r="L786" s="117"/>
      <c r="M786" s="128"/>
      <c r="N786" s="117"/>
      <c r="R786" s="117"/>
      <c r="T786" s="117"/>
      <c r="V786" s="117"/>
      <c r="Z786" s="117"/>
      <c r="AA786" s="10"/>
      <c r="AB786" s="11"/>
      <c r="AC786" s="36"/>
      <c r="AD786" s="36"/>
      <c r="AE786" s="13"/>
      <c r="AF786" s="13"/>
      <c r="AG786" s="37"/>
      <c r="AH786" s="37"/>
      <c r="AI786" s="14"/>
      <c r="AJ786" s="14"/>
      <c r="AK786" s="14"/>
      <c r="BB786" s="24"/>
    </row>
    <row r="787">
      <c r="B787" s="24"/>
      <c r="E787" s="113"/>
      <c r="F787" s="266"/>
      <c r="G787" s="113"/>
      <c r="K787" s="36"/>
      <c r="L787" s="117"/>
      <c r="M787" s="128"/>
      <c r="N787" s="117"/>
      <c r="R787" s="117"/>
      <c r="T787" s="117"/>
      <c r="V787" s="117"/>
      <c r="Z787" s="117"/>
      <c r="AA787" s="10"/>
      <c r="AB787" s="11"/>
      <c r="AC787" s="36"/>
      <c r="AD787" s="36"/>
      <c r="AE787" s="13"/>
      <c r="AF787" s="13"/>
      <c r="AG787" s="37"/>
      <c r="AH787" s="37"/>
      <c r="AI787" s="14"/>
      <c r="AJ787" s="14"/>
      <c r="AK787" s="14"/>
      <c r="BB787" s="24"/>
    </row>
    <row r="788">
      <c r="B788" s="24"/>
      <c r="E788" s="113"/>
      <c r="F788" s="266"/>
      <c r="G788" s="113"/>
      <c r="K788" s="36"/>
      <c r="L788" s="117"/>
      <c r="M788" s="128"/>
      <c r="N788" s="117"/>
      <c r="R788" s="117"/>
      <c r="T788" s="117"/>
      <c r="V788" s="117"/>
      <c r="Z788" s="117"/>
      <c r="AA788" s="10"/>
      <c r="AB788" s="11"/>
      <c r="AC788" s="36"/>
      <c r="AD788" s="36"/>
      <c r="AE788" s="13"/>
      <c r="AF788" s="13"/>
      <c r="AG788" s="37"/>
      <c r="AH788" s="37"/>
      <c r="AI788" s="14"/>
      <c r="AJ788" s="14"/>
      <c r="AK788" s="14"/>
      <c r="BB788" s="24"/>
    </row>
    <row r="789">
      <c r="B789" s="24"/>
      <c r="E789" s="113"/>
      <c r="F789" s="266"/>
      <c r="G789" s="113"/>
      <c r="K789" s="36"/>
      <c r="L789" s="117"/>
      <c r="M789" s="128"/>
      <c r="N789" s="117"/>
      <c r="R789" s="117"/>
      <c r="T789" s="117"/>
      <c r="V789" s="117"/>
      <c r="Z789" s="117"/>
      <c r="AA789" s="10"/>
      <c r="AB789" s="11"/>
      <c r="AC789" s="36"/>
      <c r="AD789" s="36"/>
      <c r="AE789" s="13"/>
      <c r="AF789" s="13"/>
      <c r="AG789" s="37"/>
      <c r="AH789" s="37"/>
      <c r="AI789" s="14"/>
      <c r="AJ789" s="14"/>
      <c r="AK789" s="14"/>
      <c r="BB789" s="24"/>
    </row>
    <row r="790">
      <c r="B790" s="24"/>
      <c r="E790" s="113"/>
      <c r="F790" s="266"/>
      <c r="G790" s="113"/>
      <c r="K790" s="36"/>
      <c r="L790" s="117"/>
      <c r="M790" s="128"/>
      <c r="N790" s="117"/>
      <c r="R790" s="117"/>
      <c r="T790" s="117"/>
      <c r="V790" s="117"/>
      <c r="Z790" s="117"/>
      <c r="AA790" s="10"/>
      <c r="AB790" s="11"/>
      <c r="AC790" s="36"/>
      <c r="AD790" s="36"/>
      <c r="AE790" s="13"/>
      <c r="AF790" s="13"/>
      <c r="AG790" s="37"/>
      <c r="AH790" s="37"/>
      <c r="AI790" s="14"/>
      <c r="AJ790" s="14"/>
      <c r="AK790" s="14"/>
      <c r="BB790" s="24"/>
    </row>
    <row r="791">
      <c r="B791" s="24"/>
      <c r="E791" s="113"/>
      <c r="F791" s="266"/>
      <c r="G791" s="113"/>
      <c r="K791" s="36"/>
      <c r="L791" s="117"/>
      <c r="M791" s="128"/>
      <c r="N791" s="117"/>
      <c r="R791" s="117"/>
      <c r="T791" s="117"/>
      <c r="V791" s="117"/>
      <c r="Z791" s="117"/>
      <c r="AA791" s="10"/>
      <c r="AB791" s="11"/>
      <c r="AC791" s="36"/>
      <c r="AD791" s="36"/>
      <c r="AE791" s="13"/>
      <c r="AF791" s="13"/>
      <c r="AG791" s="37"/>
      <c r="AH791" s="37"/>
      <c r="AI791" s="14"/>
      <c r="AJ791" s="14"/>
      <c r="AK791" s="14"/>
      <c r="BB791" s="24"/>
    </row>
    <row r="792">
      <c r="B792" s="24"/>
      <c r="E792" s="113"/>
      <c r="F792" s="266"/>
      <c r="G792" s="113"/>
      <c r="K792" s="36"/>
      <c r="L792" s="117"/>
      <c r="M792" s="128"/>
      <c r="N792" s="117"/>
      <c r="R792" s="117"/>
      <c r="T792" s="117"/>
      <c r="V792" s="117"/>
      <c r="Z792" s="117"/>
      <c r="AA792" s="10"/>
      <c r="AB792" s="11"/>
      <c r="AC792" s="36"/>
      <c r="AD792" s="36"/>
      <c r="AE792" s="13"/>
      <c r="AF792" s="13"/>
      <c r="AG792" s="37"/>
      <c r="AH792" s="37"/>
      <c r="AI792" s="14"/>
      <c r="AJ792" s="14"/>
      <c r="AK792" s="14"/>
      <c r="BB792" s="24"/>
    </row>
    <row r="793">
      <c r="B793" s="24"/>
      <c r="E793" s="113"/>
      <c r="F793" s="266"/>
      <c r="G793" s="113"/>
      <c r="K793" s="36"/>
      <c r="L793" s="117"/>
      <c r="M793" s="128"/>
      <c r="N793" s="117"/>
      <c r="R793" s="117"/>
      <c r="T793" s="117"/>
      <c r="V793" s="117"/>
      <c r="Z793" s="117"/>
      <c r="AA793" s="10"/>
      <c r="AB793" s="11"/>
      <c r="AC793" s="36"/>
      <c r="AD793" s="36"/>
      <c r="AE793" s="13"/>
      <c r="AF793" s="13"/>
      <c r="AG793" s="37"/>
      <c r="AH793" s="37"/>
      <c r="AI793" s="14"/>
      <c r="AJ793" s="14"/>
      <c r="AK793" s="14"/>
      <c r="BB793" s="24"/>
    </row>
    <row r="794">
      <c r="B794" s="24"/>
      <c r="E794" s="113"/>
      <c r="F794" s="266"/>
      <c r="G794" s="113"/>
      <c r="K794" s="36"/>
      <c r="L794" s="117"/>
      <c r="M794" s="128"/>
      <c r="N794" s="117"/>
      <c r="R794" s="117"/>
      <c r="T794" s="117"/>
      <c r="V794" s="117"/>
      <c r="Z794" s="117"/>
      <c r="AA794" s="10"/>
      <c r="AB794" s="11"/>
      <c r="AC794" s="36"/>
      <c r="AD794" s="36"/>
      <c r="AE794" s="13"/>
      <c r="AF794" s="13"/>
      <c r="AG794" s="37"/>
      <c r="AH794" s="37"/>
      <c r="AI794" s="14"/>
      <c r="AJ794" s="14"/>
      <c r="AK794" s="14"/>
      <c r="BB794" s="24"/>
    </row>
    <row r="795">
      <c r="B795" s="24"/>
      <c r="E795" s="113"/>
      <c r="F795" s="266"/>
      <c r="G795" s="113"/>
      <c r="K795" s="36"/>
      <c r="L795" s="117"/>
      <c r="M795" s="128"/>
      <c r="N795" s="117"/>
      <c r="R795" s="117"/>
      <c r="T795" s="117"/>
      <c r="V795" s="117"/>
      <c r="Z795" s="117"/>
      <c r="AA795" s="10"/>
      <c r="AB795" s="11"/>
      <c r="AC795" s="36"/>
      <c r="AD795" s="36"/>
      <c r="AE795" s="13"/>
      <c r="AF795" s="13"/>
      <c r="AG795" s="37"/>
      <c r="AH795" s="37"/>
      <c r="AI795" s="14"/>
      <c r="AJ795" s="14"/>
      <c r="AK795" s="14"/>
      <c r="BB795" s="24"/>
    </row>
    <row r="796">
      <c r="B796" s="24"/>
      <c r="E796" s="113"/>
      <c r="F796" s="266"/>
      <c r="G796" s="113"/>
      <c r="K796" s="36"/>
      <c r="L796" s="117"/>
      <c r="M796" s="128"/>
      <c r="N796" s="117"/>
      <c r="R796" s="117"/>
      <c r="T796" s="117"/>
      <c r="V796" s="117"/>
      <c r="Z796" s="117"/>
      <c r="AA796" s="10"/>
      <c r="AB796" s="11"/>
      <c r="AC796" s="36"/>
      <c r="AD796" s="36"/>
      <c r="AE796" s="13"/>
      <c r="AF796" s="13"/>
      <c r="AG796" s="37"/>
      <c r="AH796" s="37"/>
      <c r="AI796" s="14"/>
      <c r="AJ796" s="14"/>
      <c r="AK796" s="14"/>
      <c r="BB796" s="24"/>
    </row>
    <row r="797">
      <c r="B797" s="24"/>
      <c r="E797" s="113"/>
      <c r="F797" s="266"/>
      <c r="G797" s="113"/>
      <c r="K797" s="36"/>
      <c r="L797" s="117"/>
      <c r="M797" s="128"/>
      <c r="N797" s="117"/>
      <c r="R797" s="117"/>
      <c r="T797" s="117"/>
      <c r="V797" s="117"/>
      <c r="Z797" s="117"/>
      <c r="AA797" s="10"/>
      <c r="AB797" s="11"/>
      <c r="AC797" s="36"/>
      <c r="AD797" s="36"/>
      <c r="AE797" s="13"/>
      <c r="AF797" s="13"/>
      <c r="AG797" s="37"/>
      <c r="AH797" s="37"/>
      <c r="AI797" s="14"/>
      <c r="AJ797" s="14"/>
      <c r="AK797" s="14"/>
      <c r="BB797" s="24"/>
    </row>
    <row r="798">
      <c r="B798" s="24"/>
      <c r="E798" s="113"/>
      <c r="F798" s="266"/>
      <c r="G798" s="113"/>
      <c r="K798" s="36"/>
      <c r="L798" s="117"/>
      <c r="M798" s="128"/>
      <c r="N798" s="117"/>
      <c r="R798" s="117"/>
      <c r="T798" s="117"/>
      <c r="V798" s="117"/>
      <c r="Z798" s="117"/>
      <c r="AA798" s="10"/>
      <c r="AB798" s="11"/>
      <c r="AC798" s="36"/>
      <c r="AD798" s="36"/>
      <c r="AE798" s="13"/>
      <c r="AF798" s="13"/>
      <c r="AG798" s="37"/>
      <c r="AH798" s="37"/>
      <c r="AI798" s="14"/>
      <c r="AJ798" s="14"/>
      <c r="AK798" s="14"/>
      <c r="BB798" s="24"/>
    </row>
    <row r="799">
      <c r="B799" s="24"/>
      <c r="E799" s="113"/>
      <c r="F799" s="266"/>
      <c r="G799" s="113"/>
      <c r="K799" s="36"/>
      <c r="L799" s="117"/>
      <c r="M799" s="128"/>
      <c r="N799" s="117"/>
      <c r="R799" s="117"/>
      <c r="T799" s="117"/>
      <c r="V799" s="117"/>
      <c r="Z799" s="117"/>
      <c r="AA799" s="10"/>
      <c r="AB799" s="11"/>
      <c r="AC799" s="36"/>
      <c r="AD799" s="36"/>
      <c r="AE799" s="13"/>
      <c r="AF799" s="13"/>
      <c r="AG799" s="37"/>
      <c r="AH799" s="37"/>
      <c r="AI799" s="14"/>
      <c r="AJ799" s="14"/>
      <c r="AK799" s="14"/>
      <c r="BB799" s="24"/>
    </row>
    <row r="800">
      <c r="B800" s="24"/>
      <c r="E800" s="113"/>
      <c r="F800" s="266"/>
      <c r="G800" s="113"/>
      <c r="K800" s="36"/>
      <c r="L800" s="117"/>
      <c r="M800" s="128"/>
      <c r="N800" s="117"/>
      <c r="R800" s="117"/>
      <c r="T800" s="117"/>
      <c r="V800" s="117"/>
      <c r="Z800" s="117"/>
      <c r="AA800" s="10"/>
      <c r="AB800" s="11"/>
      <c r="AC800" s="36"/>
      <c r="AD800" s="36"/>
      <c r="AE800" s="13"/>
      <c r="AF800" s="13"/>
      <c r="AG800" s="37"/>
      <c r="AH800" s="37"/>
      <c r="AI800" s="14"/>
      <c r="AJ800" s="14"/>
      <c r="AK800" s="14"/>
      <c r="BB800" s="24"/>
    </row>
    <row r="801">
      <c r="B801" s="24"/>
      <c r="E801" s="113"/>
      <c r="F801" s="266"/>
      <c r="G801" s="113"/>
      <c r="K801" s="36"/>
      <c r="L801" s="117"/>
      <c r="M801" s="128"/>
      <c r="N801" s="117"/>
      <c r="R801" s="117"/>
      <c r="T801" s="117"/>
      <c r="V801" s="117"/>
      <c r="Z801" s="117"/>
      <c r="AA801" s="10"/>
      <c r="AB801" s="11"/>
      <c r="AC801" s="36"/>
      <c r="AD801" s="36"/>
      <c r="AE801" s="13"/>
      <c r="AF801" s="13"/>
      <c r="AG801" s="37"/>
      <c r="AH801" s="37"/>
      <c r="AI801" s="14"/>
      <c r="AJ801" s="14"/>
      <c r="AK801" s="14"/>
      <c r="BB801" s="24"/>
    </row>
    <row r="802">
      <c r="B802" s="24"/>
      <c r="E802" s="113"/>
      <c r="F802" s="266"/>
      <c r="G802" s="113"/>
      <c r="K802" s="36"/>
      <c r="L802" s="117"/>
      <c r="M802" s="128"/>
      <c r="N802" s="117"/>
      <c r="R802" s="117"/>
      <c r="T802" s="117"/>
      <c r="V802" s="117"/>
      <c r="Z802" s="117"/>
      <c r="AA802" s="10"/>
      <c r="AB802" s="11"/>
      <c r="AC802" s="36"/>
      <c r="AD802" s="36"/>
      <c r="AE802" s="13"/>
      <c r="AF802" s="13"/>
      <c r="AG802" s="37"/>
      <c r="AH802" s="37"/>
      <c r="AI802" s="14"/>
      <c r="AJ802" s="14"/>
      <c r="AK802" s="14"/>
      <c r="BB802" s="24"/>
    </row>
    <row r="803">
      <c r="B803" s="24"/>
      <c r="E803" s="113"/>
      <c r="F803" s="266"/>
      <c r="G803" s="113"/>
      <c r="K803" s="36"/>
      <c r="L803" s="117"/>
      <c r="M803" s="128"/>
      <c r="N803" s="117"/>
      <c r="R803" s="117"/>
      <c r="T803" s="117"/>
      <c r="V803" s="117"/>
      <c r="Z803" s="117"/>
      <c r="AA803" s="10"/>
      <c r="AB803" s="11"/>
      <c r="AC803" s="36"/>
      <c r="AD803" s="36"/>
      <c r="AE803" s="13"/>
      <c r="AF803" s="13"/>
      <c r="AG803" s="37"/>
      <c r="AH803" s="37"/>
      <c r="AI803" s="14"/>
      <c r="AJ803" s="14"/>
      <c r="AK803" s="14"/>
      <c r="BB803" s="24"/>
    </row>
    <row r="804">
      <c r="B804" s="24"/>
      <c r="E804" s="113"/>
      <c r="F804" s="266"/>
      <c r="G804" s="113"/>
      <c r="K804" s="36"/>
      <c r="L804" s="117"/>
      <c r="M804" s="128"/>
      <c r="N804" s="117"/>
      <c r="R804" s="117"/>
      <c r="T804" s="117"/>
      <c r="V804" s="117"/>
      <c r="Z804" s="117"/>
      <c r="AA804" s="10"/>
      <c r="AB804" s="11"/>
      <c r="AC804" s="36"/>
      <c r="AD804" s="36"/>
      <c r="AE804" s="13"/>
      <c r="AF804" s="13"/>
      <c r="AG804" s="37"/>
      <c r="AH804" s="37"/>
      <c r="AI804" s="14"/>
      <c r="AJ804" s="14"/>
      <c r="AK804" s="14"/>
      <c r="BB804" s="24"/>
    </row>
    <row r="805">
      <c r="B805" s="24"/>
      <c r="E805" s="113"/>
      <c r="F805" s="266"/>
      <c r="G805" s="113"/>
      <c r="K805" s="36"/>
      <c r="L805" s="117"/>
      <c r="M805" s="128"/>
      <c r="N805" s="117"/>
      <c r="R805" s="117"/>
      <c r="T805" s="117"/>
      <c r="V805" s="117"/>
      <c r="Z805" s="117"/>
      <c r="AA805" s="10"/>
      <c r="AB805" s="11"/>
      <c r="AC805" s="36"/>
      <c r="AD805" s="36"/>
      <c r="AE805" s="13"/>
      <c r="AF805" s="13"/>
      <c r="AG805" s="37"/>
      <c r="AH805" s="37"/>
      <c r="AI805" s="14"/>
      <c r="AJ805" s="14"/>
      <c r="AK805" s="14"/>
      <c r="BB805" s="24"/>
    </row>
    <row r="806">
      <c r="B806" s="24"/>
      <c r="E806" s="113"/>
      <c r="F806" s="266"/>
      <c r="G806" s="113"/>
      <c r="K806" s="36"/>
      <c r="L806" s="117"/>
      <c r="M806" s="128"/>
      <c r="N806" s="117"/>
      <c r="R806" s="117"/>
      <c r="T806" s="117"/>
      <c r="V806" s="117"/>
      <c r="Z806" s="117"/>
      <c r="AA806" s="10"/>
      <c r="AB806" s="11"/>
      <c r="AC806" s="36"/>
      <c r="AD806" s="36"/>
      <c r="AE806" s="13"/>
      <c r="AF806" s="13"/>
      <c r="AG806" s="37"/>
      <c r="AH806" s="37"/>
      <c r="AI806" s="14"/>
      <c r="AJ806" s="14"/>
      <c r="AK806" s="14"/>
      <c r="BB806" s="24"/>
    </row>
    <row r="807">
      <c r="B807" s="24"/>
      <c r="E807" s="113"/>
      <c r="F807" s="266"/>
      <c r="G807" s="113"/>
      <c r="K807" s="36"/>
      <c r="L807" s="117"/>
      <c r="M807" s="128"/>
      <c r="N807" s="117"/>
      <c r="R807" s="117"/>
      <c r="T807" s="117"/>
      <c r="V807" s="117"/>
      <c r="Z807" s="117"/>
      <c r="AA807" s="10"/>
      <c r="AB807" s="11"/>
      <c r="AC807" s="36"/>
      <c r="AD807" s="36"/>
      <c r="AE807" s="13"/>
      <c r="AF807" s="13"/>
      <c r="AG807" s="37"/>
      <c r="AH807" s="37"/>
      <c r="AI807" s="14"/>
      <c r="AJ807" s="14"/>
      <c r="AK807" s="14"/>
      <c r="BB807" s="24"/>
    </row>
    <row r="808">
      <c r="B808" s="24"/>
      <c r="E808" s="113"/>
      <c r="F808" s="266"/>
      <c r="G808" s="113"/>
      <c r="K808" s="36"/>
      <c r="L808" s="117"/>
      <c r="M808" s="128"/>
      <c r="N808" s="117"/>
      <c r="R808" s="117"/>
      <c r="T808" s="117"/>
      <c r="V808" s="117"/>
      <c r="Z808" s="117"/>
      <c r="AA808" s="10"/>
      <c r="AB808" s="11"/>
      <c r="AC808" s="36"/>
      <c r="AD808" s="36"/>
      <c r="AE808" s="13"/>
      <c r="AF808" s="13"/>
      <c r="AG808" s="37"/>
      <c r="AH808" s="37"/>
      <c r="AI808" s="14"/>
      <c r="AJ808" s="14"/>
      <c r="AK808" s="14"/>
      <c r="BB808" s="24"/>
    </row>
    <row r="809">
      <c r="B809" s="24"/>
      <c r="E809" s="113"/>
      <c r="F809" s="266"/>
      <c r="G809" s="113"/>
      <c r="K809" s="36"/>
      <c r="L809" s="117"/>
      <c r="M809" s="128"/>
      <c r="N809" s="117"/>
      <c r="R809" s="117"/>
      <c r="T809" s="117"/>
      <c r="V809" s="117"/>
      <c r="Z809" s="117"/>
      <c r="AA809" s="10"/>
      <c r="AB809" s="11"/>
      <c r="AC809" s="36"/>
      <c r="AD809" s="36"/>
      <c r="AE809" s="13"/>
      <c r="AF809" s="13"/>
      <c r="AG809" s="37"/>
      <c r="AH809" s="37"/>
      <c r="AI809" s="14"/>
      <c r="AJ809" s="14"/>
      <c r="AK809" s="14"/>
      <c r="BB809" s="24"/>
    </row>
    <row r="810">
      <c r="B810" s="24"/>
      <c r="E810" s="113"/>
      <c r="F810" s="266"/>
      <c r="G810" s="113"/>
      <c r="K810" s="36"/>
      <c r="L810" s="117"/>
      <c r="M810" s="128"/>
      <c r="N810" s="117"/>
      <c r="R810" s="117"/>
      <c r="T810" s="117"/>
      <c r="V810" s="117"/>
      <c r="Z810" s="117"/>
      <c r="AA810" s="10"/>
      <c r="AB810" s="11"/>
      <c r="AC810" s="36"/>
      <c r="AD810" s="36"/>
      <c r="AE810" s="13"/>
      <c r="AF810" s="13"/>
      <c r="AG810" s="37"/>
      <c r="AH810" s="37"/>
      <c r="AI810" s="14"/>
      <c r="AJ810" s="14"/>
      <c r="AK810" s="14"/>
      <c r="BB810" s="24"/>
    </row>
    <row r="811">
      <c r="B811" s="24"/>
      <c r="E811" s="113"/>
      <c r="F811" s="266"/>
      <c r="G811" s="113"/>
      <c r="K811" s="36"/>
      <c r="L811" s="117"/>
      <c r="M811" s="128"/>
      <c r="N811" s="117"/>
      <c r="R811" s="117"/>
      <c r="T811" s="117"/>
      <c r="V811" s="117"/>
      <c r="Z811" s="117"/>
      <c r="AA811" s="10"/>
      <c r="AB811" s="11"/>
      <c r="AC811" s="36"/>
      <c r="AD811" s="36"/>
      <c r="AE811" s="13"/>
      <c r="AF811" s="13"/>
      <c r="AG811" s="37"/>
      <c r="AH811" s="37"/>
      <c r="AI811" s="14"/>
      <c r="AJ811" s="14"/>
      <c r="AK811" s="14"/>
      <c r="BB811" s="24"/>
    </row>
    <row r="812">
      <c r="B812" s="24"/>
      <c r="E812" s="113"/>
      <c r="F812" s="266"/>
      <c r="G812" s="113"/>
      <c r="K812" s="36"/>
      <c r="L812" s="117"/>
      <c r="M812" s="128"/>
      <c r="N812" s="117"/>
      <c r="R812" s="117"/>
      <c r="T812" s="117"/>
      <c r="V812" s="117"/>
      <c r="Z812" s="117"/>
      <c r="AA812" s="10"/>
      <c r="AB812" s="11"/>
      <c r="AC812" s="36"/>
      <c r="AD812" s="36"/>
      <c r="AE812" s="13"/>
      <c r="AF812" s="13"/>
      <c r="AG812" s="37"/>
      <c r="AH812" s="37"/>
      <c r="AI812" s="14"/>
      <c r="AJ812" s="14"/>
      <c r="AK812" s="14"/>
      <c r="BB812" s="24"/>
    </row>
    <row r="813">
      <c r="B813" s="24"/>
      <c r="E813" s="113"/>
      <c r="F813" s="266"/>
      <c r="G813" s="113"/>
      <c r="K813" s="36"/>
      <c r="L813" s="117"/>
      <c r="M813" s="128"/>
      <c r="N813" s="117"/>
      <c r="R813" s="117"/>
      <c r="T813" s="117"/>
      <c r="V813" s="117"/>
      <c r="Z813" s="117"/>
      <c r="AA813" s="10"/>
      <c r="AB813" s="11"/>
      <c r="AC813" s="36"/>
      <c r="AD813" s="36"/>
      <c r="AE813" s="13"/>
      <c r="AF813" s="13"/>
      <c r="AG813" s="37"/>
      <c r="AH813" s="37"/>
      <c r="AI813" s="14"/>
      <c r="AJ813" s="14"/>
      <c r="AK813" s="14"/>
      <c r="BB813" s="24"/>
    </row>
    <row r="814">
      <c r="B814" s="24"/>
      <c r="E814" s="113"/>
      <c r="F814" s="266"/>
      <c r="G814" s="113"/>
      <c r="K814" s="36"/>
      <c r="L814" s="117"/>
      <c r="M814" s="128"/>
      <c r="N814" s="117"/>
      <c r="R814" s="117"/>
      <c r="T814" s="117"/>
      <c r="V814" s="117"/>
      <c r="Z814" s="117"/>
      <c r="AA814" s="10"/>
      <c r="AB814" s="11"/>
      <c r="AC814" s="36"/>
      <c r="AD814" s="36"/>
      <c r="AE814" s="13"/>
      <c r="AF814" s="13"/>
      <c r="AG814" s="37"/>
      <c r="AH814" s="37"/>
      <c r="AI814" s="14"/>
      <c r="AJ814" s="14"/>
      <c r="AK814" s="14"/>
      <c r="BB814" s="24"/>
    </row>
    <row r="815">
      <c r="B815" s="24"/>
      <c r="E815" s="113"/>
      <c r="F815" s="266"/>
      <c r="G815" s="113"/>
      <c r="K815" s="36"/>
      <c r="L815" s="117"/>
      <c r="M815" s="128"/>
      <c r="N815" s="117"/>
      <c r="R815" s="117"/>
      <c r="T815" s="117"/>
      <c r="V815" s="117"/>
      <c r="Z815" s="117"/>
      <c r="AA815" s="10"/>
      <c r="AB815" s="11"/>
      <c r="AC815" s="36"/>
      <c r="AD815" s="36"/>
      <c r="AE815" s="13"/>
      <c r="AF815" s="13"/>
      <c r="AG815" s="37"/>
      <c r="AH815" s="37"/>
      <c r="AI815" s="14"/>
      <c r="AJ815" s="14"/>
      <c r="AK815" s="14"/>
      <c r="BB815" s="24"/>
    </row>
    <row r="816">
      <c r="B816" s="24"/>
      <c r="E816" s="113"/>
      <c r="F816" s="266"/>
      <c r="G816" s="113"/>
      <c r="K816" s="36"/>
      <c r="L816" s="117"/>
      <c r="M816" s="128"/>
      <c r="N816" s="117"/>
      <c r="R816" s="117"/>
      <c r="T816" s="117"/>
      <c r="V816" s="117"/>
      <c r="Z816" s="117"/>
      <c r="AA816" s="10"/>
      <c r="AB816" s="11"/>
      <c r="AC816" s="36"/>
      <c r="AD816" s="36"/>
      <c r="AE816" s="13"/>
      <c r="AF816" s="13"/>
      <c r="AG816" s="37"/>
      <c r="AH816" s="37"/>
      <c r="AI816" s="14"/>
      <c r="AJ816" s="14"/>
      <c r="AK816" s="14"/>
      <c r="BB816" s="24"/>
    </row>
    <row r="817">
      <c r="B817" s="24"/>
      <c r="E817" s="113"/>
      <c r="F817" s="266"/>
      <c r="G817" s="113"/>
      <c r="K817" s="36"/>
      <c r="L817" s="117"/>
      <c r="M817" s="128"/>
      <c r="N817" s="117"/>
      <c r="R817" s="117"/>
      <c r="T817" s="117"/>
      <c r="V817" s="117"/>
      <c r="Z817" s="117"/>
      <c r="AA817" s="10"/>
      <c r="AB817" s="11"/>
      <c r="AC817" s="36"/>
      <c r="AD817" s="36"/>
      <c r="AE817" s="13"/>
      <c r="AF817" s="13"/>
      <c r="AG817" s="37"/>
      <c r="AH817" s="37"/>
      <c r="AI817" s="14"/>
      <c r="AJ817" s="14"/>
      <c r="AK817" s="14"/>
      <c r="BB817" s="24"/>
    </row>
    <row r="818">
      <c r="B818" s="24"/>
      <c r="E818" s="113"/>
      <c r="F818" s="266"/>
      <c r="G818" s="113"/>
      <c r="K818" s="36"/>
      <c r="L818" s="117"/>
      <c r="M818" s="128"/>
      <c r="N818" s="117"/>
      <c r="R818" s="117"/>
      <c r="T818" s="117"/>
      <c r="V818" s="117"/>
      <c r="Z818" s="117"/>
      <c r="AA818" s="10"/>
      <c r="AB818" s="11"/>
      <c r="AC818" s="36"/>
      <c r="AD818" s="36"/>
      <c r="AE818" s="13"/>
      <c r="AF818" s="13"/>
      <c r="AG818" s="37"/>
      <c r="AH818" s="37"/>
      <c r="AI818" s="14"/>
      <c r="AJ818" s="14"/>
      <c r="AK818" s="14"/>
      <c r="BB818" s="24"/>
    </row>
    <row r="819">
      <c r="B819" s="24"/>
      <c r="E819" s="113"/>
      <c r="F819" s="266"/>
      <c r="G819" s="113"/>
      <c r="K819" s="36"/>
      <c r="L819" s="117"/>
      <c r="M819" s="128"/>
      <c r="N819" s="117"/>
      <c r="R819" s="117"/>
      <c r="T819" s="117"/>
      <c r="V819" s="117"/>
      <c r="Z819" s="117"/>
      <c r="AA819" s="10"/>
      <c r="AB819" s="11"/>
      <c r="AC819" s="36"/>
      <c r="AD819" s="36"/>
      <c r="AE819" s="13"/>
      <c r="AF819" s="13"/>
      <c r="AG819" s="37"/>
      <c r="AH819" s="37"/>
      <c r="AI819" s="14"/>
      <c r="AJ819" s="14"/>
      <c r="AK819" s="14"/>
      <c r="BB819" s="24"/>
    </row>
    <row r="820">
      <c r="B820" s="24"/>
      <c r="E820" s="113"/>
      <c r="F820" s="266"/>
      <c r="G820" s="113"/>
      <c r="K820" s="36"/>
      <c r="L820" s="117"/>
      <c r="M820" s="128"/>
      <c r="N820" s="117"/>
      <c r="R820" s="117"/>
      <c r="T820" s="117"/>
      <c r="V820" s="117"/>
      <c r="Z820" s="117"/>
      <c r="AA820" s="10"/>
      <c r="AB820" s="11"/>
      <c r="AC820" s="36"/>
      <c r="AD820" s="36"/>
      <c r="AE820" s="13"/>
      <c r="AF820" s="13"/>
      <c r="AG820" s="37"/>
      <c r="AH820" s="37"/>
      <c r="AI820" s="14"/>
      <c r="AJ820" s="14"/>
      <c r="AK820" s="14"/>
      <c r="BB820" s="24"/>
    </row>
    <row r="821">
      <c r="B821" s="24"/>
      <c r="E821" s="113"/>
      <c r="F821" s="266"/>
      <c r="G821" s="113"/>
      <c r="K821" s="36"/>
      <c r="L821" s="117"/>
      <c r="M821" s="128"/>
      <c r="N821" s="117"/>
      <c r="R821" s="117"/>
      <c r="T821" s="117"/>
      <c r="V821" s="117"/>
      <c r="Z821" s="117"/>
      <c r="AA821" s="10"/>
      <c r="AB821" s="11"/>
      <c r="AC821" s="36"/>
      <c r="AD821" s="36"/>
      <c r="AE821" s="13"/>
      <c r="AF821" s="13"/>
      <c r="AG821" s="37"/>
      <c r="AH821" s="37"/>
      <c r="AI821" s="14"/>
      <c r="AJ821" s="14"/>
      <c r="AK821" s="14"/>
      <c r="BB821" s="24"/>
    </row>
    <row r="822">
      <c r="B822" s="24"/>
      <c r="E822" s="113"/>
      <c r="F822" s="266"/>
      <c r="G822" s="113"/>
      <c r="K822" s="36"/>
      <c r="L822" s="117"/>
      <c r="M822" s="128"/>
      <c r="N822" s="117"/>
      <c r="R822" s="117"/>
      <c r="T822" s="117"/>
      <c r="V822" s="117"/>
      <c r="Z822" s="117"/>
      <c r="AA822" s="10"/>
      <c r="AB822" s="11"/>
      <c r="AC822" s="36"/>
      <c r="AD822" s="36"/>
      <c r="AE822" s="13"/>
      <c r="AF822" s="13"/>
      <c r="AG822" s="37"/>
      <c r="AH822" s="37"/>
      <c r="AI822" s="14"/>
      <c r="AJ822" s="14"/>
      <c r="AK822" s="14"/>
      <c r="BB822" s="24"/>
    </row>
    <row r="823">
      <c r="B823" s="24"/>
      <c r="E823" s="113"/>
      <c r="F823" s="266"/>
      <c r="G823" s="113"/>
      <c r="K823" s="36"/>
      <c r="L823" s="117"/>
      <c r="M823" s="128"/>
      <c r="N823" s="117"/>
      <c r="R823" s="117"/>
      <c r="T823" s="117"/>
      <c r="V823" s="117"/>
      <c r="Z823" s="117"/>
      <c r="AA823" s="10"/>
      <c r="AB823" s="11"/>
      <c r="AC823" s="36"/>
      <c r="AD823" s="36"/>
      <c r="AE823" s="13"/>
      <c r="AF823" s="13"/>
      <c r="AG823" s="37"/>
      <c r="AH823" s="37"/>
      <c r="AI823" s="14"/>
      <c r="AJ823" s="14"/>
      <c r="AK823" s="14"/>
      <c r="BB823" s="24"/>
    </row>
    <row r="824">
      <c r="B824" s="24"/>
      <c r="E824" s="113"/>
      <c r="F824" s="266"/>
      <c r="G824" s="113"/>
      <c r="K824" s="36"/>
      <c r="L824" s="117"/>
      <c r="M824" s="128"/>
      <c r="N824" s="117"/>
      <c r="R824" s="117"/>
      <c r="T824" s="117"/>
      <c r="V824" s="117"/>
      <c r="Z824" s="117"/>
      <c r="AA824" s="10"/>
      <c r="AB824" s="11"/>
      <c r="AC824" s="36"/>
      <c r="AD824" s="36"/>
      <c r="AE824" s="13"/>
      <c r="AF824" s="13"/>
      <c r="AG824" s="37"/>
      <c r="AH824" s="37"/>
      <c r="AI824" s="14"/>
      <c r="AJ824" s="14"/>
      <c r="AK824" s="14"/>
      <c r="BB824" s="24"/>
    </row>
    <row r="825">
      <c r="B825" s="24"/>
      <c r="E825" s="113"/>
      <c r="F825" s="266"/>
      <c r="G825" s="113"/>
      <c r="K825" s="36"/>
      <c r="L825" s="117"/>
      <c r="M825" s="128"/>
      <c r="N825" s="117"/>
      <c r="R825" s="117"/>
      <c r="T825" s="117"/>
      <c r="V825" s="117"/>
      <c r="Z825" s="117"/>
      <c r="AA825" s="10"/>
      <c r="AB825" s="11"/>
      <c r="AC825" s="36"/>
      <c r="AD825" s="36"/>
      <c r="AE825" s="13"/>
      <c r="AF825" s="13"/>
      <c r="AG825" s="37"/>
      <c r="AH825" s="37"/>
      <c r="AI825" s="14"/>
      <c r="AJ825" s="14"/>
      <c r="AK825" s="14"/>
      <c r="BB825" s="24"/>
    </row>
    <row r="826">
      <c r="B826" s="24"/>
      <c r="E826" s="113"/>
      <c r="F826" s="266"/>
      <c r="G826" s="113"/>
      <c r="K826" s="36"/>
      <c r="L826" s="117"/>
      <c r="M826" s="128"/>
      <c r="N826" s="117"/>
      <c r="R826" s="117"/>
      <c r="T826" s="117"/>
      <c r="V826" s="117"/>
      <c r="Z826" s="117"/>
      <c r="AA826" s="10"/>
      <c r="AB826" s="11"/>
      <c r="AC826" s="36"/>
      <c r="AD826" s="36"/>
      <c r="AE826" s="13"/>
      <c r="AF826" s="13"/>
      <c r="AG826" s="37"/>
      <c r="AH826" s="37"/>
      <c r="AI826" s="14"/>
      <c r="AJ826" s="14"/>
      <c r="AK826" s="14"/>
      <c r="BB826" s="24"/>
    </row>
    <row r="827">
      <c r="B827" s="24"/>
      <c r="E827" s="113"/>
      <c r="F827" s="266"/>
      <c r="G827" s="113"/>
      <c r="K827" s="36"/>
      <c r="L827" s="117"/>
      <c r="M827" s="128"/>
      <c r="N827" s="117"/>
      <c r="R827" s="117"/>
      <c r="T827" s="117"/>
      <c r="V827" s="117"/>
      <c r="Z827" s="117"/>
      <c r="AA827" s="10"/>
      <c r="AB827" s="11"/>
      <c r="AC827" s="36"/>
      <c r="AD827" s="36"/>
      <c r="AE827" s="13"/>
      <c r="AF827" s="13"/>
      <c r="AG827" s="37"/>
      <c r="AH827" s="37"/>
      <c r="AI827" s="14"/>
      <c r="AJ827" s="14"/>
      <c r="AK827" s="14"/>
      <c r="BB827" s="24"/>
    </row>
    <row r="828">
      <c r="B828" s="24"/>
      <c r="E828" s="113"/>
      <c r="F828" s="266"/>
      <c r="G828" s="113"/>
      <c r="K828" s="36"/>
      <c r="L828" s="117"/>
      <c r="M828" s="128"/>
      <c r="N828" s="117"/>
      <c r="R828" s="117"/>
      <c r="T828" s="117"/>
      <c r="V828" s="117"/>
      <c r="Z828" s="117"/>
      <c r="AA828" s="10"/>
      <c r="AB828" s="11"/>
      <c r="AC828" s="36"/>
      <c r="AD828" s="36"/>
      <c r="AE828" s="13"/>
      <c r="AF828" s="13"/>
      <c r="AG828" s="37"/>
      <c r="AH828" s="37"/>
      <c r="AI828" s="14"/>
      <c r="AJ828" s="14"/>
      <c r="AK828" s="14"/>
      <c r="BB828" s="24"/>
    </row>
    <row r="829">
      <c r="B829" s="24"/>
      <c r="E829" s="113"/>
      <c r="F829" s="266"/>
      <c r="G829" s="113"/>
      <c r="K829" s="36"/>
      <c r="L829" s="117"/>
      <c r="M829" s="128"/>
      <c r="N829" s="117"/>
      <c r="R829" s="117"/>
      <c r="T829" s="117"/>
      <c r="V829" s="117"/>
      <c r="Z829" s="117"/>
      <c r="AA829" s="10"/>
      <c r="AB829" s="11"/>
      <c r="AC829" s="36"/>
      <c r="AD829" s="36"/>
      <c r="AE829" s="13"/>
      <c r="AF829" s="13"/>
      <c r="AG829" s="37"/>
      <c r="AH829" s="37"/>
      <c r="AI829" s="14"/>
      <c r="AJ829" s="14"/>
      <c r="AK829" s="14"/>
      <c r="BB829" s="24"/>
    </row>
    <row r="830">
      <c r="B830" s="24"/>
      <c r="E830" s="113"/>
      <c r="F830" s="266"/>
      <c r="G830" s="113"/>
      <c r="K830" s="36"/>
      <c r="L830" s="117"/>
      <c r="M830" s="128"/>
      <c r="N830" s="117"/>
      <c r="R830" s="117"/>
      <c r="T830" s="117"/>
      <c r="V830" s="117"/>
      <c r="Z830" s="117"/>
      <c r="AA830" s="10"/>
      <c r="AB830" s="11"/>
      <c r="AC830" s="36"/>
      <c r="AD830" s="36"/>
      <c r="AE830" s="13"/>
      <c r="AF830" s="13"/>
      <c r="AG830" s="37"/>
      <c r="AH830" s="37"/>
      <c r="AI830" s="14"/>
      <c r="AJ830" s="14"/>
      <c r="AK830" s="14"/>
      <c r="BB830" s="24"/>
    </row>
    <row r="831">
      <c r="B831" s="24"/>
      <c r="E831" s="113"/>
      <c r="F831" s="266"/>
      <c r="G831" s="113"/>
      <c r="K831" s="36"/>
      <c r="L831" s="117"/>
      <c r="M831" s="128"/>
      <c r="N831" s="117"/>
      <c r="R831" s="117"/>
      <c r="T831" s="117"/>
      <c r="V831" s="117"/>
      <c r="Z831" s="117"/>
      <c r="AA831" s="10"/>
      <c r="AB831" s="11"/>
      <c r="AC831" s="36"/>
      <c r="AD831" s="36"/>
      <c r="AE831" s="13"/>
      <c r="AF831" s="13"/>
      <c r="AG831" s="37"/>
      <c r="AH831" s="37"/>
      <c r="AI831" s="14"/>
      <c r="AJ831" s="14"/>
      <c r="AK831" s="14"/>
      <c r="BB831" s="24"/>
    </row>
    <row r="832">
      <c r="B832" s="24"/>
      <c r="E832" s="113"/>
      <c r="F832" s="266"/>
      <c r="G832" s="113"/>
      <c r="K832" s="36"/>
      <c r="L832" s="117"/>
      <c r="M832" s="128"/>
      <c r="N832" s="117"/>
      <c r="R832" s="117"/>
      <c r="T832" s="117"/>
      <c r="V832" s="117"/>
      <c r="Z832" s="117"/>
      <c r="AA832" s="10"/>
      <c r="AB832" s="11"/>
      <c r="AC832" s="36"/>
      <c r="AD832" s="36"/>
      <c r="AE832" s="13"/>
      <c r="AF832" s="13"/>
      <c r="AG832" s="37"/>
      <c r="AH832" s="37"/>
      <c r="AI832" s="14"/>
      <c r="AJ832" s="14"/>
      <c r="AK832" s="14"/>
      <c r="BB832" s="24"/>
    </row>
    <row r="833">
      <c r="B833" s="24"/>
      <c r="E833" s="113"/>
      <c r="F833" s="266"/>
      <c r="G833" s="113"/>
      <c r="K833" s="36"/>
      <c r="L833" s="117"/>
      <c r="M833" s="128"/>
      <c r="N833" s="117"/>
      <c r="R833" s="117"/>
      <c r="T833" s="117"/>
      <c r="V833" s="117"/>
      <c r="Z833" s="117"/>
      <c r="AA833" s="10"/>
      <c r="AB833" s="11"/>
      <c r="AC833" s="36"/>
      <c r="AD833" s="36"/>
      <c r="AE833" s="13"/>
      <c r="AF833" s="13"/>
      <c r="AG833" s="37"/>
      <c r="AH833" s="37"/>
      <c r="AI833" s="14"/>
      <c r="AJ833" s="14"/>
      <c r="AK833" s="14"/>
      <c r="BB833" s="24"/>
    </row>
    <row r="834">
      <c r="B834" s="24"/>
      <c r="E834" s="113"/>
      <c r="F834" s="266"/>
      <c r="G834" s="113"/>
      <c r="K834" s="36"/>
      <c r="L834" s="117"/>
      <c r="M834" s="128"/>
      <c r="N834" s="117"/>
      <c r="R834" s="117"/>
      <c r="T834" s="117"/>
      <c r="V834" s="117"/>
      <c r="Z834" s="117"/>
      <c r="AA834" s="10"/>
      <c r="AB834" s="11"/>
      <c r="AC834" s="36"/>
      <c r="AD834" s="36"/>
      <c r="AE834" s="13"/>
      <c r="AF834" s="13"/>
      <c r="AG834" s="37"/>
      <c r="AH834" s="37"/>
      <c r="AI834" s="14"/>
      <c r="AJ834" s="14"/>
      <c r="AK834" s="14"/>
      <c r="BB834" s="24"/>
    </row>
    <row r="835">
      <c r="B835" s="24"/>
      <c r="E835" s="113"/>
      <c r="F835" s="266"/>
      <c r="G835" s="113"/>
      <c r="K835" s="36"/>
      <c r="L835" s="117"/>
      <c r="M835" s="128"/>
      <c r="N835" s="117"/>
      <c r="R835" s="117"/>
      <c r="T835" s="117"/>
      <c r="V835" s="117"/>
      <c r="Z835" s="117"/>
      <c r="AA835" s="10"/>
      <c r="AB835" s="11"/>
      <c r="AC835" s="36"/>
      <c r="AD835" s="36"/>
      <c r="AE835" s="13"/>
      <c r="AF835" s="13"/>
      <c r="AG835" s="37"/>
      <c r="AH835" s="37"/>
      <c r="AI835" s="14"/>
      <c r="AJ835" s="14"/>
      <c r="AK835" s="14"/>
      <c r="BB835" s="24"/>
    </row>
    <row r="836">
      <c r="B836" s="24"/>
      <c r="E836" s="113"/>
      <c r="F836" s="266"/>
      <c r="G836" s="113"/>
      <c r="K836" s="36"/>
      <c r="L836" s="117"/>
      <c r="M836" s="128"/>
      <c r="N836" s="117"/>
      <c r="R836" s="117"/>
      <c r="T836" s="117"/>
      <c r="V836" s="117"/>
      <c r="Z836" s="117"/>
      <c r="AA836" s="10"/>
      <c r="AB836" s="11"/>
      <c r="AC836" s="36"/>
      <c r="AD836" s="36"/>
      <c r="AE836" s="13"/>
      <c r="AF836" s="13"/>
      <c r="AG836" s="37"/>
      <c r="AH836" s="37"/>
      <c r="AI836" s="14"/>
      <c r="AJ836" s="14"/>
      <c r="AK836" s="14"/>
      <c r="BB836" s="24"/>
    </row>
    <row r="837">
      <c r="B837" s="24"/>
      <c r="E837" s="113"/>
      <c r="F837" s="266"/>
      <c r="G837" s="113"/>
      <c r="K837" s="36"/>
      <c r="L837" s="117"/>
      <c r="M837" s="128"/>
      <c r="N837" s="117"/>
      <c r="R837" s="117"/>
      <c r="T837" s="117"/>
      <c r="V837" s="117"/>
      <c r="Z837" s="117"/>
      <c r="AA837" s="10"/>
      <c r="AB837" s="11"/>
      <c r="AC837" s="36"/>
      <c r="AD837" s="36"/>
      <c r="AE837" s="13"/>
      <c r="AF837" s="13"/>
      <c r="AG837" s="37"/>
      <c r="AH837" s="37"/>
      <c r="AI837" s="14"/>
      <c r="AJ837" s="14"/>
      <c r="AK837" s="14"/>
      <c r="BB837" s="24"/>
    </row>
    <row r="838">
      <c r="B838" s="24"/>
      <c r="E838" s="113"/>
      <c r="F838" s="266"/>
      <c r="G838" s="113"/>
      <c r="K838" s="36"/>
      <c r="L838" s="117"/>
      <c r="M838" s="128"/>
      <c r="N838" s="117"/>
      <c r="R838" s="117"/>
      <c r="T838" s="117"/>
      <c r="V838" s="117"/>
      <c r="Z838" s="117"/>
      <c r="AA838" s="10"/>
      <c r="AB838" s="11"/>
      <c r="AC838" s="36"/>
      <c r="AD838" s="36"/>
      <c r="AE838" s="13"/>
      <c r="AF838" s="13"/>
      <c r="AG838" s="37"/>
      <c r="AH838" s="37"/>
      <c r="AI838" s="14"/>
      <c r="AJ838" s="14"/>
      <c r="AK838" s="14"/>
      <c r="BB838" s="24"/>
    </row>
    <row r="839">
      <c r="B839" s="24"/>
      <c r="E839" s="113"/>
      <c r="F839" s="266"/>
      <c r="G839" s="113"/>
      <c r="K839" s="36"/>
      <c r="L839" s="117"/>
      <c r="M839" s="128"/>
      <c r="N839" s="117"/>
      <c r="R839" s="117"/>
      <c r="T839" s="117"/>
      <c r="V839" s="117"/>
      <c r="Z839" s="117"/>
      <c r="AA839" s="10"/>
      <c r="AB839" s="11"/>
      <c r="AC839" s="36"/>
      <c r="AD839" s="36"/>
      <c r="AE839" s="13"/>
      <c r="AF839" s="13"/>
      <c r="AG839" s="37"/>
      <c r="AH839" s="37"/>
      <c r="AI839" s="14"/>
      <c r="AJ839" s="14"/>
      <c r="AK839" s="14"/>
      <c r="BB839" s="24"/>
    </row>
    <row r="840">
      <c r="B840" s="24"/>
      <c r="E840" s="113"/>
      <c r="F840" s="266"/>
      <c r="G840" s="113"/>
      <c r="K840" s="36"/>
      <c r="L840" s="117"/>
      <c r="M840" s="128"/>
      <c r="N840" s="117"/>
      <c r="R840" s="117"/>
      <c r="T840" s="117"/>
      <c r="V840" s="117"/>
      <c r="Z840" s="117"/>
      <c r="AA840" s="10"/>
      <c r="AB840" s="11"/>
      <c r="AC840" s="36"/>
      <c r="AD840" s="36"/>
      <c r="AE840" s="13"/>
      <c r="AF840" s="13"/>
      <c r="AG840" s="37"/>
      <c r="AH840" s="37"/>
      <c r="AI840" s="14"/>
      <c r="AJ840" s="14"/>
      <c r="AK840" s="14"/>
      <c r="BB840" s="24"/>
    </row>
    <row r="841">
      <c r="B841" s="24"/>
      <c r="E841" s="113"/>
      <c r="F841" s="266"/>
      <c r="G841" s="113"/>
      <c r="K841" s="36"/>
      <c r="L841" s="117"/>
      <c r="M841" s="128"/>
      <c r="N841" s="117"/>
      <c r="R841" s="117"/>
      <c r="T841" s="117"/>
      <c r="V841" s="117"/>
      <c r="Z841" s="117"/>
      <c r="AA841" s="10"/>
      <c r="AB841" s="11"/>
      <c r="AC841" s="36"/>
      <c r="AD841" s="36"/>
      <c r="AE841" s="13"/>
      <c r="AF841" s="13"/>
      <c r="AG841" s="37"/>
      <c r="AH841" s="37"/>
      <c r="AI841" s="14"/>
      <c r="AJ841" s="14"/>
      <c r="AK841" s="14"/>
      <c r="BB841" s="24"/>
    </row>
    <row r="842">
      <c r="B842" s="24"/>
      <c r="E842" s="113"/>
      <c r="F842" s="266"/>
      <c r="G842" s="113"/>
      <c r="K842" s="36"/>
      <c r="L842" s="117"/>
      <c r="M842" s="128"/>
      <c r="N842" s="117"/>
      <c r="R842" s="117"/>
      <c r="T842" s="117"/>
      <c r="V842" s="117"/>
      <c r="Z842" s="117"/>
      <c r="AA842" s="10"/>
      <c r="AB842" s="11"/>
      <c r="AC842" s="36"/>
      <c r="AD842" s="36"/>
      <c r="AE842" s="13"/>
      <c r="AF842" s="13"/>
      <c r="AG842" s="37"/>
      <c r="AH842" s="37"/>
      <c r="AI842" s="14"/>
      <c r="AJ842" s="14"/>
      <c r="AK842" s="14"/>
      <c r="BB842" s="24"/>
    </row>
    <row r="843">
      <c r="B843" s="24"/>
      <c r="E843" s="113"/>
      <c r="F843" s="266"/>
      <c r="G843" s="113"/>
      <c r="K843" s="36"/>
      <c r="L843" s="117"/>
      <c r="M843" s="128"/>
      <c r="N843" s="117"/>
      <c r="R843" s="117"/>
      <c r="T843" s="117"/>
      <c r="V843" s="117"/>
      <c r="Z843" s="117"/>
      <c r="AA843" s="10"/>
      <c r="AB843" s="11"/>
      <c r="AC843" s="36"/>
      <c r="AD843" s="36"/>
      <c r="AE843" s="13"/>
      <c r="AF843" s="13"/>
      <c r="AG843" s="37"/>
      <c r="AH843" s="37"/>
      <c r="AI843" s="14"/>
      <c r="AJ843" s="14"/>
      <c r="AK843" s="14"/>
      <c r="BB843" s="24"/>
    </row>
    <row r="844">
      <c r="B844" s="24"/>
      <c r="E844" s="113"/>
      <c r="F844" s="266"/>
      <c r="G844" s="113"/>
      <c r="K844" s="36"/>
      <c r="L844" s="117"/>
      <c r="M844" s="128"/>
      <c r="N844" s="117"/>
      <c r="R844" s="117"/>
      <c r="T844" s="117"/>
      <c r="V844" s="117"/>
      <c r="Z844" s="117"/>
      <c r="AA844" s="10"/>
      <c r="AB844" s="11"/>
      <c r="AC844" s="36"/>
      <c r="AD844" s="36"/>
      <c r="AE844" s="13"/>
      <c r="AF844" s="13"/>
      <c r="AG844" s="37"/>
      <c r="AH844" s="37"/>
      <c r="AI844" s="14"/>
      <c r="AJ844" s="14"/>
      <c r="AK844" s="14"/>
      <c r="BB844" s="24"/>
    </row>
    <row r="845">
      <c r="B845" s="24"/>
      <c r="E845" s="113"/>
      <c r="F845" s="266"/>
      <c r="G845" s="113"/>
      <c r="K845" s="36"/>
      <c r="L845" s="117"/>
      <c r="M845" s="128"/>
      <c r="N845" s="117"/>
      <c r="R845" s="117"/>
      <c r="T845" s="117"/>
      <c r="V845" s="117"/>
      <c r="Z845" s="117"/>
      <c r="AA845" s="10"/>
      <c r="AB845" s="11"/>
      <c r="AC845" s="36"/>
      <c r="AD845" s="36"/>
      <c r="AE845" s="13"/>
      <c r="AF845" s="13"/>
      <c r="AG845" s="37"/>
      <c r="AH845" s="37"/>
      <c r="AI845" s="14"/>
      <c r="AJ845" s="14"/>
      <c r="AK845" s="14"/>
      <c r="BB845" s="24"/>
    </row>
    <row r="846">
      <c r="B846" s="24"/>
      <c r="E846" s="113"/>
      <c r="F846" s="266"/>
      <c r="G846" s="113"/>
      <c r="K846" s="36"/>
      <c r="L846" s="117"/>
      <c r="M846" s="128"/>
      <c r="N846" s="117"/>
      <c r="R846" s="117"/>
      <c r="T846" s="117"/>
      <c r="V846" s="117"/>
      <c r="Z846" s="117"/>
      <c r="AA846" s="10"/>
      <c r="AB846" s="11"/>
      <c r="AC846" s="36"/>
      <c r="AD846" s="36"/>
      <c r="AE846" s="13"/>
      <c r="AF846" s="13"/>
      <c r="AG846" s="37"/>
      <c r="AH846" s="37"/>
      <c r="AI846" s="14"/>
      <c r="AJ846" s="14"/>
      <c r="AK846" s="14"/>
      <c r="BB846" s="24"/>
    </row>
    <row r="847">
      <c r="B847" s="24"/>
      <c r="E847" s="113"/>
      <c r="F847" s="266"/>
      <c r="G847" s="113"/>
      <c r="K847" s="36"/>
      <c r="L847" s="117"/>
      <c r="M847" s="128"/>
      <c r="N847" s="117"/>
      <c r="R847" s="117"/>
      <c r="T847" s="117"/>
      <c r="V847" s="117"/>
      <c r="Z847" s="117"/>
      <c r="AA847" s="10"/>
      <c r="AB847" s="11"/>
      <c r="AC847" s="36"/>
      <c r="AD847" s="36"/>
      <c r="AE847" s="13"/>
      <c r="AF847" s="13"/>
      <c r="AG847" s="37"/>
      <c r="AH847" s="37"/>
      <c r="AI847" s="14"/>
      <c r="AJ847" s="14"/>
      <c r="AK847" s="14"/>
      <c r="BB847" s="24"/>
    </row>
    <row r="848">
      <c r="B848" s="24"/>
      <c r="E848" s="113"/>
      <c r="F848" s="266"/>
      <c r="G848" s="113"/>
      <c r="K848" s="36"/>
      <c r="L848" s="117"/>
      <c r="M848" s="128"/>
      <c r="N848" s="117"/>
      <c r="R848" s="117"/>
      <c r="T848" s="117"/>
      <c r="V848" s="117"/>
      <c r="Z848" s="117"/>
      <c r="AA848" s="10"/>
      <c r="AB848" s="11"/>
      <c r="AC848" s="36"/>
      <c r="AD848" s="36"/>
      <c r="AE848" s="13"/>
      <c r="AF848" s="13"/>
      <c r="AG848" s="37"/>
      <c r="AH848" s="37"/>
      <c r="AI848" s="14"/>
      <c r="AJ848" s="14"/>
      <c r="AK848" s="14"/>
      <c r="BB848" s="24"/>
    </row>
    <row r="849">
      <c r="B849" s="24"/>
      <c r="E849" s="113"/>
      <c r="F849" s="266"/>
      <c r="G849" s="113"/>
      <c r="K849" s="36"/>
      <c r="L849" s="117"/>
      <c r="M849" s="128"/>
      <c r="N849" s="117"/>
      <c r="R849" s="117"/>
      <c r="T849" s="117"/>
      <c r="V849" s="117"/>
      <c r="Z849" s="117"/>
      <c r="AA849" s="10"/>
      <c r="AB849" s="11"/>
      <c r="AC849" s="36"/>
      <c r="AD849" s="36"/>
      <c r="AE849" s="13"/>
      <c r="AF849" s="13"/>
      <c r="AG849" s="37"/>
      <c r="AH849" s="37"/>
      <c r="AI849" s="14"/>
      <c r="AJ849" s="14"/>
      <c r="AK849" s="14"/>
      <c r="BB849" s="24"/>
    </row>
    <row r="850">
      <c r="B850" s="24"/>
      <c r="E850" s="113"/>
      <c r="F850" s="266"/>
      <c r="G850" s="113"/>
      <c r="K850" s="36"/>
      <c r="L850" s="117"/>
      <c r="M850" s="128"/>
      <c r="N850" s="117"/>
      <c r="R850" s="117"/>
      <c r="T850" s="117"/>
      <c r="V850" s="117"/>
      <c r="Z850" s="117"/>
      <c r="AA850" s="10"/>
      <c r="AB850" s="11"/>
      <c r="AC850" s="36"/>
      <c r="AD850" s="36"/>
      <c r="AE850" s="13"/>
      <c r="AF850" s="13"/>
      <c r="AG850" s="37"/>
      <c r="AH850" s="37"/>
      <c r="AI850" s="14"/>
      <c r="AJ850" s="14"/>
      <c r="AK850" s="14"/>
      <c r="BB850" s="24"/>
    </row>
    <row r="851">
      <c r="B851" s="24"/>
      <c r="E851" s="113"/>
      <c r="F851" s="266"/>
      <c r="G851" s="113"/>
      <c r="K851" s="36"/>
      <c r="L851" s="117"/>
      <c r="M851" s="128"/>
      <c r="N851" s="117"/>
      <c r="R851" s="117"/>
      <c r="T851" s="117"/>
      <c r="V851" s="117"/>
      <c r="Z851" s="117"/>
      <c r="AA851" s="10"/>
      <c r="AB851" s="11"/>
      <c r="AC851" s="36"/>
      <c r="AD851" s="36"/>
      <c r="AE851" s="13"/>
      <c r="AF851" s="13"/>
      <c r="AG851" s="37"/>
      <c r="AH851" s="37"/>
      <c r="AI851" s="14"/>
      <c r="AJ851" s="14"/>
      <c r="AK851" s="14"/>
      <c r="BB851" s="24"/>
    </row>
    <row r="852">
      <c r="B852" s="24"/>
      <c r="E852" s="113"/>
      <c r="F852" s="266"/>
      <c r="G852" s="113"/>
      <c r="K852" s="36"/>
      <c r="L852" s="117"/>
      <c r="M852" s="128"/>
      <c r="N852" s="117"/>
      <c r="R852" s="117"/>
      <c r="T852" s="117"/>
      <c r="V852" s="117"/>
      <c r="Z852" s="117"/>
      <c r="AA852" s="10"/>
      <c r="AB852" s="11"/>
      <c r="AC852" s="36"/>
      <c r="AD852" s="36"/>
      <c r="AE852" s="13"/>
      <c r="AF852" s="13"/>
      <c r="AG852" s="37"/>
      <c r="AH852" s="37"/>
      <c r="AI852" s="14"/>
      <c r="AJ852" s="14"/>
      <c r="AK852" s="14"/>
      <c r="BB852" s="24"/>
    </row>
    <row r="853">
      <c r="B853" s="24"/>
      <c r="E853" s="113"/>
      <c r="F853" s="266"/>
      <c r="G853" s="113"/>
      <c r="K853" s="36"/>
      <c r="L853" s="117"/>
      <c r="M853" s="128"/>
      <c r="N853" s="117"/>
      <c r="R853" s="117"/>
      <c r="T853" s="117"/>
      <c r="V853" s="117"/>
      <c r="Z853" s="117"/>
      <c r="AA853" s="10"/>
      <c r="AB853" s="11"/>
      <c r="AC853" s="36"/>
      <c r="AD853" s="36"/>
      <c r="AE853" s="13"/>
      <c r="AF853" s="13"/>
      <c r="AG853" s="37"/>
      <c r="AH853" s="37"/>
      <c r="AI853" s="14"/>
      <c r="AJ853" s="14"/>
      <c r="AK853" s="14"/>
      <c r="BB853" s="24"/>
    </row>
    <row r="854">
      <c r="B854" s="24"/>
      <c r="E854" s="113"/>
      <c r="F854" s="266"/>
      <c r="G854" s="113"/>
      <c r="K854" s="36"/>
      <c r="L854" s="117"/>
      <c r="M854" s="128"/>
      <c r="N854" s="117"/>
      <c r="R854" s="117"/>
      <c r="T854" s="117"/>
      <c r="V854" s="117"/>
      <c r="Z854" s="117"/>
      <c r="AA854" s="10"/>
      <c r="AB854" s="11"/>
      <c r="AC854" s="36"/>
      <c r="AD854" s="36"/>
      <c r="AE854" s="13"/>
      <c r="AF854" s="13"/>
      <c r="AG854" s="37"/>
      <c r="AH854" s="37"/>
      <c r="AI854" s="14"/>
      <c r="AJ854" s="14"/>
      <c r="AK854" s="14"/>
      <c r="BB854" s="24"/>
    </row>
    <row r="855">
      <c r="B855" s="24"/>
      <c r="E855" s="113"/>
      <c r="F855" s="266"/>
      <c r="G855" s="113"/>
      <c r="K855" s="36"/>
      <c r="L855" s="117"/>
      <c r="M855" s="128"/>
      <c r="N855" s="117"/>
      <c r="R855" s="117"/>
      <c r="T855" s="117"/>
      <c r="V855" s="117"/>
      <c r="Z855" s="117"/>
      <c r="AA855" s="10"/>
      <c r="AB855" s="11"/>
      <c r="AC855" s="36"/>
      <c r="AD855" s="36"/>
      <c r="AE855" s="13"/>
      <c r="AF855" s="13"/>
      <c r="AG855" s="37"/>
      <c r="AH855" s="37"/>
      <c r="AI855" s="14"/>
      <c r="AJ855" s="14"/>
      <c r="AK855" s="14"/>
      <c r="BB855" s="24"/>
    </row>
    <row r="856">
      <c r="B856" s="24"/>
      <c r="E856" s="113"/>
      <c r="F856" s="266"/>
      <c r="G856" s="113"/>
      <c r="K856" s="36"/>
      <c r="L856" s="117"/>
      <c r="M856" s="128"/>
      <c r="N856" s="117"/>
      <c r="R856" s="117"/>
      <c r="T856" s="117"/>
      <c r="V856" s="117"/>
      <c r="Z856" s="117"/>
      <c r="AA856" s="10"/>
      <c r="AB856" s="11"/>
      <c r="AC856" s="36"/>
      <c r="AD856" s="36"/>
      <c r="AE856" s="13"/>
      <c r="AF856" s="13"/>
      <c r="AG856" s="37"/>
      <c r="AH856" s="37"/>
      <c r="AI856" s="14"/>
      <c r="AJ856" s="14"/>
      <c r="AK856" s="14"/>
      <c r="BB856" s="24"/>
    </row>
    <row r="857">
      <c r="B857" s="24"/>
      <c r="E857" s="113"/>
      <c r="F857" s="266"/>
      <c r="G857" s="113"/>
      <c r="K857" s="36"/>
      <c r="L857" s="117"/>
      <c r="M857" s="128"/>
      <c r="N857" s="117"/>
      <c r="R857" s="117"/>
      <c r="T857" s="117"/>
      <c r="V857" s="117"/>
      <c r="Z857" s="117"/>
      <c r="AA857" s="10"/>
      <c r="AB857" s="11"/>
      <c r="AC857" s="36"/>
      <c r="AD857" s="36"/>
      <c r="AE857" s="13"/>
      <c r="AF857" s="13"/>
      <c r="AG857" s="37"/>
      <c r="AH857" s="37"/>
      <c r="AI857" s="14"/>
      <c r="AJ857" s="14"/>
      <c r="AK857" s="14"/>
      <c r="BB857" s="24"/>
    </row>
    <row r="858">
      <c r="B858" s="24"/>
      <c r="E858" s="113"/>
      <c r="F858" s="266"/>
      <c r="G858" s="113"/>
      <c r="K858" s="36"/>
      <c r="L858" s="117"/>
      <c r="M858" s="128"/>
      <c r="N858" s="117"/>
      <c r="R858" s="117"/>
      <c r="T858" s="117"/>
      <c r="V858" s="117"/>
      <c r="Z858" s="117"/>
      <c r="AA858" s="10"/>
      <c r="AB858" s="11"/>
      <c r="AC858" s="36"/>
      <c r="AD858" s="36"/>
      <c r="AE858" s="13"/>
      <c r="AF858" s="13"/>
      <c r="AG858" s="37"/>
      <c r="AH858" s="37"/>
      <c r="AI858" s="14"/>
      <c r="AJ858" s="14"/>
      <c r="AK858" s="14"/>
      <c r="BB858" s="24"/>
    </row>
    <row r="859">
      <c r="B859" s="24"/>
      <c r="E859" s="113"/>
      <c r="F859" s="266"/>
      <c r="G859" s="113"/>
      <c r="K859" s="36"/>
      <c r="L859" s="117"/>
      <c r="M859" s="128"/>
      <c r="N859" s="117"/>
      <c r="R859" s="117"/>
      <c r="T859" s="117"/>
      <c r="V859" s="117"/>
      <c r="Z859" s="117"/>
      <c r="AA859" s="10"/>
      <c r="AB859" s="11"/>
      <c r="AC859" s="36"/>
      <c r="AD859" s="36"/>
      <c r="AE859" s="13"/>
      <c r="AF859" s="13"/>
      <c r="AG859" s="37"/>
      <c r="AH859" s="37"/>
      <c r="AI859" s="14"/>
      <c r="AJ859" s="14"/>
      <c r="AK859" s="14"/>
      <c r="BB859" s="24"/>
    </row>
    <row r="860">
      <c r="B860" s="24"/>
      <c r="E860" s="113"/>
      <c r="F860" s="266"/>
      <c r="G860" s="113"/>
      <c r="K860" s="36"/>
      <c r="L860" s="117"/>
      <c r="M860" s="128"/>
      <c r="N860" s="117"/>
      <c r="R860" s="117"/>
      <c r="T860" s="117"/>
      <c r="V860" s="117"/>
      <c r="Z860" s="117"/>
      <c r="AA860" s="10"/>
      <c r="AB860" s="11"/>
      <c r="AC860" s="36"/>
      <c r="AD860" s="36"/>
      <c r="AE860" s="13"/>
      <c r="AF860" s="13"/>
      <c r="AG860" s="37"/>
      <c r="AH860" s="37"/>
      <c r="AI860" s="14"/>
      <c r="AJ860" s="14"/>
      <c r="AK860" s="14"/>
      <c r="BB860" s="24"/>
    </row>
    <row r="861">
      <c r="B861" s="24"/>
      <c r="E861" s="113"/>
      <c r="F861" s="266"/>
      <c r="G861" s="113"/>
      <c r="K861" s="36"/>
      <c r="L861" s="117"/>
      <c r="M861" s="128"/>
      <c r="N861" s="117"/>
      <c r="R861" s="117"/>
      <c r="T861" s="117"/>
      <c r="V861" s="117"/>
      <c r="Z861" s="117"/>
      <c r="AA861" s="10"/>
      <c r="AB861" s="11"/>
      <c r="AC861" s="36"/>
      <c r="AD861" s="36"/>
      <c r="AE861" s="13"/>
      <c r="AF861" s="13"/>
      <c r="AG861" s="37"/>
      <c r="AH861" s="37"/>
      <c r="AI861" s="14"/>
      <c r="AJ861" s="14"/>
      <c r="AK861" s="14"/>
      <c r="BB861" s="24"/>
    </row>
    <row r="862">
      <c r="B862" s="24"/>
      <c r="E862" s="113"/>
      <c r="F862" s="266"/>
      <c r="G862" s="113"/>
      <c r="K862" s="36"/>
      <c r="L862" s="117"/>
      <c r="M862" s="128"/>
      <c r="N862" s="117"/>
      <c r="R862" s="117"/>
      <c r="T862" s="117"/>
      <c r="V862" s="117"/>
      <c r="Z862" s="117"/>
      <c r="AA862" s="10"/>
      <c r="AB862" s="11"/>
      <c r="AC862" s="36"/>
      <c r="AD862" s="36"/>
      <c r="AE862" s="13"/>
      <c r="AF862" s="13"/>
      <c r="AG862" s="37"/>
      <c r="AH862" s="37"/>
      <c r="AI862" s="14"/>
      <c r="AJ862" s="14"/>
      <c r="AK862" s="14"/>
      <c r="BB862" s="24"/>
    </row>
    <row r="863">
      <c r="B863" s="24"/>
      <c r="E863" s="113"/>
      <c r="F863" s="266"/>
      <c r="G863" s="113"/>
      <c r="K863" s="36"/>
      <c r="L863" s="117"/>
      <c r="M863" s="128"/>
      <c r="N863" s="117"/>
      <c r="R863" s="117"/>
      <c r="T863" s="117"/>
      <c r="V863" s="117"/>
      <c r="Z863" s="117"/>
      <c r="AA863" s="10"/>
      <c r="AB863" s="11"/>
      <c r="AC863" s="36"/>
      <c r="AD863" s="36"/>
      <c r="AE863" s="13"/>
      <c r="AF863" s="13"/>
      <c r="AG863" s="37"/>
      <c r="AH863" s="37"/>
      <c r="AI863" s="14"/>
      <c r="AJ863" s="14"/>
      <c r="AK863" s="14"/>
      <c r="BB863" s="24"/>
    </row>
    <row r="864">
      <c r="B864" s="24"/>
      <c r="E864" s="113"/>
      <c r="F864" s="266"/>
      <c r="G864" s="113"/>
      <c r="K864" s="36"/>
      <c r="L864" s="117"/>
      <c r="M864" s="128"/>
      <c r="N864" s="117"/>
      <c r="R864" s="117"/>
      <c r="T864" s="117"/>
      <c r="V864" s="117"/>
      <c r="Z864" s="117"/>
      <c r="AA864" s="10"/>
      <c r="AB864" s="11"/>
      <c r="AC864" s="36"/>
      <c r="AD864" s="36"/>
      <c r="AE864" s="13"/>
      <c r="AF864" s="13"/>
      <c r="AG864" s="37"/>
      <c r="AH864" s="37"/>
      <c r="AI864" s="14"/>
      <c r="AJ864" s="14"/>
      <c r="AK864" s="14"/>
      <c r="BB864" s="24"/>
    </row>
    <row r="865">
      <c r="B865" s="24"/>
      <c r="E865" s="113"/>
      <c r="F865" s="266"/>
      <c r="G865" s="113"/>
      <c r="K865" s="36"/>
      <c r="L865" s="117"/>
      <c r="M865" s="128"/>
      <c r="N865" s="117"/>
      <c r="R865" s="117"/>
      <c r="T865" s="117"/>
      <c r="V865" s="117"/>
      <c r="Z865" s="117"/>
      <c r="AA865" s="10"/>
      <c r="AB865" s="11"/>
      <c r="AC865" s="36"/>
      <c r="AD865" s="36"/>
      <c r="AE865" s="13"/>
      <c r="AF865" s="13"/>
      <c r="AG865" s="37"/>
      <c r="AH865" s="37"/>
      <c r="AI865" s="14"/>
      <c r="AJ865" s="14"/>
      <c r="AK865" s="14"/>
      <c r="BB865" s="24"/>
    </row>
    <row r="866">
      <c r="B866" s="24"/>
      <c r="E866" s="113"/>
      <c r="F866" s="266"/>
      <c r="G866" s="113"/>
      <c r="K866" s="36"/>
      <c r="L866" s="117"/>
      <c r="M866" s="128"/>
      <c r="N866" s="117"/>
      <c r="R866" s="117"/>
      <c r="T866" s="117"/>
      <c r="V866" s="117"/>
      <c r="Z866" s="117"/>
      <c r="AA866" s="10"/>
      <c r="AB866" s="11"/>
      <c r="AC866" s="36"/>
      <c r="AD866" s="36"/>
      <c r="AE866" s="13"/>
      <c r="AF866" s="13"/>
      <c r="AG866" s="37"/>
      <c r="AH866" s="37"/>
      <c r="AI866" s="14"/>
      <c r="AJ866" s="14"/>
      <c r="AK866" s="14"/>
      <c r="BB866" s="24"/>
    </row>
    <row r="867">
      <c r="B867" s="24"/>
      <c r="E867" s="113"/>
      <c r="F867" s="266"/>
      <c r="G867" s="113"/>
      <c r="K867" s="36"/>
      <c r="L867" s="117"/>
      <c r="M867" s="128"/>
      <c r="N867" s="117"/>
      <c r="R867" s="117"/>
      <c r="T867" s="117"/>
      <c r="V867" s="117"/>
      <c r="Z867" s="117"/>
      <c r="AA867" s="10"/>
      <c r="AB867" s="11"/>
      <c r="AC867" s="36"/>
      <c r="AD867" s="36"/>
      <c r="AE867" s="13"/>
      <c r="AF867" s="13"/>
      <c r="AG867" s="37"/>
      <c r="AH867" s="37"/>
      <c r="AI867" s="14"/>
      <c r="AJ867" s="14"/>
      <c r="AK867" s="14"/>
      <c r="BB867" s="24"/>
    </row>
    <row r="868">
      <c r="B868" s="24"/>
      <c r="E868" s="113"/>
      <c r="F868" s="266"/>
      <c r="G868" s="113"/>
      <c r="K868" s="36"/>
      <c r="L868" s="117"/>
      <c r="M868" s="128"/>
      <c r="N868" s="117"/>
      <c r="R868" s="117"/>
      <c r="T868" s="117"/>
      <c r="V868" s="117"/>
      <c r="Z868" s="117"/>
      <c r="AA868" s="10"/>
      <c r="AB868" s="11"/>
      <c r="AC868" s="36"/>
      <c r="AD868" s="36"/>
      <c r="AE868" s="13"/>
      <c r="AF868" s="13"/>
      <c r="AG868" s="37"/>
      <c r="AH868" s="37"/>
      <c r="AI868" s="14"/>
      <c r="AJ868" s="14"/>
      <c r="AK868" s="14"/>
      <c r="BB868" s="24"/>
    </row>
    <row r="869">
      <c r="B869" s="24"/>
      <c r="E869" s="113"/>
      <c r="F869" s="266"/>
      <c r="G869" s="113"/>
      <c r="K869" s="36"/>
      <c r="L869" s="117"/>
      <c r="M869" s="128"/>
      <c r="N869" s="117"/>
      <c r="R869" s="117"/>
      <c r="T869" s="117"/>
      <c r="V869" s="117"/>
      <c r="Z869" s="117"/>
      <c r="AA869" s="10"/>
      <c r="AB869" s="11"/>
      <c r="AC869" s="36"/>
      <c r="AD869" s="36"/>
      <c r="AE869" s="13"/>
      <c r="AF869" s="13"/>
      <c r="AG869" s="37"/>
      <c r="AH869" s="37"/>
      <c r="AI869" s="14"/>
      <c r="AJ869" s="14"/>
      <c r="AK869" s="14"/>
      <c r="BB869" s="24"/>
    </row>
    <row r="870">
      <c r="B870" s="24"/>
      <c r="E870" s="113"/>
      <c r="F870" s="266"/>
      <c r="G870" s="113"/>
      <c r="K870" s="36"/>
      <c r="L870" s="117"/>
      <c r="M870" s="128"/>
      <c r="N870" s="117"/>
      <c r="R870" s="117"/>
      <c r="T870" s="117"/>
      <c r="V870" s="117"/>
      <c r="Z870" s="117"/>
      <c r="AA870" s="10"/>
      <c r="AB870" s="11"/>
      <c r="AC870" s="36"/>
      <c r="AD870" s="36"/>
      <c r="AE870" s="13"/>
      <c r="AF870" s="13"/>
      <c r="AG870" s="37"/>
      <c r="AH870" s="37"/>
      <c r="AI870" s="14"/>
      <c r="AJ870" s="14"/>
      <c r="AK870" s="14"/>
      <c r="BB870" s="24"/>
    </row>
    <row r="871">
      <c r="B871" s="24"/>
      <c r="E871" s="113"/>
      <c r="F871" s="266"/>
      <c r="G871" s="113"/>
      <c r="K871" s="36"/>
      <c r="L871" s="117"/>
      <c r="M871" s="128"/>
      <c r="N871" s="117"/>
      <c r="R871" s="117"/>
      <c r="T871" s="117"/>
      <c r="V871" s="117"/>
      <c r="Z871" s="117"/>
      <c r="AA871" s="10"/>
      <c r="AB871" s="11"/>
      <c r="AC871" s="36"/>
      <c r="AD871" s="36"/>
      <c r="AE871" s="13"/>
      <c r="AF871" s="13"/>
      <c r="AG871" s="37"/>
      <c r="AH871" s="37"/>
      <c r="AI871" s="14"/>
      <c r="AJ871" s="14"/>
      <c r="AK871" s="14"/>
      <c r="BB871" s="24"/>
    </row>
    <row r="872">
      <c r="B872" s="24"/>
      <c r="E872" s="113"/>
      <c r="F872" s="266"/>
      <c r="G872" s="113"/>
      <c r="K872" s="36"/>
      <c r="L872" s="117"/>
      <c r="M872" s="128"/>
      <c r="N872" s="117"/>
      <c r="R872" s="117"/>
      <c r="T872" s="117"/>
      <c r="V872" s="117"/>
      <c r="Z872" s="117"/>
      <c r="AA872" s="10"/>
      <c r="AB872" s="11"/>
      <c r="AC872" s="36"/>
      <c r="AD872" s="36"/>
      <c r="AE872" s="13"/>
      <c r="AF872" s="13"/>
      <c r="AG872" s="37"/>
      <c r="AH872" s="37"/>
      <c r="AI872" s="14"/>
      <c r="AJ872" s="14"/>
      <c r="AK872" s="14"/>
      <c r="BB872" s="24"/>
    </row>
    <row r="873">
      <c r="B873" s="24"/>
      <c r="E873" s="113"/>
      <c r="F873" s="266"/>
      <c r="G873" s="113"/>
      <c r="K873" s="36"/>
      <c r="L873" s="117"/>
      <c r="M873" s="128"/>
      <c r="N873" s="117"/>
      <c r="R873" s="117"/>
      <c r="T873" s="117"/>
      <c r="V873" s="117"/>
      <c r="Z873" s="117"/>
      <c r="AA873" s="10"/>
      <c r="AB873" s="11"/>
      <c r="AC873" s="36"/>
      <c r="AD873" s="36"/>
      <c r="AE873" s="13"/>
      <c r="AF873" s="13"/>
      <c r="AG873" s="37"/>
      <c r="AH873" s="37"/>
      <c r="AI873" s="14"/>
      <c r="AJ873" s="14"/>
      <c r="AK873" s="14"/>
      <c r="BB873" s="24"/>
    </row>
    <row r="874">
      <c r="B874" s="24"/>
      <c r="E874" s="113"/>
      <c r="F874" s="266"/>
      <c r="G874" s="113"/>
      <c r="K874" s="36"/>
      <c r="L874" s="117"/>
      <c r="M874" s="128"/>
      <c r="N874" s="117"/>
      <c r="R874" s="117"/>
      <c r="T874" s="117"/>
      <c r="V874" s="117"/>
      <c r="Z874" s="117"/>
      <c r="AA874" s="10"/>
      <c r="AB874" s="11"/>
      <c r="AC874" s="36"/>
      <c r="AD874" s="36"/>
      <c r="AE874" s="13"/>
      <c r="AF874" s="13"/>
      <c r="AG874" s="37"/>
      <c r="AH874" s="37"/>
      <c r="AI874" s="14"/>
      <c r="AJ874" s="14"/>
      <c r="AK874" s="14"/>
      <c r="BB874" s="24"/>
    </row>
    <row r="875">
      <c r="B875" s="24"/>
      <c r="E875" s="113"/>
      <c r="F875" s="266"/>
      <c r="G875" s="113"/>
      <c r="K875" s="36"/>
      <c r="L875" s="117"/>
      <c r="M875" s="128"/>
      <c r="N875" s="117"/>
      <c r="R875" s="117"/>
      <c r="T875" s="117"/>
      <c r="V875" s="117"/>
      <c r="Z875" s="117"/>
      <c r="AA875" s="10"/>
      <c r="AB875" s="11"/>
      <c r="AC875" s="36"/>
      <c r="AD875" s="36"/>
      <c r="AE875" s="13"/>
      <c r="AF875" s="13"/>
      <c r="AG875" s="37"/>
      <c r="AH875" s="37"/>
      <c r="AI875" s="14"/>
      <c r="AJ875" s="14"/>
      <c r="AK875" s="14"/>
      <c r="BB875" s="24"/>
    </row>
    <row r="876">
      <c r="B876" s="24"/>
      <c r="E876" s="113"/>
      <c r="F876" s="266"/>
      <c r="G876" s="113"/>
      <c r="K876" s="36"/>
      <c r="L876" s="117"/>
      <c r="M876" s="128"/>
      <c r="N876" s="117"/>
      <c r="R876" s="117"/>
      <c r="T876" s="117"/>
      <c r="V876" s="117"/>
      <c r="Z876" s="117"/>
      <c r="AA876" s="10"/>
      <c r="AB876" s="11"/>
      <c r="AC876" s="36"/>
      <c r="AD876" s="36"/>
      <c r="AE876" s="13"/>
      <c r="AF876" s="13"/>
      <c r="AG876" s="37"/>
      <c r="AH876" s="37"/>
      <c r="AI876" s="14"/>
      <c r="AJ876" s="14"/>
      <c r="AK876" s="14"/>
      <c r="BB876" s="24"/>
    </row>
    <row r="877">
      <c r="B877" s="24"/>
      <c r="E877" s="113"/>
      <c r="F877" s="266"/>
      <c r="G877" s="113"/>
      <c r="K877" s="36"/>
      <c r="L877" s="117"/>
      <c r="M877" s="128"/>
      <c r="N877" s="117"/>
      <c r="R877" s="117"/>
      <c r="T877" s="117"/>
      <c r="V877" s="117"/>
      <c r="Z877" s="117"/>
      <c r="AA877" s="10"/>
      <c r="AB877" s="11"/>
      <c r="AC877" s="36"/>
      <c r="AD877" s="36"/>
      <c r="AE877" s="13"/>
      <c r="AF877" s="13"/>
      <c r="AG877" s="37"/>
      <c r="AH877" s="37"/>
      <c r="AI877" s="14"/>
      <c r="AJ877" s="14"/>
      <c r="AK877" s="14"/>
      <c r="BB877" s="24"/>
    </row>
    <row r="878">
      <c r="B878" s="24"/>
      <c r="E878" s="113"/>
      <c r="F878" s="266"/>
      <c r="G878" s="113"/>
      <c r="K878" s="36"/>
      <c r="L878" s="117"/>
      <c r="M878" s="128"/>
      <c r="N878" s="117"/>
      <c r="R878" s="117"/>
      <c r="T878" s="117"/>
      <c r="V878" s="117"/>
      <c r="Z878" s="117"/>
      <c r="AA878" s="10"/>
      <c r="AB878" s="11"/>
      <c r="AC878" s="36"/>
      <c r="AD878" s="36"/>
      <c r="AE878" s="13"/>
      <c r="AF878" s="13"/>
      <c r="AG878" s="37"/>
      <c r="AH878" s="37"/>
      <c r="AI878" s="14"/>
      <c r="AJ878" s="14"/>
      <c r="AK878" s="14"/>
      <c r="BB878" s="24"/>
    </row>
    <row r="879">
      <c r="B879" s="24"/>
      <c r="E879" s="113"/>
      <c r="F879" s="266"/>
      <c r="G879" s="113"/>
      <c r="K879" s="36"/>
      <c r="L879" s="117"/>
      <c r="M879" s="128"/>
      <c r="N879" s="117"/>
      <c r="R879" s="117"/>
      <c r="T879" s="117"/>
      <c r="V879" s="117"/>
      <c r="Z879" s="117"/>
      <c r="AA879" s="10"/>
      <c r="AB879" s="11"/>
      <c r="AC879" s="36"/>
      <c r="AD879" s="36"/>
      <c r="AE879" s="13"/>
      <c r="AF879" s="13"/>
      <c r="AG879" s="37"/>
      <c r="AH879" s="37"/>
      <c r="AI879" s="14"/>
      <c r="AJ879" s="14"/>
      <c r="AK879" s="14"/>
      <c r="BB879" s="24"/>
    </row>
    <row r="880">
      <c r="B880" s="24"/>
      <c r="E880" s="113"/>
      <c r="F880" s="266"/>
      <c r="G880" s="113"/>
      <c r="K880" s="36"/>
      <c r="L880" s="117"/>
      <c r="M880" s="128"/>
      <c r="N880" s="117"/>
      <c r="R880" s="117"/>
      <c r="T880" s="117"/>
      <c r="V880" s="117"/>
      <c r="Z880" s="117"/>
      <c r="AA880" s="10"/>
      <c r="AB880" s="11"/>
      <c r="AC880" s="36"/>
      <c r="AD880" s="36"/>
      <c r="AE880" s="13"/>
      <c r="AF880" s="13"/>
      <c r="AG880" s="37"/>
      <c r="AH880" s="37"/>
      <c r="AI880" s="14"/>
      <c r="AJ880" s="14"/>
      <c r="AK880" s="14"/>
      <c r="BB880" s="24"/>
    </row>
    <row r="881">
      <c r="B881" s="24"/>
      <c r="E881" s="113"/>
      <c r="F881" s="266"/>
      <c r="G881" s="113"/>
      <c r="K881" s="36"/>
      <c r="L881" s="117"/>
      <c r="M881" s="128"/>
      <c r="N881" s="117"/>
      <c r="R881" s="117"/>
      <c r="T881" s="117"/>
      <c r="V881" s="117"/>
      <c r="Z881" s="117"/>
      <c r="AA881" s="10"/>
      <c r="AB881" s="11"/>
      <c r="AC881" s="36"/>
      <c r="AD881" s="36"/>
      <c r="AE881" s="13"/>
      <c r="AF881" s="13"/>
      <c r="AG881" s="37"/>
      <c r="AH881" s="37"/>
      <c r="AI881" s="14"/>
      <c r="AJ881" s="14"/>
      <c r="AK881" s="14"/>
      <c r="BB881" s="24"/>
    </row>
    <row r="882">
      <c r="B882" s="24"/>
      <c r="E882" s="113"/>
      <c r="F882" s="266"/>
      <c r="G882" s="113"/>
      <c r="K882" s="36"/>
      <c r="L882" s="117"/>
      <c r="M882" s="128"/>
      <c r="N882" s="117"/>
      <c r="R882" s="117"/>
      <c r="T882" s="117"/>
      <c r="V882" s="117"/>
      <c r="Z882" s="117"/>
      <c r="AA882" s="10"/>
      <c r="AB882" s="11"/>
      <c r="AC882" s="36"/>
      <c r="AD882" s="36"/>
      <c r="AE882" s="13"/>
      <c r="AF882" s="13"/>
      <c r="AG882" s="37"/>
      <c r="AH882" s="37"/>
      <c r="AI882" s="14"/>
      <c r="AJ882" s="14"/>
      <c r="AK882" s="14"/>
      <c r="BB882" s="24"/>
    </row>
    <row r="883">
      <c r="B883" s="24"/>
      <c r="E883" s="113"/>
      <c r="F883" s="266"/>
      <c r="G883" s="113"/>
      <c r="K883" s="36"/>
      <c r="L883" s="117"/>
      <c r="M883" s="128"/>
      <c r="N883" s="117"/>
      <c r="R883" s="117"/>
      <c r="T883" s="117"/>
      <c r="V883" s="117"/>
      <c r="Z883" s="117"/>
      <c r="AA883" s="10"/>
      <c r="AB883" s="11"/>
      <c r="AC883" s="36"/>
      <c r="AD883" s="36"/>
      <c r="AE883" s="13"/>
      <c r="AF883" s="13"/>
      <c r="AG883" s="37"/>
      <c r="AH883" s="37"/>
      <c r="AI883" s="14"/>
      <c r="AJ883" s="14"/>
      <c r="AK883" s="14"/>
      <c r="BB883" s="24"/>
    </row>
    <row r="884">
      <c r="B884" s="24"/>
      <c r="E884" s="113"/>
      <c r="F884" s="266"/>
      <c r="G884" s="113"/>
      <c r="K884" s="36"/>
      <c r="L884" s="117"/>
      <c r="M884" s="128"/>
      <c r="N884" s="117"/>
      <c r="R884" s="117"/>
      <c r="T884" s="117"/>
      <c r="V884" s="117"/>
      <c r="Z884" s="117"/>
      <c r="AA884" s="10"/>
      <c r="AB884" s="11"/>
      <c r="AC884" s="36"/>
      <c r="AD884" s="36"/>
      <c r="AE884" s="13"/>
      <c r="AF884" s="13"/>
      <c r="AG884" s="37"/>
      <c r="AH884" s="37"/>
      <c r="AI884" s="14"/>
      <c r="AJ884" s="14"/>
      <c r="AK884" s="14"/>
      <c r="BB884" s="24"/>
    </row>
    <row r="885">
      <c r="B885" s="24"/>
      <c r="E885" s="113"/>
      <c r="F885" s="266"/>
      <c r="G885" s="113"/>
      <c r="K885" s="36"/>
      <c r="L885" s="117"/>
      <c r="M885" s="128"/>
      <c r="N885" s="117"/>
      <c r="R885" s="117"/>
      <c r="T885" s="117"/>
      <c r="V885" s="117"/>
      <c r="Z885" s="117"/>
      <c r="AA885" s="10"/>
      <c r="AB885" s="11"/>
      <c r="AC885" s="36"/>
      <c r="AD885" s="36"/>
      <c r="AE885" s="13"/>
      <c r="AF885" s="13"/>
      <c r="AG885" s="37"/>
      <c r="AH885" s="37"/>
      <c r="AI885" s="14"/>
      <c r="AJ885" s="14"/>
      <c r="AK885" s="14"/>
      <c r="BB885" s="24"/>
    </row>
    <row r="886">
      <c r="B886" s="24"/>
      <c r="E886" s="113"/>
      <c r="F886" s="266"/>
      <c r="G886" s="113"/>
      <c r="K886" s="36"/>
      <c r="L886" s="117"/>
      <c r="M886" s="128"/>
      <c r="N886" s="117"/>
      <c r="R886" s="117"/>
      <c r="T886" s="117"/>
      <c r="V886" s="117"/>
      <c r="Z886" s="117"/>
      <c r="AA886" s="10"/>
      <c r="AB886" s="11"/>
      <c r="AC886" s="36"/>
      <c r="AD886" s="36"/>
      <c r="AE886" s="13"/>
      <c r="AF886" s="13"/>
      <c r="AG886" s="37"/>
      <c r="AH886" s="37"/>
      <c r="AI886" s="14"/>
      <c r="AJ886" s="14"/>
      <c r="AK886" s="14"/>
      <c r="BB886" s="24"/>
    </row>
    <row r="887">
      <c r="B887" s="24"/>
      <c r="E887" s="113"/>
      <c r="F887" s="266"/>
      <c r="G887" s="113"/>
      <c r="K887" s="36"/>
      <c r="L887" s="117"/>
      <c r="M887" s="128"/>
      <c r="N887" s="117"/>
      <c r="R887" s="117"/>
      <c r="T887" s="117"/>
      <c r="V887" s="117"/>
      <c r="Z887" s="117"/>
      <c r="AA887" s="10"/>
      <c r="AB887" s="11"/>
      <c r="AC887" s="36"/>
      <c r="AD887" s="36"/>
      <c r="AE887" s="13"/>
      <c r="AF887" s="13"/>
      <c r="AG887" s="37"/>
      <c r="AH887" s="37"/>
      <c r="AI887" s="14"/>
      <c r="AJ887" s="14"/>
      <c r="AK887" s="14"/>
      <c r="BB887" s="24"/>
    </row>
    <row r="888">
      <c r="B888" s="24"/>
      <c r="E888" s="113"/>
      <c r="F888" s="266"/>
      <c r="G888" s="113"/>
      <c r="K888" s="36"/>
      <c r="L888" s="117"/>
      <c r="M888" s="128"/>
      <c r="N888" s="117"/>
      <c r="R888" s="117"/>
      <c r="T888" s="117"/>
      <c r="V888" s="117"/>
      <c r="Z888" s="117"/>
      <c r="AA888" s="10"/>
      <c r="AB888" s="11"/>
      <c r="AC888" s="36"/>
      <c r="AD888" s="36"/>
      <c r="AE888" s="13"/>
      <c r="AF888" s="13"/>
      <c r="AG888" s="37"/>
      <c r="AH888" s="37"/>
      <c r="AI888" s="14"/>
      <c r="AJ888" s="14"/>
      <c r="AK888" s="14"/>
      <c r="BB888" s="24"/>
    </row>
    <row r="889">
      <c r="B889" s="24"/>
      <c r="E889" s="113"/>
      <c r="F889" s="266"/>
      <c r="G889" s="113"/>
      <c r="K889" s="36"/>
      <c r="L889" s="117"/>
      <c r="M889" s="128"/>
      <c r="N889" s="117"/>
      <c r="R889" s="117"/>
      <c r="T889" s="117"/>
      <c r="V889" s="117"/>
      <c r="Z889" s="117"/>
      <c r="AA889" s="10"/>
      <c r="AB889" s="11"/>
      <c r="AC889" s="36"/>
      <c r="AD889" s="36"/>
      <c r="AE889" s="13"/>
      <c r="AF889" s="13"/>
      <c r="AG889" s="37"/>
      <c r="AH889" s="37"/>
      <c r="AI889" s="14"/>
      <c r="AJ889" s="14"/>
      <c r="AK889" s="14"/>
      <c r="BB889" s="24"/>
    </row>
    <row r="890">
      <c r="B890" s="24"/>
      <c r="E890" s="113"/>
      <c r="F890" s="266"/>
      <c r="G890" s="113"/>
      <c r="K890" s="36"/>
      <c r="L890" s="117"/>
      <c r="M890" s="128"/>
      <c r="N890" s="117"/>
      <c r="R890" s="117"/>
      <c r="T890" s="117"/>
      <c r="V890" s="117"/>
      <c r="Z890" s="117"/>
      <c r="AA890" s="10"/>
      <c r="AB890" s="11"/>
      <c r="AC890" s="36"/>
      <c r="AD890" s="36"/>
      <c r="AE890" s="13"/>
      <c r="AF890" s="13"/>
      <c r="AG890" s="37"/>
      <c r="AH890" s="37"/>
      <c r="AI890" s="14"/>
      <c r="AJ890" s="14"/>
      <c r="AK890" s="14"/>
      <c r="BB890" s="24"/>
    </row>
    <row r="891">
      <c r="B891" s="24"/>
      <c r="E891" s="113"/>
      <c r="F891" s="266"/>
      <c r="G891" s="113"/>
      <c r="K891" s="36"/>
      <c r="L891" s="117"/>
      <c r="M891" s="128"/>
      <c r="N891" s="117"/>
      <c r="R891" s="117"/>
      <c r="T891" s="117"/>
      <c r="V891" s="117"/>
      <c r="Z891" s="117"/>
      <c r="AA891" s="10"/>
      <c r="AB891" s="11"/>
      <c r="AC891" s="36"/>
      <c r="AD891" s="36"/>
      <c r="AE891" s="13"/>
      <c r="AF891" s="13"/>
      <c r="AG891" s="37"/>
      <c r="AH891" s="37"/>
      <c r="AI891" s="14"/>
      <c r="AJ891" s="14"/>
      <c r="AK891" s="14"/>
      <c r="BB891" s="24"/>
    </row>
    <row r="892">
      <c r="B892" s="24"/>
      <c r="E892" s="113"/>
      <c r="F892" s="266"/>
      <c r="G892" s="113"/>
      <c r="K892" s="36"/>
      <c r="L892" s="117"/>
      <c r="M892" s="128"/>
      <c r="N892" s="117"/>
      <c r="R892" s="117"/>
      <c r="T892" s="117"/>
      <c r="V892" s="117"/>
      <c r="Z892" s="117"/>
      <c r="AA892" s="10"/>
      <c r="AB892" s="11"/>
      <c r="AC892" s="36"/>
      <c r="AD892" s="36"/>
      <c r="AE892" s="13"/>
      <c r="AF892" s="13"/>
      <c r="AG892" s="37"/>
      <c r="AH892" s="37"/>
      <c r="AI892" s="14"/>
      <c r="AJ892" s="14"/>
      <c r="AK892" s="14"/>
      <c r="BB892" s="24"/>
    </row>
    <row r="893">
      <c r="B893" s="24"/>
      <c r="E893" s="113"/>
      <c r="F893" s="266"/>
      <c r="G893" s="113"/>
      <c r="K893" s="36"/>
      <c r="L893" s="117"/>
      <c r="M893" s="128"/>
      <c r="N893" s="117"/>
      <c r="R893" s="117"/>
      <c r="T893" s="117"/>
      <c r="V893" s="117"/>
      <c r="Z893" s="117"/>
      <c r="AA893" s="10"/>
      <c r="AB893" s="11"/>
      <c r="AC893" s="36"/>
      <c r="AD893" s="36"/>
      <c r="AE893" s="13"/>
      <c r="AF893" s="13"/>
      <c r="AG893" s="37"/>
      <c r="AH893" s="37"/>
      <c r="AI893" s="14"/>
      <c r="AJ893" s="14"/>
      <c r="AK893" s="14"/>
      <c r="BB893" s="24"/>
    </row>
    <row r="894">
      <c r="B894" s="24"/>
      <c r="E894" s="113"/>
      <c r="F894" s="266"/>
      <c r="G894" s="113"/>
      <c r="K894" s="36"/>
      <c r="L894" s="117"/>
      <c r="M894" s="128"/>
      <c r="N894" s="117"/>
      <c r="R894" s="117"/>
      <c r="T894" s="117"/>
      <c r="V894" s="117"/>
      <c r="Z894" s="117"/>
      <c r="AA894" s="10"/>
      <c r="AB894" s="11"/>
      <c r="AC894" s="36"/>
      <c r="AD894" s="36"/>
      <c r="AE894" s="13"/>
      <c r="AF894" s="13"/>
      <c r="AG894" s="37"/>
      <c r="AH894" s="37"/>
      <c r="AI894" s="14"/>
      <c r="AJ894" s="14"/>
      <c r="AK894" s="14"/>
      <c r="BB894" s="24"/>
    </row>
    <row r="895">
      <c r="B895" s="24"/>
      <c r="E895" s="113"/>
      <c r="F895" s="266"/>
      <c r="G895" s="113"/>
      <c r="K895" s="36"/>
      <c r="L895" s="117"/>
      <c r="M895" s="128"/>
      <c r="N895" s="117"/>
      <c r="R895" s="117"/>
      <c r="T895" s="117"/>
      <c r="V895" s="117"/>
      <c r="Z895" s="117"/>
      <c r="AA895" s="10"/>
      <c r="AB895" s="11"/>
      <c r="AC895" s="36"/>
      <c r="AD895" s="36"/>
      <c r="AE895" s="13"/>
      <c r="AF895" s="13"/>
      <c r="AG895" s="37"/>
      <c r="AH895" s="37"/>
      <c r="AI895" s="14"/>
      <c r="AJ895" s="14"/>
      <c r="AK895" s="14"/>
      <c r="BB895" s="24"/>
    </row>
    <row r="896">
      <c r="B896" s="24"/>
      <c r="E896" s="113"/>
      <c r="F896" s="266"/>
      <c r="G896" s="113"/>
      <c r="K896" s="36"/>
      <c r="L896" s="117"/>
      <c r="M896" s="128"/>
      <c r="N896" s="117"/>
      <c r="R896" s="117"/>
      <c r="T896" s="117"/>
      <c r="V896" s="117"/>
      <c r="Z896" s="117"/>
      <c r="AA896" s="10"/>
      <c r="AB896" s="11"/>
      <c r="AC896" s="36"/>
      <c r="AD896" s="36"/>
      <c r="AE896" s="13"/>
      <c r="AF896" s="13"/>
      <c r="AG896" s="37"/>
      <c r="AH896" s="37"/>
      <c r="AI896" s="14"/>
      <c r="AJ896" s="14"/>
      <c r="AK896" s="14"/>
      <c r="BB896" s="24"/>
    </row>
    <row r="897">
      <c r="B897" s="24"/>
      <c r="E897" s="113"/>
      <c r="F897" s="266"/>
      <c r="G897" s="113"/>
      <c r="K897" s="36"/>
      <c r="L897" s="117"/>
      <c r="M897" s="128"/>
      <c r="N897" s="117"/>
      <c r="R897" s="117"/>
      <c r="T897" s="117"/>
      <c r="V897" s="117"/>
      <c r="Z897" s="117"/>
      <c r="AA897" s="10"/>
      <c r="AB897" s="11"/>
      <c r="AC897" s="36"/>
      <c r="AD897" s="36"/>
      <c r="AE897" s="13"/>
      <c r="AF897" s="13"/>
      <c r="AG897" s="37"/>
      <c r="AH897" s="37"/>
      <c r="AI897" s="14"/>
      <c r="AJ897" s="14"/>
      <c r="AK897" s="14"/>
      <c r="BB897" s="24"/>
    </row>
    <row r="898">
      <c r="B898" s="24"/>
      <c r="E898" s="113"/>
      <c r="F898" s="266"/>
      <c r="G898" s="113"/>
      <c r="K898" s="36"/>
      <c r="L898" s="117"/>
      <c r="M898" s="128"/>
      <c r="N898" s="117"/>
      <c r="R898" s="117"/>
      <c r="T898" s="117"/>
      <c r="V898" s="117"/>
      <c r="Z898" s="117"/>
      <c r="AA898" s="10"/>
      <c r="AB898" s="11"/>
      <c r="AC898" s="36"/>
      <c r="AD898" s="36"/>
      <c r="AE898" s="13"/>
      <c r="AF898" s="13"/>
      <c r="AG898" s="37"/>
      <c r="AH898" s="37"/>
      <c r="AI898" s="14"/>
      <c r="AJ898" s="14"/>
      <c r="AK898" s="14"/>
      <c r="BB898" s="24"/>
    </row>
    <row r="899">
      <c r="B899" s="24"/>
      <c r="E899" s="113"/>
      <c r="F899" s="266"/>
      <c r="G899" s="113"/>
      <c r="K899" s="36"/>
      <c r="L899" s="117"/>
      <c r="M899" s="128"/>
      <c r="N899" s="117"/>
      <c r="R899" s="117"/>
      <c r="T899" s="117"/>
      <c r="V899" s="117"/>
      <c r="Z899" s="117"/>
      <c r="AA899" s="10"/>
      <c r="AB899" s="11"/>
      <c r="AC899" s="36"/>
      <c r="AD899" s="36"/>
      <c r="AE899" s="13"/>
      <c r="AF899" s="13"/>
      <c r="AG899" s="37"/>
      <c r="AH899" s="37"/>
      <c r="AI899" s="14"/>
      <c r="AJ899" s="14"/>
      <c r="AK899" s="14"/>
      <c r="BB899" s="24"/>
    </row>
    <row r="900">
      <c r="B900" s="24"/>
      <c r="E900" s="113"/>
      <c r="F900" s="266"/>
      <c r="G900" s="113"/>
      <c r="K900" s="36"/>
      <c r="L900" s="117"/>
      <c r="M900" s="128"/>
      <c r="N900" s="117"/>
      <c r="R900" s="117"/>
      <c r="T900" s="117"/>
      <c r="V900" s="117"/>
      <c r="Z900" s="117"/>
      <c r="AA900" s="10"/>
      <c r="AB900" s="11"/>
      <c r="AC900" s="36"/>
      <c r="AD900" s="36"/>
      <c r="AE900" s="13"/>
      <c r="AF900" s="13"/>
      <c r="AG900" s="37"/>
      <c r="AH900" s="37"/>
      <c r="AI900" s="14"/>
      <c r="AJ900" s="14"/>
      <c r="AK900" s="14"/>
      <c r="BB900" s="24"/>
    </row>
    <row r="901">
      <c r="B901" s="24"/>
      <c r="E901" s="113"/>
      <c r="F901" s="266"/>
      <c r="G901" s="113"/>
      <c r="K901" s="36"/>
      <c r="L901" s="117"/>
      <c r="M901" s="128"/>
      <c r="N901" s="117"/>
      <c r="R901" s="117"/>
      <c r="T901" s="117"/>
      <c r="V901" s="117"/>
      <c r="Z901" s="117"/>
      <c r="AA901" s="10"/>
      <c r="AB901" s="11"/>
      <c r="AC901" s="36"/>
      <c r="AD901" s="36"/>
      <c r="AE901" s="13"/>
      <c r="AF901" s="13"/>
      <c r="AG901" s="37"/>
      <c r="AH901" s="37"/>
      <c r="AI901" s="14"/>
      <c r="AJ901" s="14"/>
      <c r="AK901" s="14"/>
      <c r="BB901" s="24"/>
    </row>
    <row r="902">
      <c r="B902" s="24"/>
      <c r="E902" s="113"/>
      <c r="F902" s="266"/>
      <c r="G902" s="113"/>
      <c r="K902" s="36"/>
      <c r="L902" s="117"/>
      <c r="M902" s="128"/>
      <c r="N902" s="117"/>
      <c r="R902" s="117"/>
      <c r="T902" s="117"/>
      <c r="V902" s="117"/>
      <c r="Z902" s="117"/>
      <c r="AA902" s="10"/>
      <c r="AB902" s="11"/>
      <c r="AC902" s="36"/>
      <c r="AD902" s="36"/>
      <c r="AE902" s="13"/>
      <c r="AF902" s="13"/>
      <c r="AG902" s="37"/>
      <c r="AH902" s="37"/>
      <c r="AI902" s="14"/>
      <c r="AJ902" s="14"/>
      <c r="AK902" s="14"/>
      <c r="BB902" s="24"/>
    </row>
    <row r="903">
      <c r="B903" s="24"/>
      <c r="E903" s="113"/>
      <c r="F903" s="266"/>
      <c r="G903" s="113"/>
      <c r="K903" s="36"/>
      <c r="L903" s="117"/>
      <c r="M903" s="128"/>
      <c r="N903" s="117"/>
      <c r="R903" s="117"/>
      <c r="T903" s="117"/>
      <c r="V903" s="117"/>
      <c r="Z903" s="117"/>
      <c r="AA903" s="10"/>
      <c r="AB903" s="11"/>
      <c r="AC903" s="36"/>
      <c r="AD903" s="36"/>
      <c r="AE903" s="13"/>
      <c r="AF903" s="13"/>
      <c r="AG903" s="37"/>
      <c r="AH903" s="37"/>
      <c r="AI903" s="14"/>
      <c r="AJ903" s="14"/>
      <c r="AK903" s="14"/>
      <c r="BB903" s="24"/>
    </row>
    <row r="904">
      <c r="B904" s="24"/>
      <c r="E904" s="113"/>
      <c r="F904" s="266"/>
      <c r="G904" s="113"/>
      <c r="K904" s="36"/>
      <c r="L904" s="117"/>
      <c r="M904" s="128"/>
      <c r="N904" s="117"/>
      <c r="R904" s="117"/>
      <c r="T904" s="117"/>
      <c r="V904" s="117"/>
      <c r="Z904" s="117"/>
      <c r="AA904" s="10"/>
      <c r="AB904" s="11"/>
      <c r="AC904" s="36"/>
      <c r="AD904" s="36"/>
      <c r="AE904" s="13"/>
      <c r="AF904" s="13"/>
      <c r="AG904" s="37"/>
      <c r="AH904" s="37"/>
      <c r="AI904" s="14"/>
      <c r="AJ904" s="14"/>
      <c r="AK904" s="14"/>
      <c r="BB904" s="24"/>
    </row>
    <row r="905">
      <c r="B905" s="24"/>
      <c r="E905" s="113"/>
      <c r="F905" s="266"/>
      <c r="G905" s="113"/>
      <c r="K905" s="36"/>
      <c r="L905" s="117"/>
      <c r="M905" s="128"/>
      <c r="N905" s="117"/>
      <c r="R905" s="117"/>
      <c r="T905" s="117"/>
      <c r="V905" s="117"/>
      <c r="Z905" s="117"/>
      <c r="AA905" s="10"/>
      <c r="AB905" s="11"/>
      <c r="AC905" s="36"/>
      <c r="AD905" s="36"/>
      <c r="AE905" s="13"/>
      <c r="AF905" s="13"/>
      <c r="AG905" s="37"/>
      <c r="AH905" s="37"/>
      <c r="AI905" s="14"/>
      <c r="AJ905" s="14"/>
      <c r="AK905" s="14"/>
      <c r="BB905" s="24"/>
    </row>
    <row r="906">
      <c r="B906" s="24"/>
      <c r="E906" s="113"/>
      <c r="F906" s="266"/>
      <c r="G906" s="113"/>
      <c r="K906" s="36"/>
      <c r="L906" s="117"/>
      <c r="M906" s="128"/>
      <c r="N906" s="117"/>
      <c r="R906" s="117"/>
      <c r="T906" s="117"/>
      <c r="V906" s="117"/>
      <c r="Z906" s="117"/>
      <c r="AA906" s="10"/>
      <c r="AB906" s="11"/>
      <c r="AC906" s="36"/>
      <c r="AD906" s="36"/>
      <c r="AE906" s="13"/>
      <c r="AF906" s="13"/>
      <c r="AG906" s="37"/>
      <c r="AH906" s="37"/>
      <c r="AI906" s="14"/>
      <c r="AJ906" s="14"/>
      <c r="AK906" s="14"/>
      <c r="BB906" s="24"/>
    </row>
    <row r="907">
      <c r="B907" s="24"/>
      <c r="E907" s="113"/>
      <c r="F907" s="266"/>
      <c r="G907" s="113"/>
      <c r="K907" s="36"/>
      <c r="L907" s="117"/>
      <c r="M907" s="128"/>
      <c r="N907" s="117"/>
      <c r="R907" s="117"/>
      <c r="T907" s="117"/>
      <c r="V907" s="117"/>
      <c r="Z907" s="117"/>
      <c r="AA907" s="10"/>
      <c r="AB907" s="11"/>
      <c r="AC907" s="36"/>
      <c r="AD907" s="36"/>
      <c r="AE907" s="13"/>
      <c r="AF907" s="13"/>
      <c r="AG907" s="37"/>
      <c r="AH907" s="37"/>
      <c r="AI907" s="14"/>
      <c r="AJ907" s="14"/>
      <c r="AK907" s="14"/>
      <c r="BB907" s="24"/>
    </row>
    <row r="908">
      <c r="B908" s="24"/>
      <c r="E908" s="113"/>
      <c r="F908" s="266"/>
      <c r="G908" s="113"/>
      <c r="K908" s="36"/>
      <c r="L908" s="117"/>
      <c r="M908" s="128"/>
      <c r="N908" s="117"/>
      <c r="R908" s="117"/>
      <c r="T908" s="117"/>
      <c r="V908" s="117"/>
      <c r="Z908" s="117"/>
      <c r="AA908" s="10"/>
      <c r="AB908" s="11"/>
      <c r="AC908" s="36"/>
      <c r="AD908" s="36"/>
      <c r="AE908" s="13"/>
      <c r="AF908" s="13"/>
      <c r="AG908" s="37"/>
      <c r="AH908" s="37"/>
      <c r="AI908" s="14"/>
      <c r="AJ908" s="14"/>
      <c r="AK908" s="14"/>
      <c r="BB908" s="24"/>
    </row>
    <row r="909">
      <c r="B909" s="24"/>
      <c r="E909" s="113"/>
      <c r="F909" s="266"/>
      <c r="G909" s="113"/>
      <c r="K909" s="36"/>
      <c r="L909" s="117"/>
      <c r="M909" s="128"/>
      <c r="N909" s="117"/>
      <c r="R909" s="117"/>
      <c r="T909" s="117"/>
      <c r="V909" s="117"/>
      <c r="Z909" s="117"/>
      <c r="AA909" s="10"/>
      <c r="AB909" s="11"/>
      <c r="AC909" s="36"/>
      <c r="AD909" s="36"/>
      <c r="AE909" s="13"/>
      <c r="AF909" s="13"/>
      <c r="AG909" s="37"/>
      <c r="AH909" s="37"/>
      <c r="AI909" s="14"/>
      <c r="AJ909" s="14"/>
      <c r="AK909" s="14"/>
      <c r="BB909" s="24"/>
    </row>
    <row r="910">
      <c r="B910" s="24"/>
      <c r="E910" s="113"/>
      <c r="F910" s="266"/>
      <c r="G910" s="113"/>
      <c r="K910" s="36"/>
      <c r="L910" s="117"/>
      <c r="M910" s="128"/>
      <c r="N910" s="117"/>
      <c r="R910" s="117"/>
      <c r="T910" s="117"/>
      <c r="V910" s="117"/>
      <c r="Z910" s="117"/>
      <c r="AA910" s="10"/>
      <c r="AB910" s="11"/>
      <c r="AC910" s="36"/>
      <c r="AD910" s="36"/>
      <c r="AE910" s="13"/>
      <c r="AF910" s="13"/>
      <c r="AG910" s="37"/>
      <c r="AH910" s="37"/>
      <c r="AI910" s="14"/>
      <c r="AJ910" s="14"/>
      <c r="AK910" s="14"/>
      <c r="BB910" s="24"/>
    </row>
    <row r="911">
      <c r="B911" s="24"/>
      <c r="E911" s="113"/>
      <c r="F911" s="266"/>
      <c r="G911" s="113"/>
      <c r="K911" s="36"/>
      <c r="L911" s="117"/>
      <c r="M911" s="128"/>
      <c r="N911" s="117"/>
      <c r="R911" s="117"/>
      <c r="T911" s="117"/>
      <c r="V911" s="117"/>
      <c r="Z911" s="117"/>
      <c r="AA911" s="10"/>
      <c r="AB911" s="11"/>
      <c r="AC911" s="36"/>
      <c r="AD911" s="36"/>
      <c r="AE911" s="13"/>
      <c r="AF911" s="13"/>
      <c r="AG911" s="37"/>
      <c r="AH911" s="37"/>
      <c r="AI911" s="14"/>
      <c r="AJ911" s="14"/>
      <c r="AK911" s="14"/>
      <c r="BB911" s="24"/>
    </row>
    <row r="912">
      <c r="B912" s="24"/>
      <c r="E912" s="113"/>
      <c r="F912" s="266"/>
      <c r="G912" s="113"/>
      <c r="K912" s="36"/>
      <c r="L912" s="117"/>
      <c r="M912" s="128"/>
      <c r="N912" s="117"/>
      <c r="R912" s="117"/>
      <c r="T912" s="117"/>
      <c r="V912" s="117"/>
      <c r="Z912" s="117"/>
      <c r="AA912" s="10"/>
      <c r="AB912" s="11"/>
      <c r="AC912" s="36"/>
      <c r="AD912" s="36"/>
      <c r="AE912" s="13"/>
      <c r="AF912" s="13"/>
      <c r="AG912" s="37"/>
      <c r="AH912" s="37"/>
      <c r="AI912" s="14"/>
      <c r="AJ912" s="14"/>
      <c r="AK912" s="14"/>
      <c r="BB912" s="24"/>
    </row>
    <row r="913">
      <c r="B913" s="24"/>
      <c r="E913" s="113"/>
      <c r="F913" s="266"/>
      <c r="G913" s="113"/>
      <c r="K913" s="36"/>
      <c r="L913" s="117"/>
      <c r="M913" s="128"/>
      <c r="N913" s="117"/>
      <c r="R913" s="117"/>
      <c r="T913" s="117"/>
      <c r="V913" s="117"/>
      <c r="Z913" s="117"/>
      <c r="AA913" s="10"/>
      <c r="AB913" s="11"/>
      <c r="AC913" s="36"/>
      <c r="AD913" s="36"/>
      <c r="AE913" s="13"/>
      <c r="AF913" s="13"/>
      <c r="AG913" s="37"/>
      <c r="AH913" s="37"/>
      <c r="AI913" s="14"/>
      <c r="AJ913" s="14"/>
      <c r="AK913" s="14"/>
      <c r="BB913" s="24"/>
    </row>
    <row r="914">
      <c r="B914" s="24"/>
      <c r="E914" s="113"/>
      <c r="F914" s="266"/>
      <c r="G914" s="113"/>
      <c r="K914" s="36"/>
      <c r="L914" s="117"/>
      <c r="M914" s="128"/>
      <c r="N914" s="117"/>
      <c r="R914" s="117"/>
      <c r="T914" s="117"/>
      <c r="V914" s="117"/>
      <c r="Z914" s="117"/>
      <c r="AA914" s="10"/>
      <c r="AB914" s="11"/>
      <c r="AC914" s="36"/>
      <c r="AD914" s="36"/>
      <c r="AE914" s="13"/>
      <c r="AF914" s="13"/>
      <c r="AG914" s="37"/>
      <c r="AH914" s="37"/>
      <c r="AI914" s="14"/>
      <c r="AJ914" s="14"/>
      <c r="AK914" s="14"/>
      <c r="BB914" s="24"/>
    </row>
    <row r="915">
      <c r="B915" s="24"/>
      <c r="E915" s="113"/>
      <c r="F915" s="266"/>
      <c r="G915" s="113"/>
      <c r="K915" s="36"/>
      <c r="L915" s="117"/>
      <c r="M915" s="128"/>
      <c r="N915" s="117"/>
      <c r="R915" s="117"/>
      <c r="T915" s="117"/>
      <c r="V915" s="117"/>
      <c r="Z915" s="117"/>
      <c r="AA915" s="10"/>
      <c r="AB915" s="11"/>
      <c r="AC915" s="36"/>
      <c r="AD915" s="36"/>
      <c r="AE915" s="13"/>
      <c r="AF915" s="13"/>
      <c r="AG915" s="37"/>
      <c r="AH915" s="37"/>
      <c r="AI915" s="14"/>
      <c r="AJ915" s="14"/>
      <c r="AK915" s="14"/>
      <c r="BB915" s="24"/>
    </row>
    <row r="916">
      <c r="B916" s="24"/>
      <c r="E916" s="113"/>
      <c r="F916" s="266"/>
      <c r="G916" s="113"/>
      <c r="K916" s="36"/>
      <c r="L916" s="117"/>
      <c r="M916" s="128"/>
      <c r="N916" s="117"/>
      <c r="R916" s="117"/>
      <c r="T916" s="117"/>
      <c r="V916" s="117"/>
      <c r="Z916" s="117"/>
      <c r="AA916" s="10"/>
      <c r="AB916" s="11"/>
      <c r="AC916" s="36"/>
      <c r="AD916" s="36"/>
      <c r="AE916" s="13"/>
      <c r="AF916" s="13"/>
      <c r="AG916" s="37"/>
      <c r="AH916" s="37"/>
      <c r="AI916" s="14"/>
      <c r="AJ916" s="14"/>
      <c r="AK916" s="14"/>
      <c r="BB916" s="24"/>
    </row>
    <row r="917">
      <c r="B917" s="24"/>
      <c r="E917" s="113"/>
      <c r="F917" s="266"/>
      <c r="G917" s="113"/>
      <c r="K917" s="36"/>
      <c r="L917" s="117"/>
      <c r="M917" s="128"/>
      <c r="N917" s="117"/>
      <c r="R917" s="117"/>
      <c r="T917" s="117"/>
      <c r="V917" s="117"/>
      <c r="Z917" s="117"/>
      <c r="AA917" s="10"/>
      <c r="AB917" s="11"/>
      <c r="AC917" s="36"/>
      <c r="AD917" s="36"/>
      <c r="AE917" s="13"/>
      <c r="AF917" s="13"/>
      <c r="AG917" s="37"/>
      <c r="AH917" s="37"/>
      <c r="AI917" s="14"/>
      <c r="AJ917" s="14"/>
      <c r="AK917" s="14"/>
      <c r="BB917" s="24"/>
    </row>
    <row r="918">
      <c r="B918" s="24"/>
      <c r="E918" s="113"/>
      <c r="F918" s="266"/>
      <c r="G918" s="113"/>
      <c r="K918" s="36"/>
      <c r="L918" s="117"/>
      <c r="M918" s="128"/>
      <c r="N918" s="117"/>
      <c r="R918" s="117"/>
      <c r="T918" s="117"/>
      <c r="V918" s="117"/>
      <c r="Z918" s="117"/>
      <c r="AA918" s="10"/>
      <c r="AB918" s="11"/>
      <c r="AC918" s="36"/>
      <c r="AD918" s="36"/>
      <c r="AE918" s="13"/>
      <c r="AF918" s="13"/>
      <c r="AG918" s="37"/>
      <c r="AH918" s="37"/>
      <c r="AI918" s="14"/>
      <c r="AJ918" s="14"/>
      <c r="AK918" s="14"/>
      <c r="BB918" s="24"/>
    </row>
    <row r="919">
      <c r="B919" s="24"/>
      <c r="E919" s="113"/>
      <c r="F919" s="266"/>
      <c r="G919" s="113"/>
      <c r="K919" s="36"/>
      <c r="L919" s="117"/>
      <c r="M919" s="128"/>
      <c r="N919" s="117"/>
      <c r="R919" s="117"/>
      <c r="T919" s="117"/>
      <c r="V919" s="117"/>
      <c r="Z919" s="117"/>
      <c r="AA919" s="10"/>
      <c r="AB919" s="11"/>
      <c r="AC919" s="36"/>
      <c r="AD919" s="36"/>
      <c r="AE919" s="13"/>
      <c r="AF919" s="13"/>
      <c r="AG919" s="37"/>
      <c r="AH919" s="37"/>
      <c r="AI919" s="14"/>
      <c r="AJ919" s="14"/>
      <c r="AK919" s="14"/>
      <c r="BB919" s="24"/>
    </row>
    <row r="920">
      <c r="B920" s="24"/>
      <c r="E920" s="113"/>
      <c r="F920" s="266"/>
      <c r="G920" s="113"/>
      <c r="K920" s="36"/>
      <c r="L920" s="117"/>
      <c r="M920" s="128"/>
      <c r="N920" s="117"/>
      <c r="R920" s="117"/>
      <c r="T920" s="117"/>
      <c r="V920" s="117"/>
      <c r="Z920" s="117"/>
      <c r="AA920" s="10"/>
      <c r="AB920" s="11"/>
      <c r="AC920" s="36"/>
      <c r="AD920" s="36"/>
      <c r="AE920" s="13"/>
      <c r="AF920" s="13"/>
      <c r="AG920" s="37"/>
      <c r="AH920" s="37"/>
      <c r="AI920" s="14"/>
      <c r="AJ920" s="14"/>
      <c r="AK920" s="14"/>
      <c r="BB920" s="24"/>
    </row>
    <row r="921">
      <c r="B921" s="24"/>
      <c r="E921" s="113"/>
      <c r="F921" s="266"/>
      <c r="G921" s="113"/>
      <c r="K921" s="36"/>
      <c r="L921" s="117"/>
      <c r="M921" s="128"/>
      <c r="N921" s="117"/>
      <c r="R921" s="117"/>
      <c r="T921" s="117"/>
      <c r="V921" s="117"/>
      <c r="Z921" s="117"/>
      <c r="AA921" s="10"/>
      <c r="AB921" s="11"/>
      <c r="AC921" s="36"/>
      <c r="AD921" s="36"/>
      <c r="AE921" s="13"/>
      <c r="AF921" s="13"/>
      <c r="AG921" s="37"/>
      <c r="AH921" s="37"/>
      <c r="AI921" s="14"/>
      <c r="AJ921" s="14"/>
      <c r="AK921" s="14"/>
      <c r="BB921" s="24"/>
    </row>
    <row r="922">
      <c r="B922" s="24"/>
      <c r="E922" s="113"/>
      <c r="F922" s="266"/>
      <c r="G922" s="113"/>
      <c r="K922" s="36"/>
      <c r="L922" s="117"/>
      <c r="M922" s="128"/>
      <c r="N922" s="117"/>
      <c r="R922" s="117"/>
      <c r="T922" s="117"/>
      <c r="V922" s="117"/>
      <c r="Z922" s="117"/>
      <c r="AA922" s="10"/>
      <c r="AB922" s="11"/>
      <c r="AC922" s="36"/>
      <c r="AD922" s="36"/>
      <c r="AE922" s="13"/>
      <c r="AF922" s="13"/>
      <c r="AG922" s="37"/>
      <c r="AH922" s="37"/>
      <c r="AI922" s="14"/>
      <c r="AJ922" s="14"/>
      <c r="AK922" s="14"/>
      <c r="BB922" s="24"/>
    </row>
    <row r="923">
      <c r="B923" s="24"/>
      <c r="E923" s="113"/>
      <c r="F923" s="266"/>
      <c r="G923" s="113"/>
      <c r="K923" s="36"/>
      <c r="L923" s="117"/>
      <c r="M923" s="128"/>
      <c r="N923" s="117"/>
      <c r="R923" s="117"/>
      <c r="T923" s="117"/>
      <c r="V923" s="117"/>
      <c r="Z923" s="117"/>
      <c r="AA923" s="10"/>
      <c r="AB923" s="11"/>
      <c r="AC923" s="36"/>
      <c r="AD923" s="36"/>
      <c r="AE923" s="13"/>
      <c r="AF923" s="13"/>
      <c r="AG923" s="37"/>
      <c r="AH923" s="37"/>
      <c r="AI923" s="14"/>
      <c r="AJ923" s="14"/>
      <c r="AK923" s="14"/>
      <c r="BB923" s="24"/>
    </row>
    <row r="924">
      <c r="B924" s="24"/>
      <c r="E924" s="113"/>
      <c r="F924" s="266"/>
      <c r="G924" s="113"/>
      <c r="K924" s="36"/>
      <c r="L924" s="117"/>
      <c r="M924" s="128"/>
      <c r="N924" s="117"/>
      <c r="R924" s="117"/>
      <c r="T924" s="117"/>
      <c r="V924" s="117"/>
      <c r="Z924" s="117"/>
      <c r="AA924" s="10"/>
      <c r="AB924" s="11"/>
      <c r="AC924" s="36"/>
      <c r="AD924" s="36"/>
      <c r="AE924" s="13"/>
      <c r="AF924" s="13"/>
      <c r="AG924" s="37"/>
      <c r="AH924" s="37"/>
      <c r="AI924" s="14"/>
      <c r="AJ924" s="14"/>
      <c r="AK924" s="14"/>
      <c r="BB924" s="24"/>
    </row>
    <row r="925">
      <c r="B925" s="24"/>
      <c r="E925" s="113"/>
      <c r="F925" s="266"/>
      <c r="G925" s="113"/>
      <c r="K925" s="36"/>
      <c r="L925" s="117"/>
      <c r="M925" s="128"/>
      <c r="N925" s="117"/>
      <c r="R925" s="117"/>
      <c r="T925" s="117"/>
      <c r="V925" s="117"/>
      <c r="Z925" s="117"/>
      <c r="AA925" s="10"/>
      <c r="AB925" s="11"/>
      <c r="AC925" s="36"/>
      <c r="AD925" s="36"/>
      <c r="AE925" s="13"/>
      <c r="AF925" s="13"/>
      <c r="AG925" s="37"/>
      <c r="AH925" s="37"/>
      <c r="AI925" s="14"/>
      <c r="AJ925" s="14"/>
      <c r="AK925" s="14"/>
      <c r="BB925" s="24"/>
    </row>
    <row r="926">
      <c r="B926" s="24"/>
      <c r="E926" s="113"/>
      <c r="F926" s="266"/>
      <c r="G926" s="113"/>
      <c r="K926" s="36"/>
      <c r="L926" s="117"/>
      <c r="M926" s="128"/>
      <c r="N926" s="117"/>
      <c r="R926" s="117"/>
      <c r="T926" s="117"/>
      <c r="V926" s="117"/>
      <c r="Z926" s="117"/>
      <c r="AA926" s="10"/>
      <c r="AB926" s="11"/>
      <c r="AC926" s="36"/>
      <c r="AD926" s="36"/>
      <c r="AE926" s="13"/>
      <c r="AF926" s="13"/>
      <c r="AG926" s="37"/>
      <c r="AH926" s="37"/>
      <c r="AI926" s="14"/>
      <c r="AJ926" s="14"/>
      <c r="AK926" s="14"/>
      <c r="BB926" s="24"/>
    </row>
    <row r="927">
      <c r="B927" s="24"/>
      <c r="E927" s="113"/>
      <c r="F927" s="266"/>
      <c r="G927" s="113"/>
      <c r="K927" s="36"/>
      <c r="L927" s="117"/>
      <c r="M927" s="128"/>
      <c r="N927" s="117"/>
      <c r="R927" s="117"/>
      <c r="T927" s="117"/>
      <c r="V927" s="117"/>
      <c r="Z927" s="117"/>
      <c r="AA927" s="10"/>
      <c r="AB927" s="11"/>
      <c r="AC927" s="36"/>
      <c r="AD927" s="36"/>
      <c r="AE927" s="13"/>
      <c r="AF927" s="13"/>
      <c r="AG927" s="37"/>
      <c r="AH927" s="37"/>
      <c r="AI927" s="14"/>
      <c r="AJ927" s="14"/>
      <c r="AK927" s="14"/>
      <c r="BB927" s="24"/>
    </row>
    <row r="928">
      <c r="B928" s="24"/>
      <c r="E928" s="113"/>
      <c r="F928" s="266"/>
      <c r="G928" s="113"/>
      <c r="K928" s="36"/>
      <c r="L928" s="117"/>
      <c r="M928" s="128"/>
      <c r="N928" s="117"/>
      <c r="R928" s="117"/>
      <c r="T928" s="117"/>
      <c r="V928" s="117"/>
      <c r="Z928" s="117"/>
      <c r="AA928" s="10"/>
      <c r="AB928" s="11"/>
      <c r="AC928" s="36"/>
      <c r="AD928" s="36"/>
      <c r="AE928" s="13"/>
      <c r="AF928" s="13"/>
      <c r="AG928" s="37"/>
      <c r="AH928" s="37"/>
      <c r="AI928" s="14"/>
      <c r="AJ928" s="14"/>
      <c r="AK928" s="14"/>
      <c r="BB928" s="24"/>
    </row>
    <row r="929">
      <c r="B929" s="24"/>
      <c r="E929" s="113"/>
      <c r="F929" s="266"/>
      <c r="G929" s="113"/>
      <c r="K929" s="36"/>
      <c r="L929" s="117"/>
      <c r="M929" s="128"/>
      <c r="N929" s="117"/>
      <c r="R929" s="117"/>
      <c r="T929" s="117"/>
      <c r="V929" s="117"/>
      <c r="Z929" s="117"/>
      <c r="AA929" s="10"/>
      <c r="AB929" s="11"/>
      <c r="AC929" s="36"/>
      <c r="AD929" s="36"/>
      <c r="AE929" s="13"/>
      <c r="AF929" s="13"/>
      <c r="AG929" s="37"/>
      <c r="AH929" s="37"/>
      <c r="AI929" s="14"/>
      <c r="AJ929" s="14"/>
      <c r="AK929" s="14"/>
      <c r="BB929" s="24"/>
    </row>
    <row r="930">
      <c r="B930" s="24"/>
      <c r="E930" s="113"/>
      <c r="F930" s="266"/>
      <c r="G930" s="113"/>
      <c r="K930" s="36"/>
      <c r="L930" s="117"/>
      <c r="M930" s="128"/>
      <c r="N930" s="117"/>
      <c r="R930" s="117"/>
      <c r="T930" s="117"/>
      <c r="V930" s="117"/>
      <c r="Z930" s="117"/>
      <c r="AA930" s="10"/>
      <c r="AB930" s="11"/>
      <c r="AC930" s="36"/>
      <c r="AD930" s="36"/>
      <c r="AE930" s="13"/>
      <c r="AF930" s="13"/>
      <c r="AG930" s="37"/>
      <c r="AH930" s="37"/>
      <c r="AI930" s="14"/>
      <c r="AJ930" s="14"/>
      <c r="AK930" s="14"/>
      <c r="BB930" s="24"/>
    </row>
    <row r="931">
      <c r="B931" s="24"/>
      <c r="E931" s="113"/>
      <c r="F931" s="266"/>
      <c r="G931" s="113"/>
      <c r="K931" s="36"/>
      <c r="L931" s="117"/>
      <c r="M931" s="128"/>
      <c r="N931" s="117"/>
      <c r="R931" s="117"/>
      <c r="T931" s="117"/>
      <c r="V931" s="117"/>
      <c r="Z931" s="117"/>
      <c r="AA931" s="10"/>
      <c r="AB931" s="11"/>
      <c r="AC931" s="36"/>
      <c r="AD931" s="36"/>
      <c r="AE931" s="13"/>
      <c r="AF931" s="13"/>
      <c r="AG931" s="37"/>
      <c r="AH931" s="37"/>
      <c r="AI931" s="14"/>
      <c r="AJ931" s="14"/>
      <c r="AK931" s="14"/>
      <c r="BB931" s="24"/>
    </row>
    <row r="932">
      <c r="B932" s="24"/>
      <c r="E932" s="113"/>
      <c r="F932" s="266"/>
      <c r="G932" s="113"/>
      <c r="K932" s="36"/>
      <c r="L932" s="117"/>
      <c r="M932" s="128"/>
      <c r="N932" s="117"/>
      <c r="R932" s="117"/>
      <c r="T932" s="117"/>
      <c r="V932" s="117"/>
      <c r="Z932" s="117"/>
      <c r="AA932" s="10"/>
      <c r="AB932" s="11"/>
      <c r="AC932" s="36"/>
      <c r="AD932" s="36"/>
      <c r="AE932" s="13"/>
      <c r="AF932" s="13"/>
      <c r="AG932" s="37"/>
      <c r="AH932" s="37"/>
      <c r="AI932" s="14"/>
      <c r="AJ932" s="14"/>
      <c r="AK932" s="14"/>
      <c r="BB932" s="24"/>
    </row>
    <row r="933">
      <c r="B933" s="24"/>
      <c r="E933" s="113"/>
      <c r="F933" s="266"/>
      <c r="G933" s="113"/>
      <c r="K933" s="36"/>
      <c r="L933" s="117"/>
      <c r="M933" s="128"/>
      <c r="N933" s="117"/>
      <c r="R933" s="117"/>
      <c r="T933" s="117"/>
      <c r="V933" s="117"/>
      <c r="Z933" s="117"/>
      <c r="AA933" s="10"/>
      <c r="AB933" s="11"/>
      <c r="AC933" s="36"/>
      <c r="AD933" s="36"/>
      <c r="AE933" s="13"/>
      <c r="AF933" s="13"/>
      <c r="AG933" s="37"/>
      <c r="AH933" s="37"/>
      <c r="AI933" s="14"/>
      <c r="AJ933" s="14"/>
      <c r="AK933" s="14"/>
      <c r="BB933" s="24"/>
    </row>
    <row r="934">
      <c r="B934" s="24"/>
      <c r="E934" s="113"/>
      <c r="F934" s="266"/>
      <c r="G934" s="113"/>
      <c r="K934" s="36"/>
      <c r="L934" s="117"/>
      <c r="M934" s="128"/>
      <c r="N934" s="117"/>
      <c r="R934" s="117"/>
      <c r="T934" s="117"/>
      <c r="V934" s="117"/>
      <c r="Z934" s="117"/>
      <c r="AA934" s="10"/>
      <c r="AB934" s="11"/>
      <c r="AC934" s="36"/>
      <c r="AD934" s="36"/>
      <c r="AE934" s="13"/>
      <c r="AF934" s="13"/>
      <c r="AG934" s="37"/>
      <c r="AH934" s="37"/>
      <c r="AI934" s="14"/>
      <c r="AJ934" s="14"/>
      <c r="AK934" s="14"/>
      <c r="BB934" s="24"/>
    </row>
    <row r="935">
      <c r="B935" s="24"/>
      <c r="E935" s="113"/>
      <c r="F935" s="266"/>
      <c r="G935" s="113"/>
      <c r="K935" s="36"/>
      <c r="L935" s="117"/>
      <c r="M935" s="128"/>
      <c r="N935" s="117"/>
      <c r="R935" s="117"/>
      <c r="T935" s="117"/>
      <c r="V935" s="117"/>
      <c r="Z935" s="117"/>
      <c r="AA935" s="10"/>
      <c r="AB935" s="11"/>
      <c r="AC935" s="36"/>
      <c r="AD935" s="36"/>
      <c r="AE935" s="13"/>
      <c r="AF935" s="13"/>
      <c r="AG935" s="37"/>
      <c r="AH935" s="37"/>
      <c r="AI935" s="14"/>
      <c r="AJ935" s="14"/>
      <c r="AK935" s="14"/>
      <c r="BB935" s="24"/>
    </row>
    <row r="936">
      <c r="B936" s="24"/>
      <c r="E936" s="113"/>
      <c r="F936" s="266"/>
      <c r="G936" s="113"/>
      <c r="K936" s="36"/>
      <c r="L936" s="117"/>
      <c r="M936" s="128"/>
      <c r="N936" s="117"/>
      <c r="R936" s="117"/>
      <c r="T936" s="117"/>
      <c r="V936" s="117"/>
      <c r="Z936" s="117"/>
      <c r="AA936" s="10"/>
      <c r="AB936" s="11"/>
      <c r="AC936" s="36"/>
      <c r="AD936" s="36"/>
      <c r="AE936" s="13"/>
      <c r="AF936" s="13"/>
      <c r="AG936" s="37"/>
      <c r="AH936" s="37"/>
      <c r="AI936" s="14"/>
      <c r="AJ936" s="14"/>
      <c r="AK936" s="14"/>
      <c r="BB936" s="24"/>
    </row>
    <row r="937">
      <c r="B937" s="24"/>
      <c r="E937" s="113"/>
      <c r="F937" s="266"/>
      <c r="G937" s="113"/>
      <c r="K937" s="36"/>
      <c r="L937" s="117"/>
      <c r="M937" s="128"/>
      <c r="N937" s="117"/>
      <c r="R937" s="117"/>
      <c r="T937" s="117"/>
      <c r="V937" s="117"/>
      <c r="Z937" s="117"/>
      <c r="AA937" s="10"/>
      <c r="AB937" s="11"/>
      <c r="AC937" s="36"/>
      <c r="AD937" s="36"/>
      <c r="AE937" s="13"/>
      <c r="AF937" s="13"/>
      <c r="AG937" s="37"/>
      <c r="AH937" s="37"/>
      <c r="AI937" s="14"/>
      <c r="AJ937" s="14"/>
      <c r="AK937" s="14"/>
      <c r="BB937" s="24"/>
    </row>
    <row r="938">
      <c r="B938" s="24"/>
      <c r="E938" s="113"/>
      <c r="F938" s="266"/>
      <c r="G938" s="113"/>
      <c r="K938" s="36"/>
      <c r="L938" s="117"/>
      <c r="M938" s="128"/>
      <c r="N938" s="117"/>
      <c r="R938" s="117"/>
      <c r="T938" s="117"/>
      <c r="V938" s="117"/>
      <c r="Z938" s="117"/>
      <c r="AA938" s="10"/>
      <c r="AB938" s="11"/>
      <c r="AC938" s="36"/>
      <c r="AD938" s="36"/>
      <c r="AE938" s="13"/>
      <c r="AF938" s="13"/>
      <c r="AG938" s="37"/>
      <c r="AH938" s="37"/>
      <c r="AI938" s="14"/>
      <c r="AJ938" s="14"/>
      <c r="AK938" s="14"/>
      <c r="BB938" s="24"/>
    </row>
    <row r="939">
      <c r="B939" s="24"/>
      <c r="E939" s="113"/>
      <c r="F939" s="266"/>
      <c r="G939" s="113"/>
      <c r="K939" s="36"/>
      <c r="L939" s="117"/>
      <c r="M939" s="128"/>
      <c r="N939" s="117"/>
      <c r="R939" s="117"/>
      <c r="T939" s="117"/>
      <c r="V939" s="117"/>
      <c r="Z939" s="117"/>
      <c r="AA939" s="10"/>
      <c r="AB939" s="11"/>
      <c r="AC939" s="36"/>
      <c r="AD939" s="36"/>
      <c r="AE939" s="13"/>
      <c r="AF939" s="13"/>
      <c r="AG939" s="37"/>
      <c r="AH939" s="37"/>
      <c r="AI939" s="14"/>
      <c r="AJ939" s="14"/>
      <c r="AK939" s="14"/>
      <c r="BB939" s="24"/>
    </row>
    <row r="940">
      <c r="B940" s="24"/>
      <c r="E940" s="113"/>
      <c r="F940" s="266"/>
      <c r="G940" s="113"/>
      <c r="K940" s="36"/>
      <c r="L940" s="117"/>
      <c r="M940" s="128"/>
      <c r="N940" s="117"/>
      <c r="R940" s="117"/>
      <c r="T940" s="117"/>
      <c r="V940" s="117"/>
      <c r="Z940" s="117"/>
      <c r="AA940" s="10"/>
      <c r="AB940" s="11"/>
      <c r="AC940" s="36"/>
      <c r="AD940" s="36"/>
      <c r="AE940" s="13"/>
      <c r="AF940" s="13"/>
      <c r="AG940" s="37"/>
      <c r="AH940" s="37"/>
      <c r="AI940" s="14"/>
      <c r="AJ940" s="14"/>
      <c r="AK940" s="14"/>
      <c r="BB940" s="24"/>
    </row>
    <row r="941">
      <c r="B941" s="24"/>
      <c r="E941" s="113"/>
      <c r="F941" s="266"/>
      <c r="G941" s="113"/>
      <c r="K941" s="36"/>
      <c r="L941" s="117"/>
      <c r="M941" s="128"/>
      <c r="N941" s="117"/>
      <c r="R941" s="117"/>
      <c r="T941" s="117"/>
      <c r="V941" s="117"/>
      <c r="Z941" s="117"/>
      <c r="AA941" s="10"/>
      <c r="AB941" s="11"/>
      <c r="AC941" s="36"/>
      <c r="AD941" s="36"/>
      <c r="AE941" s="13"/>
      <c r="AF941" s="13"/>
      <c r="AG941" s="37"/>
      <c r="AH941" s="37"/>
      <c r="AI941" s="14"/>
      <c r="AJ941" s="14"/>
      <c r="AK941" s="14"/>
      <c r="BB941" s="24"/>
    </row>
    <row r="942">
      <c r="B942" s="24"/>
      <c r="E942" s="113"/>
      <c r="F942" s="266"/>
      <c r="G942" s="113"/>
      <c r="K942" s="36"/>
      <c r="L942" s="117"/>
      <c r="M942" s="128"/>
      <c r="N942" s="117"/>
      <c r="R942" s="117"/>
      <c r="T942" s="117"/>
      <c r="V942" s="117"/>
      <c r="Z942" s="117"/>
      <c r="AA942" s="10"/>
      <c r="AB942" s="11"/>
      <c r="AC942" s="36"/>
      <c r="AD942" s="36"/>
      <c r="AE942" s="13"/>
      <c r="AF942" s="13"/>
      <c r="AG942" s="37"/>
      <c r="AH942" s="37"/>
      <c r="AI942" s="14"/>
      <c r="AJ942" s="14"/>
      <c r="AK942" s="14"/>
      <c r="BB942" s="24"/>
    </row>
    <row r="943">
      <c r="B943" s="24"/>
      <c r="E943" s="113"/>
      <c r="F943" s="266"/>
      <c r="G943" s="113"/>
      <c r="K943" s="36"/>
      <c r="L943" s="117"/>
      <c r="M943" s="128"/>
      <c r="N943" s="117"/>
      <c r="R943" s="117"/>
      <c r="T943" s="117"/>
      <c r="V943" s="117"/>
      <c r="Z943" s="117"/>
      <c r="AA943" s="10"/>
      <c r="AB943" s="11"/>
      <c r="AC943" s="36"/>
      <c r="AD943" s="36"/>
      <c r="AE943" s="13"/>
      <c r="AF943" s="13"/>
      <c r="AG943" s="37"/>
      <c r="AH943" s="37"/>
      <c r="AI943" s="14"/>
      <c r="AJ943" s="14"/>
      <c r="AK943" s="14"/>
      <c r="BB943" s="24"/>
    </row>
    <row r="944">
      <c r="B944" s="24"/>
      <c r="E944" s="113"/>
      <c r="F944" s="266"/>
      <c r="G944" s="113"/>
      <c r="K944" s="36"/>
      <c r="L944" s="117"/>
      <c r="M944" s="128"/>
      <c r="N944" s="117"/>
      <c r="R944" s="117"/>
      <c r="T944" s="117"/>
      <c r="V944" s="117"/>
      <c r="Z944" s="117"/>
      <c r="AA944" s="10"/>
      <c r="AB944" s="11"/>
      <c r="AC944" s="36"/>
      <c r="AD944" s="36"/>
      <c r="AE944" s="13"/>
      <c r="AF944" s="13"/>
      <c r="AG944" s="37"/>
      <c r="AH944" s="37"/>
      <c r="AI944" s="14"/>
      <c r="AJ944" s="14"/>
      <c r="AK944" s="14"/>
      <c r="BB944" s="24"/>
    </row>
    <row r="945">
      <c r="B945" s="24"/>
      <c r="E945" s="113"/>
      <c r="F945" s="266"/>
      <c r="G945" s="113"/>
      <c r="K945" s="36"/>
      <c r="L945" s="117"/>
      <c r="M945" s="128"/>
      <c r="N945" s="117"/>
      <c r="R945" s="117"/>
      <c r="T945" s="117"/>
      <c r="V945" s="117"/>
      <c r="Z945" s="117"/>
      <c r="AA945" s="10"/>
      <c r="AB945" s="11"/>
      <c r="AC945" s="36"/>
      <c r="AD945" s="36"/>
      <c r="AE945" s="13"/>
      <c r="AF945" s="13"/>
      <c r="AG945" s="37"/>
      <c r="AH945" s="37"/>
      <c r="AI945" s="14"/>
      <c r="AJ945" s="14"/>
      <c r="AK945" s="14"/>
      <c r="BB945" s="24"/>
    </row>
    <row r="946">
      <c r="B946" s="24"/>
      <c r="E946" s="113"/>
      <c r="F946" s="266"/>
      <c r="G946" s="113"/>
      <c r="K946" s="36"/>
      <c r="L946" s="117"/>
      <c r="M946" s="128"/>
      <c r="N946" s="117"/>
      <c r="R946" s="117"/>
      <c r="T946" s="117"/>
      <c r="V946" s="117"/>
      <c r="Z946" s="117"/>
      <c r="AA946" s="10"/>
      <c r="AB946" s="11"/>
      <c r="AC946" s="36"/>
      <c r="AD946" s="36"/>
      <c r="AE946" s="13"/>
      <c r="AF946" s="13"/>
      <c r="AG946" s="37"/>
      <c r="AH946" s="37"/>
      <c r="AI946" s="14"/>
      <c r="AJ946" s="14"/>
      <c r="AK946" s="14"/>
      <c r="BB946" s="24"/>
    </row>
    <row r="947">
      <c r="B947" s="24"/>
      <c r="E947" s="113"/>
      <c r="F947" s="266"/>
      <c r="G947" s="113"/>
      <c r="K947" s="36"/>
      <c r="L947" s="117"/>
      <c r="M947" s="128"/>
      <c r="N947" s="117"/>
      <c r="R947" s="117"/>
      <c r="T947" s="117"/>
      <c r="V947" s="117"/>
      <c r="Z947" s="117"/>
      <c r="AA947" s="10"/>
      <c r="AB947" s="11"/>
      <c r="AC947" s="36"/>
      <c r="AD947" s="36"/>
      <c r="AE947" s="13"/>
      <c r="AF947" s="13"/>
      <c r="AG947" s="37"/>
      <c r="AH947" s="37"/>
      <c r="AI947" s="14"/>
      <c r="AJ947" s="14"/>
      <c r="AK947" s="14"/>
      <c r="BB947" s="24"/>
    </row>
    <row r="948">
      <c r="B948" s="24"/>
      <c r="E948" s="113"/>
      <c r="F948" s="266"/>
      <c r="G948" s="113"/>
      <c r="K948" s="36"/>
      <c r="L948" s="117"/>
      <c r="M948" s="128"/>
      <c r="N948" s="117"/>
      <c r="R948" s="117"/>
      <c r="T948" s="117"/>
      <c r="V948" s="117"/>
      <c r="Z948" s="117"/>
      <c r="AA948" s="10"/>
      <c r="AB948" s="11"/>
      <c r="AC948" s="36"/>
      <c r="AD948" s="36"/>
      <c r="AE948" s="13"/>
      <c r="AF948" s="13"/>
      <c r="AG948" s="37"/>
      <c r="AH948" s="37"/>
      <c r="AI948" s="14"/>
      <c r="AJ948" s="14"/>
      <c r="AK948" s="14"/>
      <c r="BB948" s="24"/>
    </row>
    <row r="949">
      <c r="B949" s="24"/>
      <c r="E949" s="113"/>
      <c r="F949" s="266"/>
      <c r="G949" s="113"/>
      <c r="K949" s="36"/>
      <c r="L949" s="117"/>
      <c r="M949" s="128"/>
      <c r="N949" s="117"/>
      <c r="R949" s="117"/>
      <c r="T949" s="117"/>
      <c r="V949" s="117"/>
      <c r="Z949" s="117"/>
      <c r="AA949" s="10"/>
      <c r="AB949" s="11"/>
      <c r="AC949" s="36"/>
      <c r="AD949" s="36"/>
      <c r="AE949" s="13"/>
      <c r="AF949" s="13"/>
      <c r="AG949" s="37"/>
      <c r="AH949" s="37"/>
      <c r="AI949" s="14"/>
      <c r="AJ949" s="14"/>
      <c r="AK949" s="14"/>
      <c r="BB949" s="24"/>
    </row>
    <row r="950">
      <c r="B950" s="24"/>
      <c r="E950" s="113"/>
      <c r="F950" s="266"/>
      <c r="G950" s="113"/>
      <c r="K950" s="36"/>
      <c r="L950" s="117"/>
      <c r="M950" s="128"/>
      <c r="N950" s="117"/>
      <c r="R950" s="117"/>
      <c r="T950" s="117"/>
      <c r="V950" s="117"/>
      <c r="Z950" s="117"/>
      <c r="AA950" s="10"/>
      <c r="AB950" s="11"/>
      <c r="AC950" s="36"/>
      <c r="AD950" s="36"/>
      <c r="AE950" s="13"/>
      <c r="AF950" s="13"/>
      <c r="AG950" s="37"/>
      <c r="AH950" s="37"/>
      <c r="AI950" s="14"/>
      <c r="AJ950" s="14"/>
      <c r="AK950" s="14"/>
      <c r="BB950" s="24"/>
    </row>
    <row r="951">
      <c r="B951" s="24"/>
      <c r="E951" s="113"/>
      <c r="F951" s="266"/>
      <c r="G951" s="113"/>
      <c r="K951" s="36"/>
      <c r="L951" s="117"/>
      <c r="M951" s="128"/>
      <c r="N951" s="117"/>
      <c r="R951" s="117"/>
      <c r="T951" s="117"/>
      <c r="V951" s="117"/>
      <c r="Z951" s="117"/>
      <c r="AA951" s="10"/>
      <c r="AB951" s="11"/>
      <c r="AC951" s="36"/>
      <c r="AD951" s="36"/>
      <c r="AE951" s="13"/>
      <c r="AF951" s="13"/>
      <c r="AG951" s="37"/>
      <c r="AH951" s="37"/>
      <c r="AI951" s="14"/>
      <c r="AJ951" s="14"/>
      <c r="AK951" s="14"/>
      <c r="BB951" s="24"/>
    </row>
    <row r="952">
      <c r="B952" s="24"/>
      <c r="E952" s="113"/>
      <c r="F952" s="266"/>
      <c r="G952" s="113"/>
      <c r="K952" s="36"/>
      <c r="L952" s="117"/>
      <c r="M952" s="128"/>
      <c r="N952" s="117"/>
      <c r="R952" s="117"/>
      <c r="T952" s="117"/>
      <c r="V952" s="117"/>
      <c r="Z952" s="117"/>
      <c r="AA952" s="10"/>
      <c r="AB952" s="11"/>
      <c r="AC952" s="36"/>
      <c r="AD952" s="36"/>
      <c r="AE952" s="13"/>
      <c r="AF952" s="13"/>
      <c r="AG952" s="37"/>
      <c r="AH952" s="37"/>
      <c r="AI952" s="14"/>
      <c r="AJ952" s="14"/>
      <c r="AK952" s="14"/>
      <c r="BB952" s="24"/>
    </row>
    <row r="953">
      <c r="B953" s="24"/>
      <c r="E953" s="113"/>
      <c r="F953" s="266"/>
      <c r="G953" s="113"/>
      <c r="K953" s="36"/>
      <c r="L953" s="117"/>
      <c r="M953" s="128"/>
      <c r="N953" s="117"/>
      <c r="R953" s="117"/>
      <c r="T953" s="117"/>
      <c r="V953" s="117"/>
      <c r="Z953" s="117"/>
      <c r="AA953" s="10"/>
      <c r="AB953" s="11"/>
      <c r="AC953" s="36"/>
      <c r="AD953" s="36"/>
      <c r="AE953" s="13"/>
      <c r="AF953" s="13"/>
      <c r="AG953" s="37"/>
      <c r="AH953" s="37"/>
      <c r="AI953" s="14"/>
      <c r="AJ953" s="14"/>
      <c r="AK953" s="14"/>
      <c r="BB953" s="24"/>
    </row>
    <row r="954">
      <c r="B954" s="24"/>
      <c r="E954" s="113"/>
      <c r="F954" s="266"/>
      <c r="G954" s="113"/>
      <c r="K954" s="36"/>
      <c r="L954" s="117"/>
      <c r="M954" s="128"/>
      <c r="N954" s="117"/>
      <c r="R954" s="117"/>
      <c r="T954" s="117"/>
      <c r="V954" s="117"/>
      <c r="Z954" s="117"/>
      <c r="AA954" s="10"/>
      <c r="AB954" s="11"/>
      <c r="AC954" s="36"/>
      <c r="AD954" s="36"/>
      <c r="AE954" s="13"/>
      <c r="AF954" s="13"/>
      <c r="AG954" s="37"/>
      <c r="AH954" s="37"/>
      <c r="AI954" s="14"/>
      <c r="AJ954" s="14"/>
      <c r="AK954" s="14"/>
      <c r="BB954" s="24"/>
    </row>
    <row r="955">
      <c r="B955" s="24"/>
      <c r="E955" s="113"/>
      <c r="F955" s="266"/>
      <c r="G955" s="113"/>
      <c r="K955" s="36"/>
      <c r="L955" s="117"/>
      <c r="M955" s="128"/>
      <c r="N955" s="117"/>
      <c r="R955" s="117"/>
      <c r="T955" s="117"/>
      <c r="V955" s="117"/>
      <c r="Z955" s="117"/>
      <c r="AA955" s="10"/>
      <c r="AB955" s="11"/>
      <c r="AC955" s="36"/>
      <c r="AD955" s="36"/>
      <c r="AE955" s="13"/>
      <c r="AF955" s="13"/>
      <c r="AG955" s="37"/>
      <c r="AH955" s="37"/>
      <c r="AI955" s="14"/>
      <c r="AJ955" s="14"/>
      <c r="AK955" s="14"/>
      <c r="BB955" s="24"/>
    </row>
    <row r="956">
      <c r="B956" s="24"/>
      <c r="E956" s="113"/>
      <c r="F956" s="266"/>
      <c r="G956" s="113"/>
      <c r="K956" s="36"/>
      <c r="L956" s="117"/>
      <c r="M956" s="128"/>
      <c r="N956" s="117"/>
      <c r="R956" s="117"/>
      <c r="T956" s="117"/>
      <c r="V956" s="117"/>
      <c r="Z956" s="117"/>
      <c r="AA956" s="10"/>
      <c r="AB956" s="11"/>
      <c r="AC956" s="36"/>
      <c r="AD956" s="36"/>
      <c r="AE956" s="13"/>
      <c r="AF956" s="13"/>
      <c r="AG956" s="37"/>
      <c r="AH956" s="37"/>
      <c r="AI956" s="14"/>
      <c r="AJ956" s="14"/>
      <c r="AK956" s="14"/>
      <c r="BB956" s="24"/>
    </row>
    <row r="957">
      <c r="B957" s="24"/>
      <c r="E957" s="113"/>
      <c r="F957" s="266"/>
      <c r="G957" s="113"/>
      <c r="K957" s="36"/>
      <c r="L957" s="117"/>
      <c r="M957" s="128"/>
      <c r="N957" s="117"/>
      <c r="R957" s="117"/>
      <c r="T957" s="117"/>
      <c r="V957" s="117"/>
      <c r="Z957" s="117"/>
      <c r="AA957" s="10"/>
      <c r="AB957" s="11"/>
      <c r="AC957" s="36"/>
      <c r="AD957" s="36"/>
      <c r="AE957" s="13"/>
      <c r="AF957" s="13"/>
      <c r="AG957" s="37"/>
      <c r="AH957" s="37"/>
      <c r="AI957" s="14"/>
      <c r="AJ957" s="14"/>
      <c r="AK957" s="14"/>
      <c r="BB957" s="24"/>
    </row>
    <row r="958">
      <c r="B958" s="24"/>
      <c r="E958" s="113"/>
      <c r="F958" s="266"/>
      <c r="G958" s="113"/>
      <c r="K958" s="36"/>
      <c r="L958" s="117"/>
      <c r="M958" s="128"/>
      <c r="N958" s="117"/>
      <c r="R958" s="117"/>
      <c r="T958" s="117"/>
      <c r="V958" s="117"/>
      <c r="Z958" s="117"/>
      <c r="AA958" s="10"/>
      <c r="AB958" s="11"/>
      <c r="AC958" s="36"/>
      <c r="AD958" s="36"/>
      <c r="AE958" s="13"/>
      <c r="AF958" s="13"/>
      <c r="AG958" s="37"/>
      <c r="AH958" s="37"/>
      <c r="AI958" s="14"/>
      <c r="AJ958" s="14"/>
      <c r="AK958" s="14"/>
      <c r="BB958" s="24"/>
    </row>
    <row r="959">
      <c r="B959" s="24"/>
      <c r="E959" s="113"/>
      <c r="F959" s="266"/>
      <c r="G959" s="113"/>
      <c r="K959" s="36"/>
      <c r="L959" s="117"/>
      <c r="M959" s="128"/>
      <c r="N959" s="117"/>
      <c r="R959" s="117"/>
      <c r="T959" s="117"/>
      <c r="V959" s="117"/>
      <c r="Z959" s="117"/>
      <c r="AA959" s="10"/>
      <c r="AB959" s="11"/>
      <c r="AC959" s="36"/>
      <c r="AD959" s="36"/>
      <c r="AE959" s="13"/>
      <c r="AF959" s="13"/>
      <c r="AG959" s="37"/>
      <c r="AH959" s="37"/>
      <c r="AI959" s="14"/>
      <c r="AJ959" s="14"/>
      <c r="AK959" s="14"/>
      <c r="BB959" s="24"/>
    </row>
    <row r="960">
      <c r="B960" s="24"/>
      <c r="E960" s="113"/>
      <c r="F960" s="266"/>
      <c r="G960" s="113"/>
      <c r="K960" s="36"/>
      <c r="L960" s="117"/>
      <c r="M960" s="128"/>
      <c r="N960" s="117"/>
      <c r="R960" s="117"/>
      <c r="T960" s="117"/>
      <c r="V960" s="117"/>
      <c r="Z960" s="117"/>
      <c r="AA960" s="10"/>
      <c r="AB960" s="11"/>
      <c r="AC960" s="36"/>
      <c r="AD960" s="36"/>
      <c r="AE960" s="13"/>
      <c r="AF960" s="13"/>
      <c r="AG960" s="37"/>
      <c r="AH960" s="37"/>
      <c r="AI960" s="14"/>
      <c r="AJ960" s="14"/>
      <c r="AK960" s="14"/>
      <c r="BB960" s="24"/>
    </row>
    <row r="961">
      <c r="B961" s="24"/>
      <c r="E961" s="113"/>
      <c r="F961" s="266"/>
      <c r="G961" s="113"/>
      <c r="K961" s="36"/>
      <c r="L961" s="117"/>
      <c r="M961" s="128"/>
      <c r="N961" s="117"/>
      <c r="R961" s="117"/>
      <c r="T961" s="117"/>
      <c r="V961" s="117"/>
      <c r="Z961" s="117"/>
      <c r="AA961" s="10"/>
      <c r="AB961" s="11"/>
      <c r="AC961" s="36"/>
      <c r="AD961" s="36"/>
      <c r="AE961" s="13"/>
      <c r="AF961" s="13"/>
      <c r="AG961" s="37"/>
      <c r="AH961" s="37"/>
      <c r="AI961" s="14"/>
      <c r="AJ961" s="14"/>
      <c r="AK961" s="14"/>
      <c r="BB961" s="24"/>
    </row>
    <row r="962">
      <c r="B962" s="24"/>
      <c r="E962" s="113"/>
      <c r="F962" s="266"/>
      <c r="G962" s="113"/>
      <c r="K962" s="36"/>
      <c r="L962" s="117"/>
      <c r="M962" s="128"/>
      <c r="N962" s="117"/>
      <c r="R962" s="117"/>
      <c r="T962" s="117"/>
      <c r="V962" s="117"/>
      <c r="Z962" s="117"/>
      <c r="AA962" s="10"/>
      <c r="AB962" s="11"/>
      <c r="AC962" s="36"/>
      <c r="AD962" s="36"/>
      <c r="AE962" s="13"/>
      <c r="AF962" s="13"/>
      <c r="AG962" s="37"/>
      <c r="AH962" s="37"/>
      <c r="AI962" s="14"/>
      <c r="AJ962" s="14"/>
      <c r="AK962" s="14"/>
      <c r="BB962" s="24"/>
    </row>
    <row r="963">
      <c r="B963" s="24"/>
      <c r="E963" s="113"/>
      <c r="F963" s="266"/>
      <c r="G963" s="113"/>
      <c r="K963" s="36"/>
      <c r="L963" s="117"/>
      <c r="M963" s="128"/>
      <c r="N963" s="117"/>
      <c r="R963" s="117"/>
      <c r="T963" s="117"/>
      <c r="V963" s="117"/>
      <c r="Z963" s="117"/>
      <c r="AA963" s="10"/>
      <c r="AB963" s="11"/>
      <c r="AC963" s="36"/>
      <c r="AD963" s="36"/>
      <c r="AE963" s="13"/>
      <c r="AF963" s="13"/>
      <c r="AG963" s="37"/>
      <c r="AH963" s="37"/>
      <c r="AI963" s="14"/>
      <c r="AJ963" s="14"/>
      <c r="AK963" s="14"/>
      <c r="BB963" s="24"/>
    </row>
    <row r="964">
      <c r="B964" s="24"/>
      <c r="E964" s="113"/>
      <c r="F964" s="266"/>
      <c r="G964" s="113"/>
      <c r="K964" s="36"/>
      <c r="L964" s="117"/>
      <c r="M964" s="128"/>
      <c r="N964" s="117"/>
      <c r="R964" s="117"/>
      <c r="T964" s="117"/>
      <c r="V964" s="117"/>
      <c r="Z964" s="117"/>
      <c r="AA964" s="10"/>
      <c r="AB964" s="11"/>
      <c r="AC964" s="36"/>
      <c r="AD964" s="36"/>
      <c r="AE964" s="13"/>
      <c r="AF964" s="13"/>
      <c r="AG964" s="37"/>
      <c r="AH964" s="37"/>
      <c r="AI964" s="14"/>
      <c r="AJ964" s="14"/>
      <c r="AK964" s="14"/>
      <c r="BB964" s="24"/>
    </row>
    <row r="965">
      <c r="B965" s="24"/>
      <c r="E965" s="113"/>
      <c r="F965" s="266"/>
      <c r="G965" s="113"/>
      <c r="K965" s="36"/>
      <c r="L965" s="117"/>
      <c r="M965" s="128"/>
      <c r="N965" s="117"/>
      <c r="R965" s="117"/>
      <c r="T965" s="117"/>
      <c r="V965" s="117"/>
      <c r="Z965" s="117"/>
      <c r="AA965" s="10"/>
      <c r="AB965" s="11"/>
      <c r="AC965" s="36"/>
      <c r="AD965" s="36"/>
      <c r="AE965" s="13"/>
      <c r="AF965" s="13"/>
      <c r="AG965" s="37"/>
      <c r="AH965" s="37"/>
      <c r="AI965" s="14"/>
      <c r="AJ965" s="14"/>
      <c r="AK965" s="14"/>
      <c r="BB965" s="24"/>
    </row>
    <row r="966">
      <c r="B966" s="24"/>
      <c r="E966" s="113"/>
      <c r="F966" s="266"/>
      <c r="G966" s="113"/>
      <c r="K966" s="36"/>
      <c r="L966" s="117"/>
      <c r="M966" s="128"/>
      <c r="N966" s="117"/>
      <c r="R966" s="117"/>
      <c r="T966" s="117"/>
      <c r="V966" s="117"/>
      <c r="Z966" s="117"/>
      <c r="AA966" s="10"/>
      <c r="AB966" s="11"/>
      <c r="AC966" s="36"/>
      <c r="AD966" s="36"/>
      <c r="AE966" s="13"/>
      <c r="AF966" s="13"/>
      <c r="AG966" s="37"/>
      <c r="AH966" s="37"/>
      <c r="AI966" s="14"/>
      <c r="AJ966" s="14"/>
      <c r="AK966" s="14"/>
      <c r="BB966" s="24"/>
    </row>
    <row r="967">
      <c r="B967" s="24"/>
      <c r="E967" s="113"/>
      <c r="F967" s="266"/>
      <c r="G967" s="113"/>
      <c r="K967" s="36"/>
      <c r="L967" s="117"/>
      <c r="M967" s="128"/>
      <c r="N967" s="117"/>
      <c r="R967" s="117"/>
      <c r="T967" s="117"/>
      <c r="V967" s="117"/>
      <c r="Z967" s="117"/>
      <c r="AA967" s="10"/>
      <c r="AB967" s="11"/>
      <c r="AC967" s="36"/>
      <c r="AD967" s="36"/>
      <c r="AE967" s="13"/>
      <c r="AF967" s="13"/>
      <c r="AG967" s="37"/>
      <c r="AH967" s="37"/>
      <c r="AI967" s="14"/>
      <c r="AJ967" s="14"/>
      <c r="AK967" s="14"/>
      <c r="BB967" s="24"/>
    </row>
    <row r="968">
      <c r="B968" s="24"/>
      <c r="E968" s="113"/>
      <c r="F968" s="266"/>
      <c r="G968" s="113"/>
      <c r="K968" s="36"/>
      <c r="L968" s="117"/>
      <c r="M968" s="128"/>
      <c r="N968" s="117"/>
      <c r="R968" s="117"/>
      <c r="T968" s="117"/>
      <c r="V968" s="117"/>
      <c r="Z968" s="117"/>
      <c r="AA968" s="10"/>
      <c r="AB968" s="11"/>
      <c r="AC968" s="36"/>
      <c r="AD968" s="36"/>
      <c r="AE968" s="13"/>
      <c r="AF968" s="13"/>
      <c r="AG968" s="37"/>
      <c r="AH968" s="37"/>
      <c r="AI968" s="14"/>
      <c r="AJ968" s="14"/>
      <c r="AK968" s="14"/>
      <c r="BB968" s="24"/>
    </row>
    <row r="969">
      <c r="B969" s="24"/>
      <c r="E969" s="113"/>
      <c r="F969" s="266"/>
      <c r="G969" s="113"/>
      <c r="K969" s="36"/>
      <c r="L969" s="117"/>
      <c r="M969" s="128"/>
      <c r="N969" s="117"/>
      <c r="R969" s="117"/>
      <c r="T969" s="117"/>
      <c r="V969" s="117"/>
      <c r="Z969" s="117"/>
      <c r="AA969" s="10"/>
      <c r="AB969" s="11"/>
      <c r="AC969" s="36"/>
      <c r="AD969" s="36"/>
      <c r="AE969" s="13"/>
      <c r="AF969" s="13"/>
      <c r="AG969" s="37"/>
      <c r="AH969" s="37"/>
      <c r="AI969" s="14"/>
      <c r="AJ969" s="14"/>
      <c r="AK969" s="14"/>
      <c r="BB969" s="24"/>
    </row>
    <row r="970">
      <c r="B970" s="24"/>
      <c r="E970" s="113"/>
      <c r="F970" s="266"/>
      <c r="G970" s="113"/>
      <c r="K970" s="36"/>
      <c r="L970" s="117"/>
      <c r="M970" s="128"/>
      <c r="N970" s="117"/>
      <c r="R970" s="117"/>
      <c r="T970" s="117"/>
      <c r="V970" s="117"/>
      <c r="Z970" s="117"/>
      <c r="AA970" s="10"/>
      <c r="AB970" s="11"/>
      <c r="AC970" s="36"/>
      <c r="AD970" s="36"/>
      <c r="AE970" s="13"/>
      <c r="AF970" s="13"/>
      <c r="AG970" s="37"/>
      <c r="AH970" s="37"/>
      <c r="AI970" s="14"/>
      <c r="AJ970" s="14"/>
      <c r="AK970" s="14"/>
      <c r="BB970" s="24"/>
    </row>
    <row r="971">
      <c r="B971" s="24"/>
      <c r="E971" s="113"/>
      <c r="F971" s="266"/>
      <c r="G971" s="113"/>
      <c r="K971" s="36"/>
      <c r="L971" s="117"/>
      <c r="M971" s="128"/>
      <c r="N971" s="117"/>
      <c r="R971" s="117"/>
      <c r="T971" s="117"/>
      <c r="V971" s="117"/>
      <c r="Z971" s="117"/>
      <c r="AA971" s="10"/>
      <c r="AB971" s="11"/>
      <c r="AC971" s="36"/>
      <c r="AD971" s="36"/>
      <c r="AE971" s="13"/>
      <c r="AF971" s="13"/>
      <c r="AG971" s="37"/>
      <c r="AH971" s="37"/>
      <c r="AI971" s="14"/>
      <c r="AJ971" s="14"/>
      <c r="AK971" s="14"/>
      <c r="BB971" s="24"/>
    </row>
    <row r="972">
      <c r="B972" s="24"/>
      <c r="E972" s="113"/>
      <c r="F972" s="266"/>
      <c r="G972" s="113"/>
      <c r="K972" s="36"/>
      <c r="L972" s="117"/>
      <c r="M972" s="128"/>
      <c r="N972" s="117"/>
      <c r="R972" s="117"/>
      <c r="T972" s="117"/>
      <c r="V972" s="117"/>
      <c r="Z972" s="117"/>
      <c r="AA972" s="10"/>
      <c r="AB972" s="11"/>
      <c r="AC972" s="36"/>
      <c r="AD972" s="36"/>
      <c r="AE972" s="13"/>
      <c r="AF972" s="13"/>
      <c r="AG972" s="37"/>
      <c r="AH972" s="37"/>
      <c r="AI972" s="14"/>
      <c r="AJ972" s="14"/>
      <c r="AK972" s="14"/>
      <c r="BB972" s="24"/>
    </row>
    <row r="973">
      <c r="B973" s="24"/>
      <c r="E973" s="113"/>
      <c r="F973" s="266"/>
      <c r="G973" s="113"/>
      <c r="K973" s="36"/>
      <c r="L973" s="117"/>
      <c r="M973" s="128"/>
      <c r="N973" s="117"/>
      <c r="R973" s="117"/>
      <c r="T973" s="117"/>
      <c r="V973" s="117"/>
      <c r="Z973" s="117"/>
      <c r="AA973" s="10"/>
      <c r="AB973" s="11"/>
      <c r="AC973" s="36"/>
      <c r="AD973" s="36"/>
      <c r="AE973" s="13"/>
      <c r="AF973" s="13"/>
      <c r="AG973" s="37"/>
      <c r="AH973" s="37"/>
      <c r="AI973" s="14"/>
      <c r="AJ973" s="14"/>
      <c r="AK973" s="14"/>
      <c r="BB973" s="24"/>
    </row>
    <row r="974">
      <c r="B974" s="24"/>
      <c r="E974" s="113"/>
      <c r="F974" s="266"/>
      <c r="G974" s="113"/>
      <c r="K974" s="36"/>
      <c r="L974" s="117"/>
      <c r="M974" s="128"/>
      <c r="N974" s="117"/>
      <c r="R974" s="117"/>
      <c r="T974" s="117"/>
      <c r="V974" s="117"/>
      <c r="Z974" s="117"/>
      <c r="AA974" s="10"/>
      <c r="AB974" s="11"/>
      <c r="AC974" s="36"/>
      <c r="AD974" s="36"/>
      <c r="AE974" s="13"/>
      <c r="AF974" s="13"/>
      <c r="AG974" s="37"/>
      <c r="AH974" s="37"/>
      <c r="AI974" s="14"/>
      <c r="AJ974" s="14"/>
      <c r="AK974" s="14"/>
      <c r="BB974" s="24"/>
    </row>
    <row r="975">
      <c r="B975" s="24"/>
      <c r="E975" s="113"/>
      <c r="F975" s="266"/>
      <c r="G975" s="113"/>
      <c r="K975" s="36"/>
      <c r="L975" s="117"/>
      <c r="M975" s="128"/>
      <c r="N975" s="117"/>
      <c r="R975" s="117"/>
      <c r="T975" s="117"/>
      <c r="V975" s="117"/>
      <c r="Z975" s="117"/>
      <c r="AA975" s="10"/>
      <c r="AB975" s="11"/>
      <c r="AC975" s="36"/>
      <c r="AD975" s="36"/>
      <c r="AE975" s="13"/>
      <c r="AF975" s="13"/>
      <c r="AG975" s="37"/>
      <c r="AH975" s="37"/>
      <c r="AI975" s="14"/>
      <c r="AJ975" s="14"/>
      <c r="AK975" s="14"/>
      <c r="BB975" s="24"/>
    </row>
    <row r="976">
      <c r="B976" s="24"/>
      <c r="E976" s="113"/>
      <c r="F976" s="266"/>
      <c r="G976" s="113"/>
      <c r="K976" s="36"/>
      <c r="L976" s="117"/>
      <c r="M976" s="128"/>
      <c r="N976" s="117"/>
      <c r="R976" s="117"/>
      <c r="T976" s="117"/>
      <c r="V976" s="117"/>
      <c r="Z976" s="117"/>
      <c r="AA976" s="10"/>
      <c r="AB976" s="11"/>
      <c r="AC976" s="36"/>
      <c r="AD976" s="36"/>
      <c r="AE976" s="13"/>
      <c r="AF976" s="13"/>
      <c r="AG976" s="37"/>
      <c r="AH976" s="37"/>
      <c r="AI976" s="14"/>
      <c r="AJ976" s="14"/>
      <c r="AK976" s="14"/>
      <c r="BB976" s="24"/>
    </row>
    <row r="977">
      <c r="B977" s="24"/>
      <c r="E977" s="113"/>
      <c r="F977" s="266"/>
      <c r="G977" s="113"/>
      <c r="K977" s="36"/>
      <c r="L977" s="117"/>
      <c r="M977" s="128"/>
      <c r="N977" s="117"/>
      <c r="R977" s="117"/>
      <c r="T977" s="117"/>
      <c r="V977" s="117"/>
      <c r="Z977" s="117"/>
      <c r="AA977" s="10"/>
      <c r="AB977" s="11"/>
      <c r="AC977" s="36"/>
      <c r="AD977" s="36"/>
      <c r="AE977" s="13"/>
      <c r="AF977" s="13"/>
      <c r="AG977" s="37"/>
      <c r="AH977" s="37"/>
      <c r="AI977" s="14"/>
      <c r="AJ977" s="14"/>
      <c r="AK977" s="14"/>
      <c r="BB977" s="24"/>
    </row>
    <row r="978">
      <c r="B978" s="24"/>
      <c r="E978" s="113"/>
      <c r="F978" s="266"/>
      <c r="G978" s="113"/>
      <c r="K978" s="36"/>
      <c r="L978" s="117"/>
      <c r="M978" s="128"/>
      <c r="N978" s="117"/>
      <c r="R978" s="117"/>
      <c r="T978" s="117"/>
      <c r="V978" s="117"/>
      <c r="Z978" s="117"/>
      <c r="AA978" s="10"/>
      <c r="AB978" s="11"/>
      <c r="AC978" s="36"/>
      <c r="AD978" s="36"/>
      <c r="AE978" s="13"/>
      <c r="AF978" s="13"/>
      <c r="AG978" s="37"/>
      <c r="AH978" s="37"/>
      <c r="AI978" s="14"/>
      <c r="AJ978" s="14"/>
      <c r="AK978" s="14"/>
      <c r="BB978" s="24"/>
    </row>
    <row r="979">
      <c r="B979" s="24"/>
      <c r="E979" s="113"/>
      <c r="F979" s="266"/>
      <c r="G979" s="113"/>
      <c r="K979" s="36"/>
      <c r="L979" s="117"/>
      <c r="M979" s="128"/>
      <c r="N979" s="117"/>
      <c r="R979" s="117"/>
      <c r="T979" s="117"/>
      <c r="V979" s="117"/>
      <c r="Z979" s="117"/>
      <c r="AA979" s="10"/>
      <c r="AB979" s="11"/>
      <c r="AC979" s="36"/>
      <c r="AD979" s="36"/>
      <c r="AE979" s="13"/>
      <c r="AF979" s="13"/>
      <c r="AG979" s="37"/>
      <c r="AH979" s="37"/>
      <c r="AI979" s="14"/>
      <c r="AJ979" s="14"/>
      <c r="AK979" s="14"/>
      <c r="BB979" s="24"/>
    </row>
    <row r="980">
      <c r="B980" s="24"/>
      <c r="E980" s="113"/>
      <c r="F980" s="266"/>
      <c r="G980" s="113"/>
      <c r="K980" s="36"/>
      <c r="L980" s="117"/>
      <c r="M980" s="128"/>
      <c r="N980" s="117"/>
      <c r="R980" s="117"/>
      <c r="T980" s="117"/>
      <c r="V980" s="117"/>
      <c r="Z980" s="117"/>
      <c r="AA980" s="10"/>
      <c r="AB980" s="11"/>
      <c r="AC980" s="36"/>
      <c r="AD980" s="36"/>
      <c r="AE980" s="13"/>
      <c r="AF980" s="13"/>
      <c r="AG980" s="37"/>
      <c r="AH980" s="37"/>
      <c r="AI980" s="14"/>
      <c r="AJ980" s="14"/>
      <c r="AK980" s="14"/>
      <c r="BB980" s="24"/>
    </row>
    <row r="981">
      <c r="B981" s="24"/>
      <c r="E981" s="113"/>
      <c r="F981" s="266"/>
      <c r="G981" s="113"/>
      <c r="K981" s="36"/>
      <c r="L981" s="117"/>
      <c r="M981" s="128"/>
      <c r="N981" s="117"/>
      <c r="R981" s="117"/>
      <c r="T981" s="117"/>
      <c r="V981" s="117"/>
      <c r="Z981" s="117"/>
      <c r="AA981" s="10"/>
      <c r="AB981" s="11"/>
      <c r="AC981" s="36"/>
      <c r="AD981" s="36"/>
      <c r="AE981" s="13"/>
      <c r="AF981" s="13"/>
      <c r="AG981" s="37"/>
      <c r="AH981" s="37"/>
      <c r="AI981" s="14"/>
      <c r="AJ981" s="14"/>
      <c r="AK981" s="14"/>
      <c r="BB981" s="24"/>
    </row>
    <row r="982">
      <c r="B982" s="24"/>
      <c r="E982" s="113"/>
      <c r="F982" s="266"/>
      <c r="G982" s="113"/>
      <c r="K982" s="36"/>
      <c r="L982" s="117"/>
      <c r="M982" s="128"/>
      <c r="N982" s="117"/>
      <c r="R982" s="117"/>
      <c r="T982" s="117"/>
      <c r="V982" s="117"/>
      <c r="Z982" s="117"/>
      <c r="AA982" s="10"/>
      <c r="AB982" s="11"/>
      <c r="AC982" s="36"/>
      <c r="AD982" s="36"/>
      <c r="AE982" s="13"/>
      <c r="AF982" s="13"/>
      <c r="AG982" s="37"/>
      <c r="AH982" s="37"/>
      <c r="AI982" s="14"/>
      <c r="AJ982" s="14"/>
      <c r="AK982" s="14"/>
      <c r="BB982" s="24"/>
    </row>
    <row r="983">
      <c r="B983" s="24"/>
      <c r="E983" s="113"/>
      <c r="F983" s="266"/>
      <c r="G983" s="113"/>
      <c r="K983" s="36"/>
      <c r="L983" s="117"/>
      <c r="M983" s="128"/>
      <c r="N983" s="117"/>
      <c r="R983" s="117"/>
      <c r="T983" s="117"/>
      <c r="V983" s="117"/>
      <c r="Z983" s="117"/>
      <c r="AA983" s="10"/>
      <c r="AB983" s="11"/>
      <c r="AC983" s="36"/>
      <c r="AD983" s="36"/>
      <c r="AE983" s="13"/>
      <c r="AF983" s="13"/>
      <c r="AG983" s="37"/>
      <c r="AH983" s="37"/>
      <c r="AI983" s="14"/>
      <c r="AJ983" s="14"/>
      <c r="AK983" s="14"/>
      <c r="BB983" s="24"/>
    </row>
    <row r="984">
      <c r="B984" s="24"/>
      <c r="E984" s="113"/>
      <c r="F984" s="266"/>
      <c r="G984" s="113"/>
      <c r="K984" s="36"/>
      <c r="L984" s="117"/>
      <c r="M984" s="128"/>
      <c r="N984" s="117"/>
      <c r="R984" s="117"/>
      <c r="T984" s="117"/>
      <c r="V984" s="117"/>
      <c r="Z984" s="117"/>
      <c r="AA984" s="10"/>
      <c r="AB984" s="11"/>
      <c r="AC984" s="36"/>
      <c r="AD984" s="36"/>
      <c r="AE984" s="13"/>
      <c r="AF984" s="13"/>
      <c r="AG984" s="37"/>
      <c r="AH984" s="37"/>
      <c r="AI984" s="14"/>
      <c r="AJ984" s="14"/>
      <c r="AK984" s="14"/>
      <c r="BB984" s="24"/>
    </row>
    <row r="985">
      <c r="B985" s="24"/>
      <c r="E985" s="113"/>
      <c r="F985" s="266"/>
      <c r="G985" s="113"/>
      <c r="K985" s="36"/>
      <c r="L985" s="117"/>
      <c r="M985" s="128"/>
      <c r="N985" s="117"/>
      <c r="R985" s="117"/>
      <c r="T985" s="117"/>
      <c r="V985" s="117"/>
      <c r="Z985" s="117"/>
      <c r="AA985" s="10"/>
      <c r="AB985" s="11"/>
      <c r="AC985" s="36"/>
      <c r="AD985" s="36"/>
      <c r="AE985" s="13"/>
      <c r="AF985" s="13"/>
      <c r="AG985" s="37"/>
      <c r="AH985" s="37"/>
      <c r="AI985" s="14"/>
      <c r="AJ985" s="14"/>
      <c r="AK985" s="14"/>
      <c r="BB985" s="24"/>
    </row>
    <row r="986">
      <c r="B986" s="24"/>
      <c r="E986" s="113"/>
      <c r="F986" s="266"/>
      <c r="G986" s="113"/>
      <c r="K986" s="36"/>
      <c r="L986" s="117"/>
      <c r="M986" s="128"/>
      <c r="N986" s="117"/>
      <c r="R986" s="117"/>
      <c r="T986" s="117"/>
      <c r="V986" s="117"/>
      <c r="Z986" s="117"/>
      <c r="AA986" s="10"/>
      <c r="AB986" s="11"/>
      <c r="AC986" s="36"/>
      <c r="AD986" s="36"/>
      <c r="AE986" s="13"/>
      <c r="AF986" s="13"/>
      <c r="AG986" s="37"/>
      <c r="AH986" s="37"/>
      <c r="AI986" s="14"/>
      <c r="AJ986" s="14"/>
      <c r="AK986" s="14"/>
      <c r="BB986" s="24"/>
    </row>
    <row r="987">
      <c r="B987" s="24"/>
      <c r="E987" s="113"/>
      <c r="F987" s="266"/>
      <c r="G987" s="113"/>
      <c r="K987" s="36"/>
      <c r="L987" s="117"/>
      <c r="M987" s="128"/>
      <c r="N987" s="117"/>
      <c r="R987" s="117"/>
      <c r="T987" s="117"/>
      <c r="V987" s="117"/>
      <c r="Z987" s="117"/>
      <c r="AA987" s="10"/>
      <c r="AB987" s="11"/>
      <c r="AC987" s="36"/>
      <c r="AD987" s="36"/>
      <c r="AE987" s="13"/>
      <c r="AF987" s="13"/>
      <c r="AG987" s="37"/>
      <c r="AH987" s="37"/>
      <c r="AI987" s="14"/>
      <c r="AJ987" s="14"/>
      <c r="AK987" s="14"/>
      <c r="BB987" s="24"/>
    </row>
    <row r="988">
      <c r="B988" s="24"/>
      <c r="E988" s="113"/>
      <c r="F988" s="266"/>
      <c r="G988" s="113"/>
      <c r="K988" s="36"/>
      <c r="L988" s="117"/>
      <c r="M988" s="128"/>
      <c r="N988" s="117"/>
      <c r="R988" s="117"/>
      <c r="T988" s="117"/>
      <c r="V988" s="117"/>
      <c r="Z988" s="117"/>
      <c r="AA988" s="10"/>
      <c r="AB988" s="11"/>
      <c r="AC988" s="36"/>
      <c r="AD988" s="36"/>
      <c r="AE988" s="13"/>
      <c r="AF988" s="13"/>
      <c r="AG988" s="37"/>
      <c r="AH988" s="37"/>
      <c r="AI988" s="14"/>
      <c r="AJ988" s="14"/>
      <c r="AK988" s="14"/>
      <c r="BB988" s="24"/>
    </row>
    <row r="989">
      <c r="B989" s="24"/>
      <c r="E989" s="113"/>
      <c r="F989" s="266"/>
      <c r="G989" s="113"/>
      <c r="K989" s="36"/>
      <c r="L989" s="117"/>
      <c r="M989" s="128"/>
      <c r="N989" s="117"/>
      <c r="R989" s="117"/>
      <c r="T989" s="117"/>
      <c r="V989" s="117"/>
      <c r="Z989" s="117"/>
      <c r="AA989" s="10"/>
      <c r="AB989" s="11"/>
      <c r="AC989" s="36"/>
      <c r="AD989" s="36"/>
      <c r="AE989" s="13"/>
      <c r="AF989" s="13"/>
      <c r="AG989" s="37"/>
      <c r="AH989" s="37"/>
      <c r="AI989" s="14"/>
      <c r="AJ989" s="14"/>
      <c r="AK989" s="14"/>
      <c r="BB989" s="24"/>
    </row>
    <row r="990">
      <c r="B990" s="24"/>
      <c r="E990" s="113"/>
      <c r="F990" s="266"/>
      <c r="G990" s="113"/>
      <c r="K990" s="36"/>
      <c r="L990" s="117"/>
      <c r="M990" s="128"/>
      <c r="N990" s="117"/>
      <c r="R990" s="117"/>
      <c r="T990" s="117"/>
      <c r="V990" s="117"/>
      <c r="Z990" s="117"/>
      <c r="AA990" s="10"/>
      <c r="AB990" s="11"/>
      <c r="AC990" s="36"/>
      <c r="AD990" s="36"/>
      <c r="AE990" s="13"/>
      <c r="AF990" s="13"/>
      <c r="AG990" s="37"/>
      <c r="AH990" s="37"/>
      <c r="AI990" s="14"/>
      <c r="AJ990" s="14"/>
      <c r="AK990" s="14"/>
      <c r="BB990" s="24"/>
    </row>
    <row r="991">
      <c r="B991" s="24"/>
      <c r="E991" s="113"/>
      <c r="F991" s="266"/>
      <c r="G991" s="113"/>
      <c r="K991" s="36"/>
      <c r="L991" s="117"/>
      <c r="M991" s="128"/>
      <c r="N991" s="117"/>
      <c r="R991" s="117"/>
      <c r="T991" s="117"/>
      <c r="V991" s="117"/>
      <c r="Z991" s="117"/>
      <c r="AA991" s="10"/>
      <c r="AB991" s="11"/>
      <c r="AC991" s="36"/>
      <c r="AD991" s="36"/>
      <c r="AE991" s="13"/>
      <c r="AF991" s="13"/>
      <c r="AG991" s="37"/>
      <c r="AH991" s="37"/>
      <c r="AI991" s="14"/>
      <c r="AJ991" s="14"/>
      <c r="AK991" s="14"/>
      <c r="BB991" s="24"/>
    </row>
    <row r="992">
      <c r="B992" s="24"/>
      <c r="E992" s="113"/>
      <c r="F992" s="266"/>
      <c r="G992" s="113"/>
      <c r="K992" s="36"/>
      <c r="L992" s="117"/>
      <c r="M992" s="128"/>
      <c r="N992" s="117"/>
      <c r="R992" s="117"/>
      <c r="T992" s="117"/>
      <c r="V992" s="117"/>
      <c r="Z992" s="117"/>
      <c r="AA992" s="10"/>
      <c r="AB992" s="11"/>
      <c r="AC992" s="36"/>
      <c r="AD992" s="36"/>
      <c r="AE992" s="13"/>
      <c r="AF992" s="13"/>
      <c r="AG992" s="37"/>
      <c r="AH992" s="37"/>
      <c r="AI992" s="14"/>
      <c r="AJ992" s="14"/>
      <c r="AK992" s="14"/>
      <c r="BB992" s="24"/>
    </row>
    <row r="993">
      <c r="B993" s="24"/>
      <c r="E993" s="113"/>
      <c r="F993" s="266"/>
      <c r="G993" s="113"/>
      <c r="K993" s="36"/>
      <c r="L993" s="117"/>
      <c r="M993" s="128"/>
      <c r="N993" s="117"/>
      <c r="R993" s="117"/>
      <c r="T993" s="117"/>
      <c r="V993" s="117"/>
      <c r="Z993" s="117"/>
      <c r="AA993" s="10"/>
      <c r="AB993" s="11"/>
      <c r="AC993" s="36"/>
      <c r="AD993" s="36"/>
      <c r="AE993" s="13"/>
      <c r="AF993" s="13"/>
      <c r="AG993" s="37"/>
      <c r="AH993" s="37"/>
      <c r="AI993" s="14"/>
      <c r="AJ993" s="14"/>
      <c r="AK993" s="14"/>
      <c r="BB993" s="24"/>
    </row>
    <row r="994">
      <c r="B994" s="24"/>
      <c r="E994" s="113"/>
      <c r="F994" s="266"/>
      <c r="G994" s="113"/>
      <c r="K994" s="36"/>
      <c r="L994" s="117"/>
      <c r="M994" s="128"/>
      <c r="N994" s="117"/>
      <c r="R994" s="117"/>
      <c r="T994" s="117"/>
      <c r="V994" s="117"/>
      <c r="Z994" s="117"/>
      <c r="AA994" s="10"/>
      <c r="AB994" s="11"/>
      <c r="AC994" s="36"/>
      <c r="AD994" s="36"/>
      <c r="AE994" s="13"/>
      <c r="AF994" s="13"/>
      <c r="AG994" s="37"/>
      <c r="AH994" s="37"/>
      <c r="AI994" s="14"/>
      <c r="AJ994" s="14"/>
      <c r="AK994" s="14"/>
      <c r="BB994" s="24"/>
    </row>
    <row r="995">
      <c r="B995" s="24"/>
      <c r="E995" s="113"/>
      <c r="F995" s="266"/>
      <c r="G995" s="113"/>
      <c r="K995" s="36"/>
      <c r="L995" s="117"/>
      <c r="M995" s="128"/>
      <c r="N995" s="117"/>
      <c r="R995" s="117"/>
      <c r="T995" s="117"/>
      <c r="V995" s="117"/>
      <c r="Z995" s="117"/>
      <c r="AA995" s="10"/>
      <c r="AB995" s="11"/>
      <c r="AC995" s="36"/>
      <c r="AD995" s="36"/>
      <c r="AE995" s="13"/>
      <c r="AF995" s="13"/>
      <c r="AG995" s="37"/>
      <c r="AH995" s="37"/>
      <c r="AI995" s="14"/>
      <c r="AJ995" s="14"/>
      <c r="AK995" s="14"/>
      <c r="BB995" s="24"/>
    </row>
    <row r="996">
      <c r="B996" s="24"/>
      <c r="E996" s="113"/>
      <c r="F996" s="266"/>
      <c r="G996" s="113"/>
      <c r="K996" s="36"/>
      <c r="L996" s="117"/>
      <c r="M996" s="128"/>
      <c r="N996" s="117"/>
      <c r="R996" s="117"/>
      <c r="T996" s="117"/>
      <c r="V996" s="117"/>
      <c r="Z996" s="117"/>
      <c r="AA996" s="10"/>
      <c r="AB996" s="11"/>
      <c r="AC996" s="36"/>
      <c r="AD996" s="36"/>
      <c r="AE996" s="13"/>
      <c r="AF996" s="13"/>
      <c r="AG996" s="37"/>
      <c r="AH996" s="37"/>
      <c r="AI996" s="14"/>
      <c r="AJ996" s="14"/>
      <c r="AK996" s="14"/>
      <c r="BB996" s="24"/>
    </row>
    <row r="997">
      <c r="B997" s="24"/>
      <c r="E997" s="113"/>
      <c r="F997" s="266"/>
      <c r="G997" s="113"/>
      <c r="K997" s="36"/>
      <c r="L997" s="117"/>
      <c r="M997" s="128"/>
      <c r="N997" s="117"/>
      <c r="R997" s="117"/>
      <c r="T997" s="117"/>
      <c r="V997" s="117"/>
      <c r="Z997" s="117"/>
      <c r="AA997" s="10"/>
      <c r="AB997" s="11"/>
      <c r="AC997" s="36"/>
      <c r="AD997" s="36"/>
      <c r="AE997" s="13"/>
      <c r="AF997" s="13"/>
      <c r="AG997" s="37"/>
      <c r="AH997" s="37"/>
      <c r="AI997" s="14"/>
      <c r="AJ997" s="14"/>
      <c r="AK997" s="14"/>
      <c r="BB997" s="24"/>
    </row>
    <row r="998">
      <c r="B998" s="24"/>
      <c r="E998" s="113"/>
      <c r="F998" s="266"/>
      <c r="G998" s="113"/>
      <c r="K998" s="36"/>
      <c r="L998" s="117"/>
      <c r="M998" s="128"/>
      <c r="N998" s="117"/>
      <c r="R998" s="117"/>
      <c r="T998" s="117"/>
      <c r="V998" s="117"/>
      <c r="Z998" s="117"/>
      <c r="AA998" s="10"/>
      <c r="AB998" s="11"/>
      <c r="AC998" s="36"/>
      <c r="AD998" s="36"/>
      <c r="AE998" s="13"/>
      <c r="AF998" s="13"/>
      <c r="AG998" s="37"/>
      <c r="AH998" s="37"/>
      <c r="AI998" s="14"/>
      <c r="AJ998" s="14"/>
      <c r="AK998" s="14"/>
      <c r="BB998" s="24"/>
    </row>
    <row r="999">
      <c r="B999" s="24"/>
      <c r="E999" s="113"/>
      <c r="F999" s="266"/>
      <c r="G999" s="113"/>
      <c r="K999" s="36"/>
      <c r="L999" s="117"/>
      <c r="M999" s="128"/>
      <c r="N999" s="117"/>
      <c r="R999" s="117"/>
      <c r="T999" s="117"/>
      <c r="V999" s="117"/>
      <c r="Z999" s="117"/>
      <c r="AA999" s="10"/>
      <c r="AB999" s="11"/>
      <c r="AC999" s="36"/>
      <c r="AD999" s="36"/>
      <c r="AE999" s="13"/>
      <c r="AF999" s="13"/>
      <c r="AG999" s="37"/>
      <c r="AH999" s="37"/>
      <c r="AI999" s="14"/>
      <c r="AJ999" s="14"/>
      <c r="AK999" s="14"/>
      <c r="BB999" s="24"/>
    </row>
    <row r="1000">
      <c r="B1000" s="24"/>
      <c r="E1000" s="113"/>
      <c r="F1000" s="266"/>
      <c r="G1000" s="113"/>
      <c r="K1000" s="36"/>
      <c r="L1000" s="117"/>
      <c r="M1000" s="128"/>
      <c r="N1000" s="117"/>
      <c r="R1000" s="117"/>
      <c r="T1000" s="117"/>
      <c r="V1000" s="117"/>
      <c r="Z1000" s="117"/>
      <c r="AA1000" s="10"/>
      <c r="AB1000" s="11"/>
      <c r="AC1000" s="36"/>
      <c r="AD1000" s="36"/>
      <c r="AE1000" s="13"/>
      <c r="AF1000" s="13"/>
      <c r="AG1000" s="37"/>
      <c r="AH1000" s="37"/>
      <c r="AI1000" s="14"/>
      <c r="AJ1000" s="14"/>
      <c r="AK1000" s="14"/>
      <c r="BB1000" s="24"/>
    </row>
    <row r="1001">
      <c r="B1001" s="24"/>
      <c r="E1001" s="113"/>
      <c r="F1001" s="266"/>
      <c r="G1001" s="113"/>
      <c r="K1001" s="36"/>
      <c r="L1001" s="117"/>
      <c r="M1001" s="128"/>
      <c r="N1001" s="117"/>
      <c r="R1001" s="117"/>
      <c r="T1001" s="117"/>
      <c r="V1001" s="117"/>
      <c r="Z1001" s="117"/>
      <c r="AA1001" s="10"/>
      <c r="AB1001" s="11"/>
      <c r="AC1001" s="36"/>
      <c r="AD1001" s="36"/>
      <c r="AE1001" s="13"/>
      <c r="AF1001" s="13"/>
      <c r="AG1001" s="37"/>
      <c r="AH1001" s="37"/>
      <c r="AI1001" s="14"/>
      <c r="AJ1001" s="14"/>
      <c r="AK1001" s="14"/>
      <c r="BB1001" s="24"/>
    </row>
    <row r="1002">
      <c r="B1002" s="24"/>
      <c r="E1002" s="113"/>
      <c r="F1002" s="266"/>
      <c r="G1002" s="113"/>
      <c r="K1002" s="36"/>
      <c r="L1002" s="117"/>
      <c r="M1002" s="128"/>
      <c r="N1002" s="117"/>
      <c r="R1002" s="117"/>
      <c r="T1002" s="117"/>
      <c r="V1002" s="117"/>
      <c r="Z1002" s="117"/>
      <c r="AA1002" s="10"/>
      <c r="AB1002" s="11"/>
      <c r="AC1002" s="36"/>
      <c r="AD1002" s="36"/>
      <c r="AE1002" s="13"/>
      <c r="AF1002" s="13"/>
      <c r="AG1002" s="37"/>
      <c r="AH1002" s="37"/>
      <c r="AI1002" s="14"/>
      <c r="AJ1002" s="14"/>
      <c r="AK1002" s="14"/>
      <c r="BB1002" s="24"/>
    </row>
    <row r="1003">
      <c r="B1003" s="24"/>
      <c r="E1003" s="113"/>
      <c r="F1003" s="266"/>
      <c r="G1003" s="113"/>
      <c r="K1003" s="36"/>
      <c r="L1003" s="117"/>
      <c r="M1003" s="128"/>
      <c r="N1003" s="117"/>
      <c r="R1003" s="117"/>
      <c r="T1003" s="117"/>
      <c r="V1003" s="117"/>
      <c r="Z1003" s="117"/>
      <c r="AA1003" s="10"/>
      <c r="AB1003" s="11"/>
      <c r="AC1003" s="36"/>
      <c r="AD1003" s="36"/>
      <c r="AE1003" s="13"/>
      <c r="AF1003" s="13"/>
      <c r="AG1003" s="37"/>
      <c r="AH1003" s="37"/>
      <c r="AI1003" s="14"/>
      <c r="AJ1003" s="14"/>
      <c r="AK1003" s="14"/>
      <c r="BB1003" s="24"/>
    </row>
    <row r="1004">
      <c r="B1004" s="24"/>
      <c r="E1004" s="113"/>
      <c r="F1004" s="266"/>
      <c r="G1004" s="113"/>
      <c r="K1004" s="36"/>
      <c r="L1004" s="117"/>
      <c r="M1004" s="128"/>
      <c r="N1004" s="117"/>
      <c r="R1004" s="117"/>
      <c r="T1004" s="117"/>
      <c r="V1004" s="117"/>
      <c r="Z1004" s="117"/>
      <c r="AA1004" s="10"/>
      <c r="AB1004" s="11"/>
      <c r="AC1004" s="36"/>
      <c r="AD1004" s="36"/>
      <c r="AE1004" s="13"/>
      <c r="AF1004" s="13"/>
      <c r="AG1004" s="37"/>
      <c r="AH1004" s="37"/>
      <c r="AI1004" s="14"/>
      <c r="AJ1004" s="14"/>
      <c r="AK1004" s="14"/>
      <c r="BB1004" s="24"/>
    </row>
    <row r="1005">
      <c r="B1005" s="24"/>
      <c r="E1005" s="113"/>
      <c r="F1005" s="266"/>
      <c r="G1005" s="113"/>
      <c r="K1005" s="36"/>
      <c r="L1005" s="117"/>
      <c r="M1005" s="128"/>
      <c r="N1005" s="117"/>
      <c r="R1005" s="117"/>
      <c r="T1005" s="117"/>
      <c r="V1005" s="117"/>
      <c r="Z1005" s="117"/>
      <c r="AA1005" s="10"/>
      <c r="AB1005" s="11"/>
      <c r="AC1005" s="36"/>
      <c r="AD1005" s="36"/>
      <c r="AE1005" s="13"/>
      <c r="AF1005" s="13"/>
      <c r="AG1005" s="37"/>
      <c r="AH1005" s="37"/>
      <c r="AI1005" s="14"/>
      <c r="AJ1005" s="14"/>
      <c r="AK1005" s="14"/>
      <c r="BB1005" s="24"/>
    </row>
    <row r="1006">
      <c r="B1006" s="24"/>
      <c r="E1006" s="113"/>
      <c r="F1006" s="266"/>
      <c r="G1006" s="113"/>
      <c r="K1006" s="36"/>
      <c r="L1006" s="117"/>
      <c r="M1006" s="128"/>
      <c r="N1006" s="117"/>
      <c r="R1006" s="117"/>
      <c r="T1006" s="117"/>
      <c r="V1006" s="117"/>
      <c r="Z1006" s="117"/>
      <c r="AA1006" s="10"/>
      <c r="AB1006" s="11"/>
      <c r="AC1006" s="36"/>
      <c r="AD1006" s="36"/>
      <c r="AE1006" s="13"/>
      <c r="AF1006" s="13"/>
      <c r="AG1006" s="37"/>
      <c r="AH1006" s="37"/>
      <c r="AI1006" s="14"/>
      <c r="AJ1006" s="14"/>
      <c r="AK1006" s="14"/>
      <c r="BB1006" s="24"/>
    </row>
    <row r="1007">
      <c r="B1007" s="24"/>
      <c r="E1007" s="113"/>
      <c r="F1007" s="266"/>
      <c r="G1007" s="113"/>
      <c r="K1007" s="36"/>
      <c r="L1007" s="117"/>
      <c r="M1007" s="128"/>
      <c r="N1007" s="117"/>
      <c r="R1007" s="117"/>
      <c r="T1007" s="117"/>
      <c r="V1007" s="117"/>
      <c r="Z1007" s="117"/>
      <c r="AA1007" s="10"/>
      <c r="AB1007" s="11"/>
      <c r="AC1007" s="36"/>
      <c r="AD1007" s="36"/>
      <c r="AE1007" s="13"/>
      <c r="AF1007" s="13"/>
      <c r="AG1007" s="37"/>
      <c r="AH1007" s="37"/>
      <c r="AI1007" s="14"/>
      <c r="AJ1007" s="14"/>
      <c r="AK1007" s="14"/>
      <c r="BB1007" s="24"/>
    </row>
    <row r="1008">
      <c r="B1008" s="24"/>
      <c r="E1008" s="113"/>
      <c r="F1008" s="266"/>
      <c r="G1008" s="113"/>
      <c r="K1008" s="36"/>
      <c r="L1008" s="117"/>
      <c r="M1008" s="128"/>
      <c r="N1008" s="117"/>
      <c r="R1008" s="117"/>
      <c r="T1008" s="117"/>
      <c r="V1008" s="117"/>
      <c r="Z1008" s="117"/>
      <c r="AA1008" s="10"/>
      <c r="AB1008" s="11"/>
      <c r="AC1008" s="36"/>
      <c r="AD1008" s="36"/>
      <c r="AE1008" s="13"/>
      <c r="AF1008" s="13"/>
      <c r="AG1008" s="37"/>
      <c r="AH1008" s="37"/>
      <c r="AI1008" s="14"/>
      <c r="AJ1008" s="14"/>
      <c r="AK1008" s="14"/>
      <c r="BB1008" s="24"/>
    </row>
    <row r="1009">
      <c r="B1009" s="24"/>
      <c r="E1009" s="113"/>
      <c r="F1009" s="266"/>
      <c r="G1009" s="113"/>
      <c r="K1009" s="36"/>
      <c r="L1009" s="117"/>
      <c r="M1009" s="128"/>
      <c r="N1009" s="117"/>
      <c r="R1009" s="117"/>
      <c r="T1009" s="117"/>
      <c r="V1009" s="117"/>
      <c r="Z1009" s="117"/>
      <c r="AA1009" s="10"/>
      <c r="AB1009" s="11"/>
      <c r="AC1009" s="36"/>
      <c r="AD1009" s="36"/>
      <c r="AE1009" s="13"/>
      <c r="AF1009" s="13"/>
      <c r="AG1009" s="37"/>
      <c r="AH1009" s="37"/>
      <c r="AI1009" s="14"/>
      <c r="AJ1009" s="14"/>
      <c r="AK1009" s="14"/>
      <c r="BB1009" s="24"/>
    </row>
    <row r="1010">
      <c r="B1010" s="24"/>
      <c r="E1010" s="113"/>
      <c r="F1010" s="266"/>
      <c r="G1010" s="113"/>
      <c r="K1010" s="36"/>
      <c r="L1010" s="117"/>
      <c r="M1010" s="128"/>
      <c r="N1010" s="117"/>
      <c r="R1010" s="117"/>
      <c r="T1010" s="117"/>
      <c r="V1010" s="117"/>
      <c r="Z1010" s="117"/>
      <c r="AA1010" s="10"/>
      <c r="AB1010" s="11"/>
      <c r="AC1010" s="36"/>
      <c r="AD1010" s="36"/>
      <c r="AE1010" s="13"/>
      <c r="AF1010" s="13"/>
      <c r="AG1010" s="37"/>
      <c r="AH1010" s="37"/>
      <c r="AI1010" s="14"/>
      <c r="AJ1010" s="14"/>
      <c r="AK1010" s="14"/>
      <c r="BB1010" s="24"/>
    </row>
    <row r="1011">
      <c r="B1011" s="24"/>
      <c r="E1011" s="113"/>
      <c r="F1011" s="266"/>
      <c r="G1011" s="113"/>
      <c r="K1011" s="36"/>
      <c r="L1011" s="117"/>
      <c r="M1011" s="128"/>
      <c r="N1011" s="117"/>
      <c r="R1011" s="117"/>
      <c r="T1011" s="117"/>
      <c r="V1011" s="117"/>
      <c r="Z1011" s="117"/>
      <c r="AA1011" s="10"/>
      <c r="AB1011" s="11"/>
      <c r="AC1011" s="36"/>
      <c r="AD1011" s="36"/>
      <c r="AE1011" s="13"/>
      <c r="AF1011" s="13"/>
      <c r="AG1011" s="37"/>
      <c r="AH1011" s="37"/>
      <c r="AI1011" s="14"/>
      <c r="AJ1011" s="14"/>
      <c r="AK1011" s="14"/>
      <c r="BB1011" s="24"/>
    </row>
    <row r="1012">
      <c r="B1012" s="24"/>
      <c r="E1012" s="113"/>
      <c r="F1012" s="266"/>
      <c r="G1012" s="113"/>
      <c r="K1012" s="36"/>
      <c r="L1012" s="117"/>
      <c r="M1012" s="128"/>
      <c r="N1012" s="117"/>
      <c r="R1012" s="117"/>
      <c r="T1012" s="117"/>
      <c r="V1012" s="117"/>
      <c r="Z1012" s="117"/>
      <c r="AA1012" s="10"/>
      <c r="AB1012" s="11"/>
      <c r="AC1012" s="36"/>
      <c r="AD1012" s="36"/>
      <c r="AE1012" s="13"/>
      <c r="AF1012" s="13"/>
      <c r="AG1012" s="37"/>
      <c r="AH1012" s="37"/>
      <c r="AI1012" s="14"/>
      <c r="AJ1012" s="14"/>
      <c r="AK1012" s="14"/>
      <c r="BB1012" s="24"/>
    </row>
    <row r="1013">
      <c r="B1013" s="24"/>
      <c r="E1013" s="113"/>
      <c r="F1013" s="266"/>
      <c r="G1013" s="113"/>
      <c r="K1013" s="36"/>
      <c r="L1013" s="117"/>
      <c r="M1013" s="128"/>
      <c r="N1013" s="117"/>
      <c r="R1013" s="117"/>
      <c r="T1013" s="117"/>
      <c r="V1013" s="117"/>
      <c r="Z1013" s="117"/>
      <c r="AA1013" s="10"/>
      <c r="AB1013" s="11"/>
      <c r="AC1013" s="36"/>
      <c r="AD1013" s="36"/>
      <c r="AE1013" s="13"/>
      <c r="AF1013" s="13"/>
      <c r="AG1013" s="37"/>
      <c r="AH1013" s="37"/>
      <c r="AI1013" s="14"/>
      <c r="AJ1013" s="14"/>
      <c r="AK1013" s="14"/>
      <c r="BB1013" s="24"/>
    </row>
    <row r="1014">
      <c r="B1014" s="24"/>
      <c r="E1014" s="113"/>
      <c r="F1014" s="266"/>
      <c r="G1014" s="113"/>
      <c r="K1014" s="36"/>
      <c r="L1014" s="117"/>
      <c r="M1014" s="128"/>
      <c r="N1014" s="117"/>
      <c r="R1014" s="117"/>
      <c r="T1014" s="117"/>
      <c r="V1014" s="117"/>
      <c r="Z1014" s="117"/>
      <c r="AA1014" s="10"/>
      <c r="AB1014" s="11"/>
      <c r="AC1014" s="36"/>
      <c r="AD1014" s="36"/>
      <c r="AE1014" s="13"/>
      <c r="AF1014" s="13"/>
      <c r="AG1014" s="37"/>
      <c r="AH1014" s="37"/>
      <c r="AI1014" s="14"/>
      <c r="AJ1014" s="14"/>
      <c r="AK1014" s="14"/>
      <c r="BB1014" s="24"/>
    </row>
    <row r="1015">
      <c r="B1015" s="24"/>
      <c r="E1015" s="113"/>
      <c r="F1015" s="266"/>
      <c r="G1015" s="113"/>
      <c r="K1015" s="36"/>
      <c r="L1015" s="117"/>
      <c r="M1015" s="128"/>
      <c r="N1015" s="117"/>
      <c r="R1015" s="117"/>
      <c r="T1015" s="117"/>
      <c r="V1015" s="117"/>
      <c r="Z1015" s="117"/>
      <c r="AA1015" s="10"/>
      <c r="AB1015" s="11"/>
      <c r="AC1015" s="36"/>
      <c r="AD1015" s="36"/>
      <c r="AE1015" s="13"/>
      <c r="AF1015" s="13"/>
      <c r="AG1015" s="37"/>
      <c r="AH1015" s="37"/>
      <c r="AI1015" s="14"/>
      <c r="AJ1015" s="14"/>
      <c r="AK1015" s="14"/>
      <c r="BB1015" s="24"/>
    </row>
    <row r="1016">
      <c r="B1016" s="24"/>
      <c r="E1016" s="113"/>
      <c r="F1016" s="266"/>
      <c r="G1016" s="113"/>
      <c r="K1016" s="36"/>
      <c r="L1016" s="117"/>
      <c r="M1016" s="128"/>
      <c r="N1016" s="117"/>
      <c r="R1016" s="117"/>
      <c r="T1016" s="117"/>
      <c r="V1016" s="117"/>
      <c r="Z1016" s="117"/>
      <c r="AA1016" s="10"/>
      <c r="AB1016" s="11"/>
      <c r="AC1016" s="36"/>
      <c r="AD1016" s="36"/>
      <c r="AE1016" s="13"/>
      <c r="AF1016" s="13"/>
      <c r="AG1016" s="37"/>
      <c r="AH1016" s="37"/>
      <c r="AI1016" s="14"/>
      <c r="AJ1016" s="14"/>
      <c r="AK1016" s="14"/>
      <c r="BB1016" s="24"/>
    </row>
    <row r="1017">
      <c r="B1017" s="24"/>
      <c r="E1017" s="113"/>
      <c r="F1017" s="266"/>
      <c r="G1017" s="113"/>
      <c r="K1017" s="36"/>
      <c r="L1017" s="117"/>
      <c r="M1017" s="128"/>
      <c r="N1017" s="117"/>
      <c r="R1017" s="117"/>
      <c r="T1017" s="117"/>
      <c r="V1017" s="117"/>
      <c r="Z1017" s="117"/>
      <c r="AA1017" s="10"/>
      <c r="AB1017" s="11"/>
      <c r="AC1017" s="36"/>
      <c r="AD1017" s="36"/>
      <c r="AE1017" s="13"/>
      <c r="AF1017" s="13"/>
      <c r="AG1017" s="37"/>
      <c r="AH1017" s="37"/>
      <c r="AI1017" s="14"/>
      <c r="AJ1017" s="14"/>
      <c r="AK1017" s="14"/>
      <c r="BB1017" s="24"/>
    </row>
    <row r="1018">
      <c r="B1018" s="24"/>
      <c r="E1018" s="113"/>
      <c r="F1018" s="266"/>
      <c r="G1018" s="113"/>
      <c r="K1018" s="36"/>
      <c r="L1018" s="117"/>
      <c r="M1018" s="128"/>
      <c r="N1018" s="117"/>
      <c r="R1018" s="117"/>
      <c r="T1018" s="117"/>
      <c r="V1018" s="117"/>
      <c r="Z1018" s="117"/>
      <c r="AA1018" s="10"/>
      <c r="AB1018" s="11"/>
      <c r="AC1018" s="36"/>
      <c r="AD1018" s="36"/>
      <c r="AE1018" s="13"/>
      <c r="AF1018" s="13"/>
      <c r="AG1018" s="37"/>
      <c r="AH1018" s="37"/>
      <c r="AI1018" s="14"/>
      <c r="AJ1018" s="14"/>
      <c r="AK1018" s="14"/>
      <c r="BB1018" s="24"/>
    </row>
    <row r="1019">
      <c r="B1019" s="24"/>
      <c r="E1019" s="113"/>
      <c r="F1019" s="266"/>
      <c r="G1019" s="113"/>
      <c r="K1019" s="36"/>
      <c r="L1019" s="117"/>
      <c r="M1019" s="128"/>
      <c r="N1019" s="117"/>
      <c r="R1019" s="117"/>
      <c r="T1019" s="117"/>
      <c r="V1019" s="117"/>
      <c r="Z1019" s="117"/>
      <c r="AA1019" s="10"/>
      <c r="AB1019" s="11"/>
      <c r="AC1019" s="36"/>
      <c r="AD1019" s="36"/>
      <c r="AE1019" s="13"/>
      <c r="AF1019" s="13"/>
      <c r="AG1019" s="37"/>
      <c r="AH1019" s="37"/>
      <c r="AI1019" s="14"/>
      <c r="AJ1019" s="14"/>
      <c r="AK1019" s="14"/>
      <c r="BB1019" s="24"/>
    </row>
    <row r="1020">
      <c r="B1020" s="24"/>
      <c r="E1020" s="113"/>
      <c r="F1020" s="266"/>
      <c r="G1020" s="113"/>
      <c r="K1020" s="36"/>
      <c r="L1020" s="117"/>
      <c r="M1020" s="128"/>
      <c r="N1020" s="117"/>
      <c r="R1020" s="117"/>
      <c r="T1020" s="117"/>
      <c r="V1020" s="117"/>
      <c r="Z1020" s="117"/>
      <c r="AA1020" s="10"/>
      <c r="AB1020" s="11"/>
      <c r="AC1020" s="36"/>
      <c r="AD1020" s="36"/>
      <c r="AE1020" s="13"/>
      <c r="AF1020" s="13"/>
      <c r="AG1020" s="37"/>
      <c r="AH1020" s="37"/>
      <c r="AI1020" s="14"/>
      <c r="AJ1020" s="14"/>
      <c r="AK1020" s="14"/>
      <c r="BB1020" s="24"/>
    </row>
    <row r="1021">
      <c r="B1021" s="24"/>
      <c r="E1021" s="113"/>
      <c r="F1021" s="266"/>
      <c r="G1021" s="113"/>
      <c r="K1021" s="36"/>
      <c r="L1021" s="117"/>
      <c r="M1021" s="128"/>
      <c r="N1021" s="117"/>
      <c r="R1021" s="117"/>
      <c r="T1021" s="117"/>
      <c r="V1021" s="117"/>
      <c r="Z1021" s="117"/>
      <c r="AA1021" s="10"/>
      <c r="AB1021" s="11"/>
      <c r="AC1021" s="36"/>
      <c r="AD1021" s="36"/>
      <c r="AE1021" s="13"/>
      <c r="AF1021" s="13"/>
      <c r="AG1021" s="37"/>
      <c r="AH1021" s="37"/>
      <c r="AI1021" s="14"/>
      <c r="AJ1021" s="14"/>
      <c r="AK1021" s="14"/>
      <c r="BB1021" s="24"/>
    </row>
    <row r="1022">
      <c r="B1022" s="24"/>
      <c r="E1022" s="113"/>
      <c r="F1022" s="266"/>
      <c r="G1022" s="113"/>
      <c r="K1022" s="36"/>
      <c r="L1022" s="117"/>
      <c r="M1022" s="128"/>
      <c r="N1022" s="117"/>
      <c r="R1022" s="117"/>
      <c r="T1022" s="117"/>
      <c r="V1022" s="117"/>
      <c r="Z1022" s="117"/>
      <c r="AA1022" s="10"/>
      <c r="AB1022" s="11"/>
      <c r="AC1022" s="36"/>
      <c r="AD1022" s="36"/>
      <c r="AE1022" s="13"/>
      <c r="AF1022" s="13"/>
      <c r="AG1022" s="37"/>
      <c r="AH1022" s="37"/>
      <c r="AI1022" s="14"/>
      <c r="AJ1022" s="14"/>
      <c r="AK1022" s="14"/>
      <c r="BB1022" s="24"/>
    </row>
    <row r="1023">
      <c r="B1023" s="24"/>
      <c r="E1023" s="113"/>
      <c r="F1023" s="266"/>
      <c r="G1023" s="113"/>
      <c r="K1023" s="36"/>
      <c r="L1023" s="117"/>
      <c r="M1023" s="128"/>
      <c r="N1023" s="117"/>
      <c r="R1023" s="117"/>
      <c r="T1023" s="117"/>
      <c r="V1023" s="117"/>
      <c r="Z1023" s="117"/>
      <c r="AA1023" s="10"/>
      <c r="AB1023" s="11"/>
      <c r="AC1023" s="36"/>
      <c r="AD1023" s="36"/>
      <c r="AE1023" s="13"/>
      <c r="AF1023" s="13"/>
      <c r="AG1023" s="37"/>
      <c r="AH1023" s="37"/>
      <c r="AI1023" s="14"/>
      <c r="AJ1023" s="14"/>
      <c r="AK1023" s="14"/>
      <c r="BB1023" s="24"/>
    </row>
    <row r="1024">
      <c r="B1024" s="24"/>
      <c r="E1024" s="113"/>
      <c r="F1024" s="266"/>
      <c r="G1024" s="113"/>
      <c r="K1024" s="36"/>
      <c r="L1024" s="117"/>
      <c r="M1024" s="128"/>
      <c r="N1024" s="117"/>
      <c r="R1024" s="117"/>
      <c r="T1024" s="117"/>
      <c r="V1024" s="117"/>
      <c r="Z1024" s="117"/>
      <c r="AA1024" s="10"/>
      <c r="AB1024" s="11"/>
      <c r="AC1024" s="36"/>
      <c r="AD1024" s="36"/>
      <c r="AE1024" s="13"/>
      <c r="AF1024" s="13"/>
      <c r="AG1024" s="37"/>
      <c r="AH1024" s="37"/>
      <c r="AI1024" s="14"/>
      <c r="AJ1024" s="14"/>
      <c r="AK1024" s="14"/>
      <c r="BB1024" s="24"/>
    </row>
    <row r="1025">
      <c r="B1025" s="24"/>
      <c r="E1025" s="113"/>
      <c r="F1025" s="266"/>
      <c r="G1025" s="113"/>
      <c r="K1025" s="36"/>
      <c r="L1025" s="117"/>
      <c r="M1025" s="128"/>
      <c r="N1025" s="117"/>
      <c r="R1025" s="117"/>
      <c r="T1025" s="117"/>
      <c r="V1025" s="117"/>
      <c r="Z1025" s="117"/>
      <c r="AA1025" s="10"/>
      <c r="AB1025" s="11"/>
      <c r="AC1025" s="36"/>
      <c r="AD1025" s="36"/>
      <c r="AE1025" s="13"/>
      <c r="AF1025" s="13"/>
      <c r="AG1025" s="37"/>
      <c r="AH1025" s="37"/>
      <c r="AI1025" s="14"/>
      <c r="AJ1025" s="14"/>
      <c r="AK1025" s="14"/>
      <c r="BB1025" s="24"/>
    </row>
    <row r="1026">
      <c r="B1026" s="24"/>
      <c r="E1026" s="113"/>
      <c r="F1026" s="266"/>
      <c r="G1026" s="113"/>
      <c r="K1026" s="36"/>
      <c r="L1026" s="117"/>
      <c r="M1026" s="128"/>
      <c r="N1026" s="117"/>
      <c r="R1026" s="117"/>
      <c r="T1026" s="117"/>
      <c r="V1026" s="117"/>
      <c r="Z1026" s="117"/>
      <c r="AA1026" s="10"/>
      <c r="AB1026" s="11"/>
      <c r="AC1026" s="36"/>
      <c r="AD1026" s="36"/>
      <c r="AE1026" s="13"/>
      <c r="AF1026" s="13"/>
      <c r="AG1026" s="37"/>
      <c r="AH1026" s="37"/>
      <c r="AI1026" s="14"/>
      <c r="AJ1026" s="14"/>
      <c r="AK1026" s="14"/>
      <c r="BB1026" s="24"/>
    </row>
    <row r="1027">
      <c r="B1027" s="24"/>
      <c r="E1027" s="113"/>
      <c r="F1027" s="266"/>
      <c r="G1027" s="113"/>
      <c r="K1027" s="36"/>
      <c r="L1027" s="117"/>
      <c r="M1027" s="128"/>
      <c r="N1027" s="117"/>
      <c r="R1027" s="117"/>
      <c r="T1027" s="117"/>
      <c r="V1027" s="117"/>
      <c r="Z1027" s="117"/>
      <c r="AA1027" s="10"/>
      <c r="AB1027" s="11"/>
      <c r="AC1027" s="36"/>
      <c r="AD1027" s="36"/>
      <c r="AE1027" s="13"/>
      <c r="AF1027" s="13"/>
      <c r="AG1027" s="37"/>
      <c r="AH1027" s="37"/>
      <c r="AI1027" s="14"/>
      <c r="AJ1027" s="14"/>
      <c r="AK1027" s="14"/>
      <c r="BB1027" s="24"/>
    </row>
    <row r="1028">
      <c r="B1028" s="24"/>
      <c r="E1028" s="113"/>
      <c r="F1028" s="266"/>
      <c r="G1028" s="113"/>
      <c r="K1028" s="36"/>
      <c r="L1028" s="117"/>
      <c r="M1028" s="128"/>
      <c r="N1028" s="117"/>
      <c r="R1028" s="117"/>
      <c r="T1028" s="117"/>
      <c r="V1028" s="117"/>
      <c r="Z1028" s="117"/>
      <c r="AA1028" s="10"/>
      <c r="AB1028" s="11"/>
      <c r="AC1028" s="36"/>
      <c r="AD1028" s="36"/>
      <c r="AE1028" s="13"/>
      <c r="AF1028" s="13"/>
      <c r="AG1028" s="37"/>
      <c r="AH1028" s="37"/>
      <c r="AI1028" s="14"/>
      <c r="AJ1028" s="14"/>
      <c r="AK1028" s="14"/>
      <c r="BB1028" s="24"/>
    </row>
    <row r="1029">
      <c r="B1029" s="24"/>
      <c r="E1029" s="113"/>
      <c r="F1029" s="266"/>
      <c r="G1029" s="113"/>
      <c r="K1029" s="36"/>
      <c r="L1029" s="117"/>
      <c r="M1029" s="128"/>
      <c r="N1029" s="117"/>
      <c r="R1029" s="117"/>
      <c r="T1029" s="117"/>
      <c r="V1029" s="117"/>
      <c r="Z1029" s="117"/>
      <c r="AA1029" s="10"/>
      <c r="AB1029" s="11"/>
      <c r="AC1029" s="36"/>
      <c r="AD1029" s="36"/>
      <c r="AE1029" s="13"/>
      <c r="AF1029" s="13"/>
      <c r="AG1029" s="37"/>
      <c r="AH1029" s="37"/>
      <c r="AI1029" s="14"/>
      <c r="AJ1029" s="14"/>
      <c r="AK1029" s="14"/>
      <c r="BB1029" s="24"/>
    </row>
    <row r="1030">
      <c r="B1030" s="24"/>
      <c r="E1030" s="113"/>
      <c r="F1030" s="266"/>
      <c r="G1030" s="113"/>
      <c r="K1030" s="36"/>
      <c r="L1030" s="117"/>
      <c r="M1030" s="128"/>
      <c r="N1030" s="117"/>
      <c r="R1030" s="117"/>
      <c r="T1030" s="117"/>
      <c r="V1030" s="117"/>
      <c r="Z1030" s="117"/>
      <c r="AA1030" s="10"/>
      <c r="AB1030" s="11"/>
      <c r="AC1030" s="36"/>
      <c r="AD1030" s="36"/>
      <c r="AE1030" s="13"/>
      <c r="AF1030" s="13"/>
      <c r="AG1030" s="37"/>
      <c r="AH1030" s="37"/>
      <c r="AI1030" s="14"/>
      <c r="AJ1030" s="14"/>
      <c r="AK1030" s="14"/>
      <c r="BB1030" s="24"/>
    </row>
    <row r="1031">
      <c r="B1031" s="24"/>
      <c r="E1031" s="113"/>
      <c r="F1031" s="266"/>
      <c r="G1031" s="113"/>
      <c r="K1031" s="36"/>
      <c r="L1031" s="117"/>
      <c r="M1031" s="128"/>
      <c r="N1031" s="117"/>
      <c r="R1031" s="117"/>
      <c r="T1031" s="117"/>
      <c r="V1031" s="117"/>
      <c r="Z1031" s="117"/>
      <c r="AA1031" s="10"/>
      <c r="AB1031" s="11"/>
      <c r="AC1031" s="36"/>
      <c r="AD1031" s="36"/>
      <c r="AE1031" s="13"/>
      <c r="AF1031" s="13"/>
      <c r="AG1031" s="37"/>
      <c r="AH1031" s="37"/>
      <c r="AI1031" s="14"/>
      <c r="AJ1031" s="14"/>
      <c r="AK1031" s="14"/>
      <c r="BB1031" s="24"/>
    </row>
    <row r="1032">
      <c r="B1032" s="24"/>
      <c r="E1032" s="113"/>
      <c r="F1032" s="266"/>
      <c r="G1032" s="113"/>
      <c r="K1032" s="36"/>
      <c r="L1032" s="117"/>
      <c r="M1032" s="128"/>
      <c r="N1032" s="117"/>
      <c r="R1032" s="117"/>
      <c r="T1032" s="117"/>
      <c r="V1032" s="117"/>
      <c r="Z1032" s="117"/>
      <c r="AA1032" s="10"/>
      <c r="AB1032" s="11"/>
      <c r="AC1032" s="36"/>
      <c r="AD1032" s="36"/>
      <c r="AE1032" s="13"/>
      <c r="AF1032" s="13"/>
      <c r="AG1032" s="37"/>
      <c r="AH1032" s="37"/>
      <c r="AI1032" s="14"/>
      <c r="AJ1032" s="14"/>
      <c r="AK1032" s="14"/>
      <c r="BB1032" s="24"/>
    </row>
    <row r="1033">
      <c r="B1033" s="24"/>
      <c r="E1033" s="113"/>
      <c r="F1033" s="266"/>
      <c r="G1033" s="113"/>
      <c r="K1033" s="36"/>
      <c r="L1033" s="117"/>
      <c r="M1033" s="128"/>
      <c r="N1033" s="117"/>
      <c r="R1033" s="117"/>
      <c r="T1033" s="117"/>
      <c r="V1033" s="117"/>
      <c r="Z1033" s="117"/>
      <c r="AA1033" s="10"/>
      <c r="AB1033" s="11"/>
      <c r="AC1033" s="36"/>
      <c r="AD1033" s="36"/>
      <c r="AE1033" s="13"/>
      <c r="AF1033" s="13"/>
      <c r="AG1033" s="37"/>
      <c r="AH1033" s="37"/>
      <c r="AI1033" s="14"/>
      <c r="AJ1033" s="14"/>
      <c r="AK1033" s="14"/>
      <c r="BB1033" s="24"/>
    </row>
    <row r="1034">
      <c r="B1034" s="24"/>
      <c r="E1034" s="113"/>
      <c r="F1034" s="266"/>
      <c r="G1034" s="113"/>
      <c r="K1034" s="36"/>
      <c r="L1034" s="117"/>
      <c r="M1034" s="128"/>
      <c r="N1034" s="117"/>
      <c r="R1034" s="117"/>
      <c r="T1034" s="117"/>
      <c r="V1034" s="117"/>
      <c r="Z1034" s="117"/>
      <c r="AA1034" s="10"/>
      <c r="AB1034" s="11"/>
      <c r="AC1034" s="36"/>
      <c r="AD1034" s="36"/>
      <c r="AE1034" s="13"/>
      <c r="AF1034" s="13"/>
      <c r="AG1034" s="37"/>
      <c r="AH1034" s="37"/>
      <c r="AI1034" s="14"/>
      <c r="AJ1034" s="14"/>
      <c r="AK1034" s="14"/>
      <c r="BB1034" s="24"/>
    </row>
    <row r="1035">
      <c r="B1035" s="24"/>
      <c r="E1035" s="113"/>
      <c r="F1035" s="266"/>
      <c r="G1035" s="113"/>
      <c r="K1035" s="36"/>
      <c r="L1035" s="117"/>
      <c r="M1035" s="128"/>
      <c r="N1035" s="117"/>
      <c r="R1035" s="117"/>
      <c r="T1035" s="117"/>
      <c r="V1035" s="117"/>
      <c r="Z1035" s="117"/>
      <c r="AA1035" s="10"/>
      <c r="AB1035" s="11"/>
      <c r="AC1035" s="36"/>
      <c r="AD1035" s="36"/>
      <c r="AE1035" s="13"/>
      <c r="AF1035" s="13"/>
      <c r="AG1035" s="37"/>
      <c r="AH1035" s="37"/>
      <c r="AI1035" s="14"/>
      <c r="AJ1035" s="14"/>
      <c r="AK1035" s="14"/>
      <c r="BB1035" s="24"/>
    </row>
    <row r="1036">
      <c r="B1036" s="24"/>
      <c r="E1036" s="113"/>
      <c r="F1036" s="266"/>
      <c r="G1036" s="113"/>
      <c r="K1036" s="36"/>
      <c r="L1036" s="117"/>
      <c r="M1036" s="128"/>
      <c r="N1036" s="117"/>
      <c r="R1036" s="117"/>
      <c r="T1036" s="117"/>
      <c r="V1036" s="117"/>
      <c r="Z1036" s="117"/>
      <c r="AA1036" s="10"/>
      <c r="AB1036" s="11"/>
      <c r="AC1036" s="36"/>
      <c r="AD1036" s="36"/>
      <c r="AE1036" s="13"/>
      <c r="AF1036" s="13"/>
      <c r="AG1036" s="37"/>
      <c r="AH1036" s="37"/>
      <c r="AI1036" s="14"/>
      <c r="AJ1036" s="14"/>
      <c r="AK1036" s="14"/>
      <c r="BB1036" s="24"/>
    </row>
    <row r="1037">
      <c r="B1037" s="24"/>
      <c r="E1037" s="113"/>
      <c r="F1037" s="266"/>
      <c r="G1037" s="113"/>
      <c r="K1037" s="36"/>
      <c r="L1037" s="117"/>
      <c r="M1037" s="128"/>
      <c r="N1037" s="117"/>
      <c r="R1037" s="117"/>
      <c r="T1037" s="117"/>
      <c r="V1037" s="117"/>
      <c r="Z1037" s="117"/>
      <c r="AA1037" s="10"/>
      <c r="AB1037" s="11"/>
      <c r="AC1037" s="36"/>
      <c r="AD1037" s="36"/>
      <c r="AE1037" s="13"/>
      <c r="AF1037" s="13"/>
      <c r="AG1037" s="37"/>
      <c r="AH1037" s="37"/>
      <c r="AI1037" s="14"/>
      <c r="AJ1037" s="14"/>
      <c r="AK1037" s="14"/>
      <c r="BB1037" s="24"/>
    </row>
    <row r="1038">
      <c r="B1038" s="24"/>
      <c r="E1038" s="113"/>
      <c r="F1038" s="266"/>
      <c r="G1038" s="113"/>
      <c r="K1038" s="36"/>
      <c r="L1038" s="117"/>
      <c r="M1038" s="128"/>
      <c r="N1038" s="117"/>
      <c r="R1038" s="117"/>
      <c r="T1038" s="117"/>
      <c r="V1038" s="117"/>
      <c r="Z1038" s="117"/>
      <c r="AA1038" s="10"/>
      <c r="AB1038" s="11"/>
      <c r="AC1038" s="36"/>
      <c r="AD1038" s="36"/>
      <c r="AE1038" s="13"/>
      <c r="AF1038" s="13"/>
      <c r="AG1038" s="37"/>
      <c r="AH1038" s="37"/>
      <c r="AI1038" s="14"/>
      <c r="AJ1038" s="14"/>
      <c r="AK1038" s="14"/>
      <c r="BB1038" s="24"/>
    </row>
    <row r="1039">
      <c r="B1039" s="24"/>
      <c r="E1039" s="113"/>
      <c r="F1039" s="266"/>
      <c r="G1039" s="113"/>
      <c r="K1039" s="36"/>
      <c r="L1039" s="117"/>
      <c r="M1039" s="128"/>
      <c r="N1039" s="117"/>
      <c r="R1039" s="117"/>
      <c r="T1039" s="117"/>
      <c r="V1039" s="117"/>
      <c r="Z1039" s="117"/>
      <c r="AA1039" s="10"/>
      <c r="AB1039" s="11"/>
      <c r="AC1039" s="36"/>
      <c r="AD1039" s="36"/>
      <c r="AE1039" s="13"/>
      <c r="AF1039" s="13"/>
      <c r="AG1039" s="37"/>
      <c r="AH1039" s="37"/>
      <c r="AI1039" s="14"/>
      <c r="AJ1039" s="14"/>
      <c r="AK1039" s="14"/>
      <c r="BB1039" s="24"/>
    </row>
    <row r="1040">
      <c r="B1040" s="24"/>
      <c r="E1040" s="113"/>
      <c r="F1040" s="266"/>
      <c r="G1040" s="113"/>
      <c r="K1040" s="36"/>
      <c r="L1040" s="117"/>
      <c r="M1040" s="128"/>
      <c r="N1040" s="117"/>
      <c r="R1040" s="117"/>
      <c r="T1040" s="117"/>
      <c r="V1040" s="117"/>
      <c r="Z1040" s="117"/>
      <c r="AA1040" s="10"/>
      <c r="AB1040" s="11"/>
      <c r="AC1040" s="36"/>
      <c r="AD1040" s="36"/>
      <c r="AE1040" s="13"/>
      <c r="AF1040" s="13"/>
      <c r="AG1040" s="37"/>
      <c r="AH1040" s="37"/>
      <c r="AI1040" s="14"/>
      <c r="AJ1040" s="14"/>
      <c r="AK1040" s="14"/>
      <c r="BB1040" s="24"/>
    </row>
    <row r="1041">
      <c r="B1041" s="24"/>
      <c r="E1041" s="113"/>
      <c r="F1041" s="266"/>
      <c r="G1041" s="113"/>
      <c r="K1041" s="36"/>
      <c r="L1041" s="117"/>
      <c r="M1041" s="128"/>
      <c r="N1041" s="117"/>
      <c r="R1041" s="117"/>
      <c r="T1041" s="117"/>
      <c r="V1041" s="117"/>
      <c r="Z1041" s="117"/>
      <c r="AA1041" s="10"/>
      <c r="AB1041" s="11"/>
      <c r="AC1041" s="36"/>
      <c r="AD1041" s="36"/>
      <c r="AE1041" s="13"/>
      <c r="AF1041" s="13"/>
      <c r="AG1041" s="37"/>
      <c r="AH1041" s="37"/>
      <c r="AI1041" s="14"/>
      <c r="AJ1041" s="14"/>
      <c r="AK1041" s="14"/>
      <c r="BB1041" s="24"/>
    </row>
    <row r="1042">
      <c r="B1042" s="24"/>
      <c r="E1042" s="113"/>
      <c r="F1042" s="266"/>
      <c r="G1042" s="113"/>
      <c r="K1042" s="36"/>
      <c r="L1042" s="117"/>
      <c r="M1042" s="128"/>
      <c r="N1042" s="117"/>
      <c r="R1042" s="117"/>
      <c r="T1042" s="117"/>
      <c r="V1042" s="117"/>
      <c r="Z1042" s="117"/>
      <c r="AA1042" s="10"/>
      <c r="AB1042" s="11"/>
      <c r="AC1042" s="36"/>
      <c r="AD1042" s="36"/>
      <c r="AE1042" s="13"/>
      <c r="AF1042" s="13"/>
      <c r="AG1042" s="37"/>
      <c r="AH1042" s="37"/>
      <c r="AI1042" s="14"/>
      <c r="AJ1042" s="14"/>
      <c r="AK1042" s="14"/>
      <c r="BB1042" s="24"/>
    </row>
    <row r="1043">
      <c r="B1043" s="24"/>
      <c r="E1043" s="113"/>
      <c r="F1043" s="266"/>
      <c r="G1043" s="113"/>
      <c r="K1043" s="36"/>
      <c r="L1043" s="117"/>
      <c r="M1043" s="128"/>
      <c r="N1043" s="117"/>
      <c r="R1043" s="117"/>
      <c r="T1043" s="117"/>
      <c r="V1043" s="117"/>
      <c r="Z1043" s="117"/>
      <c r="AA1043" s="10"/>
      <c r="AB1043" s="11"/>
      <c r="AC1043" s="36"/>
      <c r="AD1043" s="36"/>
      <c r="AE1043" s="13"/>
      <c r="AF1043" s="13"/>
      <c r="AG1043" s="37"/>
      <c r="AH1043" s="37"/>
      <c r="AI1043" s="14"/>
      <c r="AJ1043" s="14"/>
      <c r="AK1043" s="14"/>
      <c r="BB1043" s="24"/>
    </row>
    <row r="1044">
      <c r="B1044" s="24"/>
      <c r="E1044" s="113"/>
      <c r="F1044" s="266"/>
      <c r="G1044" s="113"/>
      <c r="K1044" s="36"/>
      <c r="L1044" s="117"/>
      <c r="M1044" s="128"/>
      <c r="N1044" s="117"/>
      <c r="R1044" s="117"/>
      <c r="T1044" s="117"/>
      <c r="V1044" s="117"/>
      <c r="Z1044" s="117"/>
      <c r="AA1044" s="10"/>
      <c r="AB1044" s="11"/>
      <c r="AC1044" s="36"/>
      <c r="AD1044" s="36"/>
      <c r="AE1044" s="13"/>
      <c r="AF1044" s="13"/>
      <c r="AG1044" s="37"/>
      <c r="AH1044" s="37"/>
      <c r="AI1044" s="14"/>
      <c r="AJ1044" s="14"/>
      <c r="AK1044" s="14"/>
      <c r="BB1044" s="24"/>
    </row>
    <row r="1045">
      <c r="B1045" s="24"/>
      <c r="E1045" s="113"/>
      <c r="F1045" s="266"/>
      <c r="G1045" s="113"/>
      <c r="K1045" s="36"/>
      <c r="L1045" s="117"/>
      <c r="M1045" s="128"/>
      <c r="N1045" s="117"/>
      <c r="R1045" s="117"/>
      <c r="T1045" s="117"/>
      <c r="V1045" s="117"/>
      <c r="Z1045" s="117"/>
      <c r="AA1045" s="10"/>
      <c r="AB1045" s="11"/>
      <c r="AC1045" s="36"/>
      <c r="AD1045" s="36"/>
      <c r="AE1045" s="13"/>
      <c r="AF1045" s="13"/>
      <c r="AG1045" s="37"/>
      <c r="AH1045" s="37"/>
      <c r="AI1045" s="14"/>
      <c r="AJ1045" s="14"/>
      <c r="AK1045" s="14"/>
      <c r="BB1045" s="24"/>
    </row>
    <row r="1046">
      <c r="B1046" s="24"/>
      <c r="E1046" s="113"/>
      <c r="F1046" s="266"/>
      <c r="G1046" s="113"/>
      <c r="K1046" s="36"/>
      <c r="L1046" s="117"/>
      <c r="M1046" s="128"/>
      <c r="N1046" s="117"/>
      <c r="R1046" s="117"/>
      <c r="T1046" s="117"/>
      <c r="V1046" s="117"/>
      <c r="Z1046" s="117"/>
      <c r="AA1046" s="10"/>
      <c r="AB1046" s="11"/>
      <c r="AC1046" s="36"/>
      <c r="AD1046" s="36"/>
      <c r="AE1046" s="13"/>
      <c r="AF1046" s="13"/>
      <c r="AG1046" s="37"/>
      <c r="AH1046" s="37"/>
      <c r="AI1046" s="14"/>
      <c r="AJ1046" s="14"/>
      <c r="AK1046" s="14"/>
      <c r="BB1046" s="24"/>
    </row>
    <row r="1047">
      <c r="B1047" s="24"/>
      <c r="E1047" s="113"/>
      <c r="F1047" s="266"/>
      <c r="G1047" s="113"/>
      <c r="K1047" s="36"/>
      <c r="L1047" s="117"/>
      <c r="M1047" s="128"/>
      <c r="N1047" s="117"/>
      <c r="R1047" s="117"/>
      <c r="T1047" s="117"/>
      <c r="V1047" s="117"/>
      <c r="Z1047" s="117"/>
      <c r="AA1047" s="10"/>
      <c r="AB1047" s="11"/>
      <c r="AC1047" s="36"/>
      <c r="AD1047" s="36"/>
      <c r="AE1047" s="13"/>
      <c r="AF1047" s="13"/>
      <c r="AG1047" s="37"/>
      <c r="AH1047" s="37"/>
      <c r="AI1047" s="14"/>
      <c r="AJ1047" s="14"/>
      <c r="AK1047" s="14"/>
      <c r="BB1047" s="24"/>
    </row>
    <row r="1048">
      <c r="B1048" s="24"/>
      <c r="E1048" s="113"/>
      <c r="F1048" s="266"/>
      <c r="G1048" s="113"/>
      <c r="K1048" s="36"/>
      <c r="L1048" s="117"/>
      <c r="M1048" s="128"/>
      <c r="N1048" s="117"/>
      <c r="R1048" s="117"/>
      <c r="T1048" s="117"/>
      <c r="V1048" s="117"/>
      <c r="Z1048" s="117"/>
      <c r="AA1048" s="10"/>
      <c r="AB1048" s="11"/>
      <c r="AC1048" s="36"/>
      <c r="AD1048" s="36"/>
      <c r="AE1048" s="13"/>
      <c r="AF1048" s="13"/>
      <c r="AG1048" s="37"/>
      <c r="AH1048" s="37"/>
      <c r="AI1048" s="14"/>
      <c r="AJ1048" s="14"/>
      <c r="AK1048" s="14"/>
      <c r="BB1048" s="24"/>
    </row>
    <row r="1049">
      <c r="B1049" s="24"/>
      <c r="E1049" s="113"/>
      <c r="F1049" s="266"/>
      <c r="G1049" s="113"/>
      <c r="K1049" s="36"/>
      <c r="L1049" s="117"/>
      <c r="M1049" s="128"/>
      <c r="N1049" s="117"/>
      <c r="R1049" s="117"/>
      <c r="T1049" s="117"/>
      <c r="V1049" s="117"/>
      <c r="Z1049" s="117"/>
      <c r="AA1049" s="10"/>
      <c r="AB1049" s="11"/>
      <c r="AC1049" s="36"/>
      <c r="AD1049" s="36"/>
      <c r="AE1049" s="13"/>
      <c r="AF1049" s="13"/>
      <c r="AG1049" s="37"/>
      <c r="AH1049" s="37"/>
      <c r="AI1049" s="14"/>
      <c r="AJ1049" s="14"/>
      <c r="AK1049" s="14"/>
      <c r="BB1049" s="24"/>
    </row>
    <row r="1050">
      <c r="B1050" s="24"/>
      <c r="E1050" s="113"/>
      <c r="F1050" s="266"/>
      <c r="G1050" s="113"/>
      <c r="K1050" s="36"/>
      <c r="L1050" s="117"/>
      <c r="M1050" s="128"/>
      <c r="N1050" s="117"/>
      <c r="R1050" s="117"/>
      <c r="T1050" s="117"/>
      <c r="V1050" s="117"/>
      <c r="Z1050" s="117"/>
      <c r="AA1050" s="10"/>
      <c r="AB1050" s="11"/>
      <c r="AC1050" s="36"/>
      <c r="AD1050" s="36"/>
      <c r="AE1050" s="13"/>
      <c r="AF1050" s="13"/>
      <c r="AG1050" s="37"/>
      <c r="AH1050" s="37"/>
      <c r="AI1050" s="14"/>
      <c r="AJ1050" s="14"/>
      <c r="AK1050" s="14"/>
      <c r="BB1050" s="24"/>
    </row>
    <row r="1051">
      <c r="B1051" s="24"/>
      <c r="E1051" s="113"/>
      <c r="F1051" s="266"/>
      <c r="G1051" s="113"/>
      <c r="K1051" s="36"/>
      <c r="L1051" s="117"/>
      <c r="M1051" s="128"/>
      <c r="N1051" s="117"/>
      <c r="R1051" s="117"/>
      <c r="T1051" s="117"/>
      <c r="V1051" s="117"/>
      <c r="Z1051" s="117"/>
      <c r="AA1051" s="10"/>
      <c r="AB1051" s="11"/>
      <c r="AC1051" s="36"/>
      <c r="AD1051" s="36"/>
      <c r="AE1051" s="13"/>
      <c r="AF1051" s="13"/>
      <c r="AG1051" s="37"/>
      <c r="AH1051" s="37"/>
      <c r="AI1051" s="14"/>
      <c r="AJ1051" s="14"/>
      <c r="AK1051" s="14"/>
      <c r="BB1051" s="24"/>
    </row>
    <row r="1052">
      <c r="B1052" s="24"/>
      <c r="E1052" s="113"/>
      <c r="F1052" s="266"/>
      <c r="G1052" s="113"/>
      <c r="K1052" s="36"/>
      <c r="L1052" s="117"/>
      <c r="M1052" s="128"/>
      <c r="N1052" s="117"/>
      <c r="R1052" s="117"/>
      <c r="T1052" s="117"/>
      <c r="V1052" s="117"/>
      <c r="Z1052" s="117"/>
      <c r="AA1052" s="10"/>
      <c r="AB1052" s="11"/>
      <c r="AC1052" s="36"/>
      <c r="AD1052" s="36"/>
      <c r="AE1052" s="13"/>
      <c r="AF1052" s="13"/>
      <c r="AG1052" s="37"/>
      <c r="AH1052" s="37"/>
      <c r="AI1052" s="14"/>
      <c r="AJ1052" s="14"/>
      <c r="AK1052" s="14"/>
      <c r="BB1052" s="24"/>
    </row>
    <row r="1053">
      <c r="B1053" s="24"/>
      <c r="E1053" s="113"/>
      <c r="F1053" s="266"/>
      <c r="G1053" s="113"/>
      <c r="K1053" s="36"/>
      <c r="L1053" s="117"/>
      <c r="M1053" s="128"/>
      <c r="N1053" s="117"/>
      <c r="R1053" s="117"/>
      <c r="T1053" s="117"/>
      <c r="V1053" s="117"/>
      <c r="Z1053" s="117"/>
      <c r="AA1053" s="10"/>
      <c r="AB1053" s="11"/>
      <c r="AC1053" s="36"/>
      <c r="AD1053" s="36"/>
      <c r="AE1053" s="13"/>
      <c r="AF1053" s="13"/>
      <c r="AG1053" s="37"/>
      <c r="AH1053" s="37"/>
      <c r="AI1053" s="14"/>
      <c r="AJ1053" s="14"/>
      <c r="AK1053" s="14"/>
      <c r="BB1053" s="24"/>
    </row>
    <row r="1054">
      <c r="B1054" s="24"/>
      <c r="E1054" s="113"/>
      <c r="F1054" s="266"/>
      <c r="G1054" s="113"/>
      <c r="K1054" s="36"/>
      <c r="L1054" s="117"/>
      <c r="M1054" s="128"/>
      <c r="N1054" s="117"/>
      <c r="R1054" s="117"/>
      <c r="T1054" s="117"/>
      <c r="V1054" s="117"/>
      <c r="Z1054" s="117"/>
      <c r="AA1054" s="10"/>
      <c r="AB1054" s="11"/>
      <c r="AC1054" s="36"/>
      <c r="AD1054" s="36"/>
      <c r="AE1054" s="13"/>
      <c r="AF1054" s="13"/>
      <c r="AG1054" s="37"/>
      <c r="AH1054" s="37"/>
      <c r="AI1054" s="14"/>
      <c r="AJ1054" s="14"/>
      <c r="AK1054" s="14"/>
      <c r="BB1054" s="24"/>
    </row>
    <row r="1055">
      <c r="B1055" s="24"/>
      <c r="E1055" s="113"/>
      <c r="F1055" s="266"/>
      <c r="G1055" s="113"/>
      <c r="K1055" s="36"/>
      <c r="L1055" s="117"/>
      <c r="M1055" s="128"/>
      <c r="N1055" s="117"/>
      <c r="R1055" s="117"/>
      <c r="T1055" s="117"/>
      <c r="V1055" s="117"/>
      <c r="Z1055" s="117"/>
      <c r="AA1055" s="10"/>
      <c r="AB1055" s="11"/>
      <c r="AC1055" s="36"/>
      <c r="AD1055" s="36"/>
      <c r="AE1055" s="13"/>
      <c r="AF1055" s="13"/>
      <c r="AG1055" s="37"/>
      <c r="AH1055" s="37"/>
      <c r="AI1055" s="14"/>
      <c r="AJ1055" s="14"/>
      <c r="AK1055" s="14"/>
      <c r="BB1055" s="24"/>
    </row>
    <row r="1056">
      <c r="B1056" s="24"/>
      <c r="E1056" s="113"/>
      <c r="F1056" s="266"/>
      <c r="G1056" s="113"/>
      <c r="K1056" s="36"/>
      <c r="L1056" s="117"/>
      <c r="M1056" s="128"/>
      <c r="N1056" s="117"/>
      <c r="R1056" s="117"/>
      <c r="T1056" s="117"/>
      <c r="V1056" s="117"/>
      <c r="Z1056" s="117"/>
      <c r="AA1056" s="10"/>
      <c r="AB1056" s="11"/>
      <c r="AC1056" s="36"/>
      <c r="AD1056" s="36"/>
      <c r="AE1056" s="13"/>
      <c r="AF1056" s="13"/>
      <c r="AG1056" s="37"/>
      <c r="AH1056" s="37"/>
      <c r="AI1056" s="14"/>
      <c r="AJ1056" s="14"/>
      <c r="AK1056" s="14"/>
      <c r="BB1056" s="24"/>
    </row>
    <row r="1057">
      <c r="B1057" s="24"/>
      <c r="E1057" s="113"/>
      <c r="F1057" s="266"/>
      <c r="G1057" s="113"/>
      <c r="K1057" s="36"/>
      <c r="L1057" s="117"/>
      <c r="M1057" s="128"/>
      <c r="N1057" s="117"/>
      <c r="R1057" s="117"/>
      <c r="T1057" s="117"/>
      <c r="V1057" s="117"/>
      <c r="Z1057" s="117"/>
      <c r="AA1057" s="10"/>
      <c r="AB1057" s="11"/>
      <c r="AC1057" s="36"/>
      <c r="AD1057" s="36"/>
      <c r="AE1057" s="13"/>
      <c r="AF1057" s="13"/>
      <c r="AG1057" s="37"/>
      <c r="AH1057" s="37"/>
      <c r="AI1057" s="14"/>
      <c r="AJ1057" s="14"/>
      <c r="AK1057" s="14"/>
      <c r="BB1057" s="24"/>
    </row>
    <row r="1058">
      <c r="B1058" s="24"/>
      <c r="E1058" s="113"/>
      <c r="F1058" s="266"/>
      <c r="G1058" s="113"/>
      <c r="K1058" s="36"/>
      <c r="L1058" s="117"/>
      <c r="M1058" s="128"/>
      <c r="N1058" s="117"/>
      <c r="R1058" s="117"/>
      <c r="T1058" s="117"/>
      <c r="V1058" s="117"/>
      <c r="Z1058" s="117"/>
      <c r="AA1058" s="10"/>
      <c r="AB1058" s="11"/>
      <c r="AC1058" s="36"/>
      <c r="AD1058" s="36"/>
      <c r="AE1058" s="13"/>
      <c r="AF1058" s="13"/>
      <c r="AG1058" s="37"/>
      <c r="AH1058" s="37"/>
      <c r="AI1058" s="14"/>
      <c r="AJ1058" s="14"/>
      <c r="AK1058" s="14"/>
      <c r="BB1058" s="24"/>
    </row>
    <row r="1059">
      <c r="B1059" s="24"/>
      <c r="E1059" s="113"/>
      <c r="F1059" s="266"/>
      <c r="G1059" s="113"/>
      <c r="K1059" s="36"/>
      <c r="L1059" s="117"/>
      <c r="M1059" s="128"/>
      <c r="N1059" s="117"/>
      <c r="R1059" s="117"/>
      <c r="T1059" s="117"/>
      <c r="V1059" s="117"/>
      <c r="Z1059" s="117"/>
      <c r="AA1059" s="10"/>
      <c r="AB1059" s="11"/>
      <c r="AC1059" s="36"/>
      <c r="AD1059" s="36"/>
      <c r="AE1059" s="13"/>
      <c r="AF1059" s="13"/>
      <c r="AG1059" s="37"/>
      <c r="AH1059" s="37"/>
      <c r="AI1059" s="14"/>
      <c r="AJ1059" s="14"/>
      <c r="AK1059" s="14"/>
      <c r="BB1059" s="24"/>
    </row>
    <row r="1060">
      <c r="B1060" s="24"/>
      <c r="E1060" s="113"/>
      <c r="F1060" s="266"/>
      <c r="G1060" s="113"/>
      <c r="K1060" s="36"/>
      <c r="L1060" s="117"/>
      <c r="M1060" s="128"/>
      <c r="N1060" s="117"/>
      <c r="R1060" s="117"/>
      <c r="T1060" s="117"/>
      <c r="V1060" s="117"/>
      <c r="Z1060" s="117"/>
      <c r="AA1060" s="10"/>
      <c r="AB1060" s="11"/>
      <c r="AC1060" s="36"/>
      <c r="AD1060" s="36"/>
      <c r="AE1060" s="13"/>
      <c r="AF1060" s="13"/>
      <c r="AG1060" s="37"/>
      <c r="AH1060" s="37"/>
      <c r="AI1060" s="14"/>
      <c r="AJ1060" s="14"/>
      <c r="AK1060" s="14"/>
      <c r="BB1060" s="24"/>
    </row>
    <row r="1061">
      <c r="B1061" s="24"/>
      <c r="E1061" s="113"/>
      <c r="F1061" s="266"/>
      <c r="G1061" s="113"/>
      <c r="K1061" s="36"/>
      <c r="L1061" s="117"/>
      <c r="M1061" s="128"/>
      <c r="N1061" s="117"/>
      <c r="R1061" s="117"/>
      <c r="T1061" s="117"/>
      <c r="V1061" s="117"/>
      <c r="Z1061" s="117"/>
      <c r="AA1061" s="10"/>
      <c r="AB1061" s="11"/>
      <c r="AC1061" s="36"/>
      <c r="AD1061" s="36"/>
      <c r="AE1061" s="13"/>
      <c r="AF1061" s="13"/>
      <c r="AG1061" s="37"/>
      <c r="AH1061" s="37"/>
      <c r="AI1061" s="14"/>
      <c r="AJ1061" s="14"/>
      <c r="AK1061" s="14"/>
      <c r="BB1061" s="24"/>
    </row>
    <row r="1062">
      <c r="B1062" s="24"/>
      <c r="E1062" s="113"/>
      <c r="F1062" s="266"/>
      <c r="G1062" s="113"/>
      <c r="K1062" s="36"/>
      <c r="L1062" s="117"/>
      <c r="M1062" s="128"/>
      <c r="N1062" s="117"/>
      <c r="R1062" s="117"/>
      <c r="T1062" s="117"/>
      <c r="V1062" s="117"/>
      <c r="Z1062" s="117"/>
      <c r="AA1062" s="10"/>
      <c r="AB1062" s="11"/>
      <c r="AC1062" s="36"/>
      <c r="AD1062" s="36"/>
      <c r="AE1062" s="13"/>
      <c r="AF1062" s="13"/>
      <c r="AG1062" s="37"/>
      <c r="AH1062" s="37"/>
      <c r="AI1062" s="14"/>
      <c r="AJ1062" s="14"/>
      <c r="AK1062" s="14"/>
      <c r="BB1062" s="24"/>
    </row>
    <row r="1063">
      <c r="B1063" s="24"/>
      <c r="E1063" s="113"/>
      <c r="F1063" s="266"/>
      <c r="G1063" s="113"/>
      <c r="K1063" s="36"/>
      <c r="L1063" s="117"/>
      <c r="M1063" s="128"/>
      <c r="N1063" s="117"/>
      <c r="R1063" s="117"/>
      <c r="T1063" s="117"/>
      <c r="V1063" s="117"/>
      <c r="Z1063" s="117"/>
      <c r="AA1063" s="10"/>
      <c r="AB1063" s="11"/>
      <c r="AC1063" s="36"/>
      <c r="AD1063" s="36"/>
      <c r="AE1063" s="13"/>
      <c r="AF1063" s="13"/>
      <c r="AG1063" s="37"/>
      <c r="AH1063" s="37"/>
      <c r="AI1063" s="14"/>
      <c r="AJ1063" s="14"/>
      <c r="AK1063" s="14"/>
      <c r="BB1063" s="24"/>
    </row>
    <row r="1064">
      <c r="B1064" s="24"/>
      <c r="E1064" s="113"/>
      <c r="F1064" s="266"/>
      <c r="G1064" s="113"/>
      <c r="K1064" s="36"/>
      <c r="L1064" s="117"/>
      <c r="M1064" s="128"/>
      <c r="N1064" s="117"/>
      <c r="R1064" s="117"/>
      <c r="T1064" s="117"/>
      <c r="V1064" s="117"/>
      <c r="Z1064" s="117"/>
      <c r="AA1064" s="10"/>
      <c r="AB1064" s="11"/>
      <c r="AC1064" s="36"/>
      <c r="AD1064" s="36"/>
      <c r="AE1064" s="13"/>
      <c r="AF1064" s="13"/>
      <c r="AG1064" s="37"/>
      <c r="AH1064" s="37"/>
      <c r="AI1064" s="14"/>
      <c r="AJ1064" s="14"/>
      <c r="AK1064" s="14"/>
      <c r="BB1064" s="24"/>
    </row>
    <row r="1065">
      <c r="B1065" s="24"/>
      <c r="E1065" s="113"/>
      <c r="F1065" s="266"/>
      <c r="G1065" s="113"/>
      <c r="K1065" s="36"/>
      <c r="L1065" s="117"/>
      <c r="M1065" s="128"/>
      <c r="N1065" s="117"/>
      <c r="R1065" s="117"/>
      <c r="T1065" s="117"/>
      <c r="V1065" s="117"/>
      <c r="Z1065" s="117"/>
      <c r="AA1065" s="10"/>
      <c r="AB1065" s="11"/>
      <c r="AC1065" s="36"/>
      <c r="AD1065" s="36"/>
      <c r="AE1065" s="13"/>
      <c r="AF1065" s="13"/>
      <c r="AG1065" s="37"/>
      <c r="AH1065" s="37"/>
      <c r="AI1065" s="14"/>
      <c r="AJ1065" s="14"/>
      <c r="AK1065" s="14"/>
      <c r="BB1065" s="24"/>
    </row>
    <row r="1066">
      <c r="B1066" s="24"/>
      <c r="E1066" s="113"/>
      <c r="F1066" s="266"/>
      <c r="G1066" s="113"/>
      <c r="K1066" s="36"/>
      <c r="L1066" s="117"/>
      <c r="M1066" s="128"/>
      <c r="N1066" s="117"/>
      <c r="R1066" s="117"/>
      <c r="T1066" s="117"/>
      <c r="V1066" s="117"/>
      <c r="Z1066" s="117"/>
      <c r="AA1066" s="10"/>
      <c r="AB1066" s="11"/>
      <c r="AC1066" s="36"/>
      <c r="AD1066" s="36"/>
      <c r="AE1066" s="13"/>
      <c r="AF1066" s="13"/>
      <c r="AG1066" s="37"/>
      <c r="AH1066" s="37"/>
      <c r="AI1066" s="14"/>
      <c r="AJ1066" s="14"/>
      <c r="AK1066" s="14"/>
      <c r="BB1066" s="24"/>
    </row>
    <row r="1067">
      <c r="B1067" s="24"/>
      <c r="E1067" s="113"/>
      <c r="F1067" s="266"/>
      <c r="G1067" s="113"/>
      <c r="K1067" s="36"/>
      <c r="L1067" s="117"/>
      <c r="M1067" s="128"/>
      <c r="N1067" s="117"/>
      <c r="R1067" s="117"/>
      <c r="T1067" s="117"/>
      <c r="V1067" s="117"/>
      <c r="Z1067" s="117"/>
      <c r="AA1067" s="10"/>
      <c r="AB1067" s="11"/>
      <c r="AC1067" s="36"/>
      <c r="AD1067" s="36"/>
      <c r="AE1067" s="13"/>
      <c r="AF1067" s="13"/>
      <c r="AG1067" s="37"/>
      <c r="AH1067" s="37"/>
      <c r="AI1067" s="14"/>
      <c r="AJ1067" s="14"/>
      <c r="AK1067" s="14"/>
      <c r="BB1067" s="24"/>
    </row>
    <row r="1068">
      <c r="B1068" s="24"/>
      <c r="E1068" s="113"/>
      <c r="F1068" s="266"/>
      <c r="G1068" s="113"/>
      <c r="K1068" s="36"/>
      <c r="L1068" s="117"/>
      <c r="M1068" s="128"/>
      <c r="N1068" s="117"/>
      <c r="R1068" s="117"/>
      <c r="T1068" s="117"/>
      <c r="V1068" s="117"/>
      <c r="Z1068" s="117"/>
      <c r="AA1068" s="10"/>
      <c r="AB1068" s="11"/>
      <c r="AC1068" s="36"/>
      <c r="AD1068" s="36"/>
      <c r="AE1068" s="13"/>
      <c r="AF1068" s="13"/>
      <c r="AG1068" s="37"/>
      <c r="AH1068" s="37"/>
      <c r="AI1068" s="14"/>
      <c r="AJ1068" s="14"/>
      <c r="AK1068" s="14"/>
      <c r="BB1068" s="24"/>
    </row>
    <row r="1069">
      <c r="B1069" s="24"/>
      <c r="E1069" s="113"/>
      <c r="F1069" s="266"/>
      <c r="G1069" s="113"/>
      <c r="K1069" s="36"/>
      <c r="L1069" s="117"/>
      <c r="M1069" s="128"/>
      <c r="N1069" s="117"/>
      <c r="R1069" s="117"/>
      <c r="T1069" s="117"/>
      <c r="V1069" s="117"/>
      <c r="Z1069" s="117"/>
      <c r="AA1069" s="10"/>
      <c r="AB1069" s="11"/>
      <c r="AC1069" s="36"/>
      <c r="AD1069" s="36"/>
      <c r="AE1069" s="13"/>
      <c r="AF1069" s="13"/>
      <c r="AG1069" s="37"/>
      <c r="AH1069" s="37"/>
      <c r="AI1069" s="14"/>
      <c r="AJ1069" s="14"/>
      <c r="AK1069" s="14"/>
      <c r="BB1069" s="24"/>
    </row>
    <row r="1070">
      <c r="B1070" s="24"/>
      <c r="E1070" s="113"/>
      <c r="F1070" s="266"/>
      <c r="G1070" s="113"/>
      <c r="K1070" s="36"/>
      <c r="L1070" s="117"/>
      <c r="M1070" s="128"/>
      <c r="N1070" s="117"/>
      <c r="R1070" s="117"/>
      <c r="T1070" s="117"/>
      <c r="V1070" s="117"/>
      <c r="Z1070" s="117"/>
      <c r="AA1070" s="10"/>
      <c r="AB1070" s="11"/>
      <c r="AC1070" s="36"/>
      <c r="AD1070" s="36"/>
      <c r="AE1070" s="13"/>
      <c r="AF1070" s="13"/>
      <c r="AG1070" s="37"/>
      <c r="AH1070" s="37"/>
      <c r="AI1070" s="14"/>
      <c r="AJ1070" s="14"/>
      <c r="AK1070" s="14"/>
      <c r="BB1070" s="24"/>
    </row>
    <row r="1071">
      <c r="B1071" s="24"/>
      <c r="E1071" s="113"/>
      <c r="F1071" s="266"/>
      <c r="G1071" s="113"/>
      <c r="K1071" s="36"/>
      <c r="L1071" s="117"/>
      <c r="M1071" s="128"/>
      <c r="N1071" s="117"/>
      <c r="R1071" s="117"/>
      <c r="T1071" s="117"/>
      <c r="V1071" s="117"/>
      <c r="Z1071" s="117"/>
      <c r="AA1071" s="10"/>
      <c r="AB1071" s="11"/>
      <c r="AC1071" s="36"/>
      <c r="AD1071" s="36"/>
      <c r="AE1071" s="13"/>
      <c r="AF1071" s="13"/>
      <c r="AG1071" s="37"/>
      <c r="AH1071" s="37"/>
      <c r="AI1071" s="14"/>
      <c r="AJ1071" s="14"/>
      <c r="AK1071" s="14"/>
      <c r="BB1071" s="24"/>
    </row>
    <row r="1072">
      <c r="B1072" s="24"/>
      <c r="E1072" s="113"/>
      <c r="F1072" s="266"/>
      <c r="G1072" s="113"/>
      <c r="K1072" s="36"/>
      <c r="L1072" s="117"/>
      <c r="M1072" s="128"/>
      <c r="N1072" s="117"/>
      <c r="R1072" s="117"/>
      <c r="T1072" s="117"/>
      <c r="V1072" s="117"/>
      <c r="Z1072" s="117"/>
      <c r="AA1072" s="10"/>
      <c r="AB1072" s="11"/>
      <c r="AC1072" s="36"/>
      <c r="AD1072" s="36"/>
      <c r="AE1072" s="13"/>
      <c r="AF1072" s="13"/>
      <c r="AG1072" s="37"/>
      <c r="AH1072" s="37"/>
      <c r="AI1072" s="14"/>
      <c r="AJ1072" s="14"/>
      <c r="AK1072" s="14"/>
      <c r="BB1072" s="24"/>
    </row>
    <row r="1073">
      <c r="B1073" s="24"/>
      <c r="E1073" s="113"/>
      <c r="F1073" s="266"/>
      <c r="G1073" s="113"/>
      <c r="K1073" s="36"/>
      <c r="L1073" s="117"/>
      <c r="M1073" s="128"/>
      <c r="N1073" s="117"/>
      <c r="R1073" s="117"/>
      <c r="T1073" s="117"/>
      <c r="V1073" s="117"/>
      <c r="Z1073" s="117"/>
      <c r="AA1073" s="10"/>
      <c r="AB1073" s="11"/>
      <c r="AC1073" s="36"/>
      <c r="AD1073" s="36"/>
      <c r="AE1073" s="13"/>
      <c r="AF1073" s="13"/>
      <c r="AG1073" s="37"/>
      <c r="AH1073" s="37"/>
      <c r="AI1073" s="14"/>
      <c r="AJ1073" s="14"/>
      <c r="AK1073" s="14"/>
      <c r="BB1073" s="24"/>
    </row>
    <row r="1074">
      <c r="B1074" s="24"/>
      <c r="E1074" s="113"/>
      <c r="F1074" s="266"/>
      <c r="G1074" s="113"/>
      <c r="K1074" s="36"/>
      <c r="L1074" s="117"/>
      <c r="M1074" s="128"/>
      <c r="N1074" s="117"/>
      <c r="R1074" s="117"/>
      <c r="T1074" s="117"/>
      <c r="V1074" s="117"/>
      <c r="Z1074" s="117"/>
      <c r="AA1074" s="10"/>
      <c r="AB1074" s="11"/>
      <c r="AC1074" s="36"/>
      <c r="AD1074" s="36"/>
      <c r="AE1074" s="13"/>
      <c r="AF1074" s="13"/>
      <c r="AG1074" s="37"/>
      <c r="AH1074" s="37"/>
      <c r="AI1074" s="14"/>
      <c r="AJ1074" s="14"/>
      <c r="AK1074" s="14"/>
      <c r="BB1074" s="24"/>
    </row>
    <row r="1075">
      <c r="B1075" s="24"/>
      <c r="E1075" s="113"/>
      <c r="F1075" s="266"/>
      <c r="G1075" s="113"/>
      <c r="K1075" s="36"/>
      <c r="L1075" s="117"/>
      <c r="M1075" s="128"/>
      <c r="N1075" s="117"/>
      <c r="R1075" s="117"/>
      <c r="T1075" s="117"/>
      <c r="V1075" s="117"/>
      <c r="Z1075" s="117"/>
      <c r="AA1075" s="10"/>
      <c r="AB1075" s="11"/>
      <c r="AC1075" s="36"/>
      <c r="AD1075" s="36"/>
      <c r="AE1075" s="13"/>
      <c r="AF1075" s="13"/>
      <c r="AG1075" s="37"/>
      <c r="AH1075" s="37"/>
      <c r="AI1075" s="14"/>
      <c r="AJ1075" s="14"/>
      <c r="AK1075" s="14"/>
      <c r="BB1075" s="24"/>
    </row>
    <row r="1076">
      <c r="B1076" s="24"/>
      <c r="E1076" s="113"/>
      <c r="F1076" s="266"/>
      <c r="G1076" s="113"/>
      <c r="K1076" s="36"/>
      <c r="L1076" s="117"/>
      <c r="M1076" s="128"/>
      <c r="N1076" s="117"/>
      <c r="R1076" s="117"/>
      <c r="T1076" s="117"/>
      <c r="V1076" s="117"/>
      <c r="Z1076" s="117"/>
      <c r="AA1076" s="10"/>
      <c r="AB1076" s="11"/>
      <c r="AC1076" s="36"/>
      <c r="AD1076" s="36"/>
      <c r="AE1076" s="13"/>
      <c r="AF1076" s="13"/>
      <c r="AG1076" s="37"/>
      <c r="AH1076" s="37"/>
      <c r="AI1076" s="14"/>
      <c r="AJ1076" s="14"/>
      <c r="AK1076" s="14"/>
      <c r="BB1076" s="24"/>
    </row>
    <row r="1077">
      <c r="B1077" s="24"/>
      <c r="E1077" s="113"/>
      <c r="F1077" s="266"/>
      <c r="G1077" s="113"/>
      <c r="K1077" s="36"/>
      <c r="L1077" s="117"/>
      <c r="M1077" s="128"/>
      <c r="N1077" s="117"/>
      <c r="R1077" s="117"/>
      <c r="T1077" s="117"/>
      <c r="V1077" s="117"/>
      <c r="Z1077" s="117"/>
      <c r="AA1077" s="10"/>
      <c r="AB1077" s="11"/>
      <c r="AC1077" s="36"/>
      <c r="AD1077" s="36"/>
      <c r="AE1077" s="13"/>
      <c r="AF1077" s="13"/>
      <c r="AG1077" s="37"/>
      <c r="AH1077" s="37"/>
      <c r="AI1077" s="14"/>
      <c r="AJ1077" s="14"/>
      <c r="AK1077" s="14"/>
      <c r="BB1077" s="24"/>
    </row>
    <row r="1078">
      <c r="B1078" s="24"/>
      <c r="E1078" s="113"/>
      <c r="F1078" s="266"/>
      <c r="G1078" s="113"/>
      <c r="K1078" s="36"/>
      <c r="L1078" s="117"/>
      <c r="M1078" s="128"/>
      <c r="N1078" s="117"/>
      <c r="R1078" s="117"/>
      <c r="T1078" s="117"/>
      <c r="V1078" s="117"/>
      <c r="Z1078" s="117"/>
      <c r="AA1078" s="10"/>
      <c r="AB1078" s="11"/>
      <c r="AC1078" s="36"/>
      <c r="AD1078" s="36"/>
      <c r="AE1078" s="13"/>
      <c r="AF1078" s="13"/>
      <c r="AG1078" s="37"/>
      <c r="AH1078" s="37"/>
      <c r="AI1078" s="14"/>
      <c r="AJ1078" s="14"/>
      <c r="AK1078" s="14"/>
      <c r="BB1078" s="24"/>
    </row>
    <row r="1079">
      <c r="B1079" s="24"/>
      <c r="E1079" s="113"/>
      <c r="F1079" s="266"/>
      <c r="G1079" s="113"/>
      <c r="K1079" s="36"/>
      <c r="L1079" s="117"/>
      <c r="M1079" s="128"/>
      <c r="N1079" s="117"/>
      <c r="R1079" s="117"/>
      <c r="T1079" s="117"/>
      <c r="V1079" s="117"/>
      <c r="Z1079" s="117"/>
      <c r="AA1079" s="10"/>
      <c r="AB1079" s="11"/>
      <c r="AC1079" s="36"/>
      <c r="AD1079" s="36"/>
      <c r="AE1079" s="13"/>
      <c r="AF1079" s="13"/>
      <c r="AG1079" s="37"/>
      <c r="AH1079" s="37"/>
      <c r="AI1079" s="14"/>
      <c r="AJ1079" s="14"/>
      <c r="AK1079" s="14"/>
      <c r="BB1079" s="24"/>
    </row>
    <row r="1080">
      <c r="B1080" s="24"/>
      <c r="E1080" s="113"/>
      <c r="F1080" s="266"/>
      <c r="G1080" s="113"/>
      <c r="K1080" s="36"/>
      <c r="L1080" s="117"/>
      <c r="M1080" s="128"/>
      <c r="N1080" s="117"/>
      <c r="R1080" s="117"/>
      <c r="T1080" s="117"/>
      <c r="V1080" s="117"/>
      <c r="Z1080" s="117"/>
      <c r="AA1080" s="10"/>
      <c r="AB1080" s="11"/>
      <c r="AC1080" s="36"/>
      <c r="AD1080" s="36"/>
      <c r="AE1080" s="13"/>
      <c r="AF1080" s="13"/>
      <c r="AG1080" s="37"/>
      <c r="AH1080" s="37"/>
      <c r="AI1080" s="14"/>
      <c r="AJ1080" s="14"/>
      <c r="AK1080" s="14"/>
      <c r="BB1080" s="24"/>
    </row>
    <row r="1081">
      <c r="B1081" s="24"/>
      <c r="E1081" s="113"/>
      <c r="F1081" s="266"/>
      <c r="G1081" s="113"/>
      <c r="K1081" s="36"/>
      <c r="L1081" s="117"/>
      <c r="M1081" s="128"/>
      <c r="N1081" s="117"/>
      <c r="R1081" s="117"/>
      <c r="T1081" s="117"/>
      <c r="V1081" s="117"/>
      <c r="Z1081" s="117"/>
      <c r="AA1081" s="10"/>
      <c r="AB1081" s="11"/>
      <c r="AC1081" s="36"/>
      <c r="AD1081" s="36"/>
      <c r="AE1081" s="13"/>
      <c r="AF1081" s="13"/>
      <c r="AG1081" s="37"/>
      <c r="AH1081" s="37"/>
      <c r="AI1081" s="14"/>
      <c r="AJ1081" s="14"/>
      <c r="AK1081" s="14"/>
      <c r="BB1081" s="24"/>
    </row>
    <row r="1082">
      <c r="B1082" s="24"/>
      <c r="E1082" s="113"/>
      <c r="F1082" s="266"/>
      <c r="G1082" s="113"/>
      <c r="K1082" s="36"/>
      <c r="L1082" s="117"/>
      <c r="M1082" s="128"/>
      <c r="N1082" s="117"/>
      <c r="R1082" s="117"/>
      <c r="T1082" s="117"/>
      <c r="V1082" s="117"/>
      <c r="Z1082" s="117"/>
      <c r="AA1082" s="10"/>
      <c r="AB1082" s="11"/>
      <c r="AC1082" s="36"/>
      <c r="AD1082" s="36"/>
      <c r="AE1082" s="13"/>
      <c r="AF1082" s="13"/>
      <c r="AG1082" s="37"/>
      <c r="AH1082" s="37"/>
      <c r="AI1082" s="14"/>
      <c r="AJ1082" s="14"/>
      <c r="AK1082" s="14"/>
      <c r="BB1082" s="24"/>
    </row>
    <row r="1083">
      <c r="B1083" s="24"/>
      <c r="E1083" s="113"/>
      <c r="F1083" s="266"/>
      <c r="G1083" s="113"/>
      <c r="K1083" s="36"/>
      <c r="L1083" s="117"/>
      <c r="M1083" s="128"/>
      <c r="N1083" s="117"/>
      <c r="R1083" s="117"/>
      <c r="T1083" s="117"/>
      <c r="V1083" s="117"/>
      <c r="Z1083" s="117"/>
      <c r="AA1083" s="10"/>
      <c r="AB1083" s="11"/>
      <c r="AC1083" s="36"/>
      <c r="AD1083" s="36"/>
      <c r="AE1083" s="13"/>
      <c r="AF1083" s="13"/>
      <c r="AG1083" s="37"/>
      <c r="AH1083" s="37"/>
      <c r="AI1083" s="14"/>
      <c r="AJ1083" s="14"/>
      <c r="AK1083" s="14"/>
      <c r="BB1083" s="24"/>
    </row>
    <row r="1084">
      <c r="B1084" s="24"/>
      <c r="E1084" s="113"/>
      <c r="F1084" s="266"/>
      <c r="G1084" s="113"/>
      <c r="K1084" s="36"/>
      <c r="L1084" s="117"/>
      <c r="M1084" s="128"/>
      <c r="N1084" s="117"/>
      <c r="R1084" s="117"/>
      <c r="T1084" s="117"/>
      <c r="V1084" s="117"/>
      <c r="Z1084" s="117"/>
      <c r="AA1084" s="10"/>
      <c r="AB1084" s="11"/>
      <c r="AC1084" s="36"/>
      <c r="AD1084" s="36"/>
      <c r="AE1084" s="13"/>
      <c r="AF1084" s="13"/>
      <c r="AG1084" s="37"/>
      <c r="AH1084" s="37"/>
      <c r="AI1084" s="14"/>
      <c r="AJ1084" s="14"/>
      <c r="AK1084" s="14"/>
      <c r="BB1084" s="24"/>
    </row>
    <row r="1085">
      <c r="B1085" s="24"/>
      <c r="E1085" s="113"/>
      <c r="F1085" s="266"/>
      <c r="G1085" s="113"/>
      <c r="K1085" s="36"/>
      <c r="L1085" s="117"/>
      <c r="M1085" s="128"/>
      <c r="N1085" s="117"/>
      <c r="R1085" s="117"/>
      <c r="T1085" s="117"/>
      <c r="V1085" s="117"/>
      <c r="Z1085" s="117"/>
      <c r="AA1085" s="10"/>
      <c r="AB1085" s="11"/>
      <c r="AC1085" s="36"/>
      <c r="AD1085" s="36"/>
      <c r="AE1085" s="13"/>
      <c r="AF1085" s="13"/>
      <c r="AG1085" s="37"/>
      <c r="AH1085" s="37"/>
      <c r="AI1085" s="14"/>
      <c r="AJ1085" s="14"/>
      <c r="AK1085" s="14"/>
      <c r="BB1085" s="24"/>
    </row>
    <row r="1086">
      <c r="B1086" s="24"/>
      <c r="E1086" s="113"/>
      <c r="F1086" s="266"/>
      <c r="G1086" s="113"/>
      <c r="K1086" s="36"/>
      <c r="L1086" s="117"/>
      <c r="M1086" s="128"/>
      <c r="N1086" s="117"/>
      <c r="R1086" s="117"/>
      <c r="T1086" s="117"/>
      <c r="V1086" s="117"/>
      <c r="Z1086" s="117"/>
      <c r="AA1086" s="10"/>
      <c r="AB1086" s="11"/>
      <c r="AC1086" s="36"/>
      <c r="AD1086" s="36"/>
      <c r="AE1086" s="13"/>
      <c r="AF1086" s="13"/>
      <c r="AG1086" s="37"/>
      <c r="AH1086" s="37"/>
      <c r="AI1086" s="14"/>
      <c r="AJ1086" s="14"/>
      <c r="AK1086" s="14"/>
      <c r="BB1086" s="24"/>
    </row>
    <row r="1087">
      <c r="B1087" s="24"/>
      <c r="E1087" s="113"/>
      <c r="F1087" s="266"/>
      <c r="G1087" s="113"/>
      <c r="K1087" s="36"/>
      <c r="L1087" s="117"/>
      <c r="M1087" s="128"/>
      <c r="N1087" s="117"/>
      <c r="R1087" s="117"/>
      <c r="T1087" s="117"/>
      <c r="V1087" s="117"/>
      <c r="Z1087" s="117"/>
      <c r="AA1087" s="10"/>
      <c r="AB1087" s="11"/>
      <c r="AC1087" s="36"/>
      <c r="AD1087" s="36"/>
      <c r="AE1087" s="13"/>
      <c r="AF1087" s="13"/>
      <c r="AG1087" s="37"/>
      <c r="AH1087" s="37"/>
      <c r="AI1087" s="14"/>
      <c r="AJ1087" s="14"/>
      <c r="AK1087" s="14"/>
      <c r="BB1087" s="24"/>
    </row>
    <row r="1088">
      <c r="B1088" s="24"/>
      <c r="E1088" s="113"/>
      <c r="F1088" s="266"/>
      <c r="G1088" s="113"/>
      <c r="K1088" s="36"/>
      <c r="L1088" s="117"/>
      <c r="M1088" s="128"/>
      <c r="N1088" s="117"/>
      <c r="R1088" s="117"/>
      <c r="T1088" s="117"/>
      <c r="V1088" s="117"/>
      <c r="Z1088" s="117"/>
      <c r="AA1088" s="10"/>
      <c r="AB1088" s="11"/>
      <c r="AC1088" s="36"/>
      <c r="AD1088" s="36"/>
      <c r="AE1088" s="13"/>
      <c r="AF1088" s="13"/>
      <c r="AG1088" s="37"/>
      <c r="AH1088" s="37"/>
      <c r="AI1088" s="14"/>
      <c r="AJ1088" s="14"/>
      <c r="AK1088" s="14"/>
      <c r="BB1088" s="24"/>
    </row>
    <row r="1089">
      <c r="B1089" s="24"/>
      <c r="E1089" s="113"/>
      <c r="F1089" s="266"/>
      <c r="G1089" s="113"/>
      <c r="K1089" s="36"/>
      <c r="L1089" s="117"/>
      <c r="M1089" s="128"/>
      <c r="N1089" s="117"/>
      <c r="R1089" s="117"/>
      <c r="T1089" s="117"/>
      <c r="V1089" s="117"/>
      <c r="Z1089" s="117"/>
      <c r="AA1089" s="10"/>
      <c r="AB1089" s="11"/>
      <c r="AC1089" s="36"/>
      <c r="AD1089" s="36"/>
      <c r="AE1089" s="13"/>
      <c r="AF1089" s="13"/>
      <c r="AG1089" s="37"/>
      <c r="AH1089" s="37"/>
      <c r="AI1089" s="14"/>
      <c r="AJ1089" s="14"/>
      <c r="AK1089" s="14"/>
      <c r="BB1089" s="24"/>
    </row>
    <row r="1090">
      <c r="B1090" s="24"/>
      <c r="E1090" s="113"/>
      <c r="F1090" s="266"/>
      <c r="G1090" s="113"/>
      <c r="K1090" s="36"/>
      <c r="L1090" s="117"/>
      <c r="M1090" s="128"/>
      <c r="N1090" s="117"/>
      <c r="R1090" s="117"/>
      <c r="T1090" s="117"/>
      <c r="V1090" s="117"/>
      <c r="Z1090" s="117"/>
      <c r="AA1090" s="10"/>
      <c r="AB1090" s="11"/>
      <c r="AC1090" s="36"/>
      <c r="AD1090" s="36"/>
      <c r="AE1090" s="13"/>
      <c r="AF1090" s="13"/>
      <c r="AG1090" s="37"/>
      <c r="AH1090" s="37"/>
      <c r="AI1090" s="14"/>
      <c r="AJ1090" s="14"/>
      <c r="AK1090" s="14"/>
      <c r="BB1090" s="24"/>
    </row>
    <row r="1091">
      <c r="B1091" s="24"/>
      <c r="E1091" s="113"/>
      <c r="F1091" s="266"/>
      <c r="G1091" s="113"/>
      <c r="K1091" s="36"/>
      <c r="L1091" s="117"/>
      <c r="M1091" s="128"/>
      <c r="N1091" s="117"/>
      <c r="R1091" s="117"/>
      <c r="T1091" s="117"/>
      <c r="V1091" s="117"/>
      <c r="Z1091" s="117"/>
      <c r="AA1091" s="10"/>
      <c r="AB1091" s="11"/>
      <c r="AC1091" s="36"/>
      <c r="AD1091" s="36"/>
      <c r="AE1091" s="13"/>
      <c r="AF1091" s="13"/>
      <c r="AG1091" s="37"/>
      <c r="AH1091" s="37"/>
      <c r="AI1091" s="14"/>
      <c r="AJ1091" s="14"/>
      <c r="AK1091" s="14"/>
      <c r="BB1091" s="24"/>
    </row>
    <row r="1092">
      <c r="B1092" s="24"/>
      <c r="E1092" s="113"/>
      <c r="F1092" s="266"/>
      <c r="G1092" s="113"/>
      <c r="K1092" s="36"/>
      <c r="L1092" s="117"/>
      <c r="M1092" s="128"/>
      <c r="N1092" s="117"/>
      <c r="R1092" s="117"/>
      <c r="T1092" s="117"/>
      <c r="V1092" s="117"/>
      <c r="Z1092" s="117"/>
      <c r="AA1092" s="10"/>
      <c r="AB1092" s="11"/>
      <c r="AC1092" s="36"/>
      <c r="AD1092" s="36"/>
      <c r="AE1092" s="13"/>
      <c r="AF1092" s="13"/>
      <c r="AG1092" s="37"/>
      <c r="AH1092" s="37"/>
      <c r="AI1092" s="14"/>
      <c r="AJ1092" s="14"/>
      <c r="AK1092" s="14"/>
      <c r="BB1092" s="24"/>
    </row>
    <row r="1093">
      <c r="B1093" s="24"/>
      <c r="E1093" s="113"/>
      <c r="F1093" s="266"/>
      <c r="G1093" s="113"/>
      <c r="K1093" s="36"/>
      <c r="L1093" s="117"/>
      <c r="M1093" s="128"/>
      <c r="N1093" s="117"/>
      <c r="R1093" s="117"/>
      <c r="T1093" s="117"/>
      <c r="V1093" s="117"/>
      <c r="Z1093" s="117"/>
      <c r="AA1093" s="10"/>
      <c r="AB1093" s="11"/>
      <c r="AC1093" s="36"/>
      <c r="AD1093" s="36"/>
      <c r="AE1093" s="13"/>
      <c r="AF1093" s="13"/>
      <c r="AG1093" s="37"/>
      <c r="AH1093" s="37"/>
      <c r="AI1093" s="14"/>
      <c r="AJ1093" s="14"/>
      <c r="AK1093" s="14"/>
      <c r="BB1093" s="24"/>
    </row>
    <row r="1094">
      <c r="B1094" s="24"/>
      <c r="E1094" s="113"/>
      <c r="F1094" s="266"/>
      <c r="G1094" s="113"/>
      <c r="K1094" s="36"/>
      <c r="L1094" s="117"/>
      <c r="M1094" s="128"/>
      <c r="N1094" s="117"/>
      <c r="R1094" s="117"/>
      <c r="T1094" s="117"/>
      <c r="V1094" s="117"/>
      <c r="Z1094" s="117"/>
      <c r="AA1094" s="10"/>
      <c r="AB1094" s="11"/>
      <c r="AC1094" s="36"/>
      <c r="AD1094" s="36"/>
      <c r="AE1094" s="13"/>
      <c r="AF1094" s="13"/>
      <c r="AG1094" s="37"/>
      <c r="AH1094" s="37"/>
      <c r="AI1094" s="14"/>
      <c r="AJ1094" s="14"/>
      <c r="AK1094" s="14"/>
      <c r="BB1094" s="24"/>
    </row>
    <row r="1095">
      <c r="B1095" s="24"/>
      <c r="E1095" s="113"/>
      <c r="F1095" s="266"/>
      <c r="G1095" s="113"/>
      <c r="K1095" s="36"/>
      <c r="L1095" s="117"/>
      <c r="M1095" s="128"/>
      <c r="N1095" s="117"/>
      <c r="R1095" s="117"/>
      <c r="T1095" s="117"/>
      <c r="V1095" s="117"/>
      <c r="Z1095" s="117"/>
      <c r="AA1095" s="10"/>
      <c r="AB1095" s="11"/>
      <c r="AC1095" s="36"/>
      <c r="AD1095" s="36"/>
      <c r="AE1095" s="13"/>
      <c r="AF1095" s="13"/>
      <c r="AG1095" s="37"/>
      <c r="AH1095" s="37"/>
      <c r="AI1095" s="14"/>
      <c r="AJ1095" s="14"/>
      <c r="AK1095" s="14"/>
      <c r="BB1095" s="24"/>
    </row>
    <row r="1096">
      <c r="B1096" s="24"/>
      <c r="E1096" s="113"/>
      <c r="F1096" s="266"/>
      <c r="G1096" s="113"/>
      <c r="K1096" s="36"/>
      <c r="L1096" s="117"/>
      <c r="M1096" s="128"/>
      <c r="N1096" s="117"/>
      <c r="R1096" s="117"/>
      <c r="T1096" s="117"/>
      <c r="V1096" s="117"/>
      <c r="Z1096" s="117"/>
      <c r="AA1096" s="10"/>
      <c r="AB1096" s="11"/>
      <c r="AC1096" s="36"/>
      <c r="AD1096" s="36"/>
      <c r="AE1096" s="13"/>
      <c r="AF1096" s="13"/>
      <c r="AG1096" s="37"/>
      <c r="AH1096" s="37"/>
      <c r="AI1096" s="14"/>
      <c r="AJ1096" s="14"/>
      <c r="AK1096" s="14"/>
      <c r="BB1096" s="24"/>
    </row>
    <row r="1097">
      <c r="B1097" s="24"/>
      <c r="E1097" s="113"/>
      <c r="F1097" s="266"/>
      <c r="G1097" s="113"/>
      <c r="K1097" s="36"/>
      <c r="L1097" s="117"/>
      <c r="M1097" s="128"/>
      <c r="N1097" s="117"/>
      <c r="R1097" s="117"/>
      <c r="T1097" s="117"/>
      <c r="V1097" s="117"/>
      <c r="Z1097" s="117"/>
      <c r="AA1097" s="10"/>
      <c r="AB1097" s="11"/>
      <c r="AC1097" s="36"/>
      <c r="AD1097" s="36"/>
      <c r="AE1097" s="13"/>
      <c r="AF1097" s="13"/>
      <c r="AG1097" s="37"/>
      <c r="AH1097" s="37"/>
      <c r="AI1097" s="14"/>
      <c r="AJ1097" s="14"/>
      <c r="AK1097" s="14"/>
      <c r="BB1097" s="24"/>
    </row>
    <row r="1098">
      <c r="B1098" s="24"/>
      <c r="E1098" s="113"/>
      <c r="F1098" s="266"/>
      <c r="G1098" s="113"/>
      <c r="K1098" s="36"/>
      <c r="L1098" s="117"/>
      <c r="M1098" s="128"/>
      <c r="N1098" s="117"/>
      <c r="R1098" s="117"/>
      <c r="T1098" s="117"/>
      <c r="V1098" s="117"/>
      <c r="Z1098" s="117"/>
      <c r="AA1098" s="10"/>
      <c r="AB1098" s="11"/>
      <c r="AC1098" s="36"/>
      <c r="AD1098" s="36"/>
      <c r="AE1098" s="13"/>
      <c r="AF1098" s="13"/>
      <c r="AG1098" s="37"/>
      <c r="AH1098" s="37"/>
      <c r="AI1098" s="14"/>
      <c r="AJ1098" s="14"/>
      <c r="AK1098" s="14"/>
      <c r="BB1098" s="24"/>
    </row>
    <row r="1099">
      <c r="B1099" s="24"/>
      <c r="E1099" s="113"/>
      <c r="F1099" s="266"/>
      <c r="G1099" s="113"/>
      <c r="K1099" s="36"/>
      <c r="L1099" s="117"/>
      <c r="M1099" s="128"/>
      <c r="N1099" s="117"/>
      <c r="R1099" s="117"/>
      <c r="T1099" s="117"/>
      <c r="V1099" s="117"/>
      <c r="Z1099" s="117"/>
      <c r="AA1099" s="10"/>
      <c r="AB1099" s="11"/>
      <c r="AC1099" s="36"/>
      <c r="AD1099" s="36"/>
      <c r="AE1099" s="13"/>
      <c r="AF1099" s="13"/>
      <c r="AG1099" s="37"/>
      <c r="AH1099" s="37"/>
      <c r="AI1099" s="14"/>
      <c r="AJ1099" s="14"/>
      <c r="AK1099" s="14"/>
      <c r="BB1099" s="24"/>
    </row>
    <row r="1100">
      <c r="B1100" s="24"/>
      <c r="E1100" s="113"/>
      <c r="F1100" s="266"/>
      <c r="G1100" s="113"/>
      <c r="K1100" s="36"/>
      <c r="L1100" s="117"/>
      <c r="M1100" s="128"/>
      <c r="N1100" s="117"/>
      <c r="R1100" s="117"/>
      <c r="T1100" s="117"/>
      <c r="V1100" s="117"/>
      <c r="Z1100" s="117"/>
      <c r="AA1100" s="10"/>
      <c r="AB1100" s="11"/>
      <c r="AC1100" s="36"/>
      <c r="AD1100" s="36"/>
      <c r="AE1100" s="13"/>
      <c r="AF1100" s="13"/>
      <c r="AG1100" s="37"/>
      <c r="AH1100" s="37"/>
      <c r="AI1100" s="14"/>
      <c r="AJ1100" s="14"/>
      <c r="AK1100" s="14"/>
      <c r="BB1100" s="24"/>
    </row>
    <row r="1101">
      <c r="B1101" s="24"/>
      <c r="E1101" s="113"/>
      <c r="F1101" s="266"/>
      <c r="G1101" s="113"/>
      <c r="K1101" s="36"/>
      <c r="L1101" s="117"/>
      <c r="M1101" s="128"/>
      <c r="N1101" s="117"/>
      <c r="R1101" s="117"/>
      <c r="T1101" s="117"/>
      <c r="V1101" s="117"/>
      <c r="Z1101" s="117"/>
      <c r="AA1101" s="10"/>
      <c r="AB1101" s="11"/>
      <c r="AC1101" s="36"/>
      <c r="AD1101" s="36"/>
      <c r="AE1101" s="13"/>
      <c r="AF1101" s="13"/>
      <c r="AG1101" s="37"/>
      <c r="AH1101" s="37"/>
      <c r="AI1101" s="14"/>
      <c r="AJ1101" s="14"/>
      <c r="AK1101" s="14"/>
      <c r="BB1101" s="24"/>
    </row>
    <row r="1102">
      <c r="B1102" s="24"/>
      <c r="E1102" s="113"/>
      <c r="F1102" s="266"/>
      <c r="G1102" s="113"/>
      <c r="K1102" s="36"/>
      <c r="L1102" s="117"/>
      <c r="M1102" s="128"/>
      <c r="N1102" s="117"/>
      <c r="R1102" s="117"/>
      <c r="T1102" s="117"/>
      <c r="V1102" s="117"/>
      <c r="Z1102" s="117"/>
      <c r="AA1102" s="10"/>
      <c r="AB1102" s="11"/>
      <c r="AC1102" s="36"/>
      <c r="AD1102" s="36"/>
      <c r="AE1102" s="13"/>
      <c r="AF1102" s="13"/>
      <c r="AG1102" s="37"/>
      <c r="AH1102" s="37"/>
      <c r="AI1102" s="14"/>
      <c r="AJ1102" s="14"/>
      <c r="AK1102" s="14"/>
      <c r="BB1102" s="24"/>
    </row>
    <row r="1103">
      <c r="B1103" s="24"/>
      <c r="E1103" s="113"/>
      <c r="F1103" s="266"/>
      <c r="G1103" s="113"/>
      <c r="K1103" s="36"/>
      <c r="L1103" s="117"/>
      <c r="M1103" s="128"/>
      <c r="N1103" s="117"/>
      <c r="R1103" s="117"/>
      <c r="T1103" s="117"/>
      <c r="V1103" s="117"/>
      <c r="Z1103" s="117"/>
      <c r="AA1103" s="10"/>
      <c r="AB1103" s="11"/>
      <c r="AC1103" s="36"/>
      <c r="AD1103" s="36"/>
      <c r="AE1103" s="13"/>
      <c r="AF1103" s="13"/>
      <c r="AG1103" s="37"/>
      <c r="AH1103" s="37"/>
      <c r="AI1103" s="14"/>
      <c r="AJ1103" s="14"/>
      <c r="AK1103" s="14"/>
      <c r="BB1103" s="24"/>
    </row>
    <row r="1104">
      <c r="B1104" s="24"/>
      <c r="E1104" s="113"/>
      <c r="F1104" s="266"/>
      <c r="G1104" s="113"/>
      <c r="K1104" s="36"/>
      <c r="L1104" s="117"/>
      <c r="M1104" s="128"/>
      <c r="N1104" s="117"/>
      <c r="R1104" s="117"/>
      <c r="T1104" s="117"/>
      <c r="V1104" s="117"/>
      <c r="Z1104" s="117"/>
      <c r="AA1104" s="10"/>
      <c r="AB1104" s="11"/>
      <c r="AC1104" s="36"/>
      <c r="AD1104" s="36"/>
      <c r="AE1104" s="13"/>
      <c r="AF1104" s="13"/>
      <c r="AG1104" s="37"/>
      <c r="AH1104" s="37"/>
      <c r="AI1104" s="14"/>
      <c r="AJ1104" s="14"/>
      <c r="AK1104" s="14"/>
      <c r="BB1104" s="24"/>
    </row>
    <row r="1105">
      <c r="B1105" s="24"/>
      <c r="E1105" s="113"/>
      <c r="F1105" s="266"/>
      <c r="G1105" s="113"/>
      <c r="K1105" s="36"/>
      <c r="L1105" s="117"/>
      <c r="M1105" s="128"/>
      <c r="N1105" s="117"/>
      <c r="R1105" s="117"/>
      <c r="T1105" s="117"/>
      <c r="V1105" s="117"/>
      <c r="Z1105" s="117"/>
      <c r="AA1105" s="10"/>
      <c r="AB1105" s="11"/>
      <c r="AC1105" s="36"/>
      <c r="AD1105" s="36"/>
      <c r="AE1105" s="13"/>
      <c r="AF1105" s="13"/>
      <c r="AG1105" s="37"/>
      <c r="AH1105" s="37"/>
      <c r="AI1105" s="14"/>
      <c r="AJ1105" s="14"/>
      <c r="AK1105" s="14"/>
      <c r="BB1105" s="24"/>
    </row>
    <row r="1106">
      <c r="B1106" s="24"/>
      <c r="E1106" s="113"/>
      <c r="F1106" s="266"/>
      <c r="G1106" s="113"/>
      <c r="K1106" s="36"/>
      <c r="L1106" s="117"/>
      <c r="M1106" s="128"/>
      <c r="N1106" s="117"/>
      <c r="R1106" s="117"/>
      <c r="T1106" s="117"/>
      <c r="V1106" s="117"/>
      <c r="Z1106" s="117"/>
      <c r="AA1106" s="10"/>
      <c r="AB1106" s="11"/>
      <c r="AC1106" s="36"/>
      <c r="AD1106" s="36"/>
      <c r="AE1106" s="13"/>
      <c r="AF1106" s="13"/>
      <c r="AG1106" s="37"/>
      <c r="AH1106" s="37"/>
      <c r="AI1106" s="14"/>
      <c r="AJ1106" s="14"/>
      <c r="AK1106" s="14"/>
      <c r="BB1106" s="24"/>
    </row>
    <row r="1107">
      <c r="B1107" s="24"/>
      <c r="E1107" s="113"/>
      <c r="F1107" s="266"/>
      <c r="G1107" s="113"/>
      <c r="K1107" s="36"/>
      <c r="L1107" s="117"/>
      <c r="M1107" s="128"/>
      <c r="N1107" s="117"/>
      <c r="R1107" s="117"/>
      <c r="T1107" s="117"/>
      <c r="V1107" s="117"/>
      <c r="Z1107" s="117"/>
      <c r="AA1107" s="10"/>
      <c r="AB1107" s="11"/>
      <c r="AC1107" s="36"/>
      <c r="AD1107" s="36"/>
      <c r="AE1107" s="13"/>
      <c r="AF1107" s="13"/>
      <c r="AG1107" s="37"/>
      <c r="AH1107" s="37"/>
      <c r="AI1107" s="14"/>
      <c r="AJ1107" s="14"/>
      <c r="AK1107" s="14"/>
      <c r="BB1107" s="24"/>
    </row>
    <row r="1108">
      <c r="B1108" s="24"/>
      <c r="E1108" s="113"/>
      <c r="F1108" s="266"/>
      <c r="G1108" s="113"/>
      <c r="K1108" s="36"/>
      <c r="L1108" s="117"/>
      <c r="M1108" s="128"/>
      <c r="N1108" s="117"/>
      <c r="R1108" s="117"/>
      <c r="T1108" s="117"/>
      <c r="V1108" s="117"/>
      <c r="Z1108" s="117"/>
      <c r="AA1108" s="10"/>
      <c r="AB1108" s="11"/>
      <c r="AC1108" s="36"/>
      <c r="AD1108" s="36"/>
      <c r="AE1108" s="13"/>
      <c r="AF1108" s="13"/>
      <c r="AG1108" s="37"/>
      <c r="AH1108" s="37"/>
      <c r="AI1108" s="14"/>
      <c r="AJ1108" s="14"/>
      <c r="AK1108" s="14"/>
      <c r="BB1108" s="24"/>
    </row>
    <row r="1109">
      <c r="B1109" s="24"/>
      <c r="E1109" s="113"/>
      <c r="F1109" s="266"/>
      <c r="G1109" s="113"/>
      <c r="K1109" s="36"/>
      <c r="L1109" s="117"/>
      <c r="M1109" s="128"/>
      <c r="N1109" s="117"/>
      <c r="R1109" s="117"/>
      <c r="T1109" s="117"/>
      <c r="V1109" s="117"/>
      <c r="Z1109" s="117"/>
      <c r="AA1109" s="10"/>
      <c r="AB1109" s="11"/>
      <c r="AC1109" s="36"/>
      <c r="AD1109" s="36"/>
      <c r="AE1109" s="13"/>
      <c r="AF1109" s="13"/>
      <c r="AG1109" s="37"/>
      <c r="AH1109" s="37"/>
      <c r="AI1109" s="14"/>
      <c r="AJ1109" s="14"/>
      <c r="AK1109" s="14"/>
      <c r="BB1109" s="24"/>
    </row>
    <row r="1110">
      <c r="B1110" s="24"/>
      <c r="E1110" s="113"/>
      <c r="F1110" s="266"/>
      <c r="G1110" s="113"/>
      <c r="K1110" s="36"/>
      <c r="L1110" s="117"/>
      <c r="M1110" s="128"/>
      <c r="N1110" s="117"/>
      <c r="R1110" s="117"/>
      <c r="T1110" s="117"/>
      <c r="V1110" s="117"/>
      <c r="Z1110" s="117"/>
      <c r="AA1110" s="10"/>
      <c r="AB1110" s="11"/>
      <c r="AC1110" s="36"/>
      <c r="AD1110" s="36"/>
      <c r="AE1110" s="13"/>
      <c r="AF1110" s="13"/>
      <c r="AG1110" s="37"/>
      <c r="AH1110" s="37"/>
      <c r="AI1110" s="14"/>
      <c r="AJ1110" s="14"/>
      <c r="AK1110" s="14"/>
      <c r="BB1110" s="24"/>
    </row>
    <row r="1111">
      <c r="B1111" s="24"/>
      <c r="E1111" s="113"/>
      <c r="F1111" s="266"/>
      <c r="G1111" s="113"/>
      <c r="K1111" s="36"/>
      <c r="L1111" s="117"/>
      <c r="M1111" s="128"/>
      <c r="N1111" s="117"/>
      <c r="R1111" s="117"/>
      <c r="T1111" s="117"/>
      <c r="V1111" s="117"/>
      <c r="Z1111" s="117"/>
      <c r="AA1111" s="10"/>
      <c r="AB1111" s="11"/>
      <c r="AC1111" s="36"/>
      <c r="AD1111" s="36"/>
      <c r="AE1111" s="13"/>
      <c r="AF1111" s="13"/>
      <c r="AG1111" s="37"/>
      <c r="AH1111" s="37"/>
      <c r="AI1111" s="14"/>
      <c r="AJ1111" s="14"/>
      <c r="AK1111" s="14"/>
      <c r="BB1111" s="24"/>
    </row>
    <row r="1112">
      <c r="B1112" s="24"/>
      <c r="E1112" s="113"/>
      <c r="F1112" s="266"/>
      <c r="G1112" s="113"/>
      <c r="K1112" s="36"/>
      <c r="L1112" s="117"/>
      <c r="M1112" s="128"/>
      <c r="N1112" s="117"/>
      <c r="R1112" s="117"/>
      <c r="T1112" s="117"/>
      <c r="V1112" s="117"/>
      <c r="Z1112" s="117"/>
      <c r="AA1112" s="10"/>
      <c r="AB1112" s="11"/>
      <c r="AC1112" s="36"/>
      <c r="AD1112" s="36"/>
      <c r="AE1112" s="13"/>
      <c r="AF1112" s="13"/>
      <c r="AG1112" s="37"/>
      <c r="AH1112" s="37"/>
      <c r="AI1112" s="14"/>
      <c r="AJ1112" s="14"/>
      <c r="AK1112" s="14"/>
      <c r="BB1112" s="24"/>
    </row>
    <row r="1113">
      <c r="B1113" s="24"/>
      <c r="E1113" s="113"/>
      <c r="F1113" s="266"/>
      <c r="G1113" s="113"/>
      <c r="K1113" s="36"/>
      <c r="L1113" s="117"/>
      <c r="M1113" s="128"/>
      <c r="N1113" s="117"/>
      <c r="R1113" s="117"/>
      <c r="T1113" s="117"/>
      <c r="V1113" s="117"/>
      <c r="Z1113" s="117"/>
      <c r="AA1113" s="10"/>
      <c r="AB1113" s="11"/>
      <c r="AC1113" s="36"/>
      <c r="AD1113" s="36"/>
      <c r="AE1113" s="13"/>
      <c r="AF1113" s="13"/>
      <c r="AG1113" s="37"/>
      <c r="AH1113" s="37"/>
      <c r="AI1113" s="14"/>
      <c r="AJ1113" s="14"/>
      <c r="AK1113" s="14"/>
      <c r="BB1113" s="24"/>
    </row>
    <row r="1114">
      <c r="B1114" s="24"/>
      <c r="E1114" s="113"/>
      <c r="F1114" s="266"/>
      <c r="G1114" s="113"/>
      <c r="K1114" s="36"/>
      <c r="L1114" s="117"/>
      <c r="M1114" s="128"/>
      <c r="N1114" s="117"/>
      <c r="R1114" s="117"/>
      <c r="T1114" s="117"/>
      <c r="V1114" s="117"/>
      <c r="Z1114" s="117"/>
      <c r="AA1114" s="10"/>
      <c r="AB1114" s="11"/>
      <c r="AC1114" s="36"/>
      <c r="AD1114" s="36"/>
      <c r="AE1114" s="13"/>
      <c r="AF1114" s="13"/>
      <c r="AG1114" s="37"/>
      <c r="AH1114" s="37"/>
      <c r="AI1114" s="14"/>
      <c r="AJ1114" s="14"/>
      <c r="AK1114" s="14"/>
      <c r="BB1114" s="24"/>
    </row>
    <row r="1115">
      <c r="B1115" s="24"/>
      <c r="E1115" s="113"/>
      <c r="F1115" s="266"/>
      <c r="G1115" s="113"/>
      <c r="K1115" s="36"/>
      <c r="L1115" s="117"/>
      <c r="M1115" s="128"/>
      <c r="N1115" s="117"/>
      <c r="R1115" s="117"/>
      <c r="T1115" s="117"/>
      <c r="V1115" s="117"/>
      <c r="Z1115" s="117"/>
      <c r="AA1115" s="10"/>
      <c r="AB1115" s="11"/>
      <c r="AC1115" s="36"/>
      <c r="AD1115" s="36"/>
      <c r="AE1115" s="13"/>
      <c r="AF1115" s="13"/>
      <c r="AG1115" s="37"/>
      <c r="AH1115" s="37"/>
      <c r="AI1115" s="14"/>
      <c r="AJ1115" s="14"/>
      <c r="AK1115" s="14"/>
      <c r="BB1115" s="24"/>
    </row>
    <row r="1116">
      <c r="B1116" s="24"/>
      <c r="E1116" s="113"/>
      <c r="F1116" s="266"/>
      <c r="G1116" s="113"/>
      <c r="K1116" s="36"/>
      <c r="L1116" s="117"/>
      <c r="M1116" s="128"/>
      <c r="N1116" s="117"/>
      <c r="R1116" s="117"/>
      <c r="T1116" s="117"/>
      <c r="V1116" s="117"/>
      <c r="Z1116" s="117"/>
      <c r="AA1116" s="10"/>
      <c r="AB1116" s="11"/>
      <c r="AC1116" s="36"/>
      <c r="AD1116" s="36"/>
      <c r="AE1116" s="13"/>
      <c r="AF1116" s="13"/>
      <c r="AG1116" s="37"/>
      <c r="AH1116" s="37"/>
      <c r="AI1116" s="14"/>
      <c r="AJ1116" s="14"/>
      <c r="AK1116" s="14"/>
      <c r="BB1116" s="24"/>
    </row>
    <row r="1117">
      <c r="B1117" s="24"/>
      <c r="E1117" s="113"/>
      <c r="F1117" s="266"/>
      <c r="G1117" s="113"/>
      <c r="K1117" s="36"/>
      <c r="L1117" s="117"/>
      <c r="M1117" s="128"/>
      <c r="N1117" s="117"/>
      <c r="R1117" s="117"/>
      <c r="T1117" s="117"/>
      <c r="V1117" s="117"/>
      <c r="Z1117" s="117"/>
      <c r="AA1117" s="10"/>
      <c r="AB1117" s="11"/>
      <c r="AC1117" s="36"/>
      <c r="AD1117" s="36"/>
      <c r="AE1117" s="13"/>
      <c r="AF1117" s="13"/>
      <c r="AG1117" s="37"/>
      <c r="AH1117" s="37"/>
      <c r="AI1117" s="14"/>
      <c r="AJ1117" s="14"/>
      <c r="AK1117" s="14"/>
      <c r="BB1117" s="24"/>
    </row>
    <row r="1118">
      <c r="B1118" s="24"/>
      <c r="E1118" s="113"/>
      <c r="F1118" s="266"/>
      <c r="G1118" s="113"/>
      <c r="K1118" s="36"/>
      <c r="L1118" s="117"/>
      <c r="M1118" s="128"/>
      <c r="N1118" s="117"/>
      <c r="R1118" s="117"/>
      <c r="T1118" s="117"/>
      <c r="V1118" s="117"/>
      <c r="Z1118" s="117"/>
      <c r="AA1118" s="10"/>
      <c r="AB1118" s="11"/>
      <c r="AC1118" s="36"/>
      <c r="AD1118" s="36"/>
      <c r="AE1118" s="13"/>
      <c r="AF1118" s="13"/>
      <c r="AG1118" s="37"/>
      <c r="AH1118" s="37"/>
      <c r="AI1118" s="14"/>
      <c r="AJ1118" s="14"/>
      <c r="AK1118" s="14"/>
      <c r="BB1118" s="24"/>
    </row>
    <row r="1119">
      <c r="B1119" s="24"/>
      <c r="E1119" s="113"/>
      <c r="F1119" s="266"/>
      <c r="G1119" s="113"/>
      <c r="K1119" s="36"/>
      <c r="L1119" s="117"/>
      <c r="M1119" s="128"/>
      <c r="N1119" s="117"/>
      <c r="R1119" s="117"/>
      <c r="T1119" s="117"/>
      <c r="V1119" s="117"/>
      <c r="Z1119" s="117"/>
      <c r="AA1119" s="10"/>
      <c r="AB1119" s="11"/>
      <c r="AC1119" s="36"/>
      <c r="AD1119" s="36"/>
      <c r="AE1119" s="13"/>
      <c r="AF1119" s="13"/>
      <c r="AG1119" s="37"/>
      <c r="AH1119" s="37"/>
      <c r="AI1119" s="14"/>
      <c r="AJ1119" s="14"/>
      <c r="AK1119" s="14"/>
      <c r="BB1119" s="24"/>
    </row>
    <row r="1120">
      <c r="B1120" s="24"/>
      <c r="E1120" s="113"/>
      <c r="F1120" s="266"/>
      <c r="G1120" s="113"/>
      <c r="K1120" s="36"/>
      <c r="L1120" s="117"/>
      <c r="M1120" s="128"/>
      <c r="N1120" s="117"/>
      <c r="R1120" s="117"/>
      <c r="T1120" s="117"/>
      <c r="V1120" s="117"/>
      <c r="Z1120" s="117"/>
      <c r="AA1120" s="10"/>
      <c r="AB1120" s="11"/>
      <c r="AC1120" s="36"/>
      <c r="AD1120" s="36"/>
      <c r="AE1120" s="13"/>
      <c r="AF1120" s="13"/>
      <c r="AG1120" s="37"/>
      <c r="AH1120" s="37"/>
      <c r="AI1120" s="14"/>
      <c r="AJ1120" s="14"/>
      <c r="AK1120" s="14"/>
      <c r="BB1120" s="24"/>
    </row>
    <row r="1121">
      <c r="B1121" s="24"/>
      <c r="E1121" s="113"/>
      <c r="F1121" s="266"/>
      <c r="G1121" s="113"/>
      <c r="K1121" s="36"/>
      <c r="L1121" s="117"/>
      <c r="M1121" s="128"/>
      <c r="N1121" s="117"/>
      <c r="R1121" s="117"/>
      <c r="T1121" s="117"/>
      <c r="V1121" s="117"/>
      <c r="Z1121" s="117"/>
      <c r="AA1121" s="10"/>
      <c r="AB1121" s="11"/>
      <c r="AC1121" s="36"/>
      <c r="AD1121" s="36"/>
      <c r="AE1121" s="13"/>
      <c r="AF1121" s="13"/>
      <c r="AG1121" s="37"/>
      <c r="AH1121" s="37"/>
      <c r="AI1121" s="14"/>
      <c r="AJ1121" s="14"/>
      <c r="AK1121" s="14"/>
      <c r="BB1121" s="24"/>
    </row>
    <row r="1122">
      <c r="B1122" s="24"/>
      <c r="E1122" s="113"/>
      <c r="F1122" s="266"/>
      <c r="G1122" s="113"/>
      <c r="K1122" s="36"/>
      <c r="L1122" s="117"/>
      <c r="M1122" s="128"/>
      <c r="N1122" s="117"/>
      <c r="R1122" s="117"/>
      <c r="T1122" s="117"/>
      <c r="V1122" s="117"/>
      <c r="Z1122" s="117"/>
      <c r="AA1122" s="10"/>
      <c r="AB1122" s="11"/>
      <c r="AC1122" s="36"/>
      <c r="AD1122" s="36"/>
      <c r="AE1122" s="13"/>
      <c r="AF1122" s="13"/>
      <c r="AG1122" s="37"/>
      <c r="AH1122" s="37"/>
      <c r="AI1122" s="14"/>
      <c r="AJ1122" s="14"/>
      <c r="AK1122" s="14"/>
      <c r="BB1122" s="24"/>
    </row>
    <row r="1123">
      <c r="B1123" s="24"/>
      <c r="E1123" s="113"/>
      <c r="F1123" s="266"/>
      <c r="G1123" s="113"/>
      <c r="K1123" s="36"/>
      <c r="L1123" s="117"/>
      <c r="M1123" s="128"/>
      <c r="N1123" s="117"/>
      <c r="R1123" s="117"/>
      <c r="T1123" s="117"/>
      <c r="V1123" s="117"/>
      <c r="Z1123" s="117"/>
      <c r="AA1123" s="10"/>
      <c r="AB1123" s="11"/>
      <c r="AC1123" s="36"/>
      <c r="AD1123" s="36"/>
      <c r="AE1123" s="13"/>
      <c r="AF1123" s="13"/>
      <c r="AG1123" s="37"/>
      <c r="AH1123" s="37"/>
      <c r="AI1123" s="14"/>
      <c r="AJ1123" s="14"/>
      <c r="AK1123" s="14"/>
      <c r="BB1123" s="24"/>
    </row>
    <row r="1124">
      <c r="B1124" s="24"/>
      <c r="E1124" s="113"/>
      <c r="F1124" s="266"/>
      <c r="G1124" s="113"/>
      <c r="K1124" s="36"/>
      <c r="L1124" s="117"/>
      <c r="M1124" s="128"/>
      <c r="N1124" s="117"/>
      <c r="R1124" s="117"/>
      <c r="T1124" s="117"/>
      <c r="V1124" s="117"/>
      <c r="Z1124" s="117"/>
      <c r="AA1124" s="10"/>
      <c r="AB1124" s="11"/>
      <c r="AC1124" s="36"/>
      <c r="AD1124" s="36"/>
      <c r="AE1124" s="13"/>
      <c r="AF1124" s="13"/>
      <c r="AG1124" s="37"/>
      <c r="AH1124" s="37"/>
      <c r="AI1124" s="14"/>
      <c r="AJ1124" s="14"/>
      <c r="AK1124" s="14"/>
      <c r="BB1124" s="24"/>
    </row>
    <row r="1125">
      <c r="B1125" s="24"/>
      <c r="K1125" s="36"/>
      <c r="M1125" s="128"/>
      <c r="AA1125" s="10"/>
      <c r="AB1125" s="11"/>
      <c r="AC1125" s="36"/>
      <c r="AD1125" s="36"/>
      <c r="AE1125" s="13"/>
      <c r="AF1125" s="13"/>
      <c r="AG1125" s="37"/>
      <c r="AH1125" s="37"/>
      <c r="AI1125" s="14"/>
      <c r="AJ1125" s="14"/>
      <c r="AK1125" s="14"/>
      <c r="BB1125" s="24"/>
    </row>
    <row r="1126">
      <c r="B1126" s="24"/>
      <c r="K1126" s="36"/>
      <c r="M1126" s="128"/>
      <c r="AA1126" s="10"/>
      <c r="AB1126" s="11"/>
      <c r="AG1126" s="37"/>
      <c r="AH1126" s="37"/>
      <c r="AI1126" s="14"/>
      <c r="AJ1126" s="14"/>
      <c r="AK1126" s="14"/>
      <c r="BB1126" s="24"/>
    </row>
    <row r="1127">
      <c r="B1127" s="24"/>
      <c r="K1127" s="36"/>
      <c r="M1127" s="128"/>
      <c r="AA1127" s="10"/>
      <c r="AB1127" s="11"/>
      <c r="AG1127" s="37"/>
      <c r="AH1127" s="37"/>
      <c r="AI1127" s="14"/>
      <c r="AJ1127" s="14"/>
      <c r="AK1127" s="14"/>
      <c r="BB1127" s="24"/>
    </row>
    <row r="1128">
      <c r="B1128" s="24"/>
      <c r="K1128" s="36"/>
      <c r="M1128" s="128"/>
      <c r="AA1128" s="10"/>
      <c r="AB1128" s="11"/>
      <c r="AI1128" s="14"/>
      <c r="AJ1128" s="14"/>
      <c r="AK1128" s="14"/>
      <c r="BB1128" s="24"/>
    </row>
    <row r="1129">
      <c r="B1129" s="24"/>
      <c r="K1129" s="36"/>
      <c r="M1129" s="128"/>
      <c r="AA1129" s="10"/>
      <c r="AB1129" s="11"/>
      <c r="AI1129" s="14"/>
      <c r="AJ1129" s="14"/>
      <c r="AK1129" s="14"/>
      <c r="BB1129" s="24"/>
    </row>
    <row r="1130">
      <c r="B1130" s="24"/>
      <c r="K1130" s="36"/>
      <c r="M1130" s="128"/>
      <c r="AA1130" s="10"/>
      <c r="AB1130" s="11"/>
      <c r="BB1130" s="24"/>
    </row>
    <row r="1131">
      <c r="B1131" s="24"/>
      <c r="K1131" s="36"/>
      <c r="M1131" s="128"/>
      <c r="AA1131" s="10"/>
      <c r="AB1131" s="11"/>
      <c r="BB1131" s="24"/>
    </row>
    <row r="1132">
      <c r="B1132" s="24"/>
      <c r="K1132" s="36"/>
      <c r="M1132" s="128"/>
      <c r="BB1132" s="24"/>
    </row>
    <row r="1133">
      <c r="B1133" s="24"/>
      <c r="K1133" s="36"/>
      <c r="M1133" s="128"/>
      <c r="BB1133" s="24"/>
    </row>
  </sheetData>
  <mergeCells count="675">
    <mergeCell ref="AN1:AN2"/>
    <mergeCell ref="AP1:AP2"/>
    <mergeCell ref="AR1:AR2"/>
    <mergeCell ref="AT1:AT2"/>
    <mergeCell ref="AV1:AV2"/>
    <mergeCell ref="AX1:AX2"/>
    <mergeCell ref="AZ1:AZ2"/>
    <mergeCell ref="AA5:AB5"/>
    <mergeCell ref="AC5:AD5"/>
    <mergeCell ref="AE5:AF5"/>
    <mergeCell ref="AI5:AK5"/>
    <mergeCell ref="AL1:AL2"/>
    <mergeCell ref="E2:F2"/>
    <mergeCell ref="I2:J2"/>
    <mergeCell ref="AC2:AD2"/>
    <mergeCell ref="G3:H3"/>
    <mergeCell ref="I3:J3"/>
    <mergeCell ref="I4:J4"/>
    <mergeCell ref="U7:V7"/>
    <mergeCell ref="W7:X7"/>
    <mergeCell ref="Y7:Z7"/>
    <mergeCell ref="G4:H4"/>
    <mergeCell ref="G5:H5"/>
    <mergeCell ref="I5:J5"/>
    <mergeCell ref="E7:F7"/>
    <mergeCell ref="M7:N7"/>
    <mergeCell ref="O7:R7"/>
    <mergeCell ref="S7:T7"/>
    <mergeCell ref="M13:N13"/>
    <mergeCell ref="O13:R13"/>
    <mergeCell ref="S13:T13"/>
    <mergeCell ref="U13:V13"/>
    <mergeCell ref="W13:X13"/>
    <mergeCell ref="Y13:Z13"/>
    <mergeCell ref="C14:D14"/>
    <mergeCell ref="E14:F14"/>
    <mergeCell ref="G14:H14"/>
    <mergeCell ref="I14:J14"/>
    <mergeCell ref="C21:D22"/>
    <mergeCell ref="C23:D23"/>
    <mergeCell ref="C24:D24"/>
    <mergeCell ref="E24:F24"/>
    <mergeCell ref="G24:H24"/>
    <mergeCell ref="I24:J24"/>
    <mergeCell ref="E25:F25"/>
    <mergeCell ref="C26:D26"/>
    <mergeCell ref="E26:F26"/>
    <mergeCell ref="G26:H26"/>
    <mergeCell ref="I26:J26"/>
    <mergeCell ref="E27:F27"/>
    <mergeCell ref="G27:H27"/>
    <mergeCell ref="I27:J27"/>
    <mergeCell ref="C8:D8"/>
    <mergeCell ref="E8:F8"/>
    <mergeCell ref="G8:H8"/>
    <mergeCell ref="I8:J8"/>
    <mergeCell ref="E9:F9"/>
    <mergeCell ref="G9:H9"/>
    <mergeCell ref="I9:J9"/>
    <mergeCell ref="C9:D10"/>
    <mergeCell ref="C11:D11"/>
    <mergeCell ref="C12:D12"/>
    <mergeCell ref="E12:F12"/>
    <mergeCell ref="G12:H12"/>
    <mergeCell ref="I12:J12"/>
    <mergeCell ref="E13:F13"/>
    <mergeCell ref="E18:F18"/>
    <mergeCell ref="E19:F19"/>
    <mergeCell ref="M19:N19"/>
    <mergeCell ref="O19:R19"/>
    <mergeCell ref="S19:T19"/>
    <mergeCell ref="U19:V19"/>
    <mergeCell ref="W19:X19"/>
    <mergeCell ref="Y19:Z19"/>
    <mergeCell ref="C15:D16"/>
    <mergeCell ref="E15:F15"/>
    <mergeCell ref="G15:H15"/>
    <mergeCell ref="I15:J15"/>
    <mergeCell ref="C17:D17"/>
    <mergeCell ref="G18:H18"/>
    <mergeCell ref="I18:J18"/>
    <mergeCell ref="C20:D20"/>
    <mergeCell ref="E20:F20"/>
    <mergeCell ref="G20:H20"/>
    <mergeCell ref="I20:J20"/>
    <mergeCell ref="E21:F21"/>
    <mergeCell ref="G21:H21"/>
    <mergeCell ref="I21:J21"/>
    <mergeCell ref="M25:N25"/>
    <mergeCell ref="O25:R25"/>
    <mergeCell ref="S25:T25"/>
    <mergeCell ref="U25:V25"/>
    <mergeCell ref="W25:X25"/>
    <mergeCell ref="Y25:Z25"/>
    <mergeCell ref="O31:R31"/>
    <mergeCell ref="S31:T31"/>
    <mergeCell ref="U31:V31"/>
    <mergeCell ref="W31:X31"/>
    <mergeCell ref="Y31:Z31"/>
    <mergeCell ref="C39:D40"/>
    <mergeCell ref="C41:D41"/>
    <mergeCell ref="E42:F42"/>
    <mergeCell ref="G42:H42"/>
    <mergeCell ref="I42:J42"/>
    <mergeCell ref="E43:F43"/>
    <mergeCell ref="M43:N43"/>
    <mergeCell ref="C44:D44"/>
    <mergeCell ref="E44:F44"/>
    <mergeCell ref="G44:H44"/>
    <mergeCell ref="I44:J44"/>
    <mergeCell ref="E45:F45"/>
    <mergeCell ref="G45:H45"/>
    <mergeCell ref="I45:J45"/>
    <mergeCell ref="C27:D28"/>
    <mergeCell ref="C29:D29"/>
    <mergeCell ref="E30:F30"/>
    <mergeCell ref="G30:H30"/>
    <mergeCell ref="I30:J30"/>
    <mergeCell ref="E31:F31"/>
    <mergeCell ref="M31:N31"/>
    <mergeCell ref="C32:D32"/>
    <mergeCell ref="E32:F32"/>
    <mergeCell ref="G32:H32"/>
    <mergeCell ref="I32:J32"/>
    <mergeCell ref="E33:F33"/>
    <mergeCell ref="G33:H33"/>
    <mergeCell ref="I33:J33"/>
    <mergeCell ref="O37:R37"/>
    <mergeCell ref="S37:T37"/>
    <mergeCell ref="U37:V37"/>
    <mergeCell ref="W37:X37"/>
    <mergeCell ref="Y37:Z37"/>
    <mergeCell ref="C33:D34"/>
    <mergeCell ref="C35:D35"/>
    <mergeCell ref="E36:F36"/>
    <mergeCell ref="G36:H36"/>
    <mergeCell ref="I36:J36"/>
    <mergeCell ref="E37:F37"/>
    <mergeCell ref="M37:N37"/>
    <mergeCell ref="C38:D38"/>
    <mergeCell ref="E38:F38"/>
    <mergeCell ref="G38:H38"/>
    <mergeCell ref="I38:J38"/>
    <mergeCell ref="E39:F39"/>
    <mergeCell ref="G39:H39"/>
    <mergeCell ref="I39:J39"/>
    <mergeCell ref="O43:R43"/>
    <mergeCell ref="S43:T43"/>
    <mergeCell ref="U43:V43"/>
    <mergeCell ref="W43:X43"/>
    <mergeCell ref="Y43:Z43"/>
    <mergeCell ref="O49:R49"/>
    <mergeCell ref="S49:T49"/>
    <mergeCell ref="U49:V49"/>
    <mergeCell ref="W49:X49"/>
    <mergeCell ref="Y49:Z49"/>
    <mergeCell ref="C45:D46"/>
    <mergeCell ref="C47:D47"/>
    <mergeCell ref="E48:F48"/>
    <mergeCell ref="G48:H48"/>
    <mergeCell ref="I48:J48"/>
    <mergeCell ref="E49:F49"/>
    <mergeCell ref="M49:N49"/>
    <mergeCell ref="C50:D50"/>
    <mergeCell ref="E50:F50"/>
    <mergeCell ref="G50:H50"/>
    <mergeCell ref="I50:J50"/>
    <mergeCell ref="E51:F51"/>
    <mergeCell ref="G51:H51"/>
    <mergeCell ref="I51:J51"/>
    <mergeCell ref="M55:N55"/>
    <mergeCell ref="O55:R55"/>
    <mergeCell ref="S55:T55"/>
    <mergeCell ref="U55:V55"/>
    <mergeCell ref="W55:X55"/>
    <mergeCell ref="Y55:Z55"/>
    <mergeCell ref="C51:D52"/>
    <mergeCell ref="C53:D53"/>
    <mergeCell ref="E54:F54"/>
    <mergeCell ref="G54:H54"/>
    <mergeCell ref="I54:J54"/>
    <mergeCell ref="C55:D55"/>
    <mergeCell ref="E55:F55"/>
    <mergeCell ref="C56:D56"/>
    <mergeCell ref="E56:F56"/>
    <mergeCell ref="G56:H56"/>
    <mergeCell ref="I56:J56"/>
    <mergeCell ref="C57:D58"/>
    <mergeCell ref="G57:H57"/>
    <mergeCell ref="I57:J57"/>
    <mergeCell ref="S61:T61"/>
    <mergeCell ref="U61:V61"/>
    <mergeCell ref="W61:X61"/>
    <mergeCell ref="Y61:Z61"/>
    <mergeCell ref="E57:F57"/>
    <mergeCell ref="E60:F60"/>
    <mergeCell ref="G60:H60"/>
    <mergeCell ref="I60:J60"/>
    <mergeCell ref="E61:F61"/>
    <mergeCell ref="M61:N61"/>
    <mergeCell ref="O61:R61"/>
    <mergeCell ref="C86:D86"/>
    <mergeCell ref="E86:F86"/>
    <mergeCell ref="G86:H86"/>
    <mergeCell ref="I86:J86"/>
    <mergeCell ref="E87:F87"/>
    <mergeCell ref="G87:H87"/>
    <mergeCell ref="I87:J87"/>
    <mergeCell ref="C87:D88"/>
    <mergeCell ref="C89:D89"/>
    <mergeCell ref="E90:F90"/>
    <mergeCell ref="G90:H90"/>
    <mergeCell ref="I90:J90"/>
    <mergeCell ref="E91:F91"/>
    <mergeCell ref="G91:H91"/>
    <mergeCell ref="C140:D140"/>
    <mergeCell ref="E140:F140"/>
    <mergeCell ref="G140:H140"/>
    <mergeCell ref="I140:J140"/>
    <mergeCell ref="E141:F141"/>
    <mergeCell ref="G141:H141"/>
    <mergeCell ref="I141:J141"/>
    <mergeCell ref="C141:D142"/>
    <mergeCell ref="C143:D143"/>
    <mergeCell ref="E144:F144"/>
    <mergeCell ref="G144:H144"/>
    <mergeCell ref="I144:J144"/>
    <mergeCell ref="E145:F145"/>
    <mergeCell ref="G145:H145"/>
    <mergeCell ref="U151:V151"/>
    <mergeCell ref="W151:X151"/>
    <mergeCell ref="Y151:Z151"/>
    <mergeCell ref="E150:F150"/>
    <mergeCell ref="E151:F151"/>
    <mergeCell ref="G151:H151"/>
    <mergeCell ref="I151:J151"/>
    <mergeCell ref="M151:N151"/>
    <mergeCell ref="O151:R151"/>
    <mergeCell ref="S151:T151"/>
    <mergeCell ref="C147:D148"/>
    <mergeCell ref="E147:F147"/>
    <mergeCell ref="G147:H147"/>
    <mergeCell ref="I147:J147"/>
    <mergeCell ref="C149:D149"/>
    <mergeCell ref="G150:H150"/>
    <mergeCell ref="I150:J150"/>
    <mergeCell ref="I157:J157"/>
    <mergeCell ref="M157:N157"/>
    <mergeCell ref="O157:R157"/>
    <mergeCell ref="S157:T157"/>
    <mergeCell ref="U157:V157"/>
    <mergeCell ref="W157:X157"/>
    <mergeCell ref="Y157:Z157"/>
    <mergeCell ref="C158:D158"/>
    <mergeCell ref="E158:F158"/>
    <mergeCell ref="G158:H158"/>
    <mergeCell ref="I158:J158"/>
    <mergeCell ref="C152:D152"/>
    <mergeCell ref="E152:F152"/>
    <mergeCell ref="G152:H152"/>
    <mergeCell ref="I152:J152"/>
    <mergeCell ref="E153:F153"/>
    <mergeCell ref="G153:H153"/>
    <mergeCell ref="I153:J153"/>
    <mergeCell ref="C153:D154"/>
    <mergeCell ref="C155:D155"/>
    <mergeCell ref="E156:F156"/>
    <mergeCell ref="G156:H156"/>
    <mergeCell ref="I156:J156"/>
    <mergeCell ref="E157:F157"/>
    <mergeCell ref="G157:H157"/>
    <mergeCell ref="U163:V163"/>
    <mergeCell ref="W163:X163"/>
    <mergeCell ref="Y163:Z163"/>
    <mergeCell ref="E162:F162"/>
    <mergeCell ref="E163:F163"/>
    <mergeCell ref="G163:H163"/>
    <mergeCell ref="I163:J163"/>
    <mergeCell ref="M163:N163"/>
    <mergeCell ref="O163:R163"/>
    <mergeCell ref="S163:T163"/>
    <mergeCell ref="C159:D160"/>
    <mergeCell ref="E159:F159"/>
    <mergeCell ref="G159:H159"/>
    <mergeCell ref="I159:J159"/>
    <mergeCell ref="C161:D161"/>
    <mergeCell ref="G162:H162"/>
    <mergeCell ref="I162:J162"/>
    <mergeCell ref="I169:J169"/>
    <mergeCell ref="M169:N169"/>
    <mergeCell ref="O169:R169"/>
    <mergeCell ref="S169:T169"/>
    <mergeCell ref="U169:V169"/>
    <mergeCell ref="W169:X169"/>
    <mergeCell ref="Y169:Z169"/>
    <mergeCell ref="I175:J175"/>
    <mergeCell ref="M175:N175"/>
    <mergeCell ref="O175:R175"/>
    <mergeCell ref="S175:T175"/>
    <mergeCell ref="U175:V175"/>
    <mergeCell ref="W175:X175"/>
    <mergeCell ref="Y175:Z175"/>
    <mergeCell ref="C183:D183"/>
    <mergeCell ref="E183:F183"/>
    <mergeCell ref="G183:H183"/>
    <mergeCell ref="I183:J183"/>
    <mergeCell ref="E184:F184"/>
    <mergeCell ref="G184:H184"/>
    <mergeCell ref="I184:J184"/>
    <mergeCell ref="C184:D185"/>
    <mergeCell ref="C186:D186"/>
    <mergeCell ref="E187:F187"/>
    <mergeCell ref="G187:H187"/>
    <mergeCell ref="I187:J187"/>
    <mergeCell ref="E188:F188"/>
    <mergeCell ref="G188:H188"/>
    <mergeCell ref="E193:F193"/>
    <mergeCell ref="E194:F194"/>
    <mergeCell ref="M194:N194"/>
    <mergeCell ref="O194:R194"/>
    <mergeCell ref="S194:T194"/>
    <mergeCell ref="U194:V194"/>
    <mergeCell ref="W194:X194"/>
    <mergeCell ref="Y194:Z194"/>
    <mergeCell ref="C190:D191"/>
    <mergeCell ref="E190:F190"/>
    <mergeCell ref="G190:H190"/>
    <mergeCell ref="I190:J190"/>
    <mergeCell ref="C192:D192"/>
    <mergeCell ref="G193:H193"/>
    <mergeCell ref="I193:J193"/>
    <mergeCell ref="C196:D197"/>
    <mergeCell ref="C198:D198"/>
    <mergeCell ref="E199:F199"/>
    <mergeCell ref="G199:H199"/>
    <mergeCell ref="I199:J199"/>
    <mergeCell ref="E200:F200"/>
    <mergeCell ref="E201:F201"/>
    <mergeCell ref="C195:D195"/>
    <mergeCell ref="E195:F195"/>
    <mergeCell ref="G195:H195"/>
    <mergeCell ref="I195:J195"/>
    <mergeCell ref="E196:F196"/>
    <mergeCell ref="G196:H196"/>
    <mergeCell ref="I196:J196"/>
    <mergeCell ref="C170:D170"/>
    <mergeCell ref="E170:F170"/>
    <mergeCell ref="G170:H170"/>
    <mergeCell ref="I170:J170"/>
    <mergeCell ref="E171:F171"/>
    <mergeCell ref="G171:H171"/>
    <mergeCell ref="I171:J171"/>
    <mergeCell ref="C171:D172"/>
    <mergeCell ref="C173:D173"/>
    <mergeCell ref="E174:F174"/>
    <mergeCell ref="G174:H174"/>
    <mergeCell ref="I174:J174"/>
    <mergeCell ref="E175:F175"/>
    <mergeCell ref="G175:H175"/>
    <mergeCell ref="C176:D176"/>
    <mergeCell ref="E176:F176"/>
    <mergeCell ref="G176:H176"/>
    <mergeCell ref="I176:J176"/>
    <mergeCell ref="E177:F177"/>
    <mergeCell ref="G177:H177"/>
    <mergeCell ref="I177:J177"/>
    <mergeCell ref="G182:H182"/>
    <mergeCell ref="I182:J182"/>
    <mergeCell ref="M182:N182"/>
    <mergeCell ref="O182:R182"/>
    <mergeCell ref="S182:T182"/>
    <mergeCell ref="U182:V182"/>
    <mergeCell ref="W182:X182"/>
    <mergeCell ref="Y182:Z182"/>
    <mergeCell ref="C177:D178"/>
    <mergeCell ref="C179:D179"/>
    <mergeCell ref="C181:D181"/>
    <mergeCell ref="E181:F181"/>
    <mergeCell ref="G181:H181"/>
    <mergeCell ref="I181:J181"/>
    <mergeCell ref="E182:F182"/>
    <mergeCell ref="I188:J188"/>
    <mergeCell ref="M188:N188"/>
    <mergeCell ref="O188:R188"/>
    <mergeCell ref="S188:T188"/>
    <mergeCell ref="U188:V188"/>
    <mergeCell ref="W188:X188"/>
    <mergeCell ref="Y188:Z188"/>
    <mergeCell ref="C189:D189"/>
    <mergeCell ref="E189:F189"/>
    <mergeCell ref="G189:H189"/>
    <mergeCell ref="I189:J189"/>
    <mergeCell ref="C62:D62"/>
    <mergeCell ref="E62:F62"/>
    <mergeCell ref="G62:H62"/>
    <mergeCell ref="I62:J62"/>
    <mergeCell ref="C63:D64"/>
    <mergeCell ref="G63:H63"/>
    <mergeCell ref="I63:J63"/>
    <mergeCell ref="M67:N67"/>
    <mergeCell ref="O67:R67"/>
    <mergeCell ref="S67:T67"/>
    <mergeCell ref="U67:V67"/>
    <mergeCell ref="W67:X67"/>
    <mergeCell ref="Y67:Z67"/>
    <mergeCell ref="E63:F63"/>
    <mergeCell ref="E66:F66"/>
    <mergeCell ref="G66:H66"/>
    <mergeCell ref="I66:J66"/>
    <mergeCell ref="E67:F67"/>
    <mergeCell ref="G67:H67"/>
    <mergeCell ref="I67:J67"/>
    <mergeCell ref="C68:D68"/>
    <mergeCell ref="E68:F68"/>
    <mergeCell ref="G68:H68"/>
    <mergeCell ref="I68:J68"/>
    <mergeCell ref="C69:D70"/>
    <mergeCell ref="G69:H69"/>
    <mergeCell ref="I69:J69"/>
    <mergeCell ref="M73:N73"/>
    <mergeCell ref="O73:R73"/>
    <mergeCell ref="S73:T73"/>
    <mergeCell ref="U73:V73"/>
    <mergeCell ref="W73:X73"/>
    <mergeCell ref="Y73:Z73"/>
    <mergeCell ref="E69:F69"/>
    <mergeCell ref="E72:F72"/>
    <mergeCell ref="G72:H72"/>
    <mergeCell ref="I72:J72"/>
    <mergeCell ref="E73:F73"/>
    <mergeCell ref="G73:H73"/>
    <mergeCell ref="I73:J73"/>
    <mergeCell ref="I79:J79"/>
    <mergeCell ref="M79:N79"/>
    <mergeCell ref="O79:R79"/>
    <mergeCell ref="S79:T79"/>
    <mergeCell ref="U79:V79"/>
    <mergeCell ref="W79:X79"/>
    <mergeCell ref="Y79:Z79"/>
    <mergeCell ref="C74:D74"/>
    <mergeCell ref="E74:F74"/>
    <mergeCell ref="G74:H74"/>
    <mergeCell ref="I74:J74"/>
    <mergeCell ref="E75:F75"/>
    <mergeCell ref="G75:H75"/>
    <mergeCell ref="I75:J75"/>
    <mergeCell ref="C75:D76"/>
    <mergeCell ref="C77:D77"/>
    <mergeCell ref="E78:F78"/>
    <mergeCell ref="G78:H78"/>
    <mergeCell ref="I78:J78"/>
    <mergeCell ref="E79:F79"/>
    <mergeCell ref="G79:H79"/>
    <mergeCell ref="C80:D80"/>
    <mergeCell ref="E80:F80"/>
    <mergeCell ref="G80:H80"/>
    <mergeCell ref="I80:J80"/>
    <mergeCell ref="E81:F81"/>
    <mergeCell ref="G81:H81"/>
    <mergeCell ref="I81:J81"/>
    <mergeCell ref="I85:J85"/>
    <mergeCell ref="M85:N85"/>
    <mergeCell ref="O85:R85"/>
    <mergeCell ref="S85:T85"/>
    <mergeCell ref="U85:V85"/>
    <mergeCell ref="W85:X85"/>
    <mergeCell ref="Y85:Z85"/>
    <mergeCell ref="C81:D82"/>
    <mergeCell ref="C83:D83"/>
    <mergeCell ref="E84:F84"/>
    <mergeCell ref="G84:H84"/>
    <mergeCell ref="I84:J84"/>
    <mergeCell ref="E85:F85"/>
    <mergeCell ref="G85:H85"/>
    <mergeCell ref="I91:J91"/>
    <mergeCell ref="M91:N91"/>
    <mergeCell ref="O91:R91"/>
    <mergeCell ref="S91:T91"/>
    <mergeCell ref="U91:V91"/>
    <mergeCell ref="W91:X91"/>
    <mergeCell ref="Y91:Z91"/>
    <mergeCell ref="G97:H97"/>
    <mergeCell ref="I97:J97"/>
    <mergeCell ref="M97:N97"/>
    <mergeCell ref="O97:R97"/>
    <mergeCell ref="S97:T97"/>
    <mergeCell ref="U97:V97"/>
    <mergeCell ref="W97:X97"/>
    <mergeCell ref="Y97:Z97"/>
    <mergeCell ref="C92:D92"/>
    <mergeCell ref="E92:F92"/>
    <mergeCell ref="G92:H92"/>
    <mergeCell ref="I92:J92"/>
    <mergeCell ref="E93:F93"/>
    <mergeCell ref="G93:H93"/>
    <mergeCell ref="I93:J93"/>
    <mergeCell ref="C93:D94"/>
    <mergeCell ref="C95:D95"/>
    <mergeCell ref="C96:D96"/>
    <mergeCell ref="E96:F96"/>
    <mergeCell ref="G96:H96"/>
    <mergeCell ref="I96:J96"/>
    <mergeCell ref="E97:F97"/>
    <mergeCell ref="C98:D98"/>
    <mergeCell ref="E98:F98"/>
    <mergeCell ref="G98:H98"/>
    <mergeCell ref="I98:J98"/>
    <mergeCell ref="E99:F99"/>
    <mergeCell ref="G99:H99"/>
    <mergeCell ref="I99:J99"/>
    <mergeCell ref="I103:J103"/>
    <mergeCell ref="M103:N103"/>
    <mergeCell ref="O103:R103"/>
    <mergeCell ref="S103:T103"/>
    <mergeCell ref="U103:V103"/>
    <mergeCell ref="W103:X103"/>
    <mergeCell ref="Y103:Z103"/>
    <mergeCell ref="C99:D100"/>
    <mergeCell ref="C101:D101"/>
    <mergeCell ref="E102:F102"/>
    <mergeCell ref="G102:H102"/>
    <mergeCell ref="I102:J102"/>
    <mergeCell ref="E103:F103"/>
    <mergeCell ref="G103:H103"/>
    <mergeCell ref="I109:J109"/>
    <mergeCell ref="M109:N109"/>
    <mergeCell ref="O109:R109"/>
    <mergeCell ref="S109:T109"/>
    <mergeCell ref="U109:V109"/>
    <mergeCell ref="W109:X109"/>
    <mergeCell ref="Y109:Z109"/>
    <mergeCell ref="C110:D110"/>
    <mergeCell ref="E110:F110"/>
    <mergeCell ref="G110:H110"/>
    <mergeCell ref="I110:J110"/>
    <mergeCell ref="C104:D104"/>
    <mergeCell ref="E104:F104"/>
    <mergeCell ref="G104:H104"/>
    <mergeCell ref="I104:J104"/>
    <mergeCell ref="E105:F105"/>
    <mergeCell ref="G105:H105"/>
    <mergeCell ref="I105:J105"/>
    <mergeCell ref="C105:D106"/>
    <mergeCell ref="C107:D107"/>
    <mergeCell ref="E108:F108"/>
    <mergeCell ref="G108:H108"/>
    <mergeCell ref="I108:J108"/>
    <mergeCell ref="E109:F109"/>
    <mergeCell ref="G109:H109"/>
    <mergeCell ref="W115:X115"/>
    <mergeCell ref="Y115:Z115"/>
    <mergeCell ref="E115:F115"/>
    <mergeCell ref="G115:H115"/>
    <mergeCell ref="I115:J115"/>
    <mergeCell ref="M115:N115"/>
    <mergeCell ref="O115:R115"/>
    <mergeCell ref="S115:T115"/>
    <mergeCell ref="U115:V115"/>
    <mergeCell ref="C111:D112"/>
    <mergeCell ref="E111:F111"/>
    <mergeCell ref="G111:H111"/>
    <mergeCell ref="I111:J111"/>
    <mergeCell ref="E114:F114"/>
    <mergeCell ref="G114:H114"/>
    <mergeCell ref="I114:J114"/>
    <mergeCell ref="I121:J121"/>
    <mergeCell ref="M121:N121"/>
    <mergeCell ref="O121:R121"/>
    <mergeCell ref="S121:T121"/>
    <mergeCell ref="U121:V121"/>
    <mergeCell ref="W121:X121"/>
    <mergeCell ref="Y121:Z121"/>
    <mergeCell ref="C122:D122"/>
    <mergeCell ref="E122:F122"/>
    <mergeCell ref="G122:H122"/>
    <mergeCell ref="I122:J122"/>
    <mergeCell ref="C116:D116"/>
    <mergeCell ref="E116:F116"/>
    <mergeCell ref="G116:H116"/>
    <mergeCell ref="I116:J116"/>
    <mergeCell ref="E117:F117"/>
    <mergeCell ref="G117:H117"/>
    <mergeCell ref="I117:J117"/>
    <mergeCell ref="C117:D118"/>
    <mergeCell ref="C119:D119"/>
    <mergeCell ref="E120:F120"/>
    <mergeCell ref="G120:H120"/>
    <mergeCell ref="I120:J120"/>
    <mergeCell ref="E121:F121"/>
    <mergeCell ref="G121:H121"/>
    <mergeCell ref="G126:H126"/>
    <mergeCell ref="I126:J126"/>
    <mergeCell ref="W127:X127"/>
    <mergeCell ref="Y127:Z127"/>
    <mergeCell ref="E127:F127"/>
    <mergeCell ref="G127:H127"/>
    <mergeCell ref="I127:J127"/>
    <mergeCell ref="M127:N127"/>
    <mergeCell ref="O127:R127"/>
    <mergeCell ref="S127:T127"/>
    <mergeCell ref="U127:V127"/>
    <mergeCell ref="C123:D124"/>
    <mergeCell ref="E123:F123"/>
    <mergeCell ref="G123:H123"/>
    <mergeCell ref="I123:J123"/>
    <mergeCell ref="C125:D125"/>
    <mergeCell ref="C126:D126"/>
    <mergeCell ref="E126:F126"/>
    <mergeCell ref="I133:J133"/>
    <mergeCell ref="M133:N133"/>
    <mergeCell ref="O133:R133"/>
    <mergeCell ref="S133:T133"/>
    <mergeCell ref="U133:V133"/>
    <mergeCell ref="W133:X133"/>
    <mergeCell ref="Y133:Z133"/>
    <mergeCell ref="C128:D128"/>
    <mergeCell ref="E128:F128"/>
    <mergeCell ref="G128:H128"/>
    <mergeCell ref="I128:J128"/>
    <mergeCell ref="E129:F129"/>
    <mergeCell ref="G129:H129"/>
    <mergeCell ref="I129:J129"/>
    <mergeCell ref="C129:D130"/>
    <mergeCell ref="C131:D131"/>
    <mergeCell ref="E132:F132"/>
    <mergeCell ref="G132:H132"/>
    <mergeCell ref="I132:J132"/>
    <mergeCell ref="E133:F133"/>
    <mergeCell ref="G133:H133"/>
    <mergeCell ref="C134:D134"/>
    <mergeCell ref="E134:F134"/>
    <mergeCell ref="G134:H134"/>
    <mergeCell ref="I134:J134"/>
    <mergeCell ref="E135:F135"/>
    <mergeCell ref="G135:H135"/>
    <mergeCell ref="I135:J135"/>
    <mergeCell ref="I139:J139"/>
    <mergeCell ref="M139:N139"/>
    <mergeCell ref="O139:R139"/>
    <mergeCell ref="S139:T139"/>
    <mergeCell ref="U139:V139"/>
    <mergeCell ref="W139:X139"/>
    <mergeCell ref="Y139:Z139"/>
    <mergeCell ref="C135:D136"/>
    <mergeCell ref="C137:D137"/>
    <mergeCell ref="E138:F138"/>
    <mergeCell ref="G138:H138"/>
    <mergeCell ref="I138:J138"/>
    <mergeCell ref="E139:F139"/>
    <mergeCell ref="G139:H139"/>
    <mergeCell ref="I145:J145"/>
    <mergeCell ref="M145:N145"/>
    <mergeCell ref="O145:R145"/>
    <mergeCell ref="S145:T145"/>
    <mergeCell ref="U145:V145"/>
    <mergeCell ref="W145:X145"/>
    <mergeCell ref="Y145:Z145"/>
    <mergeCell ref="C146:D146"/>
    <mergeCell ref="E146:F146"/>
    <mergeCell ref="G146:H146"/>
    <mergeCell ref="I146:J146"/>
    <mergeCell ref="C164:D164"/>
    <mergeCell ref="E164:F164"/>
    <mergeCell ref="G164:H164"/>
    <mergeCell ref="I164:J164"/>
    <mergeCell ref="E165:F165"/>
    <mergeCell ref="G165:H165"/>
    <mergeCell ref="I165:J165"/>
    <mergeCell ref="C165:D166"/>
    <mergeCell ref="C167:D167"/>
    <mergeCell ref="E168:F168"/>
    <mergeCell ref="G168:H168"/>
    <mergeCell ref="I168:J168"/>
    <mergeCell ref="E169:F169"/>
    <mergeCell ref="G169:H169"/>
  </mergeCells>
  <drawing r:id="rId1"/>
</worksheet>
</file>